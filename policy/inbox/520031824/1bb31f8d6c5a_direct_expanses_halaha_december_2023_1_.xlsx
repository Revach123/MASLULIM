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מסמכים שאינם מתעדכנים בתכיפות\הוצאות ישירות\2024\"/>
    </mc:Choice>
  </mc:AlternateContent>
  <xr:revisionPtr revIDLastSave="0" documentId="8_{D770A34D-960C-4A01-9B7B-858534A4567F}" xr6:coauthVersionLast="47" xr6:coauthVersionMax="47" xr10:uidLastSave="{00000000-0000-0000-0000-000000000000}"/>
  <bookViews>
    <workbookView xWindow="-28920" yWindow="5115" windowWidth="29040" windowHeight="15840" activeTab="1" xr2:uid="{1F262C63-71E2-4146-9ED0-5DA8B6BF2D07}"/>
  </bookViews>
  <sheets>
    <sheet name="נספח 1 - רום מצרפי" sheetId="4" r:id="rId1"/>
    <sheet name="נספח 1-רום הלכה" sheetId="11" r:id="rId2"/>
    <sheet name="נספח 2 –עמלות והוצאות לא חיצוני" sheetId="5" r:id="rId3"/>
    <sheet name="נספח 3 - עמלות ניהול חיצוני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7" i="6" l="1"/>
  <c r="B38" i="5"/>
  <c r="B38" i="11"/>
  <c r="B35" i="11"/>
  <c r="B53" i="11" s="1"/>
  <c r="B25" i="11"/>
  <c r="B21" i="11"/>
  <c r="B23" i="11" s="1"/>
  <c r="B19" i="11"/>
  <c r="B14" i="11"/>
  <c r="B9" i="11"/>
  <c r="B5" i="11"/>
  <c r="B57" i="11" l="1"/>
  <c r="B58" i="11" s="1"/>
  <c r="B29" i="11"/>
  <c r="B62" i="11" s="1"/>
  <c r="B46" i="11"/>
  <c r="B50" i="11" s="1"/>
  <c r="B118" i="6"/>
  <c r="B102" i="6"/>
  <c r="B70" i="6"/>
  <c r="B64" i="6"/>
  <c r="B52" i="5"/>
  <c r="B46" i="5"/>
  <c r="B33" i="5"/>
  <c r="B25" i="5"/>
  <c r="B29" i="5" l="1"/>
  <c r="B126" i="6" l="1"/>
  <c r="B89" i="6" l="1"/>
  <c r="B95" i="6"/>
  <c r="B21" i="6" l="1"/>
  <c r="B39" i="5" l="1"/>
  <c r="B112" i="6" l="1"/>
  <c r="B55" i="6" l="1"/>
  <c r="B15" i="5" l="1"/>
  <c r="B54" i="5" s="1"/>
  <c r="B120" i="6" l="1"/>
</calcChain>
</file>

<file path=xl/sharedStrings.xml><?xml version="1.0" encoding="utf-8"?>
<sst xmlns="http://schemas.openxmlformats.org/spreadsheetml/2006/main" count="243" uniqueCount="176">
  <si>
    <t>אלפי ₪</t>
  </si>
  <si>
    <t>1. סך הכל עמלות קנייה ומכירה של ניירות ערך סחירים</t>
  </si>
  <si>
    <t>א. סך עמלות קנייה ומכירה של ניירות ערך סחירים לצדדים קשורים</t>
  </si>
  <si>
    <t>ב. סך עמלות קנייה ומכירה של ניירות ערך סחירים לצדדים שאינם קשורים</t>
  </si>
  <si>
    <t>א. סך עמלות קסטודיאן לצדדים קשורים</t>
  </si>
  <si>
    <t>ב. סך עמלות קסטודיאן לצדדים שאינם קשורים</t>
  </si>
  <si>
    <t>3. סך הכל הוצאות הנובעות מהשקעות לא סחירות</t>
  </si>
  <si>
    <t xml:space="preserve">ב. הוצאה הנובעת מהשקעה בזכויות במקרקעין </t>
  </si>
  <si>
    <t>4. מסים החלים על משקיע מוסדי, על נכסיו, על הכנסותיו ועל עסקאות שנעשו בנכסיו</t>
  </si>
  <si>
    <t>הוצאות ישירות מסוג עמלת ניהול חיצוני</t>
  </si>
  <si>
    <t xml:space="preserve">א. סך תשלומים הנובעים מהשקעה בקרנות השקעה בישראל </t>
  </si>
  <si>
    <t>ב. סך תשלומים הנובעים מהשקעה בקרנות השקעה בחו"ל</t>
  </si>
  <si>
    <t>ג. סך תשלומים למנהלי תיקים ישראלים בגין השקעה בחו"ל</t>
  </si>
  <si>
    <t xml:space="preserve">ד. סך תשלומים למנהלי תיקים זרים </t>
  </si>
  <si>
    <t>ה. סך תשלומים בגין השקעה בקרנות סל כאשר 75 אחוזים לפחות מנכסי הקרן הם נכסים שהונפקו במדינת ישראל לפי מדדים שעליהם הורה הממונה ובתנאים שהורה</t>
  </si>
  <si>
    <t>ו.   סך תשלומים בגין השקעה בקרנות סל כאשר 75 אחוזים לפחות מנכסי הקרן הם נכסים שלא הונפקו במדינת ישראל ואינם נסחרים או מוחזקים בה</t>
  </si>
  <si>
    <t>ז.  סך תשלומים בגין השקעה בקרנות נאמנות ישראליות כאשר 75 אחוזים לפחות מנכסי הקרן מושקעים בנכסים שלא הונפקו במדינת ישראל ואינם נסחרים או מוחזקים בה</t>
  </si>
  <si>
    <t>ח.  סך תשלומים בגין השקעה בקרנות נאמנות זרות כאשר 75 אחוזים לפחות מנכסי הקרן מושקעים בנכסים שלא הונפקו במדינת ישראל ואינם נסחרים או מוחזקים בה</t>
  </si>
  <si>
    <t xml:space="preserve"> ט. סך תשלומים בגין השקעה בקרן טכנולוגיה עילית</t>
  </si>
  <si>
    <t>סך הכל הוצאות ישירות לצורך חישוב שיעור עלות שנתית צפויה</t>
  </si>
  <si>
    <t>2. סך הכל דמי שמירה בשל ניירות ערך סחירים וכל עמלה שגובה מי שמבצע את משמרות ניירות הערך  (קסטודיאן)</t>
  </si>
  <si>
    <t>ברוקארז'- עמלות קנייה ומכירה בגין ביצוע עסקאות בניירות ערך סחירים</t>
  </si>
  <si>
    <t>צדדים קשורים</t>
  </si>
  <si>
    <t>צדדים שאינם קשורים</t>
  </si>
  <si>
    <t>סך עמלות ברוקראז'</t>
  </si>
  <si>
    <t>עמלות קסטודיאן</t>
  </si>
  <si>
    <t>סך עמלות קסטודיאן</t>
  </si>
  <si>
    <t>הוצאה הנובעת מהשקעה בניירות ערך לא סחירים או ממתן הלוואה</t>
  </si>
  <si>
    <t>סך הוצאות הנובעות מהשקעה בניירות ערך לא סחירים או ממתן הלוואה</t>
  </si>
  <si>
    <t>הוצאה הנובעת מהשקעה בזכויות מקרקעין</t>
  </si>
  <si>
    <t>סך הוצאות הנובעות מהשקעה בזכויות מקרקעין</t>
  </si>
  <si>
    <t>מסים החלים על הנכסים, ההכנסות והעסקאות</t>
  </si>
  <si>
    <t>סך הכל תשלומי מסים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</si>
  <si>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</si>
  <si>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</si>
  <si>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</si>
  <si>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</si>
  <si>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t>תשלום של דמי ניהול משתנים</t>
  </si>
  <si>
    <t>(3)      אחרים</t>
  </si>
  <si>
    <t>(1)      קסטודיאן א'</t>
  </si>
  <si>
    <t>(2)      קסטודיאן ב'</t>
  </si>
  <si>
    <t>(1)      גוף/יחיד א'</t>
  </si>
  <si>
    <t>(2)      גוף/יחיד ב'</t>
  </si>
  <si>
    <t>(1)      רשות מסים א'</t>
  </si>
  <si>
    <t>(2)      רשות מסים ב</t>
  </si>
  <si>
    <t>אלפי ש"ח</t>
  </si>
  <si>
    <t>תשלום הנובע מהשקעה בקרנות השקעה בישראל</t>
  </si>
  <si>
    <t>סך תשלומים הנובעים מהשקעה בקרנות השקעה בישראל</t>
  </si>
  <si>
    <t>תשלום הנובע מהשקעה בקרנות השקעה בחו"ל</t>
  </si>
  <si>
    <t>סך תשלומים הנובעים מהשקעה בקרנות השקעה בחו"ל</t>
  </si>
  <si>
    <t>תשלום למנהל תיקים ישראלי</t>
  </si>
  <si>
    <t>סך תשלומים למנהלי תיקים ישראליים</t>
  </si>
  <si>
    <t>תשלום למנהל תיקים זר</t>
  </si>
  <si>
    <t>סך תשלום למנהלי תיקים זרים</t>
  </si>
  <si>
    <t>סך תשלומים בגין השקעה בקרן סל כאשר 75% לפחות מנכסי הקרן הם נכסים שלא הונפקו במדינת ישראל ואינם נסחרים או מוחזקים בה</t>
  </si>
  <si>
    <t>סך תשלום למנהלי קרנות סל</t>
  </si>
  <si>
    <t>סך תשלומים בגין השקעה בקרן סל כאשר 75% לפחות מנכסי הקרן הם נכסים שהונפקו במדינת ישראל לפי מדדים שעליהם הורה הממונה ובתנאים שהורה</t>
  </si>
  <si>
    <t xml:space="preserve">סך תשלום למנהלי קרן סל </t>
  </si>
  <si>
    <t>תשלום בגין השקעה בקרנות נאמנות ישראליות כאשר 75% לפחות מנכסי הקרן מושקעים בנכסים שלא הונפקו במדינת ישראל ואינם נסחרים או מוחזקים בה</t>
  </si>
  <si>
    <t>קרן נאמנות ישראלית</t>
  </si>
  <si>
    <t>סך תשלומים למנהלי קרנות נאמנות ישראליות</t>
  </si>
  <si>
    <t>תשלום בגין השקעה בקרנות נאמנות זרות כאשר 75% לפחות מנכסי הקרן מושקעים בנכסים שלא הונפקו במדינת ישראל ואינם נסחרים או מוחזקים בה</t>
  </si>
  <si>
    <t>סך תשלומים בגין השקעה בקרנות נאמנות זרות</t>
  </si>
  <si>
    <t>תשלומים בגין השקעה בקרן טכנולוגיה עילית</t>
  </si>
  <si>
    <t>(2)      מנהל קרנות ב'</t>
  </si>
  <si>
    <t>סך תשלום בגין השקעה בקרן טכנולוגיה עילית</t>
  </si>
  <si>
    <t>סך הכל עמלות ניהול חיצוני</t>
  </si>
  <si>
    <t>סך הכל נכסים לסוף שנה קודמת</t>
  </si>
  <si>
    <r>
      <t>א.</t>
    </r>
    <r>
      <rPr>
        <strike/>
        <sz val="12"/>
        <color theme="1"/>
        <rFont val="Calibri Light"/>
        <family val="2"/>
      </rPr>
      <t xml:space="preserve"> </t>
    </r>
    <r>
      <rPr>
        <sz val="12"/>
        <color theme="1"/>
        <rFont val="Calibri Light"/>
        <family val="2"/>
      </rPr>
      <t xml:space="preserve">הוצאה הנובעת מהשקעה בניירות ערך לא סחירים או ממתן הלוואה למי שאינו עמית או מבוטח </t>
    </r>
  </si>
  <si>
    <r>
      <t>סך הכל עמלות והוצאות</t>
    </r>
    <r>
      <rPr>
        <sz val="12"/>
        <color theme="1"/>
        <rFont val="Calibri Light"/>
        <family val="2"/>
      </rPr>
      <t xml:space="preserve"> </t>
    </r>
    <r>
      <rPr>
        <b/>
        <sz val="12"/>
        <color theme="1"/>
        <rFont val="Calibri Light"/>
        <family val="2"/>
      </rPr>
      <t>שאינן עמלות ניהול חיצוני</t>
    </r>
  </si>
  <si>
    <t>פועלים</t>
  </si>
  <si>
    <t>VANECK VECTORS</t>
  </si>
  <si>
    <t>VANGUARD GROUP</t>
  </si>
  <si>
    <t>LYXOR</t>
  </si>
  <si>
    <t>נספח 2 – פרוט עמלות והוצאות שאינן עמלות ניהול חיצוני לשנה המסתיימת ביום: 31.12.2023</t>
  </si>
  <si>
    <t>נספח 3 - פירוט עמלות ניהול חיצוני לשנה המסתיימת ביום: 31.12.2023</t>
  </si>
  <si>
    <t xml:space="preserve">צדדים שאינם קשורים </t>
  </si>
  <si>
    <t>WISDOMTREE</t>
  </si>
  <si>
    <t>הראל קרנות נאמנות בע"מ</t>
  </si>
  <si>
    <t>קסם קרנות נאמנות בע"מ</t>
  </si>
  <si>
    <t>AMUNDI INVESTMENT</t>
  </si>
  <si>
    <t>5. סך הוצאות בעד ניהול תביעות</t>
  </si>
  <si>
    <t>6. סך הוצאות בעד מתן משכנתאות</t>
  </si>
  <si>
    <t xml:space="preserve">10 . סך דמי ניהול משתנים – החלק מתשלום עמלת ניהול חיצוני שנגזר מתשואת הנכסים </t>
  </si>
  <si>
    <t>11.   סה"כ הוצאות ישירות מסוג "עמלת ניהול חיצוני" (סכום סעיפים 11.א עד11.ט)</t>
  </si>
  <si>
    <t>7. סך הכל הוצאות ישירות שאינן מסוג עמלת ניהול חיצוני (סכום סעיפים 1 עד6)</t>
  </si>
  <si>
    <t>8. שווי ממוצע של נכסי הקופה או המסלול (ממוצע פשוט של סעיפים 8א ו-8ב)</t>
  </si>
  <si>
    <t>9. שיעור שנתי של הוצאות ישירות שאינן מסוג עמלת ניהול חיצוני (חלוקה של סעיף 7 בסעיף 8 )</t>
  </si>
  <si>
    <t>12. שיעור עמלת ניהול חיצוני בפועל (חלוקה של סעיף 11 בסעיף 8.ב)</t>
  </si>
  <si>
    <t>13. שיעור מגבלת עמלת ניהול חיצוני שהמשקיע המוסדי הצהיר עליה  עבור שנת הכספים שהסתיימה</t>
  </si>
  <si>
    <t>14. ההפרש בין שיעור מגבלת עמלת ניהול חיצוני מוצהרת לבין שיעור  עמלת ניהול חיצוני בפועל (סעיף 13 פחות סעיף 12)</t>
  </si>
  <si>
    <t xml:space="preserve">15א. סכום שהוחזר  לחוסכים (אם הוחזר) </t>
  </si>
  <si>
    <t xml:space="preserve">15ב. שיעור עמלת ניהול חיצוני בפועל לאחר החזר, (חלוקה של התוצאה של סעיף 11 בניכוי סעיף 15א, בסעיף 8.ב) </t>
  </si>
  <si>
    <t>סך הכל הוצאות ישירות בפועל (למעט דמי ניהול משתנים כאמור בסעיף 10)</t>
  </si>
  <si>
    <t>17. שיעור סך ההוצאות הישירות מתוך יתרת נכסים ממוצעת  (חלוקה של סעיף 16 בסעיף 8)</t>
  </si>
  <si>
    <t>19. De: שיעור הוצאות ישירות  (סכום של סעיף 9 וסעיף 18 )</t>
  </si>
  <si>
    <t xml:space="preserve">א. הוצאה הנובעת מהשקעה בניירות ערך לא סחירים או ממתן הלוואה למי שאינו עמית או מבוטח </t>
  </si>
  <si>
    <t>סך הכל דמי ניהול משתנים</t>
  </si>
  <si>
    <t>מור קרנות נאמנות בע"מ</t>
  </si>
  <si>
    <t>ק"ה לעובדי רשויות מקומיות בע"מ מצרפי
נספח 1- סך  ההוצאות הישירות ששולמו בעד כל סוג של הוצאה ישירה לתקופה המסתיימת ביום 31.12.2023</t>
  </si>
  <si>
    <t>אלפא ערך</t>
  </si>
  <si>
    <t>טוליפ</t>
  </si>
  <si>
    <t>הפניקס חוב נדלן KYC</t>
  </si>
  <si>
    <t>אי.בי.אי</t>
  </si>
  <si>
    <t>     אחרים</t>
  </si>
  <si>
    <t>בנק דיסקונט</t>
  </si>
  <si>
    <t>אקסלנס נשואה</t>
  </si>
  <si>
    <t>בנק הפועלים</t>
  </si>
  <si>
    <t>בנק מזרחי</t>
  </si>
  <si>
    <t>מיטב ד"ש</t>
  </si>
  <si>
    <t>לידר ד"ש</t>
  </si>
  <si>
    <t>פסגות אופק</t>
  </si>
  <si>
    <t xml:space="preserve">מור </t>
  </si>
  <si>
    <t>זרים</t>
  </si>
  <si>
    <t>Bridges Israel Growth</t>
  </si>
  <si>
    <t>Fimi Israel Opportunity 5</t>
  </si>
  <si>
    <t>SOMV  II</t>
  </si>
  <si>
    <t>Moneta</t>
  </si>
  <si>
    <t>ספרה פארקינג</t>
  </si>
  <si>
    <t>פורטיסימו 3</t>
  </si>
  <si>
    <t>Fortissimo V</t>
  </si>
  <si>
    <t>Kedma III</t>
  </si>
  <si>
    <t>Klirmark Fund III</t>
  </si>
  <si>
    <t>Klirmark Fund IV</t>
  </si>
  <si>
    <t>יסודות נדלן א</t>
  </si>
  <si>
    <t>יסודות נדלן ג</t>
  </si>
  <si>
    <t>נוקד אקוויטי</t>
  </si>
  <si>
    <t>ALTO II</t>
  </si>
  <si>
    <t>Ami Opportunities (APAX)</t>
  </si>
  <si>
    <t>Blue Atlantic PTNR</t>
  </si>
  <si>
    <t>Blue Atlantic PTNR II</t>
  </si>
  <si>
    <t>EQT Infrastructure V (יורו)</t>
  </si>
  <si>
    <t>Faro Point  FRG-IX , L.P</t>
  </si>
  <si>
    <t>Faro Point FIVF III (F-5)</t>
  </si>
  <si>
    <t>Faro Point FRG-X (F-3)</t>
  </si>
  <si>
    <t>Hamilton Co Invest III</t>
  </si>
  <si>
    <t>Hamilton Co-invest IV</t>
  </si>
  <si>
    <t>HarbourVest Dover  X</t>
  </si>
  <si>
    <t>IBI Pillar Singel 2</t>
  </si>
  <si>
    <t>IIF IV  (תשי 4)</t>
  </si>
  <si>
    <t>Insight Partners XI</t>
  </si>
  <si>
    <t>LLCP VI</t>
  </si>
  <si>
    <t>Macquarie</t>
  </si>
  <si>
    <t>מור סטארלייט קנדה 3</t>
  </si>
  <si>
    <t>PGCO  IV  פנתאון</t>
  </si>
  <si>
    <t>Starlight UK</t>
  </si>
  <si>
    <t>Vintage V Acess</t>
  </si>
  <si>
    <t>Electra II</t>
  </si>
  <si>
    <t>Mideal</t>
  </si>
  <si>
    <t>Forma</t>
  </si>
  <si>
    <t>Bain Capital DSS 2019</t>
  </si>
  <si>
    <t>Direct Lending III</t>
  </si>
  <si>
    <t>Hamilton Strategic Opp 2020 VI</t>
  </si>
  <si>
    <t>Hamilton Strategic Opp VII</t>
  </si>
  <si>
    <t>הראל המגן</t>
  </si>
  <si>
    <t>Colchis Income Fund</t>
  </si>
  <si>
    <t>IBI CCF</t>
  </si>
  <si>
    <t>COMGEST GROWTH</t>
  </si>
  <si>
    <t>CREDIT SUISSE N</t>
  </si>
  <si>
    <t>NOMURA FUNDS IR</t>
  </si>
  <si>
    <t>SCHRODER ISF GR</t>
  </si>
  <si>
    <t>FIDELITY FUNDS - US HIGH</t>
  </si>
  <si>
    <t>CIFC Senior Secured Corporate</t>
  </si>
  <si>
    <t>KRANESHARES ETF</t>
  </si>
  <si>
    <t>INVESCO</t>
  </si>
  <si>
    <t>ISHARES INC</t>
  </si>
  <si>
    <t>SPDR TRUST</t>
  </si>
  <si>
    <t>NOMURA ASSET MANAGEMENT</t>
  </si>
  <si>
    <t>מיטב קרנות נאמנות בע"מ</t>
  </si>
  <si>
    <t>16. סך כל הוצאות ישירות (סכום של סעיף 7 וסעיף 11 בניכוי סעיף 15א)</t>
  </si>
  <si>
    <t>א. השווי המשוערך של  נכסי הקופה או המסלול נכון ליום 31 בדצמבר של שנת הכספים שהסתיימה 2023</t>
  </si>
  <si>
    <t>ב. השווי המשוערך של נכסי הקופה או המסלול נכון ליום 31 בדצמבר של שנת הכספים שהסתיימה 2022</t>
  </si>
  <si>
    <t>(1)      מנהל קרנות א'</t>
  </si>
  <si>
    <t>18. שיעור מגבלת עמלת ניהול חיצוני שהמשקיע המוסדי הצהיר עליה בהתאם לתקנה 2א לתקנות הוצאות ישירות עבור שנת הכספים הבאה 2024</t>
  </si>
  <si>
    <t>רום הלכה
נספח 1- סך  ההוצאות הישירות ששולמו בעד כל סוג של הוצאה ישירה לתקופה המסתיימת ביום 31.12.2023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</si>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</sst>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,##0.00000000000000000"/>
  </numFmts>
  <fonts count="1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  <font>
      <sz val="12"/>
      <color rgb="FF000000"/>
      <name val="Calibri Light"/>
      <family val="2"/>
    </font>
    <font>
      <strike/>
      <sz val="12"/>
      <color theme="1"/>
      <name val="Calibri Light"/>
      <family val="2"/>
    </font>
    <font>
      <b/>
      <sz val="12"/>
      <color rgb="FF000080"/>
      <name val="Calibri Light"/>
      <family val="2"/>
    </font>
    <font>
      <sz val="12"/>
      <color rgb="FF000080"/>
      <name val="Calibri Light"/>
      <family val="2"/>
    </font>
    <font>
      <sz val="11"/>
      <color theme="1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/>
      <right style="medium">
        <color rgb="FF808080"/>
      </right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</borders>
  <cellStyleXfs count="4">
    <xf numFmtId="0" fontId="0" fillId="0" borderId="0"/>
    <xf numFmtId="0" fontId="1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9">
    <xf numFmtId="0" fontId="0" fillId="0" borderId="0" xfId="0"/>
    <xf numFmtId="0" fontId="4" fillId="0" borderId="1" xfId="0" applyFont="1" applyBorder="1" applyAlignment="1">
      <alignment horizontal="right" vertical="center" readingOrder="2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 readingOrder="1"/>
    </xf>
    <xf numFmtId="0" fontId="3" fillId="0" borderId="1" xfId="0" applyFont="1" applyBorder="1" applyAlignment="1">
      <alignment horizontal="right" vertical="center" wrapText="1" readingOrder="2"/>
    </xf>
    <xf numFmtId="0" fontId="3" fillId="0" borderId="1" xfId="0" applyFont="1" applyBorder="1" applyAlignment="1">
      <alignment horizontal="right" vertical="center" wrapText="1" readingOrder="1"/>
    </xf>
    <xf numFmtId="0" fontId="6" fillId="0" borderId="3" xfId="0" applyFont="1" applyBorder="1" applyAlignment="1">
      <alignment horizontal="right" vertical="center" wrapText="1" readingOrder="2"/>
    </xf>
    <xf numFmtId="0" fontId="2" fillId="0" borderId="2" xfId="0" applyFont="1" applyBorder="1" applyAlignment="1">
      <alignment horizontal="right" vertical="center" wrapText="1" readingOrder="2"/>
    </xf>
    <xf numFmtId="0" fontId="3" fillId="0" borderId="0" xfId="0" applyFont="1" applyAlignment="1">
      <alignment horizontal="right"/>
    </xf>
    <xf numFmtId="0" fontId="2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7" xfId="0" applyFont="1" applyBorder="1" applyAlignment="1">
      <alignment horizontal="right" vertical="center" wrapText="1" readingOrder="2"/>
    </xf>
    <xf numFmtId="0" fontId="6" fillId="0" borderId="5" xfId="0" applyFont="1" applyBorder="1" applyAlignment="1">
      <alignment horizontal="right" vertical="center" wrapText="1" readingOrder="2"/>
    </xf>
    <xf numFmtId="0" fontId="7" fillId="0" borderId="5" xfId="0" applyFont="1" applyBorder="1" applyAlignment="1">
      <alignment horizontal="right" vertical="center" wrapText="1" readingOrder="2"/>
    </xf>
    <xf numFmtId="0" fontId="3" fillId="0" borderId="0" xfId="0" applyFont="1" applyAlignment="1">
      <alignment horizontal="right" vertical="center" readingOrder="2"/>
    </xf>
    <xf numFmtId="4" fontId="4" fillId="0" borderId="1" xfId="0" applyNumberFormat="1" applyFont="1" applyBorder="1" applyAlignment="1">
      <alignment horizontal="right" vertical="center" readingOrder="1"/>
    </xf>
    <xf numFmtId="2" fontId="4" fillId="0" borderId="1" xfId="0" applyNumberFormat="1" applyFont="1" applyBorder="1" applyAlignment="1">
      <alignment horizontal="right" vertical="center" readingOrder="1"/>
    </xf>
    <xf numFmtId="2" fontId="4" fillId="0" borderId="1" xfId="2" applyNumberFormat="1" applyFont="1" applyFill="1" applyBorder="1" applyAlignment="1">
      <alignment horizontal="right" vertical="center" readingOrder="1"/>
    </xf>
    <xf numFmtId="2" fontId="3" fillId="0" borderId="4" xfId="0" applyNumberFormat="1" applyFont="1" applyBorder="1" applyAlignment="1">
      <alignment horizontal="right" vertical="center" wrapText="1" readingOrder="2"/>
    </xf>
    <xf numFmtId="0" fontId="9" fillId="0" borderId="0" xfId="0" applyFont="1" applyAlignment="1">
      <alignment horizontal="right" wrapText="1"/>
    </xf>
    <xf numFmtId="2" fontId="3" fillId="0" borderId="4" xfId="0" applyNumberFormat="1" applyFont="1" applyBorder="1" applyAlignment="1">
      <alignment horizontal="justify" vertical="center" wrapText="1" readingOrder="2"/>
    </xf>
    <xf numFmtId="0" fontId="10" fillId="0" borderId="0" xfId="0" applyFont="1" applyAlignment="1">
      <alignment horizontal="right" wrapText="1"/>
    </xf>
    <xf numFmtId="43" fontId="4" fillId="0" borderId="1" xfId="3" applyFont="1" applyFill="1" applyBorder="1" applyAlignment="1">
      <alignment horizontal="right" vertical="center" readingOrder="1"/>
    </xf>
    <xf numFmtId="2" fontId="4" fillId="0" borderId="0" xfId="2" applyNumberFormat="1" applyFont="1" applyFill="1" applyBorder="1" applyAlignment="1">
      <alignment horizontal="right" vertical="center" readingOrder="1"/>
    </xf>
    <xf numFmtId="0" fontId="10" fillId="0" borderId="0" xfId="0" applyFont="1" applyAlignment="1" applyProtection="1">
      <alignment horizontal="right" wrapText="1"/>
      <protection locked="0"/>
    </xf>
    <xf numFmtId="2" fontId="10" fillId="0" borderId="0" xfId="0" applyNumberFormat="1" applyFont="1" applyAlignment="1" applyProtection="1">
      <alignment horizontal="left" wrapText="1"/>
      <protection locked="0"/>
    </xf>
    <xf numFmtId="2" fontId="10" fillId="0" borderId="0" xfId="0" applyNumberFormat="1" applyFont="1" applyAlignment="1">
      <alignment horizontal="left" wrapText="1"/>
    </xf>
    <xf numFmtId="4" fontId="9" fillId="0" borderId="0" xfId="0" applyNumberFormat="1" applyFont="1" applyAlignment="1">
      <alignment horizontal="right"/>
    </xf>
    <xf numFmtId="4" fontId="10" fillId="0" borderId="0" xfId="0" applyNumberFormat="1" applyFont="1" applyAlignment="1" applyProtection="1">
      <alignment horizontal="right"/>
      <protection locked="0"/>
    </xf>
    <xf numFmtId="0" fontId="3" fillId="0" borderId="0" xfId="0" applyFont="1" applyAlignment="1">
      <alignment horizontal="right" vertical="center" wrapText="1" readingOrder="2"/>
    </xf>
    <xf numFmtId="2" fontId="3" fillId="0" borderId="0" xfId="2" applyNumberFormat="1" applyFont="1" applyFill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right" vertical="center" wrapText="1" readingOrder="2"/>
    </xf>
    <xf numFmtId="43" fontId="4" fillId="0" borderId="1" xfId="0" applyNumberFormat="1" applyFont="1" applyBorder="1" applyAlignment="1">
      <alignment horizontal="right" vertical="center" readingOrder="1"/>
    </xf>
    <xf numFmtId="4" fontId="3" fillId="0" borderId="0" xfId="0" applyNumberFormat="1" applyFont="1" applyAlignment="1">
      <alignment horizontal="right" vertical="center" readingOrder="2"/>
    </xf>
    <xf numFmtId="164" fontId="3" fillId="0" borderId="0" xfId="0" applyNumberFormat="1" applyFont="1" applyAlignment="1">
      <alignment horizontal="right" vertical="center" readingOrder="2"/>
    </xf>
    <xf numFmtId="2" fontId="3" fillId="0" borderId="0" xfId="0" applyNumberFormat="1" applyFont="1" applyAlignment="1">
      <alignment horizontal="right" vertical="center" readingOrder="2"/>
    </xf>
    <xf numFmtId="2" fontId="3" fillId="0" borderId="0" xfId="0" applyNumberFormat="1" applyFont="1" applyAlignment="1">
      <alignment horizontal="right"/>
    </xf>
    <xf numFmtId="43" fontId="3" fillId="0" borderId="4" xfId="3" applyFont="1" applyFill="1" applyBorder="1" applyAlignment="1">
      <alignment horizontal="right" vertical="center" wrapText="1" readingOrder="2"/>
    </xf>
    <xf numFmtId="2" fontId="3" fillId="0" borderId="4" xfId="3" applyNumberFormat="1" applyFont="1" applyFill="1" applyBorder="1" applyAlignment="1">
      <alignment horizontal="right" vertical="center" wrapText="1" readingOrder="2"/>
    </xf>
    <xf numFmtId="43" fontId="2" fillId="0" borderId="2" xfId="0" applyNumberFormat="1" applyFont="1" applyBorder="1" applyAlignment="1">
      <alignment horizontal="justify" vertical="center" wrapText="1" readingOrder="2"/>
    </xf>
    <xf numFmtId="43" fontId="3" fillId="0" borderId="4" xfId="0" applyNumberFormat="1" applyFont="1" applyBorder="1" applyAlignment="1">
      <alignment horizontal="justify" vertical="center" wrapText="1" readingOrder="2"/>
    </xf>
    <xf numFmtId="43" fontId="3" fillId="0" borderId="6" xfId="0" applyNumberFormat="1" applyFont="1" applyBorder="1" applyAlignment="1">
      <alignment horizontal="justify" vertical="center" wrapText="1" readingOrder="2"/>
    </xf>
    <xf numFmtId="43" fontId="3" fillId="0" borderId="0" xfId="0" applyNumberFormat="1" applyFont="1" applyAlignment="1">
      <alignment horizontal="right" vertical="center" readingOrder="2"/>
    </xf>
    <xf numFmtId="2" fontId="3" fillId="0" borderId="8" xfId="0" applyNumberFormat="1" applyFont="1" applyBorder="1" applyAlignment="1">
      <alignment horizontal="justify" vertical="center" wrapText="1" readingOrder="2"/>
    </xf>
    <xf numFmtId="4" fontId="0" fillId="0" borderId="0" xfId="0" applyNumberFormat="1"/>
    <xf numFmtId="43" fontId="3" fillId="0" borderId="0" xfId="0" applyNumberFormat="1" applyFont="1" applyAlignment="1">
      <alignment horizontal="right" vertical="center"/>
    </xf>
    <xf numFmtId="43" fontId="3" fillId="0" borderId="8" xfId="0" applyNumberFormat="1" applyFont="1" applyBorder="1" applyAlignment="1">
      <alignment horizontal="justify" vertical="center" wrapText="1" readingOrder="2"/>
    </xf>
    <xf numFmtId="43" fontId="3" fillId="0" borderId="4" xfId="0" applyNumberFormat="1" applyFont="1" applyBorder="1" applyAlignment="1">
      <alignment horizontal="justify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2" fontId="3" fillId="0" borderId="8" xfId="0" applyNumberFormat="1" applyFont="1" applyBorder="1" applyAlignment="1">
      <alignment horizontal="justify" vertical="center" wrapText="1" readingOrder="2"/>
    </xf>
    <xf numFmtId="2" fontId="3" fillId="0" borderId="6" xfId="0" applyNumberFormat="1" applyFont="1" applyBorder="1" applyAlignment="1">
      <alignment horizontal="justify" vertical="center" wrapText="1" readingOrder="2"/>
    </xf>
    <xf numFmtId="2" fontId="3" fillId="0" borderId="4" xfId="0" applyNumberFormat="1" applyFont="1" applyBorder="1" applyAlignment="1">
      <alignment horizontal="justify" vertical="center" wrapText="1" readingOrder="2"/>
    </xf>
    <xf numFmtId="0" fontId="3" fillId="0" borderId="8" xfId="0" applyFont="1" applyBorder="1" applyAlignment="1">
      <alignment horizontal="right" vertical="center" wrapText="1" readingOrder="2"/>
    </xf>
    <xf numFmtId="0" fontId="3" fillId="0" borderId="6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</cellXfs>
  <cellStyles count="4">
    <cellStyle name="Comma" xfId="3" builtinId="3"/>
    <cellStyle name="Normal" xfId="0" builtinId="0"/>
    <cellStyle name="Normal 2" xfId="1" xr:uid="{54966482-994A-4C81-9F57-A7CF61072040}"/>
    <cellStyle name="Percent" xfId="2" builtinId="5"/>
  </cellStyles>
  <dxfs count="0"/>
  <tableStyles count="0" defaultTableStyle="TableStyleMedium2" defaultPivotStyle="PivotStyleLight16"/>
  <colors>
    <mruColors>
      <color rgb="FFFFFF99"/>
      <color rgb="FF8BFFBF"/>
      <color rgb="FFFF967D"/>
      <color rgb="FFFF8B8B"/>
      <color rgb="FFFFBE7D"/>
      <color rgb="FFFFB8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9C8F-3CD3-4203-9E15-AD1825924098}">
  <dimension ref="A1:C67"/>
  <sheetViews>
    <sheetView rightToLeft="1" workbookViewId="0">
      <selection activeCell="D1" sqref="D1"/>
    </sheetView>
  </sheetViews>
  <sheetFormatPr defaultColWidth="9" defaultRowHeight="15.75" x14ac:dyDescent="0.2"/>
  <cols>
    <col min="1" max="1" width="81.75" style="2" customWidth="1"/>
    <col min="2" max="2" width="46" style="2" customWidth="1"/>
    <col min="3" max="3" width="9" style="2"/>
    <col min="4" max="4" width="60.625" style="2" customWidth="1"/>
    <col min="5" max="16384" width="9" style="2"/>
  </cols>
  <sheetData>
    <row r="1" spans="1:3" ht="47.25" x14ac:dyDescent="0.2">
      <c r="A1" s="31" t="s">
        <v>99</v>
      </c>
      <c r="B1" s="1" t="s">
        <v>0</v>
      </c>
    </row>
    <row r="2" spans="1:3" x14ac:dyDescent="0.2">
      <c r="A2" s="3"/>
      <c r="B2" s="4"/>
    </row>
    <row r="3" spans="1:3" x14ac:dyDescent="0.2">
      <c r="A3" s="3"/>
      <c r="B3" s="4"/>
    </row>
    <row r="4" spans="1:3" x14ac:dyDescent="0.2">
      <c r="A4" s="3"/>
      <c r="B4" s="4"/>
    </row>
    <row r="5" spans="1:3" x14ac:dyDescent="0.2">
      <c r="A5" s="5" t="s">
        <v>1</v>
      </c>
      <c r="B5" s="17">
        <v>928.2096200000002</v>
      </c>
      <c r="C5" s="48"/>
    </row>
    <row r="6" spans="1:3" x14ac:dyDescent="0.2">
      <c r="A6" s="5" t="s">
        <v>2</v>
      </c>
      <c r="B6" s="17">
        <v>132.57833000000005</v>
      </c>
      <c r="C6" s="48"/>
    </row>
    <row r="7" spans="1:3" x14ac:dyDescent="0.2">
      <c r="A7" s="5" t="s">
        <v>3</v>
      </c>
      <c r="B7" s="17">
        <v>795.63129000000015</v>
      </c>
      <c r="C7" s="48"/>
    </row>
    <row r="8" spans="1:3" x14ac:dyDescent="0.2">
      <c r="A8" s="5"/>
      <c r="B8" s="4"/>
      <c r="C8" s="48"/>
    </row>
    <row r="9" spans="1:3" ht="31.5" x14ac:dyDescent="0.2">
      <c r="A9" s="5" t="s">
        <v>20</v>
      </c>
      <c r="B9" s="17">
        <v>205.18731999999997</v>
      </c>
      <c r="C9" s="48"/>
    </row>
    <row r="10" spans="1:3" x14ac:dyDescent="0.2">
      <c r="A10" s="5" t="s">
        <v>4</v>
      </c>
      <c r="B10" s="17">
        <v>0</v>
      </c>
      <c r="C10" s="48"/>
    </row>
    <row r="11" spans="1:3" x14ac:dyDescent="0.2">
      <c r="A11" s="5" t="s">
        <v>5</v>
      </c>
      <c r="B11" s="17">
        <v>205.18731999999997</v>
      </c>
      <c r="C11" s="48"/>
    </row>
    <row r="12" spans="1:3" x14ac:dyDescent="0.2">
      <c r="A12" s="5"/>
      <c r="B12" s="4"/>
      <c r="C12" s="48"/>
    </row>
    <row r="13" spans="1:3" x14ac:dyDescent="0.2">
      <c r="A13" s="5" t="s">
        <v>6</v>
      </c>
      <c r="B13" s="17">
        <v>229.10877999997396</v>
      </c>
      <c r="C13" s="48"/>
    </row>
    <row r="14" spans="1:3" x14ac:dyDescent="0.2">
      <c r="A14" s="5" t="s">
        <v>68</v>
      </c>
      <c r="B14" s="17">
        <v>30.311779999973925</v>
      </c>
      <c r="C14" s="48"/>
    </row>
    <row r="15" spans="1:3" x14ac:dyDescent="0.2">
      <c r="A15" s="5" t="s">
        <v>7</v>
      </c>
      <c r="B15" s="17">
        <v>198.79700000000003</v>
      </c>
      <c r="C15" s="48"/>
    </row>
    <row r="16" spans="1:3" x14ac:dyDescent="0.2">
      <c r="A16" s="5"/>
      <c r="B16" s="4"/>
      <c r="C16" s="48"/>
    </row>
    <row r="17" spans="1:3" x14ac:dyDescent="0.2">
      <c r="A17" s="5" t="s">
        <v>8</v>
      </c>
      <c r="B17" s="18">
        <v>2227.23</v>
      </c>
      <c r="C17" s="48"/>
    </row>
    <row r="18" spans="1:3" x14ac:dyDescent="0.2">
      <c r="A18" s="5"/>
      <c r="B18" s="4"/>
      <c r="C18" s="48"/>
    </row>
    <row r="19" spans="1:3" x14ac:dyDescent="0.2">
      <c r="A19" s="5" t="s">
        <v>81</v>
      </c>
      <c r="B19" s="17">
        <v>0</v>
      </c>
      <c r="C19" s="48"/>
    </row>
    <row r="20" spans="1:3" x14ac:dyDescent="0.2">
      <c r="A20" s="5"/>
      <c r="B20" s="4"/>
      <c r="C20" s="48"/>
    </row>
    <row r="21" spans="1:3" x14ac:dyDescent="0.2">
      <c r="A21" s="5" t="s">
        <v>82</v>
      </c>
      <c r="B21" s="17">
        <v>0</v>
      </c>
      <c r="C21" s="48"/>
    </row>
    <row r="22" spans="1:3" x14ac:dyDescent="0.2">
      <c r="A22" s="5"/>
      <c r="B22" s="4"/>
      <c r="C22" s="48"/>
    </row>
    <row r="23" spans="1:3" x14ac:dyDescent="0.2">
      <c r="A23" s="5" t="s">
        <v>85</v>
      </c>
      <c r="B23" s="17">
        <v>3589.7357199999742</v>
      </c>
      <c r="C23" s="48"/>
    </row>
    <row r="24" spans="1:3" x14ac:dyDescent="0.2">
      <c r="A24" s="5"/>
      <c r="B24" s="4"/>
      <c r="C24" s="48"/>
    </row>
    <row r="25" spans="1:3" x14ac:dyDescent="0.2">
      <c r="A25" s="5" t="s">
        <v>86</v>
      </c>
      <c r="B25" s="24">
        <v>4128087.5</v>
      </c>
      <c r="C25" s="48"/>
    </row>
    <row r="26" spans="1:3" x14ac:dyDescent="0.2">
      <c r="A26" s="5" t="s">
        <v>170</v>
      </c>
      <c r="B26" s="24">
        <v>4352290</v>
      </c>
      <c r="C26" s="48"/>
    </row>
    <row r="27" spans="1:3" x14ac:dyDescent="0.2">
      <c r="A27" s="5" t="s">
        <v>171</v>
      </c>
      <c r="B27" s="24">
        <v>3903885</v>
      </c>
      <c r="C27" s="48"/>
    </row>
    <row r="28" spans="1:3" x14ac:dyDescent="0.2">
      <c r="A28" s="5"/>
      <c r="B28" s="4"/>
      <c r="C28" s="48"/>
    </row>
    <row r="29" spans="1:3" x14ac:dyDescent="0.2">
      <c r="A29" s="5" t="s">
        <v>87</v>
      </c>
      <c r="B29" s="19">
        <v>8.6958808891526018E-2</v>
      </c>
      <c r="C29" s="48"/>
    </row>
    <row r="30" spans="1:3" x14ac:dyDescent="0.2">
      <c r="A30" s="5"/>
      <c r="B30" s="4"/>
      <c r="C30" s="48"/>
    </row>
    <row r="31" spans="1:3" x14ac:dyDescent="0.2">
      <c r="A31" s="34" t="s">
        <v>9</v>
      </c>
      <c r="B31" s="4"/>
      <c r="C31" s="48"/>
    </row>
    <row r="32" spans="1:3" x14ac:dyDescent="0.2">
      <c r="A32" s="34"/>
      <c r="B32" s="4"/>
      <c r="C32" s="48"/>
    </row>
    <row r="33" spans="1:3" x14ac:dyDescent="0.2">
      <c r="A33" s="5" t="s">
        <v>83</v>
      </c>
      <c r="B33" s="4">
        <v>115.18</v>
      </c>
      <c r="C33" s="48"/>
    </row>
    <row r="34" spans="1:3" x14ac:dyDescent="0.2">
      <c r="A34" s="5"/>
      <c r="B34" s="4"/>
      <c r="C34" s="48"/>
    </row>
    <row r="35" spans="1:3" x14ac:dyDescent="0.2">
      <c r="A35" s="5" t="s">
        <v>84</v>
      </c>
      <c r="B35" s="17">
        <v>6864.0310733358883</v>
      </c>
      <c r="C35" s="48"/>
    </row>
    <row r="36" spans="1:3" x14ac:dyDescent="0.2">
      <c r="A36" s="5" t="s">
        <v>10</v>
      </c>
      <c r="B36" s="17">
        <v>1608.6592779999999</v>
      </c>
      <c r="C36" s="48"/>
    </row>
    <row r="37" spans="1:3" x14ac:dyDescent="0.2">
      <c r="A37" s="5" t="s">
        <v>11</v>
      </c>
      <c r="B37" s="17">
        <v>3516.8222192000003</v>
      </c>
      <c r="C37" s="48"/>
    </row>
    <row r="38" spans="1:3" x14ac:dyDescent="0.2">
      <c r="A38" s="5" t="s">
        <v>12</v>
      </c>
      <c r="B38" s="17">
        <v>0</v>
      </c>
      <c r="C38" s="48"/>
    </row>
    <row r="39" spans="1:3" x14ac:dyDescent="0.2">
      <c r="A39" s="5" t="s">
        <v>13</v>
      </c>
      <c r="B39" s="17">
        <v>0</v>
      </c>
      <c r="C39" s="48"/>
    </row>
    <row r="40" spans="1:3" ht="31.5" x14ac:dyDescent="0.2">
      <c r="A40" s="5" t="s">
        <v>14</v>
      </c>
      <c r="B40" s="18">
        <v>24.153000000000002</v>
      </c>
      <c r="C40" s="48"/>
    </row>
    <row r="41" spans="1:3" ht="31.5" x14ac:dyDescent="0.2">
      <c r="A41" s="5" t="s">
        <v>15</v>
      </c>
      <c r="B41" s="18">
        <v>1031.8639999999998</v>
      </c>
      <c r="C41" s="48"/>
    </row>
    <row r="42" spans="1:3" ht="31.5" x14ac:dyDescent="0.2">
      <c r="A42" s="5" t="s">
        <v>16</v>
      </c>
      <c r="B42" s="18">
        <v>0</v>
      </c>
      <c r="C42" s="48"/>
    </row>
    <row r="43" spans="1:3" ht="31.5" x14ac:dyDescent="0.2">
      <c r="A43" s="5" t="s">
        <v>17</v>
      </c>
      <c r="B43" s="18">
        <v>682.53257613588801</v>
      </c>
      <c r="C43" s="48"/>
    </row>
    <row r="44" spans="1:3" x14ac:dyDescent="0.2">
      <c r="A44" s="5" t="s">
        <v>18</v>
      </c>
      <c r="B44" s="18">
        <v>0</v>
      </c>
      <c r="C44" s="48"/>
    </row>
    <row r="45" spans="1:3" x14ac:dyDescent="0.2">
      <c r="A45" s="5"/>
      <c r="B45" s="4"/>
      <c r="C45" s="48"/>
    </row>
    <row r="46" spans="1:3" x14ac:dyDescent="0.2">
      <c r="A46" s="5" t="s">
        <v>88</v>
      </c>
      <c r="B46" s="19">
        <v>0.17582564735733475</v>
      </c>
      <c r="C46" s="48"/>
    </row>
    <row r="47" spans="1:3" x14ac:dyDescent="0.2">
      <c r="A47" s="5"/>
      <c r="B47" s="4"/>
      <c r="C47" s="48"/>
    </row>
    <row r="48" spans="1:3" x14ac:dyDescent="0.2">
      <c r="A48" s="5" t="s">
        <v>89</v>
      </c>
      <c r="B48" s="4" t="s">
        <v>175</v>
      </c>
      <c r="C48" s="48"/>
    </row>
    <row r="49" spans="1:3" x14ac:dyDescent="0.2">
      <c r="A49" s="5"/>
      <c r="B49" s="4"/>
      <c r="C49" s="48"/>
    </row>
    <row r="50" spans="1:3" ht="31.5" x14ac:dyDescent="0.2">
      <c r="A50" s="5" t="s">
        <v>90</v>
      </c>
      <c r="B50" s="18" t="s">
        <v>175</v>
      </c>
      <c r="C50" s="48"/>
    </row>
    <row r="51" spans="1:3" x14ac:dyDescent="0.2">
      <c r="A51" s="5"/>
      <c r="B51" s="18"/>
      <c r="C51" s="48"/>
    </row>
    <row r="52" spans="1:3" x14ac:dyDescent="0.2">
      <c r="A52" s="5" t="s">
        <v>91</v>
      </c>
      <c r="B52" s="17">
        <v>0</v>
      </c>
      <c r="C52" s="48"/>
    </row>
    <row r="53" spans="1:3" ht="31.5" x14ac:dyDescent="0.2">
      <c r="A53" s="5" t="s">
        <v>92</v>
      </c>
      <c r="B53" s="35">
        <v>0.17582564735733475</v>
      </c>
      <c r="C53" s="48"/>
    </row>
    <row r="54" spans="1:3" x14ac:dyDescent="0.2">
      <c r="A54" s="5"/>
      <c r="B54" s="4"/>
      <c r="C54" s="48"/>
    </row>
    <row r="55" spans="1:3" x14ac:dyDescent="0.2">
      <c r="A55" s="5" t="s">
        <v>93</v>
      </c>
      <c r="B55" s="17"/>
      <c r="C55" s="48"/>
    </row>
    <row r="56" spans="1:3" x14ac:dyDescent="0.2">
      <c r="A56" s="5"/>
      <c r="B56" s="17"/>
      <c r="C56" s="48"/>
    </row>
    <row r="57" spans="1:3" x14ac:dyDescent="0.2">
      <c r="A57" s="5" t="s">
        <v>169</v>
      </c>
      <c r="B57" s="17">
        <v>10453.766793335863</v>
      </c>
      <c r="C57" s="48"/>
    </row>
    <row r="58" spans="1:3" x14ac:dyDescent="0.2">
      <c r="A58" s="5" t="s">
        <v>94</v>
      </c>
      <c r="B58" s="25">
        <v>0.25323510689479967</v>
      </c>
      <c r="C58" s="48"/>
    </row>
    <row r="59" spans="1:3" x14ac:dyDescent="0.2">
      <c r="A59" s="5"/>
      <c r="B59" s="4"/>
      <c r="C59" s="48"/>
    </row>
    <row r="60" spans="1:3" x14ac:dyDescent="0.2">
      <c r="A60" s="5" t="s">
        <v>19</v>
      </c>
      <c r="B60" s="4"/>
      <c r="C60" s="48"/>
    </row>
    <row r="61" spans="1:3" ht="31.5" x14ac:dyDescent="0.2">
      <c r="A61" s="5" t="s">
        <v>173</v>
      </c>
      <c r="B61" s="4" t="s">
        <v>175</v>
      </c>
      <c r="C61" s="48"/>
    </row>
    <row r="62" spans="1:3" x14ac:dyDescent="0.2">
      <c r="A62" s="5" t="s">
        <v>95</v>
      </c>
      <c r="B62" s="18" t="s">
        <v>175</v>
      </c>
      <c r="C62" s="48"/>
    </row>
    <row r="63" spans="1:3" x14ac:dyDescent="0.2">
      <c r="A63" s="3"/>
      <c r="B63" s="3"/>
      <c r="C63" s="48"/>
    </row>
    <row r="66" spans="2:2" x14ac:dyDescent="0.2">
      <c r="B66" s="32"/>
    </row>
    <row r="67" spans="2:2" x14ac:dyDescent="0.2">
      <c r="B67" s="3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9C56A-E5EC-46DE-AF46-B59FD34CF5CE}">
  <dimension ref="A1:C67"/>
  <sheetViews>
    <sheetView rightToLeft="1" tabSelected="1" workbookViewId="0">
      <selection activeCell="D4" sqref="D4"/>
    </sheetView>
  </sheetViews>
  <sheetFormatPr defaultRowHeight="15.75" x14ac:dyDescent="0.2"/>
  <cols>
    <col min="1" max="2" width="46" style="2" customWidth="1"/>
  </cols>
  <sheetData>
    <row r="1" spans="1:3" ht="63" x14ac:dyDescent="0.2">
      <c r="A1" s="31" t="s">
        <v>174</v>
      </c>
      <c r="B1" s="1" t="s">
        <v>0</v>
      </c>
    </row>
    <row r="2" spans="1:3" x14ac:dyDescent="0.2">
      <c r="A2" s="3"/>
      <c r="B2" s="4"/>
    </row>
    <row r="3" spans="1:3" x14ac:dyDescent="0.2">
      <c r="A3" s="3"/>
      <c r="B3" s="4"/>
    </row>
    <row r="4" spans="1:3" x14ac:dyDescent="0.2">
      <c r="A4" s="3"/>
      <c r="B4" s="4"/>
    </row>
    <row r="5" spans="1:3" x14ac:dyDescent="0.2">
      <c r="A5" s="5" t="s">
        <v>1</v>
      </c>
      <c r="B5" s="17">
        <f>+B6+B7</f>
        <v>4.3579999999999997</v>
      </c>
      <c r="C5" s="47"/>
    </row>
    <row r="6" spans="1:3" ht="31.5" x14ac:dyDescent="0.2">
      <c r="A6" s="5" t="s">
        <v>2</v>
      </c>
      <c r="B6" s="17">
        <v>8.3999999999999964E-2</v>
      </c>
      <c r="C6" s="47"/>
    </row>
    <row r="7" spans="1:3" ht="31.5" x14ac:dyDescent="0.2">
      <c r="A7" s="5" t="s">
        <v>3</v>
      </c>
      <c r="B7" s="17">
        <v>4.274</v>
      </c>
      <c r="C7" s="47"/>
    </row>
    <row r="8" spans="1:3" x14ac:dyDescent="0.2">
      <c r="A8" s="5"/>
      <c r="B8" s="4"/>
      <c r="C8" s="47"/>
    </row>
    <row r="9" spans="1:3" ht="31.5" x14ac:dyDescent="0.2">
      <c r="A9" s="5" t="s">
        <v>20</v>
      </c>
      <c r="B9" s="17">
        <f>+B10+B11</f>
        <v>0.44600000000000001</v>
      </c>
      <c r="C9" s="47"/>
    </row>
    <row r="10" spans="1:3" x14ac:dyDescent="0.2">
      <c r="A10" s="5" t="s">
        <v>4</v>
      </c>
      <c r="B10" s="17">
        <v>0</v>
      </c>
      <c r="C10" s="47"/>
    </row>
    <row r="11" spans="1:3" x14ac:dyDescent="0.2">
      <c r="A11" s="5" t="s">
        <v>5</v>
      </c>
      <c r="B11" s="17">
        <v>0.44600000000000001</v>
      </c>
      <c r="C11" s="47"/>
    </row>
    <row r="12" spans="1:3" x14ac:dyDescent="0.2">
      <c r="A12" s="5"/>
      <c r="B12" s="4"/>
      <c r="C12" s="47"/>
    </row>
    <row r="13" spans="1:3" x14ac:dyDescent="0.2">
      <c r="A13" s="5" t="s">
        <v>6</v>
      </c>
      <c r="B13" s="4"/>
      <c r="C13" s="47"/>
    </row>
    <row r="14" spans="1:3" ht="31.5" x14ac:dyDescent="0.2">
      <c r="A14" s="5" t="s">
        <v>96</v>
      </c>
      <c r="B14" s="17">
        <f>H17</f>
        <v>0</v>
      </c>
      <c r="C14" s="47"/>
    </row>
    <row r="15" spans="1:3" x14ac:dyDescent="0.2">
      <c r="A15" s="5" t="s">
        <v>7</v>
      </c>
      <c r="B15" s="17">
        <v>0</v>
      </c>
      <c r="C15" s="47"/>
    </row>
    <row r="16" spans="1:3" x14ac:dyDescent="0.2">
      <c r="A16" s="5"/>
      <c r="B16" s="4"/>
      <c r="C16" s="47"/>
    </row>
    <row r="17" spans="1:3" ht="31.5" x14ac:dyDescent="0.2">
      <c r="A17" s="5" t="s">
        <v>8</v>
      </c>
      <c r="B17" s="18">
        <v>0</v>
      </c>
      <c r="C17" s="47"/>
    </row>
    <row r="18" spans="1:3" x14ac:dyDescent="0.2">
      <c r="A18" s="5"/>
      <c r="B18" s="4"/>
      <c r="C18" s="47"/>
    </row>
    <row r="19" spans="1:3" x14ac:dyDescent="0.2">
      <c r="A19" s="5" t="s">
        <v>81</v>
      </c>
      <c r="B19" s="17">
        <f>H29</f>
        <v>0</v>
      </c>
      <c r="C19" s="47"/>
    </row>
    <row r="20" spans="1:3" x14ac:dyDescent="0.2">
      <c r="A20" s="5"/>
      <c r="B20" s="4"/>
      <c r="C20" s="47"/>
    </row>
    <row r="21" spans="1:3" x14ac:dyDescent="0.2">
      <c r="A21" s="5" t="s">
        <v>82</v>
      </c>
      <c r="B21" s="17">
        <f>H30</f>
        <v>0</v>
      </c>
      <c r="C21" s="47"/>
    </row>
    <row r="22" spans="1:3" x14ac:dyDescent="0.2">
      <c r="A22" s="5"/>
      <c r="B22" s="4"/>
      <c r="C22" s="47"/>
    </row>
    <row r="23" spans="1:3" ht="31.5" x14ac:dyDescent="0.2">
      <c r="A23" s="5" t="s">
        <v>85</v>
      </c>
      <c r="B23" s="17">
        <f>+B21+B19+B17+B13+B9+B5</f>
        <v>4.8039999999999994</v>
      </c>
      <c r="C23" s="47"/>
    </row>
    <row r="24" spans="1:3" x14ac:dyDescent="0.2">
      <c r="A24" s="5"/>
      <c r="B24" s="4"/>
      <c r="C24" s="47"/>
    </row>
    <row r="25" spans="1:3" ht="31.5" x14ac:dyDescent="0.2">
      <c r="A25" s="5" t="s">
        <v>86</v>
      </c>
      <c r="B25" s="24">
        <f>+(B27+B26)/2</f>
        <v>20714.5</v>
      </c>
      <c r="C25" s="47"/>
    </row>
    <row r="26" spans="1:3" ht="31.5" x14ac:dyDescent="0.2">
      <c r="A26" s="5" t="s">
        <v>170</v>
      </c>
      <c r="B26" s="24">
        <v>24869</v>
      </c>
      <c r="C26" s="47"/>
    </row>
    <row r="27" spans="1:3" ht="31.5" x14ac:dyDescent="0.2">
      <c r="A27" s="5" t="s">
        <v>171</v>
      </c>
      <c r="B27" s="24">
        <v>16560</v>
      </c>
      <c r="C27" s="47"/>
    </row>
    <row r="28" spans="1:3" x14ac:dyDescent="0.2">
      <c r="A28" s="5"/>
      <c r="B28" s="4"/>
      <c r="C28" s="47"/>
    </row>
    <row r="29" spans="1:3" ht="31.5" x14ac:dyDescent="0.2">
      <c r="A29" s="5" t="s">
        <v>87</v>
      </c>
      <c r="B29" s="19">
        <f>(B23/B25)*100</f>
        <v>2.3191484226025245E-2</v>
      </c>
      <c r="C29" s="47"/>
    </row>
    <row r="30" spans="1:3" x14ac:dyDescent="0.2">
      <c r="A30" s="5"/>
      <c r="B30" s="4"/>
      <c r="C30" s="47"/>
    </row>
    <row r="31" spans="1:3" x14ac:dyDescent="0.2">
      <c r="A31" s="34" t="s">
        <v>9</v>
      </c>
      <c r="B31" s="4"/>
      <c r="C31" s="47"/>
    </row>
    <row r="32" spans="1:3" x14ac:dyDescent="0.2">
      <c r="A32" s="5"/>
      <c r="B32" s="4"/>
      <c r="C32" s="47"/>
    </row>
    <row r="33" spans="1:3" ht="31.5" x14ac:dyDescent="0.2">
      <c r="A33" s="5" t="s">
        <v>83</v>
      </c>
      <c r="B33" s="4"/>
      <c r="C33" s="47"/>
    </row>
    <row r="34" spans="1:3" x14ac:dyDescent="0.2">
      <c r="A34" s="5"/>
      <c r="B34" s="4"/>
      <c r="C34" s="47"/>
    </row>
    <row r="35" spans="1:3" ht="31.5" x14ac:dyDescent="0.2">
      <c r="A35" s="5" t="s">
        <v>84</v>
      </c>
      <c r="B35" s="17">
        <f>+B36+B37+B38+B39+B40+B41+B42+B43+B44</f>
        <v>2.84</v>
      </c>
      <c r="C35" s="47"/>
    </row>
    <row r="36" spans="1:3" x14ac:dyDescent="0.2">
      <c r="A36" s="5" t="s">
        <v>10</v>
      </c>
      <c r="B36" s="17">
        <v>0</v>
      </c>
      <c r="C36" s="47"/>
    </row>
    <row r="37" spans="1:3" x14ac:dyDescent="0.2">
      <c r="A37" s="5" t="s">
        <v>11</v>
      </c>
      <c r="B37" s="17">
        <v>0</v>
      </c>
      <c r="C37" s="47"/>
    </row>
    <row r="38" spans="1:3" x14ac:dyDescent="0.2">
      <c r="A38" s="5" t="s">
        <v>12</v>
      </c>
      <c r="B38" s="17">
        <f>H22</f>
        <v>0</v>
      </c>
      <c r="C38" s="47"/>
    </row>
    <row r="39" spans="1:3" x14ac:dyDescent="0.2">
      <c r="A39" s="5" t="s">
        <v>13</v>
      </c>
      <c r="B39" s="17">
        <v>0</v>
      </c>
      <c r="C39" s="47"/>
    </row>
    <row r="40" spans="1:3" ht="47.25" x14ac:dyDescent="0.2">
      <c r="A40" s="5" t="s">
        <v>14</v>
      </c>
      <c r="B40" s="18">
        <v>0</v>
      </c>
      <c r="C40" s="47"/>
    </row>
    <row r="41" spans="1:3" ht="47.25" x14ac:dyDescent="0.2">
      <c r="A41" s="5" t="s">
        <v>15</v>
      </c>
      <c r="B41" s="18">
        <v>2.84</v>
      </c>
      <c r="C41" s="47"/>
    </row>
    <row r="42" spans="1:3" ht="47.25" x14ac:dyDescent="0.2">
      <c r="A42" s="5" t="s">
        <v>16</v>
      </c>
      <c r="B42" s="18">
        <v>0</v>
      </c>
      <c r="C42" s="47"/>
    </row>
    <row r="43" spans="1:3" ht="47.25" x14ac:dyDescent="0.2">
      <c r="A43" s="5" t="s">
        <v>17</v>
      </c>
      <c r="B43" s="18">
        <v>0</v>
      </c>
      <c r="C43" s="47"/>
    </row>
    <row r="44" spans="1:3" x14ac:dyDescent="0.2">
      <c r="A44" s="5" t="s">
        <v>18</v>
      </c>
      <c r="B44" s="18">
        <v>0</v>
      </c>
      <c r="C44" s="47"/>
    </row>
    <row r="45" spans="1:3" x14ac:dyDescent="0.2">
      <c r="A45" s="5"/>
      <c r="B45" s="4"/>
      <c r="C45" s="47"/>
    </row>
    <row r="46" spans="1:3" ht="31.5" x14ac:dyDescent="0.2">
      <c r="A46" s="5" t="s">
        <v>88</v>
      </c>
      <c r="B46" s="19">
        <f>(B35/B27)*100</f>
        <v>1.7149758454106281E-2</v>
      </c>
      <c r="C46" s="47"/>
    </row>
    <row r="47" spans="1:3" x14ac:dyDescent="0.2">
      <c r="A47" s="5"/>
      <c r="B47" s="4"/>
      <c r="C47" s="47"/>
    </row>
    <row r="48" spans="1:3" ht="31.5" x14ac:dyDescent="0.2">
      <c r="A48" s="5" t="s">
        <v>89</v>
      </c>
      <c r="B48" s="4">
        <v>0.15</v>
      </c>
      <c r="C48" s="47"/>
    </row>
    <row r="49" spans="1:3" x14ac:dyDescent="0.2">
      <c r="A49" s="5"/>
      <c r="B49" s="4"/>
      <c r="C49" s="47"/>
    </row>
    <row r="50" spans="1:3" ht="47.25" x14ac:dyDescent="0.2">
      <c r="A50" s="5" t="s">
        <v>90</v>
      </c>
      <c r="B50" s="18">
        <f>B48-B46</f>
        <v>0.1328502415458937</v>
      </c>
      <c r="C50" s="47"/>
    </row>
    <row r="51" spans="1:3" x14ac:dyDescent="0.2">
      <c r="A51" s="5"/>
      <c r="B51" s="18"/>
      <c r="C51" s="47"/>
    </row>
    <row r="52" spans="1:3" x14ac:dyDescent="0.2">
      <c r="A52" s="6" t="s">
        <v>91</v>
      </c>
      <c r="B52" s="18">
        <v>0</v>
      </c>
      <c r="C52" s="47"/>
    </row>
    <row r="53" spans="1:3" ht="31.5" x14ac:dyDescent="0.2">
      <c r="A53" s="5" t="s">
        <v>92</v>
      </c>
      <c r="B53" s="35">
        <f>(B35-B52)/B27*100</f>
        <v>1.7149758454106281E-2</v>
      </c>
      <c r="C53" s="47"/>
    </row>
    <row r="54" spans="1:3" x14ac:dyDescent="0.2">
      <c r="A54" s="5"/>
      <c r="B54" s="4"/>
      <c r="C54" s="47"/>
    </row>
    <row r="55" spans="1:3" ht="31.5" x14ac:dyDescent="0.2">
      <c r="A55" s="5" t="s">
        <v>93</v>
      </c>
      <c r="B55" s="17"/>
      <c r="C55" s="47"/>
    </row>
    <row r="56" spans="1:3" x14ac:dyDescent="0.2">
      <c r="A56" s="5"/>
      <c r="B56" s="17"/>
      <c r="C56" s="47"/>
    </row>
    <row r="57" spans="1:3" ht="31.5" x14ac:dyDescent="0.2">
      <c r="A57" s="5" t="s">
        <v>169</v>
      </c>
      <c r="B57" s="17">
        <f>+B35+B23-B52</f>
        <v>7.6439999999999992</v>
      </c>
      <c r="C57" s="47"/>
    </row>
    <row r="58" spans="1:3" ht="31.5" x14ac:dyDescent="0.2">
      <c r="A58" s="5" t="s">
        <v>94</v>
      </c>
      <c r="B58" s="17">
        <f>(B57/B25)*100</f>
        <v>3.690168722392527E-2</v>
      </c>
      <c r="C58" s="47"/>
    </row>
    <row r="59" spans="1:3" x14ac:dyDescent="0.2">
      <c r="A59" s="5"/>
      <c r="B59" s="4"/>
      <c r="C59" s="47"/>
    </row>
    <row r="60" spans="1:3" ht="31.5" x14ac:dyDescent="0.2">
      <c r="A60" s="5" t="s">
        <v>19</v>
      </c>
      <c r="B60" s="4"/>
      <c r="C60" s="47"/>
    </row>
    <row r="61" spans="1:3" ht="47.25" x14ac:dyDescent="0.2">
      <c r="A61" s="5" t="s">
        <v>173</v>
      </c>
      <c r="B61" s="4">
        <v>0.03</v>
      </c>
      <c r="C61" s="47"/>
    </row>
    <row r="62" spans="1:3" x14ac:dyDescent="0.2">
      <c r="A62" s="5" t="s">
        <v>95</v>
      </c>
      <c r="B62" s="18">
        <f>+B61+B29</f>
        <v>5.3191484226025244E-2</v>
      </c>
      <c r="C62" s="47"/>
    </row>
    <row r="63" spans="1:3" x14ac:dyDescent="0.2">
      <c r="A63" s="3"/>
      <c r="B63" s="3"/>
      <c r="C63" s="47"/>
    </row>
    <row r="67" spans="2:2" x14ac:dyDescent="0.2">
      <c r="B67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B9E8-E53E-4A7E-AFA6-9C5C77BF29A8}">
  <dimension ref="A1:C54"/>
  <sheetViews>
    <sheetView rightToLeft="1" topLeftCell="A19" workbookViewId="0">
      <selection activeCell="B54" sqref="B54"/>
    </sheetView>
  </sheetViews>
  <sheetFormatPr defaultColWidth="9" defaultRowHeight="15.75" x14ac:dyDescent="0.25"/>
  <cols>
    <col min="1" max="1" width="29.375" style="9" customWidth="1"/>
    <col min="2" max="2" width="52" style="9" customWidth="1"/>
    <col min="3" max="16384" width="9" style="9"/>
  </cols>
  <sheetData>
    <row r="1" spans="1:2" ht="71.25" customHeight="1" thickBot="1" x14ac:dyDescent="0.3">
      <c r="A1" s="7" t="s">
        <v>74</v>
      </c>
      <c r="B1" s="8" t="s">
        <v>0</v>
      </c>
    </row>
    <row r="2" spans="1:2" ht="48" thickBot="1" x14ac:dyDescent="0.3">
      <c r="A2" s="10" t="s">
        <v>21</v>
      </c>
      <c r="B2" s="11"/>
    </row>
    <row r="3" spans="1:2" ht="16.5" thickBot="1" x14ac:dyDescent="0.3">
      <c r="A3" s="10" t="s">
        <v>22</v>
      </c>
      <c r="B3" s="11"/>
    </row>
    <row r="4" spans="1:2" ht="16.5" thickBot="1" x14ac:dyDescent="0.3">
      <c r="A4" s="12" t="s">
        <v>103</v>
      </c>
      <c r="B4" s="40">
        <v>132.58000000000001</v>
      </c>
    </row>
    <row r="5" spans="1:2" ht="16.5" thickBot="1" x14ac:dyDescent="0.3">
      <c r="A5" s="10" t="s">
        <v>76</v>
      </c>
      <c r="B5" s="40"/>
    </row>
    <row r="6" spans="1:2" ht="15" customHeight="1" thickBot="1" x14ac:dyDescent="0.3">
      <c r="A6" s="11" t="s">
        <v>105</v>
      </c>
      <c r="B6" s="40">
        <v>40.188209999999998</v>
      </c>
    </row>
    <row r="7" spans="1:2" ht="15" customHeight="1" thickBot="1" x14ac:dyDescent="0.3">
      <c r="A7" s="11" t="s">
        <v>106</v>
      </c>
      <c r="B7" s="40">
        <v>45.241109999999999</v>
      </c>
    </row>
    <row r="8" spans="1:2" ht="15" customHeight="1" thickBot="1" x14ac:dyDescent="0.3">
      <c r="A8" s="11" t="s">
        <v>107</v>
      </c>
      <c r="B8" s="40">
        <v>172.31089</v>
      </c>
    </row>
    <row r="9" spans="1:2" ht="15" customHeight="1" thickBot="1" x14ac:dyDescent="0.3">
      <c r="A9" s="11" t="s">
        <v>108</v>
      </c>
      <c r="B9" s="40">
        <v>11.57488</v>
      </c>
    </row>
    <row r="10" spans="1:2" ht="15" customHeight="1" thickBot="1" x14ac:dyDescent="0.3">
      <c r="A10" s="11" t="s">
        <v>109</v>
      </c>
      <c r="B10" s="40">
        <v>46.307940000000002</v>
      </c>
    </row>
    <row r="11" spans="1:2" ht="16.5" thickBot="1" x14ac:dyDescent="0.3">
      <c r="A11" s="11" t="s">
        <v>110</v>
      </c>
      <c r="B11" s="40">
        <v>52.566900000000004</v>
      </c>
    </row>
    <row r="12" spans="1:2" ht="16.5" thickBot="1" x14ac:dyDescent="0.3">
      <c r="A12" s="11" t="s">
        <v>111</v>
      </c>
      <c r="B12" s="40">
        <v>49.715360000000004</v>
      </c>
    </row>
    <row r="13" spans="1:2" ht="16.5" thickBot="1" x14ac:dyDescent="0.3">
      <c r="A13" s="11" t="s">
        <v>112</v>
      </c>
      <c r="B13" s="40">
        <v>18.209999999999997</v>
      </c>
    </row>
    <row r="14" spans="1:2" ht="15.75" customHeight="1" thickBot="1" x14ac:dyDescent="0.3">
      <c r="A14" s="11" t="s">
        <v>113</v>
      </c>
      <c r="B14" s="40">
        <v>359.51600000000002</v>
      </c>
    </row>
    <row r="15" spans="1:2" ht="16.5" thickBot="1" x14ac:dyDescent="0.3">
      <c r="A15" s="10" t="s">
        <v>24</v>
      </c>
      <c r="B15" s="40">
        <f>SUM(B4:B14)</f>
        <v>928.21129000000019</v>
      </c>
    </row>
    <row r="16" spans="1:2" ht="16.5" thickBot="1" x14ac:dyDescent="0.3">
      <c r="A16" s="14"/>
      <c r="B16" s="40"/>
    </row>
    <row r="17" spans="1:2" ht="16.5" thickBot="1" x14ac:dyDescent="0.3">
      <c r="A17" s="10" t="s">
        <v>25</v>
      </c>
      <c r="B17" s="40"/>
    </row>
    <row r="18" spans="1:2" ht="16.5" thickBot="1" x14ac:dyDescent="0.3">
      <c r="A18" s="10" t="s">
        <v>22</v>
      </c>
      <c r="B18" s="40"/>
    </row>
    <row r="19" spans="1:2" ht="16.5" thickBot="1" x14ac:dyDescent="0.3">
      <c r="A19" s="12" t="s">
        <v>39</v>
      </c>
      <c r="B19" s="41">
        <v>0</v>
      </c>
    </row>
    <row r="20" spans="1:2" ht="16.5" thickBot="1" x14ac:dyDescent="0.3">
      <c r="A20" s="12" t="s">
        <v>40</v>
      </c>
      <c r="B20" s="41">
        <v>0</v>
      </c>
    </row>
    <row r="21" spans="1:2" ht="16.5" thickBot="1" x14ac:dyDescent="0.3">
      <c r="A21" s="12" t="s">
        <v>38</v>
      </c>
      <c r="B21" s="41">
        <v>0</v>
      </c>
    </row>
    <row r="22" spans="1:2" ht="16.5" thickBot="1" x14ac:dyDescent="0.3">
      <c r="A22" s="10" t="s">
        <v>23</v>
      </c>
      <c r="B22" s="40"/>
    </row>
    <row r="23" spans="1:2" ht="16.5" thickBot="1" x14ac:dyDescent="0.3">
      <c r="A23" s="12" t="s">
        <v>70</v>
      </c>
      <c r="B23" s="40">
        <v>205.19</v>
      </c>
    </row>
    <row r="24" spans="1:2" ht="15" customHeight="1" thickBot="1" x14ac:dyDescent="0.3">
      <c r="A24" s="15"/>
      <c r="B24" s="40"/>
    </row>
    <row r="25" spans="1:2" ht="16.5" thickBot="1" x14ac:dyDescent="0.3">
      <c r="A25" s="10" t="s">
        <v>26</v>
      </c>
      <c r="B25" s="40">
        <f>SUM(B19:B24)</f>
        <v>205.19</v>
      </c>
    </row>
    <row r="26" spans="1:2" ht="16.5" thickBot="1" x14ac:dyDescent="0.3">
      <c r="A26" s="12"/>
      <c r="B26" s="40"/>
    </row>
    <row r="27" spans="1:2" ht="48" thickBot="1" x14ac:dyDescent="0.3">
      <c r="A27" s="10" t="s">
        <v>27</v>
      </c>
      <c r="B27" s="40"/>
    </row>
    <row r="28" spans="1:2" ht="16.5" thickBot="1" x14ac:dyDescent="0.3">
      <c r="A28" s="12" t="s">
        <v>104</v>
      </c>
      <c r="B28" s="41">
        <v>30.31</v>
      </c>
    </row>
    <row r="29" spans="1:2" ht="48" thickBot="1" x14ac:dyDescent="0.3">
      <c r="A29" s="10" t="s">
        <v>28</v>
      </c>
      <c r="B29" s="40">
        <f>SUM(B28:B28)</f>
        <v>30.31</v>
      </c>
    </row>
    <row r="30" spans="1:2" ht="16.5" thickBot="1" x14ac:dyDescent="0.3">
      <c r="A30" s="10"/>
      <c r="B30" s="40"/>
    </row>
    <row r="31" spans="1:2" ht="32.25" thickBot="1" x14ac:dyDescent="0.3">
      <c r="A31" s="10" t="s">
        <v>29</v>
      </c>
      <c r="B31" s="40"/>
    </row>
    <row r="32" spans="1:2" ht="16.5" thickBot="1" x14ac:dyDescent="0.3">
      <c r="A32" s="12" t="s">
        <v>104</v>
      </c>
      <c r="B32" s="41">
        <v>198.8</v>
      </c>
    </row>
    <row r="33" spans="1:2" ht="32.25" thickBot="1" x14ac:dyDescent="0.3">
      <c r="A33" s="10" t="s">
        <v>30</v>
      </c>
      <c r="B33" s="40">
        <f>SUM(B31:B32)</f>
        <v>198.8</v>
      </c>
    </row>
    <row r="34" spans="1:2" ht="16.5" thickBot="1" x14ac:dyDescent="0.3">
      <c r="A34" s="12"/>
      <c r="B34" s="40"/>
    </row>
    <row r="35" spans="1:2" ht="32.25" thickBot="1" x14ac:dyDescent="0.3">
      <c r="A35" s="10" t="s">
        <v>31</v>
      </c>
      <c r="B35" s="40"/>
    </row>
    <row r="36" spans="1:2" ht="16.5" thickBot="1" x14ac:dyDescent="0.3">
      <c r="A36" s="12" t="s">
        <v>43</v>
      </c>
      <c r="B36" s="41">
        <v>0</v>
      </c>
    </row>
    <row r="37" spans="1:2" ht="16.5" thickBot="1" x14ac:dyDescent="0.3">
      <c r="A37" s="12" t="s">
        <v>44</v>
      </c>
      <c r="B37" s="41">
        <v>0</v>
      </c>
    </row>
    <row r="38" spans="1:2" ht="16.5" thickBot="1" x14ac:dyDescent="0.3">
      <c r="A38" s="12" t="s">
        <v>38</v>
      </c>
      <c r="B38" s="40">
        <f>'נספח 1 - רום מצרפי'!B17</f>
        <v>2227.23</v>
      </c>
    </row>
    <row r="39" spans="1:2" ht="16.5" thickBot="1" x14ac:dyDescent="0.3">
      <c r="A39" s="10" t="s">
        <v>32</v>
      </c>
      <c r="B39" s="40">
        <f>SUM(B36:B38)</f>
        <v>2227.23</v>
      </c>
    </row>
    <row r="40" spans="1:2" ht="16.5" thickBot="1" x14ac:dyDescent="0.3">
      <c r="A40" s="10"/>
      <c r="B40" s="40"/>
    </row>
    <row r="41" spans="1:2" ht="16.5" thickBot="1" x14ac:dyDescent="0.3">
      <c r="A41" s="10"/>
      <c r="B41" s="40"/>
    </row>
    <row r="42" spans="1:2" ht="32.25" thickBot="1" x14ac:dyDescent="0.3">
      <c r="A42" s="10" t="s">
        <v>33</v>
      </c>
      <c r="B42" s="40"/>
    </row>
    <row r="43" spans="1:2" ht="16.5" thickBot="1" x14ac:dyDescent="0.3">
      <c r="A43" s="12" t="s">
        <v>41</v>
      </c>
      <c r="B43" s="41">
        <v>0</v>
      </c>
    </row>
    <row r="44" spans="1:2" ht="16.5" thickBot="1" x14ac:dyDescent="0.3">
      <c r="A44" s="12" t="s">
        <v>42</v>
      </c>
      <c r="B44" s="41">
        <v>0</v>
      </c>
    </row>
    <row r="45" spans="1:2" ht="16.5" thickBot="1" x14ac:dyDescent="0.3">
      <c r="A45" s="12" t="s">
        <v>38</v>
      </c>
      <c r="B45" s="41">
        <v>0</v>
      </c>
    </row>
    <row r="46" spans="1:2" ht="32.25" thickBot="1" x14ac:dyDescent="0.3">
      <c r="A46" s="10" t="s">
        <v>34</v>
      </c>
      <c r="B46" s="41">
        <f>SUM(B43:B45)</f>
        <v>0</v>
      </c>
    </row>
    <row r="47" spans="1:2" ht="16.5" thickBot="1" x14ac:dyDescent="0.3">
      <c r="A47" s="12"/>
      <c r="B47" s="40"/>
    </row>
    <row r="48" spans="1:2" ht="16.5" thickBot="1" x14ac:dyDescent="0.3">
      <c r="A48" s="10" t="s">
        <v>35</v>
      </c>
      <c r="B48" s="40"/>
    </row>
    <row r="49" spans="1:3" ht="16.5" thickBot="1" x14ac:dyDescent="0.3">
      <c r="A49" s="12" t="s">
        <v>41</v>
      </c>
      <c r="B49" s="41">
        <v>0</v>
      </c>
    </row>
    <row r="50" spans="1:3" ht="16.5" thickBot="1" x14ac:dyDescent="0.3">
      <c r="A50" s="12" t="s">
        <v>42</v>
      </c>
      <c r="B50" s="41">
        <v>0</v>
      </c>
    </row>
    <row r="51" spans="1:3" ht="16.5" thickBot="1" x14ac:dyDescent="0.3">
      <c r="A51" s="12" t="s">
        <v>38</v>
      </c>
      <c r="B51" s="41">
        <v>0</v>
      </c>
    </row>
    <row r="52" spans="1:3" ht="16.5" thickBot="1" x14ac:dyDescent="0.3">
      <c r="A52" s="10" t="s">
        <v>36</v>
      </c>
      <c r="B52" s="41">
        <f>SUM(B48:B51)</f>
        <v>0</v>
      </c>
    </row>
    <row r="53" spans="1:3" ht="16.5" thickBot="1" x14ac:dyDescent="0.3">
      <c r="A53" s="12"/>
      <c r="B53" s="40"/>
    </row>
    <row r="54" spans="1:3" ht="32.25" thickBot="1" x14ac:dyDescent="0.3">
      <c r="A54" s="10" t="s">
        <v>69</v>
      </c>
      <c r="B54" s="40">
        <f>+B39+B33+B29+B25+B15</f>
        <v>3589.7412900000004</v>
      </c>
      <c r="C54" s="3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9A62-9DD2-4E8A-BAF1-8E32D5B98D87}">
  <dimension ref="A1:H127"/>
  <sheetViews>
    <sheetView rightToLeft="1" zoomScaleNormal="100" workbookViewId="0">
      <selection activeCell="C8" sqref="C8"/>
    </sheetView>
  </sheetViews>
  <sheetFormatPr defaultColWidth="9" defaultRowHeight="15.75" x14ac:dyDescent="0.2"/>
  <cols>
    <col min="1" max="1" width="30.375" style="16" customWidth="1"/>
    <col min="2" max="2" width="22.75" style="45" customWidth="1"/>
    <col min="3" max="3" width="19.625" style="16" bestFit="1" customWidth="1"/>
    <col min="4" max="5" width="9" style="16"/>
    <col min="6" max="6" width="130" style="16" customWidth="1"/>
    <col min="7" max="16384" width="9" style="16"/>
  </cols>
  <sheetData>
    <row r="1" spans="1:8" ht="48" thickBot="1" x14ac:dyDescent="0.25">
      <c r="A1" s="7" t="s">
        <v>75</v>
      </c>
      <c r="B1" s="42" t="s">
        <v>45</v>
      </c>
    </row>
    <row r="2" spans="1:8" ht="45" customHeight="1" thickBot="1" x14ac:dyDescent="0.25">
      <c r="A2" s="10" t="s">
        <v>46</v>
      </c>
      <c r="B2" s="43"/>
    </row>
    <row r="3" spans="1:8" ht="16.5" thickBot="1" x14ac:dyDescent="0.2">
      <c r="A3" s="12" t="s">
        <v>114</v>
      </c>
      <c r="B3" s="43">
        <v>99.813948000000025</v>
      </c>
      <c r="F3" s="21"/>
      <c r="G3" s="23"/>
      <c r="H3" s="28"/>
    </row>
    <row r="4" spans="1:8" ht="16.5" thickBot="1" x14ac:dyDescent="0.2">
      <c r="A4" s="12" t="s">
        <v>115</v>
      </c>
      <c r="B4" s="43">
        <v>17.577672</v>
      </c>
      <c r="F4" s="21"/>
      <c r="G4" s="23"/>
      <c r="H4" s="28"/>
    </row>
    <row r="5" spans="1:8" ht="16.5" thickBot="1" x14ac:dyDescent="0.2">
      <c r="A5" s="12" t="s">
        <v>116</v>
      </c>
      <c r="B5" s="43">
        <v>58.190252000000008</v>
      </c>
      <c r="F5" s="21"/>
      <c r="G5" s="23"/>
      <c r="H5" s="28"/>
    </row>
    <row r="6" spans="1:8" ht="16.5" thickBot="1" x14ac:dyDescent="0.2">
      <c r="A6" s="12" t="s">
        <v>117</v>
      </c>
      <c r="B6" s="43">
        <v>125.446304</v>
      </c>
      <c r="F6" s="21"/>
      <c r="G6" s="23"/>
      <c r="H6" s="28"/>
    </row>
    <row r="7" spans="1:8" ht="16.5" thickBot="1" x14ac:dyDescent="0.2">
      <c r="A7" s="12" t="s">
        <v>118</v>
      </c>
      <c r="B7" s="43">
        <v>48.08</v>
      </c>
      <c r="F7" s="21"/>
      <c r="G7" s="23"/>
      <c r="H7" s="28"/>
    </row>
    <row r="8" spans="1:8" ht="16.5" thickBot="1" x14ac:dyDescent="0.2">
      <c r="A8" s="12" t="s">
        <v>119</v>
      </c>
      <c r="B8" s="43">
        <v>38.275604000000001</v>
      </c>
      <c r="F8" s="21"/>
      <c r="G8" s="23"/>
      <c r="H8" s="28"/>
    </row>
    <row r="9" spans="1:8" ht="16.5" thickBot="1" x14ac:dyDescent="0.2">
      <c r="A9" s="12" t="s">
        <v>120</v>
      </c>
      <c r="B9" s="43">
        <v>257.250744</v>
      </c>
      <c r="F9" s="21"/>
      <c r="G9" s="23"/>
      <c r="H9" s="28"/>
    </row>
    <row r="10" spans="1:8" ht="16.5" thickBot="1" x14ac:dyDescent="0.2">
      <c r="A10" s="12" t="s">
        <v>121</v>
      </c>
      <c r="B10" s="43">
        <v>68.582753999999994</v>
      </c>
      <c r="F10" s="21"/>
      <c r="G10" s="23"/>
      <c r="H10" s="28"/>
    </row>
    <row r="11" spans="1:8" ht="16.5" thickBot="1" x14ac:dyDescent="0.2">
      <c r="A11" s="12" t="s">
        <v>122</v>
      </c>
      <c r="B11" s="43">
        <v>186.46700000000001</v>
      </c>
      <c r="F11" s="21"/>
      <c r="G11" s="23"/>
      <c r="H11" s="28"/>
    </row>
    <row r="12" spans="1:8" ht="16.5" thickBot="1" x14ac:dyDescent="0.2">
      <c r="A12" s="12" t="s">
        <v>123</v>
      </c>
      <c r="B12" s="43">
        <v>182.185</v>
      </c>
      <c r="F12" s="21"/>
      <c r="G12" s="23"/>
      <c r="H12" s="28"/>
    </row>
    <row r="13" spans="1:8" ht="16.5" thickBot="1" x14ac:dyDescent="0.2">
      <c r="A13" s="12" t="s">
        <v>124</v>
      </c>
      <c r="B13" s="43">
        <v>2.504</v>
      </c>
      <c r="F13" s="21"/>
      <c r="G13" s="23"/>
      <c r="H13" s="28"/>
    </row>
    <row r="14" spans="1:8" ht="16.5" thickBot="1" x14ac:dyDescent="0.2">
      <c r="A14" s="12" t="s">
        <v>125</v>
      </c>
      <c r="B14" s="43">
        <v>107.43899999999999</v>
      </c>
      <c r="F14" s="21"/>
      <c r="G14" s="23"/>
      <c r="H14" s="28"/>
    </row>
    <row r="15" spans="1:8" ht="16.5" thickBot="1" x14ac:dyDescent="0.2">
      <c r="A15" s="12" t="s">
        <v>100</v>
      </c>
      <c r="B15" s="43">
        <v>80.239000000000004</v>
      </c>
      <c r="F15" s="21"/>
      <c r="G15" s="23"/>
      <c r="H15" s="28"/>
    </row>
    <row r="16" spans="1:8" ht="16.5" thickBot="1" x14ac:dyDescent="0.2">
      <c r="A16" s="12" t="s">
        <v>100</v>
      </c>
      <c r="B16" s="43">
        <v>80.239000000000004</v>
      </c>
      <c r="F16" s="21"/>
      <c r="G16" s="23"/>
      <c r="H16" s="28"/>
    </row>
    <row r="17" spans="1:8" ht="16.5" thickBot="1" x14ac:dyDescent="0.2">
      <c r="A17" s="12" t="s">
        <v>101</v>
      </c>
      <c r="B17" s="43">
        <v>66.542000000000002</v>
      </c>
      <c r="F17" s="21"/>
      <c r="G17" s="23"/>
      <c r="H17" s="28"/>
    </row>
    <row r="18" spans="1:8" ht="16.5" thickBot="1" x14ac:dyDescent="0.2">
      <c r="A18" s="12" t="s">
        <v>101</v>
      </c>
      <c r="B18" s="43">
        <v>16.882999999999999</v>
      </c>
      <c r="F18" s="21"/>
      <c r="G18" s="23"/>
      <c r="H18" s="28"/>
    </row>
    <row r="19" spans="1:8" ht="16.5" thickBot="1" x14ac:dyDescent="0.2">
      <c r="A19" s="12" t="s">
        <v>126</v>
      </c>
      <c r="B19" s="43">
        <v>172.94399999999999</v>
      </c>
      <c r="F19" s="21"/>
      <c r="G19" s="23"/>
      <c r="H19" s="28"/>
    </row>
    <row r="20" spans="1:8" ht="16.5" thickBot="1" x14ac:dyDescent="0.2">
      <c r="A20" s="10"/>
      <c r="B20" s="43"/>
      <c r="F20" s="21"/>
      <c r="G20" s="23"/>
      <c r="H20" s="27"/>
    </row>
    <row r="21" spans="1:8" ht="32.25" thickBot="1" x14ac:dyDescent="0.2">
      <c r="A21" s="10" t="s">
        <v>47</v>
      </c>
      <c r="B21" s="43">
        <f>SUM(B3:B20)</f>
        <v>1608.6592780000001</v>
      </c>
      <c r="F21" s="21"/>
      <c r="G21" s="23"/>
      <c r="H21" s="27"/>
    </row>
    <row r="22" spans="1:8" ht="43.5" customHeight="1" thickBot="1" x14ac:dyDescent="0.2">
      <c r="A22" s="10" t="s">
        <v>48</v>
      </c>
      <c r="B22" s="43"/>
      <c r="F22" s="21"/>
      <c r="G22" s="23"/>
      <c r="H22" s="28"/>
    </row>
    <row r="23" spans="1:8" ht="15.75" customHeight="1" thickBot="1" x14ac:dyDescent="0.2">
      <c r="A23" s="12" t="s">
        <v>127</v>
      </c>
      <c r="B23" s="43">
        <v>86.420466000000005</v>
      </c>
      <c r="F23" s="21"/>
      <c r="G23" s="23"/>
      <c r="H23" s="28"/>
    </row>
    <row r="24" spans="1:8" ht="15.75" customHeight="1" thickBot="1" x14ac:dyDescent="0.2">
      <c r="A24" s="12" t="s">
        <v>128</v>
      </c>
      <c r="B24" s="43">
        <v>116.557022</v>
      </c>
      <c r="F24" s="21"/>
      <c r="G24" s="23"/>
      <c r="H24" s="28"/>
    </row>
    <row r="25" spans="1:8" ht="15.75" customHeight="1" thickBot="1" x14ac:dyDescent="0.2">
      <c r="A25" s="12" t="s">
        <v>129</v>
      </c>
      <c r="B25" s="43">
        <v>55.312745999999997</v>
      </c>
      <c r="F25" s="21"/>
      <c r="G25" s="23"/>
      <c r="H25" s="28"/>
    </row>
    <row r="26" spans="1:8" ht="15.75" customHeight="1" thickBot="1" x14ac:dyDescent="0.2">
      <c r="A26" s="12" t="s">
        <v>130</v>
      </c>
      <c r="B26" s="43">
        <v>82.976496000000012</v>
      </c>
      <c r="F26" s="21"/>
      <c r="G26" s="23"/>
      <c r="H26" s="28"/>
    </row>
    <row r="27" spans="1:8" ht="15.75" customHeight="1" thickBot="1" x14ac:dyDescent="0.2">
      <c r="A27" s="12" t="s">
        <v>131</v>
      </c>
      <c r="B27" s="43">
        <v>238.79623099999998</v>
      </c>
      <c r="F27" s="21"/>
      <c r="G27" s="23"/>
      <c r="H27" s="28"/>
    </row>
    <row r="28" spans="1:8" ht="15.75" customHeight="1" thickBot="1" x14ac:dyDescent="0.2">
      <c r="A28" s="12" t="s">
        <v>132</v>
      </c>
      <c r="B28" s="43">
        <v>2.9340920000000001</v>
      </c>
      <c r="F28" s="21"/>
      <c r="G28" s="23"/>
      <c r="H28" s="28"/>
    </row>
    <row r="29" spans="1:8" ht="15.75" customHeight="1" thickBot="1" x14ac:dyDescent="0.2">
      <c r="A29" s="12" t="s">
        <v>133</v>
      </c>
      <c r="B29" s="43">
        <v>442.68998200000004</v>
      </c>
      <c r="F29" s="21"/>
      <c r="G29" s="23"/>
      <c r="H29" s="28"/>
    </row>
    <row r="30" spans="1:8" ht="15.75" customHeight="1" thickBot="1" x14ac:dyDescent="0.2">
      <c r="A30" s="12" t="s">
        <v>134</v>
      </c>
      <c r="B30" s="43">
        <v>350.45989000000003</v>
      </c>
      <c r="F30" s="21"/>
      <c r="G30" s="23"/>
      <c r="H30" s="28"/>
    </row>
    <row r="31" spans="1:8" ht="15.75" customHeight="1" thickBot="1" x14ac:dyDescent="0.2">
      <c r="A31" s="12" t="s">
        <v>135</v>
      </c>
      <c r="B31" s="43">
        <v>27.984072000000001</v>
      </c>
      <c r="F31" s="21"/>
      <c r="G31" s="23"/>
      <c r="H31" s="28"/>
    </row>
    <row r="32" spans="1:8" ht="15.75" customHeight="1" thickBot="1" x14ac:dyDescent="0.2">
      <c r="A32" s="12" t="s">
        <v>136</v>
      </c>
      <c r="B32" s="43">
        <v>62.149066000000005</v>
      </c>
      <c r="F32" s="21"/>
      <c r="G32" s="23"/>
      <c r="H32" s="28"/>
    </row>
    <row r="33" spans="1:8" ht="15.75" customHeight="1" thickBot="1" x14ac:dyDescent="0.2">
      <c r="A33" s="12" t="s">
        <v>137</v>
      </c>
      <c r="B33" s="43">
        <v>90.377956000000012</v>
      </c>
      <c r="F33" s="21"/>
      <c r="G33" s="23"/>
      <c r="H33" s="28"/>
    </row>
    <row r="34" spans="1:8" ht="15.75" customHeight="1" thickBot="1" x14ac:dyDescent="0.2">
      <c r="A34" s="12" t="s">
        <v>138</v>
      </c>
      <c r="B34" s="43">
        <v>90.427266000000003</v>
      </c>
      <c r="F34" s="21"/>
      <c r="G34" s="23"/>
      <c r="H34" s="28"/>
    </row>
    <row r="35" spans="1:8" ht="15.75" customHeight="1" thickBot="1" x14ac:dyDescent="0.2">
      <c r="A35" s="12" t="s">
        <v>139</v>
      </c>
      <c r="B35" s="43">
        <v>231.13005999999999</v>
      </c>
      <c r="F35" s="21"/>
      <c r="G35" s="23"/>
      <c r="H35" s="28"/>
    </row>
    <row r="36" spans="1:8" ht="15.75" customHeight="1" thickBot="1" x14ac:dyDescent="0.2">
      <c r="A36" s="12" t="s">
        <v>140</v>
      </c>
      <c r="B36" s="43">
        <v>112.06607000000001</v>
      </c>
      <c r="F36" s="21"/>
      <c r="G36" s="23"/>
      <c r="H36" s="28"/>
    </row>
    <row r="37" spans="1:8" ht="15.75" customHeight="1" thickBot="1" x14ac:dyDescent="0.2">
      <c r="A37" s="12" t="s">
        <v>141</v>
      </c>
      <c r="B37" s="43">
        <v>161.602226</v>
      </c>
      <c r="F37" s="21"/>
      <c r="G37" s="23"/>
      <c r="H37" s="28"/>
    </row>
    <row r="38" spans="1:8" ht="15.75" customHeight="1" thickBot="1" x14ac:dyDescent="0.2">
      <c r="A38" s="12" t="s">
        <v>142</v>
      </c>
      <c r="B38" s="43">
        <v>151.50147000000001</v>
      </c>
      <c r="F38" s="21"/>
      <c r="G38" s="23"/>
      <c r="H38" s="28"/>
    </row>
    <row r="39" spans="1:8" ht="15.75" customHeight="1" thickBot="1" x14ac:dyDescent="0.2">
      <c r="A39" s="12" t="s">
        <v>143</v>
      </c>
      <c r="B39" s="43">
        <v>59.431706400000003</v>
      </c>
      <c r="F39" s="21"/>
      <c r="G39" s="23"/>
      <c r="H39" s="28"/>
    </row>
    <row r="40" spans="1:8" ht="15.75" customHeight="1" thickBot="1" x14ac:dyDescent="0.2">
      <c r="A40" s="12" t="s">
        <v>144</v>
      </c>
      <c r="B40" s="43">
        <v>184.44523199999998</v>
      </c>
      <c r="F40" s="21"/>
      <c r="G40" s="23"/>
      <c r="H40" s="28"/>
    </row>
    <row r="41" spans="1:8" ht="15.75" customHeight="1" thickBot="1" x14ac:dyDescent="0.2">
      <c r="A41" s="12" t="s">
        <v>145</v>
      </c>
      <c r="B41" s="43">
        <v>45.005052200000002</v>
      </c>
      <c r="F41" s="21"/>
      <c r="G41" s="23"/>
      <c r="H41" s="28"/>
    </row>
    <row r="42" spans="1:8" ht="15.75" customHeight="1" thickBot="1" x14ac:dyDescent="0.2">
      <c r="A42" s="12" t="s">
        <v>146</v>
      </c>
      <c r="B42" s="43">
        <v>25.973921999999998</v>
      </c>
      <c r="F42" s="21"/>
      <c r="G42" s="23"/>
      <c r="H42" s="28"/>
    </row>
    <row r="43" spans="1:8" ht="15.75" customHeight="1" thickBot="1" x14ac:dyDescent="0.2">
      <c r="A43" s="12" t="s">
        <v>147</v>
      </c>
      <c r="B43" s="43">
        <v>90.146940000000001</v>
      </c>
      <c r="F43" s="21"/>
      <c r="G43" s="23"/>
      <c r="H43" s="28"/>
    </row>
    <row r="44" spans="1:8" ht="16.5" thickBot="1" x14ac:dyDescent="0.2">
      <c r="A44" s="12" t="s">
        <v>148</v>
      </c>
      <c r="B44" s="43">
        <v>37.775055600000009</v>
      </c>
      <c r="F44" s="21"/>
      <c r="G44" s="23"/>
      <c r="H44" s="28"/>
    </row>
    <row r="45" spans="1:8" ht="16.5" thickBot="1" x14ac:dyDescent="0.2">
      <c r="A45" s="12" t="s">
        <v>149</v>
      </c>
      <c r="B45" s="43">
        <v>121.5581372</v>
      </c>
      <c r="F45" s="21"/>
      <c r="G45" s="23"/>
      <c r="H45" s="28"/>
    </row>
    <row r="46" spans="1:8" ht="16.5" thickBot="1" x14ac:dyDescent="0.2">
      <c r="A46" s="12" t="s">
        <v>150</v>
      </c>
      <c r="B46" s="43">
        <v>138.33950799999997</v>
      </c>
      <c r="F46" s="21"/>
      <c r="G46" s="23"/>
      <c r="H46" s="28"/>
    </row>
    <row r="47" spans="1:8" ht="16.5" thickBot="1" x14ac:dyDescent="0.2">
      <c r="A47" s="12" t="s">
        <v>151</v>
      </c>
      <c r="B47" s="43">
        <v>134.33176280000001</v>
      </c>
      <c r="F47" s="21"/>
      <c r="G47" s="23"/>
      <c r="H47" s="28"/>
    </row>
    <row r="48" spans="1:8" ht="16.5" thickBot="1" x14ac:dyDescent="0.2">
      <c r="A48" s="12" t="s">
        <v>152</v>
      </c>
      <c r="B48" s="43">
        <v>32.706478000000004</v>
      </c>
      <c r="F48" s="21"/>
      <c r="G48" s="23"/>
      <c r="H48" s="28"/>
    </row>
    <row r="49" spans="1:8" ht="16.5" thickBot="1" x14ac:dyDescent="0.2">
      <c r="A49" s="12" t="s">
        <v>153</v>
      </c>
      <c r="B49" s="43">
        <v>56.517849999999989</v>
      </c>
      <c r="F49" s="21"/>
      <c r="G49" s="23"/>
      <c r="H49" s="28"/>
    </row>
    <row r="50" spans="1:8" ht="16.5" thickBot="1" x14ac:dyDescent="0.2">
      <c r="A50" s="12" t="s">
        <v>154</v>
      </c>
      <c r="B50" s="43">
        <v>179.53438199999999</v>
      </c>
      <c r="F50" s="21"/>
      <c r="G50" s="23"/>
      <c r="H50" s="28"/>
    </row>
    <row r="51" spans="1:8" ht="16.5" thickBot="1" x14ac:dyDescent="0.2">
      <c r="A51" s="12" t="s">
        <v>155</v>
      </c>
      <c r="B51" s="43">
        <v>1.1087360000000002</v>
      </c>
      <c r="F51" s="21"/>
      <c r="G51" s="23"/>
      <c r="H51" s="28"/>
    </row>
    <row r="52" spans="1:8" ht="16.5" thickBot="1" x14ac:dyDescent="0.2">
      <c r="A52" s="12" t="s">
        <v>155</v>
      </c>
      <c r="B52" s="43">
        <v>2.725778</v>
      </c>
      <c r="F52" s="21"/>
      <c r="G52" s="23"/>
      <c r="H52" s="28"/>
    </row>
    <row r="53" spans="1:8" ht="16.5" thickBot="1" x14ac:dyDescent="0.2">
      <c r="A53" s="12" t="s">
        <v>156</v>
      </c>
      <c r="B53" s="43">
        <v>41.812877999999998</v>
      </c>
      <c r="F53" s="21"/>
      <c r="G53" s="23"/>
      <c r="H53" s="28"/>
    </row>
    <row r="54" spans="1:8" ht="16.5" thickBot="1" x14ac:dyDescent="0.2">
      <c r="A54" s="12" t="s">
        <v>102</v>
      </c>
      <c r="B54" s="43">
        <v>62.02</v>
      </c>
      <c r="F54" s="21"/>
      <c r="G54" s="23"/>
      <c r="H54" s="27"/>
    </row>
    <row r="55" spans="1:8" ht="32.25" thickBot="1" x14ac:dyDescent="0.2">
      <c r="A55" s="10" t="s">
        <v>49</v>
      </c>
      <c r="B55" s="43">
        <f>SUM(B23:B54)</f>
        <v>3516.8185292000012</v>
      </c>
      <c r="F55" s="21"/>
      <c r="G55" s="21"/>
      <c r="H55" s="29"/>
    </row>
    <row r="56" spans="1:8" ht="16.5" thickBot="1" x14ac:dyDescent="0.2">
      <c r="A56" s="10"/>
      <c r="B56" s="43"/>
      <c r="F56" s="21"/>
      <c r="G56" s="21"/>
      <c r="H56" s="29"/>
    </row>
    <row r="57" spans="1:8" ht="16.5" thickBot="1" x14ac:dyDescent="0.2">
      <c r="A57" s="10"/>
      <c r="B57" s="43"/>
      <c r="F57" s="26"/>
      <c r="G57" s="26"/>
      <c r="H57" s="26"/>
    </row>
    <row r="58" spans="1:8" ht="47.25" customHeight="1" thickBot="1" x14ac:dyDescent="0.2">
      <c r="A58" s="10" t="s">
        <v>50</v>
      </c>
      <c r="B58" s="43"/>
      <c r="F58" s="21"/>
      <c r="G58" s="21"/>
      <c r="H58" s="21"/>
    </row>
    <row r="59" spans="1:8" ht="16.5" thickBot="1" x14ac:dyDescent="0.2">
      <c r="A59" s="12" t="s">
        <v>41</v>
      </c>
      <c r="B59" s="22">
        <v>0</v>
      </c>
      <c r="F59" s="21"/>
      <c r="G59" s="21"/>
      <c r="H59" s="29"/>
    </row>
    <row r="60" spans="1:8" ht="16.5" thickBot="1" x14ac:dyDescent="0.2">
      <c r="A60" s="13" t="s">
        <v>42</v>
      </c>
      <c r="B60" s="46">
        <v>0</v>
      </c>
      <c r="F60" s="26"/>
      <c r="G60" s="26"/>
      <c r="H60" s="26"/>
    </row>
    <row r="61" spans="1:8" x14ac:dyDescent="0.15">
      <c r="A61" s="56" t="s">
        <v>38</v>
      </c>
      <c r="B61" s="53">
        <v>0</v>
      </c>
      <c r="F61" s="21"/>
      <c r="G61" s="21"/>
      <c r="H61" s="29"/>
    </row>
    <row r="62" spans="1:8" x14ac:dyDescent="0.15">
      <c r="A62" s="57"/>
      <c r="B62" s="54"/>
      <c r="F62" s="26"/>
      <c r="G62" s="26"/>
      <c r="H62" s="26"/>
    </row>
    <row r="63" spans="1:8" ht="16.5" thickBot="1" x14ac:dyDescent="0.2">
      <c r="A63" s="58"/>
      <c r="B63" s="55"/>
      <c r="F63" s="21"/>
      <c r="G63" s="21"/>
      <c r="H63" s="21"/>
    </row>
    <row r="64" spans="1:8" ht="32.25" thickBot="1" x14ac:dyDescent="0.2">
      <c r="A64" s="10" t="s">
        <v>51</v>
      </c>
      <c r="B64" s="22">
        <f>SUM(B59:B63)</f>
        <v>0</v>
      </c>
      <c r="F64" s="21"/>
      <c r="G64" s="21"/>
      <c r="H64" s="21"/>
    </row>
    <row r="65" spans="1:8" ht="16.5" thickBot="1" x14ac:dyDescent="0.2">
      <c r="A65" s="12"/>
      <c r="B65" s="43"/>
      <c r="F65" s="21"/>
      <c r="G65" s="21"/>
      <c r="H65" s="21"/>
    </row>
    <row r="66" spans="1:8" ht="44.25" customHeight="1" thickBot="1" x14ac:dyDescent="0.2">
      <c r="A66" s="10" t="s">
        <v>52</v>
      </c>
      <c r="B66" s="43"/>
      <c r="F66" s="26"/>
      <c r="G66" s="26"/>
      <c r="H66" s="30"/>
    </row>
    <row r="67" spans="1:8" ht="16.5" thickBot="1" x14ac:dyDescent="0.2">
      <c r="A67" s="12" t="s">
        <v>41</v>
      </c>
      <c r="B67" s="22">
        <v>0</v>
      </c>
      <c r="F67" s="21"/>
      <c r="G67" s="21"/>
      <c r="H67" s="29"/>
    </row>
    <row r="68" spans="1:8" ht="16.5" thickBot="1" x14ac:dyDescent="0.2">
      <c r="A68" s="12" t="s">
        <v>42</v>
      </c>
      <c r="B68" s="22">
        <v>0</v>
      </c>
      <c r="F68" s="26"/>
      <c r="G68" s="26"/>
      <c r="H68" s="26"/>
    </row>
    <row r="69" spans="1:8" ht="16.5" thickBot="1" x14ac:dyDescent="0.2">
      <c r="A69" s="12" t="s">
        <v>38</v>
      </c>
      <c r="B69" s="22">
        <v>0</v>
      </c>
      <c r="F69" s="21"/>
      <c r="G69" s="21"/>
      <c r="H69" s="21"/>
    </row>
    <row r="70" spans="1:8" ht="16.5" thickBot="1" x14ac:dyDescent="0.2">
      <c r="A70" s="10" t="s">
        <v>53</v>
      </c>
      <c r="B70" s="22">
        <f>SUM(B67:B69)</f>
        <v>0</v>
      </c>
      <c r="F70" s="26"/>
      <c r="G70" s="26"/>
      <c r="H70" s="30"/>
    </row>
    <row r="71" spans="1:8" ht="16.5" thickBot="1" x14ac:dyDescent="0.2">
      <c r="A71" s="12"/>
      <c r="B71" s="43"/>
      <c r="F71" s="21"/>
      <c r="G71" s="21"/>
      <c r="H71" s="21"/>
    </row>
    <row r="72" spans="1:8" ht="79.5" thickBot="1" x14ac:dyDescent="0.2">
      <c r="A72" s="10" t="s">
        <v>54</v>
      </c>
      <c r="B72" s="44"/>
      <c r="F72" s="26"/>
      <c r="G72" s="26"/>
      <c r="H72" s="30"/>
    </row>
    <row r="73" spans="1:8" ht="16.5" thickBot="1" x14ac:dyDescent="0.2">
      <c r="A73" s="12" t="s">
        <v>78</v>
      </c>
      <c r="B73" s="22">
        <v>4.04</v>
      </c>
      <c r="F73" s="26"/>
      <c r="G73" s="26"/>
      <c r="H73" s="30"/>
    </row>
    <row r="74" spans="1:8" ht="16.5" thickBot="1" x14ac:dyDescent="0.2">
      <c r="A74" s="12" t="s">
        <v>168</v>
      </c>
      <c r="B74" s="22">
        <v>0.36</v>
      </c>
      <c r="F74" s="26"/>
      <c r="G74" s="26"/>
      <c r="H74" s="30"/>
    </row>
    <row r="75" spans="1:8" ht="16.5" thickBot="1" x14ac:dyDescent="0.2">
      <c r="A75" s="12" t="s">
        <v>79</v>
      </c>
      <c r="B75" s="22">
        <v>6.95</v>
      </c>
      <c r="F75" s="26"/>
      <c r="G75" s="26"/>
      <c r="H75" s="30"/>
    </row>
    <row r="76" spans="1:8" ht="16.5" thickBot="1" x14ac:dyDescent="0.2">
      <c r="A76" s="12" t="s">
        <v>98</v>
      </c>
      <c r="B76" s="22">
        <v>0.30599999999999999</v>
      </c>
      <c r="F76" s="26"/>
      <c r="G76" s="26"/>
      <c r="H76" s="30"/>
    </row>
    <row r="77" spans="1:8" ht="14.25" customHeight="1" thickBot="1" x14ac:dyDescent="0.2">
      <c r="A77" s="12" t="s">
        <v>163</v>
      </c>
      <c r="B77" s="22">
        <v>70.355539999999991</v>
      </c>
      <c r="F77" s="26"/>
      <c r="G77" s="26"/>
      <c r="H77" s="30"/>
    </row>
    <row r="78" spans="1:8" ht="16.5" thickBot="1" x14ac:dyDescent="0.2">
      <c r="A78" s="12" t="s">
        <v>164</v>
      </c>
      <c r="B78" s="22">
        <v>95.357740000000007</v>
      </c>
      <c r="F78" s="26"/>
      <c r="G78" s="26"/>
      <c r="H78" s="30"/>
    </row>
    <row r="79" spans="1:8" ht="16.5" thickBot="1" x14ac:dyDescent="0.2">
      <c r="A79" s="12" t="s">
        <v>80</v>
      </c>
      <c r="B79" s="22">
        <v>403.8464300000004</v>
      </c>
      <c r="F79" s="26"/>
      <c r="G79" s="26"/>
      <c r="H79" s="30"/>
    </row>
    <row r="80" spans="1:8" ht="16.5" thickBot="1" x14ac:dyDescent="0.2">
      <c r="A80" s="12" t="s">
        <v>72</v>
      </c>
      <c r="B80" s="22">
        <v>60.275999999999996</v>
      </c>
      <c r="F80" s="26"/>
      <c r="G80" s="26"/>
      <c r="H80" s="30"/>
    </row>
    <row r="81" spans="1:8" ht="16.5" thickBot="1" x14ac:dyDescent="0.2">
      <c r="A81" s="12" t="s">
        <v>165</v>
      </c>
      <c r="B81" s="22">
        <v>140.68365</v>
      </c>
      <c r="F81" s="26"/>
      <c r="G81" s="26"/>
      <c r="H81" s="30"/>
    </row>
    <row r="82" spans="1:8" ht="16.5" thickBot="1" x14ac:dyDescent="0.2">
      <c r="A82" s="12" t="s">
        <v>166</v>
      </c>
      <c r="B82" s="22">
        <v>118.05602999999999</v>
      </c>
      <c r="F82" s="26"/>
      <c r="G82" s="26"/>
      <c r="H82" s="30"/>
    </row>
    <row r="83" spans="1:8" ht="16.5" thickBot="1" x14ac:dyDescent="0.2">
      <c r="A83" s="12" t="s">
        <v>167</v>
      </c>
      <c r="B83" s="22">
        <v>21.799700000000001</v>
      </c>
      <c r="F83" s="26"/>
      <c r="G83" s="26"/>
      <c r="H83" s="30"/>
    </row>
    <row r="84" spans="1:8" ht="16.5" thickBot="1" x14ac:dyDescent="0.2">
      <c r="A84" s="12" t="s">
        <v>73</v>
      </c>
      <c r="B84" s="22">
        <v>68.490000000000023</v>
      </c>
      <c r="F84" s="26"/>
      <c r="G84" s="26"/>
      <c r="H84" s="30"/>
    </row>
    <row r="85" spans="1:8" ht="16.5" thickBot="1" x14ac:dyDescent="0.2">
      <c r="A85" s="12" t="s">
        <v>71</v>
      </c>
      <c r="B85" s="22">
        <v>14.11</v>
      </c>
      <c r="F85" s="26"/>
      <c r="G85" s="26"/>
      <c r="H85" s="30"/>
    </row>
    <row r="86" spans="1:8" ht="16.5" thickBot="1" x14ac:dyDescent="0.2">
      <c r="A86" s="12" t="s">
        <v>77</v>
      </c>
      <c r="B86" s="22">
        <v>27.227659999999997</v>
      </c>
      <c r="F86" s="26"/>
      <c r="G86" s="26"/>
      <c r="H86" s="30"/>
    </row>
    <row r="87" spans="1:8" ht="16.5" thickBot="1" x14ac:dyDescent="0.2">
      <c r="A87" s="12"/>
      <c r="B87" s="22"/>
      <c r="F87" s="26"/>
      <c r="G87" s="26"/>
      <c r="H87" s="30"/>
    </row>
    <row r="88" spans="1:8" ht="16.5" thickBot="1" x14ac:dyDescent="0.2">
      <c r="A88" s="12"/>
      <c r="B88" s="22"/>
      <c r="F88" s="26"/>
      <c r="G88" s="26"/>
      <c r="H88" s="30"/>
    </row>
    <row r="89" spans="1:8" ht="16.5" thickBot="1" x14ac:dyDescent="0.2">
      <c r="A89" s="10" t="s">
        <v>55</v>
      </c>
      <c r="B89" s="43">
        <f>SUM(B73:B88)</f>
        <v>1031.8587500000003</v>
      </c>
      <c r="F89" s="26"/>
      <c r="G89" s="26"/>
      <c r="H89" s="30"/>
    </row>
    <row r="90" spans="1:8" ht="16.5" thickBot="1" x14ac:dyDescent="0.2">
      <c r="A90" s="10"/>
      <c r="B90" s="43"/>
      <c r="F90" s="26"/>
      <c r="G90" s="26"/>
      <c r="H90" s="30"/>
    </row>
    <row r="91" spans="1:8" ht="79.5" thickBot="1" x14ac:dyDescent="0.2">
      <c r="A91" s="10" t="s">
        <v>56</v>
      </c>
      <c r="B91" s="43"/>
      <c r="F91" s="26"/>
      <c r="G91" s="26"/>
      <c r="H91" s="30"/>
    </row>
    <row r="92" spans="1:8" ht="16.5" thickBot="1" x14ac:dyDescent="0.2">
      <c r="A92" s="22" t="s">
        <v>78</v>
      </c>
      <c r="B92" s="43">
        <v>22.375</v>
      </c>
      <c r="F92" s="26"/>
      <c r="G92" s="26"/>
      <c r="H92" s="30"/>
    </row>
    <row r="93" spans="1:8" ht="33" customHeight="1" thickBot="1" x14ac:dyDescent="0.2">
      <c r="A93" s="31" t="s">
        <v>168</v>
      </c>
      <c r="B93" s="43">
        <v>1.1279999999999999</v>
      </c>
      <c r="F93" s="26"/>
      <c r="G93" s="26"/>
      <c r="H93" s="30"/>
    </row>
    <row r="94" spans="1:8" ht="16.5" thickBot="1" x14ac:dyDescent="0.2">
      <c r="A94" s="22" t="s">
        <v>79</v>
      </c>
      <c r="B94" s="43">
        <v>0.65</v>
      </c>
      <c r="F94" s="26"/>
      <c r="G94" s="26"/>
      <c r="H94" s="30"/>
    </row>
    <row r="95" spans="1:8" ht="16.5" thickBot="1" x14ac:dyDescent="0.2">
      <c r="A95" s="10" t="s">
        <v>57</v>
      </c>
      <c r="B95" s="43">
        <f>SUM(B92:B94)</f>
        <v>24.152999999999999</v>
      </c>
      <c r="F95" s="26"/>
      <c r="G95" s="26"/>
      <c r="H95" s="30"/>
    </row>
    <row r="96" spans="1:8" ht="16.5" thickBot="1" x14ac:dyDescent="0.2">
      <c r="A96" s="10"/>
      <c r="B96" s="43"/>
      <c r="F96" s="26"/>
      <c r="G96" s="26"/>
      <c r="H96" s="30"/>
    </row>
    <row r="97" spans="1:8" x14ac:dyDescent="0.15">
      <c r="A97" s="51" t="s">
        <v>58</v>
      </c>
      <c r="B97" s="49"/>
      <c r="F97" s="26"/>
      <c r="G97" s="26"/>
      <c r="H97" s="30"/>
    </row>
    <row r="98" spans="1:8" ht="16.5" thickBot="1" x14ac:dyDescent="0.2">
      <c r="A98" s="52"/>
      <c r="B98" s="50"/>
      <c r="F98" s="26"/>
      <c r="G98" s="26"/>
      <c r="H98" s="30"/>
    </row>
    <row r="99" spans="1:8" ht="76.5" customHeight="1" thickBot="1" x14ac:dyDescent="0.2">
      <c r="A99" s="10" t="s">
        <v>59</v>
      </c>
      <c r="B99" s="43"/>
      <c r="F99" s="26"/>
      <c r="G99" s="26"/>
      <c r="H99" s="30"/>
    </row>
    <row r="100" spans="1:8" ht="16.5" thickBot="1" x14ac:dyDescent="0.2">
      <c r="A100" s="12"/>
      <c r="B100" s="22">
        <v>0</v>
      </c>
      <c r="F100" s="26"/>
      <c r="G100" s="26"/>
      <c r="H100" s="26"/>
    </row>
    <row r="101" spans="1:8" ht="16.5" thickBot="1" x14ac:dyDescent="0.2">
      <c r="A101" s="12"/>
      <c r="B101" s="22">
        <v>0</v>
      </c>
      <c r="F101" s="26"/>
      <c r="G101" s="26"/>
      <c r="H101" s="26"/>
    </row>
    <row r="102" spans="1:8" ht="32.25" thickBot="1" x14ac:dyDescent="0.2">
      <c r="A102" s="10" t="s">
        <v>60</v>
      </c>
      <c r="B102" s="22">
        <f>SUM(B100:B101)</f>
        <v>0</v>
      </c>
      <c r="C102" s="37"/>
      <c r="F102" s="21"/>
      <c r="G102" s="21"/>
      <c r="H102" s="29"/>
    </row>
    <row r="103" spans="1:8" ht="16.5" thickBot="1" x14ac:dyDescent="0.2">
      <c r="A103" s="10"/>
      <c r="B103" s="43"/>
      <c r="F103" s="26"/>
      <c r="G103" s="26"/>
      <c r="H103" s="26"/>
    </row>
    <row r="104" spans="1:8" ht="57.75" customHeight="1" x14ac:dyDescent="0.15">
      <c r="A104" s="51" t="s">
        <v>61</v>
      </c>
      <c r="B104" s="49"/>
      <c r="F104" s="21"/>
      <c r="G104" s="21"/>
      <c r="H104" s="29"/>
    </row>
    <row r="105" spans="1:8" ht="16.5" thickBot="1" x14ac:dyDescent="0.2">
      <c r="A105" s="52"/>
      <c r="B105" s="50"/>
      <c r="F105" s="21"/>
      <c r="G105" s="21"/>
      <c r="H105" s="29"/>
    </row>
    <row r="106" spans="1:8" ht="16.5" thickBot="1" x14ac:dyDescent="0.2">
      <c r="A106" s="20" t="s">
        <v>157</v>
      </c>
      <c r="B106" s="43">
        <v>232.11299</v>
      </c>
      <c r="F106" s="21"/>
      <c r="G106" s="21"/>
      <c r="H106" s="29"/>
    </row>
    <row r="107" spans="1:8" ht="16.5" thickBot="1" x14ac:dyDescent="0.2">
      <c r="A107" s="20" t="s">
        <v>158</v>
      </c>
      <c r="B107" s="43">
        <v>136.31813999999997</v>
      </c>
      <c r="F107" s="21"/>
      <c r="G107" s="21"/>
      <c r="H107" s="29"/>
    </row>
    <row r="108" spans="1:8" ht="16.5" thickBot="1" x14ac:dyDescent="0.2">
      <c r="A108" s="20" t="s">
        <v>159</v>
      </c>
      <c r="B108" s="43">
        <v>117.53587999999999</v>
      </c>
      <c r="F108" s="21"/>
      <c r="G108" s="21"/>
      <c r="H108" s="29"/>
    </row>
    <row r="109" spans="1:8" ht="16.5" thickBot="1" x14ac:dyDescent="0.2">
      <c r="A109" s="20" t="s">
        <v>160</v>
      </c>
      <c r="B109" s="43">
        <v>105.48657</v>
      </c>
      <c r="F109" s="21"/>
      <c r="G109" s="21"/>
      <c r="H109" s="29"/>
    </row>
    <row r="110" spans="1:8" ht="16.5" thickBot="1" x14ac:dyDescent="0.2">
      <c r="A110" s="20" t="s">
        <v>161</v>
      </c>
      <c r="B110" s="43">
        <v>46.679999999999993</v>
      </c>
      <c r="F110" s="21"/>
      <c r="G110" s="21"/>
      <c r="H110" s="29"/>
    </row>
    <row r="111" spans="1:8" ht="16.5" thickBot="1" x14ac:dyDescent="0.2">
      <c r="A111" s="20" t="s">
        <v>162</v>
      </c>
      <c r="B111" s="43">
        <v>44.397481200008002</v>
      </c>
      <c r="F111" s="21"/>
      <c r="G111" s="21"/>
      <c r="H111" s="29"/>
    </row>
    <row r="112" spans="1:8" ht="32.25" thickBot="1" x14ac:dyDescent="0.25">
      <c r="A112" s="10" t="s">
        <v>62</v>
      </c>
      <c r="B112" s="43">
        <f>SUM(B106:B111)</f>
        <v>682.53106120000791</v>
      </c>
      <c r="C112" s="36"/>
    </row>
    <row r="113" spans="1:4" ht="16.5" thickBot="1" x14ac:dyDescent="0.25">
      <c r="A113" s="12"/>
      <c r="B113" s="43"/>
    </row>
    <row r="114" spans="1:4" ht="56.25" customHeight="1" thickBot="1" x14ac:dyDescent="0.25">
      <c r="A114" s="10" t="s">
        <v>63</v>
      </c>
      <c r="B114" s="22"/>
    </row>
    <row r="115" spans="1:4" ht="16.5" thickBot="1" x14ac:dyDescent="0.25">
      <c r="A115" s="12" t="s">
        <v>172</v>
      </c>
      <c r="B115" s="22">
        <v>0</v>
      </c>
    </row>
    <row r="116" spans="1:4" ht="40.5" customHeight="1" thickBot="1" x14ac:dyDescent="0.25">
      <c r="A116" s="12" t="s">
        <v>64</v>
      </c>
      <c r="B116" s="22">
        <v>0</v>
      </c>
    </row>
    <row r="117" spans="1:4" ht="16.5" thickBot="1" x14ac:dyDescent="0.25">
      <c r="A117" s="12" t="s">
        <v>38</v>
      </c>
      <c r="B117" s="22">
        <v>0</v>
      </c>
    </row>
    <row r="118" spans="1:4" ht="32.25" thickBot="1" x14ac:dyDescent="0.25">
      <c r="A118" s="10" t="s">
        <v>65</v>
      </c>
      <c r="B118" s="22">
        <f>SUM(B115:B117)</f>
        <v>0</v>
      </c>
    </row>
    <row r="119" spans="1:4" ht="16.5" thickBot="1" x14ac:dyDescent="0.25">
      <c r="A119" s="10"/>
      <c r="B119" s="43"/>
    </row>
    <row r="120" spans="1:4" ht="16.5" thickBot="1" x14ac:dyDescent="0.25">
      <c r="A120" s="10" t="s">
        <v>66</v>
      </c>
      <c r="B120" s="43">
        <f>+B118+B112+B102+B95+B89+B70+B55+B21</f>
        <v>6864.0206184000099</v>
      </c>
      <c r="C120" s="36"/>
    </row>
    <row r="121" spans="1:4" ht="16.5" thickBot="1" x14ac:dyDescent="0.25">
      <c r="A121" s="10" t="s">
        <v>37</v>
      </c>
      <c r="B121" s="22"/>
    </row>
    <row r="122" spans="1:4" ht="16.5" thickBot="1" x14ac:dyDescent="0.25">
      <c r="A122" s="12" t="s">
        <v>100</v>
      </c>
      <c r="B122" s="43">
        <v>99.546999999999997</v>
      </c>
    </row>
    <row r="123" spans="1:4" ht="16.5" thickBot="1" x14ac:dyDescent="0.25">
      <c r="A123" s="12" t="s">
        <v>101</v>
      </c>
      <c r="B123" s="43">
        <v>8.9540000000000006</v>
      </c>
    </row>
    <row r="124" spans="1:4" ht="16.5" thickBot="1" x14ac:dyDescent="0.25">
      <c r="A124" s="12" t="s">
        <v>102</v>
      </c>
      <c r="B124" s="43">
        <v>6.68</v>
      </c>
    </row>
    <row r="125" spans="1:4" ht="16.5" thickBot="1" x14ac:dyDescent="0.25">
      <c r="A125" s="12"/>
      <c r="B125" s="43"/>
    </row>
    <row r="126" spans="1:4" ht="45" customHeight="1" thickBot="1" x14ac:dyDescent="0.25">
      <c r="A126" s="10" t="s">
        <v>97</v>
      </c>
      <c r="B126" s="43">
        <f>SUM(B122:B125)</f>
        <v>115.18100000000001</v>
      </c>
      <c r="D126" s="38"/>
    </row>
    <row r="127" spans="1:4" ht="16.5" thickBot="1" x14ac:dyDescent="0.25">
      <c r="A127" s="10" t="s">
        <v>67</v>
      </c>
      <c r="B127" s="43">
        <f>'נספח 1 - רום מצרפי'!B27</f>
        <v>3903885</v>
      </c>
    </row>
  </sheetData>
  <mergeCells count="6">
    <mergeCell ref="B104:B105"/>
    <mergeCell ref="A104:A105"/>
    <mergeCell ref="B61:B63"/>
    <mergeCell ref="A61:A63"/>
    <mergeCell ref="B97:B98"/>
    <mergeCell ref="A97:A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נספח 1 - רום מצרפי</vt:lpstr>
      <vt:lpstr>נספח 1-רום הלכה</vt:lpstr>
      <vt:lpstr>נספח 2 –עמלות והוצאות לא חיצוני</vt:lpstr>
      <vt:lpstr>נספח 3 - עמלות ניהול חיצוני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Sagit Abuchazira</dc:creator>
  <cp:lastModifiedBy>Barak Ardi</cp:lastModifiedBy>
  <cp:lastPrinted>2024-04-04T14:00:13Z</cp:lastPrinted>
  <dcterms:created xsi:type="dcterms:W3CDTF">2024-01-28T18:32:14Z</dcterms:created>
  <dcterms:modified xsi:type="dcterms:W3CDTF">2024-06-19T11:53:29Z</dcterms:modified>
</cp:coreProperties>
</file>