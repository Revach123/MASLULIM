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docProps/core0.xml" ContentType="application/vnd.openxmlformats-package.core-propertie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80" windowHeight="819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24519"/>
</workbook>
</file>

<file path=xl/calcChain.xml><?xml version="1.0" encoding="utf-8"?>
<calcChain xmlns="http://schemas.openxmlformats.org/spreadsheetml/2006/main">
  <c r="C37" i="1"/>
  <c r="C42" s="1"/>
  <c r="I10" i="26"/>
  <c r="I11"/>
</calcChain>
</file>

<file path=xl/sharedStrings.xml><?xml version="1.0" encoding="utf-8"?>
<sst xmlns="http://schemas.openxmlformats.org/spreadsheetml/2006/main" count="2303" uniqueCount="541">
  <si>
    <r>
      <rPr>
        <b/>
        <sz val="10"/>
        <rFont val="Tahoma"/>
        <family val="2"/>
        <charset val="177"/>
      </rPr>
      <t>ק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  <charset val="177"/>
      </rPr>
      <t>ה לעובדי רשויות מקומיות בע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</rPr>
      <t>מ</t>
    </r>
  </si>
  <si>
    <r>
      <rPr>
        <b/>
        <sz val="10"/>
        <rFont val="Tahoma"/>
        <family val="2"/>
        <charset val="177"/>
      </rPr>
      <t>רום רביד אג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</rPr>
      <t>ח</t>
    </r>
  </si>
  <si>
    <t>1257</t>
  </si>
  <si>
    <t>2015-12-31</t>
  </si>
  <si>
    <r>
      <rPr>
        <b/>
        <sz val="8"/>
        <rFont val="Tahoma"/>
        <family val="2"/>
        <charset val="177"/>
      </rPr>
      <t>סכום נכסי ההשקעה</t>
    </r>
    <r>
      <rPr>
        <b/>
        <sz val="8"/>
        <rFont val="Tahoma"/>
        <family val="2"/>
        <charset val="177"/>
      </rPr>
      <t>:</t>
    </r>
  </si>
  <si>
    <t>שווי הוגן</t>
  </si>
  <si>
    <r>
      <rPr>
        <b/>
        <sz val="8"/>
        <rFont val="Tahoma"/>
        <family val="2"/>
        <charset val="177"/>
      </rPr>
      <t>שעור מנכסי השקעה</t>
    </r>
    <r>
      <rPr>
        <b/>
        <sz val="8"/>
        <rFont val="Tahoma"/>
        <family val="2"/>
        <charset val="177"/>
      </rPr>
      <t>*</t>
    </r>
  </si>
  <si>
    <r>
      <rPr>
        <b/>
        <sz val="8"/>
        <rFont val="Tahoma"/>
        <family val="2"/>
        <charset val="177"/>
      </rPr>
      <t>אלפי 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</si>
  <si>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אחוזים</t>
  </si>
  <si>
    <t>(1)</t>
  </si>
  <si>
    <t>(2)</t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</si>
  <si>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נכסים המוצגים לפי שווי הוגן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</si>
  <si>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</si>
  <si>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</si>
  <si>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(1)</t>
    </r>
    <r>
      <rPr>
        <b/>
        <sz val="8"/>
        <rFont val="Tahoma"/>
        <family val="2"/>
      </rPr>
      <t>תעודות התחייבות ממשלתיות</t>
    </r>
  </si>
  <si>
    <r>
      <rPr>
        <b/>
        <sz val="8"/>
        <rFont val="Tahoma"/>
        <family val="2"/>
      </rPr>
      <t>(2)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</si>
  <si>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</rPr>
      <t>(3)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ח קונצרני</t>
    </r>
  </si>
  <si>
    <r>
      <rPr>
        <b/>
        <sz val="8"/>
        <rFont val="Tahoma"/>
        <family val="2"/>
      </rPr>
      <t>(4)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</si>
  <si>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</si>
  <si>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תעודות השתתפות בקרנות נאמנות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</si>
  <si>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</si>
  <si>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</si>
  <si>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</si>
  <si>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(10)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</si>
  <si>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לא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</si>
  <si>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</si>
  <si>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</si>
  <si>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</si>
  <si>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</si>
  <si>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</si>
  <si>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</si>
  <si>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</si>
  <si>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זכויות מקרקעין</t>
    </r>
  </si>
  <si>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השקעה בחברות מוחזקות</t>
    </r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</si>
  <si>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השקעות אחרות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</si>
  <si>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נכסים המוצגים לפי עלות מתואמת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</si>
  <si>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</si>
  <si>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</si>
  <si>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</si>
  <si>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כ סכום נכסי המסלול או הקרן</t>
    </r>
  </si>
  <si>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יתרות התחייבות להשקעה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</si>
  <si>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</rPr>
      <t>בהתאם לשיטה שיושמה בדוח הכספי</t>
    </r>
  </si>
  <si>
    <t>שם מטבע</t>
  </si>
  <si>
    <r>
      <rPr>
        <b/>
        <sz val="8"/>
        <rFont val="Tahoma"/>
        <family val="2"/>
        <charset val="177"/>
      </rPr>
      <t>שע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</si>
  <si>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14:25:40</t>
  </si>
  <si>
    <t>2016-01-06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</si>
  <si>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 ושווי מזומנים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</si>
  <si>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</si>
  <si>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מספר ני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ע</t>
    </r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</si>
  <si>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</si>
  <si>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</si>
  <si>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</si>
  <si>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</si>
  <si>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</si>
  <si>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</si>
  <si>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</si>
  <si>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</si>
  <si>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</si>
  <si>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</si>
  <si>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</si>
  <si>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</si>
  <si>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</si>
  <si>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</si>
  <si>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</si>
  <si>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</si>
  <si>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</si>
  <si>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מזומנים ושווי מזומנים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</si>
  <si>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</si>
  <si>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בש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</si>
  <si>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ייתרות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</si>
  <si>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פח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ק פר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י</t>
    </r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</si>
  <si>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שקל חדש</t>
    </r>
  </si>
  <si>
    <t>12 - 111111222</t>
  </si>
  <si>
    <t>12</t>
  </si>
  <si>
    <t>AA+</t>
  </si>
  <si>
    <t>S&amp;P</t>
  </si>
  <si>
    <t>שקל חדש</t>
  </si>
  <si>
    <r>
      <rPr>
        <b/>
        <sz val="8"/>
        <rFont val="Tahoma"/>
        <family val="2"/>
        <charset val="177"/>
      </rPr>
      <t>פק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 לתקופה של עד שלושה חודשים</t>
    </r>
  </si>
  <si>
    <t>פקדון צמוד מדד עד שלושה חודשים</t>
  </si>
  <si>
    <r>
      <rPr>
        <b/>
        <sz val="8"/>
        <rFont val="Tahoma"/>
        <family val="2"/>
        <charset val="177"/>
      </rPr>
      <t>פקדון צמוד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עד שלושה חודשים</t>
    </r>
    <r>
      <rPr>
        <b/>
        <sz val="8"/>
        <rFont val="Tahoma"/>
        <family val="2"/>
      </rPr>
      <t>(</t>
    </r>
    <r>
      <rPr>
        <b/>
        <sz val="8"/>
        <rFont val="Tahoma"/>
        <family val="2"/>
        <charset val="177"/>
      </rPr>
      <t>פצ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מ</t>
    </r>
    <r>
      <rPr>
        <b/>
        <sz val="8"/>
        <rFont val="Tahoma"/>
        <family val="2"/>
        <charset val="177"/>
      </rPr>
      <t>)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</si>
  <si>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</si>
  <si>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</si>
  <si>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פקדונות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עד שלושה חודשים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</si>
  <si>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  <charset val="177"/>
      </rPr>
      <t>בעל ענין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צד קשור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</si>
  <si>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סחירים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</si>
  <si>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</rPr>
      <t>תעודות התחייבות ממשליות</t>
    </r>
  </si>
  <si>
    <t>זירת מסחר</t>
  </si>
  <si>
    <r>
      <rPr>
        <b/>
        <sz val="8"/>
        <rFont val="Tahoma"/>
        <family val="2"/>
        <charset val="177"/>
      </rPr>
      <t>מח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</t>
    </r>
  </si>
  <si>
    <t>ערך נקוב</t>
  </si>
  <si>
    <t>שער</t>
  </si>
  <si>
    <t>שעור מערך נקוב מונפק</t>
  </si>
  <si>
    <r>
      <rPr>
        <b/>
        <sz val="8"/>
        <rFont val="Tahoma"/>
        <family val="2"/>
        <charset val="177"/>
      </rPr>
      <t>שעור מסך נכסי השקעה</t>
    </r>
    <r>
      <rPr>
        <b/>
        <sz val="8"/>
        <rFont val="Tahoma"/>
        <family val="2"/>
        <charset val="177"/>
      </rPr>
      <t>**</t>
    </r>
  </si>
  <si>
    <t>שנים</t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</si>
  <si>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</si>
  <si>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אגורות</t>
  </si>
  <si>
    <t>(11)</t>
  </si>
  <si>
    <t>(12)</t>
  </si>
  <si>
    <t>(13)</t>
  </si>
  <si>
    <t>(14)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</si>
  <si>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התחייבויות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</si>
  <si>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מדד</t>
    </r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</si>
  <si>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418</t>
    </r>
  </si>
  <si>
    <t>1108927</t>
  </si>
  <si>
    <t>TASE</t>
  </si>
  <si>
    <t>RF</t>
  </si>
  <si>
    <t>ללא דירוג</t>
  </si>
  <si>
    <r>
      <rPr>
        <sz val="8"/>
        <rFont val="Tahoma"/>
        <family val="2"/>
        <charset val="177"/>
      </rPr>
      <t>גליל</t>
    </r>
    <r>
      <rPr>
        <sz val="8"/>
        <rFont val="Tahoma"/>
        <family val="2"/>
        <charset val="177"/>
      </rPr>
      <t>5903</t>
    </r>
  </si>
  <si>
    <t>9590332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</si>
  <si>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1019</t>
    </r>
  </si>
  <si>
    <t>1114750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</si>
  <si>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0517</t>
    </r>
  </si>
  <si>
    <t>1125905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</si>
  <si>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</si>
  <si>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sz val="8"/>
        <rFont val="Tahoma"/>
        <family val="2"/>
        <charset val="177"/>
      </rPr>
      <t>ממשל משתנה</t>
    </r>
    <r>
      <rPr>
        <sz val="8"/>
        <rFont val="Tahoma"/>
        <family val="2"/>
        <charset val="177"/>
      </rPr>
      <t>817</t>
    </r>
  </si>
  <si>
    <t>1106970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</si>
  <si>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0219</t>
    </r>
  </si>
  <si>
    <t>1110907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</si>
  <si>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0120</t>
    </r>
  </si>
  <si>
    <t>1115773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</si>
  <si>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0816</t>
    </r>
  </si>
  <si>
    <t>1122019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</si>
  <si>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0118</t>
    </r>
  </si>
  <si>
    <t>1126218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</si>
  <si>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לדולר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</si>
  <si>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של ממשלת ישראל שהונפקו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</si>
  <si>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</si>
  <si>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**</t>
    </r>
    <r>
      <rPr>
        <b/>
        <sz val="8"/>
        <rFont val="Tahoma"/>
        <family val="2"/>
      </rPr>
      <t>בהתאם לשיטה שיושמה בדוח הכספי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</si>
  <si>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</rPr>
      <t>תעודות חוב מסחריות</t>
    </r>
  </si>
  <si>
    <t>ספק המידע</t>
  </si>
  <si>
    <t>ענף מסחר</t>
  </si>
  <si>
    <t>תאריך רכישה</t>
  </si>
  <si>
    <t>(15)</t>
  </si>
  <si>
    <t>(16)</t>
  </si>
  <si>
    <t>(17)</t>
  </si>
  <si>
    <t>(18)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</si>
  <si>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</si>
  <si>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</si>
  <si>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</si>
  <si>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</si>
  <si>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ישראליות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</si>
  <si>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3.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</si>
  <si>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t>שם נייר ערך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</si>
  <si>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אגרות חוב קונצרניות</t>
    </r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</si>
  <si>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35</t>
    </r>
  </si>
  <si>
    <t>2310118</t>
  </si>
  <si>
    <t>231</t>
  </si>
  <si>
    <t>בנקים</t>
  </si>
  <si>
    <t>AAA</t>
  </si>
  <si>
    <t>מעלות</t>
  </si>
  <si>
    <r>
      <rPr>
        <sz val="8"/>
        <rFont val="Tahoma"/>
        <family val="2"/>
        <charset val="177"/>
      </rPr>
      <t>מזרחי טפחות הנפקות</t>
    </r>
    <r>
      <rPr>
        <sz val="8"/>
        <rFont val="Tahoma"/>
        <family val="2"/>
        <charset val="177"/>
      </rPr>
      <t>36</t>
    </r>
  </si>
  <si>
    <t>2310126</t>
  </si>
  <si>
    <r>
      <rPr>
        <sz val="8"/>
        <rFont val="Tahoma"/>
        <family val="2"/>
        <charset val="177"/>
      </rPr>
      <t>מזרחי טפ הנפק</t>
    </r>
    <r>
      <rPr>
        <sz val="8"/>
        <rFont val="Tahoma"/>
        <family val="2"/>
        <charset val="177"/>
      </rPr>
      <t>38</t>
    </r>
  </si>
  <si>
    <t>2310142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</si>
  <si>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39</t>
    </r>
  </si>
  <si>
    <t>2310159</t>
  </si>
  <si>
    <t>לאומי התחייבות נדחה ח</t>
  </si>
  <si>
    <t>6040232</t>
  </si>
  <si>
    <t>604</t>
  </si>
  <si>
    <t>לאומי התחייבות נדחה יב</t>
  </si>
  <si>
    <t>6040273</t>
  </si>
  <si>
    <t>לאומי התחייבות נדחה יד</t>
  </si>
  <si>
    <t>6040299</t>
  </si>
  <si>
    <r>
      <rPr>
        <sz val="8"/>
        <rFont val="Tahoma"/>
        <family val="2"/>
        <charset val="177"/>
      </rPr>
      <t>מזרחי טפחות</t>
    </r>
    <r>
      <rPr>
        <sz val="8"/>
        <rFont val="Tahoma"/>
        <family val="2"/>
        <charset val="177"/>
      </rPr>
      <t>30</t>
    </r>
  </si>
  <si>
    <t>2310068</t>
  </si>
  <si>
    <r>
      <rPr>
        <sz val="8"/>
        <rFont val="Tahoma"/>
        <family val="2"/>
        <charset val="177"/>
      </rPr>
      <t>מזרחי הנפ הת</t>
    </r>
    <r>
      <rPr>
        <sz val="8"/>
        <rFont val="Tahoma"/>
        <family val="2"/>
        <charset val="177"/>
      </rPr>
      <t>31</t>
    </r>
  </si>
  <si>
    <t>2310076</t>
  </si>
  <si>
    <r>
      <rPr>
        <sz val="8"/>
        <rFont val="Tahoma"/>
        <family val="2"/>
      </rPr>
      <t>20.6.2016 .</t>
    </r>
    <r>
      <rPr>
        <sz val="8"/>
        <rFont val="Tahoma"/>
        <family val="2"/>
        <charset val="177"/>
      </rPr>
      <t>פועלים הנפקות הת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</t>
    </r>
    <r>
      <rPr>
        <sz val="8"/>
        <rFont val="Tahoma"/>
        <family val="2"/>
      </rPr>
      <t>'</t>
    </r>
    <r>
      <rPr>
        <sz val="8"/>
        <rFont val="Tahoma"/>
        <family val="2"/>
      </rPr>
      <t>זפ</t>
    </r>
  </si>
  <si>
    <t>1940105</t>
  </si>
  <si>
    <t>194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</si>
  <si>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פועלים הנפקות סד</t>
    </r>
    <r>
      <rPr>
        <sz val="8"/>
        <rFont val="Tahoma"/>
        <family val="2"/>
      </rPr>
      <t>'</t>
    </r>
    <r>
      <rPr>
        <sz val="8"/>
        <rFont val="Tahoma"/>
        <family val="2"/>
      </rPr>
      <t>ט</t>
    </r>
  </si>
  <si>
    <t>1940386</t>
  </si>
  <si>
    <r>
      <rPr>
        <sz val="8"/>
        <rFont val="Tahoma"/>
        <family val="2"/>
        <charset val="177"/>
      </rPr>
      <t>פועלים הנפקות התח י</t>
    </r>
    <r>
      <rPr>
        <sz val="8"/>
        <rFont val="Tahoma"/>
        <family val="2"/>
        <charset val="177"/>
      </rPr>
      <t>'</t>
    </r>
  </si>
  <si>
    <t>1940402</t>
  </si>
  <si>
    <t>פועלים הנפקות הת יד</t>
  </si>
  <si>
    <t>1940501</t>
  </si>
  <si>
    <t>ארפורט אגח ב</t>
  </si>
  <si>
    <t>1121045</t>
  </si>
  <si>
    <t>1300</t>
  </si>
  <si>
    <r>
      <rPr>
        <sz val="8"/>
        <rFont val="Tahoma"/>
        <family val="2"/>
        <charset val="177"/>
      </rPr>
      <t>נדל</t>
    </r>
    <r>
      <rPr>
        <sz val="8"/>
        <rFont val="Tahoma"/>
        <family val="2"/>
      </rPr>
      <t>"</t>
    </r>
    <r>
      <rPr>
        <sz val="8"/>
        <rFont val="Tahoma"/>
        <family val="2"/>
      </rPr>
      <t>ן ובינוי</t>
    </r>
  </si>
  <si>
    <t>AA</t>
  </si>
  <si>
    <t>ארפורט סטי אגח ג</t>
  </si>
  <si>
    <t>1122670</t>
  </si>
  <si>
    <t>ארפורט אגח ד</t>
  </si>
  <si>
    <t>1130426</t>
  </si>
  <si>
    <r>
      <rPr>
        <sz val="8"/>
        <rFont val="Tahoma"/>
        <family val="2"/>
        <charset val="177"/>
      </rPr>
      <t>בזק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  <charset val="177"/>
      </rPr>
      <t>5</t>
    </r>
  </si>
  <si>
    <t>2300069</t>
  </si>
  <si>
    <t>230</t>
  </si>
  <si>
    <t>תקשורת ומדיה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</si>
  <si>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6</t>
    </r>
  </si>
  <si>
    <t>2300143</t>
  </si>
  <si>
    <r>
      <rPr>
        <sz val="8"/>
        <rFont val="Tahoma"/>
        <family val="2"/>
        <charset val="177"/>
      </rPr>
      <t>בינלאומי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ה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2017.6.11</t>
    </r>
  </si>
  <si>
    <t>1105576</t>
  </si>
  <si>
    <t>1153</t>
  </si>
  <si>
    <t>בינל הנפקות התח כ</t>
  </si>
  <si>
    <t>1121953</t>
  </si>
  <si>
    <t>בינלאומי הנפ התח כא</t>
  </si>
  <si>
    <t>1126598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</si>
  <si>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הראל ביטוח מימון אג</t>
    </r>
    <r>
      <rPr>
        <sz val="8"/>
        <rFont val="Tahoma"/>
        <family val="2"/>
      </rPr>
      <t>"</t>
    </r>
    <r>
      <rPr>
        <sz val="8"/>
        <rFont val="Tahoma"/>
        <family val="2"/>
      </rPr>
      <t>ח א</t>
    </r>
  </si>
  <si>
    <t>1099738</t>
  </si>
  <si>
    <t>1175</t>
  </si>
  <si>
    <t>ביטוח</t>
  </si>
  <si>
    <r>
      <rPr>
        <sz val="8"/>
        <rFont val="Tahoma"/>
        <family val="2"/>
        <charset val="177"/>
      </rPr>
      <t>וילאר אגח א 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2017.12.31</t>
    </r>
  </si>
  <si>
    <t>4160099</t>
  </si>
  <si>
    <t>416</t>
  </si>
  <si>
    <r>
      <rPr>
        <sz val="8"/>
        <rFont val="Tahoma"/>
        <family val="2"/>
        <charset val="177"/>
      </rPr>
      <t>כללביט מימון אגח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2021.6.1</t>
    </r>
  </si>
  <si>
    <t>1097138</t>
  </si>
  <si>
    <t>1324</t>
  </si>
  <si>
    <t>נצבא החזקות אגח ה</t>
  </si>
  <si>
    <t>1120468</t>
  </si>
  <si>
    <t>1043</t>
  </si>
  <si>
    <r>
      <rPr>
        <sz val="8"/>
        <rFont val="Tahoma"/>
        <family val="2"/>
        <charset val="177"/>
      </rPr>
      <t>שטראוס עלית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  <charset val="177"/>
      </rPr>
      <t>2</t>
    </r>
  </si>
  <si>
    <t>7460140</t>
  </si>
  <si>
    <t>746</t>
  </si>
  <si>
    <t>מזון</t>
  </si>
  <si>
    <t>Aa2</t>
  </si>
  <si>
    <t>מידרוג</t>
  </si>
  <si>
    <r>
      <rPr>
        <sz val="8"/>
        <rFont val="Tahoma"/>
        <family val="2"/>
        <charset val="177"/>
      </rPr>
      <t>ריט</t>
    </r>
    <r>
      <rPr>
        <sz val="8"/>
        <rFont val="Tahoma"/>
        <family val="2"/>
      </rPr>
      <t>1</t>
    </r>
    <r>
      <rPr>
        <sz val="8"/>
        <rFont val="Tahoma"/>
        <family val="2"/>
      </rPr>
      <t>אגח ג</t>
    </r>
  </si>
  <si>
    <t>1120021</t>
  </si>
  <si>
    <t>1357</t>
  </si>
  <si>
    <t>AA-</t>
  </si>
  <si>
    <t>אגוד הנפ אגח ו</t>
  </si>
  <si>
    <t>1126762</t>
  </si>
  <si>
    <t>1239</t>
  </si>
  <si>
    <t>Aa3</t>
  </si>
  <si>
    <r>
      <rPr>
        <sz val="8"/>
        <rFont val="Tahoma"/>
        <family val="2"/>
        <charset val="177"/>
      </rPr>
      <t>אלוני חץ אג</t>
    </r>
    <r>
      <rPr>
        <sz val="8"/>
        <rFont val="Tahoma"/>
        <family val="2"/>
      </rPr>
      <t>"</t>
    </r>
    <r>
      <rPr>
        <sz val="8"/>
        <rFont val="Tahoma"/>
        <family val="2"/>
      </rPr>
      <t>ח ו</t>
    </r>
  </si>
  <si>
    <t>3900206</t>
  </si>
  <si>
    <t>390</t>
  </si>
  <si>
    <t>אלוני חץ אגח ח</t>
  </si>
  <si>
    <t>3900271</t>
  </si>
  <si>
    <r>
      <rPr>
        <sz val="8"/>
        <rFont val="Tahoma"/>
        <family val="2"/>
        <charset val="177"/>
      </rPr>
      <t>אמות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2019.7.5</t>
    </r>
  </si>
  <si>
    <t>1097385</t>
  </si>
  <si>
    <t>1328</t>
  </si>
  <si>
    <t>אמות אגח ג</t>
  </si>
  <si>
    <t>1117357</t>
  </si>
  <si>
    <r>
      <rPr>
        <sz val="8"/>
        <rFont val="Tahoma"/>
        <family val="2"/>
        <charset val="177"/>
      </rPr>
      <t>בריטיש ישר אגח ג 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2023.5.30</t>
    </r>
  </si>
  <si>
    <t>1117423</t>
  </si>
  <si>
    <t>1438</t>
  </si>
  <si>
    <r>
      <rPr>
        <sz val="8"/>
        <rFont val="Tahoma"/>
        <family val="2"/>
        <charset val="177"/>
      </rPr>
      <t>גב ים אגח ה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2018.4.1</t>
    </r>
  </si>
  <si>
    <t>7590110</t>
  </si>
  <si>
    <t>759</t>
  </si>
  <si>
    <r>
      <rPr>
        <sz val="8"/>
        <rFont val="Tahoma"/>
        <family val="2"/>
        <charset val="177"/>
      </rPr>
      <t>גזית גלוב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  <charset val="177"/>
      </rPr>
      <t>3</t>
    </r>
  </si>
  <si>
    <t>1260306</t>
  </si>
  <si>
    <t>126</t>
  </si>
  <si>
    <r>
      <rPr>
        <sz val="8"/>
        <rFont val="Tahoma"/>
        <family val="2"/>
        <charset val="177"/>
      </rPr>
      <t>גזית גלוב אגח ט 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2018.7.1</t>
    </r>
  </si>
  <si>
    <t>1260462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</si>
  <si>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מנפיקים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להנפק</t>
    </r>
    <r>
      <rPr>
        <sz val="8"/>
        <rFont val="Tahoma"/>
        <family val="2"/>
      </rPr>
      <t>.</t>
    </r>
    <r>
      <rPr>
        <sz val="8"/>
        <rFont val="Tahoma"/>
        <family val="2"/>
      </rPr>
      <t>בנק דסקונט א</t>
    </r>
  </si>
  <si>
    <t>7480015</t>
  </si>
  <si>
    <t>748</t>
  </si>
  <si>
    <r>
      <rPr>
        <sz val="8"/>
        <rFont val="Tahoma"/>
        <family val="2"/>
        <charset val="177"/>
      </rPr>
      <t>דיסקונט מנפיקים ד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זפ</t>
    </r>
    <r>
      <rPr>
        <sz val="8"/>
        <rFont val="Tahoma"/>
        <family val="2"/>
        <charset val="177"/>
      </rPr>
      <t>2022.10.30</t>
    </r>
  </si>
  <si>
    <t>7480049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</si>
  <si>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מנפיקים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להנפקות כ</t>
    </r>
    <r>
      <rPr>
        <sz val="8"/>
        <rFont val="Tahoma"/>
        <family val="2"/>
      </rPr>
      <t>.</t>
    </r>
    <r>
      <rPr>
        <sz val="8"/>
        <rFont val="Tahoma"/>
        <family val="2"/>
      </rPr>
      <t>התחיבות ב</t>
    </r>
  </si>
  <si>
    <t>7480023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</si>
  <si>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דקסיה אג</t>
    </r>
    <r>
      <rPr>
        <sz val="8"/>
        <rFont val="Tahoma"/>
        <family val="2"/>
      </rPr>
      <t>"</t>
    </r>
    <r>
      <rPr>
        <sz val="8"/>
        <rFont val="Tahoma"/>
        <family val="2"/>
      </rPr>
      <t>ח ב</t>
    </r>
  </si>
  <si>
    <t>1291</t>
  </si>
  <si>
    <t>דקסיה ישראל הנפקות אגח ז</t>
  </si>
  <si>
    <t>הראל הנפקות אגח ט</t>
  </si>
  <si>
    <t>1134030</t>
  </si>
  <si>
    <t>1367</t>
  </si>
  <si>
    <t>הראל הנפקות אגח י</t>
  </si>
  <si>
    <t>1134048</t>
  </si>
  <si>
    <t>מליסרון אגח ד</t>
  </si>
  <si>
    <t>3230083</t>
  </si>
  <si>
    <t>323</t>
  </si>
  <si>
    <t>מליסרון אגח ו</t>
  </si>
  <si>
    <t>3230125</t>
  </si>
  <si>
    <r>
      <rPr>
        <sz val="8"/>
        <rFont val="Tahoma"/>
        <family val="2"/>
        <charset val="177"/>
      </rPr>
      <t>אגוד הנפקות התח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2017.1.22</t>
    </r>
  </si>
  <si>
    <t>1101005</t>
  </si>
  <si>
    <t>A1</t>
  </si>
  <si>
    <t>ביג אגח ג</t>
  </si>
  <si>
    <t>1106947</t>
  </si>
  <si>
    <t>1327</t>
  </si>
  <si>
    <t>A+</t>
  </si>
  <si>
    <t>דלק קבוצה אגח יח</t>
  </si>
  <si>
    <t>1115823</t>
  </si>
  <si>
    <t>1095</t>
  </si>
  <si>
    <t>השקעה ואחזקות</t>
  </si>
  <si>
    <r>
      <rPr>
        <sz val="8"/>
        <rFont val="Tahoma"/>
        <family val="2"/>
        <charset val="177"/>
      </rPr>
      <t>פניקס אגח</t>
    </r>
    <r>
      <rPr>
        <sz val="8"/>
        <rFont val="Tahoma"/>
        <family val="2"/>
        <charset val="177"/>
      </rPr>
      <t>1</t>
    </r>
  </si>
  <si>
    <t>7670102</t>
  </si>
  <si>
    <t>767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</si>
  <si>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  <charset val="177"/>
      </rPr>
      <t>7</t>
    </r>
  </si>
  <si>
    <t>5760160</t>
  </si>
  <si>
    <t>576</t>
  </si>
  <si>
    <t>ירושלים הנפקות אגח ט</t>
  </si>
  <si>
    <t>1127422</t>
  </si>
  <si>
    <t>1248</t>
  </si>
  <si>
    <r>
      <rPr>
        <sz val="8"/>
        <rFont val="Tahoma"/>
        <family val="2"/>
        <charset val="177"/>
      </rPr>
      <t>מזרחי טפחות אגח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2106.1.2</t>
    </r>
  </si>
  <si>
    <t>6950083</t>
  </si>
  <si>
    <t>695</t>
  </si>
  <si>
    <r>
      <rPr>
        <sz val="8"/>
        <rFont val="Tahoma"/>
        <family val="2"/>
        <charset val="177"/>
      </rPr>
      <t>נורסטאר החזקות אג</t>
    </r>
    <r>
      <rPr>
        <sz val="8"/>
        <rFont val="Tahoma"/>
        <family val="2"/>
      </rPr>
      <t>"</t>
    </r>
    <r>
      <rPr>
        <sz val="8"/>
        <rFont val="Tahoma"/>
        <family val="2"/>
      </rPr>
      <t>ח ט</t>
    </r>
  </si>
  <si>
    <t>7230303</t>
  </si>
  <si>
    <t>723</t>
  </si>
  <si>
    <r>
      <rPr>
        <sz val="8"/>
        <rFont val="Tahoma"/>
        <family val="2"/>
      </rPr>
      <t>.</t>
    </r>
    <r>
      <rPr>
        <sz val="8"/>
        <rFont val="Tahoma"/>
        <family val="2"/>
      </rPr>
      <t>סלקום אגח ד</t>
    </r>
  </si>
  <si>
    <t>1107333</t>
  </si>
  <si>
    <t>2066</t>
  </si>
  <si>
    <r>
      <rPr>
        <sz val="8"/>
        <rFont val="Tahoma"/>
        <family val="2"/>
        <charset val="177"/>
      </rPr>
      <t>סלקום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2017.1.5</t>
    </r>
  </si>
  <si>
    <t>1096270</t>
  </si>
  <si>
    <r>
      <rPr>
        <sz val="8"/>
        <rFont val="Tahoma"/>
        <family val="2"/>
        <charset val="177"/>
      </rPr>
      <t>סלקום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</rPr>
      <t>2017.1.5 -</t>
    </r>
    <r>
      <rPr>
        <sz val="8"/>
        <rFont val="Tahoma"/>
        <family val="2"/>
      </rPr>
      <t>פדיון לקבל</t>
    </r>
  </si>
  <si>
    <t>10962700</t>
  </si>
  <si>
    <t>סלקום אגח ו</t>
  </si>
  <si>
    <t>1125996</t>
  </si>
  <si>
    <r>
      <rPr>
        <sz val="8"/>
        <rFont val="Tahoma"/>
        <family val="2"/>
        <charset val="177"/>
      </rPr>
      <t>בנק הפועלים 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ה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2100.12.28</t>
    </r>
  </si>
  <si>
    <t>6620207</t>
  </si>
  <si>
    <t>662</t>
  </si>
  <si>
    <t>פרטנר אגח ג</t>
  </si>
  <si>
    <t>1118827</t>
  </si>
  <si>
    <t>2095</t>
  </si>
  <si>
    <r>
      <rPr>
        <sz val="8"/>
        <rFont val="Tahoma"/>
        <family val="2"/>
        <charset val="177"/>
      </rPr>
      <t>שכון ובי אגח</t>
    </r>
    <r>
      <rPr>
        <sz val="8"/>
        <rFont val="Tahoma"/>
        <family val="2"/>
        <charset val="177"/>
      </rPr>
      <t>4</t>
    </r>
  </si>
  <si>
    <t>1117910</t>
  </si>
  <si>
    <t>1068</t>
  </si>
  <si>
    <r>
      <rPr>
        <sz val="8"/>
        <rFont val="Tahoma"/>
        <family val="2"/>
        <charset val="177"/>
      </rPr>
      <t>שכון ובי אגח</t>
    </r>
    <r>
      <rPr>
        <sz val="8"/>
        <rFont val="Tahoma"/>
        <family val="2"/>
        <charset val="177"/>
      </rPr>
      <t>5</t>
    </r>
  </si>
  <si>
    <t>1125210</t>
  </si>
  <si>
    <r>
      <rPr>
        <sz val="8"/>
        <rFont val="Tahoma"/>
        <family val="2"/>
        <charset val="177"/>
      </rPr>
      <t>קב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דלק אגח יג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2021.9.29</t>
    </r>
  </si>
  <si>
    <t>1105543</t>
  </si>
  <si>
    <t>A</t>
  </si>
  <si>
    <r>
      <rPr>
        <sz val="8"/>
        <rFont val="Tahoma"/>
        <family val="2"/>
        <charset val="177"/>
      </rPr>
      <t>נכסים ובנין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ג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112017.24</t>
    </r>
  </si>
  <si>
    <t>6990139</t>
  </si>
  <si>
    <t>699</t>
  </si>
  <si>
    <r>
      <rPr>
        <sz val="8"/>
        <rFont val="Tahoma"/>
        <family val="2"/>
      </rPr>
      <t>F</t>
    </r>
    <r>
      <rPr>
        <sz val="8"/>
        <rFont val="Tahoma"/>
        <family val="2"/>
      </rPr>
      <t>רבוע נלן אגח</t>
    </r>
  </si>
  <si>
    <t>1119999</t>
  </si>
  <si>
    <t>1349</t>
  </si>
  <si>
    <t>A3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</si>
  <si>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אי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בי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לפתוח אג</t>
    </r>
    <r>
      <rPr>
        <sz val="8"/>
        <rFont val="Tahoma"/>
        <family val="2"/>
      </rPr>
      <t>"</t>
    </r>
    <r>
      <rPr>
        <sz val="8"/>
        <rFont val="Tahoma"/>
        <family val="2"/>
      </rPr>
      <t>ח ז</t>
    </r>
  </si>
  <si>
    <t>7980121</t>
  </si>
  <si>
    <t>798</t>
  </si>
  <si>
    <t>B</t>
  </si>
  <si>
    <t>אלביט הד אגח ח</t>
  </si>
  <si>
    <t>1131267</t>
  </si>
  <si>
    <t>1039</t>
  </si>
  <si>
    <t>אלביט הד אגח ט</t>
  </si>
  <si>
    <t>1131275</t>
  </si>
  <si>
    <t>דלק אנרגיה אגחה</t>
  </si>
  <si>
    <t>5650114</t>
  </si>
  <si>
    <t>565</t>
  </si>
  <si>
    <t>חיפושי נפט וגז</t>
  </si>
  <si>
    <r>
      <rPr>
        <sz val="8"/>
        <rFont val="Tahoma"/>
        <family val="2"/>
        <charset val="177"/>
      </rPr>
      <t>נפטא אג</t>
    </r>
    <r>
      <rPr>
        <sz val="8"/>
        <rFont val="Tahoma"/>
        <family val="2"/>
      </rPr>
      <t>"</t>
    </r>
    <r>
      <rPr>
        <sz val="8"/>
        <rFont val="Tahoma"/>
        <family val="2"/>
      </rPr>
      <t>ח א</t>
    </r>
  </si>
  <si>
    <t>6430102</t>
  </si>
  <si>
    <t>643</t>
  </si>
  <si>
    <r>
      <rPr>
        <sz val="8"/>
        <rFont val="Tahoma"/>
        <family val="2"/>
        <charset val="177"/>
      </rPr>
      <t>פועלים הנ אג</t>
    </r>
    <r>
      <rPr>
        <sz val="8"/>
        <rFont val="Tahoma"/>
        <family val="2"/>
        <charset val="177"/>
      </rPr>
      <t>29</t>
    </r>
  </si>
  <si>
    <t>1940485</t>
  </si>
  <si>
    <t>לאומי התחייבות נדחה יג</t>
  </si>
  <si>
    <t>6040281</t>
  </si>
  <si>
    <r>
      <rPr>
        <sz val="8"/>
        <rFont val="Tahoma"/>
        <family val="2"/>
        <charset val="177"/>
      </rPr>
      <t>פועלים הנפקות יא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2021.3.28</t>
    </r>
  </si>
  <si>
    <t>1940410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</si>
  <si>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7</t>
    </r>
  </si>
  <si>
    <t>2300150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</si>
  <si>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8</t>
    </r>
  </si>
  <si>
    <t>2300168</t>
  </si>
  <si>
    <t>תעש אוירית אגח ג</t>
  </si>
  <si>
    <t>1127547</t>
  </si>
  <si>
    <t>1457</t>
  </si>
  <si>
    <t>ביטחוניות</t>
  </si>
  <si>
    <t>גב ים אגח ז</t>
  </si>
  <si>
    <t>7590144</t>
  </si>
  <si>
    <r>
      <rPr>
        <sz val="8"/>
        <rFont val="Tahoma"/>
        <family val="2"/>
        <charset val="177"/>
      </rPr>
      <t>גזית גלוב אגח ה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2017.12.31</t>
    </r>
  </si>
  <si>
    <t>1260421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</si>
  <si>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דיסקונט מנפיקים הת</t>
    </r>
    <r>
      <rPr>
        <sz val="8"/>
        <rFont val="Tahoma"/>
        <family val="2"/>
      </rPr>
      <t>.</t>
    </r>
    <r>
      <rPr>
        <sz val="8"/>
        <rFont val="Tahoma"/>
        <family val="2"/>
      </rPr>
      <t>ה</t>
    </r>
  </si>
  <si>
    <t>7480031</t>
  </si>
  <si>
    <t>דיסקונט מנ הת ט</t>
  </si>
  <si>
    <t>7480106</t>
  </si>
  <si>
    <t>פניקס הון אג ג</t>
  </si>
  <si>
    <t>1120807</t>
  </si>
  <si>
    <t>1527</t>
  </si>
  <si>
    <t>פניקס הון אגח ו</t>
  </si>
  <si>
    <t>1136696</t>
  </si>
  <si>
    <t>הראל הנפקות אגח ב</t>
  </si>
  <si>
    <t>1119197</t>
  </si>
  <si>
    <t>כללביט אגח ו</t>
  </si>
  <si>
    <t>1120138</t>
  </si>
  <si>
    <t>פז נפט אגח ג</t>
  </si>
  <si>
    <t>1114073</t>
  </si>
  <si>
    <t>1363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</si>
  <si>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  <charset val="177"/>
      </rPr>
      <t>9</t>
    </r>
  </si>
  <si>
    <t>5760202</t>
  </si>
  <si>
    <t>פרטנר אגח ה</t>
  </si>
  <si>
    <t>1118843</t>
  </si>
  <si>
    <t>פרטנר אגח ד</t>
  </si>
  <si>
    <t>1118835</t>
  </si>
  <si>
    <r>
      <rPr>
        <sz val="8"/>
        <rFont val="Tahoma"/>
        <family val="2"/>
        <charset val="177"/>
      </rPr>
      <t>שכון ובינוי אגח</t>
    </r>
    <r>
      <rPr>
        <sz val="8"/>
        <rFont val="Tahoma"/>
        <family val="2"/>
        <charset val="177"/>
      </rPr>
      <t>3</t>
    </r>
  </si>
  <si>
    <t>1115500</t>
  </si>
  <si>
    <t>שופרסל אגח ג</t>
  </si>
  <si>
    <t>7770167</t>
  </si>
  <si>
    <t>777</t>
  </si>
  <si>
    <t>מסחר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</si>
  <si>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למדד אחר</t>
    </r>
  </si>
  <si>
    <r>
      <rPr>
        <b/>
        <sz val="8"/>
        <rFont val="Tahoma"/>
        <family val="2"/>
      </rPr>
      <t>.4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</si>
  <si>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</si>
  <si>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25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</si>
  <si>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75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</si>
  <si>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 היתר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</si>
  <si>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</t>
    </r>
    <r>
      <rPr>
        <b/>
        <sz val="8"/>
        <rFont val="Tahoma"/>
        <family val="2"/>
        <charset val="177"/>
      </rPr>
      <t>Call 001</t>
    </r>
  </si>
  <si>
    <t>LONG</t>
  </si>
  <si>
    <t>SHORT</t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</si>
  <si>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</si>
  <si>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</si>
  <si>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</si>
  <si>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 מניות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</si>
  <si>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</si>
  <si>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מדדים אחרים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</si>
  <si>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</si>
  <si>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</t>
    </r>
    <r>
      <rPr>
        <b/>
        <sz val="8"/>
        <rFont val="Tahoma"/>
        <family val="2"/>
        <charset val="177"/>
      </rPr>
      <t>Short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</si>
  <si>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</si>
  <si>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</si>
  <si>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</si>
  <si>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קרנות נאמנות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</si>
  <si>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השתתפות בקרנות נאמנות</t>
    </r>
  </si>
  <si>
    <t>תעודות השתתפות בקרנות נאמנות בישראל</t>
  </si>
  <si>
    <r>
      <rPr>
        <b/>
        <sz val="8"/>
        <rFont val="Tahoma"/>
        <family val="2"/>
        <charset val="177"/>
      </rPr>
      <t>תעודות השתתפות בקרנות נאמנות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</si>
  <si>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</si>
  <si>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כתבי אופציה</t>
    </r>
  </si>
  <si>
    <t>כתבי אופציה בישראל</t>
  </si>
  <si>
    <r>
      <rPr>
        <b/>
        <sz val="8"/>
        <rFont val="Tahoma"/>
        <family val="2"/>
        <charset val="177"/>
      </rPr>
      <t>כתבי אופציה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</si>
  <si>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</si>
  <si>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</si>
  <si>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</si>
  <si>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מדדים כולל מניות</t>
    </r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</si>
  <si>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</si>
  <si>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ריבית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</si>
  <si>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מטבע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</si>
  <si>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סחורות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</si>
  <si>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</si>
  <si>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</t>
    </r>
  </si>
  <si>
    <r>
      <rPr>
        <b/>
        <sz val="8"/>
        <rFont val="Tahoma"/>
        <family val="2"/>
      </rPr>
      <t>.10</t>
    </r>
    <r>
      <rPr>
        <b/>
        <sz val="8"/>
        <rFont val="Tahoma"/>
        <family val="2"/>
      </rPr>
      <t>מוצרים מובנים</t>
    </r>
  </si>
  <si>
    <t>נכס הבסיס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</si>
  <si>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</si>
  <si>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</si>
  <si>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לא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</si>
  <si>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</si>
  <si>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</si>
  <si>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לא סחירים</t>
    </r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</si>
  <si>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תעודות התחייבות ממשלתית</t>
    </r>
  </si>
  <si>
    <t>תאריך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</si>
  <si>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</si>
  <si>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</si>
  <si>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</si>
  <si>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</si>
  <si>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</si>
  <si>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</si>
  <si>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</si>
  <si>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זרות</t>
    </r>
  </si>
  <si>
    <r>
      <rPr>
        <b/>
        <sz val="8"/>
        <rFont val="Tahoma"/>
        <family val="2"/>
      </rPr>
      <t>.3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</si>
  <si>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</si>
  <si>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</si>
  <si>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זרות</t>
    </r>
  </si>
  <si>
    <t>14:25:41</t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</si>
  <si>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</si>
  <si>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</si>
  <si>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</si>
  <si>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הון סיכון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</si>
  <si>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גידור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</si>
  <si>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נדל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</si>
  <si>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אחרות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</si>
  <si>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השקעה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</si>
  <si>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</si>
  <si>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</si>
  <si>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</si>
  <si>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</si>
  <si>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</si>
  <si>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</si>
  <si>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</si>
  <si>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חוזים עתידיים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</si>
  <si>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</si>
  <si>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</si>
  <si>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</si>
  <si>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קונסורציום כן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לא</t>
    </r>
  </si>
  <si>
    <t>שעור ריבית ממוצע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</si>
  <si>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</si>
  <si>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</si>
  <si>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כנגד חסכון עמיתים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מבוטחים</t>
    </r>
  </si>
  <si>
    <r>
      <rPr>
        <sz val="8"/>
        <rFont val="Tahoma"/>
        <family val="2"/>
        <charset val="177"/>
      </rPr>
      <t>הלוואה לעמיתים</t>
    </r>
    <r>
      <rPr>
        <sz val="8"/>
        <rFont val="Tahoma"/>
        <family val="2"/>
        <charset val="177"/>
      </rPr>
      <t>1</t>
    </r>
  </si>
  <si>
    <t>לא</t>
  </si>
  <si>
    <t>893000109</t>
  </si>
  <si>
    <t>פנימי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</si>
  <si>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במשכנתא או תיקי משכנתאות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</si>
  <si>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בערבות בנקאית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</si>
  <si>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בבטחונות אחרים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</si>
  <si>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בשעבוד כלי רכב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</si>
  <si>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לסוכנים</t>
    </r>
  </si>
  <si>
    <t>מובטחות בתזרים עמלות</t>
  </si>
  <si>
    <t>בטחונות אחרים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</si>
  <si>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לעובדים ונושאי משרה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</si>
  <si>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מובטחות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</si>
  <si>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הלוואות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</si>
  <si>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תנאי ושעור 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</si>
  <si>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</si>
  <si>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למדד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</si>
  <si>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</si>
  <si>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נקוב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</si>
  <si>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</si>
  <si>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</si>
  <si>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</si>
  <si>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</si>
  <si>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</si>
  <si>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</si>
  <si>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</si>
  <si>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</si>
  <si>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</si>
  <si>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</si>
  <si>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מקרקעין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</si>
  <si>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השקעה בחברות מוחזקות</t>
  </si>
  <si>
    <t>שם המדרג</t>
  </si>
  <si>
    <t>שיעור הריבית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</si>
  <si>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השקעה בחברות מוחזקות</t>
    </r>
  </si>
  <si>
    <t>מספר הנייר</t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</si>
  <si>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 1.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השקעות אחרות</t>
    </r>
  </si>
  <si>
    <r>
      <rPr>
        <sz val="8"/>
        <rFont val="Tahoma"/>
        <family val="2"/>
        <charset val="177"/>
      </rPr>
      <t>מס הכנסה חו</t>
    </r>
    <r>
      <rPr>
        <sz val="8"/>
        <rFont val="Tahoma"/>
        <family val="2"/>
      </rPr>
      <t>"</t>
    </r>
    <r>
      <rPr>
        <sz val="8"/>
        <rFont val="Tahoma"/>
        <family val="2"/>
      </rPr>
      <t>ז</t>
    </r>
  </si>
  <si>
    <t/>
  </si>
  <si>
    <r>
      <rPr>
        <sz val="8"/>
        <rFont val="Tahoma"/>
        <family val="2"/>
        <charset val="177"/>
      </rPr>
      <t>חו</t>
    </r>
    <r>
      <rPr>
        <sz val="8"/>
        <rFont val="Tahoma"/>
        <family val="2"/>
      </rPr>
      <t>"</t>
    </r>
    <r>
      <rPr>
        <sz val="8"/>
        <rFont val="Tahoma"/>
        <family val="2"/>
      </rPr>
      <t>ז דמי ניהול</t>
    </r>
  </si>
  <si>
    <r>
      <rPr>
        <sz val="8"/>
        <rFont val="Tahoma"/>
        <family val="2"/>
        <charset val="177"/>
      </rPr>
      <t>תעש אוירית אגח ג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</si>
  <si>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11275470</t>
  </si>
  <si>
    <r>
      <rPr>
        <sz val="8"/>
        <rFont val="Tahoma"/>
        <family val="2"/>
        <charset val="177"/>
      </rPr>
      <t>ירושלים הנפקות אגח ט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</si>
  <si>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11274220</t>
  </si>
  <si>
    <r>
      <rPr>
        <sz val="8"/>
        <rFont val="Tahoma"/>
        <family val="2"/>
        <charset val="177"/>
      </rPr>
      <t>מזרחי טפחות אגח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</rPr>
      <t>2106.1.2 -</t>
    </r>
    <r>
      <rPr>
        <sz val="8"/>
        <rFont val="Tahoma"/>
        <family val="2"/>
      </rPr>
      <t>ריבית לקבל</t>
    </r>
  </si>
  <si>
    <t>69500830</t>
  </si>
  <si>
    <r>
      <rPr>
        <sz val="8"/>
        <rFont val="Tahoma"/>
        <family val="2"/>
        <charset val="177"/>
      </rPr>
      <t>סלקום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</rPr>
      <t>2017.1.5 -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</si>
  <si>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סלקום אגח ו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</si>
  <si>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11259960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</si>
  <si>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יתרות התחייבות להשקעה</t>
    </r>
  </si>
  <si>
    <t>סכום ההתחייבות</t>
  </si>
  <si>
    <t>תאריך סיום ההתחייבות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</si>
  <si>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'</t>
    </r>
    <r>
      <rPr>
        <b/>
        <sz val="8"/>
        <rFont val="Tahoma"/>
        <family val="2"/>
      </rPr>
      <t>כ יתרות התחייבות להשקעה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</si>
  <si>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  <charset val="177"/>
      </rPr>
      <t>בעל ענין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צד קשור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</si>
  <si>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קונצרי סחיר</t>
    </r>
  </si>
  <si>
    <t>ריבית אפקטיבית</t>
  </si>
  <si>
    <t>עלות מתואמת</t>
  </si>
  <si>
    <t>אחוזים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</si>
  <si>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</si>
  <si>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  <charset val="177"/>
      </rPr>
      <t>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</si>
  <si>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</si>
  <si>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 בישראל</t>
    </r>
  </si>
  <si>
    <t>בישראל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</si>
  <si>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</si>
  <si>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 מדד</t>
    </r>
  </si>
  <si>
    <r>
      <rPr>
        <b/>
        <sz val="8"/>
        <rFont val="Tahoma"/>
        <family val="2"/>
        <charset val="177"/>
      </rPr>
      <t>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</si>
  <si>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</si>
  <si>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זרות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</si>
  <si>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</si>
  <si>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</si>
  <si>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זרות</t>
    </r>
  </si>
  <si>
    <t>*1095066</t>
  </si>
  <si>
    <t>*1119825</t>
  </si>
  <si>
    <t>זכאים שונים</t>
  </si>
</sst>
</file>

<file path=xl/styles.xml><?xml version="1.0" encoding="utf-8"?>
<styleSheet xmlns="http://schemas.openxmlformats.org/spreadsheetml/2006/main">
  <fonts count="7">
    <font>
      <sz val="10"/>
      <name val="Arial"/>
      <family val="2"/>
    </font>
    <font>
      <b/>
      <sz val="10"/>
      <name val="Tahoma"/>
      <family val="2"/>
    </font>
    <font>
      <b/>
      <sz val="10"/>
      <name val="Tahoma"/>
      <family val="2"/>
      <charset val="177"/>
    </font>
    <font>
      <b/>
      <sz val="8"/>
      <name val="Tahoma"/>
      <family val="2"/>
    </font>
    <font>
      <b/>
      <sz val="8"/>
      <name val="Tahoma"/>
      <family val="2"/>
      <charset val="177"/>
    </font>
    <font>
      <sz val="8"/>
      <name val="Tahoma"/>
      <family val="2"/>
    </font>
    <font>
      <sz val="8"/>
      <name val="Tahoma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00CCFF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 applyBorder="1" applyAlignment="1"/>
    <xf numFmtId="0" fontId="1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 wrapText="1"/>
    </xf>
    <xf numFmtId="0" fontId="3" fillId="4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right" wrapText="1"/>
    </xf>
    <xf numFmtId="0" fontId="4" fillId="4" borderId="0" xfId="0" applyFont="1" applyFill="1" applyBorder="1" applyAlignment="1">
      <alignment horizontal="right" wrapText="1"/>
    </xf>
    <xf numFmtId="4" fontId="4" fillId="5" borderId="0" xfId="0" applyNumberFormat="1" applyFont="1" applyFill="1" applyBorder="1" applyAlignment="1">
      <alignment horizontal="right" wrapText="1"/>
    </xf>
    <xf numFmtId="0" fontId="3" fillId="5" borderId="0" xfId="0" applyFont="1" applyFill="1" applyBorder="1" applyAlignment="1">
      <alignment horizontal="right" wrapText="1"/>
    </xf>
    <xf numFmtId="0" fontId="4" fillId="5" borderId="0" xfId="0" applyFont="1" applyFill="1" applyBorder="1" applyAlignment="1">
      <alignment horizontal="right" wrapText="1"/>
    </xf>
    <xf numFmtId="0" fontId="4" fillId="3" borderId="0" xfId="0" applyFont="1" applyFill="1" applyBorder="1" applyAlignment="1">
      <alignment horizontal="right" wrapText="1"/>
    </xf>
    <xf numFmtId="0" fontId="3" fillId="6" borderId="0" xfId="0" applyFont="1" applyFill="1" applyBorder="1" applyAlignment="1">
      <alignment horizontal="right" wrapText="1"/>
    </xf>
    <xf numFmtId="4" fontId="4" fillId="6" borderId="0" xfId="0" applyNumberFormat="1" applyFont="1" applyFill="1" applyBorder="1" applyAlignment="1">
      <alignment horizontal="right" wrapText="1"/>
    </xf>
    <xf numFmtId="4" fontId="4" fillId="4" borderId="0" xfId="0" applyNumberFormat="1" applyFont="1" applyFill="1" applyBorder="1" applyAlignment="1">
      <alignment horizontal="right" wrapText="1"/>
    </xf>
    <xf numFmtId="0" fontId="5" fillId="5" borderId="1" xfId="0" applyFont="1" applyFill="1" applyBorder="1" applyAlignment="1" applyProtection="1">
      <alignment horizontal="right" wrapText="1"/>
      <protection locked="0"/>
    </xf>
    <xf numFmtId="0" fontId="6" fillId="5" borderId="1" xfId="0" applyFont="1" applyFill="1" applyBorder="1" applyAlignment="1" applyProtection="1">
      <alignment horizontal="right" wrapText="1"/>
      <protection locked="0"/>
    </xf>
    <xf numFmtId="4" fontId="6" fillId="5" borderId="1" xfId="0" applyNumberFormat="1" applyFont="1" applyFill="1" applyBorder="1" applyAlignment="1" applyProtection="1">
      <alignment horizontal="right" wrapText="1"/>
      <protection locked="0"/>
    </xf>
    <xf numFmtId="0" fontId="4" fillId="6" borderId="0" xfId="0" applyFont="1" applyFill="1" applyBorder="1" applyAlignment="1">
      <alignment horizontal="right" wrapText="1"/>
    </xf>
    <xf numFmtId="4" fontId="6" fillId="4" borderId="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2:D48"/>
  <sheetViews>
    <sheetView rightToLeft="1" tabSelected="1" workbookViewId="0">
      <selection activeCell="G31" sqref="G31"/>
    </sheetView>
  </sheetViews>
  <sheetFormatPr defaultRowHeight="12.75"/>
  <cols>
    <col min="1" max="1" width="2" style="1"/>
    <col min="2" max="2" width="34" style="1"/>
    <col min="3" max="3" width="12" style="1"/>
    <col min="4" max="4" width="19" style="1"/>
  </cols>
  <sheetData>
    <row r="2" spans="1:4">
      <c r="B2" s="2" t="s">
        <v>0</v>
      </c>
    </row>
    <row r="3" spans="1:4">
      <c r="B3" s="2" t="s">
        <v>1</v>
      </c>
    </row>
    <row r="4" spans="1:4">
      <c r="B4" s="3" t="s">
        <v>2</v>
      </c>
    </row>
    <row r="5" spans="1:4">
      <c r="B5" s="3" t="s">
        <v>3</v>
      </c>
    </row>
    <row r="6" spans="1:4">
      <c r="A6" s="4"/>
      <c r="B6" s="4" t="s">
        <v>4</v>
      </c>
      <c r="C6" s="4"/>
      <c r="D6" s="4"/>
    </row>
    <row r="7" spans="1:4">
      <c r="A7" s="5"/>
      <c r="B7" s="5"/>
      <c r="C7" s="5" t="s">
        <v>5</v>
      </c>
      <c r="D7" s="5" t="s">
        <v>6</v>
      </c>
    </row>
    <row r="8" spans="1:4">
      <c r="A8" s="5"/>
      <c r="B8" s="5"/>
      <c r="C8" s="5" t="s">
        <v>7</v>
      </c>
      <c r="D8" s="5" t="s">
        <v>8</v>
      </c>
    </row>
    <row r="9" spans="1:4">
      <c r="A9" s="5"/>
      <c r="B9" s="5"/>
      <c r="C9" s="6" t="s">
        <v>9</v>
      </c>
      <c r="D9" s="6" t="s">
        <v>10</v>
      </c>
    </row>
    <row r="10" spans="1:4">
      <c r="A10" s="7"/>
      <c r="B10" s="8" t="s">
        <v>11</v>
      </c>
      <c r="C10" s="7"/>
      <c r="D10" s="7"/>
    </row>
    <row r="11" spans="1:4">
      <c r="A11" s="7"/>
      <c r="B11" s="7" t="s">
        <v>12</v>
      </c>
      <c r="C11" s="9">
        <v>10556.42</v>
      </c>
      <c r="D11" s="9">
        <v>7.4</v>
      </c>
    </row>
    <row r="12" spans="1:4">
      <c r="A12" s="7"/>
      <c r="B12" s="7" t="s">
        <v>13</v>
      </c>
      <c r="C12" s="7"/>
      <c r="D12" s="7"/>
    </row>
    <row r="13" spans="1:4">
      <c r="A13" s="7"/>
      <c r="B13" s="8" t="s">
        <v>14</v>
      </c>
      <c r="C13" s="9">
        <v>79619.960000000006</v>
      </c>
      <c r="D13" s="9">
        <v>55.79</v>
      </c>
    </row>
    <row r="14" spans="1:4">
      <c r="A14" s="7"/>
      <c r="B14" s="8" t="s">
        <v>15</v>
      </c>
      <c r="C14" s="9">
        <v>0</v>
      </c>
      <c r="D14" s="9">
        <v>0</v>
      </c>
    </row>
    <row r="15" spans="1:4">
      <c r="A15" s="7"/>
      <c r="B15" s="8" t="s">
        <v>16</v>
      </c>
      <c r="C15" s="9">
        <v>51643.49</v>
      </c>
      <c r="D15" s="9">
        <v>36.18</v>
      </c>
    </row>
    <row r="16" spans="1:4">
      <c r="A16" s="7"/>
      <c r="B16" s="8" t="s">
        <v>17</v>
      </c>
      <c r="C16" s="9">
        <v>0</v>
      </c>
      <c r="D16" s="9">
        <v>0</v>
      </c>
    </row>
    <row r="17" spans="1:4">
      <c r="A17" s="7"/>
      <c r="B17" s="8" t="s">
        <v>18</v>
      </c>
      <c r="C17" s="9">
        <v>0</v>
      </c>
      <c r="D17" s="9">
        <v>0</v>
      </c>
    </row>
    <row r="18" spans="1:4">
      <c r="A18" s="7"/>
      <c r="B18" s="8" t="s">
        <v>19</v>
      </c>
      <c r="C18" s="9">
        <v>0</v>
      </c>
      <c r="D18" s="9">
        <v>0</v>
      </c>
    </row>
    <row r="19" spans="1:4">
      <c r="A19" s="7"/>
      <c r="B19" s="8" t="s">
        <v>20</v>
      </c>
      <c r="C19" s="9">
        <v>0</v>
      </c>
      <c r="D19" s="9">
        <v>0</v>
      </c>
    </row>
    <row r="20" spans="1:4">
      <c r="A20" s="7"/>
      <c r="B20" s="8" t="s">
        <v>21</v>
      </c>
      <c r="C20" s="9">
        <v>0</v>
      </c>
      <c r="D20" s="9">
        <v>0</v>
      </c>
    </row>
    <row r="21" spans="1:4">
      <c r="A21" s="7"/>
      <c r="B21" s="8" t="s">
        <v>22</v>
      </c>
      <c r="C21" s="9">
        <v>0</v>
      </c>
      <c r="D21" s="9">
        <v>0</v>
      </c>
    </row>
    <row r="22" spans="1:4">
      <c r="A22" s="7"/>
      <c r="B22" s="8" t="s">
        <v>23</v>
      </c>
      <c r="C22" s="9">
        <v>0</v>
      </c>
      <c r="D22" s="9">
        <v>0</v>
      </c>
    </row>
    <row r="23" spans="1:4">
      <c r="A23" s="7"/>
      <c r="B23" s="7" t="s">
        <v>24</v>
      </c>
      <c r="C23" s="7"/>
      <c r="D23" s="7"/>
    </row>
    <row r="24" spans="1:4">
      <c r="A24" s="7"/>
      <c r="B24" s="8" t="s">
        <v>14</v>
      </c>
      <c r="C24" s="9">
        <v>0</v>
      </c>
      <c r="D24" s="9">
        <v>0</v>
      </c>
    </row>
    <row r="25" spans="1:4">
      <c r="A25" s="7"/>
      <c r="B25" s="8" t="s">
        <v>15</v>
      </c>
      <c r="C25" s="9">
        <v>0</v>
      </c>
      <c r="D25" s="9">
        <v>0</v>
      </c>
    </row>
    <row r="26" spans="1:4">
      <c r="A26" s="7"/>
      <c r="B26" s="8" t="s">
        <v>16</v>
      </c>
      <c r="C26" s="9">
        <v>0</v>
      </c>
      <c r="D26" s="9">
        <v>0</v>
      </c>
    </row>
    <row r="27" spans="1:4">
      <c r="A27" s="7"/>
      <c r="B27" s="8" t="s">
        <v>17</v>
      </c>
      <c r="C27" s="9">
        <v>0</v>
      </c>
      <c r="D27" s="9">
        <v>0</v>
      </c>
    </row>
    <row r="28" spans="1:4">
      <c r="A28" s="7"/>
      <c r="B28" s="8" t="s">
        <v>25</v>
      </c>
      <c r="C28" s="9">
        <v>0</v>
      </c>
      <c r="D28" s="9">
        <v>0</v>
      </c>
    </row>
    <row r="29" spans="1:4">
      <c r="A29" s="7"/>
      <c r="B29" s="8" t="s">
        <v>26</v>
      </c>
      <c r="C29" s="9">
        <v>0</v>
      </c>
      <c r="D29" s="9">
        <v>0</v>
      </c>
    </row>
    <row r="30" spans="1:4">
      <c r="A30" s="7"/>
      <c r="B30" s="8" t="s">
        <v>27</v>
      </c>
      <c r="C30" s="9">
        <v>0</v>
      </c>
      <c r="D30" s="9">
        <v>0</v>
      </c>
    </row>
    <row r="31" spans="1:4">
      <c r="A31" s="7"/>
      <c r="B31" s="8" t="s">
        <v>28</v>
      </c>
      <c r="C31" s="9">
        <v>0</v>
      </c>
      <c r="D31" s="9">
        <v>0</v>
      </c>
    </row>
    <row r="32" spans="1:4">
      <c r="A32" s="7"/>
      <c r="B32" s="8" t="s">
        <v>29</v>
      </c>
      <c r="C32" s="9">
        <v>0</v>
      </c>
      <c r="D32" s="9">
        <v>0</v>
      </c>
    </row>
    <row r="33" spans="1:4">
      <c r="A33" s="7"/>
      <c r="B33" s="7" t="s">
        <v>30</v>
      </c>
      <c r="C33" s="9">
        <v>1080.32</v>
      </c>
      <c r="D33" s="9">
        <v>0.76</v>
      </c>
    </row>
    <row r="34" spans="1:4">
      <c r="A34" s="7"/>
      <c r="B34" s="7" t="s">
        <v>31</v>
      </c>
      <c r="C34" s="9">
        <v>0</v>
      </c>
      <c r="D34" s="9">
        <v>0</v>
      </c>
    </row>
    <row r="35" spans="1:4">
      <c r="A35" s="7"/>
      <c r="B35" s="7" t="s">
        <v>32</v>
      </c>
      <c r="C35" s="9">
        <v>0</v>
      </c>
      <c r="D35" s="9">
        <v>0</v>
      </c>
    </row>
    <row r="36" spans="1:4">
      <c r="A36" s="7"/>
      <c r="B36" s="7" t="s">
        <v>33</v>
      </c>
      <c r="C36" s="9">
        <v>0</v>
      </c>
      <c r="D36" s="9">
        <v>0</v>
      </c>
    </row>
    <row r="37" spans="1:4">
      <c r="A37" s="7"/>
      <c r="B37" s="7" t="s">
        <v>34</v>
      </c>
      <c r="C37" s="9">
        <f>'השקעות אחרות'!I10</f>
        <v>-208.10999999999999</v>
      </c>
      <c r="D37" s="9">
        <v>-0.13</v>
      </c>
    </row>
    <row r="38" spans="1:4">
      <c r="A38" s="7"/>
      <c r="B38" s="8" t="s">
        <v>35</v>
      </c>
      <c r="C38" s="7"/>
      <c r="D38" s="7"/>
    </row>
    <row r="39" spans="1:4">
      <c r="A39" s="7"/>
      <c r="B39" s="7" t="s">
        <v>36</v>
      </c>
      <c r="C39" s="9">
        <v>0</v>
      </c>
      <c r="D39" s="9">
        <v>0</v>
      </c>
    </row>
    <row r="40" spans="1:4">
      <c r="A40" s="7"/>
      <c r="B40" s="7" t="s">
        <v>37</v>
      </c>
      <c r="C40" s="9">
        <v>0</v>
      </c>
      <c r="D40" s="9">
        <v>0</v>
      </c>
    </row>
    <row r="41" spans="1:4">
      <c r="A41" s="7"/>
      <c r="B41" s="7" t="s">
        <v>38</v>
      </c>
      <c r="C41" s="9">
        <v>0</v>
      </c>
      <c r="D41" s="9">
        <v>0</v>
      </c>
    </row>
    <row r="42" spans="1:4">
      <c r="A42" s="7"/>
      <c r="B42" s="7" t="s">
        <v>39</v>
      </c>
      <c r="C42" s="9">
        <f>SUM(C11:C37)</f>
        <v>142692.08000000002</v>
      </c>
      <c r="D42" s="9">
        <v>100</v>
      </c>
    </row>
    <row r="43" spans="1:4">
      <c r="A43" s="7"/>
      <c r="B43" s="7" t="s">
        <v>40</v>
      </c>
      <c r="C43" s="7"/>
      <c r="D43" s="7"/>
    </row>
    <row r="44" spans="1:4">
      <c r="A44" s="10"/>
      <c r="B44" s="11" t="s">
        <v>41</v>
      </c>
      <c r="C44" s="10"/>
      <c r="D44" s="10"/>
    </row>
    <row r="45" spans="1:4">
      <c r="A45" s="7"/>
      <c r="B45" s="7"/>
      <c r="C45" s="7" t="s">
        <v>42</v>
      </c>
      <c r="D45" s="7" t="s">
        <v>43</v>
      </c>
    </row>
    <row r="46" spans="1:4">
      <c r="A46" s="7"/>
      <c r="B46" s="7"/>
      <c r="C46" s="8" t="s">
        <v>9</v>
      </c>
      <c r="D46" s="8" t="s">
        <v>10</v>
      </c>
    </row>
    <row r="47" spans="1:4">
      <c r="A47" s="4"/>
      <c r="B47" s="4"/>
      <c r="C47" s="4"/>
      <c r="D47" s="4"/>
    </row>
    <row r="48" spans="1:4">
      <c r="A48" s="3" t="s">
        <v>44</v>
      </c>
      <c r="B48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L23"/>
  <sheetViews>
    <sheetView rightToLeft="1" workbookViewId="0"/>
  </sheetViews>
  <sheetFormatPr defaultRowHeight="12.75"/>
  <cols>
    <col min="1" max="1" width="2" style="1"/>
    <col min="2" max="2" width="40" style="1"/>
    <col min="3" max="3" width="17" style="1"/>
    <col min="4" max="4" width="12" style="1"/>
    <col min="5" max="5" width="7" style="1"/>
    <col min="6" max="6" width="9" style="1"/>
    <col min="7" max="7" width="10" style="1"/>
    <col min="8" max="8" width="13" style="1"/>
    <col min="9" max="9" width="14" style="1"/>
    <col min="10" max="10" width="11" style="1"/>
    <col min="11" max="11" width="24" style="1"/>
    <col min="12" max="12" width="21" style="1"/>
  </cols>
  <sheetData>
    <row r="2" spans="1:12">
      <c r="B2" s="2" t="s">
        <v>0</v>
      </c>
    </row>
    <row r="3" spans="1:12">
      <c r="B3" s="2" t="s">
        <v>1</v>
      </c>
    </row>
    <row r="4" spans="1:12">
      <c r="B4" s="3" t="s">
        <v>2</v>
      </c>
    </row>
    <row r="5" spans="1:12">
      <c r="B5" s="3" t="s">
        <v>3</v>
      </c>
    </row>
    <row r="6" spans="1:12">
      <c r="A6" s="4"/>
      <c r="B6" s="12" t="s">
        <v>46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4"/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  <c r="K7" s="4" t="s">
        <v>56</v>
      </c>
      <c r="L7" s="4" t="s">
        <v>57</v>
      </c>
    </row>
    <row r="8" spans="1:12">
      <c r="A8" s="4"/>
      <c r="B8" s="4"/>
      <c r="C8" s="4"/>
      <c r="D8" s="4"/>
      <c r="E8" s="4"/>
      <c r="F8" s="4"/>
      <c r="G8" s="4"/>
      <c r="H8" s="4" t="s">
        <v>8</v>
      </c>
      <c r="I8" s="4" t="s">
        <v>8</v>
      </c>
      <c r="J8" s="4" t="s">
        <v>7</v>
      </c>
      <c r="K8" s="4" t="s">
        <v>8</v>
      </c>
      <c r="L8" s="4" t="s">
        <v>8</v>
      </c>
    </row>
    <row r="9" spans="1:12">
      <c r="A9" s="4"/>
      <c r="B9" s="4"/>
      <c r="C9" s="12" t="s">
        <v>9</v>
      </c>
      <c r="D9" s="12" t="s">
        <v>10</v>
      </c>
      <c r="E9" s="12" t="s">
        <v>58</v>
      </c>
      <c r="F9" s="12" t="s">
        <v>59</v>
      </c>
      <c r="G9" s="12" t="s">
        <v>60</v>
      </c>
      <c r="H9" s="12" t="s">
        <v>61</v>
      </c>
      <c r="I9" s="12" t="s">
        <v>62</v>
      </c>
      <c r="J9" s="12" t="s">
        <v>63</v>
      </c>
      <c r="K9" s="12" t="s">
        <v>64</v>
      </c>
      <c r="L9" s="12" t="s">
        <v>65</v>
      </c>
    </row>
    <row r="10" spans="1:12">
      <c r="A10" s="13"/>
      <c r="B10" s="13" t="s">
        <v>66</v>
      </c>
      <c r="C10" s="13"/>
      <c r="D10" s="13"/>
      <c r="E10" s="13"/>
      <c r="F10" s="13"/>
      <c r="G10" s="13"/>
      <c r="H10" s="14">
        <v>0.02</v>
      </c>
      <c r="I10" s="14">
        <v>0</v>
      </c>
      <c r="J10" s="14">
        <v>10556.42</v>
      </c>
      <c r="K10" s="14">
        <v>100</v>
      </c>
      <c r="L10" s="14">
        <v>7.4</v>
      </c>
    </row>
    <row r="11" spans="1:12">
      <c r="A11" s="7"/>
      <c r="B11" s="7" t="s">
        <v>67</v>
      </c>
      <c r="C11" s="7"/>
      <c r="D11" s="7"/>
      <c r="E11" s="7"/>
      <c r="F11" s="7"/>
      <c r="G11" s="7"/>
      <c r="H11" s="15">
        <v>0.02</v>
      </c>
      <c r="I11" s="15">
        <v>0</v>
      </c>
      <c r="J11" s="15">
        <v>10556.42</v>
      </c>
      <c r="K11" s="15">
        <v>100</v>
      </c>
      <c r="L11" s="15">
        <v>7.4</v>
      </c>
    </row>
    <row r="12" spans="1:12">
      <c r="A12" s="7"/>
      <c r="B12" s="7" t="s">
        <v>68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>
      <c r="A13" s="7"/>
      <c r="B13" s="7" t="s">
        <v>69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>
      <c r="A14" s="7"/>
      <c r="B14" s="7" t="s">
        <v>70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>
      <c r="A15" s="16"/>
      <c r="B15" s="16" t="s">
        <v>71</v>
      </c>
      <c r="C15" s="17" t="s">
        <v>72</v>
      </c>
      <c r="D15" s="17" t="s">
        <v>73</v>
      </c>
      <c r="E15" s="17" t="s">
        <v>74</v>
      </c>
      <c r="F15" s="17" t="s">
        <v>75</v>
      </c>
      <c r="G15" s="16" t="s">
        <v>76</v>
      </c>
      <c r="H15" s="18">
        <v>0.02</v>
      </c>
      <c r="I15" s="18">
        <v>0</v>
      </c>
      <c r="J15" s="18">
        <v>10556.42</v>
      </c>
      <c r="K15" s="18">
        <v>100</v>
      </c>
      <c r="L15" s="18">
        <v>7.4</v>
      </c>
    </row>
    <row r="16" spans="1:12">
      <c r="A16" s="7"/>
      <c r="B16" s="7" t="s">
        <v>77</v>
      </c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>
      <c r="A17" s="7"/>
      <c r="B17" s="7" t="s">
        <v>78</v>
      </c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>
      <c r="A18" s="7"/>
      <c r="B18" s="7" t="s">
        <v>79</v>
      </c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>
      <c r="A19" s="7"/>
      <c r="B19" s="7" t="s">
        <v>80</v>
      </c>
      <c r="C19" s="7"/>
      <c r="D19" s="7"/>
      <c r="E19" s="7"/>
      <c r="F19" s="7"/>
      <c r="G19" s="7"/>
      <c r="H19" s="15">
        <v>0</v>
      </c>
      <c r="I19" s="15">
        <v>0</v>
      </c>
      <c r="J19" s="15">
        <v>0</v>
      </c>
      <c r="K19" s="15">
        <v>0</v>
      </c>
      <c r="L19" s="15">
        <v>0</v>
      </c>
    </row>
    <row r="20" spans="1:12">
      <c r="A20" s="7"/>
      <c r="B20" s="7" t="s">
        <v>81</v>
      </c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>
      <c r="A21" s="7"/>
      <c r="B21" s="7" t="s">
        <v>82</v>
      </c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>
      <c r="A22" s="13"/>
      <c r="B22" s="19" t="s">
        <v>83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>
      <c r="A23" s="3" t="s">
        <v>44</v>
      </c>
      <c r="B23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2:Q30"/>
  <sheetViews>
    <sheetView rightToLeft="1" workbookViewId="0"/>
  </sheetViews>
  <sheetFormatPr defaultRowHeight="12.75"/>
  <cols>
    <col min="1" max="1" width="2" style="1"/>
    <col min="2" max="2" width="40" style="1"/>
    <col min="3" max="4" width="11" style="1"/>
    <col min="5" max="5" width="7" style="1"/>
    <col min="6" max="6" width="11" style="1"/>
    <col min="7" max="7" width="6" style="1"/>
    <col min="8" max="8" width="10" style="1"/>
    <col min="9" max="9" width="13" style="1"/>
    <col min="10" max="10" width="14" style="1"/>
    <col min="11" max="11" width="15" style="1"/>
    <col min="12" max="12" width="8" style="1"/>
    <col min="13" max="13" width="11" style="1"/>
    <col min="14" max="14" width="22" style="1"/>
    <col min="15" max="15" width="24" style="1"/>
    <col min="16" max="16" width="23" style="1"/>
    <col min="17" max="17" width="2" style="1"/>
  </cols>
  <sheetData>
    <row r="2" spans="1:17">
      <c r="B2" s="2" t="s">
        <v>0</v>
      </c>
    </row>
    <row r="3" spans="1:17">
      <c r="B3" s="2" t="s">
        <v>1</v>
      </c>
    </row>
    <row r="4" spans="1:17">
      <c r="B4" s="3" t="s">
        <v>2</v>
      </c>
    </row>
    <row r="5" spans="1:17">
      <c r="B5" s="3" t="s">
        <v>3</v>
      </c>
    </row>
    <row r="6" spans="1:17">
      <c r="A6" s="4"/>
      <c r="B6" s="12" t="s">
        <v>84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>
      <c r="A7" s="4"/>
      <c r="B7" s="12" t="s">
        <v>85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>
      <c r="A8" s="4"/>
      <c r="B8" s="4" t="s">
        <v>47</v>
      </c>
      <c r="C8" s="4" t="s">
        <v>48</v>
      </c>
      <c r="D8" s="4" t="s">
        <v>86</v>
      </c>
      <c r="E8" s="4" t="s">
        <v>50</v>
      </c>
      <c r="F8" s="4" t="s">
        <v>51</v>
      </c>
      <c r="G8" s="4" t="s">
        <v>87</v>
      </c>
      <c r="H8" s="4" t="s">
        <v>52</v>
      </c>
      <c r="I8" s="4" t="s">
        <v>53</v>
      </c>
      <c r="J8" s="4" t="s">
        <v>54</v>
      </c>
      <c r="K8" s="4" t="s">
        <v>88</v>
      </c>
      <c r="L8" s="4" t="s">
        <v>89</v>
      </c>
      <c r="M8" s="4" t="s">
        <v>55</v>
      </c>
      <c r="N8" s="4" t="s">
        <v>90</v>
      </c>
      <c r="O8" s="4" t="s">
        <v>56</v>
      </c>
      <c r="P8" s="4" t="s">
        <v>91</v>
      </c>
      <c r="Q8" s="4"/>
    </row>
    <row r="9" spans="1:17">
      <c r="A9" s="4"/>
      <c r="B9" s="4"/>
      <c r="C9" s="4"/>
      <c r="D9" s="4"/>
      <c r="E9" s="4"/>
      <c r="F9" s="4"/>
      <c r="G9" s="4" t="s">
        <v>92</v>
      </c>
      <c r="H9" s="4"/>
      <c r="I9" s="4" t="s">
        <v>8</v>
      </c>
      <c r="J9" s="4" t="s">
        <v>8</v>
      </c>
      <c r="K9" s="4" t="s">
        <v>93</v>
      </c>
      <c r="L9" s="4" t="s">
        <v>94</v>
      </c>
      <c r="M9" s="4" t="s">
        <v>7</v>
      </c>
      <c r="N9" s="4" t="s">
        <v>8</v>
      </c>
      <c r="O9" s="4" t="s">
        <v>8</v>
      </c>
      <c r="P9" s="4" t="s">
        <v>8</v>
      </c>
      <c r="Q9" s="4"/>
    </row>
    <row r="10" spans="1:17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12" t="s">
        <v>65</v>
      </c>
      <c r="M10" s="12" t="s">
        <v>95</v>
      </c>
      <c r="N10" s="12" t="s">
        <v>96</v>
      </c>
      <c r="O10" s="12" t="s">
        <v>97</v>
      </c>
      <c r="P10" s="12" t="s">
        <v>98</v>
      </c>
      <c r="Q10" s="4"/>
    </row>
    <row r="11" spans="1:17">
      <c r="A11" s="13"/>
      <c r="B11" s="13" t="s">
        <v>99</v>
      </c>
      <c r="C11" s="13"/>
      <c r="D11" s="13"/>
      <c r="E11" s="13"/>
      <c r="F11" s="13"/>
      <c r="G11" s="14">
        <v>1.86</v>
      </c>
      <c r="H11" s="13"/>
      <c r="I11" s="14">
        <v>3.7</v>
      </c>
      <c r="J11" s="14">
        <v>0.32</v>
      </c>
      <c r="K11" s="14">
        <v>71530584</v>
      </c>
      <c r="L11" s="13"/>
      <c r="M11" s="14">
        <v>79619.960000000006</v>
      </c>
      <c r="N11" s="13"/>
      <c r="O11" s="14">
        <v>100</v>
      </c>
      <c r="P11" s="14">
        <v>55.79</v>
      </c>
      <c r="Q11" s="13"/>
    </row>
    <row r="12" spans="1:17">
      <c r="A12" s="7"/>
      <c r="B12" s="7" t="s">
        <v>67</v>
      </c>
      <c r="C12" s="7"/>
      <c r="D12" s="7"/>
      <c r="E12" s="7"/>
      <c r="F12" s="7"/>
      <c r="G12" s="15">
        <v>1.86</v>
      </c>
      <c r="H12" s="7"/>
      <c r="I12" s="15">
        <v>3.7</v>
      </c>
      <c r="J12" s="15">
        <v>0.32</v>
      </c>
      <c r="K12" s="15">
        <v>71530584</v>
      </c>
      <c r="L12" s="7"/>
      <c r="M12" s="15">
        <v>79619.960000000006</v>
      </c>
      <c r="N12" s="7"/>
      <c r="O12" s="15">
        <v>100</v>
      </c>
      <c r="P12" s="15">
        <v>55.79</v>
      </c>
      <c r="Q12" s="7"/>
    </row>
    <row r="13" spans="1:17">
      <c r="A13" s="7"/>
      <c r="B13" s="7" t="s">
        <v>100</v>
      </c>
      <c r="C13" s="7"/>
      <c r="D13" s="7"/>
      <c r="E13" s="7"/>
      <c r="F13" s="7"/>
      <c r="G13" s="15">
        <v>2.87</v>
      </c>
      <c r="H13" s="7"/>
      <c r="I13" s="15">
        <v>2.62</v>
      </c>
      <c r="J13" s="15">
        <v>0.31</v>
      </c>
      <c r="K13" s="15">
        <v>15023100</v>
      </c>
      <c r="L13" s="7"/>
      <c r="M13" s="15">
        <v>18570.7</v>
      </c>
      <c r="N13" s="7"/>
      <c r="O13" s="15">
        <v>23.32</v>
      </c>
      <c r="P13" s="15">
        <v>13.01</v>
      </c>
      <c r="Q13" s="7"/>
    </row>
    <row r="14" spans="1:17">
      <c r="A14" s="16"/>
      <c r="B14" s="16" t="s">
        <v>101</v>
      </c>
      <c r="C14" s="17" t="s">
        <v>102</v>
      </c>
      <c r="D14" s="17" t="s">
        <v>103</v>
      </c>
      <c r="E14" s="17" t="s">
        <v>104</v>
      </c>
      <c r="F14" s="16" t="s">
        <v>105</v>
      </c>
      <c r="G14" s="18">
        <v>2.23</v>
      </c>
      <c r="H14" s="16" t="s">
        <v>76</v>
      </c>
      <c r="I14" s="18">
        <v>3.5</v>
      </c>
      <c r="J14" s="18">
        <v>0.38</v>
      </c>
      <c r="K14" s="18">
        <v>3332000</v>
      </c>
      <c r="L14" s="18">
        <v>127.63</v>
      </c>
      <c r="M14" s="18">
        <v>4252.63</v>
      </c>
      <c r="N14" s="18">
        <v>0.02</v>
      </c>
      <c r="O14" s="18">
        <v>5.34</v>
      </c>
      <c r="P14" s="18">
        <v>2.98</v>
      </c>
      <c r="Q14" s="16"/>
    </row>
    <row r="15" spans="1:17">
      <c r="A15" s="16"/>
      <c r="B15" s="16" t="s">
        <v>106</v>
      </c>
      <c r="C15" s="17" t="s">
        <v>107</v>
      </c>
      <c r="D15" s="17" t="s">
        <v>103</v>
      </c>
      <c r="E15" s="17" t="s">
        <v>104</v>
      </c>
      <c r="F15" s="16" t="s">
        <v>105</v>
      </c>
      <c r="G15" s="18">
        <v>5.09</v>
      </c>
      <c r="H15" s="16" t="s">
        <v>76</v>
      </c>
      <c r="I15" s="18">
        <v>4</v>
      </c>
      <c r="J15" s="18">
        <v>0.19</v>
      </c>
      <c r="K15" s="18">
        <v>3707700</v>
      </c>
      <c r="L15" s="18">
        <v>158.91999999999999</v>
      </c>
      <c r="M15" s="18">
        <v>5892.28</v>
      </c>
      <c r="N15" s="18">
        <v>0.02</v>
      </c>
      <c r="O15" s="18">
        <v>7.4</v>
      </c>
      <c r="P15" s="18">
        <v>4.13</v>
      </c>
      <c r="Q15" s="16"/>
    </row>
    <row r="16" spans="1:17">
      <c r="A16" s="16"/>
      <c r="B16" s="16" t="s">
        <v>108</v>
      </c>
      <c r="C16" s="17" t="s">
        <v>109</v>
      </c>
      <c r="D16" s="17" t="s">
        <v>103</v>
      </c>
      <c r="E16" s="17" t="s">
        <v>104</v>
      </c>
      <c r="F16" s="16" t="s">
        <v>105</v>
      </c>
      <c r="G16" s="18">
        <v>3.67</v>
      </c>
      <c r="H16" s="16" t="s">
        <v>76</v>
      </c>
      <c r="I16" s="18">
        <v>3</v>
      </c>
      <c r="J16" s="18">
        <v>0.12</v>
      </c>
      <c r="K16" s="18">
        <v>767900</v>
      </c>
      <c r="L16" s="18">
        <v>121.81</v>
      </c>
      <c r="M16" s="18">
        <v>935.38</v>
      </c>
      <c r="N16" s="18">
        <v>0</v>
      </c>
      <c r="O16" s="18">
        <v>1.17</v>
      </c>
      <c r="P16" s="18">
        <v>0.65</v>
      </c>
      <c r="Q16" s="16"/>
    </row>
    <row r="17" spans="1:17">
      <c r="A17" s="16"/>
      <c r="B17" s="16" t="s">
        <v>110</v>
      </c>
      <c r="C17" s="17" t="s">
        <v>111</v>
      </c>
      <c r="D17" s="17" t="s">
        <v>103</v>
      </c>
      <c r="E17" s="17" t="s">
        <v>104</v>
      </c>
      <c r="F17" s="16" t="s">
        <v>105</v>
      </c>
      <c r="G17" s="18">
        <v>1.4</v>
      </c>
      <c r="H17" s="16" t="s">
        <v>76</v>
      </c>
      <c r="I17" s="18">
        <v>1</v>
      </c>
      <c r="J17" s="18">
        <v>0.4</v>
      </c>
      <c r="K17" s="18">
        <v>7215500</v>
      </c>
      <c r="L17" s="18">
        <v>103.81</v>
      </c>
      <c r="M17" s="18">
        <v>7490.41</v>
      </c>
      <c r="N17" s="18">
        <v>0.04</v>
      </c>
      <c r="O17" s="18">
        <v>9.41</v>
      </c>
      <c r="P17" s="18">
        <v>5.25</v>
      </c>
      <c r="Q17" s="16"/>
    </row>
    <row r="18" spans="1:17">
      <c r="A18" s="7"/>
      <c r="B18" s="7" t="s">
        <v>112</v>
      </c>
      <c r="C18" s="7"/>
      <c r="D18" s="7"/>
      <c r="E18" s="7"/>
      <c r="F18" s="7"/>
      <c r="G18" s="15">
        <v>1.55</v>
      </c>
      <c r="H18" s="7"/>
      <c r="I18" s="15">
        <v>4.03</v>
      </c>
      <c r="J18" s="15">
        <v>0.32</v>
      </c>
      <c r="K18" s="15">
        <v>56507484</v>
      </c>
      <c r="L18" s="7"/>
      <c r="M18" s="15">
        <v>61049.27</v>
      </c>
      <c r="N18" s="7"/>
      <c r="O18" s="15">
        <v>76.680000000000007</v>
      </c>
      <c r="P18" s="15">
        <v>42.78</v>
      </c>
      <c r="Q18" s="7"/>
    </row>
    <row r="19" spans="1:17">
      <c r="A19" s="16"/>
      <c r="B19" s="16" t="s">
        <v>113</v>
      </c>
      <c r="C19" s="17" t="s">
        <v>114</v>
      </c>
      <c r="D19" s="17" t="s">
        <v>103</v>
      </c>
      <c r="E19" s="17" t="s">
        <v>104</v>
      </c>
      <c r="F19" s="16" t="s">
        <v>105</v>
      </c>
      <c r="G19" s="18">
        <v>1.66</v>
      </c>
      <c r="H19" s="16" t="s">
        <v>76</v>
      </c>
      <c r="I19" s="18">
        <v>0.14000000000000001</v>
      </c>
      <c r="J19" s="18">
        <v>0.2</v>
      </c>
      <c r="K19" s="18">
        <v>4802736</v>
      </c>
      <c r="L19" s="18">
        <v>99.92</v>
      </c>
      <c r="M19" s="18">
        <v>4798.8900000000003</v>
      </c>
      <c r="N19" s="18">
        <v>0.03</v>
      </c>
      <c r="O19" s="18">
        <v>6.03</v>
      </c>
      <c r="P19" s="18">
        <v>3.36</v>
      </c>
      <c r="Q19" s="16"/>
    </row>
    <row r="20" spans="1:17">
      <c r="A20" s="16"/>
      <c r="B20" s="16" t="s">
        <v>115</v>
      </c>
      <c r="C20" s="17" t="s">
        <v>116</v>
      </c>
      <c r="D20" s="17" t="s">
        <v>103</v>
      </c>
      <c r="E20" s="17" t="s">
        <v>104</v>
      </c>
      <c r="F20" s="16" t="s">
        <v>105</v>
      </c>
      <c r="G20" s="18">
        <v>2.87</v>
      </c>
      <c r="H20" s="16" t="s">
        <v>76</v>
      </c>
      <c r="I20" s="18">
        <v>6</v>
      </c>
      <c r="J20" s="18">
        <v>0.65</v>
      </c>
      <c r="K20" s="18">
        <v>1807500</v>
      </c>
      <c r="L20" s="18">
        <v>121.74</v>
      </c>
      <c r="M20" s="18">
        <v>2200.4499999999998</v>
      </c>
      <c r="N20" s="18">
        <v>0.01</v>
      </c>
      <c r="O20" s="18">
        <v>2.76</v>
      </c>
      <c r="P20" s="18">
        <v>1.54</v>
      </c>
      <c r="Q20" s="16"/>
    </row>
    <row r="21" spans="1:17">
      <c r="A21" s="16"/>
      <c r="B21" s="16" t="s">
        <v>117</v>
      </c>
      <c r="C21" s="17" t="s">
        <v>118</v>
      </c>
      <c r="D21" s="17" t="s">
        <v>103</v>
      </c>
      <c r="E21" s="17" t="s">
        <v>104</v>
      </c>
      <c r="F21" s="16" t="s">
        <v>105</v>
      </c>
      <c r="G21" s="18">
        <v>3.68</v>
      </c>
      <c r="H21" s="16" t="s">
        <v>76</v>
      </c>
      <c r="I21" s="18">
        <v>5</v>
      </c>
      <c r="J21" s="18">
        <v>0.89</v>
      </c>
      <c r="K21" s="18">
        <v>6755500</v>
      </c>
      <c r="L21" s="18">
        <v>121</v>
      </c>
      <c r="M21" s="18">
        <v>8174.15</v>
      </c>
      <c r="N21" s="18">
        <v>0.04</v>
      </c>
      <c r="O21" s="18">
        <v>10.27</v>
      </c>
      <c r="P21" s="18">
        <v>5.73</v>
      </c>
      <c r="Q21" s="16"/>
    </row>
    <row r="22" spans="1:17">
      <c r="A22" s="16"/>
      <c r="B22" s="16" t="s">
        <v>119</v>
      </c>
      <c r="C22" s="17" t="s">
        <v>120</v>
      </c>
      <c r="D22" s="17" t="s">
        <v>103</v>
      </c>
      <c r="E22" s="17" t="s">
        <v>104</v>
      </c>
      <c r="F22" s="16" t="s">
        <v>105</v>
      </c>
      <c r="G22" s="18">
        <v>0.67</v>
      </c>
      <c r="H22" s="16" t="s">
        <v>76</v>
      </c>
      <c r="I22" s="18">
        <v>4.25</v>
      </c>
      <c r="J22" s="18">
        <v>0.13</v>
      </c>
      <c r="K22" s="18">
        <v>29727000</v>
      </c>
      <c r="L22" s="18">
        <v>104.17</v>
      </c>
      <c r="M22" s="18">
        <v>30966.62</v>
      </c>
      <c r="N22" s="18">
        <v>0.18</v>
      </c>
      <c r="O22" s="18">
        <v>38.89</v>
      </c>
      <c r="P22" s="18">
        <v>21.7</v>
      </c>
      <c r="Q22" s="16"/>
    </row>
    <row r="23" spans="1:17">
      <c r="A23" s="16"/>
      <c r="B23" s="16" t="s">
        <v>121</v>
      </c>
      <c r="C23" s="17" t="s">
        <v>122</v>
      </c>
      <c r="D23" s="17" t="s">
        <v>103</v>
      </c>
      <c r="E23" s="17" t="s">
        <v>104</v>
      </c>
      <c r="F23" s="16" t="s">
        <v>105</v>
      </c>
      <c r="G23" s="18">
        <v>1.98</v>
      </c>
      <c r="H23" s="16" t="s">
        <v>76</v>
      </c>
      <c r="I23" s="18">
        <v>4</v>
      </c>
      <c r="J23" s="18">
        <v>0.4</v>
      </c>
      <c r="K23" s="18">
        <v>13414748</v>
      </c>
      <c r="L23" s="18">
        <v>111.14</v>
      </c>
      <c r="M23" s="18">
        <v>14909.15</v>
      </c>
      <c r="N23" s="18">
        <v>0.08</v>
      </c>
      <c r="O23" s="18">
        <v>18.72</v>
      </c>
      <c r="P23" s="18">
        <v>10.45</v>
      </c>
      <c r="Q23" s="16"/>
    </row>
    <row r="24" spans="1:17">
      <c r="A24" s="7"/>
      <c r="B24" s="7" t="s">
        <v>123</v>
      </c>
      <c r="C24" s="7"/>
      <c r="D24" s="7"/>
      <c r="E24" s="7"/>
      <c r="F24" s="7"/>
      <c r="G24" s="15">
        <v>0</v>
      </c>
      <c r="H24" s="7"/>
      <c r="I24" s="15">
        <v>0</v>
      </c>
      <c r="J24" s="15">
        <v>0</v>
      </c>
      <c r="K24" s="15">
        <v>0</v>
      </c>
      <c r="L24" s="7"/>
      <c r="M24" s="15">
        <v>0</v>
      </c>
      <c r="N24" s="7"/>
      <c r="O24" s="15">
        <v>0</v>
      </c>
      <c r="P24" s="15">
        <v>0</v>
      </c>
      <c r="Q24" s="7"/>
    </row>
    <row r="25" spans="1:17">
      <c r="A25" s="7"/>
      <c r="B25" s="7" t="s">
        <v>80</v>
      </c>
      <c r="C25" s="7"/>
      <c r="D25" s="7"/>
      <c r="E25" s="7"/>
      <c r="F25" s="7"/>
      <c r="G25" s="15">
        <v>0</v>
      </c>
      <c r="H25" s="7"/>
      <c r="I25" s="15">
        <v>0</v>
      </c>
      <c r="J25" s="15">
        <v>0</v>
      </c>
      <c r="K25" s="15">
        <v>0</v>
      </c>
      <c r="L25" s="7"/>
      <c r="M25" s="15">
        <v>0</v>
      </c>
      <c r="N25" s="7"/>
      <c r="O25" s="15">
        <v>0</v>
      </c>
      <c r="P25" s="15">
        <v>0</v>
      </c>
      <c r="Q25" s="7"/>
    </row>
    <row r="26" spans="1:17">
      <c r="A26" s="7"/>
      <c r="B26" s="7" t="s">
        <v>124</v>
      </c>
      <c r="C26" s="7"/>
      <c r="D26" s="7"/>
      <c r="E26" s="7"/>
      <c r="F26" s="7"/>
      <c r="G26" s="15">
        <v>0</v>
      </c>
      <c r="H26" s="7"/>
      <c r="I26" s="15">
        <v>0</v>
      </c>
      <c r="J26" s="15">
        <v>0</v>
      </c>
      <c r="K26" s="15">
        <v>0</v>
      </c>
      <c r="L26" s="7"/>
      <c r="M26" s="15">
        <v>0</v>
      </c>
      <c r="N26" s="7"/>
      <c r="O26" s="15">
        <v>0</v>
      </c>
      <c r="P26" s="15">
        <v>0</v>
      </c>
      <c r="Q26" s="7"/>
    </row>
    <row r="27" spans="1:17">
      <c r="A27" s="7"/>
      <c r="B27" s="7" t="s">
        <v>125</v>
      </c>
      <c r="C27" s="7"/>
      <c r="D27" s="7"/>
      <c r="E27" s="7"/>
      <c r="F27" s="7"/>
      <c r="G27" s="15">
        <v>0</v>
      </c>
      <c r="H27" s="7"/>
      <c r="I27" s="15">
        <v>0</v>
      </c>
      <c r="J27" s="15">
        <v>0</v>
      </c>
      <c r="K27" s="15">
        <v>0</v>
      </c>
      <c r="L27" s="7"/>
      <c r="M27" s="15">
        <v>0</v>
      </c>
      <c r="N27" s="7"/>
      <c r="O27" s="15">
        <v>0</v>
      </c>
      <c r="P27" s="15">
        <v>0</v>
      </c>
      <c r="Q27" s="7"/>
    </row>
    <row r="28" spans="1:17">
      <c r="A28" s="13"/>
      <c r="B28" s="19" t="s">
        <v>83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>
      <c r="A29" s="13"/>
      <c r="B29" s="19" t="s">
        <v>126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>
      <c r="A30" s="3" t="s">
        <v>44</v>
      </c>
      <c r="B30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2:U21"/>
  <sheetViews>
    <sheetView rightToLeft="1" workbookViewId="0"/>
  </sheetViews>
  <sheetFormatPr defaultRowHeight="12.75"/>
  <cols>
    <col min="1" max="1" width="2" style="1"/>
    <col min="2" max="2" width="34" style="1"/>
    <col min="3" max="5" width="11" style="1"/>
    <col min="6" max="6" width="12" style="1"/>
    <col min="7" max="7" width="10" style="1"/>
    <col min="8" max="8" width="7" style="1"/>
    <col min="9" max="9" width="9" style="1"/>
    <col min="10" max="10" width="13" style="1"/>
    <col min="11" max="11" width="6" style="1"/>
    <col min="12" max="12" width="10" style="1"/>
    <col min="13" max="13" width="13" style="1"/>
    <col min="14" max="14" width="14" style="1"/>
    <col min="15" max="15" width="10" style="1"/>
    <col min="16" max="16" width="8" style="1"/>
    <col min="17" max="17" width="10" style="1"/>
    <col min="18" max="18" width="22" style="1"/>
    <col min="19" max="19" width="24" style="1"/>
    <col min="20" max="20" width="23" style="1"/>
    <col min="21" max="21" width="2" style="1"/>
  </cols>
  <sheetData>
    <row r="2" spans="1:21">
      <c r="B2" s="2" t="s">
        <v>0</v>
      </c>
    </row>
    <row r="3" spans="1:21">
      <c r="B3" s="2" t="s">
        <v>1</v>
      </c>
    </row>
    <row r="4" spans="1:21">
      <c r="B4" s="3" t="s">
        <v>2</v>
      </c>
    </row>
    <row r="5" spans="1:21">
      <c r="B5" s="3" t="s">
        <v>3</v>
      </c>
    </row>
    <row r="6" spans="1:21">
      <c r="A6" s="4"/>
      <c r="B6" s="12" t="s">
        <v>84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>
      <c r="A7" s="4"/>
      <c r="B7" s="12" t="s">
        <v>127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>
      <c r="A8" s="4"/>
      <c r="B8" s="4" t="s">
        <v>47</v>
      </c>
      <c r="C8" s="4" t="s">
        <v>48</v>
      </c>
      <c r="D8" s="4" t="s">
        <v>86</v>
      </c>
      <c r="E8" s="4" t="s">
        <v>128</v>
      </c>
      <c r="F8" s="4" t="s">
        <v>49</v>
      </c>
      <c r="G8" s="4" t="s">
        <v>129</v>
      </c>
      <c r="H8" s="4" t="s">
        <v>50</v>
      </c>
      <c r="I8" s="4" t="s">
        <v>51</v>
      </c>
      <c r="J8" s="4" t="s">
        <v>130</v>
      </c>
      <c r="K8" s="4" t="s">
        <v>87</v>
      </c>
      <c r="L8" s="4" t="s">
        <v>52</v>
      </c>
      <c r="M8" s="4" t="s">
        <v>53</v>
      </c>
      <c r="N8" s="4" t="s">
        <v>54</v>
      </c>
      <c r="O8" s="4" t="s">
        <v>88</v>
      </c>
      <c r="P8" s="4" t="s">
        <v>89</v>
      </c>
      <c r="Q8" s="4" t="s">
        <v>55</v>
      </c>
      <c r="R8" s="4" t="s">
        <v>90</v>
      </c>
      <c r="S8" s="4" t="s">
        <v>56</v>
      </c>
      <c r="T8" s="4" t="s">
        <v>91</v>
      </c>
      <c r="U8" s="4"/>
    </row>
    <row r="9" spans="1:21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92</v>
      </c>
      <c r="L9" s="4"/>
      <c r="M9" s="4" t="s">
        <v>8</v>
      </c>
      <c r="N9" s="4" t="s">
        <v>8</v>
      </c>
      <c r="O9" s="4" t="s">
        <v>93</v>
      </c>
      <c r="P9" s="4" t="s">
        <v>94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12" t="s">
        <v>65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131</v>
      </c>
      <c r="R10" s="12" t="s">
        <v>132</v>
      </c>
      <c r="S10" s="12" t="s">
        <v>133</v>
      </c>
      <c r="T10" s="12" t="s">
        <v>134</v>
      </c>
      <c r="U10" s="4"/>
    </row>
    <row r="11" spans="1:21">
      <c r="A11" s="13"/>
      <c r="B11" s="13" t="s">
        <v>135</v>
      </c>
      <c r="C11" s="13"/>
      <c r="D11" s="13"/>
      <c r="E11" s="13"/>
      <c r="F11" s="13"/>
      <c r="G11" s="13"/>
      <c r="H11" s="13"/>
      <c r="I11" s="13"/>
      <c r="J11" s="13"/>
      <c r="K11" s="14">
        <v>0</v>
      </c>
      <c r="L11" s="13"/>
      <c r="M11" s="14">
        <v>0</v>
      </c>
      <c r="N11" s="14">
        <v>0</v>
      </c>
      <c r="O11" s="14">
        <v>0</v>
      </c>
      <c r="P11" s="13"/>
      <c r="Q11" s="14">
        <v>0</v>
      </c>
      <c r="R11" s="13"/>
      <c r="S11" s="14">
        <v>0</v>
      </c>
      <c r="T11" s="14">
        <v>0</v>
      </c>
      <c r="U11" s="13"/>
    </row>
    <row r="12" spans="1:21">
      <c r="A12" s="7"/>
      <c r="B12" s="7" t="s">
        <v>67</v>
      </c>
      <c r="C12" s="7"/>
      <c r="D12" s="7"/>
      <c r="E12" s="7"/>
      <c r="F12" s="7"/>
      <c r="G12" s="7"/>
      <c r="H12" s="7"/>
      <c r="I12" s="7"/>
      <c r="J12" s="7"/>
      <c r="K12" s="15">
        <v>0</v>
      </c>
      <c r="L12" s="7"/>
      <c r="M12" s="15">
        <v>0</v>
      </c>
      <c r="N12" s="15">
        <v>0</v>
      </c>
      <c r="O12" s="15">
        <v>0</v>
      </c>
      <c r="P12" s="7"/>
      <c r="Q12" s="15">
        <v>0</v>
      </c>
      <c r="R12" s="7"/>
      <c r="S12" s="15">
        <v>0</v>
      </c>
      <c r="T12" s="15">
        <v>0</v>
      </c>
      <c r="U12" s="7"/>
    </row>
    <row r="13" spans="1:21">
      <c r="A13" s="7"/>
      <c r="B13" s="7" t="s">
        <v>136</v>
      </c>
      <c r="C13" s="7"/>
      <c r="D13" s="7"/>
      <c r="E13" s="7"/>
      <c r="F13" s="7"/>
      <c r="G13" s="7"/>
      <c r="H13" s="7"/>
      <c r="I13" s="7"/>
      <c r="J13" s="7"/>
      <c r="K13" s="15">
        <v>0</v>
      </c>
      <c r="L13" s="7"/>
      <c r="M13" s="15">
        <v>0</v>
      </c>
      <c r="N13" s="15">
        <v>0</v>
      </c>
      <c r="O13" s="15">
        <v>0</v>
      </c>
      <c r="P13" s="7"/>
      <c r="Q13" s="15">
        <v>0</v>
      </c>
      <c r="R13" s="7"/>
      <c r="S13" s="15">
        <v>0</v>
      </c>
      <c r="T13" s="15">
        <v>0</v>
      </c>
      <c r="U13" s="7"/>
    </row>
    <row r="14" spans="1:21">
      <c r="A14" s="7"/>
      <c r="B14" s="7" t="s">
        <v>112</v>
      </c>
      <c r="C14" s="7"/>
      <c r="D14" s="7"/>
      <c r="E14" s="7"/>
      <c r="F14" s="7"/>
      <c r="G14" s="7"/>
      <c r="H14" s="7"/>
      <c r="I14" s="7"/>
      <c r="J14" s="7"/>
      <c r="K14" s="15">
        <v>0</v>
      </c>
      <c r="L14" s="7"/>
      <c r="M14" s="15">
        <v>0</v>
      </c>
      <c r="N14" s="15">
        <v>0</v>
      </c>
      <c r="O14" s="15">
        <v>0</v>
      </c>
      <c r="P14" s="7"/>
      <c r="Q14" s="15">
        <v>0</v>
      </c>
      <c r="R14" s="7"/>
      <c r="S14" s="15">
        <v>0</v>
      </c>
      <c r="T14" s="15">
        <v>0</v>
      </c>
      <c r="U14" s="7"/>
    </row>
    <row r="15" spans="1:21">
      <c r="A15" s="7"/>
      <c r="B15" s="7" t="s">
        <v>137</v>
      </c>
      <c r="C15" s="7"/>
      <c r="D15" s="7"/>
      <c r="E15" s="7"/>
      <c r="F15" s="7"/>
      <c r="G15" s="7"/>
      <c r="H15" s="7"/>
      <c r="I15" s="7"/>
      <c r="J15" s="7"/>
      <c r="K15" s="15">
        <v>0</v>
      </c>
      <c r="L15" s="7"/>
      <c r="M15" s="15">
        <v>0</v>
      </c>
      <c r="N15" s="15">
        <v>0</v>
      </c>
      <c r="O15" s="15">
        <v>0</v>
      </c>
      <c r="P15" s="7"/>
      <c r="Q15" s="15">
        <v>0</v>
      </c>
      <c r="R15" s="7"/>
      <c r="S15" s="15">
        <v>0</v>
      </c>
      <c r="T15" s="15">
        <v>0</v>
      </c>
      <c r="U15" s="7"/>
    </row>
    <row r="16" spans="1:21">
      <c r="A16" s="7"/>
      <c r="B16" s="7" t="s">
        <v>138</v>
      </c>
      <c r="C16" s="7"/>
      <c r="D16" s="7"/>
      <c r="E16" s="7"/>
      <c r="F16" s="7"/>
      <c r="G16" s="7"/>
      <c r="H16" s="7"/>
      <c r="I16" s="7"/>
      <c r="J16" s="7"/>
      <c r="K16" s="15">
        <v>0</v>
      </c>
      <c r="L16" s="7"/>
      <c r="M16" s="15">
        <v>0</v>
      </c>
      <c r="N16" s="15">
        <v>0</v>
      </c>
      <c r="O16" s="15">
        <v>0</v>
      </c>
      <c r="P16" s="7"/>
      <c r="Q16" s="15">
        <v>0</v>
      </c>
      <c r="R16" s="7"/>
      <c r="S16" s="15">
        <v>0</v>
      </c>
      <c r="T16" s="15">
        <v>0</v>
      </c>
      <c r="U16" s="7"/>
    </row>
    <row r="17" spans="1:21">
      <c r="A17" s="7"/>
      <c r="B17" s="7" t="s">
        <v>139</v>
      </c>
      <c r="C17" s="7"/>
      <c r="D17" s="7"/>
      <c r="E17" s="7"/>
      <c r="F17" s="7"/>
      <c r="G17" s="7"/>
      <c r="H17" s="7"/>
      <c r="I17" s="7"/>
      <c r="J17" s="7"/>
      <c r="K17" s="15">
        <v>0</v>
      </c>
      <c r="L17" s="7"/>
      <c r="M17" s="15">
        <v>0</v>
      </c>
      <c r="N17" s="15">
        <v>0</v>
      </c>
      <c r="O17" s="15">
        <v>0</v>
      </c>
      <c r="P17" s="7"/>
      <c r="Q17" s="15">
        <v>0</v>
      </c>
      <c r="R17" s="7"/>
      <c r="S17" s="15">
        <v>0</v>
      </c>
      <c r="T17" s="15">
        <v>0</v>
      </c>
      <c r="U17" s="7"/>
    </row>
    <row r="18" spans="1:21">
      <c r="A18" s="7"/>
      <c r="B18" s="7" t="s">
        <v>80</v>
      </c>
      <c r="C18" s="7"/>
      <c r="D18" s="7"/>
      <c r="E18" s="7"/>
      <c r="F18" s="7"/>
      <c r="G18" s="7"/>
      <c r="H18" s="7"/>
      <c r="I18" s="7"/>
      <c r="J18" s="7"/>
      <c r="K18" s="15">
        <v>0</v>
      </c>
      <c r="L18" s="7"/>
      <c r="M18" s="15">
        <v>0</v>
      </c>
      <c r="N18" s="15">
        <v>0</v>
      </c>
      <c r="O18" s="15">
        <v>0</v>
      </c>
      <c r="P18" s="7"/>
      <c r="Q18" s="15">
        <v>0</v>
      </c>
      <c r="R18" s="7"/>
      <c r="S18" s="15">
        <v>0</v>
      </c>
      <c r="T18" s="15">
        <v>0</v>
      </c>
      <c r="U18" s="7"/>
    </row>
    <row r="19" spans="1:21">
      <c r="A19" s="13"/>
      <c r="B19" s="19" t="s">
        <v>83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>
      <c r="A20" s="13"/>
      <c r="B20" s="19" t="s">
        <v>126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>
      <c r="A21" s="3" t="s">
        <v>44</v>
      </c>
      <c r="B21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2:U111"/>
  <sheetViews>
    <sheetView rightToLeft="1" topLeftCell="A31" workbookViewId="0">
      <selection activeCell="C56" sqref="C56"/>
    </sheetView>
  </sheetViews>
  <sheetFormatPr defaultRowHeight="12.75"/>
  <cols>
    <col min="1" max="1" width="2" style="1"/>
    <col min="2" max="2" width="41" style="1"/>
    <col min="3" max="5" width="11" style="1"/>
    <col min="6" max="6" width="12" style="1"/>
    <col min="7" max="7" width="16" style="1"/>
    <col min="8" max="9" width="11" style="1"/>
    <col min="10" max="10" width="13" style="1"/>
    <col min="11" max="11" width="6" style="1"/>
    <col min="12" max="12" width="10" style="1"/>
    <col min="13" max="13" width="13" style="1"/>
    <col min="14" max="14" width="14" style="1"/>
    <col min="15" max="15" width="15" style="1"/>
    <col min="16" max="16" width="8" style="1"/>
    <col min="17" max="17" width="11" style="1"/>
    <col min="18" max="18" width="22" style="1"/>
    <col min="19" max="19" width="24" style="1"/>
    <col min="20" max="20" width="23" style="1"/>
    <col min="21" max="21" width="2" style="1"/>
  </cols>
  <sheetData>
    <row r="2" spans="1:21">
      <c r="B2" s="2" t="s">
        <v>0</v>
      </c>
    </row>
    <row r="3" spans="1:21">
      <c r="B3" s="2" t="s">
        <v>1</v>
      </c>
    </row>
    <row r="4" spans="1:21">
      <c r="B4" s="3" t="s">
        <v>2</v>
      </c>
    </row>
    <row r="5" spans="1:21">
      <c r="B5" s="3" t="s">
        <v>3</v>
      </c>
    </row>
    <row r="6" spans="1:21">
      <c r="A6" s="4"/>
      <c r="B6" s="12" t="s">
        <v>84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>
      <c r="A7" s="4"/>
      <c r="B7" s="12" t="s">
        <v>140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>
      <c r="A8" s="4"/>
      <c r="B8" s="4" t="s">
        <v>141</v>
      </c>
      <c r="C8" s="4" t="s">
        <v>48</v>
      </c>
      <c r="D8" s="4" t="s">
        <v>86</v>
      </c>
      <c r="E8" s="4" t="s">
        <v>128</v>
      </c>
      <c r="F8" s="4" t="s">
        <v>49</v>
      </c>
      <c r="G8" s="4" t="s">
        <v>129</v>
      </c>
      <c r="H8" s="4" t="s">
        <v>50</v>
      </c>
      <c r="I8" s="4" t="s">
        <v>51</v>
      </c>
      <c r="J8" s="4" t="s">
        <v>130</v>
      </c>
      <c r="K8" s="4" t="s">
        <v>87</v>
      </c>
      <c r="L8" s="4" t="s">
        <v>52</v>
      </c>
      <c r="M8" s="4" t="s">
        <v>53</v>
      </c>
      <c r="N8" s="4" t="s">
        <v>54</v>
      </c>
      <c r="O8" s="4" t="s">
        <v>88</v>
      </c>
      <c r="P8" s="4" t="s">
        <v>89</v>
      </c>
      <c r="Q8" s="4" t="s">
        <v>55</v>
      </c>
      <c r="R8" s="4" t="s">
        <v>90</v>
      </c>
      <c r="S8" s="4" t="s">
        <v>56</v>
      </c>
      <c r="T8" s="4" t="s">
        <v>91</v>
      </c>
      <c r="U8" s="4"/>
    </row>
    <row r="9" spans="1:21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92</v>
      </c>
      <c r="L9" s="4"/>
      <c r="M9" s="4" t="s">
        <v>8</v>
      </c>
      <c r="N9" s="4" t="s">
        <v>8</v>
      </c>
      <c r="O9" s="4" t="s">
        <v>93</v>
      </c>
      <c r="P9" s="4" t="s">
        <v>94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12" t="s">
        <v>65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131</v>
      </c>
      <c r="R10" s="12" t="s">
        <v>132</v>
      </c>
      <c r="S10" s="12" t="s">
        <v>133</v>
      </c>
      <c r="T10" s="12" t="s">
        <v>134</v>
      </c>
      <c r="U10" s="4"/>
    </row>
    <row r="11" spans="1:21">
      <c r="A11" s="13"/>
      <c r="B11" s="13" t="s">
        <v>142</v>
      </c>
      <c r="C11" s="13"/>
      <c r="D11" s="13"/>
      <c r="E11" s="13"/>
      <c r="F11" s="13"/>
      <c r="G11" s="13"/>
      <c r="H11" s="13"/>
      <c r="I11" s="13"/>
      <c r="J11" s="13"/>
      <c r="K11" s="14">
        <v>2.46</v>
      </c>
      <c r="L11" s="13"/>
      <c r="M11" s="14">
        <v>3.94</v>
      </c>
      <c r="N11" s="14">
        <v>1.31</v>
      </c>
      <c r="O11" s="14">
        <v>44847217.859999999</v>
      </c>
      <c r="P11" s="13"/>
      <c r="Q11" s="14">
        <v>51643.49</v>
      </c>
      <c r="R11" s="13"/>
      <c r="S11" s="14">
        <v>100</v>
      </c>
      <c r="T11" s="14">
        <v>36.18</v>
      </c>
      <c r="U11" s="13"/>
    </row>
    <row r="12" spans="1:21">
      <c r="A12" s="7"/>
      <c r="B12" s="7" t="s">
        <v>67</v>
      </c>
      <c r="C12" s="7"/>
      <c r="D12" s="7"/>
      <c r="E12" s="7"/>
      <c r="F12" s="7"/>
      <c r="G12" s="7"/>
      <c r="H12" s="7"/>
      <c r="I12" s="7"/>
      <c r="J12" s="7"/>
      <c r="K12" s="15">
        <v>2.46</v>
      </c>
      <c r="L12" s="7"/>
      <c r="M12" s="15">
        <v>3.94</v>
      </c>
      <c r="N12" s="15">
        <v>1.31</v>
      </c>
      <c r="O12" s="15">
        <v>44847217.859999999</v>
      </c>
      <c r="P12" s="7"/>
      <c r="Q12" s="15">
        <v>51643.49</v>
      </c>
      <c r="R12" s="7"/>
      <c r="S12" s="15">
        <v>100</v>
      </c>
      <c r="T12" s="15">
        <v>36.18</v>
      </c>
      <c r="U12" s="7"/>
    </row>
    <row r="13" spans="1:21">
      <c r="A13" s="7"/>
      <c r="B13" s="7" t="s">
        <v>136</v>
      </c>
      <c r="C13" s="7"/>
      <c r="D13" s="7"/>
      <c r="E13" s="7"/>
      <c r="F13" s="7"/>
      <c r="G13" s="7"/>
      <c r="H13" s="7"/>
      <c r="I13" s="7"/>
      <c r="J13" s="7"/>
      <c r="K13" s="15">
        <v>2.5</v>
      </c>
      <c r="L13" s="7"/>
      <c r="M13" s="15">
        <v>3.77</v>
      </c>
      <c r="N13" s="15">
        <v>1.41</v>
      </c>
      <c r="O13" s="15">
        <v>33121327.5</v>
      </c>
      <c r="P13" s="7"/>
      <c r="Q13" s="15">
        <v>38960.54</v>
      </c>
      <c r="R13" s="7"/>
      <c r="S13" s="15">
        <v>75.44</v>
      </c>
      <c r="T13" s="15">
        <v>27.3</v>
      </c>
      <c r="U13" s="7"/>
    </row>
    <row r="14" spans="1:21">
      <c r="A14" s="16"/>
      <c r="B14" s="16" t="s">
        <v>143</v>
      </c>
      <c r="C14" s="17" t="s">
        <v>144</v>
      </c>
      <c r="D14" s="17" t="s">
        <v>103</v>
      </c>
      <c r="E14" s="16"/>
      <c r="F14" s="17" t="s">
        <v>145</v>
      </c>
      <c r="G14" s="16" t="s">
        <v>146</v>
      </c>
      <c r="H14" s="17" t="s">
        <v>147</v>
      </c>
      <c r="I14" s="16" t="s">
        <v>148</v>
      </c>
      <c r="J14" s="16"/>
      <c r="K14" s="18">
        <v>2.92</v>
      </c>
      <c r="L14" s="16" t="s">
        <v>76</v>
      </c>
      <c r="M14" s="18">
        <v>2.58</v>
      </c>
      <c r="N14" s="18">
        <v>1.04</v>
      </c>
      <c r="O14" s="18">
        <v>1132382</v>
      </c>
      <c r="P14" s="18">
        <v>109.56</v>
      </c>
      <c r="Q14" s="18">
        <v>1240.6400000000001</v>
      </c>
      <c r="R14" s="18">
        <v>0.04</v>
      </c>
      <c r="S14" s="18">
        <v>2.4</v>
      </c>
      <c r="T14" s="18">
        <v>0.87</v>
      </c>
      <c r="U14" s="16"/>
    </row>
    <row r="15" spans="1:21">
      <c r="A15" s="16"/>
      <c r="B15" s="16" t="s">
        <v>149</v>
      </c>
      <c r="C15" s="17" t="s">
        <v>150</v>
      </c>
      <c r="D15" s="17" t="s">
        <v>103</v>
      </c>
      <c r="E15" s="16"/>
      <c r="F15" s="17" t="s">
        <v>145</v>
      </c>
      <c r="G15" s="16" t="s">
        <v>146</v>
      </c>
      <c r="H15" s="17" t="s">
        <v>147</v>
      </c>
      <c r="I15" s="16" t="s">
        <v>148</v>
      </c>
      <c r="J15" s="16"/>
      <c r="K15" s="18">
        <v>1.67</v>
      </c>
      <c r="L15" s="16" t="s">
        <v>76</v>
      </c>
      <c r="M15" s="18">
        <v>0</v>
      </c>
      <c r="N15" s="18">
        <v>0.85</v>
      </c>
      <c r="O15" s="18">
        <v>1498835</v>
      </c>
      <c r="P15" s="18">
        <v>98.59</v>
      </c>
      <c r="Q15" s="18">
        <v>1477.7</v>
      </c>
      <c r="R15" s="18">
        <v>0.08</v>
      </c>
      <c r="S15" s="18">
        <v>2.86</v>
      </c>
      <c r="T15" s="18">
        <v>1.03</v>
      </c>
      <c r="U15" s="16"/>
    </row>
    <row r="16" spans="1:21">
      <c r="A16" s="16"/>
      <c r="B16" s="16" t="s">
        <v>151</v>
      </c>
      <c r="C16" s="17" t="s">
        <v>152</v>
      </c>
      <c r="D16" s="17" t="s">
        <v>103</v>
      </c>
      <c r="E16" s="16"/>
      <c r="F16" s="17" t="s">
        <v>145</v>
      </c>
      <c r="G16" s="16" t="s">
        <v>146</v>
      </c>
      <c r="H16" s="17" t="s">
        <v>147</v>
      </c>
      <c r="I16" s="16" t="s">
        <v>148</v>
      </c>
      <c r="J16" s="16"/>
      <c r="K16" s="18">
        <v>3.16</v>
      </c>
      <c r="L16" s="16" t="s">
        <v>76</v>
      </c>
      <c r="M16" s="18">
        <v>0.41</v>
      </c>
      <c r="N16" s="18">
        <v>1</v>
      </c>
      <c r="O16" s="18">
        <v>1268582</v>
      </c>
      <c r="P16" s="18">
        <v>98.28</v>
      </c>
      <c r="Q16" s="18">
        <v>1246.76</v>
      </c>
      <c r="R16" s="18">
        <v>0.05</v>
      </c>
      <c r="S16" s="18">
        <v>2.41</v>
      </c>
      <c r="T16" s="18">
        <v>0.87</v>
      </c>
      <c r="U16" s="16"/>
    </row>
    <row r="17" spans="1:21">
      <c r="A17" s="16"/>
      <c r="B17" s="16" t="s">
        <v>153</v>
      </c>
      <c r="C17" s="17" t="s">
        <v>154</v>
      </c>
      <c r="D17" s="17" t="s">
        <v>103</v>
      </c>
      <c r="E17" s="16"/>
      <c r="F17" s="17" t="s">
        <v>145</v>
      </c>
      <c r="G17" s="16" t="s">
        <v>146</v>
      </c>
      <c r="H17" s="17" t="s">
        <v>147</v>
      </c>
      <c r="I17" s="16" t="s">
        <v>148</v>
      </c>
      <c r="J17" s="16"/>
      <c r="K17" s="18">
        <v>4.0199999999999996</v>
      </c>
      <c r="L17" s="16" t="s">
        <v>76</v>
      </c>
      <c r="M17" s="18">
        <v>0.64</v>
      </c>
      <c r="N17" s="18">
        <v>0.92</v>
      </c>
      <c r="O17" s="18">
        <v>500000</v>
      </c>
      <c r="P17" s="18">
        <v>98.57</v>
      </c>
      <c r="Q17" s="18">
        <v>492.85</v>
      </c>
      <c r="R17" s="18">
        <v>0.02</v>
      </c>
      <c r="S17" s="18">
        <v>0.95</v>
      </c>
      <c r="T17" s="18">
        <v>0.34</v>
      </c>
      <c r="U17" s="16"/>
    </row>
    <row r="18" spans="1:21">
      <c r="A18" s="16"/>
      <c r="B18" s="16" t="s">
        <v>155</v>
      </c>
      <c r="C18" s="17" t="s">
        <v>156</v>
      </c>
      <c r="D18" s="17" t="s">
        <v>103</v>
      </c>
      <c r="E18" s="16"/>
      <c r="F18" s="17" t="s">
        <v>157</v>
      </c>
      <c r="G18" s="16" t="s">
        <v>146</v>
      </c>
      <c r="H18" s="17" t="s">
        <v>74</v>
      </c>
      <c r="I18" s="16" t="s">
        <v>148</v>
      </c>
      <c r="J18" s="16"/>
      <c r="K18" s="18">
        <v>1.34</v>
      </c>
      <c r="L18" s="16" t="s">
        <v>76</v>
      </c>
      <c r="M18" s="18">
        <v>4.4000000000000004</v>
      </c>
      <c r="N18" s="18">
        <v>1.18</v>
      </c>
      <c r="O18" s="18">
        <v>1021583.84</v>
      </c>
      <c r="P18" s="18">
        <v>122.85</v>
      </c>
      <c r="Q18" s="18">
        <v>1255.02</v>
      </c>
      <c r="R18" s="18">
        <v>0.08</v>
      </c>
      <c r="S18" s="18">
        <v>2.4300000000000002</v>
      </c>
      <c r="T18" s="18">
        <v>0.88</v>
      </c>
      <c r="U18" s="16"/>
    </row>
    <row r="19" spans="1:21">
      <c r="A19" s="16"/>
      <c r="B19" s="16" t="s">
        <v>158</v>
      </c>
      <c r="C19" s="17" t="s">
        <v>159</v>
      </c>
      <c r="D19" s="17" t="s">
        <v>103</v>
      </c>
      <c r="E19" s="16"/>
      <c r="F19" s="17" t="s">
        <v>157</v>
      </c>
      <c r="G19" s="16" t="s">
        <v>146</v>
      </c>
      <c r="H19" s="17" t="s">
        <v>74</v>
      </c>
      <c r="I19" s="16" t="s">
        <v>148</v>
      </c>
      <c r="J19" s="16"/>
      <c r="K19" s="18">
        <v>1.67</v>
      </c>
      <c r="L19" s="16" t="s">
        <v>76</v>
      </c>
      <c r="M19" s="18">
        <v>2.6</v>
      </c>
      <c r="N19" s="18">
        <v>1.22</v>
      </c>
      <c r="O19" s="18">
        <v>1266425</v>
      </c>
      <c r="P19" s="18">
        <v>109.43</v>
      </c>
      <c r="Q19" s="18">
        <v>1385.85</v>
      </c>
      <c r="R19" s="18">
        <v>0.04</v>
      </c>
      <c r="S19" s="18">
        <v>2.68</v>
      </c>
      <c r="T19" s="18">
        <v>0.97</v>
      </c>
      <c r="U19" s="16"/>
    </row>
    <row r="20" spans="1:21">
      <c r="A20" s="16"/>
      <c r="B20" s="16" t="s">
        <v>160</v>
      </c>
      <c r="C20" s="17" t="s">
        <v>161</v>
      </c>
      <c r="D20" s="17" t="s">
        <v>103</v>
      </c>
      <c r="E20" s="16"/>
      <c r="F20" s="17" t="s">
        <v>157</v>
      </c>
      <c r="G20" s="16" t="s">
        <v>146</v>
      </c>
      <c r="H20" s="17" t="s">
        <v>74</v>
      </c>
      <c r="I20" s="16" t="s">
        <v>148</v>
      </c>
      <c r="J20" s="16"/>
      <c r="K20" s="18">
        <v>4.5599999999999996</v>
      </c>
      <c r="L20" s="16" t="s">
        <v>76</v>
      </c>
      <c r="M20" s="18">
        <v>3.4</v>
      </c>
      <c r="N20" s="18">
        <v>0.93</v>
      </c>
      <c r="O20" s="18">
        <v>1303800</v>
      </c>
      <c r="P20" s="18">
        <v>114.81</v>
      </c>
      <c r="Q20" s="18">
        <v>1496.89</v>
      </c>
      <c r="R20" s="18">
        <v>7.0000000000000007E-2</v>
      </c>
      <c r="S20" s="18">
        <v>2.9</v>
      </c>
      <c r="T20" s="18">
        <v>1.05</v>
      </c>
      <c r="U20" s="16"/>
    </row>
    <row r="21" spans="1:21">
      <c r="A21" s="16"/>
      <c r="B21" s="16" t="s">
        <v>162</v>
      </c>
      <c r="C21" s="17" t="s">
        <v>163</v>
      </c>
      <c r="D21" s="17" t="s">
        <v>103</v>
      </c>
      <c r="E21" s="16"/>
      <c r="F21" s="17" t="s">
        <v>145</v>
      </c>
      <c r="G21" s="16" t="s">
        <v>146</v>
      </c>
      <c r="H21" s="17" t="s">
        <v>74</v>
      </c>
      <c r="I21" s="16" t="s">
        <v>148</v>
      </c>
      <c r="J21" s="16"/>
      <c r="K21" s="18">
        <v>1.37</v>
      </c>
      <c r="L21" s="16" t="s">
        <v>76</v>
      </c>
      <c r="M21" s="18">
        <v>3.9</v>
      </c>
      <c r="N21" s="18">
        <v>1.27</v>
      </c>
      <c r="O21" s="18">
        <v>716980</v>
      </c>
      <c r="P21" s="18">
        <v>126.52</v>
      </c>
      <c r="Q21" s="18">
        <v>907.12</v>
      </c>
      <c r="R21" s="18">
        <v>0.05</v>
      </c>
      <c r="S21" s="18">
        <v>1.76</v>
      </c>
      <c r="T21" s="18">
        <v>0.64</v>
      </c>
      <c r="U21" s="16"/>
    </row>
    <row r="22" spans="1:21">
      <c r="A22" s="16"/>
      <c r="B22" s="16" t="s">
        <v>164</v>
      </c>
      <c r="C22" s="17" t="s">
        <v>165</v>
      </c>
      <c r="D22" s="17" t="s">
        <v>103</v>
      </c>
      <c r="E22" s="16"/>
      <c r="F22" s="17" t="s">
        <v>145</v>
      </c>
      <c r="G22" s="16" t="s">
        <v>146</v>
      </c>
      <c r="H22" s="17" t="s">
        <v>74</v>
      </c>
      <c r="I22" s="16" t="s">
        <v>148</v>
      </c>
      <c r="J22" s="16"/>
      <c r="K22" s="18">
        <v>3.55</v>
      </c>
      <c r="L22" s="16" t="s">
        <v>76</v>
      </c>
      <c r="M22" s="18">
        <v>3</v>
      </c>
      <c r="N22" s="18">
        <v>0.96</v>
      </c>
      <c r="O22" s="18">
        <v>241700</v>
      </c>
      <c r="P22" s="18">
        <v>114.36</v>
      </c>
      <c r="Q22" s="18">
        <v>276.41000000000003</v>
      </c>
      <c r="R22" s="18">
        <v>0.05</v>
      </c>
      <c r="S22" s="18">
        <v>0.53</v>
      </c>
      <c r="T22" s="18">
        <v>0.19</v>
      </c>
      <c r="U22" s="16"/>
    </row>
    <row r="23" spans="1:21">
      <c r="A23" s="16"/>
      <c r="B23" s="17" t="s">
        <v>166</v>
      </c>
      <c r="C23" s="17" t="s">
        <v>167</v>
      </c>
      <c r="D23" s="17" t="s">
        <v>103</v>
      </c>
      <c r="E23" s="16"/>
      <c r="F23" s="17" t="s">
        <v>168</v>
      </c>
      <c r="G23" s="16" t="s">
        <v>146</v>
      </c>
      <c r="H23" s="17" t="s">
        <v>74</v>
      </c>
      <c r="I23" s="16" t="s">
        <v>148</v>
      </c>
      <c r="J23" s="16"/>
      <c r="K23" s="18">
        <v>0.47</v>
      </c>
      <c r="L23" s="16" t="s">
        <v>76</v>
      </c>
      <c r="M23" s="18">
        <v>5.19</v>
      </c>
      <c r="N23" s="18">
        <v>2.31</v>
      </c>
      <c r="O23" s="18">
        <v>199195</v>
      </c>
      <c r="P23" s="18">
        <v>136.13</v>
      </c>
      <c r="Q23" s="18">
        <v>271.16000000000003</v>
      </c>
      <c r="R23" s="18">
        <v>7.0000000000000007E-2</v>
      </c>
      <c r="S23" s="18">
        <v>0.52</v>
      </c>
      <c r="T23" s="18">
        <v>0.19</v>
      </c>
      <c r="U23" s="16"/>
    </row>
    <row r="24" spans="1:21">
      <c r="A24" s="16"/>
      <c r="B24" s="17" t="s">
        <v>169</v>
      </c>
      <c r="C24" s="17" t="s">
        <v>170</v>
      </c>
      <c r="D24" s="17" t="s">
        <v>103</v>
      </c>
      <c r="E24" s="16"/>
      <c r="F24" s="17" t="s">
        <v>168</v>
      </c>
      <c r="G24" s="16" t="s">
        <v>146</v>
      </c>
      <c r="H24" s="17" t="s">
        <v>74</v>
      </c>
      <c r="I24" s="16" t="s">
        <v>148</v>
      </c>
      <c r="J24" s="16"/>
      <c r="K24" s="18">
        <v>1.46</v>
      </c>
      <c r="L24" s="16" t="s">
        <v>76</v>
      </c>
      <c r="M24" s="18">
        <v>4.7</v>
      </c>
      <c r="N24" s="18">
        <v>0.89</v>
      </c>
      <c r="O24" s="18">
        <v>269453.05</v>
      </c>
      <c r="P24" s="18">
        <v>126.17</v>
      </c>
      <c r="Q24" s="18">
        <v>339.97</v>
      </c>
      <c r="R24" s="18">
        <v>0.09</v>
      </c>
      <c r="S24" s="18">
        <v>0.66</v>
      </c>
      <c r="T24" s="18">
        <v>0.24</v>
      </c>
      <c r="U24" s="16"/>
    </row>
    <row r="25" spans="1:21">
      <c r="A25" s="16"/>
      <c r="B25" s="16" t="s">
        <v>171</v>
      </c>
      <c r="C25" s="17" t="s">
        <v>172</v>
      </c>
      <c r="D25" s="17" t="s">
        <v>103</v>
      </c>
      <c r="E25" s="16"/>
      <c r="F25" s="17" t="s">
        <v>168</v>
      </c>
      <c r="G25" s="16" t="s">
        <v>146</v>
      </c>
      <c r="H25" s="17" t="s">
        <v>74</v>
      </c>
      <c r="I25" s="16" t="s">
        <v>148</v>
      </c>
      <c r="J25" s="16"/>
      <c r="K25" s="18">
        <v>3.04</v>
      </c>
      <c r="L25" s="16" t="s">
        <v>76</v>
      </c>
      <c r="M25" s="18">
        <v>4.0999999999999996</v>
      </c>
      <c r="N25" s="18">
        <v>1.1000000000000001</v>
      </c>
      <c r="O25" s="18">
        <v>903375</v>
      </c>
      <c r="P25" s="18">
        <v>135.38</v>
      </c>
      <c r="Q25" s="18">
        <v>1222.99</v>
      </c>
      <c r="R25" s="18">
        <v>0.02</v>
      </c>
      <c r="S25" s="18">
        <v>2.37</v>
      </c>
      <c r="T25" s="18">
        <v>0.86</v>
      </c>
      <c r="U25" s="16"/>
    </row>
    <row r="26" spans="1:21">
      <c r="A26" s="16"/>
      <c r="B26" s="16" t="s">
        <v>173</v>
      </c>
      <c r="C26" s="17" t="s">
        <v>174</v>
      </c>
      <c r="D26" s="17" t="s">
        <v>103</v>
      </c>
      <c r="E26" s="16"/>
      <c r="F26" s="17" t="s">
        <v>168</v>
      </c>
      <c r="G26" s="16" t="s">
        <v>146</v>
      </c>
      <c r="H26" s="17" t="s">
        <v>74</v>
      </c>
      <c r="I26" s="16" t="s">
        <v>148</v>
      </c>
      <c r="J26" s="16"/>
      <c r="K26" s="18">
        <v>4.9800000000000004</v>
      </c>
      <c r="L26" s="16" t="s">
        <v>76</v>
      </c>
      <c r="M26" s="18">
        <v>4</v>
      </c>
      <c r="N26" s="18">
        <v>1.02</v>
      </c>
      <c r="O26" s="18">
        <v>487540</v>
      </c>
      <c r="P26" s="18">
        <v>121.83</v>
      </c>
      <c r="Q26" s="18">
        <v>593.97</v>
      </c>
      <c r="R26" s="18">
        <v>0.02</v>
      </c>
      <c r="S26" s="18">
        <v>1.1499999999999999</v>
      </c>
      <c r="T26" s="18">
        <v>0.42</v>
      </c>
      <c r="U26" s="16"/>
    </row>
    <row r="27" spans="1:21">
      <c r="A27" s="16"/>
      <c r="B27" s="16" t="s">
        <v>175</v>
      </c>
      <c r="C27" s="17" t="s">
        <v>176</v>
      </c>
      <c r="D27" s="17" t="s">
        <v>103</v>
      </c>
      <c r="E27" s="16"/>
      <c r="F27" s="17" t="s">
        <v>177</v>
      </c>
      <c r="G27" s="16" t="s">
        <v>178</v>
      </c>
      <c r="H27" s="17" t="s">
        <v>179</v>
      </c>
      <c r="I27" s="16" t="s">
        <v>148</v>
      </c>
      <c r="J27" s="16"/>
      <c r="K27" s="18">
        <v>0.65</v>
      </c>
      <c r="L27" s="16" t="s">
        <v>76</v>
      </c>
      <c r="M27" s="18">
        <v>3.1</v>
      </c>
      <c r="N27" s="18">
        <v>1.89</v>
      </c>
      <c r="O27" s="18">
        <v>556122.29</v>
      </c>
      <c r="P27" s="18">
        <v>107.3</v>
      </c>
      <c r="Q27" s="18">
        <v>596.72</v>
      </c>
      <c r="R27" s="18">
        <v>0.28999999999999998</v>
      </c>
      <c r="S27" s="18">
        <v>1.1499999999999999</v>
      </c>
      <c r="T27" s="18">
        <v>0.42</v>
      </c>
      <c r="U27" s="16"/>
    </row>
    <row r="28" spans="1:21">
      <c r="A28" s="16"/>
      <c r="B28" s="16" t="s">
        <v>180</v>
      </c>
      <c r="C28" s="17" t="s">
        <v>181</v>
      </c>
      <c r="D28" s="17" t="s">
        <v>103</v>
      </c>
      <c r="E28" s="16"/>
      <c r="F28" s="17" t="s">
        <v>177</v>
      </c>
      <c r="G28" s="16" t="s">
        <v>178</v>
      </c>
      <c r="H28" s="17" t="s">
        <v>179</v>
      </c>
      <c r="I28" s="16" t="s">
        <v>148</v>
      </c>
      <c r="J28" s="16"/>
      <c r="K28" s="18">
        <v>1.76</v>
      </c>
      <c r="L28" s="16" t="s">
        <v>76</v>
      </c>
      <c r="M28" s="18">
        <v>3.2</v>
      </c>
      <c r="N28" s="18">
        <v>1.27</v>
      </c>
      <c r="O28" s="18">
        <v>429384</v>
      </c>
      <c r="P28" s="18">
        <v>109.08</v>
      </c>
      <c r="Q28" s="18">
        <v>468.37</v>
      </c>
      <c r="R28" s="18">
        <v>0.1</v>
      </c>
      <c r="S28" s="18">
        <v>0.91</v>
      </c>
      <c r="T28" s="18">
        <v>0.33</v>
      </c>
      <c r="U28" s="16"/>
    </row>
    <row r="29" spans="1:21">
      <c r="A29" s="16"/>
      <c r="B29" s="16" t="s">
        <v>182</v>
      </c>
      <c r="C29" s="17" t="s">
        <v>183</v>
      </c>
      <c r="D29" s="17" t="s">
        <v>103</v>
      </c>
      <c r="E29" s="16"/>
      <c r="F29" s="17" t="s">
        <v>177</v>
      </c>
      <c r="G29" s="16" t="s">
        <v>178</v>
      </c>
      <c r="H29" s="17" t="s">
        <v>179</v>
      </c>
      <c r="I29" s="16" t="s">
        <v>148</v>
      </c>
      <c r="J29" s="16"/>
      <c r="K29" s="18">
        <v>3.32</v>
      </c>
      <c r="L29" s="16" t="s">
        <v>76</v>
      </c>
      <c r="M29" s="18">
        <v>1.64</v>
      </c>
      <c r="N29" s="18">
        <v>1.51</v>
      </c>
      <c r="O29" s="18">
        <v>582890.73</v>
      </c>
      <c r="P29" s="18">
        <v>101.02</v>
      </c>
      <c r="Q29" s="18">
        <v>588.84</v>
      </c>
      <c r="R29" s="18">
        <v>0.1</v>
      </c>
      <c r="S29" s="18">
        <v>1.1399999999999999</v>
      </c>
      <c r="T29" s="18">
        <v>0.41</v>
      </c>
      <c r="U29" s="16"/>
    </row>
    <row r="30" spans="1:21">
      <c r="A30" s="16"/>
      <c r="B30" s="16" t="s">
        <v>184</v>
      </c>
      <c r="C30" s="17" t="s">
        <v>185</v>
      </c>
      <c r="D30" s="17" t="s">
        <v>103</v>
      </c>
      <c r="E30" s="16"/>
      <c r="F30" s="17" t="s">
        <v>186</v>
      </c>
      <c r="G30" s="16" t="s">
        <v>187</v>
      </c>
      <c r="H30" s="17" t="s">
        <v>179</v>
      </c>
      <c r="I30" s="16" t="s">
        <v>148</v>
      </c>
      <c r="J30" s="16"/>
      <c r="K30" s="18">
        <v>0.42</v>
      </c>
      <c r="L30" s="16" t="s">
        <v>76</v>
      </c>
      <c r="M30" s="18">
        <v>5.3</v>
      </c>
      <c r="N30" s="18">
        <v>2.12</v>
      </c>
      <c r="O30" s="18">
        <v>0.3</v>
      </c>
      <c r="P30" s="18">
        <v>128.1</v>
      </c>
      <c r="Q30" s="18">
        <v>0</v>
      </c>
      <c r="R30" s="18">
        <v>0</v>
      </c>
      <c r="S30" s="18">
        <v>0</v>
      </c>
      <c r="T30" s="18">
        <v>0</v>
      </c>
      <c r="U30" s="16"/>
    </row>
    <row r="31" spans="1:21">
      <c r="A31" s="16"/>
      <c r="B31" s="16" t="s">
        <v>188</v>
      </c>
      <c r="C31" s="17" t="s">
        <v>189</v>
      </c>
      <c r="D31" s="17" t="s">
        <v>103</v>
      </c>
      <c r="E31" s="16"/>
      <c r="F31" s="17" t="s">
        <v>186</v>
      </c>
      <c r="G31" s="16" t="s">
        <v>187</v>
      </c>
      <c r="H31" s="17" t="s">
        <v>179</v>
      </c>
      <c r="I31" s="16" t="s">
        <v>148</v>
      </c>
      <c r="J31" s="16"/>
      <c r="K31" s="18">
        <v>4.5599999999999996</v>
      </c>
      <c r="L31" s="16" t="s">
        <v>76</v>
      </c>
      <c r="M31" s="18">
        <v>3.7</v>
      </c>
      <c r="N31" s="18">
        <v>1.44</v>
      </c>
      <c r="O31" s="18">
        <v>526300</v>
      </c>
      <c r="P31" s="18">
        <v>114.06</v>
      </c>
      <c r="Q31" s="18">
        <v>600.29999999999995</v>
      </c>
      <c r="R31" s="18">
        <v>0.02</v>
      </c>
      <c r="S31" s="18">
        <v>1.1599999999999999</v>
      </c>
      <c r="T31" s="18">
        <v>0.42</v>
      </c>
      <c r="U31" s="16"/>
    </row>
    <row r="32" spans="1:21">
      <c r="A32" s="16"/>
      <c r="B32" s="16" t="s">
        <v>190</v>
      </c>
      <c r="C32" s="17" t="s">
        <v>191</v>
      </c>
      <c r="D32" s="17" t="s">
        <v>103</v>
      </c>
      <c r="E32" s="16"/>
      <c r="F32" s="17" t="s">
        <v>192</v>
      </c>
      <c r="G32" s="16" t="s">
        <v>146</v>
      </c>
      <c r="H32" s="17" t="s">
        <v>179</v>
      </c>
      <c r="I32" s="16" t="s">
        <v>148</v>
      </c>
      <c r="J32" s="16"/>
      <c r="K32" s="18">
        <v>0.93</v>
      </c>
      <c r="L32" s="16" t="s">
        <v>76</v>
      </c>
      <c r="M32" s="18">
        <v>3.85</v>
      </c>
      <c r="N32" s="18">
        <v>1.22</v>
      </c>
      <c r="O32" s="18">
        <v>922585</v>
      </c>
      <c r="P32" s="18">
        <v>122.61</v>
      </c>
      <c r="Q32" s="18">
        <v>1131.18</v>
      </c>
      <c r="R32" s="18">
        <v>0.13</v>
      </c>
      <c r="S32" s="18">
        <v>2.19</v>
      </c>
      <c r="T32" s="18">
        <v>0.79</v>
      </c>
      <c r="U32" s="16"/>
    </row>
    <row r="33" spans="1:21">
      <c r="A33" s="16"/>
      <c r="B33" s="16" t="s">
        <v>193</v>
      </c>
      <c r="C33" s="17" t="s">
        <v>194</v>
      </c>
      <c r="D33" s="17" t="s">
        <v>103</v>
      </c>
      <c r="E33" s="16"/>
      <c r="F33" s="17" t="s">
        <v>192</v>
      </c>
      <c r="G33" s="16" t="s">
        <v>146</v>
      </c>
      <c r="H33" s="17" t="s">
        <v>179</v>
      </c>
      <c r="I33" s="16" t="s">
        <v>148</v>
      </c>
      <c r="J33" s="16"/>
      <c r="K33" s="18">
        <v>2.92</v>
      </c>
      <c r="L33" s="16" t="s">
        <v>76</v>
      </c>
      <c r="M33" s="18">
        <v>3.1</v>
      </c>
      <c r="N33" s="18">
        <v>1.01</v>
      </c>
      <c r="O33" s="18">
        <v>1355492</v>
      </c>
      <c r="P33" s="18">
        <v>114.55</v>
      </c>
      <c r="Q33" s="18">
        <v>1552.72</v>
      </c>
      <c r="R33" s="18">
        <v>0.16</v>
      </c>
      <c r="S33" s="18">
        <v>3.01</v>
      </c>
      <c r="T33" s="18">
        <v>1.0900000000000001</v>
      </c>
      <c r="U33" s="16"/>
    </row>
    <row r="34" spans="1:21">
      <c r="A34" s="16"/>
      <c r="B34" s="16" t="s">
        <v>195</v>
      </c>
      <c r="C34" s="17" t="s">
        <v>196</v>
      </c>
      <c r="D34" s="17" t="s">
        <v>103</v>
      </c>
      <c r="E34" s="16"/>
      <c r="F34" s="17" t="s">
        <v>192</v>
      </c>
      <c r="G34" s="16" t="s">
        <v>146</v>
      </c>
      <c r="H34" s="17" t="s">
        <v>179</v>
      </c>
      <c r="I34" s="16" t="s">
        <v>148</v>
      </c>
      <c r="J34" s="16"/>
      <c r="K34" s="18">
        <v>3.37</v>
      </c>
      <c r="L34" s="16" t="s">
        <v>76</v>
      </c>
      <c r="M34" s="18">
        <v>2.8</v>
      </c>
      <c r="N34" s="18">
        <v>0.93</v>
      </c>
      <c r="O34" s="18">
        <v>1480751</v>
      </c>
      <c r="P34" s="18">
        <v>108.96</v>
      </c>
      <c r="Q34" s="18">
        <v>1613.43</v>
      </c>
      <c r="R34" s="18">
        <v>0.15</v>
      </c>
      <c r="S34" s="18">
        <v>3.12</v>
      </c>
      <c r="T34" s="18">
        <v>1.1299999999999999</v>
      </c>
      <c r="U34" s="16"/>
    </row>
    <row r="35" spans="1:21">
      <c r="A35" s="16"/>
      <c r="B35" s="17" t="s">
        <v>197</v>
      </c>
      <c r="C35" s="17" t="s">
        <v>198</v>
      </c>
      <c r="D35" s="17" t="s">
        <v>103</v>
      </c>
      <c r="E35" s="16"/>
      <c r="F35" s="17" t="s">
        <v>199</v>
      </c>
      <c r="G35" s="16" t="s">
        <v>200</v>
      </c>
      <c r="H35" s="17" t="s">
        <v>179</v>
      </c>
      <c r="I35" s="16" t="s">
        <v>148</v>
      </c>
      <c r="J35" s="16"/>
      <c r="K35" s="18">
        <v>3.35</v>
      </c>
      <c r="L35" s="16" t="s">
        <v>76</v>
      </c>
      <c r="M35" s="18">
        <v>4.6500000000000004</v>
      </c>
      <c r="N35" s="18">
        <v>1.19</v>
      </c>
      <c r="O35" s="18">
        <v>8504.57</v>
      </c>
      <c r="P35" s="18">
        <v>133.53</v>
      </c>
      <c r="Q35" s="18">
        <v>11.36</v>
      </c>
      <c r="R35" s="18">
        <v>0.01</v>
      </c>
      <c r="S35" s="18">
        <v>0.02</v>
      </c>
      <c r="T35" s="18">
        <v>0.01</v>
      </c>
      <c r="U35" s="16"/>
    </row>
    <row r="36" spans="1:21">
      <c r="A36" s="16"/>
      <c r="B36" s="16" t="s">
        <v>201</v>
      </c>
      <c r="C36" s="17" t="s">
        <v>202</v>
      </c>
      <c r="D36" s="17" t="s">
        <v>103</v>
      </c>
      <c r="E36" s="16"/>
      <c r="F36" s="17" t="s">
        <v>203</v>
      </c>
      <c r="G36" s="16" t="s">
        <v>178</v>
      </c>
      <c r="H36" s="17" t="s">
        <v>179</v>
      </c>
      <c r="I36" s="16" t="s">
        <v>148</v>
      </c>
      <c r="J36" s="16"/>
      <c r="K36" s="18">
        <v>1.48</v>
      </c>
      <c r="L36" s="16" t="s">
        <v>76</v>
      </c>
      <c r="M36" s="18">
        <v>4</v>
      </c>
      <c r="N36" s="18">
        <v>1.53</v>
      </c>
      <c r="O36" s="18">
        <v>61667.17</v>
      </c>
      <c r="P36" s="18">
        <v>123.76</v>
      </c>
      <c r="Q36" s="18">
        <v>76.319999999999993</v>
      </c>
      <c r="R36" s="18">
        <v>0.12</v>
      </c>
      <c r="S36" s="18">
        <v>0.15</v>
      </c>
      <c r="T36" s="18">
        <v>0.05</v>
      </c>
      <c r="U36" s="16"/>
    </row>
    <row r="37" spans="1:21">
      <c r="A37" s="16"/>
      <c r="B37" s="16" t="s">
        <v>204</v>
      </c>
      <c r="C37" s="17" t="s">
        <v>205</v>
      </c>
      <c r="D37" s="17" t="s">
        <v>103</v>
      </c>
      <c r="E37" s="16"/>
      <c r="F37" s="17" t="s">
        <v>206</v>
      </c>
      <c r="G37" s="16" t="s">
        <v>200</v>
      </c>
      <c r="H37" s="17" t="s">
        <v>179</v>
      </c>
      <c r="I37" s="16" t="s">
        <v>148</v>
      </c>
      <c r="J37" s="16"/>
      <c r="K37" s="18">
        <v>2.76</v>
      </c>
      <c r="L37" s="16" t="s">
        <v>76</v>
      </c>
      <c r="M37" s="18">
        <v>4.8899999999999997</v>
      </c>
      <c r="N37" s="18">
        <v>1.27</v>
      </c>
      <c r="O37" s="18">
        <v>58118.66</v>
      </c>
      <c r="P37" s="18">
        <v>133.33000000000001</v>
      </c>
      <c r="Q37" s="18">
        <v>77.489999999999995</v>
      </c>
      <c r="R37" s="18">
        <v>0.03</v>
      </c>
      <c r="S37" s="18">
        <v>0.15</v>
      </c>
      <c r="T37" s="18">
        <v>0.05</v>
      </c>
      <c r="U37" s="16"/>
    </row>
    <row r="38" spans="1:21">
      <c r="A38" s="16"/>
      <c r="B38" s="16" t="s">
        <v>207</v>
      </c>
      <c r="C38" s="17" t="s">
        <v>208</v>
      </c>
      <c r="D38" s="17" t="s">
        <v>103</v>
      </c>
      <c r="E38" s="16"/>
      <c r="F38" s="17" t="s">
        <v>209</v>
      </c>
      <c r="G38" s="16" t="s">
        <v>178</v>
      </c>
      <c r="H38" s="17" t="s">
        <v>179</v>
      </c>
      <c r="I38" s="16" t="s">
        <v>148</v>
      </c>
      <c r="J38" s="16"/>
      <c r="K38" s="18">
        <v>3.42</v>
      </c>
      <c r="L38" s="16" t="s">
        <v>76</v>
      </c>
      <c r="M38" s="18">
        <v>3</v>
      </c>
      <c r="N38" s="18">
        <v>1.39</v>
      </c>
      <c r="O38" s="18">
        <v>464287.13</v>
      </c>
      <c r="P38" s="18">
        <v>113.34</v>
      </c>
      <c r="Q38" s="18">
        <v>526.22</v>
      </c>
      <c r="R38" s="18">
        <v>0.04</v>
      </c>
      <c r="S38" s="18">
        <v>1.02</v>
      </c>
      <c r="T38" s="18">
        <v>0.37</v>
      </c>
      <c r="U38" s="16"/>
    </row>
    <row r="39" spans="1:21">
      <c r="A39" s="16"/>
      <c r="B39" s="16" t="s">
        <v>210</v>
      </c>
      <c r="C39" s="17" t="s">
        <v>211</v>
      </c>
      <c r="D39" s="17" t="s">
        <v>103</v>
      </c>
      <c r="E39" s="16"/>
      <c r="F39" s="17" t="s">
        <v>212</v>
      </c>
      <c r="G39" s="16" t="s">
        <v>213</v>
      </c>
      <c r="H39" s="17" t="s">
        <v>214</v>
      </c>
      <c r="I39" s="16" t="s">
        <v>215</v>
      </c>
      <c r="J39" s="16"/>
      <c r="K39" s="18">
        <v>1.06</v>
      </c>
      <c r="L39" s="16" t="s">
        <v>76</v>
      </c>
      <c r="M39" s="18">
        <v>4.0999999999999996</v>
      </c>
      <c r="N39" s="18">
        <v>0.97</v>
      </c>
      <c r="O39" s="18">
        <v>400122</v>
      </c>
      <c r="P39" s="18">
        <v>125.96</v>
      </c>
      <c r="Q39" s="18">
        <v>503.99</v>
      </c>
      <c r="R39" s="18">
        <v>0.09</v>
      </c>
      <c r="S39" s="18">
        <v>0.98</v>
      </c>
      <c r="T39" s="18">
        <v>0.35</v>
      </c>
      <c r="U39" s="16"/>
    </row>
    <row r="40" spans="1:21">
      <c r="A40" s="16"/>
      <c r="B40" s="16" t="s">
        <v>216</v>
      </c>
      <c r="C40" s="17" t="s">
        <v>217</v>
      </c>
      <c r="D40" s="17" t="s">
        <v>103</v>
      </c>
      <c r="E40" s="16"/>
      <c r="F40" s="17" t="s">
        <v>218</v>
      </c>
      <c r="G40" s="16" t="s">
        <v>178</v>
      </c>
      <c r="H40" s="17" t="s">
        <v>219</v>
      </c>
      <c r="I40" s="16" t="s">
        <v>148</v>
      </c>
      <c r="J40" s="16"/>
      <c r="K40" s="18">
        <v>3.17</v>
      </c>
      <c r="L40" s="16" t="s">
        <v>76</v>
      </c>
      <c r="M40" s="18">
        <v>3.9</v>
      </c>
      <c r="N40" s="18">
        <v>1.2</v>
      </c>
      <c r="O40" s="18">
        <v>19041.72</v>
      </c>
      <c r="P40" s="18">
        <v>117.25</v>
      </c>
      <c r="Q40" s="18">
        <v>22.33</v>
      </c>
      <c r="R40" s="18">
        <v>0</v>
      </c>
      <c r="S40" s="18">
        <v>0.04</v>
      </c>
      <c r="T40" s="18">
        <v>0.02</v>
      </c>
      <c r="U40" s="16"/>
    </row>
    <row r="41" spans="1:21">
      <c r="A41" s="16"/>
      <c r="B41" s="16" t="s">
        <v>220</v>
      </c>
      <c r="C41" s="17" t="s">
        <v>221</v>
      </c>
      <c r="D41" s="17" t="s">
        <v>103</v>
      </c>
      <c r="E41" s="16"/>
      <c r="F41" s="17" t="s">
        <v>222</v>
      </c>
      <c r="G41" s="16" t="s">
        <v>146</v>
      </c>
      <c r="H41" s="17" t="s">
        <v>223</v>
      </c>
      <c r="I41" s="16" t="s">
        <v>215</v>
      </c>
      <c r="J41" s="16"/>
      <c r="K41" s="18">
        <v>1.57</v>
      </c>
      <c r="L41" s="16" t="s">
        <v>76</v>
      </c>
      <c r="M41" s="18">
        <v>1.6</v>
      </c>
      <c r="N41" s="18">
        <v>1.05</v>
      </c>
      <c r="O41" s="18">
        <v>992947</v>
      </c>
      <c r="P41" s="18">
        <v>102.92</v>
      </c>
      <c r="Q41" s="18">
        <v>1021.94</v>
      </c>
      <c r="R41" s="18">
        <v>0.13</v>
      </c>
      <c r="S41" s="18">
        <v>1.98</v>
      </c>
      <c r="T41" s="18">
        <v>0.72</v>
      </c>
      <c r="U41" s="16"/>
    </row>
    <row r="42" spans="1:21">
      <c r="A42" s="16"/>
      <c r="B42" s="16" t="s">
        <v>224</v>
      </c>
      <c r="C42" s="17" t="s">
        <v>225</v>
      </c>
      <c r="D42" s="17" t="s">
        <v>103</v>
      </c>
      <c r="E42" s="16"/>
      <c r="F42" s="17" t="s">
        <v>226</v>
      </c>
      <c r="G42" s="16" t="s">
        <v>178</v>
      </c>
      <c r="H42" s="17" t="s">
        <v>219</v>
      </c>
      <c r="I42" s="16" t="s">
        <v>148</v>
      </c>
      <c r="J42" s="16"/>
      <c r="K42" s="18">
        <v>1.63</v>
      </c>
      <c r="L42" s="16" t="s">
        <v>76</v>
      </c>
      <c r="M42" s="18">
        <v>4.25</v>
      </c>
      <c r="N42" s="18">
        <v>1.41</v>
      </c>
      <c r="O42" s="18">
        <v>432446.71999999997</v>
      </c>
      <c r="P42" s="18">
        <v>129.79</v>
      </c>
      <c r="Q42" s="18">
        <v>561.27</v>
      </c>
      <c r="R42" s="18">
        <v>0.05</v>
      </c>
      <c r="S42" s="18">
        <v>1.0900000000000001</v>
      </c>
      <c r="T42" s="18">
        <v>0.39</v>
      </c>
      <c r="U42" s="16"/>
    </row>
    <row r="43" spans="1:21">
      <c r="A43" s="16"/>
      <c r="B43" s="16" t="s">
        <v>227</v>
      </c>
      <c r="C43" s="17" t="s">
        <v>228</v>
      </c>
      <c r="D43" s="17" t="s">
        <v>103</v>
      </c>
      <c r="E43" s="16"/>
      <c r="F43" s="17" t="s">
        <v>226</v>
      </c>
      <c r="G43" s="16" t="s">
        <v>178</v>
      </c>
      <c r="H43" s="17" t="s">
        <v>219</v>
      </c>
      <c r="I43" s="16" t="s">
        <v>148</v>
      </c>
      <c r="J43" s="16"/>
      <c r="K43" s="18">
        <v>3.61</v>
      </c>
      <c r="L43" s="16" t="s">
        <v>76</v>
      </c>
      <c r="M43" s="18">
        <v>4.45</v>
      </c>
      <c r="N43" s="18">
        <v>1.5</v>
      </c>
      <c r="O43" s="18">
        <v>516300</v>
      </c>
      <c r="P43" s="18">
        <v>117.55</v>
      </c>
      <c r="Q43" s="18">
        <v>606.91</v>
      </c>
      <c r="R43" s="18">
        <v>0.06</v>
      </c>
      <c r="S43" s="18">
        <v>1.17</v>
      </c>
      <c r="T43" s="18">
        <v>0.42</v>
      </c>
      <c r="U43" s="16"/>
    </row>
    <row r="44" spans="1:21">
      <c r="A44" s="16"/>
      <c r="B44" s="16" t="s">
        <v>229</v>
      </c>
      <c r="C44" s="17" t="s">
        <v>230</v>
      </c>
      <c r="D44" s="17" t="s">
        <v>103</v>
      </c>
      <c r="E44" s="16"/>
      <c r="F44" s="17" t="s">
        <v>231</v>
      </c>
      <c r="G44" s="16" t="s">
        <v>178</v>
      </c>
      <c r="H44" s="17" t="s">
        <v>219</v>
      </c>
      <c r="I44" s="16" t="s">
        <v>148</v>
      </c>
      <c r="J44" s="16"/>
      <c r="K44" s="18">
        <v>1.94</v>
      </c>
      <c r="L44" s="16" t="s">
        <v>76</v>
      </c>
      <c r="M44" s="18">
        <v>4.95</v>
      </c>
      <c r="N44" s="18">
        <v>1.4</v>
      </c>
      <c r="O44" s="18">
        <v>567018.05000000005</v>
      </c>
      <c r="P44" s="18">
        <v>128.96</v>
      </c>
      <c r="Q44" s="18">
        <v>731.23</v>
      </c>
      <c r="R44" s="18">
        <v>0.11</v>
      </c>
      <c r="S44" s="18">
        <v>1.42</v>
      </c>
      <c r="T44" s="18">
        <v>0.51</v>
      </c>
      <c r="U44" s="16"/>
    </row>
    <row r="45" spans="1:21">
      <c r="A45" s="16"/>
      <c r="B45" s="16" t="s">
        <v>232</v>
      </c>
      <c r="C45" s="17" t="s">
        <v>233</v>
      </c>
      <c r="D45" s="17" t="s">
        <v>103</v>
      </c>
      <c r="E45" s="16"/>
      <c r="F45" s="17" t="s">
        <v>231</v>
      </c>
      <c r="G45" s="16" t="s">
        <v>178</v>
      </c>
      <c r="H45" s="17" t="s">
        <v>219</v>
      </c>
      <c r="I45" s="16" t="s">
        <v>148</v>
      </c>
      <c r="J45" s="16"/>
      <c r="K45" s="18">
        <v>2.89</v>
      </c>
      <c r="L45" s="16" t="s">
        <v>76</v>
      </c>
      <c r="M45" s="18">
        <v>4.9000000000000004</v>
      </c>
      <c r="N45" s="18">
        <v>1.33</v>
      </c>
      <c r="O45" s="18">
        <v>401641.7</v>
      </c>
      <c r="P45" s="18">
        <v>118.5</v>
      </c>
      <c r="Q45" s="18">
        <v>475.94</v>
      </c>
      <c r="R45" s="18">
        <v>0.08</v>
      </c>
      <c r="S45" s="18">
        <v>0.92</v>
      </c>
      <c r="T45" s="18">
        <v>0.33</v>
      </c>
      <c r="U45" s="16"/>
    </row>
    <row r="46" spans="1:21">
      <c r="A46" s="16"/>
      <c r="B46" s="16" t="s">
        <v>234</v>
      </c>
      <c r="C46" s="17" t="s">
        <v>235</v>
      </c>
      <c r="D46" s="17" t="s">
        <v>103</v>
      </c>
      <c r="E46" s="16"/>
      <c r="F46" s="17" t="s">
        <v>236</v>
      </c>
      <c r="G46" s="16" t="s">
        <v>178</v>
      </c>
      <c r="H46" s="17" t="s">
        <v>219</v>
      </c>
      <c r="I46" s="16" t="s">
        <v>148</v>
      </c>
      <c r="J46" s="16"/>
      <c r="K46" s="18">
        <v>3.61</v>
      </c>
      <c r="L46" s="16" t="s">
        <v>76</v>
      </c>
      <c r="M46" s="18">
        <v>5.85</v>
      </c>
      <c r="N46" s="18">
        <v>1.81</v>
      </c>
      <c r="O46" s="18">
        <v>475591.88</v>
      </c>
      <c r="P46" s="18">
        <v>124.07</v>
      </c>
      <c r="Q46" s="18">
        <v>590.07000000000005</v>
      </c>
      <c r="R46" s="18">
        <v>0.03</v>
      </c>
      <c r="S46" s="18">
        <v>1.1399999999999999</v>
      </c>
      <c r="T46" s="18">
        <v>0.41</v>
      </c>
      <c r="U46" s="16"/>
    </row>
    <row r="47" spans="1:21">
      <c r="A47" s="16"/>
      <c r="B47" s="16" t="s">
        <v>237</v>
      </c>
      <c r="C47" s="17" t="s">
        <v>238</v>
      </c>
      <c r="D47" s="17" t="s">
        <v>103</v>
      </c>
      <c r="E47" s="16"/>
      <c r="F47" s="17" t="s">
        <v>239</v>
      </c>
      <c r="G47" s="16" t="s">
        <v>178</v>
      </c>
      <c r="H47" s="17" t="s">
        <v>219</v>
      </c>
      <c r="I47" s="16" t="s">
        <v>148</v>
      </c>
      <c r="J47" s="16"/>
      <c r="K47" s="18">
        <v>1.22</v>
      </c>
      <c r="L47" s="16" t="s">
        <v>76</v>
      </c>
      <c r="M47" s="18">
        <v>4.55</v>
      </c>
      <c r="N47" s="18">
        <v>1.05</v>
      </c>
      <c r="O47" s="18">
        <v>532725</v>
      </c>
      <c r="P47" s="18">
        <v>126.83</v>
      </c>
      <c r="Q47" s="18">
        <v>675.65</v>
      </c>
      <c r="R47" s="18">
        <v>0.13</v>
      </c>
      <c r="S47" s="18">
        <v>1.31</v>
      </c>
      <c r="T47" s="18">
        <v>0.47</v>
      </c>
      <c r="U47" s="16"/>
    </row>
    <row r="48" spans="1:21">
      <c r="A48" s="16"/>
      <c r="B48" s="16" t="s">
        <v>240</v>
      </c>
      <c r="C48" s="17" t="s">
        <v>241</v>
      </c>
      <c r="D48" s="17" t="s">
        <v>103</v>
      </c>
      <c r="E48" s="16"/>
      <c r="F48" s="17" t="s">
        <v>242</v>
      </c>
      <c r="G48" s="16" t="s">
        <v>178</v>
      </c>
      <c r="H48" s="17" t="s">
        <v>219</v>
      </c>
      <c r="I48" s="16" t="s">
        <v>148</v>
      </c>
      <c r="J48" s="16"/>
      <c r="K48" s="18">
        <v>1.84</v>
      </c>
      <c r="L48" s="16" t="s">
        <v>76</v>
      </c>
      <c r="M48" s="18">
        <v>4.95</v>
      </c>
      <c r="N48" s="18">
        <v>1.79</v>
      </c>
      <c r="O48" s="18">
        <v>376417.25</v>
      </c>
      <c r="P48" s="18">
        <v>130.44999999999999</v>
      </c>
      <c r="Q48" s="18">
        <v>491.04</v>
      </c>
      <c r="R48" s="18">
        <v>0.06</v>
      </c>
      <c r="S48" s="18">
        <v>0.95</v>
      </c>
      <c r="T48" s="18">
        <v>0.34</v>
      </c>
      <c r="U48" s="16"/>
    </row>
    <row r="49" spans="1:21">
      <c r="A49" s="16"/>
      <c r="B49" s="16" t="s">
        <v>243</v>
      </c>
      <c r="C49" s="17" t="s">
        <v>244</v>
      </c>
      <c r="D49" s="17" t="s">
        <v>103</v>
      </c>
      <c r="E49" s="16"/>
      <c r="F49" s="17" t="s">
        <v>242</v>
      </c>
      <c r="G49" s="16" t="s">
        <v>178</v>
      </c>
      <c r="H49" s="17" t="s">
        <v>219</v>
      </c>
      <c r="I49" s="16" t="s">
        <v>148</v>
      </c>
      <c r="J49" s="16"/>
      <c r="K49" s="18">
        <v>1.62</v>
      </c>
      <c r="L49" s="16" t="s">
        <v>76</v>
      </c>
      <c r="M49" s="18">
        <v>5.3</v>
      </c>
      <c r="N49" s="18">
        <v>1.83</v>
      </c>
      <c r="O49" s="18">
        <v>670164.75</v>
      </c>
      <c r="P49" s="18">
        <v>123.08</v>
      </c>
      <c r="Q49" s="18">
        <v>824.84</v>
      </c>
      <c r="R49" s="18">
        <v>0.08</v>
      </c>
      <c r="S49" s="18">
        <v>1.6</v>
      </c>
      <c r="T49" s="18">
        <v>0.57999999999999996</v>
      </c>
      <c r="U49" s="16"/>
    </row>
    <row r="50" spans="1:21">
      <c r="A50" s="16"/>
      <c r="B50" s="17" t="s">
        <v>245</v>
      </c>
      <c r="C50" s="17" t="s">
        <v>246</v>
      </c>
      <c r="D50" s="17" t="s">
        <v>103</v>
      </c>
      <c r="E50" s="16"/>
      <c r="F50" s="17" t="s">
        <v>247</v>
      </c>
      <c r="G50" s="16" t="s">
        <v>146</v>
      </c>
      <c r="H50" s="17" t="s">
        <v>219</v>
      </c>
      <c r="I50" s="16" t="s">
        <v>148</v>
      </c>
      <c r="J50" s="16"/>
      <c r="K50" s="18">
        <v>1.21</v>
      </c>
      <c r="L50" s="16" t="s">
        <v>76</v>
      </c>
      <c r="M50" s="18">
        <v>5.5</v>
      </c>
      <c r="N50" s="18">
        <v>1.07</v>
      </c>
      <c r="O50" s="18">
        <v>728729</v>
      </c>
      <c r="P50" s="18">
        <v>135.82</v>
      </c>
      <c r="Q50" s="18">
        <v>989.76</v>
      </c>
      <c r="R50" s="18">
        <v>0.3</v>
      </c>
      <c r="S50" s="18">
        <v>1.92</v>
      </c>
      <c r="T50" s="18">
        <v>0.69</v>
      </c>
      <c r="U50" s="16"/>
    </row>
    <row r="51" spans="1:21">
      <c r="A51" s="16"/>
      <c r="B51" s="16" t="s">
        <v>248</v>
      </c>
      <c r="C51" s="17" t="s">
        <v>249</v>
      </c>
      <c r="D51" s="17" t="s">
        <v>103</v>
      </c>
      <c r="E51" s="16"/>
      <c r="F51" s="17" t="s">
        <v>247</v>
      </c>
      <c r="G51" s="16" t="s">
        <v>146</v>
      </c>
      <c r="H51" s="17" t="s">
        <v>219</v>
      </c>
      <c r="I51" s="16" t="s">
        <v>148</v>
      </c>
      <c r="J51" s="16"/>
      <c r="K51" s="18">
        <v>3.63</v>
      </c>
      <c r="L51" s="16" t="s">
        <v>76</v>
      </c>
      <c r="M51" s="18">
        <v>4.75</v>
      </c>
      <c r="N51" s="18">
        <v>0.9</v>
      </c>
      <c r="O51" s="18">
        <v>806443.75</v>
      </c>
      <c r="P51" s="18">
        <v>134.80000000000001</v>
      </c>
      <c r="Q51" s="18">
        <v>1087.0899999999999</v>
      </c>
      <c r="R51" s="18">
        <v>0.16</v>
      </c>
      <c r="S51" s="18">
        <v>2.1</v>
      </c>
      <c r="T51" s="18">
        <v>0.76</v>
      </c>
      <c r="U51" s="16"/>
    </row>
    <row r="52" spans="1:21">
      <c r="A52" s="16"/>
      <c r="B52" s="17" t="s">
        <v>250</v>
      </c>
      <c r="C52" s="17" t="s">
        <v>251</v>
      </c>
      <c r="D52" s="17" t="s">
        <v>103</v>
      </c>
      <c r="E52" s="16"/>
      <c r="F52" s="17" t="s">
        <v>247</v>
      </c>
      <c r="G52" s="16" t="s">
        <v>146</v>
      </c>
      <c r="H52" s="17" t="s">
        <v>219</v>
      </c>
      <c r="I52" s="16" t="s">
        <v>148</v>
      </c>
      <c r="J52" s="16"/>
      <c r="K52" s="18">
        <v>2.34</v>
      </c>
      <c r="L52" s="16" t="s">
        <v>76</v>
      </c>
      <c r="M52" s="18">
        <v>5.25</v>
      </c>
      <c r="N52" s="18">
        <v>1.1299999999999999</v>
      </c>
      <c r="O52" s="18">
        <v>505341.6</v>
      </c>
      <c r="P52" s="18">
        <v>134.93</v>
      </c>
      <c r="Q52" s="18">
        <v>681.86</v>
      </c>
      <c r="R52" s="18">
        <v>0.1</v>
      </c>
      <c r="S52" s="18">
        <v>1.32</v>
      </c>
      <c r="T52" s="18">
        <v>0.48</v>
      </c>
      <c r="U52" s="16"/>
    </row>
    <row r="53" spans="1:21">
      <c r="A53" s="16"/>
      <c r="B53" s="17" t="s">
        <v>252</v>
      </c>
      <c r="C53" s="17" t="s">
        <v>538</v>
      </c>
      <c r="D53" s="17" t="s">
        <v>103</v>
      </c>
      <c r="E53" s="16"/>
      <c r="F53" s="17" t="s">
        <v>253</v>
      </c>
      <c r="G53" s="16" t="s">
        <v>146</v>
      </c>
      <c r="H53" s="17" t="s">
        <v>219</v>
      </c>
      <c r="I53" s="16" t="s">
        <v>148</v>
      </c>
      <c r="J53" s="16"/>
      <c r="K53" s="18">
        <v>2.83</v>
      </c>
      <c r="L53" s="16" t="s">
        <v>76</v>
      </c>
      <c r="M53" s="18">
        <v>4.6500000000000004</v>
      </c>
      <c r="N53" s="18">
        <v>1.1200000000000001</v>
      </c>
      <c r="O53" s="18">
        <v>500112.5</v>
      </c>
      <c r="P53" s="18">
        <v>131.66</v>
      </c>
      <c r="Q53" s="18">
        <v>658.45</v>
      </c>
      <c r="R53" s="18">
        <v>0.08</v>
      </c>
      <c r="S53" s="18">
        <v>1.27</v>
      </c>
      <c r="T53" s="18">
        <v>0.46</v>
      </c>
      <c r="U53" s="16"/>
    </row>
    <row r="54" spans="1:21">
      <c r="A54" s="16"/>
      <c r="B54" s="16" t="s">
        <v>254</v>
      </c>
      <c r="C54" s="17" t="s">
        <v>539</v>
      </c>
      <c r="D54" s="17" t="s">
        <v>103</v>
      </c>
      <c r="E54" s="16"/>
      <c r="F54" s="17" t="s">
        <v>253</v>
      </c>
      <c r="G54" s="16" t="s">
        <v>146</v>
      </c>
      <c r="H54" s="17" t="s">
        <v>219</v>
      </c>
      <c r="I54" s="16" t="s">
        <v>148</v>
      </c>
      <c r="J54" s="16"/>
      <c r="K54" s="18">
        <v>3.86</v>
      </c>
      <c r="L54" s="16" t="s">
        <v>76</v>
      </c>
      <c r="M54" s="18">
        <v>3.55</v>
      </c>
      <c r="N54" s="18">
        <v>1.24</v>
      </c>
      <c r="O54" s="18">
        <v>513689.78</v>
      </c>
      <c r="P54" s="18">
        <v>118.22</v>
      </c>
      <c r="Q54" s="18">
        <v>607.28</v>
      </c>
      <c r="R54" s="18">
        <v>0.16</v>
      </c>
      <c r="S54" s="18">
        <v>1.18</v>
      </c>
      <c r="T54" s="18">
        <v>0.43</v>
      </c>
      <c r="U54" s="16"/>
    </row>
    <row r="55" spans="1:21">
      <c r="A55" s="16"/>
      <c r="B55" s="16" t="s">
        <v>255</v>
      </c>
      <c r="C55" s="17" t="s">
        <v>256</v>
      </c>
      <c r="D55" s="17" t="s">
        <v>103</v>
      </c>
      <c r="E55" s="16"/>
      <c r="F55" s="17" t="s">
        <v>257</v>
      </c>
      <c r="G55" s="16" t="s">
        <v>200</v>
      </c>
      <c r="H55" s="17" t="s">
        <v>219</v>
      </c>
      <c r="I55" s="16" t="s">
        <v>148</v>
      </c>
      <c r="J55" s="16"/>
      <c r="K55" s="18">
        <v>8.94</v>
      </c>
      <c r="L55" s="16" t="s">
        <v>76</v>
      </c>
      <c r="M55" s="18">
        <v>2.4</v>
      </c>
      <c r="N55" s="18">
        <v>2.58</v>
      </c>
      <c r="O55" s="18">
        <v>0.03</v>
      </c>
      <c r="P55" s="18">
        <v>98.57</v>
      </c>
      <c r="Q55" s="18">
        <v>0</v>
      </c>
      <c r="R55" s="18">
        <v>0</v>
      </c>
      <c r="S55" s="18">
        <v>0</v>
      </c>
      <c r="T55" s="18">
        <v>0</v>
      </c>
      <c r="U55" s="16"/>
    </row>
    <row r="56" spans="1:21">
      <c r="A56" s="16"/>
      <c r="B56" s="16" t="s">
        <v>258</v>
      </c>
      <c r="C56" s="17" t="s">
        <v>259</v>
      </c>
      <c r="D56" s="17" t="s">
        <v>103</v>
      </c>
      <c r="E56" s="16"/>
      <c r="F56" s="17" t="s">
        <v>257</v>
      </c>
      <c r="G56" s="16" t="s">
        <v>200</v>
      </c>
      <c r="H56" s="17" t="s">
        <v>219</v>
      </c>
      <c r="I56" s="16" t="s">
        <v>148</v>
      </c>
      <c r="J56" s="16"/>
      <c r="K56" s="18">
        <v>9.73</v>
      </c>
      <c r="L56" s="16" t="s">
        <v>76</v>
      </c>
      <c r="M56" s="18">
        <v>2.4</v>
      </c>
      <c r="N56" s="18">
        <v>2.52</v>
      </c>
      <c r="O56" s="18">
        <v>50400.03</v>
      </c>
      <c r="P56" s="18">
        <v>99.03</v>
      </c>
      <c r="Q56" s="18">
        <v>49.91</v>
      </c>
      <c r="R56" s="18">
        <v>0.03</v>
      </c>
      <c r="S56" s="18">
        <v>0.1</v>
      </c>
      <c r="T56" s="18">
        <v>0.03</v>
      </c>
      <c r="U56" s="16"/>
    </row>
    <row r="57" spans="1:21">
      <c r="A57" s="16"/>
      <c r="B57" s="16" t="s">
        <v>260</v>
      </c>
      <c r="C57" s="17" t="s">
        <v>261</v>
      </c>
      <c r="D57" s="17" t="s">
        <v>103</v>
      </c>
      <c r="E57" s="16"/>
      <c r="F57" s="17" t="s">
        <v>262</v>
      </c>
      <c r="G57" s="16" t="s">
        <v>178</v>
      </c>
      <c r="H57" s="17" t="s">
        <v>219</v>
      </c>
      <c r="I57" s="16" t="s">
        <v>148</v>
      </c>
      <c r="J57" s="16"/>
      <c r="K57" s="18">
        <v>1.1299999999999999</v>
      </c>
      <c r="L57" s="16" t="s">
        <v>76</v>
      </c>
      <c r="M57" s="18">
        <v>4.7</v>
      </c>
      <c r="N57" s="18">
        <v>1.2</v>
      </c>
      <c r="O57" s="18">
        <v>322330.03999999998</v>
      </c>
      <c r="P57" s="18">
        <v>122.3</v>
      </c>
      <c r="Q57" s="18">
        <v>394.21</v>
      </c>
      <c r="R57" s="18">
        <v>0.11</v>
      </c>
      <c r="S57" s="18">
        <v>0.76</v>
      </c>
      <c r="T57" s="18">
        <v>0.28000000000000003</v>
      </c>
      <c r="U57" s="16"/>
    </row>
    <row r="58" spans="1:21">
      <c r="A58" s="16"/>
      <c r="B58" s="16" t="s">
        <v>263</v>
      </c>
      <c r="C58" s="17" t="s">
        <v>264</v>
      </c>
      <c r="D58" s="17" t="s">
        <v>103</v>
      </c>
      <c r="E58" s="16"/>
      <c r="F58" s="17" t="s">
        <v>262</v>
      </c>
      <c r="G58" s="16" t="s">
        <v>178</v>
      </c>
      <c r="H58" s="17" t="s">
        <v>219</v>
      </c>
      <c r="I58" s="16" t="s">
        <v>148</v>
      </c>
      <c r="J58" s="16"/>
      <c r="K58" s="18">
        <v>4.08</v>
      </c>
      <c r="L58" s="16" t="s">
        <v>76</v>
      </c>
      <c r="M58" s="18">
        <v>4.9000000000000004</v>
      </c>
      <c r="N58" s="18">
        <v>1.78</v>
      </c>
      <c r="O58" s="18">
        <v>240569.24</v>
      </c>
      <c r="P58" s="18">
        <v>116.77</v>
      </c>
      <c r="Q58" s="18">
        <v>280.91000000000003</v>
      </c>
      <c r="R58" s="18">
        <v>0.02</v>
      </c>
      <c r="S58" s="18">
        <v>0.54</v>
      </c>
      <c r="T58" s="18">
        <v>0.2</v>
      </c>
      <c r="U58" s="16"/>
    </row>
    <row r="59" spans="1:21">
      <c r="A59" s="16"/>
      <c r="B59" s="16" t="s">
        <v>265</v>
      </c>
      <c r="C59" s="17" t="s">
        <v>266</v>
      </c>
      <c r="D59" s="17" t="s">
        <v>103</v>
      </c>
      <c r="E59" s="16"/>
      <c r="F59" s="17" t="s">
        <v>222</v>
      </c>
      <c r="G59" s="16" t="s">
        <v>146</v>
      </c>
      <c r="H59" s="17" t="s">
        <v>267</v>
      </c>
      <c r="I59" s="16" t="s">
        <v>215</v>
      </c>
      <c r="J59" s="16"/>
      <c r="K59" s="18">
        <v>0.54</v>
      </c>
      <c r="L59" s="16" t="s">
        <v>76</v>
      </c>
      <c r="M59" s="18">
        <v>4.3</v>
      </c>
      <c r="N59" s="18">
        <v>2.12</v>
      </c>
      <c r="O59" s="18">
        <v>6024.67</v>
      </c>
      <c r="P59" s="18">
        <v>123.46</v>
      </c>
      <c r="Q59" s="18">
        <v>7.44</v>
      </c>
      <c r="R59" s="18">
        <v>0</v>
      </c>
      <c r="S59" s="18">
        <v>0.01</v>
      </c>
      <c r="T59" s="18">
        <v>0</v>
      </c>
      <c r="U59" s="16"/>
    </row>
    <row r="60" spans="1:21">
      <c r="A60" s="16"/>
      <c r="B60" s="16" t="s">
        <v>268</v>
      </c>
      <c r="C60" s="17" t="s">
        <v>269</v>
      </c>
      <c r="D60" s="17" t="s">
        <v>103</v>
      </c>
      <c r="E60" s="16"/>
      <c r="F60" s="17" t="s">
        <v>270</v>
      </c>
      <c r="G60" s="16" t="s">
        <v>178</v>
      </c>
      <c r="H60" s="17" t="s">
        <v>271</v>
      </c>
      <c r="I60" s="16" t="s">
        <v>148</v>
      </c>
      <c r="J60" s="16"/>
      <c r="K60" s="18">
        <v>1.69</v>
      </c>
      <c r="L60" s="16" t="s">
        <v>76</v>
      </c>
      <c r="M60" s="18">
        <v>4.8499999999999996</v>
      </c>
      <c r="N60" s="18">
        <v>1.37</v>
      </c>
      <c r="O60" s="18">
        <v>449059.2</v>
      </c>
      <c r="P60" s="18">
        <v>128.91</v>
      </c>
      <c r="Q60" s="18">
        <v>578.88</v>
      </c>
      <c r="R60" s="18">
        <v>0.09</v>
      </c>
      <c r="S60" s="18">
        <v>1.1200000000000001</v>
      </c>
      <c r="T60" s="18">
        <v>0.41</v>
      </c>
      <c r="U60" s="16"/>
    </row>
    <row r="61" spans="1:21">
      <c r="A61" s="16"/>
      <c r="B61" s="16" t="s">
        <v>272</v>
      </c>
      <c r="C61" s="17" t="s">
        <v>273</v>
      </c>
      <c r="D61" s="17" t="s">
        <v>103</v>
      </c>
      <c r="E61" s="16"/>
      <c r="F61" s="17" t="s">
        <v>274</v>
      </c>
      <c r="G61" s="16" t="s">
        <v>275</v>
      </c>
      <c r="H61" s="17" t="s">
        <v>267</v>
      </c>
      <c r="I61" s="16" t="s">
        <v>215</v>
      </c>
      <c r="J61" s="16"/>
      <c r="K61" s="18">
        <v>3.64</v>
      </c>
      <c r="L61" s="16" t="s">
        <v>76</v>
      </c>
      <c r="M61" s="18">
        <v>6.1</v>
      </c>
      <c r="N61" s="18">
        <v>2.13</v>
      </c>
      <c r="O61" s="18">
        <v>359848</v>
      </c>
      <c r="P61" s="18">
        <v>125.18</v>
      </c>
      <c r="Q61" s="18">
        <v>450.46</v>
      </c>
      <c r="R61" s="18">
        <v>0.03</v>
      </c>
      <c r="S61" s="18">
        <v>0.87</v>
      </c>
      <c r="T61" s="18">
        <v>0.32</v>
      </c>
      <c r="U61" s="16"/>
    </row>
    <row r="62" spans="1:21">
      <c r="A62" s="16"/>
      <c r="B62" s="16" t="s">
        <v>276</v>
      </c>
      <c r="C62" s="17" t="s">
        <v>277</v>
      </c>
      <c r="D62" s="17" t="s">
        <v>103</v>
      </c>
      <c r="E62" s="16"/>
      <c r="F62" s="17" t="s">
        <v>278</v>
      </c>
      <c r="G62" s="16" t="s">
        <v>200</v>
      </c>
      <c r="H62" s="17" t="s">
        <v>271</v>
      </c>
      <c r="I62" s="16" t="s">
        <v>148</v>
      </c>
      <c r="J62" s="16"/>
      <c r="K62" s="18">
        <v>1.67</v>
      </c>
      <c r="L62" s="16" t="s">
        <v>76</v>
      </c>
      <c r="M62" s="18">
        <v>4.5</v>
      </c>
      <c r="N62" s="18">
        <v>1.29</v>
      </c>
      <c r="O62" s="18">
        <v>260800</v>
      </c>
      <c r="P62" s="18">
        <v>130.96</v>
      </c>
      <c r="Q62" s="18">
        <v>341.54</v>
      </c>
      <c r="R62" s="18">
        <v>0.12</v>
      </c>
      <c r="S62" s="18">
        <v>0.66</v>
      </c>
      <c r="T62" s="18">
        <v>0.24</v>
      </c>
      <c r="U62" s="16"/>
    </row>
    <row r="63" spans="1:21">
      <c r="A63" s="16"/>
      <c r="B63" s="16" t="s">
        <v>279</v>
      </c>
      <c r="C63" s="17" t="s">
        <v>280</v>
      </c>
      <c r="D63" s="17" t="s">
        <v>103</v>
      </c>
      <c r="E63" s="16"/>
      <c r="F63" s="17" t="s">
        <v>281</v>
      </c>
      <c r="G63" s="16" t="s">
        <v>275</v>
      </c>
      <c r="H63" s="17" t="s">
        <v>271</v>
      </c>
      <c r="I63" s="16" t="s">
        <v>148</v>
      </c>
      <c r="J63" s="16"/>
      <c r="K63" s="18">
        <v>2.98</v>
      </c>
      <c r="L63" s="16" t="s">
        <v>76</v>
      </c>
      <c r="M63" s="18">
        <v>4.7</v>
      </c>
      <c r="N63" s="18">
        <v>1.95</v>
      </c>
      <c r="O63" s="18">
        <v>450850</v>
      </c>
      <c r="P63" s="18">
        <v>131.75</v>
      </c>
      <c r="Q63" s="18">
        <v>593.99</v>
      </c>
      <c r="R63" s="18">
        <v>0.02</v>
      </c>
      <c r="S63" s="18">
        <v>1.1499999999999999</v>
      </c>
      <c r="T63" s="18">
        <v>0.42</v>
      </c>
      <c r="U63" s="16"/>
    </row>
    <row r="64" spans="1:21">
      <c r="A64" s="16"/>
      <c r="B64" s="16" t="s">
        <v>282</v>
      </c>
      <c r="C64" s="17" t="s">
        <v>283</v>
      </c>
      <c r="D64" s="17" t="s">
        <v>103</v>
      </c>
      <c r="E64" s="16"/>
      <c r="F64" s="17" t="s">
        <v>284</v>
      </c>
      <c r="G64" s="16" t="s">
        <v>146</v>
      </c>
      <c r="H64" s="17" t="s">
        <v>271</v>
      </c>
      <c r="I64" s="16" t="s">
        <v>148</v>
      </c>
      <c r="J64" s="16"/>
      <c r="K64" s="18">
        <v>3.89</v>
      </c>
      <c r="L64" s="16" t="s">
        <v>76</v>
      </c>
      <c r="M64" s="18">
        <v>2</v>
      </c>
      <c r="N64" s="18">
        <v>1.19</v>
      </c>
      <c r="O64" s="18">
        <v>573100</v>
      </c>
      <c r="P64" s="18">
        <v>104.07</v>
      </c>
      <c r="Q64" s="18">
        <v>596.41999999999996</v>
      </c>
      <c r="R64" s="18">
        <v>0.08</v>
      </c>
      <c r="S64" s="18">
        <v>1.1499999999999999</v>
      </c>
      <c r="T64" s="18">
        <v>0.42</v>
      </c>
      <c r="U64" s="16"/>
    </row>
    <row r="65" spans="1:21">
      <c r="A65" s="16"/>
      <c r="B65" s="16" t="s">
        <v>285</v>
      </c>
      <c r="C65" s="17" t="s">
        <v>286</v>
      </c>
      <c r="D65" s="17" t="s">
        <v>103</v>
      </c>
      <c r="E65" s="16"/>
      <c r="F65" s="17" t="s">
        <v>287</v>
      </c>
      <c r="G65" s="16" t="s">
        <v>146</v>
      </c>
      <c r="H65" s="17" t="s">
        <v>271</v>
      </c>
      <c r="I65" s="16" t="s">
        <v>148</v>
      </c>
      <c r="J65" s="16"/>
      <c r="K65" s="18">
        <v>5.36</v>
      </c>
      <c r="L65" s="16" t="s">
        <v>76</v>
      </c>
      <c r="M65" s="18">
        <v>4.5</v>
      </c>
      <c r="N65" s="18">
        <v>1.4</v>
      </c>
      <c r="O65" s="18">
        <v>74000</v>
      </c>
      <c r="P65" s="18">
        <v>140.86000000000001</v>
      </c>
      <c r="Q65" s="18">
        <v>104.24</v>
      </c>
      <c r="R65" s="18">
        <v>0</v>
      </c>
      <c r="S65" s="18">
        <v>0.2</v>
      </c>
      <c r="T65" s="18">
        <v>7.0000000000000007E-2</v>
      </c>
      <c r="U65" s="16"/>
    </row>
    <row r="66" spans="1:21">
      <c r="A66" s="16"/>
      <c r="B66" s="16" t="s">
        <v>288</v>
      </c>
      <c r="C66" s="17" t="s">
        <v>289</v>
      </c>
      <c r="D66" s="17" t="s">
        <v>103</v>
      </c>
      <c r="E66" s="16"/>
      <c r="F66" s="17" t="s">
        <v>290</v>
      </c>
      <c r="G66" s="16" t="s">
        <v>178</v>
      </c>
      <c r="H66" s="17" t="s">
        <v>271</v>
      </c>
      <c r="I66" s="16" t="s">
        <v>148</v>
      </c>
      <c r="J66" s="16"/>
      <c r="K66" s="18">
        <v>3.15</v>
      </c>
      <c r="L66" s="16" t="s">
        <v>76</v>
      </c>
      <c r="M66" s="18">
        <v>4.7</v>
      </c>
      <c r="N66" s="18">
        <v>2.36</v>
      </c>
      <c r="O66" s="18">
        <v>180474.02</v>
      </c>
      <c r="P66" s="18">
        <v>116.55</v>
      </c>
      <c r="Q66" s="18">
        <v>210.34</v>
      </c>
      <c r="R66" s="18">
        <v>0.05</v>
      </c>
      <c r="S66" s="18">
        <v>0.41</v>
      </c>
      <c r="T66" s="18">
        <v>0.15</v>
      </c>
      <c r="U66" s="16"/>
    </row>
    <row r="67" spans="1:21">
      <c r="A67" s="16"/>
      <c r="B67" s="17" t="s">
        <v>291</v>
      </c>
      <c r="C67" s="17" t="s">
        <v>292</v>
      </c>
      <c r="D67" s="17" t="s">
        <v>103</v>
      </c>
      <c r="E67" s="16"/>
      <c r="F67" s="17" t="s">
        <v>293</v>
      </c>
      <c r="G67" s="16" t="s">
        <v>187</v>
      </c>
      <c r="H67" s="17" t="s">
        <v>271</v>
      </c>
      <c r="I67" s="16" t="s">
        <v>148</v>
      </c>
      <c r="J67" s="16"/>
      <c r="K67" s="18">
        <v>0.98</v>
      </c>
      <c r="L67" s="16" t="s">
        <v>76</v>
      </c>
      <c r="M67" s="18">
        <v>5.19</v>
      </c>
      <c r="N67" s="18">
        <v>1.52</v>
      </c>
      <c r="O67" s="18">
        <v>231326.68</v>
      </c>
      <c r="P67" s="18">
        <v>123.7</v>
      </c>
      <c r="Q67" s="18">
        <v>286.14999999999998</v>
      </c>
      <c r="R67" s="18">
        <v>0.04</v>
      </c>
      <c r="S67" s="18">
        <v>0.55000000000000004</v>
      </c>
      <c r="T67" s="18">
        <v>0.2</v>
      </c>
      <c r="U67" s="16"/>
    </row>
    <row r="68" spans="1:21">
      <c r="A68" s="16"/>
      <c r="B68" s="16" t="s">
        <v>294</v>
      </c>
      <c r="C68" s="17" t="s">
        <v>295</v>
      </c>
      <c r="D68" s="17" t="s">
        <v>103</v>
      </c>
      <c r="E68" s="16"/>
      <c r="F68" s="17" t="s">
        <v>293</v>
      </c>
      <c r="G68" s="16" t="s">
        <v>187</v>
      </c>
      <c r="H68" s="17" t="s">
        <v>271</v>
      </c>
      <c r="I68" s="16" t="s">
        <v>148</v>
      </c>
      <c r="J68" s="16"/>
      <c r="K68" s="18">
        <v>1.01</v>
      </c>
      <c r="L68" s="16" t="s">
        <v>76</v>
      </c>
      <c r="M68" s="18">
        <v>5.3</v>
      </c>
      <c r="N68" s="18">
        <v>1.49</v>
      </c>
      <c r="O68" s="18">
        <v>127223.6</v>
      </c>
      <c r="P68" s="18">
        <v>123.85</v>
      </c>
      <c r="Q68" s="18">
        <v>157.57</v>
      </c>
      <c r="R68" s="18">
        <v>7.0000000000000007E-2</v>
      </c>
      <c r="S68" s="18">
        <v>0.3</v>
      </c>
      <c r="T68" s="18">
        <v>0.11</v>
      </c>
      <c r="U68" s="16"/>
    </row>
    <row r="69" spans="1:21">
      <c r="A69" s="16"/>
      <c r="B69" s="16" t="s">
        <v>296</v>
      </c>
      <c r="C69" s="17" t="s">
        <v>297</v>
      </c>
      <c r="D69" s="17" t="s">
        <v>103</v>
      </c>
      <c r="E69" s="16"/>
      <c r="F69" s="17" t="s">
        <v>293</v>
      </c>
      <c r="G69" s="16" t="s">
        <v>187</v>
      </c>
      <c r="H69" s="17" t="s">
        <v>271</v>
      </c>
      <c r="I69" s="16" t="s">
        <v>148</v>
      </c>
      <c r="J69" s="16"/>
      <c r="K69" s="18">
        <v>0</v>
      </c>
      <c r="L69" s="16" t="s">
        <v>76</v>
      </c>
      <c r="M69" s="18">
        <v>5.3</v>
      </c>
      <c r="N69" s="18">
        <v>1.49</v>
      </c>
      <c r="O69" s="18">
        <v>127223.61</v>
      </c>
      <c r="P69" s="18">
        <v>119.39</v>
      </c>
      <c r="Q69" s="18">
        <v>151.88999999999999</v>
      </c>
      <c r="R69" s="18">
        <v>7.0000000000000007E-2</v>
      </c>
      <c r="S69" s="18">
        <v>0.28999999999999998</v>
      </c>
      <c r="T69" s="18">
        <v>0.11</v>
      </c>
      <c r="U69" s="16"/>
    </row>
    <row r="70" spans="1:21">
      <c r="A70" s="16"/>
      <c r="B70" s="16" t="s">
        <v>298</v>
      </c>
      <c r="C70" s="17" t="s">
        <v>299</v>
      </c>
      <c r="D70" s="17" t="s">
        <v>103</v>
      </c>
      <c r="E70" s="16"/>
      <c r="F70" s="17" t="s">
        <v>293</v>
      </c>
      <c r="G70" s="16" t="s">
        <v>187</v>
      </c>
      <c r="H70" s="17" t="s">
        <v>271</v>
      </c>
      <c r="I70" s="16" t="s">
        <v>148</v>
      </c>
      <c r="J70" s="16"/>
      <c r="K70" s="18">
        <v>2.68</v>
      </c>
      <c r="L70" s="16" t="s">
        <v>76</v>
      </c>
      <c r="M70" s="18">
        <v>4.5999999999999996</v>
      </c>
      <c r="N70" s="18">
        <v>1.92</v>
      </c>
      <c r="O70" s="18">
        <v>217014</v>
      </c>
      <c r="P70" s="18">
        <v>109.78</v>
      </c>
      <c r="Q70" s="18">
        <v>238.24</v>
      </c>
      <c r="R70" s="18">
        <v>0.03</v>
      </c>
      <c r="S70" s="18">
        <v>0.46</v>
      </c>
      <c r="T70" s="18">
        <v>0.17</v>
      </c>
      <c r="U70" s="16"/>
    </row>
    <row r="71" spans="1:21">
      <c r="A71" s="16"/>
      <c r="B71" s="16" t="s">
        <v>300</v>
      </c>
      <c r="C71" s="17" t="s">
        <v>301</v>
      </c>
      <c r="D71" s="17" t="s">
        <v>103</v>
      </c>
      <c r="E71" s="16"/>
      <c r="F71" s="17" t="s">
        <v>302</v>
      </c>
      <c r="G71" s="16" t="s">
        <v>146</v>
      </c>
      <c r="H71" s="17" t="s">
        <v>271</v>
      </c>
      <c r="I71" s="16" t="s">
        <v>148</v>
      </c>
      <c r="J71" s="16"/>
      <c r="K71" s="18">
        <v>0.97</v>
      </c>
      <c r="L71" s="16" t="s">
        <v>76</v>
      </c>
      <c r="M71" s="18">
        <v>6.5</v>
      </c>
      <c r="N71" s="18">
        <v>1.3</v>
      </c>
      <c r="O71" s="18">
        <v>932441</v>
      </c>
      <c r="P71" s="18">
        <v>135.28</v>
      </c>
      <c r="Q71" s="18">
        <v>1261.4100000000001</v>
      </c>
      <c r="R71" s="18">
        <v>0.14000000000000001</v>
      </c>
      <c r="S71" s="18">
        <v>2.44</v>
      </c>
      <c r="T71" s="18">
        <v>0.88</v>
      </c>
      <c r="U71" s="16"/>
    </row>
    <row r="72" spans="1:21">
      <c r="A72" s="16"/>
      <c r="B72" s="16" t="s">
        <v>303</v>
      </c>
      <c r="C72" s="17" t="s">
        <v>304</v>
      </c>
      <c r="D72" s="17" t="s">
        <v>103</v>
      </c>
      <c r="E72" s="16"/>
      <c r="F72" s="17" t="s">
        <v>305</v>
      </c>
      <c r="G72" s="16" t="s">
        <v>187</v>
      </c>
      <c r="H72" s="17" t="s">
        <v>271</v>
      </c>
      <c r="I72" s="16" t="s">
        <v>148</v>
      </c>
      <c r="J72" s="16"/>
      <c r="K72" s="18">
        <v>1.95</v>
      </c>
      <c r="L72" s="16" t="s">
        <v>76</v>
      </c>
      <c r="M72" s="18">
        <v>3.35</v>
      </c>
      <c r="N72" s="18">
        <v>1.38</v>
      </c>
      <c r="O72" s="18">
        <v>507736</v>
      </c>
      <c r="P72" s="18">
        <v>112.48</v>
      </c>
      <c r="Q72" s="18">
        <v>571.1</v>
      </c>
      <c r="R72" s="18">
        <v>0.08</v>
      </c>
      <c r="S72" s="18">
        <v>1.1100000000000001</v>
      </c>
      <c r="T72" s="18">
        <v>0.4</v>
      </c>
      <c r="U72" s="16"/>
    </row>
    <row r="73" spans="1:21">
      <c r="A73" s="16"/>
      <c r="B73" s="16" t="s">
        <v>306</v>
      </c>
      <c r="C73" s="17" t="s">
        <v>307</v>
      </c>
      <c r="D73" s="17" t="s">
        <v>103</v>
      </c>
      <c r="E73" s="16"/>
      <c r="F73" s="17" t="s">
        <v>308</v>
      </c>
      <c r="G73" s="16" t="s">
        <v>178</v>
      </c>
      <c r="H73" s="17" t="s">
        <v>271</v>
      </c>
      <c r="I73" s="16" t="s">
        <v>148</v>
      </c>
      <c r="J73" s="16"/>
      <c r="K73" s="18">
        <v>1.63</v>
      </c>
      <c r="L73" s="16" t="s">
        <v>76</v>
      </c>
      <c r="M73" s="18">
        <v>4.8</v>
      </c>
      <c r="N73" s="18">
        <v>1.81</v>
      </c>
      <c r="O73" s="18">
        <v>89172.800000000003</v>
      </c>
      <c r="P73" s="18">
        <v>115.01</v>
      </c>
      <c r="Q73" s="18">
        <v>102.56</v>
      </c>
      <c r="R73" s="18">
        <v>0.14000000000000001</v>
      </c>
      <c r="S73" s="18">
        <v>0.2</v>
      </c>
      <c r="T73" s="18">
        <v>7.0000000000000007E-2</v>
      </c>
      <c r="U73" s="16"/>
    </row>
    <row r="74" spans="1:21">
      <c r="A74" s="16"/>
      <c r="B74" s="16" t="s">
        <v>309</v>
      </c>
      <c r="C74" s="17" t="s">
        <v>310</v>
      </c>
      <c r="D74" s="17" t="s">
        <v>103</v>
      </c>
      <c r="E74" s="16"/>
      <c r="F74" s="17" t="s">
        <v>308</v>
      </c>
      <c r="G74" s="16" t="s">
        <v>178</v>
      </c>
      <c r="H74" s="17" t="s">
        <v>271</v>
      </c>
      <c r="I74" s="16" t="s">
        <v>148</v>
      </c>
      <c r="J74" s="16"/>
      <c r="K74" s="18">
        <v>3.68</v>
      </c>
      <c r="L74" s="16" t="s">
        <v>76</v>
      </c>
      <c r="M74" s="18">
        <v>5.5</v>
      </c>
      <c r="N74" s="18">
        <v>2.2400000000000002</v>
      </c>
      <c r="O74" s="18">
        <v>502250</v>
      </c>
      <c r="P74" s="18">
        <v>115</v>
      </c>
      <c r="Q74" s="18">
        <v>577.59</v>
      </c>
      <c r="R74" s="18">
        <v>0.06</v>
      </c>
      <c r="S74" s="18">
        <v>1.1200000000000001</v>
      </c>
      <c r="T74" s="18">
        <v>0.4</v>
      </c>
      <c r="U74" s="16"/>
    </row>
    <row r="75" spans="1:21">
      <c r="A75" s="16"/>
      <c r="B75" s="16" t="s">
        <v>311</v>
      </c>
      <c r="C75" s="17" t="s">
        <v>312</v>
      </c>
      <c r="D75" s="17" t="s">
        <v>103</v>
      </c>
      <c r="E75" s="16"/>
      <c r="F75" s="17" t="s">
        <v>274</v>
      </c>
      <c r="G75" s="16" t="s">
        <v>275</v>
      </c>
      <c r="H75" s="17" t="s">
        <v>313</v>
      </c>
      <c r="I75" s="16" t="s">
        <v>148</v>
      </c>
      <c r="J75" s="16"/>
      <c r="K75" s="18">
        <v>4.09</v>
      </c>
      <c r="L75" s="16" t="s">
        <v>76</v>
      </c>
      <c r="M75" s="18">
        <v>4.5999999999999996</v>
      </c>
      <c r="N75" s="18">
        <v>2.16</v>
      </c>
      <c r="O75" s="18">
        <v>444955</v>
      </c>
      <c r="P75" s="18">
        <v>134.19999999999999</v>
      </c>
      <c r="Q75" s="18">
        <v>597.13</v>
      </c>
      <c r="R75" s="18">
        <v>0.08</v>
      </c>
      <c r="S75" s="18">
        <v>1.1599999999999999</v>
      </c>
      <c r="T75" s="18">
        <v>0.42</v>
      </c>
      <c r="U75" s="16"/>
    </row>
    <row r="76" spans="1:21">
      <c r="A76" s="16"/>
      <c r="B76" s="16" t="s">
        <v>314</v>
      </c>
      <c r="C76" s="17" t="s">
        <v>315</v>
      </c>
      <c r="D76" s="17" t="s">
        <v>103</v>
      </c>
      <c r="E76" s="16"/>
      <c r="F76" s="17" t="s">
        <v>316</v>
      </c>
      <c r="G76" s="16" t="s">
        <v>178</v>
      </c>
      <c r="H76" s="17" t="s">
        <v>313</v>
      </c>
      <c r="I76" s="16" t="s">
        <v>148</v>
      </c>
      <c r="J76" s="16"/>
      <c r="K76" s="18">
        <v>1.38</v>
      </c>
      <c r="L76" s="16" t="s">
        <v>76</v>
      </c>
      <c r="M76" s="18">
        <v>5</v>
      </c>
      <c r="N76" s="18">
        <v>1.1599999999999999</v>
      </c>
      <c r="O76" s="18">
        <v>321381.83</v>
      </c>
      <c r="P76" s="18">
        <v>126.18</v>
      </c>
      <c r="Q76" s="18">
        <v>405.52</v>
      </c>
      <c r="R76" s="18">
        <v>0.06</v>
      </c>
      <c r="S76" s="18">
        <v>0.78</v>
      </c>
      <c r="T76" s="18">
        <v>0.28000000000000003</v>
      </c>
      <c r="U76" s="16"/>
    </row>
    <row r="77" spans="1:21">
      <c r="A77" s="16"/>
      <c r="B77" s="17" t="s">
        <v>317</v>
      </c>
      <c r="C77" s="17" t="s">
        <v>318</v>
      </c>
      <c r="D77" s="17" t="s">
        <v>103</v>
      </c>
      <c r="E77" s="16"/>
      <c r="F77" s="17" t="s">
        <v>319</v>
      </c>
      <c r="G77" s="16" t="s">
        <v>178</v>
      </c>
      <c r="H77" s="17" t="s">
        <v>320</v>
      </c>
      <c r="I77" s="16" t="s">
        <v>215</v>
      </c>
      <c r="J77" s="16"/>
      <c r="K77" s="18">
        <v>2.83</v>
      </c>
      <c r="L77" s="16" t="s">
        <v>76</v>
      </c>
      <c r="M77" s="18">
        <v>4.8499999999999996</v>
      </c>
      <c r="N77" s="18">
        <v>2.86</v>
      </c>
      <c r="O77" s="18">
        <v>512600</v>
      </c>
      <c r="P77" s="18">
        <v>113.07</v>
      </c>
      <c r="Q77" s="18">
        <v>579.6</v>
      </c>
      <c r="R77" s="18">
        <v>7.0000000000000007E-2</v>
      </c>
      <c r="S77" s="18">
        <v>1.1200000000000001</v>
      </c>
      <c r="T77" s="18">
        <v>0.41</v>
      </c>
      <c r="U77" s="16"/>
    </row>
    <row r="78" spans="1:21">
      <c r="A78" s="16"/>
      <c r="B78" s="17" t="s">
        <v>321</v>
      </c>
      <c r="C78" s="17" t="s">
        <v>322</v>
      </c>
      <c r="D78" s="17" t="s">
        <v>103</v>
      </c>
      <c r="E78" s="16"/>
      <c r="F78" s="17" t="s">
        <v>323</v>
      </c>
      <c r="G78" s="16" t="s">
        <v>275</v>
      </c>
      <c r="H78" s="17" t="s">
        <v>324</v>
      </c>
      <c r="I78" s="16" t="s">
        <v>148</v>
      </c>
      <c r="J78" s="16"/>
      <c r="K78" s="18">
        <v>1.26</v>
      </c>
      <c r="L78" s="16" t="s">
        <v>76</v>
      </c>
      <c r="M78" s="18">
        <v>4.5</v>
      </c>
      <c r="N78" s="18">
        <v>25.45</v>
      </c>
      <c r="O78" s="18">
        <v>130254.07</v>
      </c>
      <c r="P78" s="18">
        <v>98.45</v>
      </c>
      <c r="Q78" s="18">
        <v>128.22999999999999</v>
      </c>
      <c r="R78" s="18">
        <v>0.02</v>
      </c>
      <c r="S78" s="18">
        <v>0.25</v>
      </c>
      <c r="T78" s="18">
        <v>0.09</v>
      </c>
      <c r="U78" s="16"/>
    </row>
    <row r="79" spans="1:21">
      <c r="A79" s="16"/>
      <c r="B79" s="16" t="s">
        <v>325</v>
      </c>
      <c r="C79" s="17" t="s">
        <v>326</v>
      </c>
      <c r="D79" s="17" t="s">
        <v>103</v>
      </c>
      <c r="E79" s="16"/>
      <c r="F79" s="17" t="s">
        <v>327</v>
      </c>
      <c r="G79" s="16" t="s">
        <v>275</v>
      </c>
      <c r="H79" s="16" t="s">
        <v>105</v>
      </c>
      <c r="I79" s="16" t="s">
        <v>105</v>
      </c>
      <c r="J79" s="16"/>
      <c r="K79" s="18">
        <v>2.27</v>
      </c>
      <c r="L79" s="16" t="s">
        <v>76</v>
      </c>
      <c r="M79" s="18">
        <v>6</v>
      </c>
      <c r="N79" s="18">
        <v>11.53</v>
      </c>
      <c r="O79" s="18">
        <v>82350.080000000002</v>
      </c>
      <c r="P79" s="18">
        <v>89.25</v>
      </c>
      <c r="Q79" s="18">
        <v>73.5</v>
      </c>
      <c r="R79" s="18">
        <v>0.02</v>
      </c>
      <c r="S79" s="18">
        <v>0.14000000000000001</v>
      </c>
      <c r="T79" s="18">
        <v>0.05</v>
      </c>
      <c r="U79" s="16"/>
    </row>
    <row r="80" spans="1:21">
      <c r="A80" s="16"/>
      <c r="B80" s="16" t="s">
        <v>328</v>
      </c>
      <c r="C80" s="17" t="s">
        <v>329</v>
      </c>
      <c r="D80" s="17" t="s">
        <v>103</v>
      </c>
      <c r="E80" s="16"/>
      <c r="F80" s="17" t="s">
        <v>327</v>
      </c>
      <c r="G80" s="16" t="s">
        <v>275</v>
      </c>
      <c r="H80" s="16" t="s">
        <v>105</v>
      </c>
      <c r="I80" s="16" t="s">
        <v>105</v>
      </c>
      <c r="J80" s="16"/>
      <c r="K80" s="18">
        <v>3.92</v>
      </c>
      <c r="L80" s="16" t="s">
        <v>76</v>
      </c>
      <c r="M80" s="18">
        <v>6</v>
      </c>
      <c r="N80" s="18">
        <v>27.1</v>
      </c>
      <c r="O80" s="18">
        <v>40072.14</v>
      </c>
      <c r="P80" s="18">
        <v>55.74</v>
      </c>
      <c r="Q80" s="18">
        <v>22.34</v>
      </c>
      <c r="R80" s="18">
        <v>0.02</v>
      </c>
      <c r="S80" s="18">
        <v>0.04</v>
      </c>
      <c r="T80" s="18">
        <v>0.02</v>
      </c>
      <c r="U80" s="16"/>
    </row>
    <row r="81" spans="1:21">
      <c r="A81" s="16"/>
      <c r="B81" s="16" t="s">
        <v>330</v>
      </c>
      <c r="C81" s="17" t="s">
        <v>331</v>
      </c>
      <c r="D81" s="17" t="s">
        <v>103</v>
      </c>
      <c r="E81" s="16"/>
      <c r="F81" s="17" t="s">
        <v>332</v>
      </c>
      <c r="G81" s="16" t="s">
        <v>333</v>
      </c>
      <c r="H81" s="16" t="s">
        <v>105</v>
      </c>
      <c r="I81" s="16" t="s">
        <v>105</v>
      </c>
      <c r="J81" s="16"/>
      <c r="K81" s="18">
        <v>2.09</v>
      </c>
      <c r="L81" s="16" t="s">
        <v>76</v>
      </c>
      <c r="M81" s="18">
        <v>5.15</v>
      </c>
      <c r="N81" s="18">
        <v>1.66</v>
      </c>
      <c r="O81" s="18">
        <v>130185.01</v>
      </c>
      <c r="P81" s="18">
        <v>117.95</v>
      </c>
      <c r="Q81" s="18">
        <v>153.55000000000001</v>
      </c>
      <c r="R81" s="18">
        <v>0.03</v>
      </c>
      <c r="S81" s="18">
        <v>0.3</v>
      </c>
      <c r="T81" s="18">
        <v>0.11</v>
      </c>
      <c r="U81" s="16"/>
    </row>
    <row r="82" spans="1:21">
      <c r="A82" s="16"/>
      <c r="B82" s="16" t="s">
        <v>334</v>
      </c>
      <c r="C82" s="17" t="s">
        <v>335</v>
      </c>
      <c r="D82" s="17" t="s">
        <v>103</v>
      </c>
      <c r="E82" s="16"/>
      <c r="F82" s="17" t="s">
        <v>336</v>
      </c>
      <c r="G82" s="16" t="s">
        <v>333</v>
      </c>
      <c r="H82" s="16" t="s">
        <v>105</v>
      </c>
      <c r="I82" s="16" t="s">
        <v>105</v>
      </c>
      <c r="J82" s="16"/>
      <c r="K82" s="18">
        <v>0.36</v>
      </c>
      <c r="L82" s="16" t="s">
        <v>76</v>
      </c>
      <c r="M82" s="18">
        <v>4.16</v>
      </c>
      <c r="N82" s="18">
        <v>2.87</v>
      </c>
      <c r="O82" s="18">
        <v>63000.01</v>
      </c>
      <c r="P82" s="18">
        <v>104.61</v>
      </c>
      <c r="Q82" s="18">
        <v>65.900000000000006</v>
      </c>
      <c r="R82" s="18">
        <v>7.0000000000000007E-2</v>
      </c>
      <c r="S82" s="18">
        <v>0.13</v>
      </c>
      <c r="T82" s="18">
        <v>0.05</v>
      </c>
      <c r="U82" s="16"/>
    </row>
    <row r="83" spans="1:21">
      <c r="A83" s="7"/>
      <c r="B83" s="7" t="s">
        <v>112</v>
      </c>
      <c r="C83" s="7"/>
      <c r="D83" s="7"/>
      <c r="E83" s="7"/>
      <c r="F83" s="7"/>
      <c r="G83" s="7"/>
      <c r="H83" s="7"/>
      <c r="I83" s="7"/>
      <c r="J83" s="7"/>
      <c r="K83" s="15">
        <v>2.34</v>
      </c>
      <c r="L83" s="7"/>
      <c r="M83" s="15">
        <v>4.46</v>
      </c>
      <c r="N83" s="15">
        <v>0.98</v>
      </c>
      <c r="O83" s="15">
        <v>11725890.359999999</v>
      </c>
      <c r="P83" s="7"/>
      <c r="Q83" s="15">
        <v>12682.95</v>
      </c>
      <c r="R83" s="7"/>
      <c r="S83" s="15">
        <v>24.56</v>
      </c>
      <c r="T83" s="15">
        <v>8.89</v>
      </c>
      <c r="U83" s="7"/>
    </row>
    <row r="84" spans="1:21">
      <c r="A84" s="16"/>
      <c r="B84" s="16" t="s">
        <v>337</v>
      </c>
      <c r="C84" s="17" t="s">
        <v>338</v>
      </c>
      <c r="D84" s="17" t="s">
        <v>103</v>
      </c>
      <c r="E84" s="16"/>
      <c r="F84" s="17" t="s">
        <v>168</v>
      </c>
      <c r="G84" s="16" t="s">
        <v>146</v>
      </c>
      <c r="H84" s="17" t="s">
        <v>147</v>
      </c>
      <c r="I84" s="16" t="s">
        <v>148</v>
      </c>
      <c r="J84" s="16"/>
      <c r="K84" s="18">
        <v>2.29</v>
      </c>
      <c r="L84" s="16" t="s">
        <v>76</v>
      </c>
      <c r="M84" s="18">
        <v>5.9</v>
      </c>
      <c r="N84" s="18">
        <v>0.97</v>
      </c>
      <c r="O84" s="18">
        <v>897147</v>
      </c>
      <c r="P84" s="18">
        <v>112.24</v>
      </c>
      <c r="Q84" s="18">
        <v>1006.96</v>
      </c>
      <c r="R84" s="18">
        <v>0.05</v>
      </c>
      <c r="S84" s="18">
        <v>1.95</v>
      </c>
      <c r="T84" s="18">
        <v>0.71</v>
      </c>
      <c r="U84" s="16"/>
    </row>
    <row r="85" spans="1:21">
      <c r="A85" s="16"/>
      <c r="B85" s="16" t="s">
        <v>339</v>
      </c>
      <c r="C85" s="17" t="s">
        <v>340</v>
      </c>
      <c r="D85" s="17" t="s">
        <v>103</v>
      </c>
      <c r="E85" s="16"/>
      <c r="F85" s="17" t="s">
        <v>157</v>
      </c>
      <c r="G85" s="16" t="s">
        <v>146</v>
      </c>
      <c r="H85" s="17" t="s">
        <v>74</v>
      </c>
      <c r="I85" s="16" t="s">
        <v>148</v>
      </c>
      <c r="J85" s="16"/>
      <c r="K85" s="18">
        <v>1.64</v>
      </c>
      <c r="L85" s="16" t="s">
        <v>76</v>
      </c>
      <c r="M85" s="18">
        <v>5.4</v>
      </c>
      <c r="N85" s="18">
        <v>0.74</v>
      </c>
      <c r="O85" s="18">
        <v>1374187</v>
      </c>
      <c r="P85" s="18">
        <v>109.46</v>
      </c>
      <c r="Q85" s="18">
        <v>1504.18</v>
      </c>
      <c r="R85" s="18">
        <v>0.06</v>
      </c>
      <c r="S85" s="18">
        <v>2.91</v>
      </c>
      <c r="T85" s="18">
        <v>1.05</v>
      </c>
      <c r="U85" s="16"/>
    </row>
    <row r="86" spans="1:21">
      <c r="A86" s="16"/>
      <c r="B86" s="16" t="s">
        <v>341</v>
      </c>
      <c r="C86" s="17" t="s">
        <v>342</v>
      </c>
      <c r="D86" s="17" t="s">
        <v>103</v>
      </c>
      <c r="E86" s="16"/>
      <c r="F86" s="17" t="s">
        <v>168</v>
      </c>
      <c r="G86" s="16" t="s">
        <v>146</v>
      </c>
      <c r="H86" s="17" t="s">
        <v>74</v>
      </c>
      <c r="I86" s="16" t="s">
        <v>148</v>
      </c>
      <c r="J86" s="16"/>
      <c r="K86" s="18">
        <v>2.97</v>
      </c>
      <c r="L86" s="16" t="s">
        <v>76</v>
      </c>
      <c r="M86" s="18">
        <v>6.1</v>
      </c>
      <c r="N86" s="18">
        <v>1.1000000000000001</v>
      </c>
      <c r="O86" s="18">
        <v>1236126</v>
      </c>
      <c r="P86" s="18">
        <v>120.41</v>
      </c>
      <c r="Q86" s="18">
        <v>1488.42</v>
      </c>
      <c r="R86" s="18">
        <v>7.0000000000000007E-2</v>
      </c>
      <c r="S86" s="18">
        <v>2.88</v>
      </c>
      <c r="T86" s="18">
        <v>1.04</v>
      </c>
      <c r="U86" s="16"/>
    </row>
    <row r="87" spans="1:21">
      <c r="A87" s="16"/>
      <c r="B87" s="16" t="s">
        <v>343</v>
      </c>
      <c r="C87" s="17" t="s">
        <v>344</v>
      </c>
      <c r="D87" s="17" t="s">
        <v>103</v>
      </c>
      <c r="E87" s="16"/>
      <c r="F87" s="17" t="s">
        <v>186</v>
      </c>
      <c r="G87" s="16" t="s">
        <v>187</v>
      </c>
      <c r="H87" s="17" t="s">
        <v>179</v>
      </c>
      <c r="I87" s="16" t="s">
        <v>148</v>
      </c>
      <c r="J87" s="16"/>
      <c r="K87" s="18">
        <v>4.74</v>
      </c>
      <c r="L87" s="16" t="s">
        <v>76</v>
      </c>
      <c r="M87" s="18">
        <v>1.55</v>
      </c>
      <c r="N87" s="18">
        <v>1.08</v>
      </c>
      <c r="O87" s="18">
        <v>580000</v>
      </c>
      <c r="P87" s="18">
        <v>102.29</v>
      </c>
      <c r="Q87" s="18">
        <v>593.28</v>
      </c>
      <c r="R87" s="18">
        <v>0.08</v>
      </c>
      <c r="S87" s="18">
        <v>1.1499999999999999</v>
      </c>
      <c r="T87" s="18">
        <v>0.42</v>
      </c>
      <c r="U87" s="16"/>
    </row>
    <row r="88" spans="1:21">
      <c r="A88" s="16"/>
      <c r="B88" s="16" t="s">
        <v>345</v>
      </c>
      <c r="C88" s="17" t="s">
        <v>346</v>
      </c>
      <c r="D88" s="17" t="s">
        <v>103</v>
      </c>
      <c r="E88" s="16"/>
      <c r="F88" s="17" t="s">
        <v>186</v>
      </c>
      <c r="G88" s="16" t="s">
        <v>187</v>
      </c>
      <c r="H88" s="17" t="s">
        <v>179</v>
      </c>
      <c r="I88" s="16" t="s">
        <v>148</v>
      </c>
      <c r="J88" s="16"/>
      <c r="K88" s="18">
        <v>0.91</v>
      </c>
      <c r="L88" s="16" t="s">
        <v>76</v>
      </c>
      <c r="M88" s="18">
        <v>5.7</v>
      </c>
      <c r="N88" s="18">
        <v>0.46</v>
      </c>
      <c r="O88" s="18">
        <v>545982.21</v>
      </c>
      <c r="P88" s="18">
        <v>105.26</v>
      </c>
      <c r="Q88" s="18">
        <v>574.70000000000005</v>
      </c>
      <c r="R88" s="18">
        <v>0.06</v>
      </c>
      <c r="S88" s="18">
        <v>1.1100000000000001</v>
      </c>
      <c r="T88" s="18">
        <v>0.4</v>
      </c>
      <c r="U88" s="16"/>
    </row>
    <row r="89" spans="1:21">
      <c r="A89" s="16"/>
      <c r="B89" s="16" t="s">
        <v>347</v>
      </c>
      <c r="C89" s="17" t="s">
        <v>348</v>
      </c>
      <c r="D89" s="17" t="s">
        <v>103</v>
      </c>
      <c r="E89" s="16"/>
      <c r="F89" s="17" t="s">
        <v>349</v>
      </c>
      <c r="G89" s="16" t="s">
        <v>350</v>
      </c>
      <c r="H89" s="17" t="s">
        <v>179</v>
      </c>
      <c r="I89" s="16" t="s">
        <v>148</v>
      </c>
      <c r="J89" s="16"/>
      <c r="K89" s="18">
        <v>3.32</v>
      </c>
      <c r="L89" s="16" t="s">
        <v>76</v>
      </c>
      <c r="M89" s="18">
        <v>4.0999999999999996</v>
      </c>
      <c r="N89" s="18">
        <v>1.1599999999999999</v>
      </c>
      <c r="O89" s="18">
        <v>579998</v>
      </c>
      <c r="P89" s="18">
        <v>110.04</v>
      </c>
      <c r="Q89" s="18">
        <v>638.23</v>
      </c>
      <c r="R89" s="18">
        <v>0.05</v>
      </c>
      <c r="S89" s="18">
        <v>1.24</v>
      </c>
      <c r="T89" s="18">
        <v>0.45</v>
      </c>
      <c r="U89" s="16"/>
    </row>
    <row r="90" spans="1:21">
      <c r="A90" s="16"/>
      <c r="B90" s="16" t="s">
        <v>351</v>
      </c>
      <c r="C90" s="17" t="s">
        <v>352</v>
      </c>
      <c r="D90" s="17" t="s">
        <v>103</v>
      </c>
      <c r="E90" s="16"/>
      <c r="F90" s="17" t="s">
        <v>239</v>
      </c>
      <c r="G90" s="16" t="s">
        <v>178</v>
      </c>
      <c r="H90" s="17" t="s">
        <v>219</v>
      </c>
      <c r="I90" s="16" t="s">
        <v>148</v>
      </c>
      <c r="J90" s="16"/>
      <c r="K90" s="18">
        <v>1.29</v>
      </c>
      <c r="L90" s="16" t="s">
        <v>76</v>
      </c>
      <c r="M90" s="18">
        <v>6.41</v>
      </c>
      <c r="N90" s="18">
        <v>0.61</v>
      </c>
      <c r="O90" s="18">
        <v>339698.02</v>
      </c>
      <c r="P90" s="18">
        <v>108.75</v>
      </c>
      <c r="Q90" s="18">
        <v>369.42</v>
      </c>
      <c r="R90" s="18">
        <v>0.16</v>
      </c>
      <c r="S90" s="18">
        <v>0.71</v>
      </c>
      <c r="T90" s="18">
        <v>0.26</v>
      </c>
      <c r="U90" s="16"/>
    </row>
    <row r="91" spans="1:21">
      <c r="A91" s="16"/>
      <c r="B91" s="16" t="s">
        <v>353</v>
      </c>
      <c r="C91" s="17" t="s">
        <v>354</v>
      </c>
      <c r="D91" s="17" t="s">
        <v>103</v>
      </c>
      <c r="E91" s="16"/>
      <c r="F91" s="17" t="s">
        <v>242</v>
      </c>
      <c r="G91" s="16" t="s">
        <v>178</v>
      </c>
      <c r="H91" s="17" t="s">
        <v>219</v>
      </c>
      <c r="I91" s="16" t="s">
        <v>148</v>
      </c>
      <c r="J91" s="16"/>
      <c r="K91" s="18">
        <v>1.74</v>
      </c>
      <c r="L91" s="16" t="s">
        <v>76</v>
      </c>
      <c r="M91" s="18">
        <v>0.8</v>
      </c>
      <c r="N91" s="18">
        <v>1.1299999999999999</v>
      </c>
      <c r="O91" s="18">
        <v>411233</v>
      </c>
      <c r="P91" s="18">
        <v>99.43</v>
      </c>
      <c r="Q91" s="18">
        <v>408.89</v>
      </c>
      <c r="R91" s="18">
        <v>7.0000000000000007E-2</v>
      </c>
      <c r="S91" s="18">
        <v>0.79</v>
      </c>
      <c r="T91" s="18">
        <v>0.28999999999999998</v>
      </c>
      <c r="U91" s="16"/>
    </row>
    <row r="92" spans="1:21">
      <c r="A92" s="16"/>
      <c r="B92" s="17" t="s">
        <v>355</v>
      </c>
      <c r="C92" s="17" t="s">
        <v>356</v>
      </c>
      <c r="D92" s="17" t="s">
        <v>103</v>
      </c>
      <c r="E92" s="16"/>
      <c r="F92" s="17" t="s">
        <v>247</v>
      </c>
      <c r="G92" s="16" t="s">
        <v>146</v>
      </c>
      <c r="H92" s="17" t="s">
        <v>219</v>
      </c>
      <c r="I92" s="16" t="s">
        <v>148</v>
      </c>
      <c r="J92" s="16"/>
      <c r="K92" s="18">
        <v>1.61</v>
      </c>
      <c r="L92" s="16" t="s">
        <v>76</v>
      </c>
      <c r="M92" s="18">
        <v>6.1</v>
      </c>
      <c r="N92" s="18">
        <v>0.62</v>
      </c>
      <c r="O92" s="18">
        <v>1097163</v>
      </c>
      <c r="P92" s="18">
        <v>114.11</v>
      </c>
      <c r="Q92" s="18">
        <v>1251.97</v>
      </c>
      <c r="R92" s="18">
        <v>0.18</v>
      </c>
      <c r="S92" s="18">
        <v>2.42</v>
      </c>
      <c r="T92" s="18">
        <v>0.88</v>
      </c>
      <c r="U92" s="16"/>
    </row>
    <row r="93" spans="1:21">
      <c r="A93" s="16"/>
      <c r="B93" s="16" t="s">
        <v>357</v>
      </c>
      <c r="C93" s="17" t="s">
        <v>358</v>
      </c>
      <c r="D93" s="17" t="s">
        <v>103</v>
      </c>
      <c r="E93" s="16"/>
      <c r="F93" s="17" t="s">
        <v>247</v>
      </c>
      <c r="G93" s="16" t="s">
        <v>146</v>
      </c>
      <c r="H93" s="17" t="s">
        <v>219</v>
      </c>
      <c r="I93" s="16" t="s">
        <v>148</v>
      </c>
      <c r="J93" s="16"/>
      <c r="K93" s="18">
        <v>1.64</v>
      </c>
      <c r="L93" s="16" t="s">
        <v>76</v>
      </c>
      <c r="M93" s="18">
        <v>2.15</v>
      </c>
      <c r="N93" s="18">
        <v>0.72</v>
      </c>
      <c r="O93" s="18">
        <v>1708632</v>
      </c>
      <c r="P93" s="18">
        <v>102.52</v>
      </c>
      <c r="Q93" s="18">
        <v>1751.69</v>
      </c>
      <c r="R93" s="18">
        <v>0.22</v>
      </c>
      <c r="S93" s="18">
        <v>3.39</v>
      </c>
      <c r="T93" s="18">
        <v>1.23</v>
      </c>
      <c r="U93" s="16"/>
    </row>
    <row r="94" spans="1:21">
      <c r="A94" s="16"/>
      <c r="B94" s="16" t="s">
        <v>359</v>
      </c>
      <c r="C94" s="17" t="s">
        <v>360</v>
      </c>
      <c r="D94" s="17" t="s">
        <v>103</v>
      </c>
      <c r="E94" s="16"/>
      <c r="F94" s="17" t="s">
        <v>361</v>
      </c>
      <c r="G94" s="16" t="s">
        <v>200</v>
      </c>
      <c r="H94" s="17" t="s">
        <v>219</v>
      </c>
      <c r="I94" s="16" t="s">
        <v>148</v>
      </c>
      <c r="J94" s="16"/>
      <c r="K94" s="18">
        <v>1.67</v>
      </c>
      <c r="L94" s="16" t="s">
        <v>76</v>
      </c>
      <c r="M94" s="18">
        <v>6</v>
      </c>
      <c r="N94" s="18">
        <v>1.03</v>
      </c>
      <c r="O94" s="18">
        <v>68114</v>
      </c>
      <c r="P94" s="18">
        <v>110.1</v>
      </c>
      <c r="Q94" s="18">
        <v>74.989999999999995</v>
      </c>
      <c r="R94" s="18">
        <v>0.04</v>
      </c>
      <c r="S94" s="18">
        <v>0.14000000000000001</v>
      </c>
      <c r="T94" s="18">
        <v>0.05</v>
      </c>
      <c r="U94" s="16"/>
    </row>
    <row r="95" spans="1:21">
      <c r="A95" s="16"/>
      <c r="B95" s="16" t="s">
        <v>362</v>
      </c>
      <c r="C95" s="17" t="s">
        <v>363</v>
      </c>
      <c r="D95" s="17" t="s">
        <v>103</v>
      </c>
      <c r="E95" s="16"/>
      <c r="F95" s="17" t="s">
        <v>361</v>
      </c>
      <c r="G95" s="16" t="s">
        <v>200</v>
      </c>
      <c r="H95" s="17" t="s">
        <v>223</v>
      </c>
      <c r="I95" s="16" t="s">
        <v>215</v>
      </c>
      <c r="J95" s="16"/>
      <c r="K95" s="18">
        <v>6.4</v>
      </c>
      <c r="L95" s="16" t="s">
        <v>76</v>
      </c>
      <c r="M95" s="18">
        <v>3.05</v>
      </c>
      <c r="N95" s="18">
        <v>3.26</v>
      </c>
      <c r="O95" s="18">
        <v>496442</v>
      </c>
      <c r="P95" s="18">
        <v>99.28</v>
      </c>
      <c r="Q95" s="18">
        <v>492.87</v>
      </c>
      <c r="R95" s="18">
        <v>0.24</v>
      </c>
      <c r="S95" s="18">
        <v>0.95</v>
      </c>
      <c r="T95" s="18">
        <v>0.34</v>
      </c>
      <c r="U95" s="16"/>
    </row>
    <row r="96" spans="1:21">
      <c r="A96" s="16"/>
      <c r="B96" s="16" t="s">
        <v>364</v>
      </c>
      <c r="C96" s="17" t="s">
        <v>365</v>
      </c>
      <c r="D96" s="17" t="s">
        <v>103</v>
      </c>
      <c r="E96" s="16"/>
      <c r="F96" s="17" t="s">
        <v>199</v>
      </c>
      <c r="G96" s="16" t="s">
        <v>200</v>
      </c>
      <c r="H96" s="17" t="s">
        <v>219</v>
      </c>
      <c r="I96" s="16" t="s">
        <v>148</v>
      </c>
      <c r="J96" s="16"/>
      <c r="K96" s="18">
        <v>2.36</v>
      </c>
      <c r="L96" s="16" t="s">
        <v>76</v>
      </c>
      <c r="M96" s="18">
        <v>1.93</v>
      </c>
      <c r="N96" s="18">
        <v>0.73</v>
      </c>
      <c r="O96" s="18">
        <v>144236</v>
      </c>
      <c r="P96" s="18">
        <v>103.03</v>
      </c>
      <c r="Q96" s="18">
        <v>148.61000000000001</v>
      </c>
      <c r="R96" s="18">
        <v>0.1</v>
      </c>
      <c r="S96" s="18">
        <v>0.28999999999999998</v>
      </c>
      <c r="T96" s="18">
        <v>0.1</v>
      </c>
      <c r="U96" s="16"/>
    </row>
    <row r="97" spans="1:21">
      <c r="A97" s="16"/>
      <c r="B97" s="16" t="s">
        <v>366</v>
      </c>
      <c r="C97" s="17" t="s">
        <v>367</v>
      </c>
      <c r="D97" s="17" t="s">
        <v>103</v>
      </c>
      <c r="E97" s="16"/>
      <c r="F97" s="17" t="s">
        <v>206</v>
      </c>
      <c r="G97" s="16" t="s">
        <v>200</v>
      </c>
      <c r="H97" s="17" t="s">
        <v>219</v>
      </c>
      <c r="I97" s="16" t="s">
        <v>148</v>
      </c>
      <c r="J97" s="16"/>
      <c r="K97" s="18">
        <v>1.51</v>
      </c>
      <c r="L97" s="16" t="s">
        <v>76</v>
      </c>
      <c r="M97" s="18">
        <v>5.7</v>
      </c>
      <c r="N97" s="18">
        <v>0.89</v>
      </c>
      <c r="O97" s="18">
        <v>580150</v>
      </c>
      <c r="P97" s="18">
        <v>109.92</v>
      </c>
      <c r="Q97" s="18">
        <v>637.70000000000005</v>
      </c>
      <c r="R97" s="18">
        <v>0.08</v>
      </c>
      <c r="S97" s="18">
        <v>1.23</v>
      </c>
      <c r="T97" s="18">
        <v>0.45</v>
      </c>
      <c r="U97" s="16"/>
    </row>
    <row r="98" spans="1:21">
      <c r="A98" s="16"/>
      <c r="B98" s="16" t="s">
        <v>368</v>
      </c>
      <c r="C98" s="17" t="s">
        <v>369</v>
      </c>
      <c r="D98" s="17" t="s">
        <v>103</v>
      </c>
      <c r="E98" s="16"/>
      <c r="F98" s="17" t="s">
        <v>370</v>
      </c>
      <c r="G98" s="16" t="s">
        <v>275</v>
      </c>
      <c r="H98" s="17" t="s">
        <v>219</v>
      </c>
      <c r="I98" s="16" t="s">
        <v>148</v>
      </c>
      <c r="J98" s="16"/>
      <c r="K98" s="18">
        <v>3.28</v>
      </c>
      <c r="L98" s="16" t="s">
        <v>76</v>
      </c>
      <c r="M98" s="18">
        <v>2.2999999999999998</v>
      </c>
      <c r="N98" s="18">
        <v>1.33</v>
      </c>
      <c r="O98" s="18">
        <v>414225</v>
      </c>
      <c r="P98" s="18">
        <v>103.27</v>
      </c>
      <c r="Q98" s="18">
        <v>427.77</v>
      </c>
      <c r="R98" s="18">
        <v>0.01</v>
      </c>
      <c r="S98" s="18">
        <v>0.83</v>
      </c>
      <c r="T98" s="18">
        <v>0.3</v>
      </c>
      <c r="U98" s="16"/>
    </row>
    <row r="99" spans="1:21">
      <c r="A99" s="16"/>
      <c r="B99" s="16" t="s">
        <v>371</v>
      </c>
      <c r="C99" s="17" t="s">
        <v>372</v>
      </c>
      <c r="D99" s="17" t="s">
        <v>103</v>
      </c>
      <c r="E99" s="16"/>
      <c r="F99" s="17" t="s">
        <v>281</v>
      </c>
      <c r="G99" s="16" t="s">
        <v>275</v>
      </c>
      <c r="H99" s="17" t="s">
        <v>271</v>
      </c>
      <c r="I99" s="16" t="s">
        <v>148</v>
      </c>
      <c r="J99" s="16"/>
      <c r="K99" s="18">
        <v>1.46</v>
      </c>
      <c r="L99" s="16" t="s">
        <v>76</v>
      </c>
      <c r="M99" s="18">
        <v>6</v>
      </c>
      <c r="N99" s="18">
        <v>0.96</v>
      </c>
      <c r="O99" s="18">
        <v>408111.35</v>
      </c>
      <c r="P99" s="18">
        <v>107.48</v>
      </c>
      <c r="Q99" s="18">
        <v>438.64</v>
      </c>
      <c r="R99" s="18">
        <v>0.09</v>
      </c>
      <c r="S99" s="18">
        <v>0.85</v>
      </c>
      <c r="T99" s="18">
        <v>0.31</v>
      </c>
      <c r="U99" s="16"/>
    </row>
    <row r="100" spans="1:21">
      <c r="A100" s="16"/>
      <c r="B100" s="16" t="s">
        <v>373</v>
      </c>
      <c r="C100" s="17" t="s">
        <v>374</v>
      </c>
      <c r="D100" s="17" t="s">
        <v>103</v>
      </c>
      <c r="E100" s="16"/>
      <c r="F100" s="17" t="s">
        <v>305</v>
      </c>
      <c r="G100" s="16" t="s">
        <v>187</v>
      </c>
      <c r="H100" s="17" t="s">
        <v>271</v>
      </c>
      <c r="I100" s="16" t="s">
        <v>148</v>
      </c>
      <c r="J100" s="16"/>
      <c r="K100" s="18">
        <v>1.46</v>
      </c>
      <c r="L100" s="16" t="s">
        <v>76</v>
      </c>
      <c r="M100" s="18">
        <v>5.5</v>
      </c>
      <c r="N100" s="18">
        <v>0.87</v>
      </c>
      <c r="O100" s="18">
        <v>378494.69</v>
      </c>
      <c r="P100" s="18">
        <v>106.88</v>
      </c>
      <c r="Q100" s="18">
        <v>404.53</v>
      </c>
      <c r="R100" s="18">
        <v>0.1</v>
      </c>
      <c r="S100" s="18">
        <v>0.78</v>
      </c>
      <c r="T100" s="18">
        <v>0.28000000000000003</v>
      </c>
      <c r="U100" s="16"/>
    </row>
    <row r="101" spans="1:21">
      <c r="A101" s="16"/>
      <c r="B101" s="16" t="s">
        <v>375</v>
      </c>
      <c r="C101" s="17" t="s">
        <v>376</v>
      </c>
      <c r="D101" s="17" t="s">
        <v>103</v>
      </c>
      <c r="E101" s="16"/>
      <c r="F101" s="17" t="s">
        <v>305</v>
      </c>
      <c r="G101" s="16" t="s">
        <v>187</v>
      </c>
      <c r="H101" s="17" t="s">
        <v>271</v>
      </c>
      <c r="I101" s="16" t="s">
        <v>148</v>
      </c>
      <c r="J101" s="16"/>
      <c r="K101" s="18">
        <v>3.89</v>
      </c>
      <c r="L101" s="16" t="s">
        <v>76</v>
      </c>
      <c r="M101" s="18">
        <v>1.3</v>
      </c>
      <c r="N101" s="18">
        <v>1.27</v>
      </c>
      <c r="O101" s="18">
        <v>425951</v>
      </c>
      <c r="P101" s="18">
        <v>100.26</v>
      </c>
      <c r="Q101" s="18">
        <v>427.06</v>
      </c>
      <c r="R101" s="18">
        <v>0.08</v>
      </c>
      <c r="S101" s="18">
        <v>0.83</v>
      </c>
      <c r="T101" s="18">
        <v>0.3</v>
      </c>
      <c r="U101" s="16"/>
    </row>
    <row r="102" spans="1:21">
      <c r="A102" s="16"/>
      <c r="B102" s="16" t="s">
        <v>377</v>
      </c>
      <c r="C102" s="17" t="s">
        <v>378</v>
      </c>
      <c r="D102" s="17" t="s">
        <v>103</v>
      </c>
      <c r="E102" s="16"/>
      <c r="F102" s="17" t="s">
        <v>308</v>
      </c>
      <c r="G102" s="16" t="s">
        <v>178</v>
      </c>
      <c r="H102" s="17" t="s">
        <v>271</v>
      </c>
      <c r="I102" s="16" t="s">
        <v>148</v>
      </c>
      <c r="J102" s="16"/>
      <c r="K102" s="18">
        <v>0.41</v>
      </c>
      <c r="L102" s="16" t="s">
        <v>76</v>
      </c>
      <c r="M102" s="18">
        <v>7.9</v>
      </c>
      <c r="N102" s="18">
        <v>0.94</v>
      </c>
      <c r="O102" s="18">
        <v>0.09</v>
      </c>
      <c r="P102" s="18">
        <v>105.52</v>
      </c>
      <c r="Q102" s="18">
        <v>0</v>
      </c>
      <c r="R102" s="18">
        <v>0</v>
      </c>
      <c r="S102" s="18">
        <v>0</v>
      </c>
      <c r="T102" s="18">
        <v>0</v>
      </c>
      <c r="U102" s="16"/>
    </row>
    <row r="103" spans="1:21">
      <c r="A103" s="16"/>
      <c r="B103" s="16" t="s">
        <v>379</v>
      </c>
      <c r="C103" s="17" t="s">
        <v>380</v>
      </c>
      <c r="D103" s="17" t="s">
        <v>103</v>
      </c>
      <c r="E103" s="16"/>
      <c r="F103" s="17" t="s">
        <v>381</v>
      </c>
      <c r="G103" s="16" t="s">
        <v>382</v>
      </c>
      <c r="H103" s="17" t="s">
        <v>313</v>
      </c>
      <c r="I103" s="16" t="s">
        <v>148</v>
      </c>
      <c r="J103" s="16"/>
      <c r="K103" s="18">
        <v>0.57999999999999996</v>
      </c>
      <c r="L103" s="16" t="s">
        <v>76</v>
      </c>
      <c r="M103" s="18">
        <v>5.45</v>
      </c>
      <c r="N103" s="18">
        <v>0.96</v>
      </c>
      <c r="O103" s="18">
        <v>40000</v>
      </c>
      <c r="P103" s="18">
        <v>107.58</v>
      </c>
      <c r="Q103" s="18">
        <v>43.03</v>
      </c>
      <c r="R103" s="18">
        <v>0.02</v>
      </c>
      <c r="S103" s="18">
        <v>0.08</v>
      </c>
      <c r="T103" s="18">
        <v>0.03</v>
      </c>
      <c r="U103" s="16"/>
    </row>
    <row r="104" spans="1:21">
      <c r="A104" s="7"/>
      <c r="B104" s="7" t="s">
        <v>137</v>
      </c>
      <c r="C104" s="7"/>
      <c r="D104" s="7"/>
      <c r="E104" s="7"/>
      <c r="F104" s="7"/>
      <c r="G104" s="7"/>
      <c r="H104" s="7"/>
      <c r="I104" s="7"/>
      <c r="J104" s="7"/>
      <c r="K104" s="15">
        <v>0</v>
      </c>
      <c r="L104" s="7"/>
      <c r="M104" s="15">
        <v>0</v>
      </c>
      <c r="N104" s="15">
        <v>0</v>
      </c>
      <c r="O104" s="15">
        <v>0</v>
      </c>
      <c r="P104" s="7"/>
      <c r="Q104" s="15">
        <v>0</v>
      </c>
      <c r="R104" s="7"/>
      <c r="S104" s="15">
        <v>0</v>
      </c>
      <c r="T104" s="15">
        <v>0</v>
      </c>
      <c r="U104" s="7"/>
    </row>
    <row r="105" spans="1:21">
      <c r="A105" s="7"/>
      <c r="B105" s="7" t="s">
        <v>383</v>
      </c>
      <c r="C105" s="7"/>
      <c r="D105" s="7"/>
      <c r="E105" s="7"/>
      <c r="F105" s="7"/>
      <c r="G105" s="7"/>
      <c r="H105" s="7"/>
      <c r="I105" s="7"/>
      <c r="J105" s="7"/>
      <c r="K105" s="15">
        <v>0</v>
      </c>
      <c r="L105" s="7"/>
      <c r="M105" s="15">
        <v>0</v>
      </c>
      <c r="N105" s="15">
        <v>0</v>
      </c>
      <c r="O105" s="15">
        <v>0</v>
      </c>
      <c r="P105" s="7"/>
      <c r="Q105" s="15">
        <v>0</v>
      </c>
      <c r="R105" s="7"/>
      <c r="S105" s="15">
        <v>0</v>
      </c>
      <c r="T105" s="15">
        <v>0</v>
      </c>
      <c r="U105" s="7"/>
    </row>
    <row r="106" spans="1:21">
      <c r="A106" s="7"/>
      <c r="B106" s="7" t="s">
        <v>80</v>
      </c>
      <c r="C106" s="7"/>
      <c r="D106" s="7"/>
      <c r="E106" s="7"/>
      <c r="F106" s="7"/>
      <c r="G106" s="7"/>
      <c r="H106" s="7"/>
      <c r="I106" s="7"/>
      <c r="J106" s="7"/>
      <c r="K106" s="15">
        <v>0</v>
      </c>
      <c r="L106" s="7"/>
      <c r="M106" s="15">
        <v>0</v>
      </c>
      <c r="N106" s="15">
        <v>0</v>
      </c>
      <c r="O106" s="15">
        <v>0</v>
      </c>
      <c r="P106" s="7"/>
      <c r="Q106" s="15">
        <v>0</v>
      </c>
      <c r="R106" s="7"/>
      <c r="S106" s="15">
        <v>0</v>
      </c>
      <c r="T106" s="15">
        <v>0</v>
      </c>
      <c r="U106" s="7"/>
    </row>
    <row r="107" spans="1:21">
      <c r="A107" s="7"/>
      <c r="B107" s="7" t="s">
        <v>139</v>
      </c>
      <c r="C107" s="7"/>
      <c r="D107" s="7"/>
      <c r="E107" s="7"/>
      <c r="F107" s="7"/>
      <c r="G107" s="7"/>
      <c r="H107" s="7"/>
      <c r="I107" s="7"/>
      <c r="J107" s="7"/>
      <c r="K107" s="15">
        <v>0</v>
      </c>
      <c r="L107" s="7"/>
      <c r="M107" s="15">
        <v>0</v>
      </c>
      <c r="N107" s="15">
        <v>0</v>
      </c>
      <c r="O107" s="15">
        <v>0</v>
      </c>
      <c r="P107" s="7"/>
      <c r="Q107" s="15">
        <v>0</v>
      </c>
      <c r="R107" s="7"/>
      <c r="S107" s="15">
        <v>0</v>
      </c>
      <c r="T107" s="15">
        <v>0</v>
      </c>
      <c r="U107" s="7"/>
    </row>
    <row r="108" spans="1:21">
      <c r="A108" s="7"/>
      <c r="B108" s="7" t="s">
        <v>138</v>
      </c>
      <c r="C108" s="7"/>
      <c r="D108" s="7"/>
      <c r="E108" s="7"/>
      <c r="F108" s="7"/>
      <c r="G108" s="7"/>
      <c r="H108" s="7"/>
      <c r="I108" s="7"/>
      <c r="J108" s="7"/>
      <c r="K108" s="15">
        <v>0</v>
      </c>
      <c r="L108" s="7"/>
      <c r="M108" s="15">
        <v>0</v>
      </c>
      <c r="N108" s="15">
        <v>0</v>
      </c>
      <c r="O108" s="15">
        <v>0</v>
      </c>
      <c r="P108" s="7"/>
      <c r="Q108" s="15">
        <v>0</v>
      </c>
      <c r="R108" s="7"/>
      <c r="S108" s="15">
        <v>0</v>
      </c>
      <c r="T108" s="15">
        <v>0</v>
      </c>
      <c r="U108" s="7"/>
    </row>
    <row r="109" spans="1:21">
      <c r="A109" s="13"/>
      <c r="B109" s="19" t="s">
        <v>83</v>
      </c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 spans="1:21">
      <c r="A110" s="13"/>
      <c r="B110" s="19" t="s">
        <v>126</v>
      </c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 spans="1:21">
      <c r="A111" s="3" t="s">
        <v>44</v>
      </c>
      <c r="B111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2:O24"/>
  <sheetViews>
    <sheetView rightToLeft="1" workbookViewId="0"/>
  </sheetViews>
  <sheetFormatPr defaultRowHeight="12.75"/>
  <cols>
    <col min="1" max="1" width="2" style="1"/>
    <col min="2" max="2" width="34" style="1"/>
    <col min="3" max="5" width="11" style="1"/>
    <col min="6" max="6" width="12" style="1"/>
    <col min="7" max="9" width="10" style="1"/>
    <col min="10" max="10" width="8" style="1"/>
    <col min="11" max="11" width="10" style="1"/>
    <col min="12" max="12" width="22" style="1"/>
    <col min="13" max="13" width="24" style="1"/>
    <col min="14" max="14" width="23" style="1"/>
    <col min="15" max="15" width="2" style="1"/>
  </cols>
  <sheetData>
    <row r="2" spans="1:15">
      <c r="B2" s="2" t="s">
        <v>0</v>
      </c>
    </row>
    <row r="3" spans="1:15">
      <c r="B3" s="2" t="s">
        <v>1</v>
      </c>
    </row>
    <row r="4" spans="1:15">
      <c r="B4" s="3" t="s">
        <v>2</v>
      </c>
    </row>
    <row r="5" spans="1:15">
      <c r="B5" s="3" t="s">
        <v>3</v>
      </c>
    </row>
    <row r="6" spans="1:15">
      <c r="A6" s="4"/>
      <c r="B6" s="12" t="s">
        <v>84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>
      <c r="A7" s="4"/>
      <c r="B7" s="12" t="s">
        <v>384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>
      <c r="A8" s="4"/>
      <c r="B8" s="4" t="s">
        <v>47</v>
      </c>
      <c r="C8" s="4" t="s">
        <v>48</v>
      </c>
      <c r="D8" s="4" t="s">
        <v>86</v>
      </c>
      <c r="E8" s="4" t="s">
        <v>128</v>
      </c>
      <c r="F8" s="4" t="s">
        <v>49</v>
      </c>
      <c r="G8" s="4" t="s">
        <v>129</v>
      </c>
      <c r="H8" s="4" t="s">
        <v>52</v>
      </c>
      <c r="I8" s="4" t="s">
        <v>88</v>
      </c>
      <c r="J8" s="4" t="s">
        <v>89</v>
      </c>
      <c r="K8" s="4" t="s">
        <v>55</v>
      </c>
      <c r="L8" s="4" t="s">
        <v>90</v>
      </c>
      <c r="M8" s="4" t="s">
        <v>56</v>
      </c>
      <c r="N8" s="4" t="s">
        <v>91</v>
      </c>
      <c r="O8" s="4"/>
    </row>
    <row r="9" spans="1:15">
      <c r="A9" s="4"/>
      <c r="B9" s="4"/>
      <c r="C9" s="4"/>
      <c r="D9" s="4"/>
      <c r="E9" s="4"/>
      <c r="F9" s="4"/>
      <c r="G9" s="4"/>
      <c r="H9" s="4"/>
      <c r="I9" s="4" t="s">
        <v>93</v>
      </c>
      <c r="J9" s="4" t="s">
        <v>94</v>
      </c>
      <c r="K9" s="4" t="s">
        <v>7</v>
      </c>
      <c r="L9" s="4" t="s">
        <v>8</v>
      </c>
      <c r="M9" s="4" t="s">
        <v>8</v>
      </c>
      <c r="N9" s="4" t="s">
        <v>8</v>
      </c>
      <c r="O9" s="4"/>
    </row>
    <row r="10" spans="1:15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12" t="s">
        <v>65</v>
      </c>
      <c r="M10" s="12" t="s">
        <v>95</v>
      </c>
      <c r="N10" s="12" t="s">
        <v>96</v>
      </c>
      <c r="O10" s="4"/>
    </row>
    <row r="11" spans="1:15">
      <c r="A11" s="13"/>
      <c r="B11" s="13" t="s">
        <v>385</v>
      </c>
      <c r="C11" s="13"/>
      <c r="D11" s="13"/>
      <c r="E11" s="13"/>
      <c r="F11" s="13"/>
      <c r="G11" s="13"/>
      <c r="H11" s="13"/>
      <c r="I11" s="14">
        <v>0</v>
      </c>
      <c r="J11" s="13"/>
      <c r="K11" s="14">
        <v>0</v>
      </c>
      <c r="L11" s="13"/>
      <c r="M11" s="14">
        <v>0</v>
      </c>
      <c r="N11" s="14">
        <v>0</v>
      </c>
      <c r="O11" s="13"/>
    </row>
    <row r="12" spans="1:15">
      <c r="A12" s="7"/>
      <c r="B12" s="7" t="s">
        <v>67</v>
      </c>
      <c r="C12" s="7"/>
      <c r="D12" s="7"/>
      <c r="E12" s="7"/>
      <c r="F12" s="7"/>
      <c r="G12" s="7"/>
      <c r="H12" s="7"/>
      <c r="I12" s="15">
        <v>0</v>
      </c>
      <c r="J12" s="7"/>
      <c r="K12" s="15">
        <v>0</v>
      </c>
      <c r="L12" s="7"/>
      <c r="M12" s="15">
        <v>0</v>
      </c>
      <c r="N12" s="15">
        <v>0</v>
      </c>
      <c r="O12" s="7"/>
    </row>
    <row r="13" spans="1:15">
      <c r="A13" s="7"/>
      <c r="B13" s="7" t="s">
        <v>386</v>
      </c>
      <c r="C13" s="7"/>
      <c r="D13" s="7"/>
      <c r="E13" s="7"/>
      <c r="F13" s="7"/>
      <c r="G13" s="7"/>
      <c r="H13" s="7"/>
      <c r="I13" s="15">
        <v>0</v>
      </c>
      <c r="J13" s="7"/>
      <c r="K13" s="15">
        <v>0</v>
      </c>
      <c r="L13" s="7"/>
      <c r="M13" s="20">
        <v>0</v>
      </c>
      <c r="N13" s="20">
        <v>0</v>
      </c>
      <c r="O13" s="7"/>
    </row>
    <row r="14" spans="1:15">
      <c r="A14" s="7"/>
      <c r="B14" s="7" t="s">
        <v>387</v>
      </c>
      <c r="C14" s="7"/>
      <c r="D14" s="7"/>
      <c r="E14" s="7"/>
      <c r="F14" s="7"/>
      <c r="G14" s="7"/>
      <c r="H14" s="7"/>
      <c r="I14" s="15">
        <v>0</v>
      </c>
      <c r="J14" s="7"/>
      <c r="K14" s="15">
        <v>0</v>
      </c>
      <c r="L14" s="7"/>
      <c r="M14" s="15">
        <v>0</v>
      </c>
      <c r="N14" s="15">
        <v>0</v>
      </c>
      <c r="O14" s="7"/>
    </row>
    <row r="15" spans="1:15">
      <c r="A15" s="7"/>
      <c r="B15" s="7" t="s">
        <v>388</v>
      </c>
      <c r="C15" s="7"/>
      <c r="D15" s="7"/>
      <c r="E15" s="7"/>
      <c r="F15" s="7"/>
      <c r="G15" s="7"/>
      <c r="H15" s="7"/>
      <c r="I15" s="15">
        <v>0</v>
      </c>
      <c r="J15" s="7"/>
      <c r="K15" s="15">
        <v>0</v>
      </c>
      <c r="L15" s="7"/>
      <c r="M15" s="15">
        <v>0</v>
      </c>
      <c r="N15" s="15">
        <v>0</v>
      </c>
      <c r="O15" s="7"/>
    </row>
    <row r="16" spans="1:15">
      <c r="A16" s="7"/>
      <c r="B16" s="7" t="s">
        <v>389</v>
      </c>
      <c r="C16" s="7"/>
      <c r="D16" s="7"/>
      <c r="E16" s="7"/>
      <c r="F16" s="7"/>
      <c r="G16" s="7"/>
      <c r="H16" s="7"/>
      <c r="I16" s="15">
        <v>0</v>
      </c>
      <c r="J16" s="7"/>
      <c r="K16" s="15">
        <v>0</v>
      </c>
      <c r="L16" s="7"/>
      <c r="M16" s="15">
        <v>0</v>
      </c>
      <c r="N16" s="15">
        <v>0</v>
      </c>
      <c r="O16" s="7"/>
    </row>
    <row r="17" spans="1:15">
      <c r="A17" s="7"/>
      <c r="B17" s="8" t="s">
        <v>390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>
      <c r="A18" s="7"/>
      <c r="B18" s="8" t="s">
        <v>391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>
      <c r="A19" s="7"/>
      <c r="B19" s="7" t="s">
        <v>80</v>
      </c>
      <c r="C19" s="7"/>
      <c r="D19" s="7"/>
      <c r="E19" s="7"/>
      <c r="F19" s="7"/>
      <c r="G19" s="7"/>
      <c r="H19" s="7"/>
      <c r="I19" s="15">
        <v>0</v>
      </c>
      <c r="J19" s="7"/>
      <c r="K19" s="15">
        <v>0</v>
      </c>
      <c r="L19" s="7"/>
      <c r="M19" s="15">
        <v>0</v>
      </c>
      <c r="N19" s="15">
        <v>0</v>
      </c>
      <c r="O19" s="7"/>
    </row>
    <row r="20" spans="1:15">
      <c r="A20" s="7"/>
      <c r="B20" s="7" t="s">
        <v>139</v>
      </c>
      <c r="C20" s="7"/>
      <c r="D20" s="7"/>
      <c r="E20" s="7"/>
      <c r="F20" s="7"/>
      <c r="G20" s="7"/>
      <c r="H20" s="7"/>
      <c r="I20" s="15">
        <v>0</v>
      </c>
      <c r="J20" s="7"/>
      <c r="K20" s="15">
        <v>0</v>
      </c>
      <c r="L20" s="7"/>
      <c r="M20" s="15">
        <v>0</v>
      </c>
      <c r="N20" s="15">
        <v>0</v>
      </c>
      <c r="O20" s="7"/>
    </row>
    <row r="21" spans="1:15">
      <c r="A21" s="7"/>
      <c r="B21" s="7" t="s">
        <v>138</v>
      </c>
      <c r="C21" s="7"/>
      <c r="D21" s="7"/>
      <c r="E21" s="7"/>
      <c r="F21" s="7"/>
      <c r="G21" s="7"/>
      <c r="H21" s="7"/>
      <c r="I21" s="15">
        <v>0</v>
      </c>
      <c r="J21" s="7"/>
      <c r="K21" s="15">
        <v>0</v>
      </c>
      <c r="L21" s="7"/>
      <c r="M21" s="15">
        <v>0</v>
      </c>
      <c r="N21" s="15">
        <v>0</v>
      </c>
      <c r="O21" s="7"/>
    </row>
    <row r="22" spans="1:15">
      <c r="A22" s="13"/>
      <c r="B22" s="19" t="s">
        <v>83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>
      <c r="A23" s="13"/>
      <c r="B23" s="19" t="s">
        <v>126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>
      <c r="A24" s="3" t="s">
        <v>44</v>
      </c>
      <c r="B24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2:N26"/>
  <sheetViews>
    <sheetView rightToLeft="1" workbookViewId="0"/>
  </sheetViews>
  <sheetFormatPr defaultRowHeight="12.75"/>
  <cols>
    <col min="1" max="1" width="2" style="1"/>
    <col min="2" max="2" width="34" style="1"/>
    <col min="3" max="4" width="11" style="1"/>
    <col min="5" max="5" width="12" style="1"/>
    <col min="6" max="8" width="10" style="1"/>
    <col min="9" max="9" width="8" style="1"/>
    <col min="10" max="10" width="10" style="1"/>
    <col min="11" max="11" width="22" style="1"/>
    <col min="12" max="12" width="24" style="1"/>
    <col min="13" max="13" width="23" style="1"/>
    <col min="14" max="14" width="2" style="1"/>
  </cols>
  <sheetData>
    <row r="2" spans="1:14">
      <c r="B2" s="2" t="s">
        <v>0</v>
      </c>
    </row>
    <row r="3" spans="1:14">
      <c r="B3" s="2" t="s">
        <v>1</v>
      </c>
    </row>
    <row r="4" spans="1:14">
      <c r="B4" s="3" t="s">
        <v>2</v>
      </c>
    </row>
    <row r="5" spans="1:14">
      <c r="B5" s="3" t="s">
        <v>3</v>
      </c>
    </row>
    <row r="6" spans="1:14">
      <c r="A6" s="4"/>
      <c r="B6" s="12" t="s">
        <v>84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12" t="s">
        <v>392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/>
      <c r="B8" s="4" t="s">
        <v>141</v>
      </c>
      <c r="C8" s="4" t="s">
        <v>48</v>
      </c>
      <c r="D8" s="4" t="s">
        <v>86</v>
      </c>
      <c r="E8" s="4" t="s">
        <v>49</v>
      </c>
      <c r="F8" s="4" t="s">
        <v>129</v>
      </c>
      <c r="G8" s="4" t="s">
        <v>52</v>
      </c>
      <c r="H8" s="4" t="s">
        <v>88</v>
      </c>
      <c r="I8" s="4" t="s">
        <v>89</v>
      </c>
      <c r="J8" s="4" t="s">
        <v>55</v>
      </c>
      <c r="K8" s="4" t="s">
        <v>90</v>
      </c>
      <c r="L8" s="4" t="s">
        <v>56</v>
      </c>
      <c r="M8" s="4" t="s">
        <v>91</v>
      </c>
      <c r="N8" s="4"/>
    </row>
    <row r="9" spans="1:14">
      <c r="A9" s="4"/>
      <c r="B9" s="4"/>
      <c r="C9" s="4"/>
      <c r="D9" s="4"/>
      <c r="E9" s="4"/>
      <c r="F9" s="4"/>
      <c r="G9" s="4"/>
      <c r="H9" s="4" t="s">
        <v>93</v>
      </c>
      <c r="I9" s="4" t="s">
        <v>94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12" t="s">
        <v>65</v>
      </c>
      <c r="M10" s="12" t="s">
        <v>95</v>
      </c>
      <c r="N10" s="4"/>
    </row>
    <row r="11" spans="1:14">
      <c r="A11" s="13"/>
      <c r="B11" s="13" t="s">
        <v>393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3"/>
      <c r="L11" s="14">
        <v>0</v>
      </c>
      <c r="M11" s="14">
        <v>0</v>
      </c>
      <c r="N11" s="13"/>
    </row>
    <row r="12" spans="1:14">
      <c r="A12" s="7"/>
      <c r="B12" s="7" t="s">
        <v>67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7"/>
      <c r="L12" s="15">
        <v>0</v>
      </c>
      <c r="M12" s="15">
        <v>0</v>
      </c>
      <c r="N12" s="7"/>
    </row>
    <row r="13" spans="1:14">
      <c r="A13" s="7"/>
      <c r="B13" s="7" t="s">
        <v>394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7"/>
      <c r="L13" s="15">
        <v>0</v>
      </c>
      <c r="M13" s="15">
        <v>0</v>
      </c>
      <c r="N13" s="7"/>
    </row>
    <row r="14" spans="1:14">
      <c r="A14" s="7"/>
      <c r="B14" s="7" t="s">
        <v>395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7"/>
      <c r="L14" s="15">
        <v>0</v>
      </c>
      <c r="M14" s="15">
        <v>0</v>
      </c>
      <c r="N14" s="7"/>
    </row>
    <row r="15" spans="1:14">
      <c r="A15" s="7"/>
      <c r="B15" s="7" t="s">
        <v>396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7"/>
      <c r="L15" s="15">
        <v>0</v>
      </c>
      <c r="M15" s="15">
        <v>0</v>
      </c>
      <c r="N15" s="7"/>
    </row>
    <row r="16" spans="1:14">
      <c r="A16" s="7"/>
      <c r="B16" s="7" t="s">
        <v>397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7"/>
      <c r="L16" s="15">
        <v>0</v>
      </c>
      <c r="M16" s="15">
        <v>0</v>
      </c>
      <c r="N16" s="7"/>
    </row>
    <row r="17" spans="1:14">
      <c r="A17" s="7"/>
      <c r="B17" s="7" t="s">
        <v>398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7"/>
      <c r="L17" s="15">
        <v>0</v>
      </c>
      <c r="M17" s="15">
        <v>0</v>
      </c>
      <c r="N17" s="7"/>
    </row>
    <row r="18" spans="1:14">
      <c r="A18" s="7"/>
      <c r="B18" s="7" t="s">
        <v>399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7"/>
      <c r="L18" s="15">
        <v>0</v>
      </c>
      <c r="M18" s="15">
        <v>0</v>
      </c>
      <c r="N18" s="7"/>
    </row>
    <row r="19" spans="1:14">
      <c r="A19" s="7"/>
      <c r="B19" s="7" t="s">
        <v>80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7"/>
      <c r="L19" s="15">
        <v>0</v>
      </c>
      <c r="M19" s="15">
        <v>0</v>
      </c>
      <c r="N19" s="7"/>
    </row>
    <row r="20" spans="1:14">
      <c r="A20" s="7"/>
      <c r="B20" s="7" t="s">
        <v>400</v>
      </c>
      <c r="C20" s="7"/>
      <c r="D20" s="7"/>
      <c r="E20" s="7"/>
      <c r="F20" s="7"/>
      <c r="G20" s="7"/>
      <c r="H20" s="15">
        <v>0</v>
      </c>
      <c r="I20" s="7"/>
      <c r="J20" s="15">
        <v>0</v>
      </c>
      <c r="K20" s="7"/>
      <c r="L20" s="15">
        <v>0</v>
      </c>
      <c r="M20" s="15">
        <v>0</v>
      </c>
      <c r="N20" s="7"/>
    </row>
    <row r="21" spans="1:14">
      <c r="A21" s="7"/>
      <c r="B21" s="7" t="s">
        <v>401</v>
      </c>
      <c r="C21" s="7"/>
      <c r="D21" s="7"/>
      <c r="E21" s="7"/>
      <c r="F21" s="7"/>
      <c r="G21" s="7"/>
      <c r="H21" s="15">
        <v>0</v>
      </c>
      <c r="I21" s="7"/>
      <c r="J21" s="15">
        <v>0</v>
      </c>
      <c r="K21" s="7"/>
      <c r="L21" s="15">
        <v>0</v>
      </c>
      <c r="M21" s="15">
        <v>0</v>
      </c>
      <c r="N21" s="7"/>
    </row>
    <row r="22" spans="1:14">
      <c r="A22" s="7"/>
      <c r="B22" s="7" t="s">
        <v>402</v>
      </c>
      <c r="C22" s="7"/>
      <c r="D22" s="7"/>
      <c r="E22" s="7"/>
      <c r="F22" s="7"/>
      <c r="G22" s="7"/>
      <c r="H22" s="15">
        <v>0</v>
      </c>
      <c r="I22" s="7"/>
      <c r="J22" s="15">
        <v>0</v>
      </c>
      <c r="K22" s="7"/>
      <c r="L22" s="15">
        <v>0</v>
      </c>
      <c r="M22" s="15">
        <v>0</v>
      </c>
      <c r="N22" s="7"/>
    </row>
    <row r="23" spans="1:14">
      <c r="A23" s="7"/>
      <c r="B23" s="7" t="s">
        <v>399</v>
      </c>
      <c r="C23" s="7"/>
      <c r="D23" s="7"/>
      <c r="E23" s="7"/>
      <c r="F23" s="7"/>
      <c r="G23" s="7"/>
      <c r="H23" s="15">
        <v>0</v>
      </c>
      <c r="I23" s="7"/>
      <c r="J23" s="15">
        <v>0</v>
      </c>
      <c r="K23" s="7"/>
      <c r="L23" s="15">
        <v>0</v>
      </c>
      <c r="M23" s="15">
        <v>0</v>
      </c>
      <c r="N23" s="7"/>
    </row>
    <row r="24" spans="1:14">
      <c r="A24" s="13"/>
      <c r="B24" s="19" t="s">
        <v>83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>
      <c r="A25" s="13"/>
      <c r="B25" s="19" t="s">
        <v>126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>
      <c r="A26" s="3" t="s">
        <v>44</v>
      </c>
      <c r="B2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2:P18"/>
  <sheetViews>
    <sheetView rightToLeft="1" workbookViewId="0"/>
  </sheetViews>
  <sheetFormatPr defaultRowHeight="12.75"/>
  <cols>
    <col min="1" max="1" width="2" style="1"/>
    <col min="2" max="2" width="38" style="1"/>
    <col min="3" max="4" width="11" style="1"/>
    <col min="5" max="5" width="12" style="1"/>
    <col min="6" max="6" width="10" style="1"/>
    <col min="7" max="7" width="7" style="1"/>
    <col min="8" max="8" width="9" style="1"/>
    <col min="9" max="10" width="10" style="1"/>
    <col min="11" max="11" width="8" style="1"/>
    <col min="12" max="12" width="10" style="1"/>
    <col min="13" max="13" width="22" style="1"/>
    <col min="14" max="14" width="24" style="1"/>
    <col min="15" max="15" width="23" style="1"/>
    <col min="16" max="16" width="2" style="1"/>
  </cols>
  <sheetData>
    <row r="2" spans="1:16">
      <c r="B2" s="2" t="s">
        <v>0</v>
      </c>
    </row>
    <row r="3" spans="1:16">
      <c r="B3" s="2" t="s">
        <v>1</v>
      </c>
    </row>
    <row r="4" spans="1:16">
      <c r="B4" s="3" t="s">
        <v>2</v>
      </c>
    </row>
    <row r="5" spans="1:16">
      <c r="B5" s="3" t="s">
        <v>3</v>
      </c>
    </row>
    <row r="6" spans="1:16">
      <c r="A6" s="4"/>
      <c r="B6" s="12" t="s">
        <v>84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4"/>
      <c r="B7" s="12" t="s">
        <v>403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>
      <c r="A8" s="4"/>
      <c r="B8" s="4" t="s">
        <v>47</v>
      </c>
      <c r="C8" s="4" t="s">
        <v>48</v>
      </c>
      <c r="D8" s="4" t="s">
        <v>86</v>
      </c>
      <c r="E8" s="4" t="s">
        <v>49</v>
      </c>
      <c r="F8" s="4" t="s">
        <v>129</v>
      </c>
      <c r="G8" s="4" t="s">
        <v>50</v>
      </c>
      <c r="H8" s="4" t="s">
        <v>51</v>
      </c>
      <c r="I8" s="4" t="s">
        <v>52</v>
      </c>
      <c r="J8" s="4" t="s">
        <v>88</v>
      </c>
      <c r="K8" s="4" t="s">
        <v>89</v>
      </c>
      <c r="L8" s="4" t="s">
        <v>55</v>
      </c>
      <c r="M8" s="4" t="s">
        <v>90</v>
      </c>
      <c r="N8" s="4" t="s">
        <v>56</v>
      </c>
      <c r="O8" s="4" t="s">
        <v>91</v>
      </c>
      <c r="P8" s="4"/>
    </row>
    <row r="9" spans="1:16">
      <c r="A9" s="4"/>
      <c r="B9" s="4"/>
      <c r="C9" s="4"/>
      <c r="D9" s="4"/>
      <c r="E9" s="4"/>
      <c r="F9" s="4"/>
      <c r="G9" s="4"/>
      <c r="H9" s="4"/>
      <c r="I9" s="4"/>
      <c r="J9" s="4" t="s">
        <v>93</v>
      </c>
      <c r="K9" s="4" t="s">
        <v>94</v>
      </c>
      <c r="L9" s="4" t="s">
        <v>7</v>
      </c>
      <c r="M9" s="4" t="s">
        <v>8</v>
      </c>
      <c r="N9" s="4" t="s">
        <v>8</v>
      </c>
      <c r="O9" s="4" t="s">
        <v>8</v>
      </c>
      <c r="P9" s="4"/>
    </row>
    <row r="10" spans="1:16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12" t="s">
        <v>65</v>
      </c>
      <c r="M10" s="12" t="s">
        <v>95</v>
      </c>
      <c r="N10" s="12" t="s">
        <v>96</v>
      </c>
      <c r="O10" s="12" t="s">
        <v>97</v>
      </c>
      <c r="P10" s="4"/>
    </row>
    <row r="11" spans="1:16">
      <c r="A11" s="13"/>
      <c r="B11" s="13" t="s">
        <v>404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3"/>
      <c r="N11" s="14">
        <v>0</v>
      </c>
      <c r="O11" s="14">
        <v>0</v>
      </c>
      <c r="P11" s="13"/>
    </row>
    <row r="12" spans="1:16">
      <c r="A12" s="7"/>
      <c r="B12" s="7" t="s">
        <v>67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7"/>
      <c r="N12" s="15">
        <v>0</v>
      </c>
      <c r="O12" s="15">
        <v>0</v>
      </c>
      <c r="P12" s="7"/>
    </row>
    <row r="13" spans="1:16">
      <c r="A13" s="7"/>
      <c r="B13" s="7" t="s">
        <v>405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7" t="s">
        <v>80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7"/>
      <c r="N14" s="15">
        <v>0</v>
      </c>
      <c r="O14" s="15">
        <v>0</v>
      </c>
      <c r="P14" s="7"/>
    </row>
    <row r="15" spans="1:16">
      <c r="A15" s="7"/>
      <c r="B15" s="7" t="s">
        <v>406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13"/>
      <c r="B16" s="19" t="s">
        <v>83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1:16">
      <c r="A17" s="13"/>
      <c r="B17" s="19" t="s">
        <v>126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>
      <c r="A18" s="3" t="s">
        <v>44</v>
      </c>
      <c r="B18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2:M18"/>
  <sheetViews>
    <sheetView rightToLeft="1" workbookViewId="0"/>
  </sheetViews>
  <sheetFormatPr defaultRowHeight="12.75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>
      <c r="B2" s="2" t="s">
        <v>0</v>
      </c>
    </row>
    <row r="3" spans="1:13">
      <c r="B3" s="2" t="s">
        <v>1</v>
      </c>
    </row>
    <row r="4" spans="1:13">
      <c r="B4" s="3" t="s">
        <v>2</v>
      </c>
    </row>
    <row r="5" spans="1:13">
      <c r="B5" s="3" t="s">
        <v>3</v>
      </c>
    </row>
    <row r="6" spans="1:13">
      <c r="A6" s="4"/>
      <c r="B6" s="12" t="s">
        <v>84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>
      <c r="A7" s="4"/>
      <c r="B7" s="12" t="s">
        <v>407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>
      <c r="A8" s="4"/>
      <c r="B8" s="4" t="s">
        <v>141</v>
      </c>
      <c r="C8" s="4" t="s">
        <v>48</v>
      </c>
      <c r="D8" s="4" t="s">
        <v>86</v>
      </c>
      <c r="E8" s="4" t="s">
        <v>129</v>
      </c>
      <c r="F8" s="4" t="s">
        <v>52</v>
      </c>
      <c r="G8" s="4" t="s">
        <v>88</v>
      </c>
      <c r="H8" s="4" t="s">
        <v>89</v>
      </c>
      <c r="I8" s="4" t="s">
        <v>55</v>
      </c>
      <c r="J8" s="4" t="s">
        <v>90</v>
      </c>
      <c r="K8" s="4" t="s">
        <v>56</v>
      </c>
      <c r="L8" s="4" t="s">
        <v>91</v>
      </c>
      <c r="M8" s="4"/>
    </row>
    <row r="9" spans="1:13">
      <c r="A9" s="4"/>
      <c r="B9" s="4"/>
      <c r="C9" s="4"/>
      <c r="D9" s="4"/>
      <c r="E9" s="4"/>
      <c r="F9" s="4"/>
      <c r="G9" s="4" t="s">
        <v>93</v>
      </c>
      <c r="H9" s="4" t="s">
        <v>94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12" t="s">
        <v>65</v>
      </c>
      <c r="M10" s="4"/>
    </row>
    <row r="11" spans="1:13">
      <c r="A11" s="13"/>
      <c r="B11" s="13" t="s">
        <v>408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  <c r="K11" s="14">
        <v>0</v>
      </c>
      <c r="L11" s="14">
        <v>0</v>
      </c>
      <c r="M11" s="13"/>
    </row>
    <row r="12" spans="1:13">
      <c r="A12" s="7"/>
      <c r="B12" s="7" t="s">
        <v>67</v>
      </c>
      <c r="C12" s="7"/>
      <c r="D12" s="7"/>
      <c r="E12" s="7"/>
      <c r="F12" s="7"/>
      <c r="G12" s="15">
        <v>0</v>
      </c>
      <c r="H12" s="7"/>
      <c r="I12" s="15">
        <v>0</v>
      </c>
      <c r="J12" s="7"/>
      <c r="K12" s="15">
        <v>0</v>
      </c>
      <c r="L12" s="15">
        <v>0</v>
      </c>
      <c r="M12" s="7"/>
    </row>
    <row r="13" spans="1:13">
      <c r="A13" s="7"/>
      <c r="B13" s="7" t="s">
        <v>409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>
      <c r="A14" s="7"/>
      <c r="B14" s="7" t="s">
        <v>80</v>
      </c>
      <c r="C14" s="7"/>
      <c r="D14" s="7"/>
      <c r="E14" s="7"/>
      <c r="F14" s="7"/>
      <c r="G14" s="15">
        <v>0</v>
      </c>
      <c r="H14" s="7"/>
      <c r="I14" s="15">
        <v>0</v>
      </c>
      <c r="J14" s="7"/>
      <c r="K14" s="15">
        <v>0</v>
      </c>
      <c r="L14" s="15">
        <v>0</v>
      </c>
      <c r="M14" s="7"/>
    </row>
    <row r="15" spans="1:13">
      <c r="A15" s="7"/>
      <c r="B15" s="7" t="s">
        <v>410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>
      <c r="A16" s="13"/>
      <c r="B16" s="19" t="s">
        <v>83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3">
      <c r="A17" s="13"/>
      <c r="B17" s="19" t="s">
        <v>126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>
      <c r="A18" s="3" t="s">
        <v>44</v>
      </c>
      <c r="B18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2:M25"/>
  <sheetViews>
    <sheetView rightToLeft="1" workbookViewId="0"/>
  </sheetViews>
  <sheetFormatPr defaultRowHeight="12.75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>
      <c r="B2" s="2" t="s">
        <v>0</v>
      </c>
    </row>
    <row r="3" spans="1:13">
      <c r="B3" s="2" t="s">
        <v>1</v>
      </c>
    </row>
    <row r="4" spans="1:13">
      <c r="B4" s="3" t="s">
        <v>2</v>
      </c>
    </row>
    <row r="5" spans="1:13">
      <c r="B5" s="3" t="s">
        <v>3</v>
      </c>
    </row>
    <row r="6" spans="1:13">
      <c r="A6" s="4"/>
      <c r="B6" s="12" t="s">
        <v>84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>
      <c r="A7" s="4"/>
      <c r="B7" s="12" t="s">
        <v>411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>
      <c r="A8" s="4"/>
      <c r="B8" s="4" t="s">
        <v>412</v>
      </c>
      <c r="C8" s="4" t="s">
        <v>48</v>
      </c>
      <c r="D8" s="4" t="s">
        <v>86</v>
      </c>
      <c r="E8" s="4" t="s">
        <v>129</v>
      </c>
      <c r="F8" s="4" t="s">
        <v>52</v>
      </c>
      <c r="G8" s="4" t="s">
        <v>88</v>
      </c>
      <c r="H8" s="4" t="s">
        <v>89</v>
      </c>
      <c r="I8" s="4" t="s">
        <v>55</v>
      </c>
      <c r="J8" s="4" t="s">
        <v>90</v>
      </c>
      <c r="K8" s="4" t="s">
        <v>56</v>
      </c>
      <c r="L8" s="4" t="s">
        <v>91</v>
      </c>
      <c r="M8" s="4"/>
    </row>
    <row r="9" spans="1:13">
      <c r="A9" s="4"/>
      <c r="B9" s="4"/>
      <c r="C9" s="4"/>
      <c r="D9" s="4"/>
      <c r="E9" s="4"/>
      <c r="F9" s="4"/>
      <c r="G9" s="4" t="s">
        <v>93</v>
      </c>
      <c r="H9" s="4" t="s">
        <v>94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12" t="s">
        <v>65</v>
      </c>
      <c r="M10" s="4"/>
    </row>
    <row r="11" spans="1:13">
      <c r="A11" s="13"/>
      <c r="B11" s="13" t="s">
        <v>413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  <c r="K11" s="14">
        <v>0</v>
      </c>
      <c r="L11" s="14">
        <v>0</v>
      </c>
      <c r="M11" s="13"/>
    </row>
    <row r="12" spans="1:13">
      <c r="A12" s="7"/>
      <c r="B12" s="7" t="s">
        <v>67</v>
      </c>
      <c r="C12" s="7"/>
      <c r="D12" s="7"/>
      <c r="E12" s="7"/>
      <c r="F12" s="7"/>
      <c r="G12" s="15">
        <v>0</v>
      </c>
      <c r="H12" s="7"/>
      <c r="I12" s="15">
        <v>0</v>
      </c>
      <c r="J12" s="7"/>
      <c r="K12" s="15">
        <v>0</v>
      </c>
      <c r="L12" s="15">
        <v>0</v>
      </c>
      <c r="M12" s="7"/>
    </row>
    <row r="13" spans="1:13">
      <c r="A13" s="7"/>
      <c r="B13" s="7" t="s">
        <v>414</v>
      </c>
      <c r="C13" s="7"/>
      <c r="D13" s="7"/>
      <c r="E13" s="7"/>
      <c r="F13" s="7"/>
      <c r="G13" s="15">
        <v>0</v>
      </c>
      <c r="H13" s="7"/>
      <c r="I13" s="15">
        <v>0</v>
      </c>
      <c r="J13" s="7"/>
      <c r="K13" s="15">
        <v>0</v>
      </c>
      <c r="L13" s="15">
        <v>0</v>
      </c>
      <c r="M13" s="7"/>
    </row>
    <row r="14" spans="1:13">
      <c r="A14" s="7"/>
      <c r="B14" s="7" t="s">
        <v>415</v>
      </c>
      <c r="C14" s="7"/>
      <c r="D14" s="7"/>
      <c r="E14" s="7"/>
      <c r="F14" s="7"/>
      <c r="G14" s="15">
        <v>0</v>
      </c>
      <c r="H14" s="7"/>
      <c r="I14" s="15">
        <v>0</v>
      </c>
      <c r="J14" s="7"/>
      <c r="K14" s="15">
        <v>0</v>
      </c>
      <c r="L14" s="15">
        <v>0</v>
      </c>
      <c r="M14" s="7"/>
    </row>
    <row r="15" spans="1:13">
      <c r="A15" s="7"/>
      <c r="B15" s="7" t="s">
        <v>416</v>
      </c>
      <c r="C15" s="7"/>
      <c r="D15" s="7"/>
      <c r="E15" s="7"/>
      <c r="F15" s="7"/>
      <c r="G15" s="15">
        <v>0</v>
      </c>
      <c r="H15" s="7"/>
      <c r="I15" s="15">
        <v>0</v>
      </c>
      <c r="J15" s="7"/>
      <c r="K15" s="15">
        <v>0</v>
      </c>
      <c r="L15" s="15">
        <v>0</v>
      </c>
      <c r="M15" s="7"/>
    </row>
    <row r="16" spans="1:13">
      <c r="A16" s="7"/>
      <c r="B16" s="7" t="s">
        <v>398</v>
      </c>
      <c r="C16" s="7"/>
      <c r="D16" s="7"/>
      <c r="E16" s="7"/>
      <c r="F16" s="7"/>
      <c r="G16" s="15">
        <v>0</v>
      </c>
      <c r="H16" s="7"/>
      <c r="I16" s="15">
        <v>0</v>
      </c>
      <c r="J16" s="7"/>
      <c r="K16" s="15">
        <v>0</v>
      </c>
      <c r="L16" s="15">
        <v>0</v>
      </c>
      <c r="M16" s="7"/>
    </row>
    <row r="17" spans="1:13">
      <c r="A17" s="7"/>
      <c r="B17" s="7" t="s">
        <v>80</v>
      </c>
      <c r="C17" s="7"/>
      <c r="D17" s="7"/>
      <c r="E17" s="7"/>
      <c r="F17" s="7"/>
      <c r="G17" s="15">
        <v>0</v>
      </c>
      <c r="H17" s="7"/>
      <c r="I17" s="15">
        <v>0</v>
      </c>
      <c r="J17" s="7"/>
      <c r="K17" s="15">
        <v>0</v>
      </c>
      <c r="L17" s="15">
        <v>0</v>
      </c>
      <c r="M17" s="7"/>
    </row>
    <row r="18" spans="1:13">
      <c r="A18" s="7"/>
      <c r="B18" s="7" t="s">
        <v>414</v>
      </c>
      <c r="C18" s="7"/>
      <c r="D18" s="7"/>
      <c r="E18" s="7"/>
      <c r="F18" s="7"/>
      <c r="G18" s="15">
        <v>0</v>
      </c>
      <c r="H18" s="7"/>
      <c r="I18" s="15">
        <v>0</v>
      </c>
      <c r="J18" s="7"/>
      <c r="K18" s="15">
        <v>0</v>
      </c>
      <c r="L18" s="15">
        <v>0</v>
      </c>
      <c r="M18" s="7"/>
    </row>
    <row r="19" spans="1:13">
      <c r="A19" s="7"/>
      <c r="B19" s="7" t="s">
        <v>417</v>
      </c>
      <c r="C19" s="7"/>
      <c r="D19" s="7"/>
      <c r="E19" s="7"/>
      <c r="F19" s="7"/>
      <c r="G19" s="15">
        <v>0</v>
      </c>
      <c r="H19" s="7"/>
      <c r="I19" s="15">
        <v>0</v>
      </c>
      <c r="J19" s="7"/>
      <c r="K19" s="15">
        <v>0</v>
      </c>
      <c r="L19" s="15">
        <v>0</v>
      </c>
      <c r="M19" s="7"/>
    </row>
    <row r="20" spans="1:13">
      <c r="A20" s="7"/>
      <c r="B20" s="7" t="s">
        <v>416</v>
      </c>
      <c r="C20" s="7"/>
      <c r="D20" s="7"/>
      <c r="E20" s="7"/>
      <c r="F20" s="7"/>
      <c r="G20" s="15">
        <v>0</v>
      </c>
      <c r="H20" s="7"/>
      <c r="I20" s="15">
        <v>0</v>
      </c>
      <c r="J20" s="7"/>
      <c r="K20" s="15">
        <v>0</v>
      </c>
      <c r="L20" s="15">
        <v>0</v>
      </c>
      <c r="M20" s="7"/>
    </row>
    <row r="21" spans="1:13">
      <c r="A21" s="7"/>
      <c r="B21" s="7" t="s">
        <v>418</v>
      </c>
      <c r="C21" s="7"/>
      <c r="D21" s="7"/>
      <c r="E21" s="7"/>
      <c r="F21" s="7"/>
      <c r="G21" s="15">
        <v>0</v>
      </c>
      <c r="H21" s="7"/>
      <c r="I21" s="15">
        <v>0</v>
      </c>
      <c r="J21" s="7"/>
      <c r="K21" s="15">
        <v>0</v>
      </c>
      <c r="L21" s="15">
        <v>0</v>
      </c>
      <c r="M21" s="7"/>
    </row>
    <row r="22" spans="1:13">
      <c r="A22" s="7"/>
      <c r="B22" s="7" t="s">
        <v>398</v>
      </c>
      <c r="C22" s="7"/>
      <c r="D22" s="7"/>
      <c r="E22" s="7"/>
      <c r="F22" s="7"/>
      <c r="G22" s="15">
        <v>0</v>
      </c>
      <c r="H22" s="7"/>
      <c r="I22" s="15">
        <v>0</v>
      </c>
      <c r="J22" s="7"/>
      <c r="K22" s="15">
        <v>0</v>
      </c>
      <c r="L22" s="15">
        <v>0</v>
      </c>
      <c r="M22" s="7"/>
    </row>
    <row r="23" spans="1:13">
      <c r="A23" s="13"/>
      <c r="B23" s="19" t="s">
        <v>83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>
      <c r="A24" s="13"/>
      <c r="B24" s="19" t="s">
        <v>126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>
      <c r="A25" s="3" t="s">
        <v>44</v>
      </c>
      <c r="B25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2:L16"/>
  <sheetViews>
    <sheetView rightToLeft="1" workbookViewId="0"/>
  </sheetViews>
  <sheetFormatPr defaultRowHeight="12.75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4" style="1"/>
    <col min="11" max="11" width="23" style="1"/>
    <col min="12" max="12" width="2" style="1"/>
  </cols>
  <sheetData>
    <row r="2" spans="1:12">
      <c r="B2" s="2" t="s">
        <v>0</v>
      </c>
    </row>
    <row r="3" spans="1:12">
      <c r="B3" s="2" t="s">
        <v>1</v>
      </c>
    </row>
    <row r="4" spans="1:12">
      <c r="B4" s="3" t="s">
        <v>2</v>
      </c>
    </row>
    <row r="5" spans="1:12">
      <c r="B5" s="3" t="s">
        <v>3</v>
      </c>
    </row>
    <row r="6" spans="1:12">
      <c r="A6" s="4"/>
      <c r="B6" s="12" t="s">
        <v>84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4"/>
      <c r="B7" s="12" t="s">
        <v>419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A8" s="4"/>
      <c r="B8" s="4" t="s">
        <v>412</v>
      </c>
      <c r="C8" s="4" t="s">
        <v>48</v>
      </c>
      <c r="D8" s="4" t="s">
        <v>86</v>
      </c>
      <c r="E8" s="4" t="s">
        <v>129</v>
      </c>
      <c r="F8" s="4" t="s">
        <v>52</v>
      </c>
      <c r="G8" s="4" t="s">
        <v>88</v>
      </c>
      <c r="H8" s="4" t="s">
        <v>89</v>
      </c>
      <c r="I8" s="4" t="s">
        <v>55</v>
      </c>
      <c r="J8" s="4" t="s">
        <v>56</v>
      </c>
      <c r="K8" s="4" t="s">
        <v>91</v>
      </c>
      <c r="L8" s="4"/>
    </row>
    <row r="9" spans="1:12">
      <c r="A9" s="4"/>
      <c r="B9" s="4"/>
      <c r="C9" s="4"/>
      <c r="D9" s="4"/>
      <c r="E9" s="4"/>
      <c r="F9" s="4"/>
      <c r="G9" s="4" t="s">
        <v>93</v>
      </c>
      <c r="H9" s="4" t="s">
        <v>94</v>
      </c>
      <c r="I9" s="4"/>
      <c r="J9" s="4" t="s">
        <v>8</v>
      </c>
      <c r="K9" s="4" t="s">
        <v>8</v>
      </c>
      <c r="L9" s="4"/>
    </row>
    <row r="10" spans="1:12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4"/>
    </row>
    <row r="11" spans="1:12">
      <c r="A11" s="13"/>
      <c r="B11" s="13" t="s">
        <v>420</v>
      </c>
      <c r="C11" s="13"/>
      <c r="D11" s="13"/>
      <c r="E11" s="13"/>
      <c r="F11" s="13"/>
      <c r="G11" s="14">
        <v>0</v>
      </c>
      <c r="H11" s="13"/>
      <c r="I11" s="14">
        <v>0</v>
      </c>
      <c r="J11" s="14">
        <v>0</v>
      </c>
      <c r="K11" s="14">
        <v>0</v>
      </c>
      <c r="L11" s="13"/>
    </row>
    <row r="12" spans="1:12">
      <c r="A12" s="7"/>
      <c r="B12" s="7" t="s">
        <v>67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15">
        <v>0</v>
      </c>
      <c r="L12" s="7"/>
    </row>
    <row r="13" spans="1:12">
      <c r="A13" s="7"/>
      <c r="B13" s="7" t="s">
        <v>80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15">
        <v>0</v>
      </c>
      <c r="L13" s="7"/>
    </row>
    <row r="14" spans="1:12">
      <c r="A14" s="13"/>
      <c r="B14" s="19" t="s">
        <v>83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>
      <c r="A15" s="13"/>
      <c r="B15" s="19" t="s">
        <v>126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>
      <c r="A16" s="3" t="s">
        <v>44</v>
      </c>
      <c r="B1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2:R22"/>
  <sheetViews>
    <sheetView rightToLeft="1" workbookViewId="0"/>
  </sheetViews>
  <sheetFormatPr defaultRowHeight="12.75"/>
  <cols>
    <col min="1" max="1" width="2" style="1"/>
    <col min="2" max="2" width="34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4" style="1"/>
    <col min="12" max="12" width="10" style="1"/>
    <col min="13" max="13" width="8" style="1"/>
    <col min="14" max="14" width="10" style="1"/>
    <col min="15" max="15" width="22" style="1"/>
    <col min="16" max="16" width="24" style="1"/>
    <col min="17" max="17" width="23" style="1"/>
    <col min="18" max="18" width="2" style="1"/>
  </cols>
  <sheetData>
    <row r="2" spans="1:18">
      <c r="B2" s="2" t="s">
        <v>0</v>
      </c>
    </row>
    <row r="3" spans="1:18">
      <c r="B3" s="2" t="s">
        <v>1</v>
      </c>
    </row>
    <row r="4" spans="1:18">
      <c r="B4" s="3" t="s">
        <v>2</v>
      </c>
    </row>
    <row r="5" spans="1:18">
      <c r="B5" s="3" t="s">
        <v>3</v>
      </c>
    </row>
    <row r="6" spans="1:18">
      <c r="A6" s="4"/>
      <c r="B6" s="12" t="s">
        <v>84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>
      <c r="A7" s="4"/>
      <c r="B7" s="12" t="s">
        <v>421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>
      <c r="A8" s="4"/>
      <c r="B8" s="4" t="s">
        <v>141</v>
      </c>
      <c r="C8" s="4" t="s">
        <v>48</v>
      </c>
      <c r="D8" s="4" t="s">
        <v>422</v>
      </c>
      <c r="E8" s="4" t="s">
        <v>50</v>
      </c>
      <c r="F8" s="4" t="s">
        <v>51</v>
      </c>
      <c r="G8" s="4" t="s">
        <v>130</v>
      </c>
      <c r="H8" s="4" t="s">
        <v>87</v>
      </c>
      <c r="I8" s="4" t="s">
        <v>52</v>
      </c>
      <c r="J8" s="4" t="s">
        <v>53</v>
      </c>
      <c r="K8" s="4" t="s">
        <v>54</v>
      </c>
      <c r="L8" s="4" t="s">
        <v>88</v>
      </c>
      <c r="M8" s="4" t="s">
        <v>89</v>
      </c>
      <c r="N8" s="4" t="s">
        <v>55</v>
      </c>
      <c r="O8" s="4" t="s">
        <v>90</v>
      </c>
      <c r="P8" s="4" t="s">
        <v>56</v>
      </c>
      <c r="Q8" s="4" t="s">
        <v>91</v>
      </c>
      <c r="R8" s="4"/>
    </row>
    <row r="9" spans="1:18">
      <c r="A9" s="4"/>
      <c r="B9" s="4"/>
      <c r="C9" s="4"/>
      <c r="D9" s="4"/>
      <c r="E9" s="4"/>
      <c r="F9" s="4"/>
      <c r="G9" s="4"/>
      <c r="H9" s="4" t="s">
        <v>92</v>
      </c>
      <c r="I9" s="4"/>
      <c r="J9" s="4" t="s">
        <v>8</v>
      </c>
      <c r="K9" s="4" t="s">
        <v>8</v>
      </c>
      <c r="L9" s="4" t="s">
        <v>93</v>
      </c>
      <c r="M9" s="4" t="s">
        <v>94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12" t="s">
        <v>65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131</v>
      </c>
      <c r="R10" s="4"/>
    </row>
    <row r="11" spans="1:18">
      <c r="A11" s="13"/>
      <c r="B11" s="13" t="s">
        <v>423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4">
        <v>0</v>
      </c>
      <c r="M11" s="13"/>
      <c r="N11" s="14">
        <v>0</v>
      </c>
      <c r="O11" s="13"/>
      <c r="P11" s="14">
        <v>0</v>
      </c>
      <c r="Q11" s="14">
        <v>0</v>
      </c>
      <c r="R11" s="13"/>
    </row>
    <row r="12" spans="1:18">
      <c r="A12" s="7"/>
      <c r="B12" s="7" t="s">
        <v>67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15">
        <v>0</v>
      </c>
      <c r="M12" s="7"/>
      <c r="N12" s="15">
        <v>0</v>
      </c>
      <c r="O12" s="7"/>
      <c r="P12" s="15">
        <v>0</v>
      </c>
      <c r="Q12" s="15">
        <v>0</v>
      </c>
      <c r="R12" s="7"/>
    </row>
    <row r="13" spans="1:18">
      <c r="A13" s="7"/>
      <c r="B13" s="7" t="s">
        <v>424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15">
        <v>0</v>
      </c>
      <c r="M13" s="7"/>
      <c r="N13" s="15">
        <v>0</v>
      </c>
      <c r="O13" s="7"/>
      <c r="P13" s="15">
        <v>0</v>
      </c>
      <c r="Q13" s="15">
        <v>0</v>
      </c>
      <c r="R13" s="7"/>
    </row>
    <row r="14" spans="1:18">
      <c r="A14" s="7"/>
      <c r="B14" s="7" t="s">
        <v>425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15">
        <v>0</v>
      </c>
      <c r="M14" s="7"/>
      <c r="N14" s="15">
        <v>0</v>
      </c>
      <c r="O14" s="7"/>
      <c r="P14" s="15">
        <v>0</v>
      </c>
      <c r="Q14" s="15">
        <v>0</v>
      </c>
      <c r="R14" s="7"/>
    </row>
    <row r="15" spans="1:18">
      <c r="A15" s="7"/>
      <c r="B15" s="7" t="s">
        <v>426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15">
        <v>0</v>
      </c>
      <c r="M15" s="7"/>
      <c r="N15" s="15">
        <v>0</v>
      </c>
      <c r="O15" s="7"/>
      <c r="P15" s="15">
        <v>0</v>
      </c>
      <c r="Q15" s="15">
        <v>0</v>
      </c>
      <c r="R15" s="7"/>
    </row>
    <row r="16" spans="1:18">
      <c r="A16" s="7"/>
      <c r="B16" s="7" t="s">
        <v>80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15">
        <v>0</v>
      </c>
      <c r="L16" s="15">
        <v>0</v>
      </c>
      <c r="M16" s="7"/>
      <c r="N16" s="15">
        <v>0</v>
      </c>
      <c r="O16" s="7"/>
      <c r="P16" s="15">
        <v>0</v>
      </c>
      <c r="Q16" s="15">
        <v>0</v>
      </c>
      <c r="R16" s="7"/>
    </row>
    <row r="17" spans="1:18">
      <c r="A17" s="7"/>
      <c r="B17" s="7" t="s">
        <v>424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15">
        <v>0</v>
      </c>
      <c r="M17" s="7"/>
      <c r="N17" s="15">
        <v>0</v>
      </c>
      <c r="O17" s="7"/>
      <c r="P17" s="15">
        <v>0</v>
      </c>
      <c r="Q17" s="15">
        <v>0</v>
      </c>
      <c r="R17" s="7"/>
    </row>
    <row r="18" spans="1:18">
      <c r="A18" s="7"/>
      <c r="B18" s="7" t="s">
        <v>425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15">
        <v>0</v>
      </c>
      <c r="M18" s="7"/>
      <c r="N18" s="15">
        <v>0</v>
      </c>
      <c r="O18" s="7"/>
      <c r="P18" s="15">
        <v>0</v>
      </c>
      <c r="Q18" s="15">
        <v>0</v>
      </c>
      <c r="R18" s="7"/>
    </row>
    <row r="19" spans="1:18">
      <c r="A19" s="7"/>
      <c r="B19" s="7" t="s">
        <v>427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15">
        <v>0</v>
      </c>
      <c r="M19" s="7"/>
      <c r="N19" s="15">
        <v>0</v>
      </c>
      <c r="O19" s="7"/>
      <c r="P19" s="15">
        <v>0</v>
      </c>
      <c r="Q19" s="15">
        <v>0</v>
      </c>
      <c r="R19" s="7"/>
    </row>
    <row r="20" spans="1:18">
      <c r="A20" s="13"/>
      <c r="B20" s="19" t="s">
        <v>83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>
      <c r="A21" s="13"/>
      <c r="B21" s="19" t="s">
        <v>126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>
      <c r="A22" s="3" t="s">
        <v>44</v>
      </c>
      <c r="B22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2:Q18"/>
  <sheetViews>
    <sheetView rightToLeft="1" workbookViewId="0"/>
  </sheetViews>
  <sheetFormatPr defaultRowHeight="12.75"/>
  <cols>
    <col min="1" max="1" width="2" style="1"/>
    <col min="2" max="2" width="40" style="1"/>
    <col min="3" max="3" width="11" style="1"/>
    <col min="4" max="4" width="7" style="1"/>
    <col min="5" max="5" width="9" style="1"/>
    <col min="6" max="6" width="13" style="1"/>
    <col min="7" max="7" width="6" style="1"/>
    <col min="8" max="8" width="10" style="1"/>
    <col min="9" max="9" width="13" style="1"/>
    <col min="10" max="10" width="14" style="1"/>
    <col min="11" max="11" width="10" style="1"/>
    <col min="12" max="12" width="8" style="1"/>
    <col min="13" max="13" width="11" style="1"/>
    <col min="14" max="14" width="22" style="1"/>
    <col min="15" max="15" width="24" style="1"/>
    <col min="16" max="16" width="23" style="1"/>
    <col min="17" max="17" width="2" style="1"/>
  </cols>
  <sheetData>
    <row r="2" spans="1:17">
      <c r="B2" s="2" t="s">
        <v>0</v>
      </c>
    </row>
    <row r="3" spans="1:17">
      <c r="B3" s="2" t="s">
        <v>1</v>
      </c>
    </row>
    <row r="4" spans="1:17">
      <c r="B4" s="3" t="s">
        <v>2</v>
      </c>
    </row>
    <row r="5" spans="1:17">
      <c r="B5" s="3" t="s">
        <v>3</v>
      </c>
    </row>
    <row r="6" spans="1:17">
      <c r="A6" s="4"/>
      <c r="B6" s="12" t="s">
        <v>428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>
      <c r="A7" s="4"/>
      <c r="B7" s="12" t="s">
        <v>429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>
      <c r="A8" s="4"/>
      <c r="B8" s="4" t="s">
        <v>412</v>
      </c>
      <c r="C8" s="4" t="s">
        <v>48</v>
      </c>
      <c r="D8" s="4" t="s">
        <v>50</v>
      </c>
      <c r="E8" s="4" t="s">
        <v>51</v>
      </c>
      <c r="F8" s="4" t="s">
        <v>130</v>
      </c>
      <c r="G8" s="4" t="s">
        <v>87</v>
      </c>
      <c r="H8" s="4" t="s">
        <v>52</v>
      </c>
      <c r="I8" s="4" t="s">
        <v>53</v>
      </c>
      <c r="J8" s="4" t="s">
        <v>54</v>
      </c>
      <c r="K8" s="4" t="s">
        <v>88</v>
      </c>
      <c r="L8" s="4" t="s">
        <v>89</v>
      </c>
      <c r="M8" s="4" t="s">
        <v>5</v>
      </c>
      <c r="N8" s="4" t="s">
        <v>90</v>
      </c>
      <c r="O8" s="4" t="s">
        <v>56</v>
      </c>
      <c r="P8" s="4" t="s">
        <v>91</v>
      </c>
      <c r="Q8" s="4"/>
    </row>
    <row r="9" spans="1:17">
      <c r="A9" s="4"/>
      <c r="B9" s="4"/>
      <c r="C9" s="4"/>
      <c r="D9" s="4"/>
      <c r="E9" s="4"/>
      <c r="F9" s="4" t="s">
        <v>430</v>
      </c>
      <c r="G9" s="4" t="s">
        <v>92</v>
      </c>
      <c r="H9" s="4"/>
      <c r="I9" s="4" t="s">
        <v>8</v>
      </c>
      <c r="J9" s="4" t="s">
        <v>8</v>
      </c>
      <c r="K9" s="4" t="s">
        <v>93</v>
      </c>
      <c r="L9" s="4" t="s">
        <v>94</v>
      </c>
      <c r="M9" s="4" t="s">
        <v>7</v>
      </c>
      <c r="N9" s="4" t="s">
        <v>8</v>
      </c>
      <c r="O9" s="4" t="s">
        <v>8</v>
      </c>
      <c r="P9" s="4" t="s">
        <v>8</v>
      </c>
      <c r="Q9" s="4"/>
    </row>
    <row r="10" spans="1:17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12" t="s">
        <v>65</v>
      </c>
      <c r="M10" s="12" t="s">
        <v>95</v>
      </c>
      <c r="N10" s="12" t="s">
        <v>96</v>
      </c>
      <c r="O10" s="12" t="s">
        <v>97</v>
      </c>
      <c r="P10" s="12" t="s">
        <v>98</v>
      </c>
      <c r="Q10" s="4"/>
    </row>
    <row r="11" spans="1:17">
      <c r="A11" s="13"/>
      <c r="B11" s="13" t="s">
        <v>431</v>
      </c>
      <c r="C11" s="13"/>
      <c r="D11" s="13"/>
      <c r="E11" s="13"/>
      <c r="F11" s="13"/>
      <c r="G11" s="14">
        <v>0</v>
      </c>
      <c r="H11" s="13"/>
      <c r="I11" s="14">
        <v>0</v>
      </c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>
      <c r="A12" s="7"/>
      <c r="B12" s="7" t="s">
        <v>67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>
      <c r="A13" s="7"/>
      <c r="B13" s="7" t="s">
        <v>80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>
      <c r="A14" s="7"/>
      <c r="B14" s="7" t="s">
        <v>124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>
      <c r="A15" s="7"/>
      <c r="B15" s="7" t="s">
        <v>432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>
      <c r="A16" s="13"/>
      <c r="B16" s="19" t="s">
        <v>83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13"/>
      <c r="B17" s="19" t="s">
        <v>126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>
      <c r="A18" s="3" t="s">
        <v>44</v>
      </c>
      <c r="B18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2:T22"/>
  <sheetViews>
    <sheetView rightToLeft="1" workbookViewId="0"/>
  </sheetViews>
  <sheetFormatPr defaultRowHeight="12.75"/>
  <cols>
    <col min="1" max="1" width="2" style="1"/>
    <col min="2" max="2" width="43" style="1"/>
    <col min="3" max="4" width="11" style="1"/>
    <col min="5" max="5" width="12" style="1"/>
    <col min="6" max="6" width="10" style="1"/>
    <col min="7" max="7" width="7" style="1"/>
    <col min="8" max="8" width="9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0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2" style="1"/>
  </cols>
  <sheetData>
    <row r="2" spans="1:20">
      <c r="B2" s="2" t="s">
        <v>0</v>
      </c>
    </row>
    <row r="3" spans="1:20">
      <c r="B3" s="2" t="s">
        <v>1</v>
      </c>
    </row>
    <row r="4" spans="1:20">
      <c r="B4" s="3" t="s">
        <v>2</v>
      </c>
    </row>
    <row r="5" spans="1:20">
      <c r="B5" s="3" t="s">
        <v>3</v>
      </c>
    </row>
    <row r="6" spans="1:20">
      <c r="A6" s="4"/>
      <c r="B6" s="12" t="s">
        <v>428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>
      <c r="A7" s="4"/>
      <c r="B7" s="12" t="s">
        <v>433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>
      <c r="A8" s="4"/>
      <c r="B8" s="4" t="s">
        <v>141</v>
      </c>
      <c r="C8" s="4" t="s">
        <v>48</v>
      </c>
      <c r="D8" s="4" t="s">
        <v>128</v>
      </c>
      <c r="E8" s="4" t="s">
        <v>49</v>
      </c>
      <c r="F8" s="4" t="s">
        <v>129</v>
      </c>
      <c r="G8" s="4" t="s">
        <v>50</v>
      </c>
      <c r="H8" s="4" t="s">
        <v>51</v>
      </c>
      <c r="I8" s="4" t="s">
        <v>130</v>
      </c>
      <c r="J8" s="4" t="s">
        <v>87</v>
      </c>
      <c r="K8" s="4" t="s">
        <v>52</v>
      </c>
      <c r="L8" s="4" t="s">
        <v>53</v>
      </c>
      <c r="M8" s="4" t="s">
        <v>54</v>
      </c>
      <c r="N8" s="4" t="s">
        <v>88</v>
      </c>
      <c r="O8" s="4" t="s">
        <v>89</v>
      </c>
      <c r="P8" s="4" t="s">
        <v>5</v>
      </c>
      <c r="Q8" s="4" t="s">
        <v>90</v>
      </c>
      <c r="R8" s="4" t="s">
        <v>56</v>
      </c>
      <c r="S8" s="4" t="s">
        <v>91</v>
      </c>
      <c r="T8" s="4"/>
    </row>
    <row r="9" spans="1:20">
      <c r="A9" s="4"/>
      <c r="B9" s="4"/>
      <c r="C9" s="4"/>
      <c r="D9" s="4"/>
      <c r="E9" s="4"/>
      <c r="F9" s="4"/>
      <c r="G9" s="4"/>
      <c r="H9" s="4"/>
      <c r="I9" s="4" t="s">
        <v>430</v>
      </c>
      <c r="J9" s="4" t="s">
        <v>92</v>
      </c>
      <c r="K9" s="4"/>
      <c r="L9" s="4" t="s">
        <v>8</v>
      </c>
      <c r="M9" s="4" t="s">
        <v>8</v>
      </c>
      <c r="N9" s="4" t="s">
        <v>93</v>
      </c>
      <c r="O9" s="4" t="s">
        <v>94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12" t="s">
        <v>65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131</v>
      </c>
      <c r="R10" s="12" t="s">
        <v>132</v>
      </c>
      <c r="S10" s="12" t="s">
        <v>133</v>
      </c>
      <c r="T10" s="4"/>
    </row>
    <row r="11" spans="1:20">
      <c r="A11" s="13"/>
      <c r="B11" s="13" t="s">
        <v>135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4">
        <v>0</v>
      </c>
      <c r="N11" s="14">
        <v>0</v>
      </c>
      <c r="O11" s="13"/>
      <c r="P11" s="14">
        <v>0</v>
      </c>
      <c r="Q11" s="13"/>
      <c r="R11" s="14">
        <v>0</v>
      </c>
      <c r="S11" s="14">
        <v>0</v>
      </c>
      <c r="T11" s="13"/>
    </row>
    <row r="12" spans="1:20">
      <c r="A12" s="7"/>
      <c r="B12" s="7" t="s">
        <v>434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15">
        <v>0</v>
      </c>
      <c r="N12" s="15">
        <v>0</v>
      </c>
      <c r="O12" s="7"/>
      <c r="P12" s="15">
        <v>0</v>
      </c>
      <c r="Q12" s="7"/>
      <c r="R12" s="15">
        <v>0</v>
      </c>
      <c r="S12" s="15">
        <v>0</v>
      </c>
      <c r="T12" s="7"/>
    </row>
    <row r="13" spans="1:20">
      <c r="A13" s="7"/>
      <c r="B13" s="7" t="s">
        <v>100</v>
      </c>
      <c r="C13" s="7"/>
      <c r="D13" s="7"/>
      <c r="E13" s="7"/>
      <c r="F13" s="7"/>
      <c r="G13" s="7"/>
      <c r="H13" s="7"/>
      <c r="I13" s="7"/>
      <c r="J13" s="15">
        <v>0</v>
      </c>
      <c r="K13" s="7"/>
      <c r="L13" s="15">
        <v>0</v>
      </c>
      <c r="M13" s="15">
        <v>0</v>
      </c>
      <c r="N13" s="15">
        <v>0</v>
      </c>
      <c r="O13" s="7"/>
      <c r="P13" s="15">
        <v>0</v>
      </c>
      <c r="Q13" s="7"/>
      <c r="R13" s="15">
        <v>0</v>
      </c>
      <c r="S13" s="15">
        <v>0</v>
      </c>
      <c r="T13" s="7"/>
    </row>
    <row r="14" spans="1:20">
      <c r="A14" s="7"/>
      <c r="B14" s="7" t="s">
        <v>435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15">
        <v>0</v>
      </c>
      <c r="N14" s="15">
        <v>0</v>
      </c>
      <c r="O14" s="7"/>
      <c r="P14" s="15">
        <v>0</v>
      </c>
      <c r="Q14" s="7"/>
      <c r="R14" s="15">
        <v>0</v>
      </c>
      <c r="S14" s="15">
        <v>0</v>
      </c>
      <c r="T14" s="7"/>
    </row>
    <row r="15" spans="1:20">
      <c r="A15" s="7"/>
      <c r="B15" s="7" t="s">
        <v>436</v>
      </c>
      <c r="C15" s="7"/>
      <c r="D15" s="7"/>
      <c r="E15" s="7"/>
      <c r="F15" s="7"/>
      <c r="G15" s="7"/>
      <c r="H15" s="7"/>
      <c r="I15" s="7"/>
      <c r="J15" s="15">
        <v>0</v>
      </c>
      <c r="K15" s="7"/>
      <c r="L15" s="15">
        <v>0</v>
      </c>
      <c r="M15" s="15">
        <v>0</v>
      </c>
      <c r="N15" s="15">
        <v>0</v>
      </c>
      <c r="O15" s="7"/>
      <c r="P15" s="15">
        <v>0</v>
      </c>
      <c r="Q15" s="7"/>
      <c r="R15" s="15">
        <v>0</v>
      </c>
      <c r="S15" s="15">
        <v>0</v>
      </c>
      <c r="T15" s="7"/>
    </row>
    <row r="16" spans="1:20">
      <c r="A16" s="7"/>
      <c r="B16" s="7" t="s">
        <v>398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7"/>
      <c r="B17" s="7" t="s">
        <v>80</v>
      </c>
      <c r="C17" s="7"/>
      <c r="D17" s="7"/>
      <c r="E17" s="7"/>
      <c r="F17" s="7"/>
      <c r="G17" s="7"/>
      <c r="H17" s="7"/>
      <c r="I17" s="7"/>
      <c r="J17" s="15">
        <v>0</v>
      </c>
      <c r="K17" s="7"/>
      <c r="L17" s="15">
        <v>0</v>
      </c>
      <c r="M17" s="15">
        <v>0</v>
      </c>
      <c r="N17" s="15">
        <v>0</v>
      </c>
      <c r="O17" s="7"/>
      <c r="P17" s="15">
        <v>0</v>
      </c>
      <c r="Q17" s="7"/>
      <c r="R17" s="15">
        <v>0</v>
      </c>
      <c r="S17" s="15">
        <v>0</v>
      </c>
      <c r="T17" s="7"/>
    </row>
    <row r="18" spans="1:20">
      <c r="A18" s="7"/>
      <c r="B18" s="7" t="s">
        <v>437</v>
      </c>
      <c r="C18" s="7"/>
      <c r="D18" s="7"/>
      <c r="E18" s="7"/>
      <c r="F18" s="7"/>
      <c r="G18" s="7"/>
      <c r="H18" s="7"/>
      <c r="I18" s="7"/>
      <c r="J18" s="15">
        <v>0</v>
      </c>
      <c r="K18" s="7"/>
      <c r="L18" s="15">
        <v>0</v>
      </c>
      <c r="M18" s="15">
        <v>0</v>
      </c>
      <c r="N18" s="15">
        <v>0</v>
      </c>
      <c r="O18" s="7"/>
      <c r="P18" s="15">
        <v>0</v>
      </c>
      <c r="Q18" s="7"/>
      <c r="R18" s="15">
        <v>0</v>
      </c>
      <c r="S18" s="15">
        <v>0</v>
      </c>
      <c r="T18" s="7"/>
    </row>
    <row r="19" spans="1:20">
      <c r="A19" s="7"/>
      <c r="B19" s="7" t="s">
        <v>438</v>
      </c>
      <c r="C19" s="7"/>
      <c r="D19" s="7"/>
      <c r="E19" s="7"/>
      <c r="F19" s="7"/>
      <c r="G19" s="7"/>
      <c r="H19" s="7"/>
      <c r="I19" s="7"/>
      <c r="J19" s="15">
        <v>0</v>
      </c>
      <c r="K19" s="7"/>
      <c r="L19" s="15">
        <v>0</v>
      </c>
      <c r="M19" s="15">
        <v>0</v>
      </c>
      <c r="N19" s="15">
        <v>0</v>
      </c>
      <c r="O19" s="7"/>
      <c r="P19" s="15">
        <v>0</v>
      </c>
      <c r="Q19" s="7"/>
      <c r="R19" s="15">
        <v>0</v>
      </c>
      <c r="S19" s="15">
        <v>0</v>
      </c>
      <c r="T19" s="7"/>
    </row>
    <row r="20" spans="1:20">
      <c r="A20" s="13"/>
      <c r="B20" s="19" t="s">
        <v>83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>
      <c r="A21" s="13"/>
      <c r="B21" s="19" t="s">
        <v>126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>
      <c r="A22" s="3" t="s">
        <v>44</v>
      </c>
      <c r="B22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2:T22"/>
  <sheetViews>
    <sheetView rightToLeft="1" workbookViewId="0"/>
  </sheetViews>
  <sheetFormatPr defaultRowHeight="12.75"/>
  <cols>
    <col min="1" max="1" width="2" style="1"/>
    <col min="2" max="2" width="37" style="1"/>
    <col min="3" max="4" width="11" style="1"/>
    <col min="5" max="5" width="12" style="1"/>
    <col min="6" max="6" width="10" style="1"/>
    <col min="7" max="7" width="7" style="1"/>
    <col min="8" max="8" width="9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0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2" style="1"/>
  </cols>
  <sheetData>
    <row r="2" spans="1:20">
      <c r="B2" s="2" t="s">
        <v>0</v>
      </c>
    </row>
    <row r="3" spans="1:20">
      <c r="B3" s="2" t="s">
        <v>1</v>
      </c>
    </row>
    <row r="4" spans="1:20">
      <c r="B4" s="3" t="s">
        <v>2</v>
      </c>
    </row>
    <row r="5" spans="1:20">
      <c r="B5" s="3" t="s">
        <v>3</v>
      </c>
    </row>
    <row r="6" spans="1:20">
      <c r="A6" s="4"/>
      <c r="B6" s="12" t="s">
        <v>428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>
      <c r="A7" s="4"/>
      <c r="B7" s="12" t="s">
        <v>439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>
      <c r="A8" s="4"/>
      <c r="B8" s="4" t="s">
        <v>412</v>
      </c>
      <c r="C8" s="4" t="s">
        <v>48</v>
      </c>
      <c r="D8" s="4" t="s">
        <v>128</v>
      </c>
      <c r="E8" s="4" t="s">
        <v>49</v>
      </c>
      <c r="F8" s="4" t="s">
        <v>129</v>
      </c>
      <c r="G8" s="4" t="s">
        <v>50</v>
      </c>
      <c r="H8" s="4" t="s">
        <v>51</v>
      </c>
      <c r="I8" s="4" t="s">
        <v>130</v>
      </c>
      <c r="J8" s="4" t="s">
        <v>87</v>
      </c>
      <c r="K8" s="4" t="s">
        <v>52</v>
      </c>
      <c r="L8" s="4" t="s">
        <v>53</v>
      </c>
      <c r="M8" s="4" t="s">
        <v>54</v>
      </c>
      <c r="N8" s="4" t="s">
        <v>88</v>
      </c>
      <c r="O8" s="4" t="s">
        <v>89</v>
      </c>
      <c r="P8" s="4" t="s">
        <v>5</v>
      </c>
      <c r="Q8" s="4" t="s">
        <v>90</v>
      </c>
      <c r="R8" s="4" t="s">
        <v>56</v>
      </c>
      <c r="S8" s="4" t="s">
        <v>91</v>
      </c>
      <c r="T8" s="4"/>
    </row>
    <row r="9" spans="1:20">
      <c r="A9" s="4"/>
      <c r="B9" s="4"/>
      <c r="C9" s="4"/>
      <c r="D9" s="4"/>
      <c r="E9" s="4"/>
      <c r="F9" s="4"/>
      <c r="G9" s="4"/>
      <c r="H9" s="4"/>
      <c r="I9" s="4"/>
      <c r="J9" s="4" t="s">
        <v>92</v>
      </c>
      <c r="K9" s="4"/>
      <c r="L9" s="4" t="s">
        <v>8</v>
      </c>
      <c r="M9" s="4" t="s">
        <v>8</v>
      </c>
      <c r="N9" s="4" t="s">
        <v>93</v>
      </c>
      <c r="O9" s="4" t="s">
        <v>94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12" t="s">
        <v>65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131</v>
      </c>
      <c r="R10" s="12" t="s">
        <v>132</v>
      </c>
      <c r="S10" s="12" t="s">
        <v>133</v>
      </c>
      <c r="T10" s="4"/>
    </row>
    <row r="11" spans="1:20">
      <c r="A11" s="13"/>
      <c r="B11" s="13" t="s">
        <v>142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4">
        <v>0</v>
      </c>
      <c r="N11" s="14">
        <v>0</v>
      </c>
      <c r="O11" s="13"/>
      <c r="P11" s="14">
        <v>0</v>
      </c>
      <c r="Q11" s="13"/>
      <c r="R11" s="14">
        <v>0</v>
      </c>
      <c r="S11" s="14">
        <v>0</v>
      </c>
      <c r="T11" s="13"/>
    </row>
    <row r="12" spans="1:20">
      <c r="A12" s="7"/>
      <c r="B12" s="7" t="s">
        <v>67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15">
        <v>0</v>
      </c>
      <c r="N12" s="15">
        <v>0</v>
      </c>
      <c r="O12" s="7"/>
      <c r="P12" s="15">
        <v>0</v>
      </c>
      <c r="Q12" s="7"/>
      <c r="R12" s="15">
        <v>0</v>
      </c>
      <c r="S12" s="15">
        <v>0</v>
      </c>
      <c r="T12" s="7"/>
    </row>
    <row r="13" spans="1:20">
      <c r="A13" s="7"/>
      <c r="B13" s="7" t="s">
        <v>100</v>
      </c>
      <c r="C13" s="7"/>
      <c r="D13" s="7"/>
      <c r="E13" s="7"/>
      <c r="F13" s="7"/>
      <c r="G13" s="7"/>
      <c r="H13" s="7"/>
      <c r="I13" s="7"/>
      <c r="J13" s="15">
        <v>0</v>
      </c>
      <c r="K13" s="7"/>
      <c r="L13" s="15">
        <v>0</v>
      </c>
      <c r="M13" s="15">
        <v>0</v>
      </c>
      <c r="N13" s="15">
        <v>0</v>
      </c>
      <c r="O13" s="7"/>
      <c r="P13" s="15">
        <v>0</v>
      </c>
      <c r="Q13" s="7"/>
      <c r="R13" s="15">
        <v>0</v>
      </c>
      <c r="S13" s="15">
        <v>0</v>
      </c>
      <c r="T13" s="7"/>
    </row>
    <row r="14" spans="1:20">
      <c r="A14" s="7"/>
      <c r="B14" s="7" t="s">
        <v>112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15">
        <v>0</v>
      </c>
      <c r="N14" s="15">
        <v>0</v>
      </c>
      <c r="O14" s="7"/>
      <c r="P14" s="15">
        <v>0</v>
      </c>
      <c r="Q14" s="7"/>
      <c r="R14" s="15">
        <v>0</v>
      </c>
      <c r="S14" s="15">
        <v>0</v>
      </c>
      <c r="T14" s="7"/>
    </row>
    <row r="15" spans="1:20">
      <c r="A15" s="7"/>
      <c r="B15" s="7" t="s">
        <v>436</v>
      </c>
      <c r="C15" s="7"/>
      <c r="D15" s="7"/>
      <c r="E15" s="7"/>
      <c r="F15" s="7"/>
      <c r="G15" s="7"/>
      <c r="H15" s="7"/>
      <c r="I15" s="7"/>
      <c r="J15" s="15">
        <v>0</v>
      </c>
      <c r="K15" s="7"/>
      <c r="L15" s="15">
        <v>0</v>
      </c>
      <c r="M15" s="15">
        <v>0</v>
      </c>
      <c r="N15" s="15">
        <v>0</v>
      </c>
      <c r="O15" s="7"/>
      <c r="P15" s="15">
        <v>0</v>
      </c>
      <c r="Q15" s="7"/>
      <c r="R15" s="15">
        <v>0</v>
      </c>
      <c r="S15" s="15">
        <v>0</v>
      </c>
      <c r="T15" s="7"/>
    </row>
    <row r="16" spans="1:20">
      <c r="A16" s="7"/>
      <c r="B16" s="7" t="s">
        <v>398</v>
      </c>
      <c r="C16" s="7"/>
      <c r="D16" s="7"/>
      <c r="E16" s="7"/>
      <c r="F16" s="7"/>
      <c r="G16" s="7"/>
      <c r="H16" s="7"/>
      <c r="I16" s="7"/>
      <c r="J16" s="15">
        <v>0</v>
      </c>
      <c r="K16" s="7"/>
      <c r="L16" s="15">
        <v>0</v>
      </c>
      <c r="M16" s="15">
        <v>0</v>
      </c>
      <c r="N16" s="15">
        <v>0</v>
      </c>
      <c r="O16" s="7"/>
      <c r="P16" s="15">
        <v>0</v>
      </c>
      <c r="Q16" s="7"/>
      <c r="R16" s="15">
        <v>0</v>
      </c>
      <c r="S16" s="15">
        <v>0</v>
      </c>
      <c r="T16" s="7"/>
    </row>
    <row r="17" spans="1:20">
      <c r="A17" s="7"/>
      <c r="B17" s="7" t="s">
        <v>440</v>
      </c>
      <c r="C17" s="7"/>
      <c r="D17" s="7"/>
      <c r="E17" s="7"/>
      <c r="F17" s="7"/>
      <c r="G17" s="7"/>
      <c r="H17" s="7"/>
      <c r="I17" s="7"/>
      <c r="J17" s="15">
        <v>0</v>
      </c>
      <c r="K17" s="7"/>
      <c r="L17" s="15">
        <v>0</v>
      </c>
      <c r="M17" s="15">
        <v>0</v>
      </c>
      <c r="N17" s="15">
        <v>0</v>
      </c>
      <c r="O17" s="7"/>
      <c r="P17" s="15">
        <v>0</v>
      </c>
      <c r="Q17" s="7"/>
      <c r="R17" s="15">
        <v>0</v>
      </c>
      <c r="S17" s="15">
        <v>0</v>
      </c>
      <c r="T17" s="7"/>
    </row>
    <row r="18" spans="1:20">
      <c r="A18" s="7"/>
      <c r="B18" s="7" t="s">
        <v>441</v>
      </c>
      <c r="C18" s="7"/>
      <c r="D18" s="7"/>
      <c r="E18" s="7"/>
      <c r="F18" s="7"/>
      <c r="G18" s="7"/>
      <c r="H18" s="7"/>
      <c r="I18" s="7"/>
      <c r="J18" s="15">
        <v>0</v>
      </c>
      <c r="K18" s="7"/>
      <c r="L18" s="15">
        <v>0</v>
      </c>
      <c r="M18" s="15">
        <v>0</v>
      </c>
      <c r="N18" s="15">
        <v>0</v>
      </c>
      <c r="O18" s="7"/>
      <c r="P18" s="15">
        <v>0</v>
      </c>
      <c r="Q18" s="7"/>
      <c r="R18" s="15">
        <v>0</v>
      </c>
      <c r="S18" s="15">
        <v>0</v>
      </c>
      <c r="T18" s="7"/>
    </row>
    <row r="19" spans="1:20">
      <c r="A19" s="7"/>
      <c r="B19" s="7" t="s">
        <v>442</v>
      </c>
      <c r="C19" s="7"/>
      <c r="D19" s="7"/>
      <c r="E19" s="7"/>
      <c r="F19" s="7"/>
      <c r="G19" s="7"/>
      <c r="H19" s="7"/>
      <c r="I19" s="7"/>
      <c r="J19" s="15">
        <v>0</v>
      </c>
      <c r="K19" s="7"/>
      <c r="L19" s="15">
        <v>0</v>
      </c>
      <c r="M19" s="15">
        <v>0</v>
      </c>
      <c r="N19" s="15">
        <v>0</v>
      </c>
      <c r="O19" s="7"/>
      <c r="P19" s="15">
        <v>0</v>
      </c>
      <c r="Q19" s="7"/>
      <c r="R19" s="15">
        <v>0</v>
      </c>
      <c r="S19" s="15">
        <v>0</v>
      </c>
      <c r="T19" s="7"/>
    </row>
    <row r="20" spans="1:20">
      <c r="A20" s="13"/>
      <c r="B20" s="19" t="s">
        <v>83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>
      <c r="A21" s="13"/>
      <c r="B21" s="19" t="s">
        <v>126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>
      <c r="A22" s="3" t="s">
        <v>443</v>
      </c>
      <c r="B22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>
  <dimension ref="A2:N18"/>
  <sheetViews>
    <sheetView rightToLeft="1" workbookViewId="0"/>
  </sheetViews>
  <sheetFormatPr defaultRowHeight="12.75"/>
  <cols>
    <col min="1" max="1" width="2" style="1"/>
    <col min="2" max="2" width="34" style="1"/>
    <col min="3" max="4" width="11" style="1"/>
    <col min="5" max="5" width="12" style="1"/>
    <col min="6" max="8" width="10" style="1"/>
    <col min="9" max="9" width="8" style="1"/>
    <col min="10" max="10" width="10" style="1"/>
    <col min="11" max="11" width="22" style="1"/>
    <col min="12" max="12" width="24" style="1"/>
    <col min="13" max="13" width="23" style="1"/>
    <col min="14" max="14" width="2" style="1"/>
  </cols>
  <sheetData>
    <row r="2" spans="1:14">
      <c r="B2" s="2" t="s">
        <v>0</v>
      </c>
    </row>
    <row r="3" spans="1:14">
      <c r="B3" s="2" t="s">
        <v>1</v>
      </c>
    </row>
    <row r="4" spans="1:14">
      <c r="B4" s="3" t="s">
        <v>2</v>
      </c>
    </row>
    <row r="5" spans="1:14">
      <c r="B5" s="3" t="s">
        <v>3</v>
      </c>
    </row>
    <row r="6" spans="1:14">
      <c r="A6" s="4"/>
      <c r="B6" s="12" t="s">
        <v>428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12" t="s">
        <v>384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/>
      <c r="B8" s="4" t="s">
        <v>412</v>
      </c>
      <c r="C8" s="4" t="s">
        <v>48</v>
      </c>
      <c r="D8" s="4" t="s">
        <v>128</v>
      </c>
      <c r="E8" s="4" t="s">
        <v>49</v>
      </c>
      <c r="F8" s="4" t="s">
        <v>129</v>
      </c>
      <c r="G8" s="4" t="s">
        <v>52</v>
      </c>
      <c r="H8" s="4" t="s">
        <v>88</v>
      </c>
      <c r="I8" s="4" t="s">
        <v>89</v>
      </c>
      <c r="J8" s="4" t="s">
        <v>55</v>
      </c>
      <c r="K8" s="4" t="s">
        <v>90</v>
      </c>
      <c r="L8" s="4" t="s">
        <v>56</v>
      </c>
      <c r="M8" s="4" t="s">
        <v>91</v>
      </c>
      <c r="N8" s="4"/>
    </row>
    <row r="9" spans="1:14">
      <c r="A9" s="4"/>
      <c r="B9" s="4"/>
      <c r="C9" s="4"/>
      <c r="D9" s="4"/>
      <c r="E9" s="4"/>
      <c r="F9" s="4"/>
      <c r="G9" s="4"/>
      <c r="H9" s="4" t="s">
        <v>93</v>
      </c>
      <c r="I9" s="4" t="s">
        <v>94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12" t="s">
        <v>65</v>
      </c>
      <c r="M10" s="12" t="s">
        <v>95</v>
      </c>
      <c r="N10" s="4"/>
    </row>
    <row r="11" spans="1:14">
      <c r="A11" s="13"/>
      <c r="B11" s="13" t="s">
        <v>385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3"/>
      <c r="L11" s="14">
        <v>0</v>
      </c>
      <c r="M11" s="14">
        <v>0</v>
      </c>
      <c r="N11" s="13"/>
    </row>
    <row r="12" spans="1:14">
      <c r="A12" s="7"/>
      <c r="B12" s="7" t="s">
        <v>67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7"/>
      <c r="L12" s="15">
        <v>0</v>
      </c>
      <c r="M12" s="15">
        <v>0</v>
      </c>
      <c r="N12" s="7"/>
    </row>
    <row r="13" spans="1:14">
      <c r="A13" s="7"/>
      <c r="B13" s="7" t="s">
        <v>80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7"/>
      <c r="L13" s="15">
        <v>0</v>
      </c>
      <c r="M13" s="15">
        <v>0</v>
      </c>
      <c r="N13" s="7"/>
    </row>
    <row r="14" spans="1:14">
      <c r="A14" s="7"/>
      <c r="B14" s="7" t="s">
        <v>139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7"/>
      <c r="L14" s="15">
        <v>0</v>
      </c>
      <c r="M14" s="15">
        <v>0</v>
      </c>
      <c r="N14" s="7"/>
    </row>
    <row r="15" spans="1:14">
      <c r="A15" s="7"/>
      <c r="B15" s="7" t="s">
        <v>138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7"/>
      <c r="L15" s="15">
        <v>0</v>
      </c>
      <c r="M15" s="15">
        <v>0</v>
      </c>
      <c r="N15" s="7"/>
    </row>
    <row r="16" spans="1:14">
      <c r="A16" s="13"/>
      <c r="B16" s="19" t="s">
        <v>83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>
      <c r="A17" s="13"/>
      <c r="B17" s="19" t="s">
        <v>126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>
      <c r="A18" s="3" t="s">
        <v>443</v>
      </c>
      <c r="B18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>
  <dimension ref="A2:L24"/>
  <sheetViews>
    <sheetView rightToLeft="1" workbookViewId="0"/>
  </sheetViews>
  <sheetFormatPr defaultRowHeight="12.75"/>
  <cols>
    <col min="1" max="1" width="2" style="1"/>
    <col min="2" max="2" width="34" style="1"/>
    <col min="3" max="3" width="11" style="1"/>
    <col min="4" max="4" width="10" style="1"/>
    <col min="5" max="5" width="13" style="1"/>
    <col min="6" max="6" width="10" style="1"/>
    <col min="7" max="7" width="8" style="1"/>
    <col min="8" max="8" width="11" style="1"/>
    <col min="9" max="9" width="22" style="1"/>
    <col min="10" max="10" width="24" style="1"/>
    <col min="11" max="11" width="23" style="1"/>
    <col min="12" max="12" width="2" style="1"/>
  </cols>
  <sheetData>
    <row r="2" spans="1:12">
      <c r="B2" s="2" t="s">
        <v>0</v>
      </c>
    </row>
    <row r="3" spans="1:12">
      <c r="B3" s="2" t="s">
        <v>1</v>
      </c>
    </row>
    <row r="4" spans="1:12">
      <c r="B4" s="3" t="s">
        <v>2</v>
      </c>
    </row>
    <row r="5" spans="1:12">
      <c r="B5" s="3" t="s">
        <v>3</v>
      </c>
    </row>
    <row r="6" spans="1:12">
      <c r="A6" s="4"/>
      <c r="B6" s="12" t="s">
        <v>428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4"/>
      <c r="B7" s="12" t="s">
        <v>444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A8" s="4"/>
      <c r="B8" s="4" t="s">
        <v>141</v>
      </c>
      <c r="C8" s="4" t="s">
        <v>48</v>
      </c>
      <c r="D8" s="4" t="s">
        <v>52</v>
      </c>
      <c r="E8" s="4" t="s">
        <v>130</v>
      </c>
      <c r="F8" s="4" t="s">
        <v>88</v>
      </c>
      <c r="G8" s="4" t="s">
        <v>89</v>
      </c>
      <c r="H8" s="4" t="s">
        <v>5</v>
      </c>
      <c r="I8" s="4" t="s">
        <v>90</v>
      </c>
      <c r="J8" s="4" t="s">
        <v>56</v>
      </c>
      <c r="K8" s="4" t="s">
        <v>91</v>
      </c>
      <c r="L8" s="4"/>
    </row>
    <row r="9" spans="1:12">
      <c r="A9" s="4"/>
      <c r="B9" s="4"/>
      <c r="C9" s="4"/>
      <c r="D9" s="4"/>
      <c r="E9" s="4" t="s">
        <v>430</v>
      </c>
      <c r="F9" s="4" t="s">
        <v>93</v>
      </c>
      <c r="G9" s="4" t="s">
        <v>94</v>
      </c>
      <c r="H9" s="4" t="s">
        <v>7</v>
      </c>
      <c r="I9" s="4" t="s">
        <v>8</v>
      </c>
      <c r="J9" s="4" t="s">
        <v>8</v>
      </c>
      <c r="K9" s="4" t="s">
        <v>8</v>
      </c>
      <c r="L9" s="4"/>
    </row>
    <row r="10" spans="1:12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4"/>
    </row>
    <row r="11" spans="1:12">
      <c r="A11" s="13"/>
      <c r="B11" s="13" t="s">
        <v>445</v>
      </c>
      <c r="C11" s="13"/>
      <c r="D11" s="13"/>
      <c r="E11" s="13"/>
      <c r="F11" s="14">
        <v>0</v>
      </c>
      <c r="G11" s="13"/>
      <c r="H11" s="14">
        <v>0</v>
      </c>
      <c r="I11" s="13"/>
      <c r="J11" s="14">
        <v>0</v>
      </c>
      <c r="K11" s="14">
        <v>0</v>
      </c>
      <c r="L11" s="13"/>
    </row>
    <row r="12" spans="1:12">
      <c r="A12" s="7"/>
      <c r="B12" s="7" t="s">
        <v>446</v>
      </c>
      <c r="C12" s="7"/>
      <c r="D12" s="7"/>
      <c r="E12" s="7"/>
      <c r="F12" s="15">
        <v>0</v>
      </c>
      <c r="G12" s="7"/>
      <c r="H12" s="15">
        <v>0</v>
      </c>
      <c r="I12" s="7"/>
      <c r="J12" s="15">
        <v>0</v>
      </c>
      <c r="K12" s="15">
        <v>0</v>
      </c>
      <c r="L12" s="7"/>
    </row>
    <row r="13" spans="1:12">
      <c r="A13" s="7"/>
      <c r="B13" s="7" t="s">
        <v>447</v>
      </c>
      <c r="C13" s="7"/>
      <c r="D13" s="7"/>
      <c r="E13" s="7"/>
      <c r="F13" s="15">
        <v>0</v>
      </c>
      <c r="G13" s="7"/>
      <c r="H13" s="15">
        <v>0</v>
      </c>
      <c r="I13" s="7"/>
      <c r="J13" s="15">
        <v>0</v>
      </c>
      <c r="K13" s="15">
        <v>0</v>
      </c>
      <c r="L13" s="7"/>
    </row>
    <row r="14" spans="1:12">
      <c r="A14" s="7"/>
      <c r="B14" s="7" t="s">
        <v>448</v>
      </c>
      <c r="C14" s="7"/>
      <c r="D14" s="7"/>
      <c r="E14" s="7"/>
      <c r="F14" s="15">
        <v>0</v>
      </c>
      <c r="G14" s="7"/>
      <c r="H14" s="15">
        <v>0</v>
      </c>
      <c r="I14" s="7"/>
      <c r="J14" s="15">
        <v>0</v>
      </c>
      <c r="K14" s="15">
        <v>0</v>
      </c>
      <c r="L14" s="7"/>
    </row>
    <row r="15" spans="1:12">
      <c r="A15" s="7"/>
      <c r="B15" s="7" t="s">
        <v>449</v>
      </c>
      <c r="C15" s="7"/>
      <c r="D15" s="7"/>
      <c r="E15" s="7"/>
      <c r="F15" s="15">
        <v>0</v>
      </c>
      <c r="G15" s="7"/>
      <c r="H15" s="15">
        <v>0</v>
      </c>
      <c r="I15" s="7"/>
      <c r="J15" s="15">
        <v>0</v>
      </c>
      <c r="K15" s="15">
        <v>0</v>
      </c>
      <c r="L15" s="7"/>
    </row>
    <row r="16" spans="1:12">
      <c r="A16" s="7"/>
      <c r="B16" s="7" t="s">
        <v>450</v>
      </c>
      <c r="C16" s="7"/>
      <c r="D16" s="7"/>
      <c r="E16" s="7"/>
      <c r="F16" s="15">
        <v>0</v>
      </c>
      <c r="G16" s="7"/>
      <c r="H16" s="15">
        <v>0</v>
      </c>
      <c r="I16" s="7"/>
      <c r="J16" s="15">
        <v>0</v>
      </c>
      <c r="K16" s="15">
        <v>0</v>
      </c>
      <c r="L16" s="7"/>
    </row>
    <row r="17" spans="1:12">
      <c r="A17" s="7"/>
      <c r="B17" s="7" t="s">
        <v>451</v>
      </c>
      <c r="C17" s="7"/>
      <c r="D17" s="7"/>
      <c r="E17" s="7"/>
      <c r="F17" s="15">
        <v>0</v>
      </c>
      <c r="G17" s="7"/>
      <c r="H17" s="15">
        <v>0</v>
      </c>
      <c r="I17" s="7"/>
      <c r="J17" s="15">
        <v>0</v>
      </c>
      <c r="K17" s="15">
        <v>0</v>
      </c>
      <c r="L17" s="7"/>
    </row>
    <row r="18" spans="1:12">
      <c r="A18" s="7"/>
      <c r="B18" s="7" t="s">
        <v>447</v>
      </c>
      <c r="C18" s="7"/>
      <c r="D18" s="7"/>
      <c r="E18" s="7"/>
      <c r="F18" s="15">
        <v>0</v>
      </c>
      <c r="G18" s="7"/>
      <c r="H18" s="15">
        <v>0</v>
      </c>
      <c r="I18" s="7"/>
      <c r="J18" s="15">
        <v>0</v>
      </c>
      <c r="K18" s="15">
        <v>0</v>
      </c>
      <c r="L18" s="7"/>
    </row>
    <row r="19" spans="1:12">
      <c r="A19" s="7"/>
      <c r="B19" s="7" t="s">
        <v>448</v>
      </c>
      <c r="C19" s="7"/>
      <c r="D19" s="7"/>
      <c r="E19" s="7"/>
      <c r="F19" s="15">
        <v>0</v>
      </c>
      <c r="G19" s="7"/>
      <c r="H19" s="15">
        <v>0</v>
      </c>
      <c r="I19" s="7"/>
      <c r="J19" s="15">
        <v>0</v>
      </c>
      <c r="K19" s="15">
        <v>0</v>
      </c>
      <c r="L19" s="7"/>
    </row>
    <row r="20" spans="1:12">
      <c r="A20" s="7"/>
      <c r="B20" s="7" t="s">
        <v>449</v>
      </c>
      <c r="C20" s="7"/>
      <c r="D20" s="7"/>
      <c r="E20" s="7"/>
      <c r="F20" s="15">
        <v>0</v>
      </c>
      <c r="G20" s="7"/>
      <c r="H20" s="15">
        <v>0</v>
      </c>
      <c r="I20" s="7"/>
      <c r="J20" s="15">
        <v>0</v>
      </c>
      <c r="K20" s="15">
        <v>0</v>
      </c>
      <c r="L20" s="7"/>
    </row>
    <row r="21" spans="1:12">
      <c r="A21" s="7"/>
      <c r="B21" s="7" t="s">
        <v>450</v>
      </c>
      <c r="C21" s="7"/>
      <c r="D21" s="7"/>
      <c r="E21" s="7"/>
      <c r="F21" s="15">
        <v>0</v>
      </c>
      <c r="G21" s="7"/>
      <c r="H21" s="15">
        <v>0</v>
      </c>
      <c r="I21" s="7"/>
      <c r="J21" s="15">
        <v>0</v>
      </c>
      <c r="K21" s="15">
        <v>0</v>
      </c>
      <c r="L21" s="7"/>
    </row>
    <row r="22" spans="1:12">
      <c r="A22" s="13"/>
      <c r="B22" s="19" t="s">
        <v>83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>
      <c r="A23" s="13"/>
      <c r="B23" s="19" t="s">
        <v>126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>
      <c r="A24" s="3" t="s">
        <v>443</v>
      </c>
      <c r="B24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>
  <dimension ref="A2:M16"/>
  <sheetViews>
    <sheetView rightToLeft="1" workbookViewId="0"/>
  </sheetViews>
  <sheetFormatPr defaultRowHeight="12.75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>
      <c r="B2" s="2" t="s">
        <v>0</v>
      </c>
    </row>
    <row r="3" spans="1:13">
      <c r="B3" s="2" t="s">
        <v>1</v>
      </c>
    </row>
    <row r="4" spans="1:13">
      <c r="B4" s="3" t="s">
        <v>2</v>
      </c>
    </row>
    <row r="5" spans="1:13">
      <c r="B5" s="3" t="s">
        <v>3</v>
      </c>
    </row>
    <row r="6" spans="1:13">
      <c r="A6" s="4"/>
      <c r="B6" s="12" t="s">
        <v>428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>
      <c r="A7" s="4"/>
      <c r="B7" s="12" t="s">
        <v>452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>
      <c r="A8" s="4"/>
      <c r="B8" s="4" t="s">
        <v>412</v>
      </c>
      <c r="C8" s="4" t="s">
        <v>48</v>
      </c>
      <c r="D8" s="4" t="s">
        <v>129</v>
      </c>
      <c r="E8" s="4" t="s">
        <v>52</v>
      </c>
      <c r="F8" s="4" t="s">
        <v>130</v>
      </c>
      <c r="G8" s="4" t="s">
        <v>88</v>
      </c>
      <c r="H8" s="4" t="s">
        <v>89</v>
      </c>
      <c r="I8" s="4" t="s">
        <v>5</v>
      </c>
      <c r="J8" s="4" t="s">
        <v>90</v>
      </c>
      <c r="K8" s="4" t="s">
        <v>56</v>
      </c>
      <c r="L8" s="4" t="s">
        <v>91</v>
      </c>
      <c r="M8" s="4"/>
    </row>
    <row r="9" spans="1:13">
      <c r="A9" s="4"/>
      <c r="B9" s="4"/>
      <c r="C9" s="4"/>
      <c r="D9" s="4"/>
      <c r="E9" s="4"/>
      <c r="F9" s="4"/>
      <c r="G9" s="4" t="s">
        <v>93</v>
      </c>
      <c r="H9" s="4" t="s">
        <v>94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12" t="s">
        <v>65</v>
      </c>
      <c r="M10" s="4"/>
    </row>
    <row r="11" spans="1:13">
      <c r="A11" s="13"/>
      <c r="B11" s="13" t="s">
        <v>408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>
      <c r="A12" s="7"/>
      <c r="B12" s="7" t="s">
        <v>67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>
      <c r="A13" s="7"/>
      <c r="B13" s="7" t="s">
        <v>80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>
      <c r="A14" s="13"/>
      <c r="B14" s="19" t="s">
        <v>83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>
      <c r="A15" s="13"/>
      <c r="B15" s="19" t="s">
        <v>126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>
      <c r="A16" s="3" t="s">
        <v>443</v>
      </c>
      <c r="B1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>
  <dimension ref="A2:M26"/>
  <sheetViews>
    <sheetView rightToLeft="1" workbookViewId="0"/>
  </sheetViews>
  <sheetFormatPr defaultRowHeight="12.75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>
      <c r="B2" s="2" t="s">
        <v>0</v>
      </c>
    </row>
    <row r="3" spans="1:13">
      <c r="B3" s="2" t="s">
        <v>1</v>
      </c>
    </row>
    <row r="4" spans="1:13">
      <c r="B4" s="3" t="s">
        <v>2</v>
      </c>
    </row>
    <row r="5" spans="1:13">
      <c r="B5" s="3" t="s">
        <v>3</v>
      </c>
    </row>
    <row r="6" spans="1:13">
      <c r="A6" s="4"/>
      <c r="B6" s="12" t="s">
        <v>428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>
      <c r="A7" s="4"/>
      <c r="B7" s="12" t="s">
        <v>453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>
      <c r="A8" s="4"/>
      <c r="B8" s="4" t="s">
        <v>412</v>
      </c>
      <c r="C8" s="4" t="s">
        <v>48</v>
      </c>
      <c r="D8" s="4" t="s">
        <v>129</v>
      </c>
      <c r="E8" s="4" t="s">
        <v>52</v>
      </c>
      <c r="F8" s="4" t="s">
        <v>130</v>
      </c>
      <c r="G8" s="4" t="s">
        <v>88</v>
      </c>
      <c r="H8" s="4" t="s">
        <v>89</v>
      </c>
      <c r="I8" s="4" t="s">
        <v>5</v>
      </c>
      <c r="J8" s="4" t="s">
        <v>90</v>
      </c>
      <c r="K8" s="4" t="s">
        <v>56</v>
      </c>
      <c r="L8" s="4" t="s">
        <v>91</v>
      </c>
      <c r="M8" s="4"/>
    </row>
    <row r="9" spans="1:13">
      <c r="A9" s="4"/>
      <c r="B9" s="4"/>
      <c r="C9" s="4"/>
      <c r="D9" s="4"/>
      <c r="E9" s="4"/>
      <c r="F9" s="4"/>
      <c r="G9" s="4" t="s">
        <v>93</v>
      </c>
      <c r="H9" s="4" t="s">
        <v>94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12" t="s">
        <v>65</v>
      </c>
      <c r="M10" s="4"/>
    </row>
    <row r="11" spans="1:13">
      <c r="A11" s="13"/>
      <c r="B11" s="13" t="s">
        <v>413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>
      <c r="A12" s="7"/>
      <c r="B12" s="7" t="s">
        <v>454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>
      <c r="A13" s="7"/>
      <c r="B13" s="7" t="s">
        <v>414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>
      <c r="A14" s="7"/>
      <c r="B14" s="7" t="s">
        <v>415</v>
      </c>
      <c r="C14" s="7"/>
      <c r="D14" s="7"/>
      <c r="E14" s="7"/>
      <c r="F14" s="7"/>
      <c r="G14" s="7"/>
      <c r="H14" s="7"/>
      <c r="I14" s="15">
        <v>0</v>
      </c>
      <c r="J14" s="15">
        <v>0</v>
      </c>
      <c r="K14" s="15">
        <v>0</v>
      </c>
      <c r="L14" s="15">
        <v>0</v>
      </c>
      <c r="M14" s="7"/>
    </row>
    <row r="15" spans="1:13">
      <c r="A15" s="7"/>
      <c r="B15" s="7" t="s">
        <v>455</v>
      </c>
      <c r="C15" s="7"/>
      <c r="D15" s="7"/>
      <c r="E15" s="7"/>
      <c r="F15" s="7"/>
      <c r="G15" s="7"/>
      <c r="H15" s="7"/>
      <c r="I15" s="15">
        <v>0</v>
      </c>
      <c r="J15" s="15">
        <v>0</v>
      </c>
      <c r="K15" s="15">
        <v>0</v>
      </c>
      <c r="L15" s="15">
        <v>0</v>
      </c>
      <c r="M15" s="7"/>
    </row>
    <row r="16" spans="1:13">
      <c r="A16" s="7"/>
      <c r="B16" s="7" t="s">
        <v>416</v>
      </c>
      <c r="C16" s="7"/>
      <c r="D16" s="7"/>
      <c r="E16" s="7"/>
      <c r="F16" s="7"/>
      <c r="G16" s="7"/>
      <c r="H16" s="7"/>
      <c r="I16" s="15">
        <v>0</v>
      </c>
      <c r="J16" s="15">
        <v>0</v>
      </c>
      <c r="K16" s="15">
        <v>0</v>
      </c>
      <c r="L16" s="15">
        <v>0</v>
      </c>
      <c r="M16" s="7"/>
    </row>
    <row r="17" spans="1:13">
      <c r="A17" s="7"/>
      <c r="B17" s="7" t="s">
        <v>398</v>
      </c>
      <c r="C17" s="7"/>
      <c r="D17" s="7"/>
      <c r="E17" s="7"/>
      <c r="F17" s="7"/>
      <c r="G17" s="7"/>
      <c r="H17" s="7"/>
      <c r="I17" s="15">
        <v>0</v>
      </c>
      <c r="J17" s="15">
        <v>0</v>
      </c>
      <c r="K17" s="15">
        <v>0</v>
      </c>
      <c r="L17" s="15">
        <v>0</v>
      </c>
      <c r="M17" s="7"/>
    </row>
    <row r="18" spans="1:13">
      <c r="A18" s="7"/>
      <c r="B18" s="7" t="s">
        <v>456</v>
      </c>
      <c r="C18" s="7"/>
      <c r="D18" s="7"/>
      <c r="E18" s="7"/>
      <c r="F18" s="7"/>
      <c r="G18" s="7"/>
      <c r="H18" s="7"/>
      <c r="I18" s="15">
        <v>0</v>
      </c>
      <c r="J18" s="15">
        <v>0</v>
      </c>
      <c r="K18" s="15">
        <v>0</v>
      </c>
      <c r="L18" s="15">
        <v>0</v>
      </c>
      <c r="M18" s="7"/>
    </row>
    <row r="19" spans="1:13">
      <c r="A19" s="7"/>
      <c r="B19" s="7" t="s">
        <v>414</v>
      </c>
      <c r="C19" s="7"/>
      <c r="D19" s="7"/>
      <c r="E19" s="7"/>
      <c r="F19" s="7"/>
      <c r="G19" s="7"/>
      <c r="H19" s="7"/>
      <c r="I19" s="15">
        <v>0</v>
      </c>
      <c r="J19" s="15">
        <v>0</v>
      </c>
      <c r="K19" s="15">
        <v>0</v>
      </c>
      <c r="L19" s="15">
        <v>0</v>
      </c>
      <c r="M19" s="7"/>
    </row>
    <row r="20" spans="1:13">
      <c r="A20" s="7"/>
      <c r="B20" s="7" t="s">
        <v>417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  <c r="L20" s="15">
        <v>0</v>
      </c>
      <c r="M20" s="7"/>
    </row>
    <row r="21" spans="1:13">
      <c r="A21" s="7"/>
      <c r="B21" s="7" t="s">
        <v>416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15">
        <v>0</v>
      </c>
      <c r="M21" s="7"/>
    </row>
    <row r="22" spans="1:13">
      <c r="A22" s="7"/>
      <c r="B22" s="7" t="s">
        <v>418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15">
        <v>0</v>
      </c>
      <c r="M22" s="7"/>
    </row>
    <row r="23" spans="1:13">
      <c r="A23" s="7"/>
      <c r="B23" s="7" t="s">
        <v>398</v>
      </c>
      <c r="C23" s="7"/>
      <c r="D23" s="7"/>
      <c r="E23" s="7"/>
      <c r="F23" s="7"/>
      <c r="G23" s="7"/>
      <c r="H23" s="7"/>
      <c r="I23" s="15">
        <v>0</v>
      </c>
      <c r="J23" s="15">
        <v>0</v>
      </c>
      <c r="K23" s="15">
        <v>0</v>
      </c>
      <c r="L23" s="15">
        <v>0</v>
      </c>
      <c r="M23" s="7"/>
    </row>
    <row r="24" spans="1:13">
      <c r="A24" s="13"/>
      <c r="B24" s="19" t="s">
        <v>83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>
      <c r="A25" s="13"/>
      <c r="B25" s="19" t="s">
        <v>126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>
      <c r="A26" s="3" t="s">
        <v>443</v>
      </c>
      <c r="B2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>
  <dimension ref="A2:L25"/>
  <sheetViews>
    <sheetView rightToLeft="1" workbookViewId="0"/>
  </sheetViews>
  <sheetFormatPr defaultRowHeight="12.75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4" style="1"/>
    <col min="11" max="11" width="23" style="1"/>
    <col min="12" max="12" width="2" style="1"/>
  </cols>
  <sheetData>
    <row r="2" spans="1:12">
      <c r="B2" s="2" t="s">
        <v>0</v>
      </c>
    </row>
    <row r="3" spans="1:12">
      <c r="B3" s="2" t="s">
        <v>1</v>
      </c>
    </row>
    <row r="4" spans="1:12">
      <c r="B4" s="3" t="s">
        <v>2</v>
      </c>
    </row>
    <row r="5" spans="1:12">
      <c r="B5" s="3" t="s">
        <v>3</v>
      </c>
    </row>
    <row r="6" spans="1:12">
      <c r="A6" s="4"/>
      <c r="B6" s="12" t="s">
        <v>428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4"/>
      <c r="B7" s="12" t="s">
        <v>457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A8" s="4"/>
      <c r="B8" s="4" t="s">
        <v>412</v>
      </c>
      <c r="C8" s="4" t="s">
        <v>48</v>
      </c>
      <c r="D8" s="4" t="s">
        <v>129</v>
      </c>
      <c r="E8" s="4" t="s">
        <v>52</v>
      </c>
      <c r="F8" s="4" t="s">
        <v>130</v>
      </c>
      <c r="G8" s="4" t="s">
        <v>88</v>
      </c>
      <c r="H8" s="4" t="s">
        <v>89</v>
      </c>
      <c r="I8" s="4" t="s">
        <v>5</v>
      </c>
      <c r="J8" s="4" t="s">
        <v>56</v>
      </c>
      <c r="K8" s="4" t="s">
        <v>91</v>
      </c>
      <c r="L8" s="4"/>
    </row>
    <row r="9" spans="1:12">
      <c r="A9" s="4"/>
      <c r="B9" s="4"/>
      <c r="C9" s="4"/>
      <c r="D9" s="4"/>
      <c r="E9" s="4"/>
      <c r="F9" s="4"/>
      <c r="G9" s="4" t="s">
        <v>93</v>
      </c>
      <c r="H9" s="4" t="s">
        <v>94</v>
      </c>
      <c r="I9" s="4" t="s">
        <v>7</v>
      </c>
      <c r="J9" s="4" t="s">
        <v>8</v>
      </c>
      <c r="K9" s="4" t="s">
        <v>8</v>
      </c>
      <c r="L9" s="4"/>
    </row>
    <row r="10" spans="1:12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4"/>
    </row>
    <row r="11" spans="1:12">
      <c r="A11" s="13"/>
      <c r="B11" s="13" t="s">
        <v>420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3"/>
    </row>
    <row r="12" spans="1:12">
      <c r="A12" s="7"/>
      <c r="B12" s="7" t="s">
        <v>458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7"/>
    </row>
    <row r="13" spans="1:12">
      <c r="A13" s="7"/>
      <c r="B13" s="7" t="s">
        <v>414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7"/>
    </row>
    <row r="14" spans="1:12">
      <c r="A14" s="7"/>
      <c r="B14" s="7" t="s">
        <v>415</v>
      </c>
      <c r="C14" s="7"/>
      <c r="D14" s="7"/>
      <c r="E14" s="7"/>
      <c r="F14" s="7"/>
      <c r="G14" s="7"/>
      <c r="H14" s="7"/>
      <c r="I14" s="15">
        <v>0</v>
      </c>
      <c r="J14" s="15">
        <v>0</v>
      </c>
      <c r="K14" s="15">
        <v>0</v>
      </c>
      <c r="L14" s="7"/>
    </row>
    <row r="15" spans="1:12">
      <c r="A15" s="7"/>
      <c r="B15" s="7" t="s">
        <v>455</v>
      </c>
      <c r="C15" s="7"/>
      <c r="D15" s="7"/>
      <c r="E15" s="7"/>
      <c r="F15" s="7"/>
      <c r="G15" s="7"/>
      <c r="H15" s="7"/>
      <c r="I15" s="15">
        <v>0</v>
      </c>
      <c r="J15" s="15">
        <v>0</v>
      </c>
      <c r="K15" s="15">
        <v>0</v>
      </c>
      <c r="L15" s="7"/>
    </row>
    <row r="16" spans="1:12">
      <c r="A16" s="7"/>
      <c r="B16" s="7" t="s">
        <v>416</v>
      </c>
      <c r="C16" s="7"/>
      <c r="D16" s="7"/>
      <c r="E16" s="7"/>
      <c r="F16" s="7"/>
      <c r="G16" s="7"/>
      <c r="H16" s="7"/>
      <c r="I16" s="15">
        <v>0</v>
      </c>
      <c r="J16" s="15">
        <v>0</v>
      </c>
      <c r="K16" s="15">
        <v>0</v>
      </c>
      <c r="L16" s="7"/>
    </row>
    <row r="17" spans="1:12">
      <c r="A17" s="7"/>
      <c r="B17" s="7" t="s">
        <v>398</v>
      </c>
      <c r="C17" s="7"/>
      <c r="D17" s="7"/>
      <c r="E17" s="7"/>
      <c r="F17" s="7"/>
      <c r="G17" s="7"/>
      <c r="H17" s="7"/>
      <c r="I17" s="15">
        <v>0</v>
      </c>
      <c r="J17" s="15">
        <v>0</v>
      </c>
      <c r="K17" s="15">
        <v>0</v>
      </c>
      <c r="L17" s="7"/>
    </row>
    <row r="18" spans="1:12">
      <c r="A18" s="7"/>
      <c r="B18" s="7" t="s">
        <v>459</v>
      </c>
      <c r="C18" s="7"/>
      <c r="D18" s="7"/>
      <c r="E18" s="7"/>
      <c r="F18" s="7"/>
      <c r="G18" s="7"/>
      <c r="H18" s="7"/>
      <c r="I18" s="15">
        <v>0</v>
      </c>
      <c r="J18" s="15">
        <v>0</v>
      </c>
      <c r="K18" s="15">
        <v>0</v>
      </c>
      <c r="L18" s="7"/>
    </row>
    <row r="19" spans="1:12">
      <c r="A19" s="7"/>
      <c r="B19" s="7" t="s">
        <v>414</v>
      </c>
      <c r="C19" s="7"/>
      <c r="D19" s="7"/>
      <c r="E19" s="7"/>
      <c r="F19" s="7"/>
      <c r="G19" s="7"/>
      <c r="H19" s="7"/>
      <c r="I19" s="15">
        <v>0</v>
      </c>
      <c r="J19" s="15">
        <v>0</v>
      </c>
      <c r="K19" s="15">
        <v>0</v>
      </c>
      <c r="L19" s="7"/>
    </row>
    <row r="20" spans="1:12">
      <c r="A20" s="7"/>
      <c r="B20" s="7" t="s">
        <v>417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  <c r="L20" s="7"/>
    </row>
    <row r="21" spans="1:12">
      <c r="A21" s="7"/>
      <c r="B21" s="7" t="s">
        <v>416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7"/>
    </row>
    <row r="22" spans="1:12">
      <c r="A22" s="7"/>
      <c r="B22" s="7" t="s">
        <v>398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7"/>
    </row>
    <row r="23" spans="1:12">
      <c r="A23" s="13"/>
      <c r="B23" s="19" t="s">
        <v>83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>
      <c r="A24" s="13"/>
      <c r="B24" s="19" t="s">
        <v>126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>
      <c r="A25" s="3" t="s">
        <v>443</v>
      </c>
      <c r="B25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>
  <dimension ref="A2:R22"/>
  <sheetViews>
    <sheetView rightToLeft="1" workbookViewId="0"/>
  </sheetViews>
  <sheetFormatPr defaultRowHeight="12.75"/>
  <cols>
    <col min="1" max="1" width="2" style="1"/>
    <col min="2" max="2" width="34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4" style="1"/>
    <col min="12" max="12" width="10" style="1"/>
    <col min="13" max="13" width="8" style="1"/>
    <col min="14" max="14" width="11" style="1"/>
    <col min="15" max="15" width="22" style="1"/>
    <col min="16" max="16" width="24" style="1"/>
    <col min="17" max="17" width="23" style="1"/>
    <col min="18" max="18" width="2" style="1"/>
  </cols>
  <sheetData>
    <row r="2" spans="1:18">
      <c r="B2" s="2" t="s">
        <v>0</v>
      </c>
    </row>
    <row r="3" spans="1:18">
      <c r="B3" s="2" t="s">
        <v>1</v>
      </c>
    </row>
    <row r="4" spans="1:18">
      <c r="B4" s="3" t="s">
        <v>2</v>
      </c>
    </row>
    <row r="5" spans="1:18">
      <c r="B5" s="3" t="s">
        <v>3</v>
      </c>
    </row>
    <row r="6" spans="1:18">
      <c r="A6" s="4"/>
      <c r="B6" s="12" t="s">
        <v>428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>
      <c r="A7" s="4"/>
      <c r="B7" s="12" t="s">
        <v>460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>
      <c r="A8" s="4"/>
      <c r="B8" s="4" t="s">
        <v>412</v>
      </c>
      <c r="C8" s="4" t="s">
        <v>48</v>
      </c>
      <c r="D8" s="4" t="s">
        <v>422</v>
      </c>
      <c r="E8" s="4" t="s">
        <v>50</v>
      </c>
      <c r="F8" s="4" t="s">
        <v>51</v>
      </c>
      <c r="G8" s="4" t="s">
        <v>130</v>
      </c>
      <c r="H8" s="4" t="s">
        <v>87</v>
      </c>
      <c r="I8" s="4" t="s">
        <v>52</v>
      </c>
      <c r="J8" s="4" t="s">
        <v>53</v>
      </c>
      <c r="K8" s="4" t="s">
        <v>54</v>
      </c>
      <c r="L8" s="4" t="s">
        <v>88</v>
      </c>
      <c r="M8" s="4" t="s">
        <v>89</v>
      </c>
      <c r="N8" s="4" t="s">
        <v>5</v>
      </c>
      <c r="O8" s="4" t="s">
        <v>90</v>
      </c>
      <c r="P8" s="4" t="s">
        <v>56</v>
      </c>
      <c r="Q8" s="4" t="s">
        <v>91</v>
      </c>
      <c r="R8" s="4"/>
    </row>
    <row r="9" spans="1:18">
      <c r="A9" s="4"/>
      <c r="B9" s="4"/>
      <c r="C9" s="4"/>
      <c r="D9" s="4"/>
      <c r="E9" s="4"/>
      <c r="F9" s="4"/>
      <c r="G9" s="4" t="s">
        <v>430</v>
      </c>
      <c r="H9" s="4" t="s">
        <v>92</v>
      </c>
      <c r="I9" s="4"/>
      <c r="J9" s="4" t="s">
        <v>8</v>
      </c>
      <c r="K9" s="4" t="s">
        <v>8</v>
      </c>
      <c r="L9" s="4" t="s">
        <v>93</v>
      </c>
      <c r="M9" s="4" t="s">
        <v>94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>
      <c r="A10" s="4"/>
      <c r="B10" s="4"/>
      <c r="C10" s="12" t="s">
        <v>9</v>
      </c>
      <c r="D10" s="12" t="s">
        <v>10</v>
      </c>
      <c r="E10" s="12" t="s">
        <v>58</v>
      </c>
      <c r="F10" s="12" t="s">
        <v>59</v>
      </c>
      <c r="G10" s="12" t="s">
        <v>60</v>
      </c>
      <c r="H10" s="12" t="s">
        <v>61</v>
      </c>
      <c r="I10" s="12" t="s">
        <v>62</v>
      </c>
      <c r="J10" s="12" t="s">
        <v>63</v>
      </c>
      <c r="K10" s="12" t="s">
        <v>64</v>
      </c>
      <c r="L10" s="12" t="s">
        <v>65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131</v>
      </c>
      <c r="R10" s="4"/>
    </row>
    <row r="11" spans="1:18">
      <c r="A11" s="13"/>
      <c r="B11" s="13" t="s">
        <v>461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3"/>
      <c r="N11" s="14">
        <v>0</v>
      </c>
      <c r="O11" s="13"/>
      <c r="P11" s="14">
        <v>0</v>
      </c>
      <c r="Q11" s="14">
        <v>0</v>
      </c>
      <c r="R11" s="13"/>
    </row>
    <row r="12" spans="1:18">
      <c r="A12" s="7"/>
      <c r="B12" s="7" t="s">
        <v>67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7"/>
      <c r="N12" s="15">
        <v>0</v>
      </c>
      <c r="O12" s="7"/>
      <c r="P12" s="15">
        <v>0</v>
      </c>
      <c r="Q12" s="15">
        <v>0</v>
      </c>
      <c r="R12" s="7"/>
    </row>
    <row r="13" spans="1:18">
      <c r="A13" s="7"/>
      <c r="B13" s="7" t="s">
        <v>424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7"/>
      <c r="N13" s="15">
        <v>0</v>
      </c>
      <c r="O13" s="7"/>
      <c r="P13" s="15">
        <v>0</v>
      </c>
      <c r="Q13" s="15">
        <v>0</v>
      </c>
      <c r="R13" s="7"/>
    </row>
    <row r="14" spans="1:18">
      <c r="A14" s="7"/>
      <c r="B14" s="7" t="s">
        <v>425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7"/>
      <c r="N14" s="15">
        <v>0</v>
      </c>
      <c r="O14" s="7"/>
      <c r="P14" s="15">
        <v>0</v>
      </c>
      <c r="Q14" s="15">
        <v>0</v>
      </c>
      <c r="R14" s="7"/>
    </row>
    <row r="15" spans="1:18">
      <c r="A15" s="7"/>
      <c r="B15" s="7" t="s">
        <v>426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7"/>
      <c r="N15" s="15">
        <v>0</v>
      </c>
      <c r="O15" s="7"/>
      <c r="P15" s="15">
        <v>0</v>
      </c>
      <c r="Q15" s="15">
        <v>0</v>
      </c>
      <c r="R15" s="7"/>
    </row>
    <row r="16" spans="1:18">
      <c r="A16" s="7"/>
      <c r="B16" s="7" t="s">
        <v>80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15">
        <v>0</v>
      </c>
      <c r="L16" s="7"/>
      <c r="M16" s="7"/>
      <c r="N16" s="15">
        <v>0</v>
      </c>
      <c r="O16" s="7"/>
      <c r="P16" s="15">
        <v>0</v>
      </c>
      <c r="Q16" s="15">
        <v>0</v>
      </c>
      <c r="R16" s="7"/>
    </row>
    <row r="17" spans="1:18">
      <c r="A17" s="7"/>
      <c r="B17" s="7" t="s">
        <v>424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7"/>
      <c r="M17" s="7"/>
      <c r="N17" s="15">
        <v>0</v>
      </c>
      <c r="O17" s="7"/>
      <c r="P17" s="15">
        <v>0</v>
      </c>
      <c r="Q17" s="15">
        <v>0</v>
      </c>
      <c r="R17" s="7"/>
    </row>
    <row r="18" spans="1:18">
      <c r="A18" s="7"/>
      <c r="B18" s="7" t="s">
        <v>425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7"/>
      <c r="M18" s="7"/>
      <c r="N18" s="15">
        <v>0</v>
      </c>
      <c r="O18" s="7"/>
      <c r="P18" s="15">
        <v>0</v>
      </c>
      <c r="Q18" s="15">
        <v>0</v>
      </c>
      <c r="R18" s="7"/>
    </row>
    <row r="19" spans="1:18">
      <c r="A19" s="7"/>
      <c r="B19" s="7" t="s">
        <v>426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7"/>
      <c r="M19" s="7"/>
      <c r="N19" s="15">
        <v>0</v>
      </c>
      <c r="O19" s="7"/>
      <c r="P19" s="15">
        <v>0</v>
      </c>
      <c r="Q19" s="15">
        <v>0</v>
      </c>
      <c r="R19" s="7"/>
    </row>
    <row r="20" spans="1:18">
      <c r="A20" s="13"/>
      <c r="B20" s="19" t="s">
        <v>83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>
      <c r="A21" s="13"/>
      <c r="B21" s="19" t="s">
        <v>126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>
      <c r="A22" s="3" t="s">
        <v>443</v>
      </c>
      <c r="B22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>
  <dimension ref="A2:P30"/>
  <sheetViews>
    <sheetView rightToLeft="1" workbookViewId="0"/>
  </sheetViews>
  <sheetFormatPr defaultRowHeight="12.75"/>
  <cols>
    <col min="1" max="1" width="2" style="1"/>
    <col min="2" max="2" width="39" style="1"/>
    <col min="3" max="3" width="18" style="1"/>
    <col min="4" max="4" width="12" style="1"/>
    <col min="5" max="5" width="7" style="1"/>
    <col min="6" max="6" width="9" style="1"/>
    <col min="7" max="7" width="6" style="1"/>
    <col min="8" max="8" width="10" style="1"/>
    <col min="9" max="9" width="18" style="1"/>
    <col min="10" max="11" width="14" style="1"/>
    <col min="12" max="12" width="8" style="1"/>
    <col min="13" max="13" width="11" style="1"/>
    <col min="14" max="14" width="24" style="1"/>
    <col min="15" max="15" width="23" style="1"/>
    <col min="16" max="16" width="2" style="1"/>
  </cols>
  <sheetData>
    <row r="2" spans="1:16">
      <c r="B2" s="2" t="s">
        <v>0</v>
      </c>
    </row>
    <row r="3" spans="1:16">
      <c r="B3" s="2" t="s">
        <v>1</v>
      </c>
    </row>
    <row r="4" spans="1:16">
      <c r="B4" s="3" t="s">
        <v>2</v>
      </c>
    </row>
    <row r="5" spans="1:16">
      <c r="B5" s="3" t="s">
        <v>3</v>
      </c>
    </row>
    <row r="6" spans="1:16">
      <c r="A6" s="4"/>
      <c r="B6" s="12" t="s">
        <v>462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4"/>
      <c r="B7" s="4" t="s">
        <v>141</v>
      </c>
      <c r="C7" s="4" t="s">
        <v>463</v>
      </c>
      <c r="D7" s="4" t="s">
        <v>48</v>
      </c>
      <c r="E7" s="4" t="s">
        <v>50</v>
      </c>
      <c r="F7" s="4" t="s">
        <v>51</v>
      </c>
      <c r="G7" s="4" t="s">
        <v>87</v>
      </c>
      <c r="H7" s="4" t="s">
        <v>52</v>
      </c>
      <c r="I7" s="4" t="s">
        <v>464</v>
      </c>
      <c r="J7" s="4" t="s">
        <v>54</v>
      </c>
      <c r="K7" s="4" t="s">
        <v>88</v>
      </c>
      <c r="L7" s="4" t="s">
        <v>89</v>
      </c>
      <c r="M7" s="4" t="s">
        <v>5</v>
      </c>
      <c r="N7" s="4" t="s">
        <v>56</v>
      </c>
      <c r="O7" s="4" t="s">
        <v>91</v>
      </c>
      <c r="P7" s="4"/>
    </row>
    <row r="8" spans="1:16">
      <c r="A8" s="4"/>
      <c r="B8" s="4"/>
      <c r="C8" s="4"/>
      <c r="D8" s="4"/>
      <c r="E8" s="4"/>
      <c r="F8" s="4"/>
      <c r="G8" s="4" t="s">
        <v>92</v>
      </c>
      <c r="H8" s="4"/>
      <c r="I8" s="4" t="s">
        <v>8</v>
      </c>
      <c r="J8" s="4" t="s">
        <v>8</v>
      </c>
      <c r="K8" s="4" t="s">
        <v>93</v>
      </c>
      <c r="L8" s="4" t="s">
        <v>94</v>
      </c>
      <c r="M8" s="4" t="s">
        <v>7</v>
      </c>
      <c r="N8" s="4" t="s">
        <v>8</v>
      </c>
      <c r="O8" s="4" t="s">
        <v>8</v>
      </c>
      <c r="P8" s="4"/>
    </row>
    <row r="9" spans="1:16">
      <c r="A9" s="4"/>
      <c r="B9" s="4"/>
      <c r="C9" s="12" t="s">
        <v>9</v>
      </c>
      <c r="D9" s="12" t="s">
        <v>10</v>
      </c>
      <c r="E9" s="12" t="s">
        <v>58</v>
      </c>
      <c r="F9" s="12" t="s">
        <v>59</v>
      </c>
      <c r="G9" s="12" t="s">
        <v>60</v>
      </c>
      <c r="H9" s="12" t="s">
        <v>61</v>
      </c>
      <c r="I9" s="12" t="s">
        <v>62</v>
      </c>
      <c r="J9" s="12" t="s">
        <v>63</v>
      </c>
      <c r="K9" s="12" t="s">
        <v>64</v>
      </c>
      <c r="L9" s="12" t="s">
        <v>65</v>
      </c>
      <c r="M9" s="12" t="s">
        <v>95</v>
      </c>
      <c r="N9" s="12" t="s">
        <v>96</v>
      </c>
      <c r="O9" s="12" t="s">
        <v>97</v>
      </c>
      <c r="P9" s="4"/>
    </row>
    <row r="10" spans="1:16">
      <c r="A10" s="13"/>
      <c r="B10" s="13" t="s">
        <v>465</v>
      </c>
      <c r="C10" s="13"/>
      <c r="D10" s="13"/>
      <c r="E10" s="13"/>
      <c r="F10" s="13"/>
      <c r="G10" s="14">
        <v>1.37</v>
      </c>
      <c r="H10" s="13"/>
      <c r="I10" s="14">
        <v>0</v>
      </c>
      <c r="J10" s="14">
        <v>1.28</v>
      </c>
      <c r="K10" s="13"/>
      <c r="L10" s="13"/>
      <c r="M10" s="14">
        <v>1080.32</v>
      </c>
      <c r="N10" s="14">
        <v>100</v>
      </c>
      <c r="O10" s="14">
        <v>0.76</v>
      </c>
      <c r="P10" s="13"/>
    </row>
    <row r="11" spans="1:16">
      <c r="A11" s="7"/>
      <c r="B11" s="7" t="s">
        <v>466</v>
      </c>
      <c r="C11" s="7"/>
      <c r="D11" s="7"/>
      <c r="E11" s="7"/>
      <c r="F11" s="7"/>
      <c r="G11" s="15">
        <v>1.37</v>
      </c>
      <c r="H11" s="7"/>
      <c r="I11" s="15">
        <v>0</v>
      </c>
      <c r="J11" s="15">
        <v>1.28</v>
      </c>
      <c r="K11" s="7"/>
      <c r="L11" s="7"/>
      <c r="M11" s="15">
        <v>1080.32</v>
      </c>
      <c r="N11" s="15">
        <v>100</v>
      </c>
      <c r="O11" s="15">
        <v>0.76</v>
      </c>
      <c r="P11" s="7"/>
    </row>
    <row r="12" spans="1:16">
      <c r="A12" s="7"/>
      <c r="B12" s="7" t="s">
        <v>467</v>
      </c>
      <c r="C12" s="7"/>
      <c r="D12" s="7"/>
      <c r="E12" s="7"/>
      <c r="F12" s="7"/>
      <c r="G12" s="15">
        <v>1.37</v>
      </c>
      <c r="H12" s="7"/>
      <c r="I12" s="15">
        <v>0</v>
      </c>
      <c r="J12" s="15">
        <v>1.28</v>
      </c>
      <c r="K12" s="7"/>
      <c r="L12" s="7"/>
      <c r="M12" s="15">
        <v>1080.32</v>
      </c>
      <c r="N12" s="15">
        <v>100</v>
      </c>
      <c r="O12" s="15">
        <v>0.76</v>
      </c>
      <c r="P12" s="7"/>
    </row>
    <row r="13" spans="1:16">
      <c r="A13" s="16"/>
      <c r="B13" s="16" t="s">
        <v>468</v>
      </c>
      <c r="C13" s="16" t="s">
        <v>469</v>
      </c>
      <c r="D13" s="17" t="s">
        <v>470</v>
      </c>
      <c r="E13" s="17" t="s">
        <v>147</v>
      </c>
      <c r="F13" s="16" t="s">
        <v>471</v>
      </c>
      <c r="G13" s="18">
        <v>1.37</v>
      </c>
      <c r="H13" s="16" t="s">
        <v>76</v>
      </c>
      <c r="I13" s="18">
        <v>0</v>
      </c>
      <c r="J13" s="18">
        <v>1.28</v>
      </c>
      <c r="K13" s="18">
        <v>1082698.33</v>
      </c>
      <c r="L13" s="18">
        <v>99.78</v>
      </c>
      <c r="M13" s="18">
        <v>1080.32</v>
      </c>
      <c r="N13" s="18">
        <v>100</v>
      </c>
      <c r="O13" s="18">
        <v>0.76</v>
      </c>
      <c r="P13" s="16"/>
    </row>
    <row r="14" spans="1:16">
      <c r="A14" s="7"/>
      <c r="B14" s="7" t="s">
        <v>472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7"/>
      <c r="L14" s="7"/>
      <c r="M14" s="15">
        <v>0</v>
      </c>
      <c r="N14" s="15">
        <v>0</v>
      </c>
      <c r="O14" s="15">
        <v>0</v>
      </c>
      <c r="P14" s="7"/>
    </row>
    <row r="15" spans="1:16">
      <c r="A15" s="7"/>
      <c r="B15" s="7" t="s">
        <v>473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7"/>
      <c r="L15" s="7"/>
      <c r="M15" s="15">
        <v>0</v>
      </c>
      <c r="N15" s="15">
        <v>0</v>
      </c>
      <c r="O15" s="15">
        <v>0</v>
      </c>
      <c r="P15" s="7"/>
    </row>
    <row r="16" spans="1:16">
      <c r="A16" s="7"/>
      <c r="B16" s="7" t="s">
        <v>474</v>
      </c>
      <c r="C16" s="7"/>
      <c r="D16" s="7"/>
      <c r="E16" s="7"/>
      <c r="F16" s="7"/>
      <c r="G16" s="15">
        <v>0</v>
      </c>
      <c r="H16" s="7"/>
      <c r="I16" s="15">
        <v>0</v>
      </c>
      <c r="J16" s="15">
        <v>0</v>
      </c>
      <c r="K16" s="7"/>
      <c r="L16" s="7"/>
      <c r="M16" s="15">
        <v>0</v>
      </c>
      <c r="N16" s="15">
        <v>0</v>
      </c>
      <c r="O16" s="15">
        <v>0</v>
      </c>
      <c r="P16" s="7"/>
    </row>
    <row r="17" spans="1:16">
      <c r="A17" s="7"/>
      <c r="B17" s="7" t="s">
        <v>475</v>
      </c>
      <c r="C17" s="7"/>
      <c r="D17" s="7"/>
      <c r="E17" s="7"/>
      <c r="F17" s="7"/>
      <c r="G17" s="15">
        <v>0</v>
      </c>
      <c r="H17" s="7"/>
      <c r="I17" s="15">
        <v>0</v>
      </c>
      <c r="J17" s="15">
        <v>0</v>
      </c>
      <c r="K17" s="7"/>
      <c r="L17" s="7"/>
      <c r="M17" s="15">
        <v>0</v>
      </c>
      <c r="N17" s="15">
        <v>0</v>
      </c>
      <c r="O17" s="15">
        <v>0</v>
      </c>
      <c r="P17" s="7"/>
    </row>
    <row r="18" spans="1:16">
      <c r="A18" s="7"/>
      <c r="B18" s="7" t="s">
        <v>476</v>
      </c>
      <c r="C18" s="7"/>
      <c r="D18" s="7"/>
      <c r="E18" s="7"/>
      <c r="F18" s="7"/>
      <c r="G18" s="15">
        <v>0</v>
      </c>
      <c r="H18" s="7"/>
      <c r="I18" s="15">
        <v>0</v>
      </c>
      <c r="J18" s="15">
        <v>0</v>
      </c>
      <c r="K18" s="7"/>
      <c r="L18" s="7"/>
      <c r="M18" s="15">
        <v>0</v>
      </c>
      <c r="N18" s="15">
        <v>0</v>
      </c>
      <c r="O18" s="15">
        <v>0</v>
      </c>
      <c r="P18" s="7"/>
    </row>
    <row r="19" spans="1:16">
      <c r="A19" s="7"/>
      <c r="B19" s="7" t="s">
        <v>477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>
      <c r="A20" s="7"/>
      <c r="B20" s="7" t="s">
        <v>478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7"/>
      <c r="B21" s="7" t="s">
        <v>479</v>
      </c>
      <c r="C21" s="7"/>
      <c r="D21" s="7"/>
      <c r="E21" s="7"/>
      <c r="F21" s="7"/>
      <c r="G21" s="15">
        <v>0</v>
      </c>
      <c r="H21" s="7"/>
      <c r="I21" s="15">
        <v>0</v>
      </c>
      <c r="J21" s="15">
        <v>0</v>
      </c>
      <c r="K21" s="7"/>
      <c r="L21" s="7"/>
      <c r="M21" s="15">
        <v>0</v>
      </c>
      <c r="N21" s="15">
        <v>0</v>
      </c>
      <c r="O21" s="15">
        <v>0</v>
      </c>
      <c r="P21" s="7"/>
    </row>
    <row r="22" spans="1:16">
      <c r="A22" s="7"/>
      <c r="B22" s="7" t="s">
        <v>480</v>
      </c>
      <c r="C22" s="7"/>
      <c r="D22" s="7"/>
      <c r="E22" s="7"/>
      <c r="F22" s="7"/>
      <c r="G22" s="15">
        <v>0</v>
      </c>
      <c r="H22" s="7"/>
      <c r="I22" s="15">
        <v>0</v>
      </c>
      <c r="J22" s="15">
        <v>0</v>
      </c>
      <c r="K22" s="7"/>
      <c r="L22" s="7"/>
      <c r="M22" s="15">
        <v>0</v>
      </c>
      <c r="N22" s="15">
        <v>0</v>
      </c>
      <c r="O22" s="15">
        <v>0</v>
      </c>
      <c r="P22" s="7"/>
    </row>
    <row r="23" spans="1:16">
      <c r="A23" s="7"/>
      <c r="B23" s="7" t="s">
        <v>481</v>
      </c>
      <c r="C23" s="7"/>
      <c r="D23" s="7"/>
      <c r="E23" s="7"/>
      <c r="F23" s="7"/>
      <c r="G23" s="15">
        <v>0</v>
      </c>
      <c r="H23" s="7"/>
      <c r="I23" s="15">
        <v>0</v>
      </c>
      <c r="J23" s="15">
        <v>0</v>
      </c>
      <c r="K23" s="7"/>
      <c r="L23" s="7"/>
      <c r="M23" s="15">
        <v>0</v>
      </c>
      <c r="N23" s="15">
        <v>0</v>
      </c>
      <c r="O23" s="15">
        <v>0</v>
      </c>
      <c r="P23" s="7"/>
    </row>
    <row r="24" spans="1:16">
      <c r="A24" s="7"/>
      <c r="B24" s="7" t="s">
        <v>472</v>
      </c>
      <c r="C24" s="7"/>
      <c r="D24" s="7"/>
      <c r="E24" s="7"/>
      <c r="F24" s="7"/>
      <c r="G24" s="15">
        <v>0</v>
      </c>
      <c r="H24" s="7"/>
      <c r="I24" s="15">
        <v>0</v>
      </c>
      <c r="J24" s="15">
        <v>0</v>
      </c>
      <c r="K24" s="7"/>
      <c r="L24" s="7"/>
      <c r="M24" s="15">
        <v>0</v>
      </c>
      <c r="N24" s="15">
        <v>0</v>
      </c>
      <c r="O24" s="15">
        <v>0</v>
      </c>
      <c r="P24" s="7"/>
    </row>
    <row r="25" spans="1:16">
      <c r="A25" s="7"/>
      <c r="B25" s="7" t="s">
        <v>473</v>
      </c>
      <c r="C25" s="7"/>
      <c r="D25" s="7"/>
      <c r="E25" s="7"/>
      <c r="F25" s="7"/>
      <c r="G25" s="15">
        <v>0</v>
      </c>
      <c r="H25" s="7"/>
      <c r="I25" s="15">
        <v>0</v>
      </c>
      <c r="J25" s="15">
        <v>0</v>
      </c>
      <c r="K25" s="7"/>
      <c r="L25" s="7"/>
      <c r="M25" s="15">
        <v>0</v>
      </c>
      <c r="N25" s="15">
        <v>0</v>
      </c>
      <c r="O25" s="15">
        <v>0</v>
      </c>
      <c r="P25" s="7"/>
    </row>
    <row r="26" spans="1:16">
      <c r="A26" s="7"/>
      <c r="B26" s="7" t="s">
        <v>474</v>
      </c>
      <c r="C26" s="7"/>
      <c r="D26" s="7"/>
      <c r="E26" s="7"/>
      <c r="F26" s="7"/>
      <c r="G26" s="15">
        <v>0</v>
      </c>
      <c r="H26" s="7"/>
      <c r="I26" s="15">
        <v>0</v>
      </c>
      <c r="J26" s="15">
        <v>0</v>
      </c>
      <c r="K26" s="7"/>
      <c r="L26" s="7"/>
      <c r="M26" s="15">
        <v>0</v>
      </c>
      <c r="N26" s="15">
        <v>0</v>
      </c>
      <c r="O26" s="15">
        <v>0</v>
      </c>
      <c r="P26" s="7"/>
    </row>
    <row r="27" spans="1:16">
      <c r="A27" s="7"/>
      <c r="B27" s="7" t="s">
        <v>480</v>
      </c>
      <c r="C27" s="7"/>
      <c r="D27" s="7"/>
      <c r="E27" s="7"/>
      <c r="F27" s="7"/>
      <c r="G27" s="15">
        <v>0</v>
      </c>
      <c r="H27" s="7"/>
      <c r="I27" s="15">
        <v>0</v>
      </c>
      <c r="J27" s="15">
        <v>0</v>
      </c>
      <c r="K27" s="7"/>
      <c r="L27" s="7"/>
      <c r="M27" s="15">
        <v>0</v>
      </c>
      <c r="N27" s="15">
        <v>0</v>
      </c>
      <c r="O27" s="15">
        <v>0</v>
      </c>
      <c r="P27" s="7"/>
    </row>
    <row r="28" spans="1:16">
      <c r="A28" s="13"/>
      <c r="B28" s="19" t="s">
        <v>83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>
      <c r="A29" s="13"/>
      <c r="B29" s="19" t="s">
        <v>126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>
      <c r="A30" s="3" t="s">
        <v>443</v>
      </c>
      <c r="B30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>
  <dimension ref="A2:P20"/>
  <sheetViews>
    <sheetView rightToLeft="1" workbookViewId="0"/>
  </sheetViews>
  <sheetFormatPr defaultRowHeight="12.75"/>
  <cols>
    <col min="1" max="1" width="2" style="1"/>
    <col min="2" max="2" width="34" style="1"/>
    <col min="3" max="3" width="11" style="1"/>
    <col min="4" max="4" width="12" style="1"/>
    <col min="5" max="5" width="7" style="1"/>
    <col min="6" max="6" width="9" style="1"/>
    <col min="7" max="7" width="6" style="1"/>
    <col min="8" max="8" width="10" style="1"/>
    <col min="9" max="9" width="18" style="1"/>
    <col min="10" max="10" width="14" style="1"/>
    <col min="11" max="11" width="10" style="1"/>
    <col min="12" max="12" width="8" style="1"/>
    <col min="13" max="13" width="11" style="1"/>
    <col min="14" max="14" width="24" style="1"/>
    <col min="15" max="15" width="23" style="1"/>
    <col min="16" max="16" width="2" style="1"/>
  </cols>
  <sheetData>
    <row r="2" spans="1:16">
      <c r="B2" s="2" t="s">
        <v>0</v>
      </c>
    </row>
    <row r="3" spans="1:16">
      <c r="B3" s="2" t="s">
        <v>1</v>
      </c>
    </row>
    <row r="4" spans="1:16">
      <c r="B4" s="3" t="s">
        <v>2</v>
      </c>
    </row>
    <row r="5" spans="1:16">
      <c r="B5" s="3" t="s">
        <v>3</v>
      </c>
    </row>
    <row r="6" spans="1:1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4"/>
      <c r="B7" s="4" t="s">
        <v>141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87</v>
      </c>
      <c r="H7" s="4" t="s">
        <v>52</v>
      </c>
      <c r="I7" s="4" t="s">
        <v>482</v>
      </c>
      <c r="J7" s="4" t="s">
        <v>54</v>
      </c>
      <c r="K7" s="4" t="s">
        <v>88</v>
      </c>
      <c r="L7" s="4" t="s">
        <v>89</v>
      </c>
      <c r="M7" s="4" t="s">
        <v>5</v>
      </c>
      <c r="N7" s="4" t="s">
        <v>56</v>
      </c>
      <c r="O7" s="4" t="s">
        <v>91</v>
      </c>
      <c r="P7" s="4"/>
    </row>
    <row r="8" spans="1:16">
      <c r="A8" s="4"/>
      <c r="B8" s="4"/>
      <c r="C8" s="4"/>
      <c r="D8" s="4"/>
      <c r="E8" s="4"/>
      <c r="F8" s="4"/>
      <c r="G8" s="4" t="s">
        <v>92</v>
      </c>
      <c r="H8" s="4"/>
      <c r="I8" s="4" t="s">
        <v>8</v>
      </c>
      <c r="J8" s="4" t="s">
        <v>8</v>
      </c>
      <c r="K8" s="4" t="s">
        <v>93</v>
      </c>
      <c r="L8" s="4" t="s">
        <v>94</v>
      </c>
      <c r="M8" s="4" t="s">
        <v>7</v>
      </c>
      <c r="N8" s="4" t="s">
        <v>8</v>
      </c>
      <c r="O8" s="4" t="s">
        <v>8</v>
      </c>
      <c r="P8" s="4"/>
    </row>
    <row r="9" spans="1:16">
      <c r="A9" s="4"/>
      <c r="B9" s="4"/>
      <c r="C9" s="12" t="s">
        <v>9</v>
      </c>
      <c r="D9" s="12" t="s">
        <v>10</v>
      </c>
      <c r="E9" s="12" t="s">
        <v>58</v>
      </c>
      <c r="F9" s="12" t="s">
        <v>59</v>
      </c>
      <c r="G9" s="12" t="s">
        <v>60</v>
      </c>
      <c r="H9" s="12" t="s">
        <v>61</v>
      </c>
      <c r="I9" s="12" t="s">
        <v>62</v>
      </c>
      <c r="J9" s="12" t="s">
        <v>63</v>
      </c>
      <c r="K9" s="12" t="s">
        <v>64</v>
      </c>
      <c r="L9" s="12" t="s">
        <v>65</v>
      </c>
      <c r="M9" s="12" t="s">
        <v>95</v>
      </c>
      <c r="N9" s="12" t="s">
        <v>96</v>
      </c>
      <c r="O9" s="12" t="s">
        <v>97</v>
      </c>
      <c r="P9" s="4"/>
    </row>
    <row r="10" spans="1:16">
      <c r="A10" s="13"/>
      <c r="B10" s="19" t="s">
        <v>483</v>
      </c>
      <c r="C10" s="13"/>
      <c r="D10" s="13"/>
      <c r="E10" s="13"/>
      <c r="F10" s="13"/>
      <c r="G10" s="14">
        <v>0</v>
      </c>
      <c r="H10" s="13"/>
      <c r="I10" s="14">
        <v>0</v>
      </c>
      <c r="J10" s="14">
        <v>0</v>
      </c>
      <c r="K10" s="13"/>
      <c r="L10" s="13"/>
      <c r="M10" s="14">
        <v>0</v>
      </c>
      <c r="N10" s="14">
        <v>0</v>
      </c>
      <c r="O10" s="14">
        <v>0</v>
      </c>
      <c r="P10" s="13"/>
    </row>
    <row r="11" spans="1:16">
      <c r="A11" s="7"/>
      <c r="B11" s="7" t="s">
        <v>67</v>
      </c>
      <c r="C11" s="7"/>
      <c r="D11" s="7"/>
      <c r="E11" s="7"/>
      <c r="F11" s="7"/>
      <c r="G11" s="15">
        <v>0</v>
      </c>
      <c r="H11" s="7"/>
      <c r="I11" s="15">
        <v>0</v>
      </c>
      <c r="J11" s="15">
        <v>0</v>
      </c>
      <c r="K11" s="7"/>
      <c r="L11" s="7"/>
      <c r="M11" s="15">
        <v>0</v>
      </c>
      <c r="N11" s="15">
        <v>0</v>
      </c>
      <c r="O11" s="15">
        <v>0</v>
      </c>
      <c r="P11" s="7"/>
    </row>
    <row r="12" spans="1:16">
      <c r="A12" s="7"/>
      <c r="B12" s="7" t="s">
        <v>484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7"/>
      <c r="L12" s="7"/>
      <c r="M12" s="15">
        <v>0</v>
      </c>
      <c r="N12" s="15">
        <v>0</v>
      </c>
      <c r="O12" s="15">
        <v>0</v>
      </c>
      <c r="P12" s="7"/>
    </row>
    <row r="13" spans="1:16">
      <c r="A13" s="7"/>
      <c r="B13" s="7" t="s">
        <v>485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7"/>
      <c r="L13" s="7"/>
      <c r="M13" s="15">
        <v>0</v>
      </c>
      <c r="N13" s="15">
        <v>0</v>
      </c>
      <c r="O13" s="15">
        <v>0</v>
      </c>
      <c r="P13" s="7"/>
    </row>
    <row r="14" spans="1:16">
      <c r="A14" s="7"/>
      <c r="B14" s="7" t="s">
        <v>486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7"/>
      <c r="L14" s="7"/>
      <c r="M14" s="15">
        <v>0</v>
      </c>
      <c r="N14" s="15">
        <v>0</v>
      </c>
      <c r="O14" s="15">
        <v>0</v>
      </c>
      <c r="P14" s="7"/>
    </row>
    <row r="15" spans="1:16">
      <c r="A15" s="7"/>
      <c r="B15" s="7" t="s">
        <v>487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7"/>
      <c r="L15" s="7"/>
      <c r="M15" s="15">
        <v>0</v>
      </c>
      <c r="N15" s="15">
        <v>0</v>
      </c>
      <c r="O15" s="15">
        <v>0</v>
      </c>
      <c r="P15" s="7"/>
    </row>
    <row r="16" spans="1:16">
      <c r="A16" s="7"/>
      <c r="B16" s="7" t="s">
        <v>398</v>
      </c>
      <c r="C16" s="7"/>
      <c r="D16" s="7"/>
      <c r="E16" s="7"/>
      <c r="F16" s="7"/>
      <c r="G16" s="15">
        <v>0</v>
      </c>
      <c r="H16" s="7"/>
      <c r="I16" s="15">
        <v>0</v>
      </c>
      <c r="J16" s="15">
        <v>0</v>
      </c>
      <c r="K16" s="7"/>
      <c r="L16" s="7"/>
      <c r="M16" s="15">
        <v>0</v>
      </c>
      <c r="N16" s="15">
        <v>0</v>
      </c>
      <c r="O16" s="15">
        <v>0</v>
      </c>
      <c r="P16" s="7"/>
    </row>
    <row r="17" spans="1:16">
      <c r="A17" s="7"/>
      <c r="B17" s="7" t="s">
        <v>80</v>
      </c>
      <c r="C17" s="7"/>
      <c r="D17" s="7"/>
      <c r="E17" s="7"/>
      <c r="F17" s="7"/>
      <c r="G17" s="15">
        <v>0</v>
      </c>
      <c r="H17" s="7"/>
      <c r="I17" s="15">
        <v>0</v>
      </c>
      <c r="J17" s="15">
        <v>0</v>
      </c>
      <c r="K17" s="7"/>
      <c r="L17" s="7"/>
      <c r="M17" s="15">
        <v>0</v>
      </c>
      <c r="N17" s="15">
        <v>0</v>
      </c>
      <c r="O17" s="15">
        <v>0</v>
      </c>
      <c r="P17" s="7"/>
    </row>
    <row r="18" spans="1:16">
      <c r="A18" s="13"/>
      <c r="B18" s="19" t="s">
        <v>83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6">
      <c r="A19" s="13"/>
      <c r="B19" s="19" t="s">
        <v>126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>
      <c r="A20" s="3" t="s">
        <v>443</v>
      </c>
      <c r="B20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>
  <dimension ref="A2:K19"/>
  <sheetViews>
    <sheetView rightToLeft="1" workbookViewId="0"/>
  </sheetViews>
  <sheetFormatPr defaultRowHeight="12.75"/>
  <cols>
    <col min="1" max="1" width="2" style="1"/>
    <col min="2" max="2" width="34" style="1"/>
    <col min="3" max="3" width="19" style="1"/>
    <col min="4" max="4" width="11" style="1"/>
    <col min="5" max="5" width="25" style="1"/>
    <col min="6" max="6" width="10" style="1"/>
    <col min="7" max="7" width="13" style="1"/>
    <col min="8" max="8" width="24" style="1"/>
    <col min="9" max="9" width="23" style="1"/>
    <col min="10" max="11" width="2" style="1"/>
  </cols>
  <sheetData>
    <row r="2" spans="1:11">
      <c r="B2" s="2" t="s">
        <v>0</v>
      </c>
    </row>
    <row r="3" spans="1:11">
      <c r="B3" s="2" t="s">
        <v>1</v>
      </c>
    </row>
    <row r="4" spans="1:11">
      <c r="B4" s="3" t="s">
        <v>2</v>
      </c>
    </row>
    <row r="5" spans="1:11">
      <c r="B5" s="3" t="s">
        <v>3</v>
      </c>
    </row>
    <row r="6" spans="1:11">
      <c r="A6" s="4"/>
      <c r="B6" s="4" t="s">
        <v>488</v>
      </c>
      <c r="C6" s="4"/>
      <c r="D6" s="4"/>
      <c r="E6" s="4"/>
      <c r="F6" s="4"/>
      <c r="G6" s="4"/>
      <c r="H6" s="4"/>
      <c r="I6" s="4"/>
      <c r="J6" s="4"/>
      <c r="K6" s="4"/>
    </row>
    <row r="7" spans="1:11">
      <c r="A7" s="4"/>
      <c r="B7" s="4" t="s">
        <v>141</v>
      </c>
      <c r="C7" s="4" t="s">
        <v>489</v>
      </c>
      <c r="D7" s="4" t="s">
        <v>490</v>
      </c>
      <c r="E7" s="4" t="s">
        <v>491</v>
      </c>
      <c r="F7" s="4" t="s">
        <v>52</v>
      </c>
      <c r="G7" s="4" t="s">
        <v>492</v>
      </c>
      <c r="H7" s="4" t="s">
        <v>56</v>
      </c>
      <c r="I7" s="4" t="s">
        <v>91</v>
      </c>
      <c r="J7" s="4"/>
      <c r="K7" s="4"/>
    </row>
    <row r="8" spans="1:11">
      <c r="A8" s="4"/>
      <c r="B8" s="4"/>
      <c r="C8" s="4" t="s">
        <v>430</v>
      </c>
      <c r="D8" s="4"/>
      <c r="E8" s="4" t="s">
        <v>8</v>
      </c>
      <c r="F8" s="4"/>
      <c r="G8" s="4" t="s">
        <v>7</v>
      </c>
      <c r="H8" s="4" t="s">
        <v>8</v>
      </c>
      <c r="I8" s="4" t="s">
        <v>8</v>
      </c>
      <c r="J8" s="4"/>
      <c r="K8" s="4"/>
    </row>
    <row r="9" spans="1:11">
      <c r="A9" s="4"/>
      <c r="B9" s="4"/>
      <c r="C9" s="12" t="s">
        <v>9</v>
      </c>
      <c r="D9" s="12" t="s">
        <v>10</v>
      </c>
      <c r="E9" s="12" t="s">
        <v>58</v>
      </c>
      <c r="F9" s="12" t="s">
        <v>59</v>
      </c>
      <c r="G9" s="12" t="s">
        <v>60</v>
      </c>
      <c r="H9" s="12" t="s">
        <v>61</v>
      </c>
      <c r="I9" s="12" t="s">
        <v>62</v>
      </c>
      <c r="J9" s="4"/>
      <c r="K9" s="4"/>
    </row>
    <row r="10" spans="1:11">
      <c r="A10" s="13"/>
      <c r="B10" s="19" t="s">
        <v>493</v>
      </c>
      <c r="C10" s="13"/>
      <c r="D10" s="13"/>
      <c r="E10" s="14">
        <v>0</v>
      </c>
      <c r="F10" s="13"/>
      <c r="G10" s="14">
        <v>0</v>
      </c>
      <c r="H10" s="14">
        <v>0</v>
      </c>
      <c r="I10" s="14">
        <v>0</v>
      </c>
      <c r="J10" s="13"/>
      <c r="K10" s="13"/>
    </row>
    <row r="11" spans="1:11">
      <c r="A11" s="7"/>
      <c r="B11" s="7" t="s">
        <v>494</v>
      </c>
      <c r="C11" s="7"/>
      <c r="D11" s="7"/>
      <c r="E11" s="15">
        <v>0</v>
      </c>
      <c r="F11" s="7"/>
      <c r="G11" s="15">
        <v>0</v>
      </c>
      <c r="H11" s="15">
        <v>0</v>
      </c>
      <c r="I11" s="15">
        <v>0</v>
      </c>
      <c r="J11" s="7"/>
      <c r="K11" s="7"/>
    </row>
    <row r="12" spans="1:11">
      <c r="A12" s="7"/>
      <c r="B12" s="7" t="s">
        <v>495</v>
      </c>
      <c r="C12" s="7"/>
      <c r="D12" s="7"/>
      <c r="E12" s="15">
        <v>0</v>
      </c>
      <c r="F12" s="7"/>
      <c r="G12" s="15">
        <v>0</v>
      </c>
      <c r="H12" s="15">
        <v>0</v>
      </c>
      <c r="I12" s="15">
        <v>0</v>
      </c>
      <c r="J12" s="7"/>
      <c r="K12" s="7"/>
    </row>
    <row r="13" spans="1:11">
      <c r="A13" s="7"/>
      <c r="B13" s="7" t="s">
        <v>496</v>
      </c>
      <c r="C13" s="7"/>
      <c r="D13" s="7"/>
      <c r="E13" s="15">
        <v>0</v>
      </c>
      <c r="F13" s="7"/>
      <c r="G13" s="15">
        <v>0</v>
      </c>
      <c r="H13" s="15">
        <v>0</v>
      </c>
      <c r="I13" s="15">
        <v>0</v>
      </c>
      <c r="J13" s="7"/>
      <c r="K13" s="7"/>
    </row>
    <row r="14" spans="1:11">
      <c r="A14" s="7"/>
      <c r="B14" s="7" t="s">
        <v>497</v>
      </c>
      <c r="C14" s="7"/>
      <c r="D14" s="7"/>
      <c r="E14" s="15">
        <v>0</v>
      </c>
      <c r="F14" s="7"/>
      <c r="G14" s="15">
        <v>0</v>
      </c>
      <c r="H14" s="15">
        <v>0</v>
      </c>
      <c r="I14" s="15">
        <v>0</v>
      </c>
      <c r="J14" s="7"/>
      <c r="K14" s="7"/>
    </row>
    <row r="15" spans="1:11">
      <c r="A15" s="7"/>
      <c r="B15" s="7" t="s">
        <v>495</v>
      </c>
      <c r="C15" s="7"/>
      <c r="D15" s="7"/>
      <c r="E15" s="15">
        <v>0</v>
      </c>
      <c r="F15" s="7"/>
      <c r="G15" s="15">
        <v>0</v>
      </c>
      <c r="H15" s="15">
        <v>0</v>
      </c>
      <c r="I15" s="15">
        <v>0</v>
      </c>
      <c r="J15" s="7"/>
      <c r="K15" s="7"/>
    </row>
    <row r="16" spans="1:11">
      <c r="A16" s="7"/>
      <c r="B16" s="7" t="s">
        <v>496</v>
      </c>
      <c r="C16" s="7"/>
      <c r="D16" s="7"/>
      <c r="E16" s="15">
        <v>0</v>
      </c>
      <c r="F16" s="7"/>
      <c r="G16" s="15">
        <v>0</v>
      </c>
      <c r="H16" s="15">
        <v>0</v>
      </c>
      <c r="I16" s="15">
        <v>0</v>
      </c>
      <c r="J16" s="7"/>
      <c r="K16" s="7"/>
    </row>
    <row r="17" spans="1:11">
      <c r="A17" s="13"/>
      <c r="B17" s="19" t="s">
        <v>83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>
      <c r="A18" s="13"/>
      <c r="B18" s="19" t="s">
        <v>126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>
      <c r="A19" s="3" t="s">
        <v>443</v>
      </c>
      <c r="B19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>
  <dimension ref="A2:K15"/>
  <sheetViews>
    <sheetView rightToLeft="1" workbookViewId="0"/>
  </sheetViews>
  <sheetFormatPr defaultRowHeight="12.75"/>
  <cols>
    <col min="1" max="1" width="2" style="1"/>
    <col min="2" max="2" width="34" style="1"/>
    <col min="3" max="3" width="12" style="1"/>
    <col min="4" max="4" width="7" style="1"/>
    <col min="5" max="5" width="10" style="1"/>
    <col min="6" max="6" width="14" style="1"/>
    <col min="7" max="7" width="10" style="1"/>
    <col min="8" max="8" width="14" style="1"/>
    <col min="9" max="9" width="11" style="1"/>
    <col min="10" max="10" width="24" style="1"/>
    <col min="11" max="11" width="23" style="1"/>
  </cols>
  <sheetData>
    <row r="2" spans="1:11">
      <c r="B2" s="2" t="s">
        <v>0</v>
      </c>
    </row>
    <row r="3" spans="1:11">
      <c r="B3" s="2" t="s">
        <v>1</v>
      </c>
    </row>
    <row r="4" spans="1:11">
      <c r="B4" s="3" t="s">
        <v>2</v>
      </c>
    </row>
    <row r="5" spans="1:11">
      <c r="B5" s="3" t="s">
        <v>3</v>
      </c>
    </row>
    <row r="6" spans="1:11">
      <c r="A6" s="4"/>
      <c r="B6" s="4" t="s">
        <v>498</v>
      </c>
      <c r="C6" s="4"/>
      <c r="D6" s="4"/>
      <c r="E6" s="4"/>
      <c r="F6" s="4"/>
      <c r="G6" s="4"/>
      <c r="H6" s="4"/>
      <c r="I6" s="4"/>
      <c r="J6" s="4"/>
      <c r="K6" s="4"/>
    </row>
    <row r="7" spans="1:11">
      <c r="A7" s="4"/>
      <c r="B7" s="4" t="s">
        <v>141</v>
      </c>
      <c r="C7" s="4" t="s">
        <v>49</v>
      </c>
      <c r="D7" s="4" t="s">
        <v>50</v>
      </c>
      <c r="E7" s="4" t="s">
        <v>499</v>
      </c>
      <c r="F7" s="4" t="s">
        <v>500</v>
      </c>
      <c r="G7" s="4" t="s">
        <v>52</v>
      </c>
      <c r="H7" s="4" t="s">
        <v>54</v>
      </c>
      <c r="I7" s="4" t="s">
        <v>5</v>
      </c>
      <c r="J7" s="4" t="s">
        <v>56</v>
      </c>
      <c r="K7" s="4" t="s">
        <v>91</v>
      </c>
    </row>
    <row r="8" spans="1:11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>
      <c r="A9" s="4"/>
      <c r="B9" s="4"/>
      <c r="C9" s="12" t="s">
        <v>9</v>
      </c>
      <c r="D9" s="12" t="s">
        <v>10</v>
      </c>
      <c r="E9" s="12" t="s">
        <v>58</v>
      </c>
      <c r="F9" s="12" t="s">
        <v>59</v>
      </c>
      <c r="G9" s="12" t="s">
        <v>60</v>
      </c>
      <c r="H9" s="12" t="s">
        <v>61</v>
      </c>
      <c r="I9" s="12" t="s">
        <v>62</v>
      </c>
      <c r="J9" s="12" t="s">
        <v>63</v>
      </c>
      <c r="K9" s="12" t="s">
        <v>64</v>
      </c>
    </row>
    <row r="10" spans="1:11">
      <c r="A10" s="13"/>
      <c r="B10" s="19" t="s">
        <v>501</v>
      </c>
      <c r="C10" s="13"/>
      <c r="D10" s="13"/>
      <c r="E10" s="13"/>
      <c r="F10" s="14">
        <v>0</v>
      </c>
      <c r="G10" s="13"/>
      <c r="H10" s="14">
        <v>0</v>
      </c>
      <c r="I10" s="14">
        <v>0</v>
      </c>
      <c r="J10" s="14">
        <v>0</v>
      </c>
      <c r="K10" s="14">
        <v>0</v>
      </c>
    </row>
    <row r="11" spans="1:11">
      <c r="A11" s="7"/>
      <c r="B11" s="7" t="s">
        <v>67</v>
      </c>
      <c r="C11" s="7"/>
      <c r="D11" s="7"/>
      <c r="E11" s="7"/>
      <c r="F11" s="15">
        <v>0</v>
      </c>
      <c r="G11" s="7"/>
      <c r="H11" s="15">
        <v>0</v>
      </c>
      <c r="I11" s="15">
        <v>0</v>
      </c>
      <c r="J11" s="15">
        <v>0</v>
      </c>
      <c r="K11" s="15">
        <v>0</v>
      </c>
    </row>
    <row r="12" spans="1:11">
      <c r="A12" s="7"/>
      <c r="B12" s="7" t="s">
        <v>80</v>
      </c>
      <c r="C12" s="7"/>
      <c r="D12" s="7"/>
      <c r="E12" s="7"/>
      <c r="F12" s="15">
        <v>0</v>
      </c>
      <c r="G12" s="7"/>
      <c r="H12" s="15">
        <v>0</v>
      </c>
      <c r="I12" s="15">
        <v>0</v>
      </c>
      <c r="J12" s="15">
        <v>0</v>
      </c>
      <c r="K12" s="15">
        <v>0</v>
      </c>
    </row>
    <row r="13" spans="1:11">
      <c r="A13" s="13"/>
      <c r="B13" s="19" t="s">
        <v>83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1:11">
      <c r="A14" s="13"/>
      <c r="B14" s="19" t="s">
        <v>126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>
      <c r="A15" s="3" t="s">
        <v>443</v>
      </c>
      <c r="B15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>
  <dimension ref="A2:K23"/>
  <sheetViews>
    <sheetView rightToLeft="1" workbookViewId="0">
      <selection activeCell="I11" sqref="I11"/>
    </sheetView>
  </sheetViews>
  <sheetFormatPr defaultRowHeight="12.75"/>
  <cols>
    <col min="1" max="1" width="2" style="1"/>
    <col min="2" max="2" width="46" style="1"/>
    <col min="3" max="3" width="12" style="1"/>
    <col min="4" max="4" width="7" style="1"/>
    <col min="5" max="5" width="10" style="1"/>
    <col min="6" max="6" width="14" style="1"/>
    <col min="7" max="7" width="10" style="1"/>
    <col min="8" max="8" width="14" style="1"/>
    <col min="9" max="9" width="11" style="1"/>
    <col min="10" max="10" width="24" style="1"/>
    <col min="11" max="11" width="23" style="1"/>
  </cols>
  <sheetData>
    <row r="2" spans="1:11">
      <c r="B2" s="2" t="s">
        <v>0</v>
      </c>
    </row>
    <row r="3" spans="1:11">
      <c r="B3" s="2" t="s">
        <v>1</v>
      </c>
    </row>
    <row r="4" spans="1:11">
      <c r="B4" s="3" t="s">
        <v>2</v>
      </c>
    </row>
    <row r="5" spans="1:11">
      <c r="B5" s="3" t="s">
        <v>3</v>
      </c>
    </row>
    <row r="6" spans="1:1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4"/>
      <c r="B7" s="4" t="s">
        <v>141</v>
      </c>
      <c r="C7" s="4" t="s">
        <v>502</v>
      </c>
      <c r="D7" s="4" t="s">
        <v>50</v>
      </c>
      <c r="E7" s="4" t="s">
        <v>499</v>
      </c>
      <c r="F7" s="4" t="s">
        <v>500</v>
      </c>
      <c r="G7" s="4" t="s">
        <v>52</v>
      </c>
      <c r="H7" s="4" t="s">
        <v>54</v>
      </c>
      <c r="I7" s="4" t="s">
        <v>5</v>
      </c>
      <c r="J7" s="4" t="s">
        <v>56</v>
      </c>
      <c r="K7" s="4" t="s">
        <v>91</v>
      </c>
    </row>
    <row r="8" spans="1:11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>
      <c r="A9" s="4"/>
      <c r="B9" s="4"/>
      <c r="C9" s="12" t="s">
        <v>9</v>
      </c>
      <c r="D9" s="12" t="s">
        <v>10</v>
      </c>
      <c r="E9" s="12" t="s">
        <v>58</v>
      </c>
      <c r="F9" s="12" t="s">
        <v>59</v>
      </c>
      <c r="G9" s="12" t="s">
        <v>60</v>
      </c>
      <c r="H9" s="12" t="s">
        <v>61</v>
      </c>
      <c r="I9" s="12" t="s">
        <v>62</v>
      </c>
      <c r="J9" s="12" t="s">
        <v>63</v>
      </c>
      <c r="K9" s="12" t="s">
        <v>64</v>
      </c>
    </row>
    <row r="10" spans="1:11">
      <c r="A10" s="13"/>
      <c r="B10" s="13" t="s">
        <v>503</v>
      </c>
      <c r="C10" s="13"/>
      <c r="D10" s="13"/>
      <c r="E10" s="13"/>
      <c r="F10" s="13"/>
      <c r="G10" s="13"/>
      <c r="H10" s="13"/>
      <c r="I10" s="14">
        <f>I11</f>
        <v>-208.10999999999999</v>
      </c>
      <c r="J10" s="14">
        <v>133.72</v>
      </c>
      <c r="K10" s="14">
        <v>-0.13</v>
      </c>
    </row>
    <row r="11" spans="1:11">
      <c r="A11" s="7"/>
      <c r="B11" s="7" t="s">
        <v>67</v>
      </c>
      <c r="C11" s="7"/>
      <c r="D11" s="7"/>
      <c r="E11" s="7"/>
      <c r="F11" s="7"/>
      <c r="G11" s="7"/>
      <c r="H11" s="7"/>
      <c r="I11" s="15">
        <f>SUM(I12:I19)</f>
        <v>-208.10999999999999</v>
      </c>
      <c r="J11" s="15">
        <v>133.72</v>
      </c>
      <c r="K11" s="15">
        <v>-0.13</v>
      </c>
    </row>
    <row r="12" spans="1:11">
      <c r="A12" s="16"/>
      <c r="B12" s="16" t="s">
        <v>504</v>
      </c>
      <c r="C12" s="16" t="s">
        <v>505</v>
      </c>
      <c r="D12" s="16"/>
      <c r="E12" s="16"/>
      <c r="F12" s="18">
        <v>0</v>
      </c>
      <c r="G12" s="16" t="s">
        <v>76</v>
      </c>
      <c r="H12" s="18">
        <v>0</v>
      </c>
      <c r="I12" s="18">
        <v>-0.02</v>
      </c>
      <c r="J12" s="18">
        <v>0.01</v>
      </c>
      <c r="K12" s="18">
        <v>0</v>
      </c>
    </row>
    <row r="13" spans="1:11">
      <c r="A13" s="16"/>
      <c r="B13" s="16" t="s">
        <v>506</v>
      </c>
      <c r="C13" s="16" t="s">
        <v>505</v>
      </c>
      <c r="D13" s="16"/>
      <c r="E13" s="16"/>
      <c r="F13" s="18">
        <v>0</v>
      </c>
      <c r="G13" s="16" t="s">
        <v>76</v>
      </c>
      <c r="H13" s="18">
        <v>0</v>
      </c>
      <c r="I13" s="18">
        <v>-236.54</v>
      </c>
      <c r="J13" s="18">
        <v>167.42</v>
      </c>
      <c r="K13" s="18">
        <v>-0.16</v>
      </c>
    </row>
    <row r="14" spans="1:11">
      <c r="A14" s="16"/>
      <c r="B14" s="16" t="s">
        <v>540</v>
      </c>
      <c r="C14" s="16"/>
      <c r="D14" s="16"/>
      <c r="E14" s="16"/>
      <c r="F14" s="18">
        <v>1</v>
      </c>
      <c r="G14" s="16" t="s">
        <v>76</v>
      </c>
      <c r="H14" s="18">
        <v>0</v>
      </c>
      <c r="I14" s="18">
        <v>-17.2</v>
      </c>
      <c r="J14" s="18"/>
      <c r="K14" s="18"/>
    </row>
    <row r="15" spans="1:11">
      <c r="A15" s="16"/>
      <c r="B15" s="16" t="s">
        <v>507</v>
      </c>
      <c r="C15" s="17" t="s">
        <v>508</v>
      </c>
      <c r="D15" s="17" t="s">
        <v>179</v>
      </c>
      <c r="E15" s="16" t="s">
        <v>148</v>
      </c>
      <c r="F15" s="18">
        <v>4.0999999999999996</v>
      </c>
      <c r="G15" s="16" t="s">
        <v>76</v>
      </c>
      <c r="H15" s="18">
        <v>1.1599999999999999</v>
      </c>
      <c r="I15" s="18">
        <v>11.89</v>
      </c>
      <c r="J15" s="18">
        <v>-8.7799999999999994</v>
      </c>
      <c r="K15" s="18">
        <v>0.01</v>
      </c>
    </row>
    <row r="16" spans="1:11">
      <c r="A16" s="16"/>
      <c r="B16" s="16" t="s">
        <v>509</v>
      </c>
      <c r="C16" s="17" t="s">
        <v>510</v>
      </c>
      <c r="D16" s="17" t="s">
        <v>271</v>
      </c>
      <c r="E16" s="16" t="s">
        <v>148</v>
      </c>
      <c r="F16" s="18">
        <v>2</v>
      </c>
      <c r="G16" s="16" t="s">
        <v>76</v>
      </c>
      <c r="H16" s="18">
        <v>1.19</v>
      </c>
      <c r="I16" s="18">
        <v>11.56</v>
      </c>
      <c r="J16" s="18">
        <v>-8.5399999999999991</v>
      </c>
      <c r="K16" s="18">
        <v>0.01</v>
      </c>
    </row>
    <row r="17" spans="1:11">
      <c r="A17" s="16"/>
      <c r="B17" s="16" t="s">
        <v>511</v>
      </c>
      <c r="C17" s="17" t="s">
        <v>512</v>
      </c>
      <c r="D17" s="17" t="s">
        <v>271</v>
      </c>
      <c r="E17" s="16" t="s">
        <v>148</v>
      </c>
      <c r="F17" s="18">
        <v>4.5</v>
      </c>
      <c r="G17" s="16" t="s">
        <v>76</v>
      </c>
      <c r="H17" s="18">
        <v>1.4</v>
      </c>
      <c r="I17" s="18">
        <v>0.99</v>
      </c>
      <c r="J17" s="18">
        <v>-0.73</v>
      </c>
      <c r="K17" s="18">
        <v>0</v>
      </c>
    </row>
    <row r="18" spans="1:11">
      <c r="A18" s="16"/>
      <c r="B18" s="16" t="s">
        <v>513</v>
      </c>
      <c r="C18" s="17" t="s">
        <v>297</v>
      </c>
      <c r="D18" s="17" t="s">
        <v>271</v>
      </c>
      <c r="E18" s="16" t="s">
        <v>148</v>
      </c>
      <c r="F18" s="18">
        <v>5.3</v>
      </c>
      <c r="G18" s="16" t="s">
        <v>76</v>
      </c>
      <c r="H18" s="18">
        <v>1.49</v>
      </c>
      <c r="I18" s="18">
        <v>16.100000000000001</v>
      </c>
      <c r="J18" s="18">
        <v>-11.89</v>
      </c>
      <c r="K18" s="18">
        <v>0.01</v>
      </c>
    </row>
    <row r="19" spans="1:11">
      <c r="A19" s="16"/>
      <c r="B19" s="16" t="s">
        <v>514</v>
      </c>
      <c r="C19" s="17" t="s">
        <v>515</v>
      </c>
      <c r="D19" s="17" t="s">
        <v>271</v>
      </c>
      <c r="E19" s="16" t="s">
        <v>148</v>
      </c>
      <c r="F19" s="18">
        <v>4.5999999999999996</v>
      </c>
      <c r="G19" s="16" t="s">
        <v>76</v>
      </c>
      <c r="H19" s="18">
        <v>1.92</v>
      </c>
      <c r="I19" s="18">
        <v>5.1100000000000003</v>
      </c>
      <c r="J19" s="18">
        <v>-3.77</v>
      </c>
      <c r="K19" s="18">
        <v>0</v>
      </c>
    </row>
    <row r="20" spans="1:11">
      <c r="A20" s="7"/>
      <c r="B20" s="7" t="s">
        <v>80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</row>
    <row r="21" spans="1:11">
      <c r="A21" s="13"/>
      <c r="B21" s="19" t="s">
        <v>83</v>
      </c>
      <c r="C21" s="13"/>
      <c r="D21" s="13"/>
      <c r="E21" s="13"/>
      <c r="F21" s="13"/>
      <c r="G21" s="13"/>
      <c r="H21" s="13"/>
      <c r="I21" s="13"/>
      <c r="J21" s="13"/>
      <c r="K21" s="13"/>
    </row>
    <row r="22" spans="1:11">
      <c r="A22" s="13"/>
      <c r="B22" s="19" t="s">
        <v>126</v>
      </c>
      <c r="C22" s="13"/>
      <c r="D22" s="13"/>
      <c r="E22" s="13"/>
      <c r="F22" s="13"/>
      <c r="G22" s="13"/>
      <c r="H22" s="13"/>
      <c r="I22" s="13"/>
      <c r="J22" s="13"/>
      <c r="K22" s="13"/>
    </row>
    <row r="23" spans="1:11">
      <c r="A23" s="3" t="s">
        <v>443</v>
      </c>
      <c r="B23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>
  <dimension ref="A2:D14"/>
  <sheetViews>
    <sheetView rightToLeft="1" workbookViewId="0"/>
  </sheetViews>
  <sheetFormatPr defaultRowHeight="12.75"/>
  <cols>
    <col min="1" max="1" width="2" style="1"/>
    <col min="2" max="2" width="29" style="1"/>
    <col min="3" max="3" width="16" style="1"/>
    <col min="4" max="4" width="22" style="1"/>
  </cols>
  <sheetData>
    <row r="2" spans="1:4">
      <c r="B2" s="2" t="s">
        <v>0</v>
      </c>
    </row>
    <row r="3" spans="1:4">
      <c r="B3" s="2" t="s">
        <v>1</v>
      </c>
    </row>
    <row r="4" spans="1:4">
      <c r="B4" s="3" t="s">
        <v>2</v>
      </c>
    </row>
    <row r="5" spans="1:4">
      <c r="B5" s="3" t="s">
        <v>3</v>
      </c>
    </row>
    <row r="6" spans="1:4">
      <c r="A6" s="4"/>
      <c r="B6" s="12" t="s">
        <v>516</v>
      </c>
      <c r="C6" s="4"/>
      <c r="D6" s="4"/>
    </row>
    <row r="7" spans="1:4">
      <c r="A7" s="4"/>
      <c r="B7" s="4" t="s">
        <v>141</v>
      </c>
      <c r="C7" s="4" t="s">
        <v>517</v>
      </c>
      <c r="D7" s="4" t="s">
        <v>518</v>
      </c>
    </row>
    <row r="8" spans="1:4">
      <c r="A8" s="4"/>
      <c r="B8" s="4"/>
      <c r="C8" s="4" t="s">
        <v>7</v>
      </c>
      <c r="D8" s="4" t="s">
        <v>430</v>
      </c>
    </row>
    <row r="9" spans="1:4">
      <c r="A9" s="4"/>
      <c r="B9" s="4"/>
      <c r="C9" s="12" t="s">
        <v>9</v>
      </c>
      <c r="D9" s="12" t="s">
        <v>10</v>
      </c>
    </row>
    <row r="10" spans="1:4">
      <c r="A10" s="13"/>
      <c r="B10" s="13" t="s">
        <v>519</v>
      </c>
      <c r="C10" s="14">
        <v>0</v>
      </c>
      <c r="D10" s="13"/>
    </row>
    <row r="11" spans="1:4">
      <c r="A11" s="7"/>
      <c r="B11" s="7" t="s">
        <v>67</v>
      </c>
      <c r="C11" s="15">
        <v>0</v>
      </c>
      <c r="D11" s="7"/>
    </row>
    <row r="12" spans="1:4">
      <c r="A12" s="7"/>
      <c r="B12" s="7" t="s">
        <v>80</v>
      </c>
      <c r="C12" s="15">
        <v>0</v>
      </c>
      <c r="D12" s="7"/>
    </row>
    <row r="13" spans="1:4">
      <c r="A13" s="13"/>
      <c r="B13" s="19" t="s">
        <v>520</v>
      </c>
      <c r="C13" s="13"/>
      <c r="D13" s="13"/>
    </row>
    <row r="14" spans="1:4">
      <c r="A14" s="3" t="s">
        <v>443</v>
      </c>
      <c r="B14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>
  <dimension ref="A2:Q21"/>
  <sheetViews>
    <sheetView rightToLeft="1" workbookViewId="0"/>
  </sheetViews>
  <sheetFormatPr defaultRowHeight="12.75"/>
  <cols>
    <col min="1" max="1" width="2" style="1"/>
    <col min="2" max="2" width="37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>
      <c r="B2" s="2" t="s">
        <v>0</v>
      </c>
    </row>
    <row r="3" spans="1:17">
      <c r="B3" s="2" t="s">
        <v>1</v>
      </c>
    </row>
    <row r="4" spans="1:17">
      <c r="B4" s="3" t="s">
        <v>2</v>
      </c>
    </row>
    <row r="5" spans="1:17">
      <c r="B5" s="3" t="s">
        <v>3</v>
      </c>
    </row>
    <row r="6" spans="1:17">
      <c r="A6" s="4"/>
      <c r="B6" s="12" t="s">
        <v>521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>
      <c r="A7" s="4"/>
      <c r="B7" s="4" t="s">
        <v>141</v>
      </c>
      <c r="C7" s="4" t="s">
        <v>48</v>
      </c>
      <c r="D7" s="4" t="s">
        <v>129</v>
      </c>
      <c r="E7" s="4" t="s">
        <v>50</v>
      </c>
      <c r="F7" s="4" t="s">
        <v>51</v>
      </c>
      <c r="G7" s="4" t="s">
        <v>130</v>
      </c>
      <c r="H7" s="4" t="s">
        <v>87</v>
      </c>
      <c r="I7" s="4" t="s">
        <v>52</v>
      </c>
      <c r="J7" s="4" t="s">
        <v>53</v>
      </c>
      <c r="K7" s="4" t="s">
        <v>522</v>
      </c>
      <c r="L7" s="4" t="s">
        <v>88</v>
      </c>
      <c r="M7" s="4" t="s">
        <v>523</v>
      </c>
      <c r="N7" s="4" t="s">
        <v>90</v>
      </c>
      <c r="O7" s="4" t="s">
        <v>56</v>
      </c>
      <c r="P7" s="4" t="s">
        <v>91</v>
      </c>
      <c r="Q7" s="4"/>
    </row>
    <row r="8" spans="1:17">
      <c r="A8" s="4"/>
      <c r="B8" s="4"/>
      <c r="C8" s="4"/>
      <c r="D8" s="4"/>
      <c r="E8" s="4"/>
      <c r="F8" s="4"/>
      <c r="G8" s="4"/>
      <c r="H8" s="4" t="s">
        <v>92</v>
      </c>
      <c r="I8" s="4"/>
      <c r="J8" s="4" t="s">
        <v>8</v>
      </c>
      <c r="K8" s="4" t="s">
        <v>524</v>
      </c>
      <c r="L8" s="4" t="s">
        <v>93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>
      <c r="A9" s="4"/>
      <c r="B9" s="4"/>
      <c r="C9" s="12" t="s">
        <v>9</v>
      </c>
      <c r="D9" s="12" t="s">
        <v>10</v>
      </c>
      <c r="E9" s="12" t="s">
        <v>58</v>
      </c>
      <c r="F9" s="12" t="s">
        <v>59</v>
      </c>
      <c r="G9" s="12" t="s">
        <v>60</v>
      </c>
      <c r="H9" s="12" t="s">
        <v>61</v>
      </c>
      <c r="I9" s="12" t="s">
        <v>62</v>
      </c>
      <c r="J9" s="12" t="s">
        <v>63</v>
      </c>
      <c r="K9" s="12" t="s">
        <v>64</v>
      </c>
      <c r="L9" s="12" t="s">
        <v>65</v>
      </c>
      <c r="M9" s="12" t="s">
        <v>95</v>
      </c>
      <c r="N9" s="12" t="s">
        <v>96</v>
      </c>
      <c r="O9" s="12" t="s">
        <v>97</v>
      </c>
      <c r="P9" s="12" t="s">
        <v>98</v>
      </c>
      <c r="Q9" s="4"/>
    </row>
    <row r="10" spans="1:17">
      <c r="A10" s="13"/>
      <c r="B10" s="13" t="s">
        <v>525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3"/>
      <c r="O10" s="14">
        <v>0</v>
      </c>
      <c r="P10" s="14">
        <v>0</v>
      </c>
      <c r="Q10" s="13"/>
    </row>
    <row r="11" spans="1:17">
      <c r="A11" s="13"/>
      <c r="B11" s="13" t="s">
        <v>67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>
      <c r="A12" s="7"/>
      <c r="B12" s="7" t="s">
        <v>136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>
      <c r="A13" s="7"/>
      <c r="B13" s="7" t="s">
        <v>112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>
      <c r="A14" s="7"/>
      <c r="B14" s="7" t="s">
        <v>137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>
      <c r="A15" s="7"/>
      <c r="B15" s="7" t="s">
        <v>383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>
      <c r="A16" s="13"/>
      <c r="B16" s="13" t="s">
        <v>526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7"/>
      <c r="B17" s="7" t="s">
        <v>441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>
      <c r="A18" s="7"/>
      <c r="B18" s="7" t="s">
        <v>442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>
      <c r="A19" s="13"/>
      <c r="B19" s="19" t="s">
        <v>83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>
      <c r="A20" s="13"/>
      <c r="B20" s="19" t="s">
        <v>126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>
      <c r="A21" s="3" t="s">
        <v>443</v>
      </c>
      <c r="B21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>
  <dimension ref="A2:Q21"/>
  <sheetViews>
    <sheetView rightToLeft="1" workbookViewId="0"/>
  </sheetViews>
  <sheetFormatPr defaultRowHeight="12.75"/>
  <cols>
    <col min="1" max="1" width="2" style="1"/>
    <col min="2" max="2" width="38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>
      <c r="B2" s="2" t="s">
        <v>0</v>
      </c>
    </row>
    <row r="3" spans="1:17">
      <c r="B3" s="2" t="s">
        <v>1</v>
      </c>
    </row>
    <row r="4" spans="1:17">
      <c r="B4" s="3" t="s">
        <v>2</v>
      </c>
    </row>
    <row r="5" spans="1:17">
      <c r="B5" s="3" t="s">
        <v>3</v>
      </c>
    </row>
    <row r="6" spans="1:17">
      <c r="A6" s="4"/>
      <c r="B6" s="12" t="s">
        <v>527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>
      <c r="A7" s="4"/>
      <c r="B7" s="4" t="s">
        <v>141</v>
      </c>
      <c r="C7" s="4" t="s">
        <v>48</v>
      </c>
      <c r="D7" s="4" t="s">
        <v>129</v>
      </c>
      <c r="E7" s="4" t="s">
        <v>50</v>
      </c>
      <c r="F7" s="4" t="s">
        <v>51</v>
      </c>
      <c r="G7" s="4" t="s">
        <v>130</v>
      </c>
      <c r="H7" s="4" t="s">
        <v>87</v>
      </c>
      <c r="I7" s="4" t="s">
        <v>52</v>
      </c>
      <c r="J7" s="4" t="s">
        <v>53</v>
      </c>
      <c r="K7" s="4" t="s">
        <v>522</v>
      </c>
      <c r="L7" s="4" t="s">
        <v>88</v>
      </c>
      <c r="M7" s="4" t="s">
        <v>523</v>
      </c>
      <c r="N7" s="4" t="s">
        <v>90</v>
      </c>
      <c r="O7" s="4" t="s">
        <v>56</v>
      </c>
      <c r="P7" s="4" t="s">
        <v>91</v>
      </c>
      <c r="Q7" s="4"/>
    </row>
    <row r="8" spans="1:17">
      <c r="A8" s="4"/>
      <c r="B8" s="4"/>
      <c r="C8" s="4"/>
      <c r="D8" s="4"/>
      <c r="E8" s="4"/>
      <c r="F8" s="4"/>
      <c r="G8" s="4" t="s">
        <v>430</v>
      </c>
      <c r="H8" s="4" t="s">
        <v>92</v>
      </c>
      <c r="I8" s="4"/>
      <c r="J8" s="4" t="s">
        <v>8</v>
      </c>
      <c r="K8" s="4" t="s">
        <v>8</v>
      </c>
      <c r="L8" s="4" t="s">
        <v>93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>
      <c r="A9" s="4"/>
      <c r="B9" s="4"/>
      <c r="C9" s="12" t="s">
        <v>9</v>
      </c>
      <c r="D9" s="12" t="s">
        <v>10</v>
      </c>
      <c r="E9" s="12" t="s">
        <v>58</v>
      </c>
      <c r="F9" s="12" t="s">
        <v>59</v>
      </c>
      <c r="G9" s="12" t="s">
        <v>60</v>
      </c>
      <c r="H9" s="12" t="s">
        <v>61</v>
      </c>
      <c r="I9" s="12" t="s">
        <v>62</v>
      </c>
      <c r="J9" s="12" t="s">
        <v>63</v>
      </c>
      <c r="K9" s="12" t="s">
        <v>64</v>
      </c>
      <c r="L9" s="12" t="s">
        <v>65</v>
      </c>
      <c r="M9" s="12" t="s">
        <v>95</v>
      </c>
      <c r="N9" s="12" t="s">
        <v>96</v>
      </c>
      <c r="O9" s="12" t="s">
        <v>97</v>
      </c>
      <c r="P9" s="12" t="s">
        <v>98</v>
      </c>
      <c r="Q9" s="4"/>
    </row>
    <row r="10" spans="1:17">
      <c r="A10" s="13"/>
      <c r="B10" s="13" t="s">
        <v>528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4">
        <v>0</v>
      </c>
      <c r="O10" s="14">
        <v>0</v>
      </c>
      <c r="P10" s="14">
        <v>0</v>
      </c>
      <c r="Q10" s="13"/>
    </row>
    <row r="11" spans="1:17">
      <c r="A11" s="13"/>
      <c r="B11" s="13" t="s">
        <v>529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4">
        <v>0</v>
      </c>
      <c r="O11" s="14">
        <v>0</v>
      </c>
      <c r="P11" s="14">
        <v>0</v>
      </c>
      <c r="Q11" s="13"/>
    </row>
    <row r="12" spans="1:17">
      <c r="A12" s="7"/>
      <c r="B12" s="7" t="s">
        <v>530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15">
        <v>0</v>
      </c>
      <c r="O12" s="15">
        <v>0</v>
      </c>
      <c r="P12" s="15">
        <v>0</v>
      </c>
      <c r="Q12" s="7"/>
    </row>
    <row r="13" spans="1:17">
      <c r="A13" s="7"/>
      <c r="B13" s="7" t="s">
        <v>531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15">
        <v>0</v>
      </c>
      <c r="O13" s="15">
        <v>0</v>
      </c>
      <c r="P13" s="15">
        <v>0</v>
      </c>
      <c r="Q13" s="7"/>
    </row>
    <row r="14" spans="1:17">
      <c r="A14" s="7"/>
      <c r="B14" s="7" t="s">
        <v>487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15">
        <v>0</v>
      </c>
      <c r="O14" s="15">
        <v>0</v>
      </c>
      <c r="P14" s="15">
        <v>0</v>
      </c>
      <c r="Q14" s="7"/>
    </row>
    <row r="15" spans="1:17">
      <c r="A15" s="7"/>
      <c r="B15" s="7" t="s">
        <v>398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15">
        <v>0</v>
      </c>
      <c r="O15" s="15">
        <v>0</v>
      </c>
      <c r="P15" s="15">
        <v>0</v>
      </c>
      <c r="Q15" s="7"/>
    </row>
    <row r="16" spans="1:17">
      <c r="A16" s="13"/>
      <c r="B16" s="13" t="s">
        <v>532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7"/>
      <c r="B17" s="7" t="s">
        <v>533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>
      <c r="A18" s="7"/>
      <c r="B18" s="7" t="s">
        <v>534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>
      <c r="A19" s="13"/>
      <c r="B19" s="19" t="s">
        <v>83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>
      <c r="A20" s="13"/>
      <c r="B20" s="19" t="s">
        <v>126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>
      <c r="A21" s="3" t="s">
        <v>443</v>
      </c>
      <c r="B21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>
  <dimension ref="A2:P21"/>
  <sheetViews>
    <sheetView rightToLeft="1" workbookViewId="0"/>
  </sheetViews>
  <sheetFormatPr defaultRowHeight="12.75"/>
  <cols>
    <col min="1" max="1" width="2" style="1"/>
    <col min="2" max="2" width="37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</cols>
  <sheetData>
    <row r="2" spans="1:16">
      <c r="B2" s="2" t="s">
        <v>0</v>
      </c>
    </row>
    <row r="3" spans="1:16">
      <c r="B3" s="2" t="s">
        <v>1</v>
      </c>
    </row>
    <row r="4" spans="1:16">
      <c r="B4" s="3" t="s">
        <v>2</v>
      </c>
    </row>
    <row r="5" spans="1:16">
      <c r="B5" s="3" t="s">
        <v>3</v>
      </c>
    </row>
    <row r="6" spans="1:16">
      <c r="A6" s="4"/>
      <c r="B6" s="12" t="s">
        <v>535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4"/>
      <c r="B7" s="4" t="s">
        <v>141</v>
      </c>
      <c r="C7" s="4" t="s">
        <v>48</v>
      </c>
      <c r="D7" s="4" t="s">
        <v>129</v>
      </c>
      <c r="E7" s="4" t="s">
        <v>50</v>
      </c>
      <c r="F7" s="4" t="s">
        <v>51</v>
      </c>
      <c r="G7" s="4" t="s">
        <v>130</v>
      </c>
      <c r="H7" s="4" t="s">
        <v>87</v>
      </c>
      <c r="I7" s="4" t="s">
        <v>52</v>
      </c>
      <c r="J7" s="4" t="s">
        <v>53</v>
      </c>
      <c r="K7" s="4" t="s">
        <v>522</v>
      </c>
      <c r="L7" s="4" t="s">
        <v>88</v>
      </c>
      <c r="M7" s="4" t="s">
        <v>523</v>
      </c>
      <c r="N7" s="4" t="s">
        <v>90</v>
      </c>
      <c r="O7" s="4" t="s">
        <v>56</v>
      </c>
      <c r="P7" s="4" t="s">
        <v>91</v>
      </c>
    </row>
    <row r="8" spans="1:16">
      <c r="A8" s="4"/>
      <c r="B8" s="4"/>
      <c r="C8" s="4"/>
      <c r="D8" s="4"/>
      <c r="E8" s="4"/>
      <c r="F8" s="4"/>
      <c r="G8" s="4" t="s">
        <v>430</v>
      </c>
      <c r="H8" s="4" t="s">
        <v>92</v>
      </c>
      <c r="I8" s="4"/>
      <c r="J8" s="4" t="s">
        <v>8</v>
      </c>
      <c r="K8" s="4" t="s">
        <v>8</v>
      </c>
      <c r="L8" s="4" t="s">
        <v>93</v>
      </c>
      <c r="M8" s="4" t="s">
        <v>7</v>
      </c>
      <c r="N8" s="4" t="s">
        <v>8</v>
      </c>
      <c r="O8" s="4" t="s">
        <v>8</v>
      </c>
      <c r="P8" s="4" t="s">
        <v>8</v>
      </c>
    </row>
    <row r="9" spans="1:16">
      <c r="A9" s="4"/>
      <c r="B9" s="4"/>
      <c r="C9" s="12" t="s">
        <v>9</v>
      </c>
      <c r="D9" s="12" t="s">
        <v>10</v>
      </c>
      <c r="E9" s="12" t="s">
        <v>58</v>
      </c>
      <c r="F9" s="12" t="s">
        <v>59</v>
      </c>
      <c r="G9" s="12" t="s">
        <v>60</v>
      </c>
      <c r="H9" s="12" t="s">
        <v>61</v>
      </c>
      <c r="I9" s="12" t="s">
        <v>62</v>
      </c>
      <c r="J9" s="12" t="s">
        <v>63</v>
      </c>
      <c r="K9" s="12" t="s">
        <v>64</v>
      </c>
      <c r="L9" s="12" t="s">
        <v>65</v>
      </c>
      <c r="M9" s="12" t="s">
        <v>95</v>
      </c>
      <c r="N9" s="12" t="s">
        <v>96</v>
      </c>
      <c r="O9" s="12" t="s">
        <v>97</v>
      </c>
      <c r="P9" s="12" t="s">
        <v>98</v>
      </c>
    </row>
    <row r="10" spans="1:16">
      <c r="A10" s="13"/>
      <c r="B10" s="13" t="s">
        <v>536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>
      <c r="A11" s="7"/>
      <c r="B11" s="7" t="s">
        <v>529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/>
      <c r="B12" s="7" t="s">
        <v>530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7"/>
      <c r="B13" s="7" t="s">
        <v>531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7" t="s">
        <v>487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7"/>
      <c r="B15" s="7" t="s">
        <v>398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7"/>
      <c r="B16" s="7" t="s">
        <v>80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7"/>
      <c r="B17" s="7" t="s">
        <v>441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7"/>
      <c r="B18" s="7" t="s">
        <v>537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13"/>
      <c r="B19" s="19" t="s">
        <v>83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>
      <c r="A20" s="13"/>
      <c r="B20" s="19" t="s">
        <v>126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>
      <c r="A21" s="3" t="s">
        <v>443</v>
      </c>
      <c r="B21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yaniv</dc:creator>
  <cp:lastModifiedBy>barak</cp:lastModifiedBy>
  <dcterms:created xsi:type="dcterms:W3CDTF">2016-02-22T08:29:18Z</dcterms:created>
  <dcterms:modified xsi:type="dcterms:W3CDTF">2016-03-31T14:44:09Z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he-IL</dc:language>
  <cp:revision>0</cp:revision>
</cp:coreProperties>
</file>