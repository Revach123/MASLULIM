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EF3E6D2D-9CF2-472D-90B1-1A7E3A0DF53E}" xr6:coauthVersionLast="36" xr6:coauthVersionMax="36" xr10:uidLastSave="{00000000-0000-0000-0000-000000000000}"/>
  <bookViews>
    <workbookView xWindow="0" yWindow="0" windowWidth="28800" windowHeight="10545" xr2:uid="{4B53B225-2DEB-44ED-AD17-88140444B586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<sst xmlns="http://schemas.openxmlformats.org/spreadsheetml/2006/main" count="69" uniqueCount="51">
  <si>
    <t>אלטשולר שחם השתלמות  אשראי ואג"ח עם מניות (עד 25% מניות)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</si>
  <si>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</si>
  <si>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</si>
  <si>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</si>
  <si>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</si>
  <si>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</si>
  <si>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</si>
  <si>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</si>
  <si>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</si>
  <si>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29%-39%</t>
  </si>
  <si>
    <t>67%-מדד אג"ח ממשלתיות כללי,
 33%-ICE BOfA 10Y US TREASURY INDEX</t>
  </si>
  <si>
    <t>השקעה באג"ח ממשלתי עד שנה</t>
  </si>
  <si>
    <t>13%-23%</t>
  </si>
  <si>
    <t>67% - מדד תל גוב-מק"מ 
33% - ICE BOfA 0-1 YEAR US TREASURY INDEX</t>
  </si>
  <si>
    <t>אג"ח קונצרני</t>
  </si>
  <si>
    <t>+/-6%</t>
  </si>
  <si>
    <t>3%-15%</t>
  </si>
  <si>
    <t>67%-תל בונד 20,
33%-Bloomberg Global Aggregate Corporate</t>
  </si>
  <si>
    <t>מניות</t>
  </si>
  <si>
    <t>13%-25%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</si>
  <si>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</si>
  <si>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</si>
  <si>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</si>
  <si>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</si>
  <si>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</si>
  <si>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2%-12%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</si>
  <si>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</si>
  <si>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</si>
  <si>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</si>
  <si>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</si>
  <si>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4%-14%</t>
  </si>
  <si>
    <t>60%-תל בונד 20,
40%-Bloomberg Global Aggregate Corporate</t>
  </si>
  <si>
    <t>הלוואות לעמיתים</t>
  </si>
  <si>
    <t>נדל"ן</t>
  </si>
  <si>
    <t>1%-11%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</si>
  <si>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</si>
  <si>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</si>
  <si>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</si>
  <si>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</si>
  <si>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ICE BofA AAA US Fixed Rate CMBS Index</t>
  </si>
  <si>
    <t>**סה"כ</t>
  </si>
  <si>
    <t>חשיפה למט"ח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</si>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</sst>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0DA7652-AE64-4482-9C35-146A051F1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2120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9C3128-5287-4C56-8C91-E26A8B27544E}" name="WebTBL_1" displayName="WebTBL_1" ref="A4:F19" totalsRowShown="0" headerRowDxfId="10" dataDxfId="8" headerRowBorderDxfId="9" tableBorderDxfId="7" totalsRowBorderDxfId="6">
  <autoFilter ref="A4:F19" xr:uid="{9C32D72E-5563-40B0-8AF6-2318EA8ECABE}"/>
  <tableColumns count="6">
    <tableColumn id="1" xr3:uid="{F92D96BA-AB55-45BD-BF22-2669FA04307F}" name="אפיק השקעה" dataDxfId="5"/>
    <tableColumn id="2" xr3:uid="{C645753E-7CC6-497F-988A-A146EDC4AC75}" name="שיעור החשיפה בפועל ליום  31/12/2025*" dataDxfId="4"/>
    <tableColumn id="3" xr3:uid="{7BD50911-D7C8-4C80-B497-E2F8076FC327}" name="שיעור החשיפה הצפוי לשנת 2026" dataDxfId="3"/>
    <tableColumn id="4" xr3:uid="{46D1F4A0-D857-4DEB-84E9-4E954EDE9C30}" name="טווח סטייה" dataDxfId="2" dataCellStyle="Percent"/>
    <tableColumn id="5" xr3:uid="{F89494CB-362D-4087-B7D3-D961D0EFD96E}" name="גבולות שיעור החשיפה הצפויה" dataDxfId="1" dataCellStyle="Percent"/>
    <tableColumn id="6" xr3:uid="{AD73F30D-8944-4253-B428-7F5FCDD57B7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4BDFB-FDA1-4799-83DF-EC627A50403F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49</v>
      </c>
      <c r="B1" s="23"/>
      <c r="C1" s="23"/>
      <c r="D1" s="23"/>
      <c r="E1" s="23"/>
      <c r="F1" s="23"/>
      <c r="G1" s="27" t="s">
        <v>50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0.32500000000000001</v>
      </c>
      <c r="C5" s="8">
        <v>0.34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0.17280000000000001</v>
      </c>
      <c r="C6" s="8">
        <v>0.18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7.5700000000000003E-2</v>
      </c>
      <c r="C7" s="8">
        <v>0.09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0.18720000000000001</v>
      </c>
      <c r="C8" s="8">
        <v>0.19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1.2999999999999999E-3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6.9400000000000003E-2</v>
      </c>
      <c r="C10" s="8">
        <v>7.0000000000000007E-2</v>
      </c>
      <c r="D10" s="9" t="s">
        <v>8</v>
      </c>
      <c r="E10" s="10" t="s">
        <v>25</v>
      </c>
      <c r="F10" s="11" t="s">
        <v>26</v>
      </c>
      <c r="G10" s="25"/>
    </row>
    <row r="11" spans="1:9" ht="28.5" x14ac:dyDescent="0.2">
      <c r="A11" s="7" t="s">
        <v>27</v>
      </c>
      <c r="B11" s="8">
        <v>5.5399999999999998E-2</v>
      </c>
      <c r="C11" s="8">
        <v>0.05</v>
      </c>
      <c r="D11" s="9" t="s">
        <v>8</v>
      </c>
      <c r="E11" s="10" t="s">
        <v>22</v>
      </c>
      <c r="F11" s="11" t="s">
        <v>28</v>
      </c>
      <c r="G11" s="25"/>
    </row>
    <row r="12" spans="1:9" ht="28.5" x14ac:dyDescent="0.2">
      <c r="A12" s="7" t="s">
        <v>29</v>
      </c>
      <c r="B12" s="8">
        <v>6.3399999999999998E-2</v>
      </c>
      <c r="C12" s="8">
        <v>0.09</v>
      </c>
      <c r="D12" s="9" t="s">
        <v>8</v>
      </c>
      <c r="E12" s="10" t="s">
        <v>30</v>
      </c>
      <c r="F12" s="11" t="s">
        <v>31</v>
      </c>
      <c r="G12" s="25"/>
    </row>
    <row r="13" spans="1:9" x14ac:dyDescent="0.2">
      <c r="A13" s="7" t="s">
        <v>32</v>
      </c>
      <c r="B13" s="8">
        <v>4.1399999999999999E-2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33</v>
      </c>
      <c r="B14" s="8">
        <v>6.6100000000000006E-2</v>
      </c>
      <c r="C14" s="8">
        <v>0.06</v>
      </c>
      <c r="D14" s="9" t="s">
        <v>8</v>
      </c>
      <c r="E14" s="10" t="s">
        <v>34</v>
      </c>
      <c r="F14" s="11" t="s">
        <v>35</v>
      </c>
      <c r="G14" s="25"/>
    </row>
    <row r="15" spans="1:9" x14ac:dyDescent="0.2">
      <c r="A15" s="7" t="s">
        <v>36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37</v>
      </c>
      <c r="G15" s="25"/>
    </row>
    <row r="16" spans="1:9" x14ac:dyDescent="0.2">
      <c r="A16" s="7" t="s">
        <v>38</v>
      </c>
      <c r="B16" s="8">
        <v>3.8E-3</v>
      </c>
      <c r="C16" s="8">
        <v>0.05</v>
      </c>
      <c r="D16" s="9" t="s">
        <v>8</v>
      </c>
      <c r="E16" s="10" t="s">
        <v>22</v>
      </c>
      <c r="F16" s="11" t="s">
        <v>39</v>
      </c>
      <c r="G16" s="25"/>
    </row>
    <row r="17" spans="1:7" x14ac:dyDescent="0.2">
      <c r="A17" s="7" t="s">
        <v>40</v>
      </c>
      <c r="B17" s="8">
        <f>SUM(B4:B16)</f>
        <v>1.0615000000000001</v>
      </c>
      <c r="C17" s="8">
        <f>SUM(C4:C16)</f>
        <v>1.2700000000000005</v>
      </c>
      <c r="D17" s="9"/>
      <c r="E17" s="10"/>
      <c r="F17" s="11"/>
      <c r="G17" s="25"/>
    </row>
    <row r="18" spans="1:7" x14ac:dyDescent="0.2">
      <c r="A18" s="7" t="s">
        <v>41</v>
      </c>
      <c r="B18" s="8">
        <v>0.14630000000000001</v>
      </c>
      <c r="C18" s="8">
        <v>0.19</v>
      </c>
      <c r="D18" s="9" t="s">
        <v>15</v>
      </c>
      <c r="E18" s="10" t="s">
        <v>19</v>
      </c>
      <c r="F18" s="11" t="s">
        <v>42</v>
      </c>
      <c r="G18" s="25"/>
    </row>
    <row r="19" spans="1:7" x14ac:dyDescent="0.2">
      <c r="A19" s="12" t="s">
        <v>43</v>
      </c>
      <c r="B19" s="13"/>
      <c r="C19" s="13">
        <v>2.7000000000000001E-3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44</v>
      </c>
      <c r="B25" s="2"/>
      <c r="C25" s="2"/>
      <c r="D25"/>
      <c r="E25"/>
      <c r="F25"/>
      <c r="G25" s="25"/>
    </row>
    <row r="26" spans="1:7" x14ac:dyDescent="0.2">
      <c r="A26" s="17" t="s">
        <v>45</v>
      </c>
      <c r="B26" s="2"/>
      <c r="C26" s="2"/>
      <c r="D26"/>
      <c r="E26"/>
      <c r="F26"/>
      <c r="G26" s="25"/>
    </row>
    <row r="27" spans="1:7" x14ac:dyDescent="0.2">
      <c r="A27" t="s">
        <v>46</v>
      </c>
      <c r="B27" s="2"/>
      <c r="C27" s="2"/>
      <c r="D27"/>
      <c r="E27"/>
      <c r="F27"/>
      <c r="G27" s="25"/>
    </row>
    <row r="28" spans="1:7" x14ac:dyDescent="0.2">
      <c r="A28" t="s">
        <v>47</v>
      </c>
      <c r="B28" s="2"/>
      <c r="C28" s="2"/>
      <c r="D28"/>
      <c r="E28"/>
      <c r="F28"/>
      <c r="G28" s="25"/>
    </row>
    <row r="29" spans="1:7" x14ac:dyDescent="0.2">
      <c r="A29" s="18" t="s">
        <v>48</v>
      </c>
      <c r="B29" s="2"/>
      <c r="C29" s="2"/>
      <c r="D29"/>
      <c r="E29"/>
      <c r="F29"/>
      <c r="G29" s="26"/>
    </row>
    <row r="30" spans="1:7" x14ac:dyDescent="0.2">
      <c r="A30" s="24" t="s">
        <v>50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6F8CB86F-0BB4-4A40-AAA2-531795F60E57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2026-01-28T07:46:42Z</dcterms:created>
  <dcterms:modified xsi:type="dcterms:W3CDTF">2026-01-29T07:25:38Z</dcterms:modified>
</cp:coreProperties>
</file>