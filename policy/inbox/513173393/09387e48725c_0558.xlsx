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F2F044C6-4934-4CA4-87B0-CDBA89BF5AF9}" xr6:coauthVersionLast="47" xr6:coauthVersionMax="47" xr10:uidLastSave="{00000000-0000-0000-0000-000000000000}"/>
  <bookViews>
    <workbookView xWindow="-28920" yWindow="-90" windowWidth="29040" windowHeight="15720" xr2:uid="{7E3F15CC-B4D9-4E63-91BE-96D694729D07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<sst xmlns="http://schemas.openxmlformats.org/spreadsheetml/2006/main" count="73" uniqueCount="55">
  <si>
    <t xml:space="preserve">מדיניות השקעה צפויה לשנת 2025 עבור מסלול </t>
  </si>
  <si>
    <t>אלטשולר שחם השתלמות  אשראי ואג"ח עם מניות (עד 25% מניות)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</si>
  <si>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</si>
  <si>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</si>
  <si>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</si>
  <si>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</si>
  <si>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</si>
  <si>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</si>
  <si>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</si>
  <si>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</si>
  <si>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29%-39%</t>
  </si>
  <si>
    <t>67%-מדד אג"ח ממשלתיות כללי,
 33%-ICE BOfA 10Y US TREASURY INDEX</t>
  </si>
  <si>
    <t>השקעה באג"ח ממשלתי עד שנה</t>
  </si>
  <si>
    <t>13%-23%</t>
  </si>
  <si>
    <t>67% - מדד תל גוב-מק"מ 
33% - ICE BOfA 0-1 YEAR US TREASURY INDEX</t>
  </si>
  <si>
    <t>אג"ח קונצרני</t>
  </si>
  <si>
    <t>+/-6%</t>
  </si>
  <si>
    <t>3%-15%</t>
  </si>
  <si>
    <t>67%-תל בונד 20,
33%-Bloomberg Global Aggregate Corporate</t>
  </si>
  <si>
    <t>מניות</t>
  </si>
  <si>
    <t>13%-25%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</si>
  <si>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</si>
  <si>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</si>
  <si>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</si>
  <si>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</si>
  <si>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</si>
  <si>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2%-12%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</si>
  <si>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</si>
  <si>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</si>
  <si>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</si>
  <si>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</si>
  <si>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4%-14%</t>
  </si>
  <si>
    <t>60%-תל בונד 20,
40%-Bloomberg Global Aggregate Corporate</t>
  </si>
  <si>
    <t>הלוואות לעמיתים</t>
  </si>
  <si>
    <t>נדל"ן</t>
  </si>
  <si>
    <t>1%-11%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</si>
  <si>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</si>
  <si>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</si>
  <si>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</si>
  <si>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</si>
  <si>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ICE BofA AAA US Fixed Rate CMBS Index</t>
  </si>
  <si>
    <t>**סה"כ</t>
  </si>
  <si>
    <t>חשיפה למט"ח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</si>
  <si>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</si>
  <si>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</si>
  <si>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</si>
  <si>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</si>
  <si>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</si>
  <si>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</si>
  <si>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</si>
  <si>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</si>
  <si>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</si>
  <si>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ארוך שונה מ-37% ל-34%</t>
  </si>
  <si>
    <t>שיעור החשיפה להשקעה באג"ח ממשלתי עד שנה שונה מ-16% ל-18%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</si>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</sst>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516E57E8-4C7B-4372-B8B6-0A13F7690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2120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AD5085-20B5-4D4F-B8F9-B6558778B884}" name="WebTBL_1" displayName="WebTBL_1" ref="A4:F19" totalsRowShown="0" headerRowDxfId="10" dataDxfId="9" headerRowBorderDxfId="7" tableBorderDxfId="8" totalsRowBorderDxfId="6">
  <autoFilter ref="A4:F19" xr:uid="{1F41C678-E043-4CB7-BF9E-765EEFAD7275}"/>
  <tableColumns count="6">
    <tableColumn id="1" xr3:uid="{FD85B470-2BBB-460A-B7AB-1916E8E06B06}" name="אפיק השקעה" dataDxfId="5"/>
    <tableColumn id="2" xr3:uid="{05C1490A-E011-4DB1-B2D2-282E3CBF731E}" name="שיעור החשיפה בפועל ליום  31/12/2024*" dataDxfId="4"/>
    <tableColumn id="3" xr3:uid="{4944DC47-FE2F-4881-8E68-2AD185871ABC}" name="שיעור החשיפה הצפוי לשנת 2025" dataDxfId="3"/>
    <tableColumn id="4" xr3:uid="{200BE226-94FE-4C70-AB16-EBBFFD58F313}" name="טווח סטייה" dataDxfId="2" dataCellStyle="Percent"/>
    <tableColumn id="5" xr3:uid="{AECAE81E-112B-47FB-B5E1-1E3DDE8505B5}" name="גבולות שיעור החשיפה הצפויה" dataDxfId="1" dataCellStyle="Percent"/>
    <tableColumn id="6" xr3:uid="{E885A138-02F6-4547-9B07-A4E385CC2F60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E3214-7D4B-42A9-BDEE-61232EF5145C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54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0.34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0.18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9.0499999999999997E-2</v>
      </c>
      <c r="C7" s="9">
        <v>0.09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0.19739999999999999</v>
      </c>
      <c r="C8" s="9">
        <v>0.19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1.1000000000000001E-3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7.9399999999999998E-2</v>
      </c>
      <c r="C10" s="9">
        <v>7.0000000000000007E-2</v>
      </c>
      <c r="D10" s="10" t="s">
        <v>9</v>
      </c>
      <c r="E10" s="11" t="s">
        <v>26</v>
      </c>
      <c r="F10" s="12" t="s">
        <v>27</v>
      </c>
      <c r="G10" s="23"/>
    </row>
    <row r="11" spans="1:9" ht="28.5" x14ac:dyDescent="0.2">
      <c r="A11" s="8" t="s">
        <v>28</v>
      </c>
      <c r="B11" s="9">
        <v>5.0200000000000002E-2</v>
      </c>
      <c r="C11" s="9">
        <v>0.05</v>
      </c>
      <c r="D11" s="10" t="s">
        <v>9</v>
      </c>
      <c r="E11" s="11" t="s">
        <v>23</v>
      </c>
      <c r="F11" s="12" t="s">
        <v>29</v>
      </c>
      <c r="G11" s="23"/>
    </row>
    <row r="12" spans="1:9" ht="28.5" x14ac:dyDescent="0.2">
      <c r="A12" s="8" t="s">
        <v>30</v>
      </c>
      <c r="B12" s="9">
        <v>8.0500000000000002E-2</v>
      </c>
      <c r="C12" s="9">
        <v>0.09</v>
      </c>
      <c r="D12" s="10" t="s">
        <v>9</v>
      </c>
      <c r="E12" s="11" t="s">
        <v>31</v>
      </c>
      <c r="F12" s="12" t="s">
        <v>32</v>
      </c>
      <c r="G12" s="23"/>
    </row>
    <row r="13" spans="1:9" x14ac:dyDescent="0.2">
      <c r="A13" s="8" t="s">
        <v>33</v>
      </c>
      <c r="B13" s="9">
        <v>5.2600000000000001E-2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34</v>
      </c>
      <c r="B14" s="9">
        <v>5.9299999999999999E-2</v>
      </c>
      <c r="C14" s="9">
        <v>0.06</v>
      </c>
      <c r="D14" s="10" t="s">
        <v>9</v>
      </c>
      <c r="E14" s="11" t="s">
        <v>35</v>
      </c>
      <c r="F14" s="12" t="s">
        <v>36</v>
      </c>
      <c r="G14" s="23"/>
    </row>
    <row r="15" spans="1:9" x14ac:dyDescent="0.2">
      <c r="A15" s="8" t="s">
        <v>37</v>
      </c>
      <c r="B15" s="9">
        <v>6.9999999999999999E-4</v>
      </c>
      <c r="C15" s="9">
        <v>0.05</v>
      </c>
      <c r="D15" s="10" t="s">
        <v>9</v>
      </c>
      <c r="E15" s="11" t="s">
        <v>23</v>
      </c>
      <c r="F15" s="12" t="s">
        <v>38</v>
      </c>
      <c r="G15" s="23"/>
    </row>
    <row r="16" spans="1:9" x14ac:dyDescent="0.2">
      <c r="A16" s="8" t="s">
        <v>39</v>
      </c>
      <c r="B16" s="9">
        <v>1.4E-2</v>
      </c>
      <c r="C16" s="9">
        <v>0.05</v>
      </c>
      <c r="D16" s="10" t="s">
        <v>9</v>
      </c>
      <c r="E16" s="11" t="s">
        <v>23</v>
      </c>
      <c r="F16" s="12" t="s">
        <v>40</v>
      </c>
      <c r="G16" s="23"/>
    </row>
    <row r="17" spans="1:7" x14ac:dyDescent="0.2">
      <c r="A17" s="8" t="s">
        <v>41</v>
      </c>
      <c r="B17" s="9">
        <f>SUM(B4:B16)</f>
        <v>0.62570000000000003</v>
      </c>
      <c r="C17" s="9">
        <f>SUM(C4:C16)</f>
        <v>1.2700000000000005</v>
      </c>
      <c r="D17" s="10"/>
      <c r="E17" s="11"/>
      <c r="F17" s="12"/>
      <c r="G17" s="23"/>
    </row>
    <row r="18" spans="1:7" x14ac:dyDescent="0.2">
      <c r="A18" s="8" t="s">
        <v>42</v>
      </c>
      <c r="B18" s="9">
        <v>0.18459999999999999</v>
      </c>
      <c r="C18" s="9">
        <v>0.19</v>
      </c>
      <c r="D18" s="10" t="s">
        <v>16</v>
      </c>
      <c r="E18" s="11" t="s">
        <v>20</v>
      </c>
      <c r="F18" s="12" t="s">
        <v>43</v>
      </c>
      <c r="G18" s="23"/>
    </row>
    <row r="19" spans="1:7" x14ac:dyDescent="0.2">
      <c r="A19" s="13" t="s">
        <v>44</v>
      </c>
      <c r="B19" s="14"/>
      <c r="C19" s="14">
        <v>2.5000000000000001E-3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45</v>
      </c>
      <c r="G25" s="23"/>
    </row>
    <row r="26" spans="1:7" x14ac:dyDescent="0.2">
      <c r="A26" s="18" t="s">
        <v>46</v>
      </c>
      <c r="G26" s="23"/>
    </row>
    <row r="27" spans="1:7" x14ac:dyDescent="0.2">
      <c r="A27" t="s">
        <v>47</v>
      </c>
      <c r="G27" s="23"/>
    </row>
    <row r="28" spans="1:7" x14ac:dyDescent="0.2">
      <c r="A28" t="s">
        <v>48</v>
      </c>
      <c r="G28" s="23"/>
    </row>
    <row r="29" spans="1:7" x14ac:dyDescent="0.2">
      <c r="A29" s="19" t="s">
        <v>49</v>
      </c>
      <c r="G29" s="23"/>
    </row>
    <row r="30" spans="1:7" x14ac:dyDescent="0.2">
      <c r="A30" t="s">
        <v>50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51</v>
      </c>
      <c r="G51" s="23"/>
    </row>
    <row r="52" spans="1:7" x14ac:dyDescent="0.2">
      <c r="A52" t="s">
        <v>52</v>
      </c>
      <c r="G52" s="23"/>
    </row>
    <row r="53" spans="1:7" x14ac:dyDescent="0.2">
      <c r="A53" s="20" t="s">
        <v>53</v>
      </c>
      <c r="G53" s="23"/>
    </row>
    <row r="54" spans="1:7" x14ac:dyDescent="0.2">
      <c r="A54" s="22" t="s">
        <v>54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A94290EB-8BEF-4F3E-A874-159D7E089D85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2025-12-10T15:36:21Z</dcterms:created>
  <dcterms:modified xsi:type="dcterms:W3CDTF">2025-12-10T15:36:22Z</dcterms:modified>
</cp:coreProperties>
</file>