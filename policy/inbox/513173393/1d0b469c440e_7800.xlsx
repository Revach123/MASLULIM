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57C3013B-8CDB-4ACF-9902-F19B6D075F42}" xr6:coauthVersionLast="36" xr6:coauthVersionMax="36" xr10:uidLastSave="{00000000-0000-0000-0000-000000000000}"/>
  <bookViews>
    <workbookView xWindow="0" yWindow="0" windowWidth="28800" windowHeight="10545" xr2:uid="{22D8767E-F7CA-4E2C-B2A7-67BA0AD8B89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<sst xmlns="http://schemas.openxmlformats.org/spreadsheetml/2006/main" count="69" uniqueCount="49">
  <si>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חיסכון פלוס אשראי ואג"ח עם מניות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</si>
  <si>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</si>
  <si>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</si>
  <si>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</si>
  <si>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</si>
  <si>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</si>
  <si>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</si>
  <si>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</si>
  <si>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</si>
  <si>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37%-47%</t>
  </si>
  <si>
    <t>67%-מדד אג"ח ממשלתיות כללי,
 33%-ICE BOfA 10Y US TREASURY INDEX</t>
  </si>
  <si>
    <t>השקעה באג"ח ממשלתי עד שנה</t>
  </si>
  <si>
    <t>17%-27%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</si>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</sst>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B2B7450-1656-4A80-A486-A4180585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24353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8D094-FDD8-4813-B3D9-882E2AC8D05A}" name="WebTBL_1" displayName="WebTBL_1" ref="A4:F19" totalsRowShown="0" headerRowDxfId="10" dataDxfId="8" headerRowBorderDxfId="9" tableBorderDxfId="7" totalsRowBorderDxfId="6">
  <autoFilter ref="A4:F19" xr:uid="{A161DAC0-7AC2-4575-A998-81456CFE1ED6}"/>
  <tableColumns count="6">
    <tableColumn id="1" xr3:uid="{8AA470AE-8221-47EB-94CE-EE235DB625CC}" name="אפיק השקעה" dataDxfId="5"/>
    <tableColumn id="2" xr3:uid="{6C490A68-2CE4-46DA-9B95-F5EC248C4478}" name="שיעור החשיפה בפועל ליום  31/12/2025*" dataDxfId="4"/>
    <tableColumn id="3" xr3:uid="{BE1D3D1E-E26A-4AC2-BDEB-EE04566F6799}" name="שיעור החשיפה הצפוי לשנת 2026" dataDxfId="3"/>
    <tableColumn id="4" xr3:uid="{8B7BF2CE-A4CB-47F0-B8E0-109D8E357A45}" name="טווח סטייה" dataDxfId="2" dataCellStyle="Percent"/>
    <tableColumn id="5" xr3:uid="{5DBFAD9C-6075-4838-A3D2-B8D1E571471F}" name="גבולות שיעור החשיפה הצפויה" dataDxfId="1" dataCellStyle="Percent"/>
    <tableColumn id="6" xr3:uid="{F0DBC6A7-5AFC-4F86-8103-C8CFC7C637D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C5B3-CAAC-47FD-B51A-753F0B94926E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0.41110000000000002</v>
      </c>
      <c r="C5" s="8">
        <v>0.42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0.2228</v>
      </c>
      <c r="C6" s="8">
        <v>0.22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6.5000000000000002E-2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0.1951</v>
      </c>
      <c r="C8" s="8">
        <v>0.19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5.1499999999999997E-2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2.87E-2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5.5300000000000002E-2</v>
      </c>
      <c r="C12" s="8">
        <v>0.09</v>
      </c>
      <c r="D12" s="9" t="s">
        <v>8</v>
      </c>
      <c r="E12" s="10" t="s">
        <v>29</v>
      </c>
      <c r="F12" s="11" t="s">
        <v>30</v>
      </c>
      <c r="G12" s="25"/>
    </row>
    <row r="13" spans="1:9" x14ac:dyDescent="0.2">
      <c r="A13" s="7" t="s">
        <v>31</v>
      </c>
      <c r="B13" s="8">
        <v>4.4999999999999997E-3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32</v>
      </c>
      <c r="B14" s="8">
        <v>2.75E-2</v>
      </c>
      <c r="C14" s="8">
        <v>0.05</v>
      </c>
      <c r="D14" s="9" t="s">
        <v>8</v>
      </c>
      <c r="E14" s="10" t="s">
        <v>22</v>
      </c>
      <c r="F14" s="11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35</v>
      </c>
      <c r="G15" s="25"/>
    </row>
    <row r="16" spans="1:9" x14ac:dyDescent="0.2">
      <c r="A16" s="7" t="s">
        <v>36</v>
      </c>
      <c r="B16" s="8">
        <v>7.3000000000000001E-3</v>
      </c>
      <c r="C16" s="8">
        <v>0.05</v>
      </c>
      <c r="D16" s="9" t="s">
        <v>8</v>
      </c>
      <c r="E16" s="10" t="s">
        <v>22</v>
      </c>
      <c r="F16" s="11" t="s">
        <v>37</v>
      </c>
      <c r="G16" s="25"/>
    </row>
    <row r="17" spans="1:7" x14ac:dyDescent="0.2">
      <c r="A17" s="7" t="s">
        <v>38</v>
      </c>
      <c r="B17" s="8">
        <f>SUM(B4:B16)</f>
        <v>1.0688000000000002</v>
      </c>
      <c r="C17" s="8">
        <f>SUM(C4:C16)</f>
        <v>1.3300000000000003</v>
      </c>
      <c r="D17" s="9"/>
      <c r="E17" s="10"/>
      <c r="F17" s="11"/>
      <c r="G17" s="25"/>
    </row>
    <row r="18" spans="1:7" x14ac:dyDescent="0.2">
      <c r="A18" s="7" t="s">
        <v>39</v>
      </c>
      <c r="B18" s="8">
        <v>0.1419</v>
      </c>
      <c r="C18" s="8">
        <v>0.19</v>
      </c>
      <c r="D18" s="9" t="s">
        <v>15</v>
      </c>
      <c r="E18" s="10" t="s">
        <v>19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A4AC00B0-B8F6-4204-A107-5E63C9C56D9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2026-01-28T07:46:52Z</dcterms:created>
  <dcterms:modified xsi:type="dcterms:W3CDTF">2026-01-29T07:25:41Z</dcterms:modified>
</cp:coreProperties>
</file>