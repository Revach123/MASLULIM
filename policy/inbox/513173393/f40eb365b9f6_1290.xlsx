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45D8B2C7-5599-476C-A005-4C7960AB8848}" xr6:coauthVersionLast="47" xr6:coauthVersionMax="47" xr10:uidLastSave="{00000000-0000-0000-0000-000000000000}"/>
  <bookViews>
    <workbookView xWindow="-120" yWindow="-120" windowWidth="29040" windowHeight="15720" xr2:uid="{27A42307-625F-4235-92B1-422CE39EBFF0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<sst xmlns="http://schemas.openxmlformats.org/spreadsheetml/2006/main" count="73" uniqueCount="54">
  <si>
    <t xml:space="preserve">מדיניות השקעה צפויה לשנת 2025 עבור מסלול </t>
  </si>
  <si>
    <t>אלטשולר שחם השתלמות כללי ב'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</si>
  <si>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</si>
  <si>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</si>
  <si>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</si>
  <si>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</si>
  <si>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</si>
  <si>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</si>
  <si>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</si>
  <si>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</si>
  <si>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16%-26%</t>
  </si>
  <si>
    <t>67%-מדד אג"ח ממשלתיות כללי,
 33%-ICE BOfA 10Y US TREASURY INDEX</t>
  </si>
  <si>
    <t>השקעה באג"ח ממשלתי עד שנה</t>
  </si>
  <si>
    <t>21%-31%</t>
  </si>
  <si>
    <t>67% - מדד תל גוב-מק"מ 
33% - ICE BOfA 0-1 YEAR US TREASURY INDEX</t>
  </si>
  <si>
    <t>אג"ח קונצרני</t>
  </si>
  <si>
    <t>+/-6%</t>
  </si>
  <si>
    <t>1%-13%</t>
  </si>
  <si>
    <t>67%-תל בונד 20,
33%-Bloomberg Global Aggregate Corporate</t>
  </si>
  <si>
    <t>מניות</t>
  </si>
  <si>
    <t>50%-62%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</si>
  <si>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</si>
  <si>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</si>
  <si>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</si>
  <si>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</si>
  <si>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</si>
  <si>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</si>
  <si>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</si>
  <si>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1%-11%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</si>
  <si>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</si>
  <si>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</si>
  <si>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</si>
  <si>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</si>
  <si>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</si>
  <si>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</si>
  <si>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</si>
  <si>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</si>
  <si>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</si>
  <si>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</si>
  <si>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</si>
  <si>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</si>
  <si>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19%-31%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</si>
  <si>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</si>
  <si>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</si>
  <si>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</si>
  <si>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</si>
  <si>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</si>
  <si>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</si>
  <si>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</si>
  <si>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</si>
  <si>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</si>
  <si>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ארוך שונה מ-23% ל-21%</t>
  </si>
  <si>
    <t>שיעור החשיפה להשקעה באג"ח ממשלתי עד שנה שונה מ-16% ל-26%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</si>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</sst>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38C12C9-826E-4184-8416-1D82552FD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240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6638F7-528D-4A82-94D1-F08563D0BC57}" name="WebTBL_1" displayName="WebTBL_1" ref="A4:F19" totalsRowShown="0" headerRowDxfId="10" dataDxfId="9" headerRowBorderDxfId="7" tableBorderDxfId="8" totalsRowBorderDxfId="6">
  <autoFilter ref="A4:F19" xr:uid="{A288150E-9CFC-41C6-8080-8D976EE7F0E5}"/>
  <tableColumns count="6">
    <tableColumn id="1" xr3:uid="{F0422D4F-5F56-477F-845E-B5D935E08E04}" name="אפיק השקעה" dataDxfId="5"/>
    <tableColumn id="2" xr3:uid="{D8847C80-F5CF-4E42-B89A-DF4AF9092B93}" name="שיעור החשיפה בפועל ליום  31/12/2024*" dataDxfId="4"/>
    <tableColumn id="3" xr3:uid="{70636536-DAA2-43E0-BBA4-BD6A5EF79346}" name="שיעור החשיפה הצפוי לשנת 2025" dataDxfId="3"/>
    <tableColumn id="4" xr3:uid="{6D6B3803-83EA-4DC6-AC04-0EC7398EE358}" name="טווח סטייה" dataDxfId="2" dataCellStyle="Percent"/>
    <tableColumn id="5" xr3:uid="{69789925-155F-4E27-8011-D73E1CE95620}" name="גבולות שיעור החשיפה הצפויה" dataDxfId="1" dataCellStyle="Percent"/>
    <tableColumn id="6" xr3:uid="{AAF7003D-57D8-4137-B7F0-7C88D25F2F61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03A92-33A2-40A6-A1C4-E2EB03768004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53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0.21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0.26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7.4399999999999994E-2</v>
      </c>
      <c r="C7" s="9">
        <v>7.0000000000000007E-2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0.56859999999999999</v>
      </c>
      <c r="C8" s="9">
        <v>0.56000000000000005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1.2999999999999999E-3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2.2499999999999999E-2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5.7099999999999998E-2</v>
      </c>
      <c r="C11" s="9">
        <v>0.06</v>
      </c>
      <c r="D11" s="10" t="s">
        <v>9</v>
      </c>
      <c r="E11" s="11" t="s">
        <v>28</v>
      </c>
      <c r="F11" s="12" t="s">
        <v>29</v>
      </c>
      <c r="G11" s="23"/>
    </row>
    <row r="12" spans="1:9" ht="28.5" x14ac:dyDescent="0.2">
      <c r="A12" s="8" t="s">
        <v>30</v>
      </c>
      <c r="B12" s="9">
        <v>5.4000000000000003E-3</v>
      </c>
      <c r="C12" s="9">
        <v>0.05</v>
      </c>
      <c r="D12" s="10" t="s">
        <v>9</v>
      </c>
      <c r="E12" s="11" t="s">
        <v>23</v>
      </c>
      <c r="F12" s="12" t="s">
        <v>31</v>
      </c>
      <c r="G12" s="23"/>
    </row>
    <row r="13" spans="1:9" x14ac:dyDescent="0.2">
      <c r="A13" s="8" t="s">
        <v>32</v>
      </c>
      <c r="B13" s="9">
        <v>1.5100000000000001E-2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33</v>
      </c>
      <c r="B14" s="9">
        <v>3.27E-2</v>
      </c>
      <c r="C14" s="9">
        <v>0.05</v>
      </c>
      <c r="D14" s="10" t="s">
        <v>9</v>
      </c>
      <c r="E14" s="11" t="s">
        <v>23</v>
      </c>
      <c r="F14" s="12" t="s">
        <v>34</v>
      </c>
      <c r="G14" s="23"/>
    </row>
    <row r="15" spans="1:9" x14ac:dyDescent="0.2">
      <c r="A15" s="8" t="s">
        <v>35</v>
      </c>
      <c r="B15" s="9">
        <v>3.7000000000000002E-3</v>
      </c>
      <c r="C15" s="9">
        <v>0.05</v>
      </c>
      <c r="D15" s="10" t="s">
        <v>9</v>
      </c>
      <c r="E15" s="11" t="s">
        <v>23</v>
      </c>
      <c r="F15" s="12" t="s">
        <v>36</v>
      </c>
      <c r="G15" s="23"/>
    </row>
    <row r="16" spans="1:9" x14ac:dyDescent="0.2">
      <c r="A16" s="8" t="s">
        <v>37</v>
      </c>
      <c r="B16" s="9">
        <v>1.8599999999999998E-2</v>
      </c>
      <c r="C16" s="9">
        <v>0.05</v>
      </c>
      <c r="D16" s="10" t="s">
        <v>9</v>
      </c>
      <c r="E16" s="11" t="s">
        <v>23</v>
      </c>
      <c r="F16" s="12" t="s">
        <v>38</v>
      </c>
      <c r="G16" s="23"/>
    </row>
    <row r="17" spans="1:7" x14ac:dyDescent="0.2">
      <c r="A17" s="8" t="s">
        <v>39</v>
      </c>
      <c r="B17" s="9">
        <f>SUM(B4:B16)</f>
        <v>0.79939999999999989</v>
      </c>
      <c r="C17" s="9">
        <f>SUM(C4:C16)</f>
        <v>1.5100000000000005</v>
      </c>
      <c r="D17" s="10"/>
      <c r="E17" s="11"/>
      <c r="F17" s="12"/>
      <c r="G17" s="23"/>
    </row>
    <row r="18" spans="1:7" x14ac:dyDescent="0.2">
      <c r="A18" s="8" t="s">
        <v>40</v>
      </c>
      <c r="B18" s="9">
        <v>0.28160000000000002</v>
      </c>
      <c r="C18" s="9">
        <v>0.25</v>
      </c>
      <c r="D18" s="10" t="s">
        <v>16</v>
      </c>
      <c r="E18" s="11" t="s">
        <v>41</v>
      </c>
      <c r="F18" s="12" t="s">
        <v>42</v>
      </c>
      <c r="G18" s="23"/>
    </row>
    <row r="19" spans="1:7" x14ac:dyDescent="0.2">
      <c r="A19" s="13" t="s">
        <v>43</v>
      </c>
      <c r="B19" s="14"/>
      <c r="C19" s="14">
        <v>2E-3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44</v>
      </c>
      <c r="G25" s="23"/>
    </row>
    <row r="26" spans="1:7" x14ac:dyDescent="0.2">
      <c r="A26" s="18" t="s">
        <v>45</v>
      </c>
      <c r="G26" s="23"/>
    </row>
    <row r="27" spans="1:7" x14ac:dyDescent="0.2">
      <c r="A27" t="s">
        <v>46</v>
      </c>
      <c r="G27" s="23"/>
    </row>
    <row r="28" spans="1:7" x14ac:dyDescent="0.2">
      <c r="A28" t="s">
        <v>47</v>
      </c>
      <c r="G28" s="23"/>
    </row>
    <row r="29" spans="1:7" x14ac:dyDescent="0.2">
      <c r="A29" s="19" t="s">
        <v>48</v>
      </c>
      <c r="G29" s="23"/>
    </row>
    <row r="30" spans="1:7" x14ac:dyDescent="0.2">
      <c r="A30" t="s">
        <v>49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50</v>
      </c>
      <c r="G51" s="23"/>
    </row>
    <row r="52" spans="1:7" x14ac:dyDescent="0.2">
      <c r="A52" t="s">
        <v>51</v>
      </c>
      <c r="G52" s="23"/>
    </row>
    <row r="53" spans="1:7" x14ac:dyDescent="0.2">
      <c r="A53" s="20" t="s">
        <v>52</v>
      </c>
      <c r="G53" s="23"/>
    </row>
    <row r="54" spans="1:7" x14ac:dyDescent="0.2">
      <c r="A54" s="22" t="s">
        <v>53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EBDD05D5-9875-456D-9765-16F8E495E832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2025-11-25T10:13:56Z</dcterms:created>
  <dcterms:modified xsi:type="dcterms:W3CDTF">2025-11-25T10:13:56Z</dcterms:modified>
</cp:coreProperties>
</file>