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ED08EA4B-37EC-4DC0-9F2A-C927432BC74C}" xr6:coauthVersionLast="47" xr6:coauthVersionMax="47" xr10:uidLastSave="{00000000-0000-0000-0000-000000000000}"/>
  <bookViews>
    <workbookView xWindow="2985" yWindow="2985" windowWidth="21600" windowHeight="11385" tabRatio="1000" xr2:uid="{1F262C63-71E2-4146-9ED0-5DA8B6BF2D07}"/>
  </bookViews>
  <sheets>
    <sheet name="נספח 1 - S&amp;P500" sheetId="18" r:id="rId1"/>
    <sheet name="נספח 2 –עמלות והוצאות לא חיצוני" sheetId="5" r:id="rId2"/>
    <sheet name="נספח 3 - עמלות ניהול חיצוני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8" l="1"/>
  <c r="B52" i="18"/>
  <c r="B59" i="18"/>
  <c r="B56" i="18"/>
  <c r="B19" i="5" l="1"/>
  <c r="B15" i="18" l="1"/>
  <c r="B11" i="18"/>
  <c r="B41" i="18"/>
  <c r="B19" i="18"/>
  <c r="B31" i="18" l="1"/>
  <c r="B29" i="18"/>
  <c r="B35" i="18" l="1"/>
  <c r="B68" i="18" s="1"/>
  <c r="B63" i="18"/>
  <c r="B89" i="6"/>
  <c r="B97" i="6" l="1"/>
  <c r="B113" i="6"/>
  <c r="B64" i="5" l="1"/>
  <c r="A3" i="6" l="1"/>
  <c r="B3" i="6"/>
  <c r="A4" i="6"/>
  <c r="B4" i="6"/>
  <c r="A5" i="6"/>
  <c r="B5" i="6"/>
  <c r="A6" i="6"/>
  <c r="B6" i="6"/>
  <c r="B2" i="6"/>
  <c r="A2" i="6"/>
  <c r="A2" i="5" l="1"/>
  <c r="A4" i="5"/>
  <c r="A3" i="5"/>
  <c r="B3" i="5"/>
  <c r="B4" i="5"/>
  <c r="A5" i="5"/>
  <c r="B5" i="5"/>
  <c r="A6" i="5"/>
  <c r="B6" i="5"/>
  <c r="B2" i="5"/>
  <c r="B37" i="5" l="1"/>
  <c r="B49" i="5"/>
  <c r="B102" i="6"/>
  <c r="B126" i="6" l="1"/>
  <c r="B22" i="6" l="1"/>
  <c r="B49" i="6" l="1"/>
  <c r="B121" i="6" l="1"/>
  <c r="B65" i="5"/>
  <c r="B85" i="5" l="1"/>
</calcChain>
</file>

<file path=xl/sharedStrings.xml><?xml version="1.0" encoding="utf-8"?>
<sst xmlns="http://schemas.openxmlformats.org/spreadsheetml/2006/main" count="205" uniqueCount="171">
  <si>
    <t>אלפי ₪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</si>
  <si>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</si>
  <si>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</si>
  <si>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</si>
  <si>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</si>
  <si>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</si>
  <si>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</si>
  <si>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 xml:space="preserve">ב. הוצאה הנובעת מהשקעה בזכויות במקרקעין </t>
  </si>
  <si>
    <t>4. מסים החלים על משקיע מוסדי, על נכסיו, על הכנסותיו ועל עסקאות שנעשו בנכסיו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</si>
  <si>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</si>
  <si>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</si>
  <si>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</si>
  <si>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</si>
  <si>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</si>
  <si>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סך תשלומים בגין השקעה בקרנות סל כאשר 75 אחוזים לפחות מנכסי הקרן הם נכסים שהונפקו במדינת ישראל לפי מדדים שעליהם הורה הממונה ובתנאים שהורה</t>
  </si>
  <si>
    <t>ו.   סך תשלומים בגין השקעה בקרנות סל כאשר 75 אחוזים לפחות מנכסי הקרן הם נכסים שלא הונפקו במדינת ישראל ואינם נסחרים או מוחזקים בה</t>
  </si>
  <si>
    <t>ז. 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</si>
  <si>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 סך תשלומים בגין השקעה בקרנות נאמנות זרות כאשר 75 אחוזים לפחות מנכסי הקרן מושקעים בנכסים שלא הונפקו במדינת ישראל ואינם נסחרים או מוחזקים בה</t>
  </si>
  <si>
    <t xml:space="preserve"> ט. סך תשלומים בגין השקעה בקרן טכנולוגיה עילית</t>
  </si>
  <si>
    <t>סך הכל הוצאות ישירות לצורך חישוב שיעור עלות שנתית צפויה</t>
  </si>
  <si>
    <t>2. סך הכל דמי שמירה בשל ניירות ערך סחירים וכל עמלה שגובה מי שמבצע את משמרות ניירות הערך  (קסטודיאן)</t>
  </si>
  <si>
    <t>ברוקארז'- עמלות קנייה ומכירה בגין ביצוע עסקאות בניירות ערך סחירים</t>
  </si>
  <si>
    <t>צדדים קשורים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</si>
  <si>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</si>
  <si>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</si>
  <si>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</si>
  <si>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</si>
  <si>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</si>
  <si>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הנובעות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</si>
  <si>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</si>
  <si>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</si>
  <si>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מסים החלים על הנכסים, ההכנסות והעסקאות</t>
  </si>
  <si>
    <t>סך הכל תשלומי מסים</t>
  </si>
  <si>
    <t>דמי ביטוח בעד ביטוח משנה</t>
  </si>
  <si>
    <t>סך הכל תשלומים למבטחי משנה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</si>
  <si>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</si>
  <si>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</si>
  <si>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</si>
  <si>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</si>
  <si>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תשלום של דמי ניהול משתנים</t>
  </si>
  <si>
    <t>(3)      אחרים</t>
  </si>
  <si>
    <t>(4)       </t>
  </si>
  <si>
    <t>(1)      קסטודיאן א'</t>
  </si>
  <si>
    <t>(2)      קסטודיאן ב'</t>
  </si>
  <si>
    <t>(5)       </t>
  </si>
  <si>
    <t>(4)      אחרים</t>
  </si>
  <si>
    <t>(1)      גוף/יחיד א'</t>
  </si>
  <si>
    <t>(2)      גוף/יחיד ב'</t>
  </si>
  <si>
    <t>(8)       </t>
  </si>
  <si>
    <t>(7)      אחרים</t>
  </si>
  <si>
    <t>(1)      רשות מסים א'</t>
  </si>
  <si>
    <t>(2)      רשות מסים ב</t>
  </si>
  <si>
    <t>(1)      מבטח משנה א'</t>
  </si>
  <si>
    <t>(2)      מבטח משנה ב'</t>
  </si>
  <si>
    <t>אלפי ש"ח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</si>
  <si>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</si>
  <si>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</si>
  <si>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</si>
  <si>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</si>
  <si>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</si>
  <si>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</si>
  <si>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</si>
  <si>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</si>
  <si>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סך תשלומים בגין השקעה בקרן סל כאשר 75% לפחות מנכסי הקרן הם נכסים שלא הונפקו במדינת ישראל ואינם נסחרים או מוחזקים בה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</si>
  <si>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</si>
  <si>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 xml:space="preserve">סך תשלום למנהלי קרן סל </t>
  </si>
  <si>
    <t>קרן נאמנות ישראלית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</si>
  <si>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</si>
  <si>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</si>
  <si>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סך תשלומים בגין השקעה בקרנות נאמנות זרות</t>
  </si>
  <si>
    <t>תשלומים בגין השקעה בקרן טכנולוגיה עילית</t>
  </si>
  <si>
    <t>(2)      מנהל קרנות ב'</t>
  </si>
  <si>
    <t>סך תשלום בגין השקעה בקרן טכנולוגיה עילית</t>
  </si>
  <si>
    <t>סך הכל עמלות ניהול חיצוני</t>
  </si>
  <si>
    <t>סך הכל נכסים לסוף שנה קודמת</t>
  </si>
  <si>
    <r>
      <t>א.</t>
    </r>
    <r>
      <rPr>
        <strike/>
        <sz val="12"/>
        <color theme="1"/>
        <rFont val="Calibri Light"/>
        <family val="2"/>
      </rPr>
      <t xml:space="preserve"> </t>
    </r>
    <r>
      <rPr>
        <sz val="12"/>
        <color theme="1"/>
        <rFont val="Calibri Light"/>
        <family val="2"/>
      </rPr>
      <t xml:space="preserve">הוצאה הנובעת מהשקעה בניירות ערך לא סחירים או ממתן הלוואה למי שאינו עמית או מבוטח </t>
    </r>
  </si>
  <si>
    <r>
      <t>סך הכל עמלות והוצאות</t>
    </r>
    <r>
      <rPr>
        <sz val="12"/>
        <color theme="1"/>
        <rFont val="Calibri Light"/>
        <family val="2"/>
      </rPr>
      <t xml:space="preserve"> </t>
    </r>
    <r>
      <rPr>
        <b/>
        <sz val="12"/>
        <color theme="1"/>
        <rFont val="Calibri Light"/>
        <family val="2"/>
      </rPr>
      <t>שאינן עמלות ניהול חיצוני</t>
    </r>
  </si>
  <si>
    <r>
      <rPr>
        <b/>
        <sz val="12"/>
        <color theme="1"/>
        <rFont val="Calibri Light"/>
        <family val="2"/>
      </rPr>
      <t>א.</t>
    </r>
    <r>
      <rPr>
        <sz val="12"/>
        <color theme="1"/>
        <rFont val="Calibri Light"/>
        <family val="2"/>
      </rPr>
      <t xml:space="preserve"> הוצאה הנובעת מהשקעה בקרנות השקעה בישראל לרבות באמצעות חשבון המנוהל עבור הגוף המוסדי.  
</t>
    </r>
    <r>
      <rPr>
        <b/>
        <sz val="12"/>
        <color theme="1"/>
        <rFont val="Calibri Light"/>
        <family val="2"/>
      </rPr>
      <t>ב.</t>
    </r>
    <r>
      <rPr>
        <sz val="12"/>
        <color theme="1"/>
        <rFont val="Calibri Light"/>
        <family val="2"/>
      </rPr>
      <t xml:space="preserve"> הוצאה הנובעת מהשקעה בקרנות השקעה בחו"ל לרבות באמצעות חשבון המנוהל עבור הגוף המוסדי.  
</t>
    </r>
    <r>
      <rPr>
        <b/>
        <sz val="12"/>
        <color theme="1"/>
        <rFont val="Calibri Light"/>
        <family val="2"/>
      </rPr>
      <t>ג.</t>
    </r>
    <r>
      <rPr>
        <sz val="12"/>
        <color theme="1"/>
        <rFont val="Calibri Light"/>
        <family val="2"/>
      </rPr>
      <t xml:space="preserve"> תשלום למנהל תיקים זר;תשלום למנהלי תיקים ישראליים בגין השקעה בחו"ל.  
</t>
    </r>
    <r>
      <rPr>
        <b/>
        <sz val="12"/>
        <color theme="1"/>
        <rFont val="Calibri Light"/>
        <family val="2"/>
      </rPr>
      <t xml:space="preserve">ד. </t>
    </r>
    <r>
      <rPr>
        <sz val="12"/>
        <color theme="1"/>
        <rFont val="Calibri Light"/>
        <family val="2"/>
      </rPr>
      <t xml:space="preserve">תשלום למנהלי תיקים זרים.  
</t>
    </r>
    <r>
      <rPr>
        <b/>
        <sz val="12"/>
        <color theme="1"/>
        <rFont val="Calibri Light"/>
        <family val="2"/>
      </rPr>
      <t>ה.</t>
    </r>
    <r>
      <rPr>
        <sz val="12"/>
        <color theme="1"/>
        <rFont val="Calibri Light"/>
        <family val="2"/>
      </rPr>
      <t xml:space="preserve"> סך תשלומים בגין השקעה בקרנות סל כאשר 75% לפחות מנכסי הקרן הם נכסים שהונפקו במדינת ישראל לפי מדדים שעליהם הורה הממונה ובתנאים שהורה.  
</t>
    </r>
    <r>
      <rPr>
        <b/>
        <sz val="12"/>
        <color theme="1"/>
        <rFont val="Calibri Light"/>
        <family val="2"/>
      </rPr>
      <t xml:space="preserve">ו. </t>
    </r>
    <r>
      <rPr>
        <sz val="12"/>
        <color theme="1"/>
        <rFont val="Calibri Light"/>
        <family val="2"/>
      </rPr>
      <t xml:space="preserve">סך תשלומים בגין השקעה בקרנות סל כאשר 75% לפחות מנכסי הקרן הם נכסים שלא הונפקו במדינת ישראל ואינם נסחרים או מוחזקים בה.  
 </t>
    </r>
    <r>
      <rPr>
        <b/>
        <sz val="12"/>
        <color theme="1"/>
        <rFont val="Calibri Light"/>
        <family val="2"/>
      </rPr>
      <t xml:space="preserve">ז. </t>
    </r>
    <r>
      <rPr>
        <sz val="12"/>
        <color theme="1"/>
        <rFont val="Calibri Light"/>
        <family val="2"/>
      </rPr>
      <t xml:space="preserve">סך תשלומים בגין השקעה בקרנות נאמנות ישראליות כאשר 75% לפחות מנכסי הקרן מושקעים בנכסים שלא הונפקו במדינת ישראל ואינם נסחרים או מוחזקים בה.   
</t>
    </r>
    <r>
      <rPr>
        <b/>
        <sz val="12"/>
        <color theme="1"/>
        <rFont val="Calibri Light"/>
        <family val="2"/>
      </rPr>
      <t>ח.</t>
    </r>
    <r>
      <rPr>
        <sz val="12"/>
        <color theme="1"/>
        <rFont val="Calibri Light"/>
        <family val="2"/>
      </rPr>
      <t xml:space="preserve"> סך תשלומים בגין השקעה בקרנות נאמנות זרות כאשר 75% לפחות מנכסי הקרן מושקעים בנכסים שלא הונפקו במדינת ישראל ואינם נסחרים או מוחזקים בה.  
 </t>
    </r>
    <r>
      <rPr>
        <b/>
        <sz val="12"/>
        <color theme="1"/>
        <rFont val="Calibri Light"/>
        <family val="2"/>
      </rPr>
      <t xml:space="preserve">ט. </t>
    </r>
    <r>
      <rPr>
        <sz val="12"/>
        <color theme="1"/>
        <rFont val="Calibri Light"/>
        <family val="2"/>
      </rPr>
      <t xml:space="preserve">סך תשלומים בגין השקעה בקרן טכנולוגיה עילית כהגדרתה בחוק השקעות משותפות בנאמנות.  </t>
    </r>
  </si>
  <si>
    <t xml:space="preserve">צדדים שאינם קשורים </t>
  </si>
  <si>
    <t>5. סך הוצאות בעד ניהול תביעות</t>
  </si>
  <si>
    <t>6. סך הוצאות בעד מתן משכנתאות</t>
  </si>
  <si>
    <t xml:space="preserve">10 . סך דמי ניהול משתנים – החלק מתשלום עמלת ניהול חיצוני שנגזר מתשואת הנכסים </t>
  </si>
  <si>
    <t>11.   סה"כ הוצאות ישירות מסוג "עמלת ניהול חיצוני" (סכום סעיפים 11.א עד11.ט)</t>
  </si>
  <si>
    <t>7. סך הכל הוצאות ישירות שאינן מסוג עמלת ניהול חיצוני (סכום סעיפים 1 עד6)</t>
  </si>
  <si>
    <t>8. שווי ממוצע של נכסי הקופה או המסלול (ממוצע פשוט של סעיפים 8א ו-8ב)</t>
  </si>
  <si>
    <t>9. שיעור שנתי של הוצאות ישירות שאינן מסוג עמלת ניהול חיצוני (חלוקה של סעיף 7 בסעיף 8 )</t>
  </si>
  <si>
    <t>12. שיעור עמלת ניהול חיצוני בפועל (חלוקה של סעיף 11 בסעיף 8.ב)</t>
  </si>
  <si>
    <t>14. ההפרש בין שיעור מגבלת עמלת ניהול חיצוני מוצהרת לבין שיעור  עמלת ניהול חיצוני בפועל (סעיף 13 פחות סעיף 12)</t>
  </si>
  <si>
    <t xml:space="preserve">15א. סכום שהוחזר  לחוסכים (אם הוחזר) </t>
  </si>
  <si>
    <t xml:space="preserve">15ב. שיעור עמלת ניהול חיצוני בפועל לאחר החזר, (חלוקה של התוצאה של סעיף 11 בניכוי סעיף 15א, בסעיף 8.ב) </t>
  </si>
  <si>
    <t>סך הכל הוצאות ישירות בפועל (למעט דמי ניהול משתנים כאמור בסעיף 10)</t>
  </si>
  <si>
    <t>16. סך כל ההוצאות הישירות (סכום של סעיף 9 וסעיף 12)</t>
  </si>
  <si>
    <t>17. שיעור סך ההוצאות הישירות מתוך יתרת נכסים ממוצעת  (חלוקה של סעיף 16 בסעיף 8)</t>
  </si>
  <si>
    <t>19. De: שיעור הוצאות ישירות  (סכום של סעיף 9 וסעיף 18 )</t>
  </si>
  <si>
    <t>סך הכל דמי ניהול משתנים</t>
  </si>
  <si>
    <t>ב. השווי המשוערך של נכסי הקופה או המסלול נכון ליום 31 בדצמבר של שנת הכספים שהסתיימה 2023</t>
  </si>
  <si>
    <t>מספר אישור אוצר</t>
  </si>
  <si>
    <t xml:space="preserve">נספח 1 </t>
  </si>
  <si>
    <t/>
  </si>
  <si>
    <t>תאריך נכונות דו"ח</t>
  </si>
  <si>
    <t>זרים</t>
  </si>
  <si>
    <t>פועלים</t>
  </si>
  <si>
    <t xml:space="preserve">
נספח 1- סך  ההוצאות הישירות ששולמו בעד כל סוג של הוצאה ישירה לתקופה המסתיימת ביום 31.12.2024</t>
  </si>
  <si>
    <t>א. השווי המשוערך של  נכסי הקופה או המסלול נכון ליום 31 בדצמבר של שנת הכספים 2024</t>
  </si>
  <si>
    <t xml:space="preserve">פועלים </t>
  </si>
  <si>
    <t>18. שיעור מגבלת עמלת ניהול חיצוני שהמשקיע המוסדי הצהיר עליה בהתאם לתקנה 2א לתקנות הוצאות ישירות עבור שנת הכספים הבאה 2025</t>
  </si>
  <si>
    <t>13. שיעור מגבלת עמלת ניהול חיצוני שהמשקיע המוסדי הצהיר עליה  עבור שנת הכספים שהסתיימה 2024</t>
  </si>
  <si>
    <t>נספח 2 – פרוט עמלות והוצאות שאינן עמלות ניהול חיצוני לתקופה המסתיימת ביום 31.12.2024</t>
  </si>
  <si>
    <t>נספח 3 - פירוט עמלות ניהול חיצוני לתקופה המסתיימת ביום 31.12.2024</t>
  </si>
  <si>
    <t>2024-12-31</t>
  </si>
  <si>
    <t>קידוד קופה</t>
  </si>
  <si>
    <t>סך תשלום למנהלי קרנות סל</t>
  </si>
  <si>
    <t>מזרחי</t>
  </si>
  <si>
    <t xml:space="preserve">אקסלנס </t>
  </si>
  <si>
    <t xml:space="preserve">מיטב </t>
  </si>
  <si>
    <t>אי בי אי שרותי בורסה והשקעות</t>
  </si>
  <si>
    <t>Fimi Israel Opportunity 6</t>
  </si>
  <si>
    <t>Harel Alternative Credit Co-Invest</t>
  </si>
  <si>
    <t>IBI EVO מלונאות</t>
  </si>
  <si>
    <t>IBI ראם אקוויטי</t>
  </si>
  <si>
    <t>Klirmark Fund III</t>
  </si>
  <si>
    <t>יסודות נדלן ג</t>
  </si>
  <si>
    <t>ספרה פארקינג</t>
  </si>
  <si>
    <t>Ami Opportunities (APAX)</t>
  </si>
  <si>
    <t>Blue Atlantic PTNR</t>
  </si>
  <si>
    <t>Blue Atlantic PTNR II</t>
  </si>
  <si>
    <t>Blue Atlantic PTNR III</t>
  </si>
  <si>
    <t>Colchis Income Fund</t>
  </si>
  <si>
    <t>EQT Infrastructure V (יורו)</t>
  </si>
  <si>
    <t>Faro Point FIVF III (F-5)</t>
  </si>
  <si>
    <t>HarbourVest Dover  X</t>
  </si>
  <si>
    <t>IBI Pillar Gatingen</t>
  </si>
  <si>
    <t>Mv Subordinated V  (ה.פ)</t>
  </si>
  <si>
    <t>פאגאיה אופורטוניטי</t>
  </si>
  <si>
    <t>קסם</t>
  </si>
  <si>
    <t>מור קרנות</t>
  </si>
  <si>
    <t>SPDR TRUST</t>
  </si>
  <si>
    <t>INVESCO</t>
  </si>
  <si>
    <t>ISHARES INC</t>
  </si>
  <si>
    <t>VANGUARD GROUP</t>
  </si>
  <si>
    <t>KRANESHARES ETF</t>
  </si>
  <si>
    <t>LYXOR</t>
  </si>
  <si>
    <t>AMUNDI INVESTMENT</t>
  </si>
  <si>
    <t>הראל</t>
  </si>
  <si>
    <t>מגדל</t>
  </si>
  <si>
    <t>מיטב קרנות נאמנות</t>
  </si>
  <si>
    <t>NOMURA ASSET MANAGEMENT</t>
  </si>
  <si>
    <t>FIDELITY FUNDS</t>
  </si>
  <si>
    <t>דיסקונט</t>
  </si>
  <si>
    <t>מינהל עוקב מדד S&amp;P500</t>
  </si>
  <si>
    <t>8191</t>
  </si>
  <si>
    <t>15378</t>
  </si>
  <si>
    <t>520030990-00000000000299-15378-000</t>
  </si>
  <si>
    <t>BLACKROCK FUND ADVISORS</t>
  </si>
  <si>
    <t>XTRACKERS</t>
  </si>
  <si>
    <t>ילין לפידות</t>
  </si>
  <si>
    <t>אג'יליטי מניות</t>
  </si>
  <si>
    <t>טוליפ</t>
  </si>
  <si>
    <t>קוגיטו קפיטל 2</t>
  </si>
  <si>
    <t>ALTO II</t>
  </si>
  <si>
    <t>ALTO III</t>
  </si>
  <si>
    <t>Avenue Europe III</t>
  </si>
  <si>
    <t>Electra II</t>
  </si>
  <si>
    <t>Forma</t>
  </si>
  <si>
    <t>More Alternative Credit  CLO שקלי</t>
  </si>
  <si>
    <t>More Starlight 3</t>
  </si>
  <si>
    <t>RPS</t>
  </si>
  <si>
    <t>Starlight UK</t>
  </si>
  <si>
    <t>הפניקס חוב נדלן KYC</t>
  </si>
  <si>
    <t>מור סטארלייט קנדה 3</t>
  </si>
  <si>
    <t>(6)      אחרים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</si>
</sst>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0000000000000000"/>
    <numFmt numFmtId="165" formatCode="0.000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Calibri Light"/>
      <family val="2"/>
    </font>
    <font>
      <strike/>
      <sz val="12"/>
      <color theme="1"/>
      <name val="Calibri Light"/>
      <family val="2"/>
    </font>
    <font>
      <b/>
      <sz val="12"/>
      <color rgb="FF000080"/>
      <name val="Calibri Light"/>
      <family val="2"/>
    </font>
    <font>
      <sz val="12"/>
      <color rgb="FF000080"/>
      <name val="Calibri Light"/>
      <family val="2"/>
    </font>
    <font>
      <sz val="11"/>
      <color theme="1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</borders>
  <cellStyleXfs count="4">
    <xf numFmtId="0" fontId="0" fillId="0" borderId="0"/>
    <xf numFmtId="0" fontId="1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67">
    <xf numFmtId="0" fontId="0" fillId="0" borderId="0" xfId="0"/>
    <xf numFmtId="0" fontId="4" fillId="0" borderId="1" xfId="0" applyFont="1" applyBorder="1" applyAlignment="1">
      <alignment horizontal="right" vertical="center" readingOrder="2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readingOrder="1"/>
    </xf>
    <xf numFmtId="0" fontId="3" fillId="0" borderId="1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/>
    </xf>
    <xf numFmtId="0" fontId="2" fillId="0" borderId="6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7" fillId="0" borderId="6" xfId="0" applyFont="1" applyBorder="1" applyAlignment="1">
      <alignment horizontal="right" vertical="center" wrapText="1" readingOrder="2"/>
    </xf>
    <xf numFmtId="0" fontId="3" fillId="0" borderId="2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3" xfId="0" applyFont="1" applyBorder="1" applyAlignment="1">
      <alignment horizontal="justify" vertical="center" wrapText="1" readingOrder="2"/>
    </xf>
    <xf numFmtId="0" fontId="3" fillId="0" borderId="5" xfId="0" applyFont="1" applyBorder="1" applyAlignment="1">
      <alignment horizontal="justify" vertical="center" wrapText="1" readingOrder="2"/>
    </xf>
    <xf numFmtId="4" fontId="4" fillId="0" borderId="1" xfId="0" applyNumberFormat="1" applyFont="1" applyBorder="1" applyAlignment="1">
      <alignment horizontal="right" vertical="center" readingOrder="1"/>
    </xf>
    <xf numFmtId="2" fontId="4" fillId="0" borderId="1" xfId="0" applyNumberFormat="1" applyFont="1" applyBorder="1" applyAlignment="1">
      <alignment horizontal="right" vertical="center" readingOrder="1"/>
    </xf>
    <xf numFmtId="2" fontId="4" fillId="0" borderId="1" xfId="2" applyNumberFormat="1" applyFont="1" applyFill="1" applyBorder="1" applyAlignment="1">
      <alignment horizontal="right" vertical="center" readingOrder="1"/>
    </xf>
    <xf numFmtId="4" fontId="3" fillId="0" borderId="5" xfId="0" applyNumberFormat="1" applyFont="1" applyBorder="1" applyAlignment="1">
      <alignment horizontal="right" vertical="center" wrapText="1" readingOrder="2"/>
    </xf>
    <xf numFmtId="2" fontId="3" fillId="0" borderId="5" xfId="0" applyNumberFormat="1" applyFont="1" applyBorder="1" applyAlignment="1">
      <alignment horizontal="right" vertical="center" wrapText="1" readingOrder="2"/>
    </xf>
    <xf numFmtId="0" fontId="10" fillId="0" borderId="1" xfId="0" applyFont="1" applyBorder="1" applyAlignment="1">
      <alignment horizontal="right" wrapText="1"/>
    </xf>
    <xf numFmtId="0" fontId="9" fillId="0" borderId="0" xfId="0" applyFont="1" applyAlignment="1">
      <alignment horizontal="right" wrapText="1"/>
    </xf>
    <xf numFmtId="2" fontId="3" fillId="0" borderId="5" xfId="0" applyNumberFormat="1" applyFont="1" applyBorder="1" applyAlignment="1">
      <alignment horizontal="justify" vertical="center" wrapText="1" readingOrder="2"/>
    </xf>
    <xf numFmtId="4" fontId="3" fillId="0" borderId="5" xfId="0" applyNumberFormat="1" applyFont="1" applyBorder="1" applyAlignment="1">
      <alignment horizontal="justify" vertical="center" wrapText="1" readingOrder="2"/>
    </xf>
    <xf numFmtId="0" fontId="10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right" vertical="center"/>
    </xf>
    <xf numFmtId="10" fontId="3" fillId="0" borderId="0" xfId="2" applyNumberFormat="1" applyFont="1" applyFill="1" applyAlignment="1">
      <alignment horizontal="right" vertical="center"/>
    </xf>
    <xf numFmtId="43" fontId="4" fillId="0" borderId="1" xfId="3" applyFont="1" applyFill="1" applyBorder="1" applyAlignment="1">
      <alignment horizontal="right" vertical="center" readingOrder="1"/>
    </xf>
    <xf numFmtId="2" fontId="4" fillId="0" borderId="0" xfId="2" applyNumberFormat="1" applyFont="1" applyFill="1" applyBorder="1" applyAlignment="1">
      <alignment horizontal="right" vertical="center" readingOrder="1"/>
    </xf>
    <xf numFmtId="0" fontId="10" fillId="0" borderId="0" xfId="0" applyFont="1" applyAlignment="1" applyProtection="1">
      <alignment horizontal="right" wrapText="1"/>
      <protection locked="0"/>
    </xf>
    <xf numFmtId="2" fontId="10" fillId="0" borderId="0" xfId="0" applyNumberFormat="1" applyFont="1" applyAlignment="1" applyProtection="1">
      <alignment horizontal="left" wrapText="1"/>
      <protection locked="0"/>
    </xf>
    <xf numFmtId="2" fontId="10" fillId="0" borderId="0" xfId="0" applyNumberFormat="1" applyFont="1" applyAlignment="1">
      <alignment horizontal="left" wrapText="1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 applyProtection="1">
      <alignment horizontal="right"/>
      <protection locked="0"/>
    </xf>
    <xf numFmtId="2" fontId="3" fillId="0" borderId="0" xfId="2" applyNumberFormat="1" applyFont="1" applyFill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right" vertical="center" wrapText="1" readingOrder="2"/>
    </xf>
    <xf numFmtId="43" fontId="4" fillId="0" borderId="1" xfId="0" applyNumberFormat="1" applyFont="1" applyBorder="1" applyAlignment="1">
      <alignment horizontal="right" vertical="center" readingOrder="1"/>
    </xf>
    <xf numFmtId="4" fontId="3" fillId="0" borderId="0" xfId="0" applyNumberFormat="1" applyFont="1" applyAlignment="1">
      <alignment horizontal="right" vertical="center" readingOrder="2"/>
    </xf>
    <xf numFmtId="164" fontId="3" fillId="0" borderId="0" xfId="0" applyNumberFormat="1" applyFont="1" applyAlignment="1">
      <alignment horizontal="right" vertical="center" readingOrder="2"/>
    </xf>
    <xf numFmtId="43" fontId="3" fillId="0" borderId="5" xfId="0" applyNumberFormat="1" applyFont="1" applyBorder="1" applyAlignment="1">
      <alignment horizontal="justify" vertical="center" wrapText="1" readingOrder="2"/>
    </xf>
    <xf numFmtId="165" fontId="4" fillId="0" borderId="1" xfId="0" applyNumberFormat="1" applyFont="1" applyBorder="1" applyAlignment="1">
      <alignment horizontal="right" vertical="center" readingOrder="1"/>
    </xf>
    <xf numFmtId="165" fontId="3" fillId="0" borderId="5" xfId="0" applyNumberFormat="1" applyFont="1" applyBorder="1" applyAlignment="1">
      <alignment horizontal="justify" vertical="center" wrapText="1" readingOrder="2"/>
    </xf>
    <xf numFmtId="0" fontId="3" fillId="0" borderId="9" xfId="0" applyFont="1" applyBorder="1" applyAlignment="1">
      <alignment vertical="center" wrapText="1" readingOrder="2"/>
    </xf>
    <xf numFmtId="0" fontId="3" fillId="0" borderId="7" xfId="0" applyFont="1" applyBorder="1" applyAlignment="1">
      <alignment vertical="center" wrapText="1" readingOrder="2"/>
    </xf>
    <xf numFmtId="0" fontId="3" fillId="0" borderId="5" xfId="0" applyFont="1" applyBorder="1" applyAlignment="1">
      <alignment vertical="center" wrapText="1" readingOrder="2"/>
    </xf>
    <xf numFmtId="10" fontId="3" fillId="0" borderId="0" xfId="2" applyNumberFormat="1" applyFont="1" applyAlignment="1">
      <alignment horizontal="right" vertical="center"/>
    </xf>
    <xf numFmtId="43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 vertical="center" readingOrder="2"/>
    </xf>
    <xf numFmtId="10" fontId="3" fillId="0" borderId="0" xfId="2" applyNumberFormat="1" applyFont="1" applyAlignment="1">
      <alignment horizontal="right" vertical="center" readingOrder="2"/>
    </xf>
    <xf numFmtId="43" fontId="3" fillId="0" borderId="0" xfId="3" applyFont="1" applyBorder="1" applyAlignment="1">
      <alignment horizontal="right" vertical="center"/>
    </xf>
    <xf numFmtId="4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 wrapText="1" readingOrder="2"/>
    </xf>
    <xf numFmtId="0" fontId="11" fillId="0" borderId="0" xfId="0" applyFont="1" applyAlignment="1">
      <alignment horizontal="center" vertical="top"/>
    </xf>
    <xf numFmtId="4" fontId="11" fillId="0" borderId="0" xfId="0" applyNumberFormat="1" applyFont="1" applyAlignment="1">
      <alignment vertical="top"/>
    </xf>
    <xf numFmtId="0" fontId="3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7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justify" vertical="center" wrapText="1" readingOrder="2"/>
    </xf>
    <xf numFmtId="0" fontId="3" fillId="0" borderId="5" xfId="0" applyFont="1" applyBorder="1" applyAlignment="1">
      <alignment horizontal="justify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3" fillId="0" borderId="7" xfId="0" applyFont="1" applyBorder="1" applyAlignment="1">
      <alignment horizontal="justify" vertical="center" wrapText="1" readingOrder="2"/>
    </xf>
  </cellXfs>
  <cellStyles count="4">
    <cellStyle name="Comma" xfId="3" builtinId="3"/>
    <cellStyle name="Normal" xfId="0" builtinId="0"/>
    <cellStyle name="Normal 2" xfId="1" xr:uid="{54966482-994A-4C81-9F57-A7CF61072040}"/>
    <cellStyle name="Percent" xfId="2" builtinId="5"/>
  </cellStyles>
  <dxfs count="0"/>
  <tableStyles count="0" defaultTableStyle="TableStyleMedium2" defaultPivotStyle="PivotStyleLight16"/>
  <colors>
    <mruColors>
      <color rgb="FFFFFF99"/>
      <color rgb="FF8BFFBF"/>
      <color rgb="FFFF967D"/>
      <color rgb="FFFF8B8B"/>
      <color rgb="FFFFBE7D"/>
      <color rgb="FFFFB8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B4B0-6339-4B1A-8E95-AB889BCBE8C7}">
  <sheetPr codeName="גיליון10"/>
  <dimension ref="A2:J73"/>
  <sheetViews>
    <sheetView rightToLeft="1" tabSelected="1" topLeftCell="A13" workbookViewId="0">
      <selection activeCell="A33" sqref="A33"/>
    </sheetView>
  </sheetViews>
  <sheetFormatPr defaultColWidth="9" defaultRowHeight="15.75" x14ac:dyDescent="0.2"/>
  <cols>
    <col min="1" max="1" width="81.75" style="2" customWidth="1"/>
    <col min="2" max="2" width="46" style="2" customWidth="1"/>
    <col min="3" max="3" width="16.375" style="2" customWidth="1"/>
    <col min="4" max="4" width="60.625" style="2" customWidth="1"/>
    <col min="5" max="5" width="26.125" style="2" customWidth="1"/>
    <col min="6" max="6" width="18.625" style="2" customWidth="1"/>
    <col min="7" max="16384" width="9" style="2"/>
  </cols>
  <sheetData>
    <row r="2" spans="1:10" x14ac:dyDescent="0.2">
      <c r="A2" s="2" t="s">
        <v>149</v>
      </c>
      <c r="B2" s="2" t="s">
        <v>150</v>
      </c>
    </row>
    <row r="3" spans="1:10" x14ac:dyDescent="0.2">
      <c r="A3" s="2" t="s">
        <v>96</v>
      </c>
      <c r="B3" s="2" t="s">
        <v>151</v>
      </c>
    </row>
    <row r="4" spans="1:10" x14ac:dyDescent="0.2">
      <c r="A4" s="2" t="s">
        <v>97</v>
      </c>
      <c r="B4" s="2" t="s">
        <v>98</v>
      </c>
    </row>
    <row r="5" spans="1:10" x14ac:dyDescent="0.2">
      <c r="A5" s="2" t="s">
        <v>99</v>
      </c>
      <c r="B5" s="2" t="s">
        <v>109</v>
      </c>
    </row>
    <row r="6" spans="1:10" ht="16.5" thickBot="1" x14ac:dyDescent="0.25">
      <c r="A6" s="2" t="s">
        <v>110</v>
      </c>
      <c r="B6" s="2" t="s">
        <v>152</v>
      </c>
    </row>
    <row r="7" spans="1:10" ht="48" thickBot="1" x14ac:dyDescent="0.25">
      <c r="A7" s="6" t="s">
        <v>102</v>
      </c>
      <c r="B7" s="1" t="s">
        <v>0</v>
      </c>
      <c r="D7" s="56"/>
    </row>
    <row r="8" spans="1:10" x14ac:dyDescent="0.2">
      <c r="A8" s="3"/>
      <c r="B8" s="3"/>
    </row>
    <row r="9" spans="1:10" x14ac:dyDescent="0.2">
      <c r="A9" s="3"/>
      <c r="B9" s="4"/>
      <c r="E9" s="57"/>
    </row>
    <row r="10" spans="1:10" x14ac:dyDescent="0.2">
      <c r="A10" s="3"/>
      <c r="B10" s="4"/>
      <c r="D10" s="29"/>
      <c r="E10" s="54"/>
      <c r="F10" s="55"/>
      <c r="H10" s="58"/>
      <c r="I10"/>
      <c r="J10" s="50"/>
    </row>
    <row r="11" spans="1:10" x14ac:dyDescent="0.2">
      <c r="A11" s="5" t="s">
        <v>1</v>
      </c>
      <c r="B11" s="19">
        <f>+B12+B13</f>
        <v>1.21</v>
      </c>
    </row>
    <row r="12" spans="1:10" x14ac:dyDescent="0.2">
      <c r="A12" s="5" t="s">
        <v>2</v>
      </c>
      <c r="B12" s="19">
        <v>0</v>
      </c>
    </row>
    <row r="13" spans="1:10" x14ac:dyDescent="0.2">
      <c r="A13" s="5" t="s">
        <v>3</v>
      </c>
      <c r="B13" s="19">
        <v>1.21</v>
      </c>
    </row>
    <row r="14" spans="1:10" x14ac:dyDescent="0.2">
      <c r="A14" s="5"/>
      <c r="B14" s="4"/>
    </row>
    <row r="15" spans="1:10" ht="31.5" x14ac:dyDescent="0.2">
      <c r="A15" s="5" t="s">
        <v>20</v>
      </c>
      <c r="B15" s="19">
        <f>+B16+B17</f>
        <v>0</v>
      </c>
    </row>
    <row r="16" spans="1:10" x14ac:dyDescent="0.2">
      <c r="A16" s="5" t="s">
        <v>4</v>
      </c>
      <c r="B16" s="19">
        <v>0</v>
      </c>
    </row>
    <row r="17" spans="1:5" x14ac:dyDescent="0.2">
      <c r="A17" s="5" t="s">
        <v>5</v>
      </c>
      <c r="B17" s="19">
        <v>0</v>
      </c>
    </row>
    <row r="18" spans="1:5" x14ac:dyDescent="0.2">
      <c r="A18" s="5"/>
      <c r="B18" s="4"/>
    </row>
    <row r="19" spans="1:5" x14ac:dyDescent="0.2">
      <c r="A19" s="5" t="s">
        <v>6</v>
      </c>
      <c r="B19" s="19">
        <f>+B20+B21</f>
        <v>0</v>
      </c>
    </row>
    <row r="20" spans="1:5" x14ac:dyDescent="0.2">
      <c r="A20" s="5" t="s">
        <v>75</v>
      </c>
      <c r="B20" s="19">
        <v>0</v>
      </c>
      <c r="E20" s="39"/>
    </row>
    <row r="21" spans="1:5" x14ac:dyDescent="0.2">
      <c r="A21" s="5" t="s">
        <v>7</v>
      </c>
      <c r="B21" s="19">
        <v>0</v>
      </c>
    </row>
    <row r="22" spans="1:5" x14ac:dyDescent="0.2">
      <c r="A22" s="5"/>
      <c r="B22" s="4"/>
      <c r="E22" s="57"/>
    </row>
    <row r="23" spans="1:5" x14ac:dyDescent="0.2">
      <c r="A23" s="5" t="s">
        <v>8</v>
      </c>
      <c r="B23" s="20">
        <v>0</v>
      </c>
    </row>
    <row r="24" spans="1:5" x14ac:dyDescent="0.2">
      <c r="A24" s="5"/>
      <c r="B24" s="4"/>
    </row>
    <row r="25" spans="1:5" x14ac:dyDescent="0.2">
      <c r="A25" s="5" t="s">
        <v>79</v>
      </c>
      <c r="B25" s="19">
        <v>0</v>
      </c>
    </row>
    <row r="26" spans="1:5" x14ac:dyDescent="0.2">
      <c r="A26" s="5"/>
      <c r="B26" s="4"/>
    </row>
    <row r="27" spans="1:5" x14ac:dyDescent="0.2">
      <c r="A27" s="5" t="s">
        <v>80</v>
      </c>
      <c r="B27" s="19">
        <v>0</v>
      </c>
    </row>
    <row r="28" spans="1:5" x14ac:dyDescent="0.2">
      <c r="A28" s="5"/>
      <c r="B28" s="4"/>
    </row>
    <row r="29" spans="1:5" x14ac:dyDescent="0.2">
      <c r="A29" s="5" t="s">
        <v>83</v>
      </c>
      <c r="B29" s="19">
        <f>+B27+B25+B23+B19+B15+B11</f>
        <v>1.21</v>
      </c>
    </row>
    <row r="30" spans="1:5" x14ac:dyDescent="0.2">
      <c r="A30" s="5"/>
      <c r="B30" s="4"/>
    </row>
    <row r="31" spans="1:5" x14ac:dyDescent="0.2">
      <c r="A31" s="5" t="s">
        <v>84</v>
      </c>
      <c r="B31" s="31">
        <f>+(B33+B32)/2</f>
        <v>4222.2007000000003</v>
      </c>
    </row>
    <row r="32" spans="1:5" x14ac:dyDescent="0.2">
      <c r="A32" s="5" t="s">
        <v>103</v>
      </c>
      <c r="B32" s="31">
        <v>4222.2007000000003</v>
      </c>
      <c r="C32" s="30"/>
    </row>
    <row r="33" spans="1:3" x14ac:dyDescent="0.2">
      <c r="A33" s="5" t="s">
        <v>95</v>
      </c>
      <c r="B33" s="31">
        <v>4222.2007000000003</v>
      </c>
    </row>
    <row r="34" spans="1:3" x14ac:dyDescent="0.2">
      <c r="A34" s="5"/>
      <c r="B34" s="4"/>
    </row>
    <row r="35" spans="1:3" x14ac:dyDescent="0.2">
      <c r="A35" s="5" t="s">
        <v>85</v>
      </c>
      <c r="B35" s="21">
        <f>(B29/B31)*100</f>
        <v>2.8658040817434376E-2</v>
      </c>
    </row>
    <row r="36" spans="1:3" x14ac:dyDescent="0.2">
      <c r="A36" s="5"/>
      <c r="B36" s="4"/>
    </row>
    <row r="37" spans="1:3" x14ac:dyDescent="0.2">
      <c r="A37" s="40" t="s">
        <v>9</v>
      </c>
      <c r="B37" s="4"/>
    </row>
    <row r="38" spans="1:3" x14ac:dyDescent="0.2">
      <c r="A38" s="40"/>
      <c r="B38" s="4"/>
    </row>
    <row r="39" spans="1:3" x14ac:dyDescent="0.2">
      <c r="A39" s="5" t="s">
        <v>81</v>
      </c>
      <c r="B39" s="45">
        <v>0</v>
      </c>
    </row>
    <row r="40" spans="1:3" x14ac:dyDescent="0.2">
      <c r="A40" s="5"/>
      <c r="B40" s="4"/>
    </row>
    <row r="41" spans="1:3" x14ac:dyDescent="0.2">
      <c r="A41" s="5" t="s">
        <v>82</v>
      </c>
      <c r="B41" s="19">
        <f>+B42+B43+B44+B45+B46+B47+B48+B49+B50</f>
        <v>0.21665795704657509</v>
      </c>
    </row>
    <row r="42" spans="1:3" x14ac:dyDescent="0.2">
      <c r="A42" s="5" t="s">
        <v>10</v>
      </c>
      <c r="B42" s="45">
        <v>0</v>
      </c>
    </row>
    <row r="43" spans="1:3" x14ac:dyDescent="0.2">
      <c r="A43" s="5" t="s">
        <v>11</v>
      </c>
      <c r="B43" s="45">
        <v>0</v>
      </c>
      <c r="C43" s="29"/>
    </row>
    <row r="44" spans="1:3" x14ac:dyDescent="0.2">
      <c r="A44" s="5" t="s">
        <v>12</v>
      </c>
      <c r="B44" s="45">
        <v>0</v>
      </c>
    </row>
    <row r="45" spans="1:3" x14ac:dyDescent="0.2">
      <c r="A45" s="5" t="s">
        <v>13</v>
      </c>
      <c r="B45" s="45">
        <v>0</v>
      </c>
    </row>
    <row r="46" spans="1:3" ht="31.5" x14ac:dyDescent="0.2">
      <c r="A46" s="5" t="s">
        <v>14</v>
      </c>
      <c r="B46" s="45">
        <v>0</v>
      </c>
    </row>
    <row r="47" spans="1:3" ht="31.5" x14ac:dyDescent="0.2">
      <c r="A47" s="5" t="s">
        <v>15</v>
      </c>
      <c r="B47" s="20">
        <v>0.21665795704657509</v>
      </c>
    </row>
    <row r="48" spans="1:3" ht="31.5" x14ac:dyDescent="0.2">
      <c r="A48" s="5" t="s">
        <v>16</v>
      </c>
      <c r="B48" s="20">
        <v>0</v>
      </c>
    </row>
    <row r="49" spans="1:3" ht="31.5" x14ac:dyDescent="0.2">
      <c r="A49" s="5" t="s">
        <v>17</v>
      </c>
      <c r="B49" s="45">
        <v>0</v>
      </c>
    </row>
    <row r="50" spans="1:3" x14ac:dyDescent="0.2">
      <c r="A50" s="5" t="s">
        <v>18</v>
      </c>
      <c r="B50" s="45">
        <v>0</v>
      </c>
    </row>
    <row r="51" spans="1:3" x14ac:dyDescent="0.2">
      <c r="A51" s="5"/>
      <c r="B51" s="4"/>
    </row>
    <row r="52" spans="1:3" x14ac:dyDescent="0.2">
      <c r="A52" s="5" t="s">
        <v>86</v>
      </c>
      <c r="B52" s="21">
        <f>(B41/B33)*100</f>
        <v>5.1313988235228867E-3</v>
      </c>
      <c r="C52" s="30"/>
    </row>
    <row r="53" spans="1:3" x14ac:dyDescent="0.2">
      <c r="A53" s="5"/>
      <c r="B53" s="4"/>
    </row>
    <row r="54" spans="1:3" x14ac:dyDescent="0.2">
      <c r="A54" s="5" t="s">
        <v>106</v>
      </c>
      <c r="B54" s="4">
        <v>0.12</v>
      </c>
    </row>
    <row r="55" spans="1:3" x14ac:dyDescent="0.2">
      <c r="A55" s="5"/>
      <c r="B55" s="4"/>
    </row>
    <row r="56" spans="1:3" ht="31.5" x14ac:dyDescent="0.2">
      <c r="A56" s="5" t="s">
        <v>87</v>
      </c>
      <c r="B56" s="20">
        <f>B54-B52</f>
        <v>0.11486860117647711</v>
      </c>
    </row>
    <row r="57" spans="1:3" x14ac:dyDescent="0.2">
      <c r="A57" s="5"/>
      <c r="B57" s="20"/>
    </row>
    <row r="58" spans="1:3" x14ac:dyDescent="0.2">
      <c r="A58" s="5" t="s">
        <v>88</v>
      </c>
      <c r="B58" s="19">
        <v>0</v>
      </c>
    </row>
    <row r="59" spans="1:3" ht="31.5" x14ac:dyDescent="0.2">
      <c r="A59" s="5" t="s">
        <v>89</v>
      </c>
      <c r="B59" s="41">
        <f>(B41+B58)/B33*100</f>
        <v>5.1313988235228867E-3</v>
      </c>
    </row>
    <row r="60" spans="1:3" x14ac:dyDescent="0.2">
      <c r="A60" s="5"/>
      <c r="B60" s="4"/>
    </row>
    <row r="61" spans="1:3" x14ac:dyDescent="0.2">
      <c r="A61" s="5" t="s">
        <v>90</v>
      </c>
      <c r="B61" s="19"/>
    </row>
    <row r="62" spans="1:3" x14ac:dyDescent="0.2">
      <c r="A62" s="5"/>
      <c r="B62" s="19"/>
    </row>
    <row r="63" spans="1:3" x14ac:dyDescent="0.2">
      <c r="A63" s="5" t="s">
        <v>91</v>
      </c>
      <c r="B63" s="19">
        <f>+B41+B29</f>
        <v>1.4266579570465749</v>
      </c>
    </row>
    <row r="64" spans="1:3" x14ac:dyDescent="0.2">
      <c r="A64" s="5" t="s">
        <v>92</v>
      </c>
      <c r="B64" s="32">
        <f>(B63/B31)*100</f>
        <v>3.3789439640957257E-2</v>
      </c>
      <c r="C64" s="30"/>
    </row>
    <row r="65" spans="1:2" x14ac:dyDescent="0.2">
      <c r="A65" s="5"/>
      <c r="B65" s="4"/>
    </row>
    <row r="66" spans="1:2" x14ac:dyDescent="0.2">
      <c r="A66" s="5" t="s">
        <v>19</v>
      </c>
      <c r="B66" s="4"/>
    </row>
    <row r="67" spans="1:2" ht="31.5" x14ac:dyDescent="0.2">
      <c r="A67" s="5" t="s">
        <v>105</v>
      </c>
      <c r="B67" s="4">
        <v>0.1</v>
      </c>
    </row>
    <row r="68" spans="1:2" x14ac:dyDescent="0.2">
      <c r="A68" s="5" t="s">
        <v>93</v>
      </c>
      <c r="B68" s="20">
        <f>+B67+B35</f>
        <v>0.12865804081743437</v>
      </c>
    </row>
    <row r="69" spans="1:2" x14ac:dyDescent="0.2">
      <c r="A69" s="3"/>
      <c r="B69" s="3"/>
    </row>
    <row r="72" spans="1:2" x14ac:dyDescent="0.2">
      <c r="B72" s="38"/>
    </row>
    <row r="73" spans="1:2" x14ac:dyDescent="0.2">
      <c r="B73" s="3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9E8-E53E-4A7E-AFA6-9C5C77BF29A8}">
  <sheetPr codeName="גיליון5"/>
  <dimension ref="A2:C85"/>
  <sheetViews>
    <sheetView rightToLeft="1" topLeftCell="A72" workbookViewId="0">
      <selection activeCell="B85" sqref="B85"/>
    </sheetView>
  </sheetViews>
  <sheetFormatPr defaultColWidth="9" defaultRowHeight="15.75" x14ac:dyDescent="0.25"/>
  <cols>
    <col min="1" max="1" width="30.375" style="8" customWidth="1"/>
    <col min="2" max="2" width="52" style="8" customWidth="1"/>
    <col min="3" max="7" width="9" style="8"/>
    <col min="8" max="8" width="11" style="8" bestFit="1" customWidth="1"/>
    <col min="9" max="16384" width="9" style="8"/>
  </cols>
  <sheetData>
    <row r="2" spans="1:3" x14ac:dyDescent="0.25">
      <c r="A2" s="8" t="e">
        <f>#REF!</f>
        <v>#REF!</v>
      </c>
      <c r="B2" s="8" t="e">
        <f>#REF!</f>
        <v>#REF!</v>
      </c>
    </row>
    <row r="3" spans="1:3" x14ac:dyDescent="0.25">
      <c r="A3" s="8" t="e">
        <f>#REF!</f>
        <v>#REF!</v>
      </c>
      <c r="B3" s="8" t="e">
        <f>#REF!</f>
        <v>#REF!</v>
      </c>
    </row>
    <row r="4" spans="1:3" x14ac:dyDescent="0.25">
      <c r="A4" s="8" t="e">
        <f>SUBSTITUTE(#REF!,"1","2")</f>
        <v>#REF!</v>
      </c>
      <c r="B4" s="8" t="e">
        <f>#REF!</f>
        <v>#REF!</v>
      </c>
    </row>
    <row r="5" spans="1:3" x14ac:dyDescent="0.25">
      <c r="A5" s="8" t="e">
        <f>#REF!</f>
        <v>#REF!</v>
      </c>
      <c r="B5" s="8" t="e">
        <f>#REF!</f>
        <v>#REF!</v>
      </c>
    </row>
    <row r="6" spans="1:3" ht="16.5" thickBot="1" x14ac:dyDescent="0.3">
      <c r="A6" s="8" t="e">
        <f>#REF!</f>
        <v>#REF!</v>
      </c>
      <c r="B6" s="8" t="e">
        <f>#REF!</f>
        <v>#REF!</v>
      </c>
    </row>
    <row r="7" spans="1:3" ht="71.25" customHeight="1" thickBot="1" x14ac:dyDescent="0.3">
      <c r="A7" s="6" t="s">
        <v>107</v>
      </c>
      <c r="B7" s="7" t="s">
        <v>0</v>
      </c>
    </row>
    <row r="8" spans="1:3" ht="48" thickBot="1" x14ac:dyDescent="0.3">
      <c r="A8" s="9" t="s">
        <v>21</v>
      </c>
      <c r="B8" s="10"/>
    </row>
    <row r="9" spans="1:3" ht="16.5" thickBot="1" x14ac:dyDescent="0.3">
      <c r="A9" s="9" t="s">
        <v>22</v>
      </c>
      <c r="B9" s="10"/>
    </row>
    <row r="10" spans="1:3" ht="16.5" thickBot="1" x14ac:dyDescent="0.3">
      <c r="A10" s="10" t="s">
        <v>115</v>
      </c>
      <c r="B10" s="22">
        <v>19.53</v>
      </c>
    </row>
    <row r="11" spans="1:3" ht="16.5" thickBot="1" x14ac:dyDescent="0.3">
      <c r="A11" s="9" t="s">
        <v>78</v>
      </c>
      <c r="B11" s="22"/>
    </row>
    <row r="12" spans="1:3" ht="16.5" thickBot="1" x14ac:dyDescent="0.3">
      <c r="A12" s="10" t="s">
        <v>148</v>
      </c>
      <c r="B12" s="22">
        <v>3.88</v>
      </c>
    </row>
    <row r="13" spans="1:3" ht="16.5" thickBot="1" x14ac:dyDescent="0.3">
      <c r="A13" s="10" t="s">
        <v>112</v>
      </c>
      <c r="B13" s="22">
        <v>9.76</v>
      </c>
    </row>
    <row r="14" spans="1:3" ht="16.5" thickBot="1" x14ac:dyDescent="0.3">
      <c r="A14" s="10" t="s">
        <v>113</v>
      </c>
      <c r="B14" s="22">
        <v>3.14</v>
      </c>
    </row>
    <row r="15" spans="1:3" ht="16.5" thickBot="1" x14ac:dyDescent="0.3">
      <c r="A15" s="10" t="s">
        <v>114</v>
      </c>
      <c r="B15" s="22">
        <v>4.5999999999999996</v>
      </c>
    </row>
    <row r="16" spans="1:3" ht="15" customHeight="1" thickBot="1" x14ac:dyDescent="0.3">
      <c r="A16" s="10" t="s">
        <v>101</v>
      </c>
      <c r="B16" s="23">
        <v>56.95</v>
      </c>
      <c r="C16" s="51"/>
    </row>
    <row r="17" spans="1:2" ht="14.25" customHeight="1" thickBot="1" x14ac:dyDescent="0.3">
      <c r="A17" s="10" t="s">
        <v>100</v>
      </c>
      <c r="B17" s="10">
        <v>69.09</v>
      </c>
    </row>
    <row r="18" spans="1:2" ht="15" customHeight="1" thickBot="1" x14ac:dyDescent="0.3">
      <c r="A18" s="10"/>
      <c r="B18" s="10"/>
    </row>
    <row r="19" spans="1:2" ht="16.5" thickBot="1" x14ac:dyDescent="0.3">
      <c r="A19" s="9" t="s">
        <v>24</v>
      </c>
      <c r="B19" s="22">
        <f>SUM(B9:B18)</f>
        <v>166.95000000000002</v>
      </c>
    </row>
    <row r="20" spans="1:2" ht="16.5" thickBot="1" x14ac:dyDescent="0.3">
      <c r="A20" s="13"/>
      <c r="B20" s="10"/>
    </row>
    <row r="21" spans="1:2" ht="16.5" thickBot="1" x14ac:dyDescent="0.3">
      <c r="A21" s="9" t="s">
        <v>25</v>
      </c>
      <c r="B21" s="10"/>
    </row>
    <row r="22" spans="1:2" ht="16.5" thickBot="1" x14ac:dyDescent="0.3">
      <c r="A22" s="9" t="s">
        <v>22</v>
      </c>
      <c r="B22" s="10"/>
    </row>
    <row r="23" spans="1:2" ht="16.5" thickBot="1" x14ac:dyDescent="0.3">
      <c r="A23" s="11" t="s">
        <v>42</v>
      </c>
      <c r="B23" s="10"/>
    </row>
    <row r="24" spans="1:2" ht="16.5" thickBot="1" x14ac:dyDescent="0.3">
      <c r="A24" s="11" t="s">
        <v>43</v>
      </c>
      <c r="B24" s="47"/>
    </row>
    <row r="25" spans="1:2" x14ac:dyDescent="0.25">
      <c r="A25" s="12" t="s">
        <v>40</v>
      </c>
      <c r="B25" s="47"/>
    </row>
    <row r="26" spans="1:2" x14ac:dyDescent="0.25">
      <c r="A26" s="12" t="s">
        <v>45</v>
      </c>
      <c r="B26" s="48"/>
    </row>
    <row r="27" spans="1:2" ht="14.25" customHeight="1" x14ac:dyDescent="0.25">
      <c r="A27" s="12"/>
      <c r="B27" s="48"/>
    </row>
    <row r="28" spans="1:2" ht="15" customHeight="1" thickBot="1" x14ac:dyDescent="0.3">
      <c r="A28" s="14"/>
      <c r="B28" s="49"/>
    </row>
    <row r="29" spans="1:2" ht="16.5" thickBot="1" x14ac:dyDescent="0.3">
      <c r="A29" s="9" t="s">
        <v>23</v>
      </c>
      <c r="B29" s="10"/>
    </row>
    <row r="30" spans="1:2" ht="16.5" thickBot="1" x14ac:dyDescent="0.3">
      <c r="A30" s="11" t="s">
        <v>104</v>
      </c>
      <c r="B30" s="22">
        <v>7.56</v>
      </c>
    </row>
    <row r="31" spans="1:2" ht="16.5" thickBot="1" x14ac:dyDescent="0.3">
      <c r="A31" s="11" t="s">
        <v>42</v>
      </c>
      <c r="B31" s="10"/>
    </row>
    <row r="32" spans="1:2" ht="15.75" customHeight="1" thickBot="1" x14ac:dyDescent="0.3">
      <c r="A32" s="11" t="s">
        <v>43</v>
      </c>
      <c r="B32" s="10"/>
    </row>
    <row r="33" spans="1:2" ht="16.5" thickBot="1" x14ac:dyDescent="0.3">
      <c r="A33" s="11" t="s">
        <v>40</v>
      </c>
      <c r="B33" s="10"/>
    </row>
    <row r="34" spans="1:2" ht="16.5" thickBot="1" x14ac:dyDescent="0.3">
      <c r="A34" s="11" t="s">
        <v>45</v>
      </c>
      <c r="B34" s="10"/>
    </row>
    <row r="35" spans="1:2" ht="14.25" customHeight="1" x14ac:dyDescent="0.25">
      <c r="A35" s="12"/>
      <c r="B35" s="48"/>
    </row>
    <row r="36" spans="1:2" ht="15" customHeight="1" thickBot="1" x14ac:dyDescent="0.3">
      <c r="A36" s="14"/>
      <c r="B36" s="49"/>
    </row>
    <row r="37" spans="1:2" ht="16.5" thickBot="1" x14ac:dyDescent="0.3">
      <c r="A37" s="9" t="s">
        <v>26</v>
      </c>
      <c r="B37" s="22">
        <f>SUM(B22:B36)</f>
        <v>7.56</v>
      </c>
    </row>
    <row r="38" spans="1:2" ht="16.5" thickBot="1" x14ac:dyDescent="0.3">
      <c r="A38" s="11"/>
      <c r="B38" s="10"/>
    </row>
    <row r="39" spans="1:2" ht="42.75" customHeight="1" thickBot="1" x14ac:dyDescent="0.3">
      <c r="A39" s="9" t="s">
        <v>27</v>
      </c>
      <c r="B39" s="10"/>
    </row>
    <row r="40" spans="1:2" ht="16.5" thickBot="1" x14ac:dyDescent="0.3">
      <c r="A40" s="11" t="s">
        <v>46</v>
      </c>
      <c r="B40" s="10">
        <v>0</v>
      </c>
    </row>
    <row r="41" spans="1:2" ht="16.5" thickBot="1" x14ac:dyDescent="0.3">
      <c r="A41" s="11" t="s">
        <v>47</v>
      </c>
      <c r="B41" s="10">
        <v>0</v>
      </c>
    </row>
    <row r="42" spans="1:2" ht="16.5" thickBot="1" x14ac:dyDescent="0.3">
      <c r="A42" s="11" t="s">
        <v>40</v>
      </c>
      <c r="B42" s="10">
        <v>5.8</v>
      </c>
    </row>
    <row r="43" spans="1:2" ht="19.5" customHeight="1" thickBot="1" x14ac:dyDescent="0.3">
      <c r="A43" s="11" t="s">
        <v>45</v>
      </c>
      <c r="B43" s="11">
        <v>5.47</v>
      </c>
    </row>
    <row r="44" spans="1:2" ht="19.5" customHeight="1" thickBot="1" x14ac:dyDescent="0.3">
      <c r="A44" s="11" t="s">
        <v>170</v>
      </c>
      <c r="B44" s="11">
        <v>2.5299999999999998</v>
      </c>
    </row>
    <row r="45" spans="1:2" ht="19.5" customHeight="1" thickBot="1" x14ac:dyDescent="0.3">
      <c r="A45" s="11" t="s">
        <v>49</v>
      </c>
      <c r="B45" s="11">
        <v>5.95</v>
      </c>
    </row>
    <row r="46" spans="1:2" ht="19.5" customHeight="1" thickBot="1" x14ac:dyDescent="0.3">
      <c r="A46" s="11" t="s">
        <v>49</v>
      </c>
      <c r="B46" s="11">
        <v>0.1</v>
      </c>
    </row>
    <row r="47" spans="1:2" ht="14.25" customHeight="1" x14ac:dyDescent="0.25">
      <c r="A47" s="12"/>
      <c r="B47" s="48"/>
    </row>
    <row r="48" spans="1:2" ht="15" customHeight="1" thickBot="1" x14ac:dyDescent="0.3">
      <c r="A48" s="14"/>
      <c r="B48" s="49"/>
    </row>
    <row r="49" spans="1:2" ht="48" thickBot="1" x14ac:dyDescent="0.3">
      <c r="A49" s="9" t="s">
        <v>28</v>
      </c>
      <c r="B49" s="10">
        <f>SUM(B40:B48)</f>
        <v>19.850000000000001</v>
      </c>
    </row>
    <row r="50" spans="1:2" ht="16.5" thickBot="1" x14ac:dyDescent="0.3">
      <c r="A50" s="9"/>
      <c r="B50" s="10"/>
    </row>
    <row r="51" spans="1:2" ht="32.25" thickBot="1" x14ac:dyDescent="0.3">
      <c r="A51" s="9" t="s">
        <v>29</v>
      </c>
      <c r="B51" s="10">
        <v>0</v>
      </c>
    </row>
    <row r="52" spans="1:2" ht="16.5" thickBot="1" x14ac:dyDescent="0.3">
      <c r="A52" s="11" t="s">
        <v>46</v>
      </c>
      <c r="B52" s="10">
        <v>0</v>
      </c>
    </row>
    <row r="53" spans="1:2" x14ac:dyDescent="0.25">
      <c r="A53" s="12" t="s">
        <v>47</v>
      </c>
      <c r="B53" s="59">
        <v>0</v>
      </c>
    </row>
    <row r="54" spans="1:2" ht="15.75" customHeight="1" thickBot="1" x14ac:dyDescent="0.3">
      <c r="A54" s="11" t="s">
        <v>48</v>
      </c>
      <c r="B54" s="60"/>
    </row>
    <row r="55" spans="1:2" x14ac:dyDescent="0.25">
      <c r="A55" s="12" t="s">
        <v>40</v>
      </c>
      <c r="B55" s="59"/>
    </row>
    <row r="56" spans="1:2" x14ac:dyDescent="0.25">
      <c r="A56" s="12" t="s">
        <v>49</v>
      </c>
      <c r="B56" s="61"/>
    </row>
    <row r="57" spans="1:2" ht="14.25" customHeight="1" x14ac:dyDescent="0.25">
      <c r="A57" s="12"/>
      <c r="B57" s="61"/>
    </row>
    <row r="58" spans="1:2" ht="15" customHeight="1" thickBot="1" x14ac:dyDescent="0.3">
      <c r="A58" s="14"/>
      <c r="B58" s="60"/>
    </row>
    <row r="59" spans="1:2" ht="32.25" thickBot="1" x14ac:dyDescent="0.3">
      <c r="A59" s="9" t="s">
        <v>30</v>
      </c>
      <c r="B59" s="10">
        <v>0</v>
      </c>
    </row>
    <row r="60" spans="1:2" ht="16.5" thickBot="1" x14ac:dyDescent="0.3">
      <c r="A60" s="11"/>
      <c r="B60" s="10"/>
    </row>
    <row r="61" spans="1:2" ht="32.25" thickBot="1" x14ac:dyDescent="0.3">
      <c r="A61" s="9" t="s">
        <v>31</v>
      </c>
      <c r="B61" s="10"/>
    </row>
    <row r="62" spans="1:2" ht="16.5" thickBot="1" x14ac:dyDescent="0.3">
      <c r="A62" s="11" t="s">
        <v>50</v>
      </c>
      <c r="B62" s="10"/>
    </row>
    <row r="63" spans="1:2" ht="16.5" thickBot="1" x14ac:dyDescent="0.3">
      <c r="A63" s="11" t="s">
        <v>51</v>
      </c>
      <c r="B63" s="10"/>
    </row>
    <row r="64" spans="1:2" ht="16.5" thickBot="1" x14ac:dyDescent="0.3">
      <c r="A64" s="11" t="s">
        <v>40</v>
      </c>
      <c r="B64" s="23" t="e">
        <f>#REF!</f>
        <v>#REF!</v>
      </c>
    </row>
    <row r="65" spans="1:2" ht="16.5" thickBot="1" x14ac:dyDescent="0.3">
      <c r="A65" s="9" t="s">
        <v>32</v>
      </c>
      <c r="B65" s="23" t="e">
        <f>+B64</f>
        <v>#REF!</v>
      </c>
    </row>
    <row r="66" spans="1:2" ht="16.5" thickBot="1" x14ac:dyDescent="0.3">
      <c r="A66" s="9"/>
      <c r="B66" s="10"/>
    </row>
    <row r="67" spans="1:2" ht="16.5" thickBot="1" x14ac:dyDescent="0.3">
      <c r="A67" s="9" t="s">
        <v>33</v>
      </c>
      <c r="B67" s="10"/>
    </row>
    <row r="68" spans="1:2" ht="16.5" thickBot="1" x14ac:dyDescent="0.3">
      <c r="A68" s="11" t="s">
        <v>52</v>
      </c>
      <c r="B68" s="10">
        <v>0</v>
      </c>
    </row>
    <row r="69" spans="1:2" ht="16.5" thickBot="1" x14ac:dyDescent="0.3">
      <c r="A69" s="11" t="s">
        <v>53</v>
      </c>
      <c r="B69" s="10">
        <v>0</v>
      </c>
    </row>
    <row r="70" spans="1:2" ht="16.5" thickBot="1" x14ac:dyDescent="0.3">
      <c r="A70" s="11" t="s">
        <v>40</v>
      </c>
      <c r="B70" s="10"/>
    </row>
    <row r="71" spans="1:2" ht="16.5" thickBot="1" x14ac:dyDescent="0.3">
      <c r="A71" s="9" t="s">
        <v>34</v>
      </c>
      <c r="B71" s="10">
        <v>0</v>
      </c>
    </row>
    <row r="72" spans="1:2" ht="16.5" thickBot="1" x14ac:dyDescent="0.3">
      <c r="A72" s="9"/>
      <c r="B72" s="10"/>
    </row>
    <row r="73" spans="1:2" ht="32.25" thickBot="1" x14ac:dyDescent="0.3">
      <c r="A73" s="9" t="s">
        <v>35</v>
      </c>
      <c r="B73" s="10">
        <v>0</v>
      </c>
    </row>
    <row r="74" spans="1:2" ht="16.5" thickBot="1" x14ac:dyDescent="0.3">
      <c r="A74" s="11" t="s">
        <v>46</v>
      </c>
      <c r="B74" s="10">
        <v>0</v>
      </c>
    </row>
    <row r="75" spans="1:2" ht="16.5" thickBot="1" x14ac:dyDescent="0.3">
      <c r="A75" s="11" t="s">
        <v>47</v>
      </c>
      <c r="B75" s="10">
        <v>0</v>
      </c>
    </row>
    <row r="76" spans="1:2" ht="16.5" thickBot="1" x14ac:dyDescent="0.3">
      <c r="A76" s="11" t="s">
        <v>40</v>
      </c>
      <c r="B76" s="10">
        <v>0</v>
      </c>
    </row>
    <row r="77" spans="1:2" ht="32.25" thickBot="1" x14ac:dyDescent="0.3">
      <c r="A77" s="9" t="s">
        <v>36</v>
      </c>
      <c r="B77" s="10">
        <v>0</v>
      </c>
    </row>
    <row r="78" spans="1:2" ht="16.5" thickBot="1" x14ac:dyDescent="0.3">
      <c r="A78" s="11"/>
      <c r="B78" s="10"/>
    </row>
    <row r="79" spans="1:2" ht="16.5" thickBot="1" x14ac:dyDescent="0.3">
      <c r="A79" s="9" t="s">
        <v>37</v>
      </c>
      <c r="B79" s="10">
        <v>0</v>
      </c>
    </row>
    <row r="80" spans="1:2" ht="16.5" thickBot="1" x14ac:dyDescent="0.3">
      <c r="A80" s="11" t="s">
        <v>46</v>
      </c>
      <c r="B80" s="10">
        <v>0</v>
      </c>
    </row>
    <row r="81" spans="1:2" ht="16.5" thickBot="1" x14ac:dyDescent="0.3">
      <c r="A81" s="11" t="s">
        <v>47</v>
      </c>
      <c r="B81" s="10">
        <v>0</v>
      </c>
    </row>
    <row r="82" spans="1:2" ht="16.5" thickBot="1" x14ac:dyDescent="0.3">
      <c r="A82" s="11" t="s">
        <v>40</v>
      </c>
      <c r="B82" s="10">
        <v>0</v>
      </c>
    </row>
    <row r="83" spans="1:2" ht="16.5" thickBot="1" x14ac:dyDescent="0.3">
      <c r="A83" s="9" t="s">
        <v>38</v>
      </c>
      <c r="B83" s="10">
        <v>0</v>
      </c>
    </row>
    <row r="84" spans="1:2" ht="16.5" thickBot="1" x14ac:dyDescent="0.3">
      <c r="A84" s="11"/>
      <c r="B84" s="10"/>
    </row>
    <row r="85" spans="1:2" ht="32.25" thickBot="1" x14ac:dyDescent="0.3">
      <c r="A85" s="9" t="s">
        <v>76</v>
      </c>
      <c r="B85" s="23" t="e">
        <f>B83+B77+B71+B65+B59+B37+B19</f>
        <v>#REF!</v>
      </c>
    </row>
  </sheetData>
  <mergeCells count="2">
    <mergeCell ref="B53:B54"/>
    <mergeCell ref="B55:B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9A62-9DD2-4E8A-BAF1-8E32D5B98D87}">
  <sheetPr codeName="גיליון6"/>
  <dimension ref="A2:H127"/>
  <sheetViews>
    <sheetView rightToLeft="1" topLeftCell="A117" zoomScaleNormal="100" workbookViewId="0">
      <selection activeCell="F132" sqref="F132"/>
    </sheetView>
  </sheetViews>
  <sheetFormatPr defaultColWidth="9" defaultRowHeight="15.75" x14ac:dyDescent="0.2"/>
  <cols>
    <col min="1" max="1" width="37.625" style="16" customWidth="1"/>
    <col min="2" max="2" width="38.375" style="16" bestFit="1" customWidth="1"/>
    <col min="3" max="3" width="19.625" style="16" bestFit="1" customWidth="1"/>
    <col min="4" max="5" width="9" style="16"/>
    <col min="6" max="6" width="130" style="16" customWidth="1"/>
    <col min="7" max="16384" width="9" style="16"/>
  </cols>
  <sheetData>
    <row r="2" spans="1:8" x14ac:dyDescent="0.25">
      <c r="A2" s="8" t="e">
        <f>#REF!</f>
        <v>#REF!</v>
      </c>
      <c r="B2" s="8" t="e">
        <f>#REF!</f>
        <v>#REF!</v>
      </c>
    </row>
    <row r="3" spans="1:8" x14ac:dyDescent="0.25">
      <c r="A3" s="8" t="e">
        <f>#REF!</f>
        <v>#REF!</v>
      </c>
      <c r="B3" s="8" t="e">
        <f>#REF!</f>
        <v>#REF!</v>
      </c>
    </row>
    <row r="4" spans="1:8" x14ac:dyDescent="0.25">
      <c r="A4" s="8" t="e">
        <f>SUBSTITUTE(#REF!,"1","3")</f>
        <v>#REF!</v>
      </c>
      <c r="B4" s="8" t="e">
        <f>#REF!</f>
        <v>#REF!</v>
      </c>
    </row>
    <row r="5" spans="1:8" x14ac:dyDescent="0.25">
      <c r="A5" s="8" t="e">
        <f>#REF!</f>
        <v>#REF!</v>
      </c>
      <c r="B5" s="8" t="e">
        <f>#REF!</f>
        <v>#REF!</v>
      </c>
    </row>
    <row r="6" spans="1:8" ht="16.5" thickBot="1" x14ac:dyDescent="0.3">
      <c r="A6" s="8" t="e">
        <f>#REF!</f>
        <v>#REF!</v>
      </c>
      <c r="B6" s="8" t="e">
        <f>#REF!</f>
        <v>#REF!</v>
      </c>
    </row>
    <row r="7" spans="1:8" ht="142.5" thickBot="1" x14ac:dyDescent="0.25">
      <c r="A7" s="6" t="s">
        <v>108</v>
      </c>
      <c r="B7" s="17" t="s">
        <v>54</v>
      </c>
      <c r="F7" s="15" t="s">
        <v>77</v>
      </c>
    </row>
    <row r="8" spans="1:8" ht="45" customHeight="1" thickBot="1" x14ac:dyDescent="0.25">
      <c r="A8" s="9" t="s">
        <v>55</v>
      </c>
      <c r="B8" s="18"/>
    </row>
    <row r="9" spans="1:8" ht="16.5" thickBot="1" x14ac:dyDescent="0.2">
      <c r="A9" s="26" t="s">
        <v>116</v>
      </c>
      <c r="B9" s="26">
        <v>66.050816999999995</v>
      </c>
      <c r="F9" s="25"/>
      <c r="G9" s="28"/>
      <c r="H9" s="35"/>
    </row>
    <row r="10" spans="1:8" ht="16.5" thickBot="1" x14ac:dyDescent="0.2">
      <c r="A10" s="26" t="s">
        <v>117</v>
      </c>
      <c r="B10" s="26">
        <v>8.1739999999999995</v>
      </c>
      <c r="F10" s="25"/>
      <c r="G10" s="28"/>
      <c r="H10" s="35"/>
    </row>
    <row r="11" spans="1:8" ht="16.5" thickBot="1" x14ac:dyDescent="0.2">
      <c r="A11" s="26" t="s">
        <v>118</v>
      </c>
      <c r="B11" s="26">
        <v>187.50200000000001</v>
      </c>
      <c r="F11" s="25"/>
      <c r="G11" s="28"/>
      <c r="H11" s="35"/>
    </row>
    <row r="12" spans="1:8" ht="16.5" thickBot="1" x14ac:dyDescent="0.2">
      <c r="A12" s="26" t="s">
        <v>119</v>
      </c>
      <c r="B12" s="26">
        <v>55.622</v>
      </c>
      <c r="F12" s="25"/>
      <c r="G12" s="28"/>
      <c r="H12" s="35"/>
    </row>
    <row r="13" spans="1:8" ht="16.5" thickBot="1" x14ac:dyDescent="0.2">
      <c r="A13" s="26" t="s">
        <v>120</v>
      </c>
      <c r="B13" s="26">
        <v>95.174999999999997</v>
      </c>
      <c r="F13" s="25"/>
      <c r="G13" s="28"/>
      <c r="H13" s="35"/>
    </row>
    <row r="14" spans="1:8" ht="16.5" thickBot="1" x14ac:dyDescent="0.2">
      <c r="A14" s="26" t="s">
        <v>156</v>
      </c>
      <c r="B14" s="26">
        <v>23.007999999999999</v>
      </c>
      <c r="F14" s="25"/>
      <c r="G14" s="28"/>
      <c r="H14" s="35"/>
    </row>
    <row r="15" spans="1:8" ht="16.5" thickBot="1" x14ac:dyDescent="0.2">
      <c r="A15" s="26" t="s">
        <v>157</v>
      </c>
      <c r="B15" s="26">
        <v>241.64099999999999</v>
      </c>
      <c r="F15" s="25"/>
      <c r="G15" s="28"/>
      <c r="H15" s="35"/>
    </row>
    <row r="16" spans="1:8" ht="16.5" thickBot="1" x14ac:dyDescent="0.2">
      <c r="A16" s="26" t="s">
        <v>121</v>
      </c>
      <c r="B16" s="26">
        <v>69.599999999999994</v>
      </c>
      <c r="F16" s="25"/>
      <c r="G16" s="28"/>
      <c r="H16" s="35"/>
    </row>
    <row r="17" spans="1:8" ht="16.5" thickBot="1" x14ac:dyDescent="0.2">
      <c r="A17" s="26" t="s">
        <v>122</v>
      </c>
      <c r="B17" s="26">
        <v>28.283999999999999</v>
      </c>
      <c r="F17" s="25"/>
      <c r="G17" s="28"/>
      <c r="H17" s="35"/>
    </row>
    <row r="18" spans="1:8" ht="16.5" thickBot="1" x14ac:dyDescent="0.2">
      <c r="A18" s="26" t="s">
        <v>158</v>
      </c>
      <c r="B18" s="26">
        <v>10.868</v>
      </c>
      <c r="F18" s="25"/>
      <c r="G18" s="28"/>
      <c r="H18" s="35"/>
    </row>
    <row r="19" spans="1:8" ht="16.5" thickBot="1" x14ac:dyDescent="0.2">
      <c r="A19" s="26"/>
      <c r="B19" s="26"/>
      <c r="F19" s="25"/>
      <c r="G19" s="28"/>
      <c r="H19" s="35"/>
    </row>
    <row r="20" spans="1:8" ht="16.5" thickBot="1" x14ac:dyDescent="0.2">
      <c r="A20" s="26"/>
      <c r="B20" s="26"/>
      <c r="F20" s="25"/>
      <c r="G20" s="28"/>
      <c r="H20" s="35"/>
    </row>
    <row r="21" spans="1:8" ht="16.5" thickBot="1" x14ac:dyDescent="0.2">
      <c r="A21" s="9"/>
      <c r="B21" s="26"/>
      <c r="E21" s="52"/>
      <c r="F21" s="25"/>
      <c r="G21" s="28"/>
      <c r="H21" s="34"/>
    </row>
    <row r="22" spans="1:8" ht="32.25" thickBot="1" x14ac:dyDescent="0.2">
      <c r="A22" s="9" t="s">
        <v>56</v>
      </c>
      <c r="B22" s="26">
        <f>SUM(B9:B21)</f>
        <v>785.92481700000008</v>
      </c>
      <c r="D22" s="53"/>
      <c r="E22" s="52"/>
      <c r="F22" s="25"/>
      <c r="G22" s="28"/>
      <c r="H22" s="34"/>
    </row>
    <row r="23" spans="1:8" ht="43.5" customHeight="1" thickBot="1" x14ac:dyDescent="0.2">
      <c r="A23" s="9" t="s">
        <v>57</v>
      </c>
      <c r="B23" s="26"/>
      <c r="F23" s="25"/>
      <c r="G23" s="28"/>
      <c r="H23" s="35"/>
    </row>
    <row r="24" spans="1:8" ht="15.75" customHeight="1" thickBot="1" x14ac:dyDescent="0.2">
      <c r="A24" s="24" t="s">
        <v>159</v>
      </c>
      <c r="B24" s="26">
        <v>31.469963</v>
      </c>
      <c r="F24" s="25"/>
      <c r="G24" s="28"/>
      <c r="H24" s="35"/>
    </row>
    <row r="25" spans="1:8" ht="15.75" customHeight="1" thickBot="1" x14ac:dyDescent="0.2">
      <c r="A25" s="24" t="s">
        <v>160</v>
      </c>
      <c r="B25" s="26">
        <v>14.500472</v>
      </c>
      <c r="F25" s="25"/>
      <c r="G25" s="28"/>
      <c r="H25" s="35"/>
    </row>
    <row r="26" spans="1:8" ht="15.75" customHeight="1" thickBot="1" x14ac:dyDescent="0.2">
      <c r="A26" s="24" t="s">
        <v>123</v>
      </c>
      <c r="B26" s="26">
        <v>59.810799999999993</v>
      </c>
      <c r="F26" s="25"/>
      <c r="G26" s="28"/>
      <c r="H26" s="35"/>
    </row>
    <row r="27" spans="1:8" ht="15.75" customHeight="1" thickBot="1" x14ac:dyDescent="0.2">
      <c r="A27" s="24" t="s">
        <v>161</v>
      </c>
      <c r="B27" s="26">
        <v>8.8835760000000015</v>
      </c>
      <c r="F27" s="25"/>
      <c r="G27" s="28"/>
      <c r="H27" s="35"/>
    </row>
    <row r="28" spans="1:8" ht="15.75" customHeight="1" thickBot="1" x14ac:dyDescent="0.2">
      <c r="A28" s="24" t="s">
        <v>124</v>
      </c>
      <c r="B28" s="26">
        <v>54.690411999999995</v>
      </c>
      <c r="F28" s="25"/>
      <c r="G28" s="28"/>
      <c r="H28" s="35"/>
    </row>
    <row r="29" spans="1:8" ht="15.75" customHeight="1" thickBot="1" x14ac:dyDescent="0.2">
      <c r="A29" s="24" t="s">
        <v>125</v>
      </c>
      <c r="B29" s="26">
        <v>54.697705999999997</v>
      </c>
      <c r="F29" s="25"/>
      <c r="G29" s="28"/>
      <c r="H29" s="35"/>
    </row>
    <row r="30" spans="1:8" ht="15.75" customHeight="1" thickBot="1" x14ac:dyDescent="0.2">
      <c r="A30" s="24" t="s">
        <v>126</v>
      </c>
      <c r="B30" s="26">
        <v>30.007515999999999</v>
      </c>
      <c r="F30" s="25"/>
      <c r="G30" s="28"/>
      <c r="H30" s="35"/>
    </row>
    <row r="31" spans="1:8" ht="15.75" customHeight="1" thickBot="1" x14ac:dyDescent="0.2">
      <c r="A31" s="24" t="s">
        <v>127</v>
      </c>
      <c r="B31" s="26">
        <v>0.90080899999999997</v>
      </c>
      <c r="F31" s="25"/>
      <c r="G31" s="28"/>
      <c r="H31" s="35"/>
    </row>
    <row r="32" spans="1:8" ht="15.75" customHeight="1" thickBot="1" x14ac:dyDescent="0.2">
      <c r="A32" s="24" t="s">
        <v>162</v>
      </c>
      <c r="B32" s="26">
        <v>30.882795999999999</v>
      </c>
      <c r="F32" s="25"/>
      <c r="G32" s="28"/>
      <c r="H32" s="35"/>
    </row>
    <row r="33" spans="1:8" ht="15.75" customHeight="1" thickBot="1" x14ac:dyDescent="0.2">
      <c r="A33" s="24" t="s">
        <v>128</v>
      </c>
      <c r="B33" s="26">
        <v>53.138210800000003</v>
      </c>
      <c r="F33" s="25"/>
      <c r="G33" s="28"/>
      <c r="H33" s="35"/>
    </row>
    <row r="34" spans="1:8" ht="15.75" customHeight="1" thickBot="1" x14ac:dyDescent="0.2">
      <c r="A34" s="24" t="s">
        <v>129</v>
      </c>
      <c r="B34" s="26">
        <v>76.587000000000003</v>
      </c>
      <c r="F34" s="25"/>
      <c r="G34" s="28"/>
      <c r="H34" s="35"/>
    </row>
    <row r="35" spans="1:8" ht="15.75" customHeight="1" thickBot="1" x14ac:dyDescent="0.2">
      <c r="A35" s="24" t="s">
        <v>163</v>
      </c>
      <c r="B35" s="26">
        <v>22.767010800000001</v>
      </c>
      <c r="F35" s="25"/>
      <c r="G35" s="28"/>
      <c r="H35" s="35"/>
    </row>
    <row r="36" spans="1:8" ht="15.75" customHeight="1" thickBot="1" x14ac:dyDescent="0.2">
      <c r="A36" s="24" t="s">
        <v>130</v>
      </c>
      <c r="B36" s="26">
        <v>48.140399999999993</v>
      </c>
      <c r="F36" s="25"/>
      <c r="G36" s="28"/>
      <c r="H36" s="35"/>
    </row>
    <row r="37" spans="1:8" ht="15.75" customHeight="1" thickBot="1" x14ac:dyDescent="0.2">
      <c r="A37" s="24" t="s">
        <v>131</v>
      </c>
      <c r="B37" s="26">
        <v>48.912817600000004</v>
      </c>
      <c r="F37" s="25"/>
      <c r="G37" s="28"/>
      <c r="H37" s="35"/>
    </row>
    <row r="38" spans="1:8" ht="15.75" customHeight="1" thickBot="1" x14ac:dyDescent="0.2">
      <c r="A38" s="24" t="s">
        <v>164</v>
      </c>
      <c r="B38" s="26">
        <v>60.787999999999997</v>
      </c>
      <c r="F38" s="25"/>
      <c r="G38" s="28"/>
      <c r="H38" s="35"/>
    </row>
    <row r="39" spans="1:8" ht="15.75" customHeight="1" thickBot="1" x14ac:dyDescent="0.2">
      <c r="A39" s="24" t="s">
        <v>165</v>
      </c>
      <c r="B39" s="26">
        <v>71.417147199999988</v>
      </c>
      <c r="F39" s="25"/>
      <c r="G39" s="28"/>
      <c r="H39" s="35"/>
    </row>
    <row r="40" spans="1:8" ht="15.75" customHeight="1" thickBot="1" x14ac:dyDescent="0.2">
      <c r="A40" s="24" t="s">
        <v>132</v>
      </c>
      <c r="B40" s="26">
        <v>106.2080864</v>
      </c>
      <c r="F40" s="25"/>
      <c r="G40" s="28"/>
      <c r="H40" s="35"/>
    </row>
    <row r="41" spans="1:8" ht="15.75" customHeight="1" thickBot="1" x14ac:dyDescent="0.2">
      <c r="A41" s="24" t="s">
        <v>166</v>
      </c>
      <c r="B41" s="26">
        <v>15.946</v>
      </c>
      <c r="F41" s="25"/>
      <c r="G41" s="28"/>
      <c r="H41" s="35"/>
    </row>
    <row r="42" spans="1:8" ht="15.75" customHeight="1" thickBot="1" x14ac:dyDescent="0.2">
      <c r="A42" s="24" t="s">
        <v>167</v>
      </c>
      <c r="B42" s="26">
        <v>20.712430400000002</v>
      </c>
      <c r="F42" s="25"/>
      <c r="G42" s="28"/>
      <c r="H42" s="35"/>
    </row>
    <row r="43" spans="1:8" ht="15.75" customHeight="1" thickBot="1" x14ac:dyDescent="0.2">
      <c r="A43" s="24" t="s">
        <v>168</v>
      </c>
      <c r="B43" s="26">
        <v>99.296868999999987</v>
      </c>
      <c r="F43" s="25"/>
      <c r="G43" s="28"/>
      <c r="H43" s="35"/>
    </row>
    <row r="44" spans="1:8" ht="15.75" customHeight="1" thickBot="1" x14ac:dyDescent="0.2">
      <c r="A44" s="24" t="s">
        <v>169</v>
      </c>
      <c r="B44" s="26">
        <v>0.39045160000000007</v>
      </c>
      <c r="F44" s="25"/>
      <c r="G44" s="28"/>
      <c r="H44" s="35"/>
    </row>
    <row r="45" spans="1:8" ht="15.75" customHeight="1" thickBot="1" x14ac:dyDescent="0.2">
      <c r="A45" s="24" t="s">
        <v>133</v>
      </c>
      <c r="B45" s="26">
        <v>50.168132</v>
      </c>
      <c r="F45" s="25"/>
      <c r="G45" s="28"/>
      <c r="H45" s="35"/>
    </row>
    <row r="46" spans="1:8" ht="15.75" customHeight="1" thickBot="1" x14ac:dyDescent="0.2">
      <c r="A46" s="24"/>
      <c r="B46" s="26"/>
      <c r="F46" s="25"/>
      <c r="G46" s="28"/>
      <c r="H46" s="35"/>
    </row>
    <row r="47" spans="1:8" ht="15.75" customHeight="1" thickBot="1" x14ac:dyDescent="0.2">
      <c r="A47" s="24"/>
      <c r="B47" s="26"/>
      <c r="F47" s="25"/>
      <c r="G47" s="28"/>
      <c r="H47" s="35"/>
    </row>
    <row r="48" spans="1:8" ht="16.5" thickBot="1" x14ac:dyDescent="0.2">
      <c r="A48" s="24"/>
      <c r="B48" s="26"/>
      <c r="F48" s="25"/>
      <c r="G48" s="28"/>
      <c r="H48" s="34"/>
    </row>
    <row r="49" spans="1:8" ht="32.25" thickBot="1" x14ac:dyDescent="0.2">
      <c r="A49" s="9" t="s">
        <v>58</v>
      </c>
      <c r="B49" s="26">
        <f>SUM(B24:B48)</f>
        <v>960.31660580000016</v>
      </c>
      <c r="F49" s="25"/>
      <c r="G49" s="25"/>
      <c r="H49" s="36"/>
    </row>
    <row r="50" spans="1:8" ht="16.5" thickBot="1" x14ac:dyDescent="0.2">
      <c r="A50" s="9"/>
      <c r="B50" s="26"/>
      <c r="F50" s="25"/>
      <c r="G50" s="25"/>
      <c r="H50" s="36"/>
    </row>
    <row r="51" spans="1:8" ht="16.5" thickBot="1" x14ac:dyDescent="0.2">
      <c r="A51" s="9"/>
      <c r="B51" s="18"/>
      <c r="F51" s="33"/>
      <c r="G51" s="33"/>
      <c r="H51" s="33"/>
    </row>
    <row r="52" spans="1:8" ht="47.25" customHeight="1" thickBot="1" x14ac:dyDescent="0.2">
      <c r="A52" s="9" t="s">
        <v>59</v>
      </c>
      <c r="B52" s="18"/>
      <c r="F52" s="25"/>
      <c r="G52" s="25"/>
      <c r="H52" s="25"/>
    </row>
    <row r="53" spans="1:8" ht="16.5" thickBot="1" x14ac:dyDescent="0.2">
      <c r="A53" s="11" t="s">
        <v>46</v>
      </c>
      <c r="B53" s="18">
        <v>0</v>
      </c>
      <c r="F53" s="25"/>
      <c r="G53" s="25"/>
      <c r="H53" s="36"/>
    </row>
    <row r="54" spans="1:8" x14ac:dyDescent="0.15">
      <c r="A54" s="12" t="s">
        <v>47</v>
      </c>
      <c r="B54" s="62">
        <v>0</v>
      </c>
      <c r="F54" s="33"/>
      <c r="G54" s="33"/>
      <c r="H54" s="33"/>
    </row>
    <row r="55" spans="1:8" ht="16.5" thickBot="1" x14ac:dyDescent="0.2">
      <c r="A55" s="11" t="s">
        <v>41</v>
      </c>
      <c r="B55" s="63"/>
      <c r="F55" s="25"/>
      <c r="G55" s="25"/>
      <c r="H55" s="25"/>
    </row>
    <row r="56" spans="1:8" x14ac:dyDescent="0.15">
      <c r="A56" s="59" t="s">
        <v>40</v>
      </c>
      <c r="B56" s="62">
        <v>0</v>
      </c>
      <c r="F56" s="25"/>
      <c r="G56" s="25"/>
      <c r="H56" s="36"/>
    </row>
    <row r="57" spans="1:8" x14ac:dyDescent="0.15">
      <c r="A57" s="61"/>
      <c r="B57" s="66"/>
      <c r="F57" s="33"/>
      <c r="G57" s="33"/>
      <c r="H57" s="33"/>
    </row>
    <row r="58" spans="1:8" ht="16.5" thickBot="1" x14ac:dyDescent="0.2">
      <c r="A58" s="60"/>
      <c r="B58" s="63"/>
      <c r="F58" s="25"/>
      <c r="G58" s="25"/>
      <c r="H58" s="25"/>
    </row>
    <row r="59" spans="1:8" ht="16.5" thickBot="1" x14ac:dyDescent="0.2">
      <c r="A59" s="9" t="s">
        <v>60</v>
      </c>
      <c r="B59" s="18">
        <v>0</v>
      </c>
      <c r="F59" s="25"/>
      <c r="G59" s="25"/>
      <c r="H59" s="25"/>
    </row>
    <row r="60" spans="1:8" ht="16.5" thickBot="1" x14ac:dyDescent="0.2">
      <c r="A60" s="11"/>
      <c r="B60" s="18"/>
      <c r="F60" s="25"/>
      <c r="G60" s="25"/>
      <c r="H60" s="25"/>
    </row>
    <row r="61" spans="1:8" ht="44.25" customHeight="1" thickBot="1" x14ac:dyDescent="0.2">
      <c r="A61" s="9" t="s">
        <v>61</v>
      </c>
      <c r="B61" s="18"/>
      <c r="F61" s="33"/>
      <c r="G61" s="33"/>
      <c r="H61" s="37"/>
    </row>
    <row r="62" spans="1:8" ht="16.5" thickBot="1" x14ac:dyDescent="0.2">
      <c r="A62" s="11" t="s">
        <v>46</v>
      </c>
      <c r="B62" s="18">
        <v>0</v>
      </c>
      <c r="F62" s="25"/>
      <c r="G62" s="25"/>
      <c r="H62" s="36"/>
    </row>
    <row r="63" spans="1:8" x14ac:dyDescent="0.15">
      <c r="A63" s="12" t="s">
        <v>47</v>
      </c>
      <c r="B63" s="62">
        <v>0</v>
      </c>
      <c r="F63" s="33"/>
      <c r="G63" s="33"/>
      <c r="H63" s="33"/>
    </row>
    <row r="64" spans="1:8" ht="16.5" thickBot="1" x14ac:dyDescent="0.2">
      <c r="A64" s="11" t="s">
        <v>44</v>
      </c>
      <c r="B64" s="63"/>
      <c r="F64" s="25"/>
      <c r="G64" s="25"/>
      <c r="H64" s="25"/>
    </row>
    <row r="65" spans="1:8" x14ac:dyDescent="0.15">
      <c r="A65" s="12" t="s">
        <v>40</v>
      </c>
      <c r="B65" s="62">
        <v>0</v>
      </c>
      <c r="F65" s="25"/>
      <c r="G65" s="25"/>
      <c r="H65" s="25"/>
    </row>
    <row r="66" spans="1:8" x14ac:dyDescent="0.15">
      <c r="A66" s="12" t="s">
        <v>45</v>
      </c>
      <c r="B66" s="66"/>
      <c r="F66" s="33"/>
      <c r="G66" s="33"/>
      <c r="H66" s="37"/>
    </row>
    <row r="67" spans="1:8" x14ac:dyDescent="0.15">
      <c r="A67" s="12"/>
      <c r="B67" s="66"/>
      <c r="F67" s="33"/>
      <c r="G67" s="33"/>
      <c r="H67" s="37"/>
    </row>
    <row r="68" spans="1:8" ht="16.5" thickBot="1" x14ac:dyDescent="0.2">
      <c r="A68" s="14"/>
      <c r="B68" s="63"/>
      <c r="F68" s="33"/>
      <c r="G68" s="33"/>
      <c r="H68" s="37"/>
    </row>
    <row r="69" spans="1:8" ht="16.5" thickBot="1" x14ac:dyDescent="0.2">
      <c r="A69" s="9" t="s">
        <v>62</v>
      </c>
      <c r="B69" s="18">
        <v>0</v>
      </c>
      <c r="F69" s="33"/>
      <c r="G69" s="33"/>
      <c r="H69" s="37"/>
    </row>
    <row r="70" spans="1:8" ht="16.5" thickBot="1" x14ac:dyDescent="0.2">
      <c r="A70" s="11"/>
      <c r="B70" s="18"/>
      <c r="F70" s="25"/>
      <c r="G70" s="25"/>
      <c r="H70" s="25"/>
    </row>
    <row r="71" spans="1:8" ht="63.75" thickBot="1" x14ac:dyDescent="0.2">
      <c r="A71" s="9" t="s">
        <v>63</v>
      </c>
      <c r="B71" s="18"/>
      <c r="F71" s="33"/>
      <c r="G71" s="33"/>
      <c r="H71" s="37"/>
    </row>
    <row r="72" spans="1:8" ht="16.5" thickBot="1" x14ac:dyDescent="0.2">
      <c r="A72" s="44" t="s">
        <v>142</v>
      </c>
      <c r="B72" s="44">
        <v>17.479328384093147</v>
      </c>
      <c r="F72" s="33"/>
      <c r="G72" s="33"/>
      <c r="H72" s="37"/>
    </row>
    <row r="73" spans="1:8" ht="16.5" thickBot="1" x14ac:dyDescent="0.2">
      <c r="A73" s="44" t="s">
        <v>134</v>
      </c>
      <c r="B73" s="44">
        <v>1.7494794313726021</v>
      </c>
      <c r="F73" s="33"/>
      <c r="G73" s="33"/>
      <c r="H73" s="37"/>
    </row>
    <row r="74" spans="1:8" ht="16.5" thickBot="1" x14ac:dyDescent="0.2">
      <c r="A74" s="44" t="s">
        <v>143</v>
      </c>
      <c r="B74" s="44">
        <v>0.55451550222739898</v>
      </c>
      <c r="F74" s="33"/>
      <c r="G74" s="33"/>
      <c r="H74" s="37"/>
    </row>
    <row r="75" spans="1:8" ht="16.5" thickBot="1" x14ac:dyDescent="0.2">
      <c r="A75" s="44" t="s">
        <v>144</v>
      </c>
      <c r="B75" s="44">
        <v>0.10942883046869509</v>
      </c>
      <c r="F75" s="33"/>
      <c r="G75" s="33"/>
      <c r="H75" s="37"/>
    </row>
    <row r="76" spans="1:8" ht="16.5" thickBot="1" x14ac:dyDescent="0.2">
      <c r="A76" s="44" t="s">
        <v>135</v>
      </c>
      <c r="B76" s="44">
        <v>4.8863275253534137</v>
      </c>
      <c r="F76" s="33"/>
      <c r="G76" s="33"/>
      <c r="H76" s="37"/>
    </row>
    <row r="77" spans="1:8" ht="16.5" thickBot="1" x14ac:dyDescent="0.2">
      <c r="A77" s="44" t="s">
        <v>136</v>
      </c>
      <c r="B77" s="44">
        <v>6.0506177919753501</v>
      </c>
      <c r="F77" s="33"/>
      <c r="G77" s="33"/>
      <c r="H77" s="37"/>
    </row>
    <row r="78" spans="1:8" ht="16.5" thickBot="1" x14ac:dyDescent="0.2">
      <c r="A78" s="44" t="s">
        <v>137</v>
      </c>
      <c r="B78" s="44">
        <v>123.97163202861653</v>
      </c>
      <c r="F78" s="33"/>
      <c r="G78" s="33"/>
      <c r="H78" s="37"/>
    </row>
    <row r="79" spans="1:8" ht="16.5" thickBot="1" x14ac:dyDescent="0.2">
      <c r="A79" s="44" t="s">
        <v>138</v>
      </c>
      <c r="B79" s="44">
        <v>128.4532007496633</v>
      </c>
      <c r="F79" s="33"/>
      <c r="G79" s="33"/>
      <c r="H79" s="37"/>
    </row>
    <row r="80" spans="1:8" ht="16.5" thickBot="1" x14ac:dyDescent="0.2">
      <c r="A80" s="44" t="s">
        <v>139</v>
      </c>
      <c r="B80" s="44">
        <v>4.4055570660219088</v>
      </c>
      <c r="F80" s="33"/>
      <c r="G80" s="33"/>
      <c r="H80" s="37"/>
    </row>
    <row r="81" spans="1:8" ht="16.5" thickBot="1" x14ac:dyDescent="0.2">
      <c r="A81" s="44" t="s">
        <v>140</v>
      </c>
      <c r="B81" s="44">
        <v>35.259859809501386</v>
      </c>
      <c r="F81" s="33"/>
      <c r="G81" s="33"/>
      <c r="H81" s="37"/>
    </row>
    <row r="82" spans="1:8" ht="16.5" thickBot="1" x14ac:dyDescent="0.2">
      <c r="A82" s="44" t="s">
        <v>146</v>
      </c>
      <c r="B82" s="44">
        <v>7.3183417965715023</v>
      </c>
      <c r="F82" s="33"/>
      <c r="G82" s="33"/>
      <c r="H82" s="37"/>
    </row>
    <row r="83" spans="1:8" ht="16.5" thickBot="1" x14ac:dyDescent="0.2">
      <c r="A83" s="44" t="s">
        <v>145</v>
      </c>
      <c r="B83" s="44">
        <v>0.21288778688767213</v>
      </c>
      <c r="F83" s="33"/>
      <c r="G83" s="33"/>
      <c r="H83" s="37"/>
    </row>
    <row r="84" spans="1:8" ht="16.5" thickBot="1" x14ac:dyDescent="0.2">
      <c r="A84" s="44" t="s">
        <v>141</v>
      </c>
      <c r="B84" s="44">
        <v>5.4102268030136999E-2</v>
      </c>
      <c r="F84" s="33"/>
      <c r="G84" s="33"/>
      <c r="H84" s="37"/>
    </row>
    <row r="85" spans="1:8" ht="16.5" thickBot="1" x14ac:dyDescent="0.2">
      <c r="A85" s="44" t="s">
        <v>153</v>
      </c>
      <c r="B85" s="44">
        <v>5.4644042945205459E-2</v>
      </c>
      <c r="F85" s="33"/>
      <c r="G85" s="33"/>
      <c r="H85" s="37"/>
    </row>
    <row r="86" spans="1:8" ht="16.5" thickBot="1" x14ac:dyDescent="0.2">
      <c r="A86" s="44" t="s">
        <v>154</v>
      </c>
      <c r="B86" s="44">
        <v>0.26774495117808195</v>
      </c>
      <c r="F86" s="33"/>
      <c r="G86" s="33"/>
      <c r="H86" s="37"/>
    </row>
    <row r="87" spans="1:8" ht="16.5" thickBot="1" x14ac:dyDescent="0.2">
      <c r="A87" s="44" t="s">
        <v>155</v>
      </c>
      <c r="B87" s="44">
        <v>1.5512697928767123E-2</v>
      </c>
      <c r="F87" s="33"/>
      <c r="G87" s="33"/>
      <c r="H87" s="37"/>
    </row>
    <row r="88" spans="1:8" ht="16.5" thickBot="1" x14ac:dyDescent="0.2">
      <c r="A88" s="44"/>
      <c r="B88" s="44"/>
      <c r="F88" s="33"/>
      <c r="G88" s="33"/>
      <c r="H88" s="37"/>
    </row>
    <row r="89" spans="1:8" ht="16.5" thickBot="1" x14ac:dyDescent="0.2">
      <c r="A89" s="9" t="s">
        <v>111</v>
      </c>
      <c r="B89" s="44">
        <f>SUM(B72:B88)</f>
        <v>330.84318066283515</v>
      </c>
      <c r="F89" s="33"/>
      <c r="G89" s="33"/>
      <c r="H89" s="37"/>
    </row>
    <row r="90" spans="1:8" ht="16.5" thickBot="1" x14ac:dyDescent="0.2">
      <c r="A90" s="9"/>
      <c r="B90" s="18"/>
      <c r="F90" s="33"/>
      <c r="G90" s="33"/>
      <c r="H90" s="37"/>
    </row>
    <row r="91" spans="1:8" ht="63.75" thickBot="1" x14ac:dyDescent="0.2">
      <c r="A91" s="9" t="s">
        <v>64</v>
      </c>
      <c r="B91" s="18"/>
      <c r="F91" s="33"/>
      <c r="G91" s="33"/>
      <c r="H91" s="37"/>
    </row>
    <row r="92" spans="1:8" ht="16.5" thickBot="1" x14ac:dyDescent="0.2">
      <c r="A92" s="23" t="s">
        <v>134</v>
      </c>
      <c r="B92" s="26">
        <v>5.1030930934794494</v>
      </c>
      <c r="F92" s="33"/>
      <c r="G92" s="33"/>
      <c r="H92" s="37"/>
    </row>
    <row r="93" spans="1:8" ht="16.5" thickBot="1" x14ac:dyDescent="0.2">
      <c r="A93" s="23" t="s">
        <v>143</v>
      </c>
      <c r="B93" s="26">
        <v>0.17475262783561651</v>
      </c>
      <c r="F93" s="33"/>
      <c r="G93" s="33"/>
      <c r="H93" s="37"/>
    </row>
    <row r="94" spans="1:8" ht="16.5" thickBot="1" x14ac:dyDescent="0.2">
      <c r="A94" s="23" t="s">
        <v>144</v>
      </c>
      <c r="B94" s="26">
        <v>2.7854287933772999</v>
      </c>
      <c r="F94" s="33"/>
      <c r="G94" s="33"/>
      <c r="H94" s="37"/>
    </row>
    <row r="95" spans="1:8" ht="16.5" thickBot="1" x14ac:dyDescent="0.2">
      <c r="A95" s="23" t="s">
        <v>145</v>
      </c>
      <c r="B95" s="26">
        <v>0.6939604871342463</v>
      </c>
      <c r="F95" s="33"/>
      <c r="G95" s="33"/>
      <c r="H95" s="37"/>
    </row>
    <row r="96" spans="1:8" ht="16.5" thickBot="1" x14ac:dyDescent="0.2">
      <c r="A96" s="26"/>
      <c r="B96" s="26"/>
      <c r="F96" s="33"/>
      <c r="G96" s="33"/>
      <c r="H96" s="37"/>
    </row>
    <row r="97" spans="1:8" ht="16.5" thickBot="1" x14ac:dyDescent="0.2">
      <c r="A97" s="9" t="s">
        <v>65</v>
      </c>
      <c r="B97" s="26">
        <f>SUM(B92:B96)</f>
        <v>8.7572350018266114</v>
      </c>
      <c r="F97" s="33"/>
      <c r="G97" s="33"/>
      <c r="H97" s="37"/>
    </row>
    <row r="98" spans="1:8" ht="16.5" thickBot="1" x14ac:dyDescent="0.2">
      <c r="A98" s="9"/>
      <c r="B98" s="18"/>
      <c r="F98" s="33"/>
      <c r="G98" s="33"/>
      <c r="H98" s="37"/>
    </row>
    <row r="99" spans="1:8" ht="36.75" customHeight="1" thickBot="1" x14ac:dyDescent="0.2">
      <c r="A99" s="9" t="s">
        <v>66</v>
      </c>
      <c r="B99" s="18"/>
      <c r="F99" s="33"/>
      <c r="G99" s="33"/>
      <c r="H99" s="37"/>
    </row>
    <row r="100" spans="1:8" ht="16.5" thickBot="1" x14ac:dyDescent="0.2">
      <c r="A100" s="9"/>
      <c r="B100" s="18"/>
      <c r="F100" s="33"/>
      <c r="G100" s="33"/>
      <c r="H100" s="37"/>
    </row>
    <row r="101" spans="1:8" ht="16.5" thickBot="1" x14ac:dyDescent="0.2">
      <c r="A101" s="11"/>
      <c r="B101" s="26"/>
      <c r="F101" s="33"/>
      <c r="G101" s="33"/>
      <c r="H101" s="33"/>
    </row>
    <row r="102" spans="1:8" ht="32.25" thickBot="1" x14ac:dyDescent="0.2">
      <c r="A102" s="9" t="s">
        <v>67</v>
      </c>
      <c r="B102" s="26">
        <f>SUM(B100:B101)</f>
        <v>0</v>
      </c>
      <c r="C102" s="43"/>
      <c r="F102" s="25"/>
      <c r="G102" s="25"/>
      <c r="H102" s="36"/>
    </row>
    <row r="103" spans="1:8" ht="16.5" thickBot="1" x14ac:dyDescent="0.2">
      <c r="A103" s="9"/>
      <c r="B103" s="18"/>
      <c r="F103" s="33"/>
      <c r="G103" s="33"/>
      <c r="H103" s="33"/>
    </row>
    <row r="104" spans="1:8" ht="57.75" customHeight="1" x14ac:dyDescent="0.15">
      <c r="A104" s="64" t="s">
        <v>68</v>
      </c>
      <c r="B104" s="62"/>
      <c r="F104" s="25"/>
      <c r="G104" s="25"/>
      <c r="H104" s="36"/>
    </row>
    <row r="105" spans="1:8" ht="34.5" customHeight="1" thickBot="1" x14ac:dyDescent="0.2">
      <c r="A105" s="65"/>
      <c r="B105" s="63"/>
      <c r="F105" s="25"/>
      <c r="G105" s="25"/>
      <c r="H105" s="36"/>
    </row>
    <row r="106" spans="1:8" ht="16.5" thickBot="1" x14ac:dyDescent="0.2">
      <c r="A106" s="10" t="s">
        <v>146</v>
      </c>
      <c r="B106" s="26">
        <v>1.7119183676712333</v>
      </c>
      <c r="F106" s="25"/>
      <c r="G106" s="25"/>
      <c r="H106" s="36"/>
    </row>
    <row r="107" spans="1:8" ht="16.5" thickBot="1" x14ac:dyDescent="0.2">
      <c r="A107" s="10" t="s">
        <v>147</v>
      </c>
      <c r="B107" s="26">
        <v>2.3876650606027403</v>
      </c>
      <c r="F107" s="25"/>
      <c r="G107" s="25"/>
      <c r="H107" s="36"/>
    </row>
    <row r="108" spans="1:8" ht="16.5" thickBot="1" x14ac:dyDescent="0.2">
      <c r="A108" s="10"/>
      <c r="B108" s="26"/>
      <c r="F108" s="25"/>
      <c r="G108" s="25"/>
      <c r="H108" s="36"/>
    </row>
    <row r="109" spans="1:8" ht="16.5" thickBot="1" x14ac:dyDescent="0.2">
      <c r="A109" s="10"/>
      <c r="B109" s="26"/>
      <c r="F109" s="25"/>
      <c r="G109" s="25"/>
      <c r="H109" s="36"/>
    </row>
    <row r="110" spans="1:8" ht="16.5" thickBot="1" x14ac:dyDescent="0.2">
      <c r="A110" s="10"/>
      <c r="B110" s="26"/>
      <c r="F110" s="25"/>
      <c r="G110" s="25"/>
      <c r="H110" s="36"/>
    </row>
    <row r="111" spans="1:8" ht="16.5" thickBot="1" x14ac:dyDescent="0.2">
      <c r="A111" s="10"/>
      <c r="B111" s="26"/>
      <c r="F111" s="25"/>
      <c r="G111" s="25"/>
      <c r="H111" s="36"/>
    </row>
    <row r="112" spans="1:8" ht="16.5" thickBot="1" x14ac:dyDescent="0.2">
      <c r="A112" s="10"/>
      <c r="B112" s="26"/>
      <c r="F112" s="25"/>
      <c r="G112" s="25"/>
      <c r="H112" s="36"/>
    </row>
    <row r="113" spans="1:4" ht="32.25" thickBot="1" x14ac:dyDescent="0.25">
      <c r="A113" s="9" t="s">
        <v>69</v>
      </c>
      <c r="B113" s="27">
        <f>SUM(B106:B112)</f>
        <v>4.0995834282739736</v>
      </c>
      <c r="C113" s="42"/>
    </row>
    <row r="114" spans="1:4" ht="16.5" thickBot="1" x14ac:dyDescent="0.25">
      <c r="A114" s="11"/>
      <c r="B114" s="18"/>
    </row>
    <row r="115" spans="1:4" ht="56.25" customHeight="1" thickBot="1" x14ac:dyDescent="0.25">
      <c r="A115" s="9" t="s">
        <v>70</v>
      </c>
      <c r="B115" s="18"/>
    </row>
    <row r="116" spans="1:4" ht="16.5" thickBot="1" x14ac:dyDescent="0.25">
      <c r="A116" s="11"/>
      <c r="B116" s="18"/>
    </row>
    <row r="117" spans="1:4" ht="40.5" customHeight="1" thickBot="1" x14ac:dyDescent="0.25">
      <c r="A117" s="11" t="s">
        <v>71</v>
      </c>
      <c r="B117" s="18">
        <v>0</v>
      </c>
    </row>
    <row r="118" spans="1:4" ht="16.5" thickBot="1" x14ac:dyDescent="0.25">
      <c r="A118" s="11" t="s">
        <v>40</v>
      </c>
      <c r="B118" s="18">
        <v>0</v>
      </c>
    </row>
    <row r="119" spans="1:4" ht="32.25" thickBot="1" x14ac:dyDescent="0.25">
      <c r="A119" s="9" t="s">
        <v>72</v>
      </c>
      <c r="B119" s="18">
        <v>0</v>
      </c>
    </row>
    <row r="120" spans="1:4" ht="16.5" thickBot="1" x14ac:dyDescent="0.25">
      <c r="A120" s="9"/>
      <c r="B120" s="18"/>
    </row>
    <row r="121" spans="1:4" ht="16.5" thickBot="1" x14ac:dyDescent="0.25">
      <c r="A121" s="9" t="s">
        <v>73</v>
      </c>
      <c r="B121" s="27">
        <f>+B119+B113+B102+B97+B89+B69+B49+B22</f>
        <v>2089.941421892936</v>
      </c>
      <c r="C121" s="42"/>
      <c r="D121" s="42"/>
    </row>
    <row r="122" spans="1:4" ht="16.5" thickBot="1" x14ac:dyDescent="0.25">
      <c r="A122" s="9" t="s">
        <v>39</v>
      </c>
      <c r="B122" s="18"/>
    </row>
    <row r="123" spans="1:4" ht="16.5" thickBot="1" x14ac:dyDescent="0.25">
      <c r="A123" s="11"/>
      <c r="B123" s="46"/>
    </row>
    <row r="124" spans="1:4" ht="16.5" thickBot="1" x14ac:dyDescent="0.25">
      <c r="A124" s="11"/>
      <c r="B124" s="46"/>
    </row>
    <row r="125" spans="1:4" ht="16.5" thickBot="1" x14ac:dyDescent="0.25">
      <c r="A125" s="11"/>
      <c r="B125" s="18"/>
    </row>
    <row r="126" spans="1:4" ht="45" customHeight="1" thickBot="1" x14ac:dyDescent="0.25">
      <c r="A126" s="9" t="s">
        <v>94</v>
      </c>
      <c r="B126" s="46">
        <f>+B125+B124+B123</f>
        <v>0</v>
      </c>
    </row>
    <row r="127" spans="1:4" ht="16.5" thickBot="1" x14ac:dyDescent="0.25">
      <c r="A127" s="9" t="s">
        <v>74</v>
      </c>
      <c r="B127" s="27">
        <v>870091.16999999993</v>
      </c>
    </row>
  </sheetData>
  <mergeCells count="7">
    <mergeCell ref="B54:B55"/>
    <mergeCell ref="B104:B105"/>
    <mergeCell ref="A104:A105"/>
    <mergeCell ref="B56:B58"/>
    <mergeCell ref="A56:A58"/>
    <mergeCell ref="B63:B64"/>
    <mergeCell ref="B65:B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נספח 1 - S&amp;P500</vt:lpstr>
      <vt:lpstr>נספח 2 –עמלות והוצאות לא חיצוני</vt:lpstr>
      <vt:lpstr>נספח 3 - עמלות ניהול חיצוני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Sagit Abuchazira</dc:creator>
  <cp:lastModifiedBy>ShiranN</cp:lastModifiedBy>
  <cp:lastPrinted>2024-04-04T14:00:13Z</cp:lastPrinted>
  <dcterms:created xsi:type="dcterms:W3CDTF">2024-01-28T18:32:14Z</dcterms:created>
  <dcterms:modified xsi:type="dcterms:W3CDTF">2025-07-27T07:57:06Z</dcterms:modified>
</cp:coreProperties>
</file>