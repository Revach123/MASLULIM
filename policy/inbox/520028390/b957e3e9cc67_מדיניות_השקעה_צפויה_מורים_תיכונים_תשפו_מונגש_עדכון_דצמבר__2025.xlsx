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24226"/>
  <mc:AlternateContent xmlns:mc="http://schemas.openxmlformats.org/markup-compatibility/2006">
    <mc:Choice Requires="x15">
      <x15ac:absPath xmlns:x15ac="http://schemas.microsoft.com/office/spreadsheetml/2010/11/ac" url="Z:\desktop\ועדת השקעות מורים\11.12.2025\מדיניות והקצאת נכסים תשפו\"/>
    </mc:Choice>
  </mc:AlternateContent>
  <xr:revisionPtr revIDLastSave="0" documentId="13_ncr:1_{A918A1AC-57B1-4182-B6BA-C2A4B923F1E5}" xr6:coauthVersionLast="47" xr6:coauthVersionMax="47" xr10:uidLastSave="{00000000-0000-0000-0000-000000000000}"/>
  <bookViews>
    <workbookView xWindow="1500" yWindow="1170" windowWidth="21600" windowHeight="11385" tabRatio="789" xr2:uid="{00000000-000D-0000-FFFF-FFFF00000000}"/>
  </bookViews>
  <sheets>
    <sheet name="מורים תיכוניים" sheetId="2" r:id="rId1"/>
    <sheet name="מות מקור" sheetId="3" r:id="rId2"/>
    <sheet name="מות הלכתי" sheetId="6" r:id="rId3"/>
    <sheet name="מות מקור הלכתי" sheetId="8" r:id="rId4"/>
    <sheet name="מות אשראי ואגח" sheetId="10" r:id="rId5"/>
    <sheet name="מות מקור אשראי ואגח" sheetId="12" r:id="rId6"/>
  </sheets>
  <definedNames>
    <definedName name="_xlnm._FilterDatabase" localSheetId="4" hidden="1">'מות אשראי ואגח'!$A$12:$H$23</definedName>
    <definedName name="_xlnm._FilterDatabase" localSheetId="3" hidden="1">'מות מקור הלכתי'!$A$10:$I$23</definedName>
    <definedName name="_xlnm.Print_Area" localSheetId="0">'מורים תיכוניים'!$A$1:$H$23</definedName>
    <definedName name="_xlnm.Print_Area" localSheetId="2">'מות הלכתי'!$A$1:$H$23</definedName>
    <definedName name="_xlnm.Print_Area" localSheetId="3">'מות מקור הלכתי'!$A$1:$H$23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8" l="1"/>
  <c r="C8" i="8"/>
  <c r="B8" i="8"/>
  <c r="F8" i="6"/>
  <c r="C8" i="6"/>
  <c r="B8" i="6"/>
  <c r="F8" i="3"/>
  <c r="C8" i="3"/>
  <c r="F8" i="2"/>
  <c r="C8" i="2"/>
  <c r="D8" i="12" l="1"/>
  <c r="D8" i="10"/>
  <c r="B8" i="10"/>
  <c r="B8" i="12"/>
  <c r="C8" i="12" l="1"/>
  <c r="C8" i="10"/>
  <c r="K9" i="2" l="1"/>
  <c r="K13" i="2" s="1"/>
  <c r="M13" i="2" s="1"/>
  <c r="J6" i="2"/>
</calcChain>
</file>

<file path=xl/sharedStrings.xml><?xml version="1.0" encoding="utf-8"?>
<sst xmlns="http://schemas.openxmlformats.org/spreadsheetml/2006/main" count="383" uniqueCount="64">
  <si>
    <t>מניות</t>
  </si>
  <si>
    <t>חשיפה למט"ח</t>
  </si>
  <si>
    <t>טווח סטייה</t>
  </si>
  <si>
    <t>6% +/-</t>
  </si>
  <si>
    <t>5% +/-</t>
  </si>
  <si>
    <t>מדד מק"מ</t>
  </si>
  <si>
    <t>אג"ח ממשלתי (שקלי, צמוד, משתנה, מט"ח, מק"מ)</t>
  </si>
  <si>
    <t>אפיק השקעה</t>
  </si>
  <si>
    <t xml:space="preserve">אחר (קרנות הון סיכון, קרנות השקעה, קרנות גידור, הלוואות לעמיתים שקליות' השקעות ראיליות, מניות לא סחירות)
</t>
  </si>
  <si>
    <t>0%-10%</t>
  </si>
  <si>
    <t>מניות סחירות</t>
  </si>
  <si>
    <t>13%-25%</t>
  </si>
  <si>
    <t xml:space="preserve">    תל בונד 60 -60%       
תל בונד שקלי 20%
    Bloomberg us corporate 1
 bond index 10  -20%  שקלי</t>
  </si>
  <si>
    <t xml:space="preserve"> 0%-8%</t>
  </si>
  <si>
    <t xml:space="preserve"> קביעת מגבלות השקעה בתאגידים אשר מדיניות הממשל התאגידי שלהן להם אינה תואמת את המדיניות שאימצה החברה. </t>
  </si>
  <si>
    <t>10%-20%</t>
  </si>
  <si>
    <t>אג"ח קונצרני (כולל פקדונות ושטרי הון)***</t>
  </si>
  <si>
    <t>עו"ש (כולל פר"י, פק"מ שבועי, עו"ש מט"ח)**</t>
  </si>
  <si>
    <t>סה"כ*</t>
  </si>
  <si>
    <t>40%-52%</t>
  </si>
  <si>
    <t>14%-26%</t>
  </si>
  <si>
    <t>38%-50%</t>
  </si>
  <si>
    <t>20%-30%</t>
  </si>
  <si>
    <t>18%-30%</t>
  </si>
  <si>
    <t>ממשלתי שקלי בריבית קבועה- 65%
ממשלתי צמוד 2-5 שנים- 35%</t>
  </si>
  <si>
    <t xml:space="preserve"> סה"כ תיק עלול להגיע מעל 100% בשל פעילות נגזרים על מדדי מניות </t>
  </si>
  <si>
    <t>*פקדונות עד 3 חודשים יכללו באפיק עו"ש/פר"י/פק"מ</t>
  </si>
  <si>
    <t>*פקדונות מעל 3 חודשים יכללו באפיק פקדונות</t>
  </si>
  <si>
    <t>17%-27%</t>
  </si>
  <si>
    <t>לפירוט נוסף ניתן לעיין במדיניות ממשל תאגידי ומדיניות ESG של החברה</t>
  </si>
  <si>
    <t xml:space="preserve">אפיק השקעה </t>
  </si>
  <si>
    <t>50%-60%</t>
  </si>
  <si>
    <t>34%-46%</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</si>
  <si>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</si>
  <si>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</si>
  <si>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שיעור חשיפה לשנת תשפ"ה</t>
  </si>
  <si>
    <t>גבולות שיעור החשיפה הצפויה לשנת תשפ"ה</t>
  </si>
  <si>
    <t>0%-6%</t>
  </si>
  <si>
    <t>0%-5%</t>
  </si>
  <si>
    <t>אין מידע</t>
  </si>
  <si>
    <t>** פקדונות עד 3 חודשים יכללו באפיק עו"ש/פר"י/פק"מ</t>
  </si>
  <si>
    <t xml:space="preserve">***פקדונות מעל 3 חודשים יכללו באפיק פקדונות </t>
  </si>
  <si>
    <t>סוף גיליון עבודה</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</si>
  <si>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</si>
  <si>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</si>
  <si>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</si>
  <si>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</si>
  <si>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</si>
  <si>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</si>
  <si>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שיעור חשיפה לשנת תשפ"ו</t>
  </si>
  <si>
    <t>גבולות שיעור החשיפה הצפויה  לשנת תשפ"ו</t>
  </si>
  <si>
    <t>מדד ייחוס  לשנת תשפ"ו</t>
  </si>
  <si>
    <t>39%-51%</t>
  </si>
  <si>
    <t>15%-25</t>
  </si>
  <si>
    <t>מגבלת עמלת ניהול חיצוני לשנת תשפ"ו</t>
  </si>
  <si>
    <t>קרן השתלמות למורים תיכונים, מורי סמינרים ומפקחים- מסלול רגיל-מסלול כללי - מדיניות צפויה תשפ"ו - דצמבר 2025</t>
  </si>
  <si>
    <t>קרן השתלמות למורים תיכוניים, מורי סמינרים ומפקחים, מסלול מקוצר-מסלול כללי- מדיניות צפויה תשפ"ו - דצמבר 2025</t>
  </si>
  <si>
    <t>קרן השתלמות למורים תיכונים, מורי סמינרים ומפקחים-מסלול רגיל-מסלול הלכה - מדיניות צפויה תשפ"ו  - דצמבר 2025</t>
  </si>
  <si>
    <t>קרן השתלמות למורים תיכוניים, מורי סמינרים ומפקחים-מסלול מקוצר- מסלול הלכה - מדיניות צפויה תשפ"ו  -  דצמבר 2025</t>
  </si>
  <si>
    <t>קרן השתלמות למורים תיכונים , מורי סמינרים ומפקחים-מסלול רגיל- מסלול אשראי ואג"ח - מדיניות צפויה תשפ"ו- דצמבר 2025</t>
  </si>
  <si>
    <t>קרן השתלמות למורים תיכונים , מורי סמינרים ומפקחים-מסלול מקוצר- מסלול אשראי ואג"ח - מדיניות צפויה תשפ"ו- דצמבר 2025</t>
  </si>
  <si>
    <t>שיעור החשיפה לתאריך 07/12/2025</t>
  </si>
  <si>
    <t>מדיניות אושרה בדירקטוריון מיום 29.12.2025</t>
  </si>
  <si>
    <t>ת"א 125- 30%
MSCI ALL COUNTRIES  -70% שקלי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</si>
</sst>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x14ac:knownFonts="1">
    <font>
      <sz val="10"/>
      <name val="Arial"/>
      <charset val="177"/>
    </font>
    <font>
      <sz val="10"/>
      <name val="Arial"/>
      <family val="2"/>
    </font>
    <font>
      <sz val="11"/>
      <color indexed="8"/>
      <name val="Arial"/>
      <family val="2"/>
      <charset val="177"/>
    </font>
    <font>
      <sz val="11"/>
      <color indexed="9"/>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0"/>
      <name val="Arial"/>
      <family val="2"/>
    </font>
    <font>
      <sz val="10"/>
      <name val="Arial"/>
      <family val="2"/>
    </font>
    <font>
      <b/>
      <sz val="12"/>
      <color theme="0"/>
      <name val="Arial"/>
      <family val="2"/>
      <charset val="177"/>
    </font>
    <font>
      <sz val="12"/>
      <color theme="0"/>
      <name val="Arial"/>
      <family val="2"/>
      <charset val="177"/>
    </font>
    <font>
      <sz val="8"/>
      <name val="Arial"/>
      <family val="2"/>
    </font>
    <font>
      <b/>
      <u/>
      <sz val="12"/>
      <name val="Arial"/>
      <family val="2"/>
      <charset val="177"/>
    </font>
    <font>
      <sz val="12"/>
      <name val="Arial"/>
      <family val="2"/>
      <charset val="177"/>
    </font>
    <font>
      <b/>
      <sz val="12"/>
      <name val="Arial"/>
      <family val="2"/>
      <charset val="177"/>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
      <sz val="8"/>
      <name val="Arial"/>
      <family val="2"/>
    </font>
    <font>
      <b/>
      <sz val="12"/>
      <color rgb="FFFF0000"/>
      <name val="Arial"/>
      <family val="2"/>
      <charset val="177"/>
    </font>
    <font>
      <b/>
      <sz val="12"/>
      <color rgb="FFFF0000"/>
      <name val="Arial"/>
      <family val="2"/>
    </font>
    <font>
      <sz val="12"/>
      <color rgb="FFFF0000"/>
      <name val="Arial"/>
      <family val="2"/>
      <charset val="177"/>
    </font>
    <font>
      <b/>
      <sz val="12"/>
      <name val="Arial"/>
      <family val="2"/>
    </font>
    <font>
      <sz val="12"/>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4" tint="0.79998168889431442"/>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diagonal/>
    </border>
    <border>
      <left style="thin">
        <color indexed="8"/>
      </left>
      <right/>
      <top style="thin">
        <color indexed="8"/>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5">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 fillId="0" borderId="0"/>
    <xf numFmtId="0" fontId="19" fillId="0" borderId="0"/>
    <xf numFmtId="0" fontId="20" fillId="0" borderId="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1" fillId="23" borderId="7" applyNumberFormat="0" applyFont="0" applyAlignment="0" applyProtection="0"/>
    <xf numFmtId="0" fontId="4" fillId="20" borderId="1" applyNumberFormat="0" applyAlignment="0" applyProtection="0"/>
    <xf numFmtId="0" fontId="5" fillId="4" borderId="0" applyNumberFormat="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8" fillId="0" borderId="0" applyNumberFormat="0" applyFill="0" applyBorder="0" applyAlignment="0" applyProtection="0"/>
    <xf numFmtId="0" fontId="12" fillId="22" borderId="0" applyNumberFormat="0" applyBorder="0" applyAlignment="0" applyProtection="0"/>
    <xf numFmtId="0" fontId="13" fillId="0" borderId="9" applyNumberFormat="0" applyFill="0" applyAlignment="0" applyProtection="0"/>
    <xf numFmtId="0" fontId="14" fillId="20" borderId="8" applyNumberFormat="0" applyAlignment="0" applyProtection="0"/>
    <xf numFmtId="0" fontId="15" fillId="7" borderId="1" applyNumberFormat="0" applyAlignment="0" applyProtection="0"/>
    <xf numFmtId="0" fontId="16" fillId="3" borderId="0" applyNumberFormat="0" applyBorder="0" applyAlignment="0" applyProtection="0"/>
    <xf numFmtId="0" fontId="17" fillId="21" borderId="2" applyNumberFormat="0" applyAlignment="0" applyProtection="0"/>
    <xf numFmtId="0" fontId="18" fillId="0" borderId="6" applyNumberFormat="0" applyFill="0" applyAlignment="0" applyProtection="0"/>
  </cellStyleXfs>
  <cellXfs count="75">
    <xf numFmtId="0" fontId="0" fillId="0" borderId="0" xfId="0"/>
    <xf numFmtId="0" fontId="24" fillId="0" borderId="0" xfId="0" applyFont="1" applyAlignment="1">
      <alignment horizontal="right"/>
    </xf>
    <xf numFmtId="0" fontId="24" fillId="0" borderId="0" xfId="0" applyFont="1" applyAlignment="1">
      <alignment horizontal="center"/>
    </xf>
    <xf numFmtId="0" fontId="25" fillId="0" borderId="0" xfId="0" applyFont="1"/>
    <xf numFmtId="0" fontId="26" fillId="25" borderId="17" xfId="0" applyFont="1" applyFill="1" applyBorder="1" applyAlignment="1">
      <alignment horizontal="center" vertical="center" wrapText="1"/>
    </xf>
    <xf numFmtId="0" fontId="26" fillId="25" borderId="17" xfId="0" applyFont="1" applyFill="1" applyBorder="1" applyAlignment="1">
      <alignment horizontal="center" vertical="center"/>
    </xf>
    <xf numFmtId="0" fontId="25" fillId="0" borderId="15" xfId="0" applyFont="1" applyBorder="1" applyAlignment="1">
      <alignment horizontal="center" vertical="center"/>
    </xf>
    <xf numFmtId="10" fontId="26" fillId="0" borderId="11" xfId="0" applyNumberFormat="1" applyFont="1" applyBorder="1" applyAlignment="1">
      <alignment horizontal="center" vertical="center"/>
    </xf>
    <xf numFmtId="0" fontId="25" fillId="0" borderId="10" xfId="0" applyFont="1" applyBorder="1" applyAlignment="1">
      <alignment horizontal="center" vertical="center"/>
    </xf>
    <xf numFmtId="10" fontId="26" fillId="0" borderId="10" xfId="0" applyNumberFormat="1" applyFont="1" applyBorder="1" applyAlignment="1">
      <alignment horizontal="center" vertical="center" wrapText="1"/>
    </xf>
    <xf numFmtId="0" fontId="26" fillId="0" borderId="10" xfId="0" applyFont="1" applyBorder="1" applyAlignment="1">
      <alignment horizontal="center" vertical="center"/>
    </xf>
    <xf numFmtId="0" fontId="25" fillId="0" borderId="14" xfId="0" applyFont="1" applyBorder="1" applyAlignment="1">
      <alignment horizontal="center" vertical="center" wrapText="1"/>
    </xf>
    <xf numFmtId="0" fontId="25" fillId="0" borderId="15" xfId="0" applyFont="1" applyBorder="1" applyAlignment="1">
      <alignment horizontal="center" vertical="center" wrapText="1"/>
    </xf>
    <xf numFmtId="10" fontId="25" fillId="0" borderId="10" xfId="0" applyNumberFormat="1" applyFont="1" applyBorder="1" applyAlignment="1">
      <alignment horizontal="center" vertical="center"/>
    </xf>
    <xf numFmtId="10" fontId="26" fillId="0" borderId="10" xfId="0" applyNumberFormat="1" applyFont="1" applyBorder="1" applyAlignment="1">
      <alignment horizontal="center" vertical="center"/>
    </xf>
    <xf numFmtId="0" fontId="26" fillId="0" borderId="0" xfId="0" applyFont="1"/>
    <xf numFmtId="9" fontId="25" fillId="0" borderId="10" xfId="0" applyNumberFormat="1" applyFont="1" applyBorder="1" applyAlignment="1">
      <alignment horizontal="center" vertical="center"/>
    </xf>
    <xf numFmtId="0" fontId="21" fillId="0" borderId="0" xfId="0" applyFont="1" applyAlignment="1">
      <alignment horizontal="center"/>
    </xf>
    <xf numFmtId="0" fontId="25" fillId="0" borderId="0" xfId="0" applyFont="1" applyAlignment="1">
      <alignment horizontal="right"/>
    </xf>
    <xf numFmtId="0" fontId="32" fillId="0" borderId="0" xfId="0" applyFont="1" applyAlignment="1">
      <alignment horizontal="right" vertical="center"/>
    </xf>
    <xf numFmtId="0" fontId="34" fillId="0" borderId="0" xfId="0" applyFont="1" applyAlignment="1">
      <alignment horizontal="right" vertical="center" readingOrder="2"/>
    </xf>
    <xf numFmtId="0" fontId="27" fillId="0" borderId="0" xfId="0" applyFont="1" applyAlignment="1">
      <alignment horizontal="right" vertical="center" readingOrder="2"/>
    </xf>
    <xf numFmtId="10" fontId="26" fillId="24" borderId="11" xfId="0" applyNumberFormat="1" applyFont="1" applyFill="1" applyBorder="1" applyAlignment="1">
      <alignment horizontal="center" vertical="center"/>
    </xf>
    <xf numFmtId="10" fontId="26" fillId="0" borderId="17" xfId="0" applyNumberFormat="1" applyFont="1" applyBorder="1" applyAlignment="1">
      <alignment horizontal="center"/>
    </xf>
    <xf numFmtId="0" fontId="26" fillId="0" borderId="17" xfId="0" applyFont="1" applyBorder="1" applyAlignment="1">
      <alignment wrapText="1"/>
    </xf>
    <xf numFmtId="0" fontId="25" fillId="25" borderId="18" xfId="0" applyFont="1" applyFill="1" applyBorder="1" applyAlignment="1">
      <alignment horizontal="center" wrapText="1"/>
    </xf>
    <xf numFmtId="0" fontId="25" fillId="0" borderId="15" xfId="19" applyFont="1" applyBorder="1" applyAlignment="1">
      <alignment horizontal="center" vertical="center" wrapText="1"/>
    </xf>
    <xf numFmtId="0" fontId="32" fillId="0" borderId="0" xfId="0" applyFont="1" applyAlignment="1">
      <alignment horizontal="right" vertical="center" readingOrder="2"/>
    </xf>
    <xf numFmtId="0" fontId="25" fillId="0" borderId="0" xfId="0" applyFont="1" applyAlignment="1">
      <alignment readingOrder="2"/>
    </xf>
    <xf numFmtId="10" fontId="26" fillId="24" borderId="11" xfId="0" applyNumberFormat="1" applyFont="1" applyFill="1" applyBorder="1" applyAlignment="1">
      <alignment horizontal="center" vertical="center" wrapText="1"/>
    </xf>
    <xf numFmtId="0" fontId="25" fillId="0" borderId="10" xfId="0" applyFont="1" applyBorder="1" applyAlignment="1">
      <alignment horizontal="center" vertical="center" wrapText="1"/>
    </xf>
    <xf numFmtId="0" fontId="26" fillId="0" borderId="10" xfId="0" applyFont="1" applyBorder="1" applyAlignment="1">
      <alignment horizontal="center" vertical="center" wrapText="1"/>
    </xf>
    <xf numFmtId="10" fontId="21" fillId="0" borderId="17" xfId="0" applyNumberFormat="1" applyFont="1" applyBorder="1" applyAlignment="1">
      <alignment horizontal="center" wrapText="1"/>
    </xf>
    <xf numFmtId="164" fontId="26" fillId="0" borderId="10" xfId="0" applyNumberFormat="1" applyFont="1" applyBorder="1" applyAlignment="1">
      <alignment horizontal="center" vertical="center" wrapText="1"/>
    </xf>
    <xf numFmtId="9" fontId="26" fillId="0" borderId="10" xfId="0" applyNumberFormat="1" applyFont="1" applyBorder="1" applyAlignment="1">
      <alignment horizontal="center" vertical="center" wrapText="1"/>
    </xf>
    <xf numFmtId="10" fontId="26" fillId="0" borderId="17" xfId="0" applyNumberFormat="1" applyFont="1" applyBorder="1" applyAlignment="1">
      <alignment horizontal="center" wrapText="1"/>
    </xf>
    <xf numFmtId="0" fontId="26" fillId="0" borderId="19" xfId="0" applyFont="1" applyBorder="1" applyAlignment="1">
      <alignment horizontal="right" vertical="center" wrapText="1"/>
    </xf>
    <xf numFmtId="0" fontId="25" fillId="0" borderId="0" xfId="0" applyFont="1" applyAlignment="1">
      <alignment horizontal="right" readingOrder="2"/>
    </xf>
    <xf numFmtId="10" fontId="26" fillId="0" borderId="0" xfId="0" applyNumberFormat="1" applyFont="1" applyAlignment="1">
      <alignment horizontal="center"/>
    </xf>
    <xf numFmtId="9" fontId="25" fillId="0" borderId="10" xfId="0" applyNumberFormat="1" applyFont="1" applyBorder="1" applyAlignment="1">
      <alignment horizontal="center" vertical="center" wrapText="1"/>
    </xf>
    <xf numFmtId="0" fontId="21" fillId="0" borderId="15" xfId="0" applyFont="1" applyBorder="1" applyAlignment="1">
      <alignment horizontal="center" vertical="center" wrapText="1"/>
    </xf>
    <xf numFmtId="164" fontId="25" fillId="0" borderId="10" xfId="0" applyNumberFormat="1" applyFont="1" applyBorder="1" applyAlignment="1">
      <alignment horizontal="center" vertical="center" wrapText="1"/>
    </xf>
    <xf numFmtId="0" fontId="25" fillId="0" borderId="20" xfId="0" applyFont="1" applyBorder="1" applyAlignment="1">
      <alignment horizontal="center" vertical="center" wrapText="1"/>
    </xf>
    <xf numFmtId="10" fontId="26" fillId="0" borderId="13" xfId="0" applyNumberFormat="1" applyFont="1" applyBorder="1" applyAlignment="1">
      <alignment horizontal="center" vertical="center" wrapText="1"/>
    </xf>
    <xf numFmtId="9" fontId="25" fillId="0" borderId="12" xfId="0" applyNumberFormat="1" applyFont="1" applyBorder="1" applyAlignment="1">
      <alignment horizontal="center" vertical="center" wrapText="1"/>
    </xf>
    <xf numFmtId="9" fontId="26" fillId="0" borderId="12" xfId="0" applyNumberFormat="1" applyFont="1" applyBorder="1" applyAlignment="1">
      <alignment horizontal="center" vertical="center" wrapText="1"/>
    </xf>
    <xf numFmtId="0" fontId="25" fillId="0" borderId="12" xfId="0" applyFont="1" applyBorder="1" applyAlignment="1">
      <alignment horizontal="center" vertical="center" wrapText="1"/>
    </xf>
    <xf numFmtId="0" fontId="26" fillId="0" borderId="12" xfId="0" applyFont="1" applyBorder="1" applyAlignment="1">
      <alignment horizontal="center" vertical="center" wrapText="1"/>
    </xf>
    <xf numFmtId="10" fontId="26" fillId="0" borderId="10" xfId="0" applyNumberFormat="1" applyFont="1" applyBorder="1" applyAlignment="1">
      <alignment wrapText="1"/>
    </xf>
    <xf numFmtId="0" fontId="37" fillId="0" borderId="0" xfId="0" applyFont="1"/>
    <xf numFmtId="0" fontId="21" fillId="0" borderId="20"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0" xfId="0" applyFont="1" applyBorder="1" applyAlignment="1">
      <alignment horizontal="center" vertical="center" wrapText="1"/>
    </xf>
    <xf numFmtId="0" fontId="25" fillId="25" borderId="18" xfId="0" applyFont="1" applyFill="1" applyBorder="1" applyAlignment="1">
      <alignment horizontal="center" vertical="center"/>
    </xf>
    <xf numFmtId="0" fontId="26" fillId="25" borderId="16" xfId="0" applyFont="1" applyFill="1" applyBorder="1" applyAlignment="1">
      <alignment horizontal="center" vertical="center"/>
    </xf>
    <xf numFmtId="0" fontId="22" fillId="0" borderId="15" xfId="0" applyFont="1" applyBorder="1" applyAlignment="1">
      <alignment horizontal="center" vertical="center"/>
    </xf>
    <xf numFmtId="10" fontId="21" fillId="0" borderId="17" xfId="0" applyNumberFormat="1" applyFont="1" applyBorder="1" applyAlignment="1">
      <alignment horizontal="center"/>
    </xf>
    <xf numFmtId="0" fontId="21" fillId="0" borderId="17" xfId="0" applyFont="1" applyBorder="1" applyAlignment="1">
      <alignment horizontal="center"/>
    </xf>
    <xf numFmtId="164" fontId="26" fillId="0" borderId="10" xfId="0" applyNumberFormat="1" applyFont="1" applyBorder="1" applyAlignment="1">
      <alignment horizontal="center" vertical="center"/>
    </xf>
    <xf numFmtId="0" fontId="39" fillId="0" borderId="0" xfId="0" applyFont="1"/>
    <xf numFmtId="10" fontId="40" fillId="0" borderId="10" xfId="0" applyNumberFormat="1" applyFont="1" applyBorder="1" applyAlignment="1">
      <alignment horizontal="center" vertical="center" wrapText="1"/>
    </xf>
    <xf numFmtId="0" fontId="40" fillId="0" borderId="10" xfId="0" applyFont="1" applyBorder="1" applyAlignment="1">
      <alignment horizontal="center" vertical="center"/>
    </xf>
    <xf numFmtId="10" fontId="40" fillId="0" borderId="10" xfId="0" applyNumberFormat="1" applyFont="1" applyBorder="1" applyAlignment="1">
      <alignment horizontal="center" vertical="center"/>
    </xf>
    <xf numFmtId="9" fontId="40" fillId="0" borderId="10" xfId="0" applyNumberFormat="1" applyFont="1" applyBorder="1" applyAlignment="1">
      <alignment horizontal="center" vertical="center"/>
    </xf>
    <xf numFmtId="10" fontId="40" fillId="0" borderId="17" xfId="0" applyNumberFormat="1" applyFont="1" applyBorder="1" applyAlignment="1">
      <alignment horizontal="center"/>
    </xf>
    <xf numFmtId="0" fontId="41" fillId="0" borderId="15" xfId="0" applyFont="1" applyBorder="1" applyAlignment="1">
      <alignment horizontal="center" vertical="center"/>
    </xf>
    <xf numFmtId="0" fontId="38" fillId="0" borderId="15" xfId="0" applyFont="1" applyBorder="1" applyAlignment="1">
      <alignment horizontal="center" vertical="center" wrapText="1"/>
    </xf>
    <xf numFmtId="9" fontId="26" fillId="0" borderId="10" xfId="0" applyNumberFormat="1" applyFont="1" applyBorder="1" applyAlignment="1">
      <alignment horizontal="center" vertical="center"/>
    </xf>
    <xf numFmtId="0" fontId="34" fillId="0" borderId="0" xfId="0" applyFont="1" applyAlignment="1">
      <alignment horizontal="right" vertical="center" wrapText="1" readingOrder="2"/>
    </xf>
    <xf numFmtId="0" fontId="25" fillId="0" borderId="0" xfId="0" applyFont="1" applyAlignment="1">
      <alignment wrapText="1"/>
    </xf>
    <xf numFmtId="0" fontId="27" fillId="0" borderId="0" xfId="0" applyFont="1" applyAlignment="1">
      <alignment horizontal="right" vertical="center" wrapText="1"/>
    </xf>
    <xf numFmtId="0" fontId="27" fillId="0" borderId="0" xfId="0" applyFont="1" applyAlignment="1">
      <alignment horizontal="right" vertical="center" wrapText="1" readingOrder="2"/>
    </xf>
    <xf numFmtId="0" fontId="26" fillId="0" borderId="0" xfId="0" applyFont="1" applyAlignment="1">
      <alignment horizontal="center"/>
    </xf>
    <xf numFmtId="0" fontId="25" fillId="0" borderId="0" xfId="0" applyFont="1" applyAlignment="1">
      <alignment wrapText="1" readingOrder="2"/>
    </xf>
    <xf numFmtId="0" fontId="25" fillId="0" borderId="0" xfId="0" applyFont="1" applyAlignment="1">
      <alignment horizontal="right" readingOrder="2"/>
    </xf>
  </cellXfs>
  <cellStyles count="45">
    <cellStyle name="20% - הדגשה1 2" xfId="1" xr:uid="{00000000-0005-0000-0000-000000000000}"/>
    <cellStyle name="20% - הדגשה2 2" xfId="2" xr:uid="{00000000-0005-0000-0000-000001000000}"/>
    <cellStyle name="20% - הדגשה3 2" xfId="3" xr:uid="{00000000-0005-0000-0000-000002000000}"/>
    <cellStyle name="20% - הדגשה4 2" xfId="4" xr:uid="{00000000-0005-0000-0000-000003000000}"/>
    <cellStyle name="20% - הדגשה5 2" xfId="5" xr:uid="{00000000-0005-0000-0000-000004000000}"/>
    <cellStyle name="20% - הדגשה6 2" xfId="6" xr:uid="{00000000-0005-0000-0000-000005000000}"/>
    <cellStyle name="40% - הדגשה1 2" xfId="7" xr:uid="{00000000-0005-0000-0000-000006000000}"/>
    <cellStyle name="40% - הדגשה2 2" xfId="8" xr:uid="{00000000-0005-0000-0000-000007000000}"/>
    <cellStyle name="40% - הדגשה3 2" xfId="9" xr:uid="{00000000-0005-0000-0000-000008000000}"/>
    <cellStyle name="40% - הדגשה4 2" xfId="10" xr:uid="{00000000-0005-0000-0000-000009000000}"/>
    <cellStyle name="40% - הדגשה5 2" xfId="11" xr:uid="{00000000-0005-0000-0000-00000A000000}"/>
    <cellStyle name="40% - הדגשה6 2" xfId="12" xr:uid="{00000000-0005-0000-0000-00000B000000}"/>
    <cellStyle name="60% - הדגשה1 2" xfId="13" xr:uid="{00000000-0005-0000-0000-00000C000000}"/>
    <cellStyle name="60% - הדגשה2 2" xfId="14" xr:uid="{00000000-0005-0000-0000-00000D000000}"/>
    <cellStyle name="60% - הדגשה3 2" xfId="15" xr:uid="{00000000-0005-0000-0000-00000E000000}"/>
    <cellStyle name="60% - הדגשה4 2" xfId="16" xr:uid="{00000000-0005-0000-0000-00000F000000}"/>
    <cellStyle name="60% - הדגשה5 2" xfId="17" xr:uid="{00000000-0005-0000-0000-000010000000}"/>
    <cellStyle name="60% - הדגשה6 2" xfId="18" xr:uid="{00000000-0005-0000-0000-000011000000}"/>
    <cellStyle name="Normal" xfId="0" builtinId="0"/>
    <cellStyle name="Normal 2" xfId="19" xr:uid="{00000000-0005-0000-0000-000013000000}"/>
    <cellStyle name="Normal 3" xfId="20" xr:uid="{00000000-0005-0000-0000-000014000000}"/>
    <cellStyle name="Normal 4" xfId="21" xr:uid="{00000000-0005-0000-0000-000015000000}"/>
    <cellStyle name="הדגשה1 2" xfId="22" xr:uid="{00000000-0005-0000-0000-000016000000}"/>
    <cellStyle name="הדגשה2 2" xfId="23" xr:uid="{00000000-0005-0000-0000-000017000000}"/>
    <cellStyle name="הדגשה3 2" xfId="24" xr:uid="{00000000-0005-0000-0000-000018000000}"/>
    <cellStyle name="הדגשה4 2" xfId="25" xr:uid="{00000000-0005-0000-0000-000019000000}"/>
    <cellStyle name="הדגשה5 2" xfId="26" xr:uid="{00000000-0005-0000-0000-00001A000000}"/>
    <cellStyle name="הדגשה6 2" xfId="27" xr:uid="{00000000-0005-0000-0000-00001B000000}"/>
    <cellStyle name="הערה 2" xfId="28" xr:uid="{00000000-0005-0000-0000-00001C000000}"/>
    <cellStyle name="חישוב 2" xfId="29" xr:uid="{00000000-0005-0000-0000-00001D000000}"/>
    <cellStyle name="טוב 2" xfId="30" xr:uid="{00000000-0005-0000-0000-00001E000000}"/>
    <cellStyle name="טקסט אזהרה 2" xfId="31" xr:uid="{00000000-0005-0000-0000-00001F000000}"/>
    <cellStyle name="טקסט הסברי 2" xfId="32" xr:uid="{00000000-0005-0000-0000-000020000000}"/>
    <cellStyle name="כותרת 1 2" xfId="33" xr:uid="{00000000-0005-0000-0000-000021000000}"/>
    <cellStyle name="כותרת 2 2" xfId="34" xr:uid="{00000000-0005-0000-0000-000022000000}"/>
    <cellStyle name="כותרת 3 2" xfId="35" xr:uid="{00000000-0005-0000-0000-000023000000}"/>
    <cellStyle name="כותרת 4 2" xfId="36" xr:uid="{00000000-0005-0000-0000-000024000000}"/>
    <cellStyle name="כותרת 5" xfId="37" xr:uid="{00000000-0005-0000-0000-000025000000}"/>
    <cellStyle name="ניטראלי 2" xfId="38" xr:uid="{00000000-0005-0000-0000-000026000000}"/>
    <cellStyle name="סה&quot;כ 2" xfId="39" xr:uid="{00000000-0005-0000-0000-000027000000}"/>
    <cellStyle name="פלט 2" xfId="40" xr:uid="{00000000-0005-0000-0000-000028000000}"/>
    <cellStyle name="קלט 2" xfId="41" xr:uid="{00000000-0005-0000-0000-000029000000}"/>
    <cellStyle name="רע 2" xfId="42" xr:uid="{00000000-0005-0000-0000-00002A000000}"/>
    <cellStyle name="תא מסומן 2" xfId="43" xr:uid="{00000000-0005-0000-0000-00002B000000}"/>
    <cellStyle name="תא מקושר 2" xfId="44" xr:uid="{00000000-0005-0000-0000-00002C000000}"/>
  </cellStyles>
  <dxfs count="72">
    <dxf>
      <font>
        <b/>
        <i val="0"/>
        <strike val="0"/>
        <condense val="0"/>
        <extend val="0"/>
        <outline val="0"/>
        <shadow val="0"/>
        <u val="none"/>
        <vertAlign val="baseline"/>
        <sz val="12"/>
        <color theme="0"/>
        <name val="Arial"/>
        <family val="2"/>
        <charset val="177"/>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alignment textRotation="0" wrapText="1" indent="0" justifyLastLine="0" shrinkToFit="0" readingOrder="0"/>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alignment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alignment textRotation="0" wrapText="1" indent="0" justifyLastLine="0" shrinkToFit="0" readingOrder="0"/>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alignment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charset val="177"/>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charset val="177"/>
        <scheme val="none"/>
      </font>
      <numFmt numFmtId="14" formatCode="0.00%"/>
      <fill>
        <patternFill patternType="solid">
          <fgColor indexed="9"/>
          <bgColor indexed="9"/>
        </patternFill>
      </fill>
      <alignment horizontal="center" vertical="center" textRotation="0" wrapText="0" indent="0" justifyLastLine="0" shrinkToFit="0" readingOrder="0"/>
      <border diagonalUp="0" diagonalDown="0" outline="0">
        <left style="thin">
          <color indexed="8"/>
        </left>
        <right/>
        <top style="thin">
          <color indexed="8"/>
        </top>
        <bottom style="thin">
          <color indexed="8"/>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charset val="177"/>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charset val="177"/>
        <scheme val="none"/>
      </font>
      <numFmt numFmtId="14" formatCode="0.00%"/>
      <fill>
        <patternFill patternType="solid">
          <fgColor indexed="9"/>
          <bgColor indexed="9"/>
        </patternFill>
      </fill>
      <alignment horizontal="center" vertical="center" textRotation="0" wrapText="0" indent="0" justifyLastLine="0" shrinkToFit="0" readingOrder="0"/>
      <border diagonalUp="0" diagonalDown="0" outline="0">
        <left style="thin">
          <color indexed="8"/>
        </left>
        <right/>
        <top style="thin">
          <color indexed="8"/>
        </top>
        <bottom style="thin">
          <color indexed="8"/>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charset val="177"/>
      </font>
    </dxf>
    <dxf>
      <font>
        <b/>
        <i val="0"/>
        <strike val="0"/>
        <condense val="0"/>
        <extend val="0"/>
        <outline val="0"/>
        <shadow val="0"/>
        <u val="none"/>
        <vertAlign val="baseline"/>
        <sz val="12"/>
        <color auto="1"/>
        <name val="Arial"/>
        <family val="2"/>
        <charset val="177"/>
        <scheme val="none"/>
      </font>
      <numFmt numFmtId="14" formatCode="0.00%"/>
      <fill>
        <patternFill patternType="solid">
          <fgColor indexed="9"/>
          <bgColor indexed="9"/>
        </patternFill>
      </fill>
      <alignment horizontal="center" vertical="center" textRotation="0" wrapText="0" indent="0" justifyLastLine="0" shrinkToFit="0" readingOrder="0"/>
      <border diagonalUp="0" diagonalDown="0" outline="0">
        <left style="thin">
          <color indexed="8"/>
        </left>
        <right/>
        <top style="thin">
          <color indexed="8"/>
        </top>
        <bottom style="thin">
          <color indexed="8"/>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charset val="177"/>
      </font>
    </dxf>
    <dxf>
      <font>
        <b/>
        <i val="0"/>
        <strike val="0"/>
        <condense val="0"/>
        <extend val="0"/>
        <outline val="0"/>
        <shadow val="0"/>
        <u val="none"/>
        <vertAlign val="baseline"/>
        <sz val="12"/>
        <color auto="1"/>
        <name val="Arial"/>
        <family val="2"/>
        <charset val="177"/>
        <scheme val="none"/>
      </font>
      <numFmt numFmtId="14" formatCode="0.00%"/>
      <fill>
        <patternFill patternType="solid">
          <fgColor indexed="9"/>
          <bgColor indexed="9"/>
        </patternFill>
      </fill>
      <alignment horizontal="center" vertical="center" textRotation="0" wrapText="0" indent="0" justifyLastLine="0" shrinkToFit="0" readingOrder="0"/>
      <border diagonalUp="0" diagonalDown="0" outline="0">
        <left style="thin">
          <color indexed="8"/>
        </left>
        <right/>
        <top style="thin">
          <color indexed="8"/>
        </top>
        <bottom style="thin">
          <color indexed="8"/>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97ABD81-4B1C-48C1-BCC5-617429C5E590}" name="טבלה18" displayName="טבלה18" ref="A2:H9" totalsRowShown="0" headerRowDxfId="71" dataDxfId="69" headerRowBorderDxfId="70" tableBorderDxfId="68">
  <tableColumns count="8">
    <tableColumn id="1" xr3:uid="{16C2F97D-8054-4056-BE75-ECAE5ABBBCA9}" name="אפיק השקעה" dataDxfId="67"/>
    <tableColumn id="2" xr3:uid="{924D51EF-7D0D-4066-8E15-26457465007D}" name="שיעור החשיפה לתאריך 07/12/2025" dataDxfId="66"/>
    <tableColumn id="3" xr3:uid="{9307883F-7D6A-4D8E-91CE-035EA8BF6212}" name="שיעור חשיפה לשנת תשפ&quot;ה" dataDxfId="65"/>
    <tableColumn id="4" xr3:uid="{58C8C994-11AE-493B-9CA3-0A2358100B8D}" name="טווח סטייה" dataDxfId="64"/>
    <tableColumn id="5" xr3:uid="{BF5126B7-9FBC-4972-AAF9-7B5744C181E8}" name="גבולות שיעור החשיפה הצפויה לשנת תשפ&quot;ה" dataDxfId="63"/>
    <tableColumn id="6" xr3:uid="{28418477-C799-4ACE-B0B8-C84E35396C77}" name="שיעור חשיפה לשנת תשפ&quot;ו" dataDxfId="62"/>
    <tableColumn id="7" xr3:uid="{4057DC00-D84A-4FED-9686-EA59812AA97E}" name="גבולות שיעור החשיפה הצפויה  לשנת תשפ&quot;ו" dataDxfId="61"/>
    <tableColumn id="8" xr3:uid="{4D727B97-2739-4604-8605-3ED2D5D1A02B}" name="מדד ייחוס  לשנת תשפ&quot;ו" dataDxfId="60"/>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רגיל וכללי"/>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A5F7FC-DA26-4006-8C67-21363ED4FB70}" name="טבלה1" displayName="טבלה1" ref="A2:H9" totalsRowShown="0" headerRowDxfId="59" dataDxfId="57" headerRowBorderDxfId="58" tableBorderDxfId="56">
  <tableColumns count="8">
    <tableColumn id="1" xr3:uid="{A44B1294-EA0D-4376-9953-58ACF1BCC2F4}" name="אפיק השקעה" dataDxfId="55"/>
    <tableColumn id="2" xr3:uid="{E5BD84F9-F769-4D11-B73B-B50E33CF16BE}" name="שיעור החשיפה לתאריך 07/12/2025" dataDxfId="54"/>
    <tableColumn id="3" xr3:uid="{24D93533-9E00-42CE-90E9-84C244D47DE9}" name="שיעור חשיפה לשנת תשפ&quot;ה" dataDxfId="53"/>
    <tableColumn id="4" xr3:uid="{01840DFB-EC8C-40DB-BDB2-314DCF312FE3}" name="טווח סטייה" dataDxfId="52"/>
    <tableColumn id="5" xr3:uid="{DE22CD41-E903-49FE-8BC2-D005F32CDFF6}" name="גבולות שיעור החשיפה הצפויה לשנת תשפ&quot;ה" dataDxfId="51"/>
    <tableColumn id="6" xr3:uid="{DC42BC32-93E7-4C60-AB6B-56C44AE5468A}" name="שיעור חשיפה לשנת תשפ&quot;ו" dataDxfId="50"/>
    <tableColumn id="7" xr3:uid="{8E523ECB-4DAC-4B7B-AF4C-4D136577658F}" name="גבולות שיעור החשיפה הצפויה  לשנת תשפ&quot;ו" dataDxfId="49"/>
    <tableColumn id="8" xr3:uid="{9216CA12-ACDE-4318-B192-8888D534BD7C}" name="מדד ייחוס  לשנת תשפ&quot;ו" dataDxfId="48"/>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רגיל וכללי"/>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79F28FA-0F4B-4C11-A385-431C3DB41A3E}" name="טבלה310" displayName="טבלה310" ref="A2:H9" totalsRowShown="0" headerRowDxfId="47" dataDxfId="45" headerRowBorderDxfId="46" tableBorderDxfId="44">
  <tableColumns count="8">
    <tableColumn id="1" xr3:uid="{78D9F745-709D-405C-872C-FDEE3071B62D}" name="אפיק השקעה" dataDxfId="43"/>
    <tableColumn id="2" xr3:uid="{6EA8379F-9950-4D8C-8327-E50003FE7E3B}" name="שיעור החשיפה לתאריך 07/12/2025" dataDxfId="42"/>
    <tableColumn id="3" xr3:uid="{0329D27E-0059-4E00-8508-4584B9852476}" name="שיעור חשיפה לשנת תשפ&quot;ה" dataDxfId="41"/>
    <tableColumn id="4" xr3:uid="{9DE955F5-4768-402E-82B7-B55DD873152A}" name="טווח סטייה" dataDxfId="40"/>
    <tableColumn id="5" xr3:uid="{6512F49F-AD2E-4C40-B440-E74C8C494EA1}" name="גבולות שיעור החשיפה הצפויה לשנת תשפ&quot;ה" dataDxfId="39"/>
    <tableColumn id="6" xr3:uid="{7D8DB403-23F2-4B16-81C2-660116EF8CE8}" name="שיעור חשיפה לשנת תשפ&quot;ו" dataDxfId="38"/>
    <tableColumn id="7" xr3:uid="{0DF03C54-80DB-4A90-B96B-FAEFC1277DC2}" name="גבולות שיעור החשיפה הצפויה  לשנת תשפ&quot;ו" dataDxfId="37"/>
    <tableColumn id="8" xr3:uid="{6C81B636-90A1-4B4C-AADE-6EF063DE17B9}" name="מדד ייחוס  לשנת תשפ&quot;ו" dataDxfId="36"/>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רגיל והלכה"/>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2ABB525-5BB5-4654-AFD4-B03F7CECA54F}" name="טבלה31011" displayName="טבלה31011" ref="A2:H9" totalsRowShown="0" headerRowDxfId="35" dataDxfId="33" headerRowBorderDxfId="34" tableBorderDxfId="32">
  <tableColumns count="8">
    <tableColumn id="1" xr3:uid="{7171CA17-E52C-4481-911F-7C7A8FF54240}" name="אפיק השקעה" dataDxfId="31"/>
    <tableColumn id="2" xr3:uid="{F9775B97-4D52-49DD-91C6-C8E1F4E75FFD}" name="שיעור החשיפה לתאריך 07/12/2025" dataDxfId="30"/>
    <tableColumn id="3" xr3:uid="{D0FD3F5E-88C0-4404-87A5-9B6CF8CE2755}" name="שיעור חשיפה לשנת תשפ&quot;ה" dataDxfId="29"/>
    <tableColumn id="4" xr3:uid="{C2B2C906-AF62-4FF5-ADA2-485DD7E6BFC9}" name="טווח סטייה" dataDxfId="28"/>
    <tableColumn id="5" xr3:uid="{8971C482-B640-485A-8658-F9798B931F04}" name="גבולות שיעור החשיפה הצפויה לשנת תשפ&quot;ה" dataDxfId="27"/>
    <tableColumn id="6" xr3:uid="{AD018C9D-D877-42BA-A11E-F41B249D87F2}" name="שיעור חשיפה לשנת תשפ&quot;ו" dataDxfId="26"/>
    <tableColumn id="7" xr3:uid="{28B47070-0C27-4EA9-9267-50B5DE25E4CD}" name="גבולות שיעור החשיפה הצפויה  לשנת תשפ&quot;ו" dataDxfId="25"/>
    <tableColumn id="8" xr3:uid="{C2F70C4E-06C2-4579-8C6C-C05E25E029EA}" name="מדד ייחוס  לשנת תשפ&quot;ו" dataDxfId="24"/>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רגיל והלכה"/>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2B02E8-9B28-4FFA-9FAA-1D5376538F3A}" name="טבלה5" displayName="טבלה5" ref="A2:H10" totalsRowShown="0" headerRowDxfId="23" dataDxfId="21" headerRowBorderDxfId="22" tableBorderDxfId="20">
  <tableColumns count="8">
    <tableColumn id="1" xr3:uid="{A64D6311-273A-48DE-9609-F8DA32F30899}" name="אפיק השקעה " dataDxfId="19"/>
    <tableColumn id="2" xr3:uid="{EE03A0B9-5482-405D-A730-C6041F5CA665}" name="שיעור החשיפה לתאריך 07/12/2025" dataDxfId="18"/>
    <tableColumn id="3" xr3:uid="{9321F33C-08DE-42DD-A063-857A89A6B038}" name="שיעור חשיפה לשנת תשפ&quot;ה" dataDxfId="17"/>
    <tableColumn id="4" xr3:uid="{4BF08411-8E58-4DD2-9E08-47C1ACA0F17A}" name="טווח סטייה" dataDxfId="16"/>
    <tableColumn id="5" xr3:uid="{DF792897-1DA5-48D9-AC5B-15173643A876}" name="גבולות שיעור החשיפה הצפויה לשנת תשפ&quot;ה" dataDxfId="15"/>
    <tableColumn id="6" xr3:uid="{1AF45E0A-0E4C-4C97-8A05-2BDF5D1E0845}" name="שיעור חשיפה לשנת תשפ&quot;ו" dataDxfId="14"/>
    <tableColumn id="7" xr3:uid="{9BC06FE8-56C4-4C93-BA79-1C4FF5157E06}" name="גבולות שיעור החשיפה הצפויה  לשנת תשפ&quot;ו" dataDxfId="13"/>
    <tableColumn id="8" xr3:uid="{9B06C764-F3EE-4ACB-AC23-0E28C880B204}" name="מדד ייחוס  לשנת תשפ&quot;ו" dataDxfId="12"/>
  </tableColumns>
  <tableStyleInfo showFirstColumn="0" showLastColumn="0" showRowStripes="1" showColumnStripes="0"/>
  <extLst>
    <ext xmlns:x14="http://schemas.microsoft.com/office/spreadsheetml/2009/9/main" uri="{504A1905-F514-4f6f-8877-14C23A59335A}">
      <x14:table altText="טבלה 5"/>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9E72ABC-3857-4BF3-A976-A797E64E1934}" name="טבלה6" displayName="טבלה6" ref="A2:H10" totalsRowShown="0" headerRowDxfId="11" dataDxfId="9" headerRowBorderDxfId="10" tableBorderDxfId="8">
  <tableColumns count="8">
    <tableColumn id="1" xr3:uid="{531F1BDC-DD78-4EC5-9839-38A486BF5F2D}" name="אפיק השקעה " dataDxfId="7"/>
    <tableColumn id="2" xr3:uid="{85A1A8D9-6EDA-4816-8B86-45A9BE308821}" name="שיעור החשיפה לתאריך 07/12/2025" dataDxfId="6"/>
    <tableColumn id="3" xr3:uid="{22A8FFE5-F04D-48CA-BD76-2F05F6851265}" name="שיעור חשיפה לשנת תשפ&quot;ה" dataDxfId="5"/>
    <tableColumn id="4" xr3:uid="{C24A2416-302C-4C68-BA62-6FDF8F751013}" name="טווח סטייה" dataDxfId="4"/>
    <tableColumn id="5" xr3:uid="{D02CA131-1537-4FF7-8BD5-F5628D1A0B7F}" name="גבולות שיעור החשיפה הצפויה לשנת תשפ&quot;ה" dataDxfId="3"/>
    <tableColumn id="6" xr3:uid="{BC20A888-B646-45CA-B6A0-129C1863405D}" name="שיעור חשיפה לשנת תשפ&quot;ו" dataDxfId="2"/>
    <tableColumn id="7" xr3:uid="{525524BA-6968-4523-B52E-9DCA3570AE49}" name="גבולות שיעור החשיפה הצפויה  לשנת תשפ&quot;ו" dataDxfId="1"/>
    <tableColumn id="8" xr3:uid="{E228C977-1AC4-446A-999E-F49710A37E01}" name="מדד ייחוס  לשנת תשפ&quot;ו" dataDxfId="0"/>
  </tableColumns>
  <tableStyleInfo showFirstColumn="0" showLastColumn="0" showRowStripes="1" showColumnStripes="0"/>
  <extLst>
    <ext xmlns:x14="http://schemas.microsoft.com/office/spreadsheetml/2009/9/main" uri="{504A1905-F514-4f6f-8877-14C23A59335A}">
      <x14:table altText="טבלה 6"/>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3"/>
  <sheetViews>
    <sheetView rightToLeft="1" tabSelected="1" zoomScaleNormal="100" zoomScaleSheetLayoutView="100" workbookViewId="0">
      <selection activeCell="B2" sqref="B2"/>
    </sheetView>
  </sheetViews>
  <sheetFormatPr defaultColWidth="9.140625" defaultRowHeight="15" x14ac:dyDescent="0.2"/>
  <cols>
    <col min="1" max="1" width="35.42578125" style="3" customWidth="1"/>
    <col min="2" max="2" width="27.7109375" style="3" customWidth="1"/>
    <col min="3" max="3" width="20.28515625" style="3" customWidth="1"/>
    <col min="4" max="4" width="13" style="3" customWidth="1"/>
    <col min="5" max="5" width="25.42578125" style="3" customWidth="1"/>
    <col min="6" max="6" width="21.42578125" style="3" customWidth="1"/>
    <col min="7" max="7" width="26.140625" style="3" customWidth="1"/>
    <col min="8" max="8" width="27.5703125" style="3" customWidth="1"/>
    <col min="9" max="9" width="9.140625" style="3"/>
    <col min="10" max="13" width="0" style="3" hidden="1" customWidth="1"/>
    <col min="14" max="16384" width="9.140625" style="3"/>
  </cols>
  <sheetData>
    <row r="1" spans="1:13" ht="27.75" customHeight="1" x14ac:dyDescent="0.25">
      <c r="A1" s="1" t="s">
        <v>55</v>
      </c>
      <c r="B1" s="2"/>
      <c r="C1" s="2"/>
      <c r="D1" s="2"/>
      <c r="E1" s="2"/>
      <c r="F1" s="2"/>
      <c r="G1" s="2"/>
      <c r="H1" s="2"/>
    </row>
    <row r="2" spans="1:13" ht="41.25" customHeight="1" x14ac:dyDescent="0.2">
      <c r="A2" s="53" t="s">
        <v>7</v>
      </c>
      <c r="B2" s="4" t="s">
        <v>61</v>
      </c>
      <c r="C2" s="4" t="s">
        <v>35</v>
      </c>
      <c r="D2" s="5" t="s">
        <v>2</v>
      </c>
      <c r="E2" s="4" t="s">
        <v>36</v>
      </c>
      <c r="F2" s="4" t="s">
        <v>49</v>
      </c>
      <c r="G2" s="4" t="s">
        <v>50</v>
      </c>
      <c r="H2" s="54" t="s">
        <v>51</v>
      </c>
      <c r="K2" s="3">
        <v>0.28999999999999998</v>
      </c>
    </row>
    <row r="3" spans="1:13" ht="56.25" customHeight="1" x14ac:dyDescent="0.2">
      <c r="A3" s="11" t="s">
        <v>10</v>
      </c>
      <c r="B3" s="22">
        <v>0.47349999999999998</v>
      </c>
      <c r="C3" s="9">
        <v>0.44</v>
      </c>
      <c r="D3" s="8" t="s">
        <v>3</v>
      </c>
      <c r="E3" s="10" t="s">
        <v>21</v>
      </c>
      <c r="F3" s="60">
        <v>0.45</v>
      </c>
      <c r="G3" s="61" t="s">
        <v>52</v>
      </c>
      <c r="H3" s="66" t="s">
        <v>63</v>
      </c>
      <c r="J3" s="3">
        <v>7.52</v>
      </c>
      <c r="K3" s="3">
        <v>35.53</v>
      </c>
    </row>
    <row r="4" spans="1:13" ht="48.75" customHeight="1" x14ac:dyDescent="0.2">
      <c r="A4" s="11" t="s">
        <v>6</v>
      </c>
      <c r="B4" s="22">
        <v>0.1474</v>
      </c>
      <c r="C4" s="9">
        <v>0.15</v>
      </c>
      <c r="D4" s="8" t="s">
        <v>4</v>
      </c>
      <c r="E4" s="10" t="s">
        <v>15</v>
      </c>
      <c r="F4" s="60">
        <v>0.15</v>
      </c>
      <c r="G4" s="61" t="s">
        <v>15</v>
      </c>
      <c r="H4" s="12" t="s">
        <v>24</v>
      </c>
      <c r="J4" s="3">
        <v>6.06</v>
      </c>
      <c r="K4" s="3">
        <v>22.02</v>
      </c>
    </row>
    <row r="5" spans="1:13" ht="90" x14ac:dyDescent="0.2">
      <c r="A5" s="11" t="s">
        <v>16</v>
      </c>
      <c r="B5" s="22">
        <v>0.18679999999999999</v>
      </c>
      <c r="C5" s="9">
        <v>0.2</v>
      </c>
      <c r="D5" s="8" t="s">
        <v>3</v>
      </c>
      <c r="E5" s="10" t="s">
        <v>20</v>
      </c>
      <c r="F5" s="60">
        <v>0.19</v>
      </c>
      <c r="G5" s="61" t="s">
        <v>11</v>
      </c>
      <c r="H5" s="26" t="s">
        <v>12</v>
      </c>
      <c r="K5" s="3">
        <v>24.55</v>
      </c>
    </row>
    <row r="6" spans="1:13" ht="60" x14ac:dyDescent="0.2">
      <c r="A6" s="11" t="s">
        <v>8</v>
      </c>
      <c r="B6" s="22">
        <v>0.18740000000000001</v>
      </c>
      <c r="C6" s="9">
        <v>0.22</v>
      </c>
      <c r="D6" s="8" t="s">
        <v>4</v>
      </c>
      <c r="E6" s="10" t="s">
        <v>28</v>
      </c>
      <c r="F6" s="60">
        <v>0.2</v>
      </c>
      <c r="G6" s="61" t="s">
        <v>53</v>
      </c>
      <c r="H6" s="55" t="s">
        <v>39</v>
      </c>
      <c r="J6" s="3">
        <f>SUM(J3:J5)</f>
        <v>13.579999999999998</v>
      </c>
      <c r="K6" s="3">
        <v>4.87</v>
      </c>
    </row>
    <row r="7" spans="1:13" s="15" customFormat="1" ht="41.25" customHeight="1" x14ac:dyDescent="0.25">
      <c r="A7" s="11" t="s">
        <v>17</v>
      </c>
      <c r="B7" s="22">
        <v>4.58E-2</v>
      </c>
      <c r="C7" s="14">
        <v>0.05</v>
      </c>
      <c r="D7" s="8" t="s">
        <v>4</v>
      </c>
      <c r="E7" s="10" t="s">
        <v>9</v>
      </c>
      <c r="F7" s="62">
        <v>0.05</v>
      </c>
      <c r="G7" s="61" t="s">
        <v>9</v>
      </c>
      <c r="H7" s="6" t="s">
        <v>5</v>
      </c>
      <c r="K7" s="15">
        <v>7.52</v>
      </c>
    </row>
    <row r="8" spans="1:13" ht="39" customHeight="1" x14ac:dyDescent="0.25">
      <c r="A8" s="11" t="s">
        <v>18</v>
      </c>
      <c r="B8" s="14">
        <v>1.0361</v>
      </c>
      <c r="C8" s="16">
        <f>SUM(C3:C7)</f>
        <v>1.06</v>
      </c>
      <c r="D8" s="56" t="s">
        <v>39</v>
      </c>
      <c r="E8" s="10"/>
      <c r="F8" s="62">
        <f>SUM(F3:F7)</f>
        <v>1.04</v>
      </c>
      <c r="G8" s="61"/>
      <c r="H8" s="55" t="s">
        <v>39</v>
      </c>
      <c r="K8" s="3">
        <v>5.21</v>
      </c>
    </row>
    <row r="9" spans="1:13" ht="36.75" customHeight="1" x14ac:dyDescent="0.2">
      <c r="A9" s="11" t="s">
        <v>1</v>
      </c>
      <c r="B9" s="7">
        <v>0.18970000000000001</v>
      </c>
      <c r="C9" s="13">
        <v>0.2</v>
      </c>
      <c r="D9" s="8" t="s">
        <v>3</v>
      </c>
      <c r="E9" s="10" t="s">
        <v>20</v>
      </c>
      <c r="F9" s="63">
        <v>0.19</v>
      </c>
      <c r="G9" s="61" t="s">
        <v>11</v>
      </c>
      <c r="H9" s="55" t="s">
        <v>39</v>
      </c>
      <c r="K9" s="3">
        <f>SUM(K2:K8)</f>
        <v>99.99</v>
      </c>
    </row>
    <row r="10" spans="1:13" ht="36.75" customHeight="1" x14ac:dyDescent="0.25">
      <c r="A10" s="24" t="s">
        <v>54</v>
      </c>
      <c r="B10" s="55" t="s">
        <v>39</v>
      </c>
      <c r="C10" s="55" t="s">
        <v>39</v>
      </c>
      <c r="D10" s="55" t="s">
        <v>39</v>
      </c>
      <c r="E10" s="55" t="s">
        <v>39</v>
      </c>
      <c r="F10" s="64">
        <v>3.5999999999999999E-3</v>
      </c>
      <c r="G10" s="65" t="s">
        <v>39</v>
      </c>
      <c r="H10" s="55" t="s">
        <v>39</v>
      </c>
      <c r="I10" s="15"/>
    </row>
    <row r="11" spans="1:13" ht="25.5" customHeight="1" x14ac:dyDescent="0.25">
      <c r="A11" s="3" t="s">
        <v>25</v>
      </c>
      <c r="C11" s="17" t="s">
        <v>39</v>
      </c>
      <c r="K11" s="3">
        <v>0.95</v>
      </c>
    </row>
    <row r="12" spans="1:13" ht="15.75" x14ac:dyDescent="0.25">
      <c r="A12" s="18" t="s">
        <v>26</v>
      </c>
      <c r="B12" s="18"/>
      <c r="C12" s="17" t="s">
        <v>39</v>
      </c>
      <c r="D12" s="18"/>
    </row>
    <row r="13" spans="1:13" ht="15.75" x14ac:dyDescent="0.25">
      <c r="A13" s="18" t="s">
        <v>27</v>
      </c>
      <c r="B13" s="18"/>
      <c r="C13" s="17" t="s">
        <v>39</v>
      </c>
      <c r="D13" s="18"/>
      <c r="F13" s="59"/>
      <c r="K13" s="3">
        <f>K9-K11</f>
        <v>99.039999999999992</v>
      </c>
      <c r="L13" s="3">
        <v>98.47</v>
      </c>
      <c r="M13" s="3">
        <f>K13-L13</f>
        <v>0.56999999999999318</v>
      </c>
    </row>
    <row r="14" spans="1:13" ht="44.25" customHeight="1" x14ac:dyDescent="0.2">
      <c r="A14" s="70" t="s">
        <v>43</v>
      </c>
      <c r="B14" s="69"/>
      <c r="C14" s="69"/>
      <c r="D14" s="69"/>
      <c r="E14" s="69"/>
      <c r="F14" s="69"/>
      <c r="G14" s="69"/>
      <c r="H14" s="69"/>
    </row>
    <row r="15" spans="1:13" ht="15.75" x14ac:dyDescent="0.2">
      <c r="A15" s="19" t="s">
        <v>44</v>
      </c>
    </row>
    <row r="16" spans="1:13" ht="15.75" x14ac:dyDescent="0.2">
      <c r="A16" s="20" t="s">
        <v>45</v>
      </c>
    </row>
    <row r="17" spans="1:8" ht="15.75" x14ac:dyDescent="0.2">
      <c r="A17" s="21" t="s">
        <v>14</v>
      </c>
    </row>
    <row r="18" spans="1:8" ht="36.75" customHeight="1" x14ac:dyDescent="0.2">
      <c r="A18" s="71" t="s">
        <v>46</v>
      </c>
      <c r="B18" s="69"/>
      <c r="C18" s="69"/>
      <c r="D18" s="69"/>
      <c r="E18" s="69"/>
      <c r="F18" s="69"/>
      <c r="G18" s="69"/>
      <c r="H18" s="69"/>
    </row>
    <row r="19" spans="1:8" ht="30.75" customHeight="1" x14ac:dyDescent="0.2">
      <c r="A19" s="68" t="s">
        <v>47</v>
      </c>
      <c r="B19" s="69"/>
      <c r="C19" s="69"/>
      <c r="D19" s="69"/>
      <c r="E19" s="69"/>
      <c r="F19" s="69"/>
      <c r="G19" s="69"/>
      <c r="H19" s="69"/>
    </row>
    <row r="20" spans="1:8" ht="31.5" customHeight="1" x14ac:dyDescent="0.2">
      <c r="A20" s="68" t="s">
        <v>48</v>
      </c>
      <c r="B20" s="69"/>
      <c r="C20" s="69"/>
      <c r="D20" s="69"/>
      <c r="E20" s="69"/>
      <c r="F20" s="69"/>
      <c r="G20" s="69"/>
      <c r="H20" s="69"/>
    </row>
    <row r="21" spans="1:8" ht="20.25" customHeight="1" x14ac:dyDescent="0.2">
      <c r="A21" s="21" t="s">
        <v>29</v>
      </c>
    </row>
    <row r="22" spans="1:8" ht="20.25" customHeight="1" x14ac:dyDescent="0.25">
      <c r="A22" s="49" t="s">
        <v>62</v>
      </c>
    </row>
    <row r="23" spans="1:8" ht="26.25" customHeight="1" x14ac:dyDescent="0.25">
      <c r="A23" s="72" t="s">
        <v>42</v>
      </c>
      <c r="B23" s="72"/>
      <c r="C23" s="72"/>
      <c r="D23" s="72"/>
      <c r="E23" s="72"/>
      <c r="F23" s="72"/>
      <c r="G23" s="72"/>
      <c r="H23" s="72"/>
    </row>
  </sheetData>
  <mergeCells count="5">
    <mergeCell ref="A20:H20"/>
    <mergeCell ref="A14:H14"/>
    <mergeCell ref="A18:H18"/>
    <mergeCell ref="A19:H19"/>
    <mergeCell ref="A23:H23"/>
  </mergeCells>
  <phoneticPr fontId="23" type="noConversion"/>
  <pageMargins left="0.70866141732283472" right="0.70866141732283472" top="0.74803149606299213" bottom="0.74803149606299213" header="0.31496062992125984" footer="0.31496062992125984"/>
  <pageSetup paperSize="9" scale="45"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4"/>
  <sheetViews>
    <sheetView rightToLeft="1" zoomScaleNormal="100" zoomScaleSheetLayoutView="100" workbookViewId="0">
      <selection activeCell="B10" sqref="B10"/>
    </sheetView>
  </sheetViews>
  <sheetFormatPr defaultColWidth="9.140625" defaultRowHeight="15" x14ac:dyDescent="0.2"/>
  <cols>
    <col min="1" max="1" width="31.85546875" style="3" customWidth="1"/>
    <col min="2" max="2" width="23.140625" style="3" customWidth="1"/>
    <col min="3" max="3" width="18.28515625" style="3" customWidth="1"/>
    <col min="4" max="4" width="15.5703125" style="3" customWidth="1"/>
    <col min="5" max="5" width="24" style="3" customWidth="1"/>
    <col min="6" max="6" width="13.5703125" style="3" customWidth="1"/>
    <col min="7" max="7" width="21.85546875" style="3" customWidth="1"/>
    <col min="8" max="8" width="26.85546875" style="3" customWidth="1"/>
    <col min="9" max="10" width="9.140625" style="3"/>
    <col min="11" max="12" width="9.140625" style="3" customWidth="1"/>
    <col min="13" max="16384" width="9.140625" style="3"/>
  </cols>
  <sheetData>
    <row r="1" spans="1:9" ht="51.75" customHeight="1" x14ac:dyDescent="0.25">
      <c r="A1" s="1" t="s">
        <v>56</v>
      </c>
      <c r="B1" s="2"/>
      <c r="C1" s="2"/>
      <c r="D1" s="2"/>
      <c r="E1" s="2"/>
      <c r="F1" s="2"/>
      <c r="G1" s="2"/>
      <c r="H1" s="2"/>
    </row>
    <row r="2" spans="1:9" ht="41.25" customHeight="1" x14ac:dyDescent="0.2">
      <c r="A2" s="53" t="s">
        <v>7</v>
      </c>
      <c r="B2" s="4" t="s">
        <v>61</v>
      </c>
      <c r="C2" s="4" t="s">
        <v>35</v>
      </c>
      <c r="D2" s="5" t="s">
        <v>2</v>
      </c>
      <c r="E2" s="4" t="s">
        <v>36</v>
      </c>
      <c r="F2" s="4" t="s">
        <v>49</v>
      </c>
      <c r="G2" s="4" t="s">
        <v>50</v>
      </c>
      <c r="H2" s="54" t="s">
        <v>51</v>
      </c>
    </row>
    <row r="3" spans="1:9" ht="56.25" customHeight="1" x14ac:dyDescent="0.2">
      <c r="A3" s="11" t="s">
        <v>10</v>
      </c>
      <c r="B3" s="22">
        <v>0.47510000000000002</v>
      </c>
      <c r="C3" s="9">
        <v>0.44</v>
      </c>
      <c r="D3" s="8" t="s">
        <v>3</v>
      </c>
      <c r="E3" s="10" t="s">
        <v>21</v>
      </c>
      <c r="F3" s="60">
        <v>0.45</v>
      </c>
      <c r="G3" s="61" t="s">
        <v>52</v>
      </c>
      <c r="H3" s="66" t="s">
        <v>63</v>
      </c>
    </row>
    <row r="4" spans="1:9" ht="60" x14ac:dyDescent="0.2">
      <c r="A4" s="11" t="s">
        <v>6</v>
      </c>
      <c r="B4" s="22">
        <v>0.115</v>
      </c>
      <c r="C4" s="9">
        <v>0.15</v>
      </c>
      <c r="D4" s="8" t="s">
        <v>4</v>
      </c>
      <c r="E4" s="10" t="s">
        <v>15</v>
      </c>
      <c r="F4" s="60">
        <v>0.15</v>
      </c>
      <c r="G4" s="61" t="s">
        <v>15</v>
      </c>
      <c r="H4" s="12" t="s">
        <v>24</v>
      </c>
    </row>
    <row r="5" spans="1:9" ht="90" x14ac:dyDescent="0.2">
      <c r="A5" s="11" t="s">
        <v>16</v>
      </c>
      <c r="B5" s="22">
        <v>0.19339999999999999</v>
      </c>
      <c r="C5" s="9">
        <v>0.2</v>
      </c>
      <c r="D5" s="8" t="s">
        <v>3</v>
      </c>
      <c r="E5" s="10" t="s">
        <v>20</v>
      </c>
      <c r="F5" s="60">
        <v>0.19</v>
      </c>
      <c r="G5" s="61" t="s">
        <v>11</v>
      </c>
      <c r="H5" s="26" t="s">
        <v>12</v>
      </c>
    </row>
    <row r="6" spans="1:9" ht="75" x14ac:dyDescent="0.2">
      <c r="A6" s="11" t="s">
        <v>8</v>
      </c>
      <c r="B6" s="22">
        <v>0.20699999999999999</v>
      </c>
      <c r="C6" s="9">
        <v>0.22</v>
      </c>
      <c r="D6" s="8" t="s">
        <v>4</v>
      </c>
      <c r="E6" s="10" t="s">
        <v>28</v>
      </c>
      <c r="F6" s="60">
        <v>0.2</v>
      </c>
      <c r="G6" s="61" t="s">
        <v>53</v>
      </c>
      <c r="H6" s="55" t="s">
        <v>39</v>
      </c>
    </row>
    <row r="7" spans="1:9" s="15" customFormat="1" ht="41.25" customHeight="1" x14ac:dyDescent="0.25">
      <c r="A7" s="11" t="s">
        <v>17</v>
      </c>
      <c r="B7" s="22">
        <v>4.19E-2</v>
      </c>
      <c r="C7" s="14">
        <v>0.05</v>
      </c>
      <c r="D7" s="8" t="s">
        <v>4</v>
      </c>
      <c r="E7" s="10" t="s">
        <v>9</v>
      </c>
      <c r="F7" s="62">
        <v>0.05</v>
      </c>
      <c r="G7" s="61" t="s">
        <v>9</v>
      </c>
      <c r="H7" s="6" t="s">
        <v>5</v>
      </c>
    </row>
    <row r="8" spans="1:9" ht="39" customHeight="1" x14ac:dyDescent="0.25">
      <c r="A8" s="11" t="s">
        <v>18</v>
      </c>
      <c r="B8" s="14">
        <v>1.0361</v>
      </c>
      <c r="C8" s="16">
        <f>SUM(C3:C7)</f>
        <v>1.06</v>
      </c>
      <c r="D8" s="56" t="s">
        <v>39</v>
      </c>
      <c r="E8" s="10"/>
      <c r="F8" s="62">
        <f>SUM(F3:F7)</f>
        <v>1.04</v>
      </c>
      <c r="G8" s="61"/>
      <c r="H8" s="55" t="s">
        <v>39</v>
      </c>
    </row>
    <row r="9" spans="1:9" ht="36.75" customHeight="1" x14ac:dyDescent="0.2">
      <c r="A9" s="11" t="s">
        <v>1</v>
      </c>
      <c r="B9" s="7">
        <v>0.18890000000000001</v>
      </c>
      <c r="C9" s="13">
        <v>0.2</v>
      </c>
      <c r="D9" s="8" t="s">
        <v>3</v>
      </c>
      <c r="E9" s="10" t="s">
        <v>20</v>
      </c>
      <c r="F9" s="63">
        <v>0.19</v>
      </c>
      <c r="G9" s="61" t="s">
        <v>11</v>
      </c>
      <c r="H9" s="55" t="s">
        <v>39</v>
      </c>
    </row>
    <row r="10" spans="1:9" ht="31.5" x14ac:dyDescent="0.25">
      <c r="A10" s="24" t="s">
        <v>54</v>
      </c>
      <c r="B10" s="55" t="s">
        <v>39</v>
      </c>
      <c r="C10" s="55" t="s">
        <v>39</v>
      </c>
      <c r="D10" s="55" t="s">
        <v>39</v>
      </c>
      <c r="E10" s="55" t="s">
        <v>39</v>
      </c>
      <c r="F10" s="64">
        <v>3.5999999999999999E-3</v>
      </c>
      <c r="G10" s="65" t="s">
        <v>39</v>
      </c>
      <c r="H10" s="55" t="s">
        <v>39</v>
      </c>
      <c r="I10" s="15"/>
    </row>
    <row r="11" spans="1:9" ht="24" customHeight="1" x14ac:dyDescent="0.2">
      <c r="A11" s="3" t="s">
        <v>25</v>
      </c>
    </row>
    <row r="12" spans="1:9" x14ac:dyDescent="0.2">
      <c r="A12" s="18" t="s">
        <v>26</v>
      </c>
      <c r="B12" s="18"/>
    </row>
    <row r="13" spans="1:9" x14ac:dyDescent="0.2">
      <c r="A13" s="18" t="s">
        <v>27</v>
      </c>
      <c r="B13" s="18"/>
    </row>
    <row r="14" spans="1:9" ht="43.5" customHeight="1" x14ac:dyDescent="0.2">
      <c r="A14" s="70" t="s">
        <v>43</v>
      </c>
      <c r="B14" s="69"/>
      <c r="C14" s="69"/>
      <c r="D14" s="69"/>
      <c r="E14" s="69"/>
      <c r="F14" s="69"/>
      <c r="G14" s="69"/>
      <c r="H14" s="69"/>
    </row>
    <row r="15" spans="1:9" ht="12.75" customHeight="1" x14ac:dyDescent="0.2">
      <c r="A15" s="19" t="s">
        <v>44</v>
      </c>
    </row>
    <row r="16" spans="1:9" ht="12.75" customHeight="1" x14ac:dyDescent="0.2">
      <c r="A16" s="20" t="s">
        <v>45</v>
      </c>
    </row>
    <row r="17" spans="1:8" ht="18" customHeight="1" x14ac:dyDescent="0.2">
      <c r="A17" s="21" t="s">
        <v>14</v>
      </c>
    </row>
    <row r="18" spans="1:8" ht="12.75" customHeight="1" x14ac:dyDescent="0.2">
      <c r="A18" s="71" t="s">
        <v>46</v>
      </c>
      <c r="B18" s="69"/>
      <c r="C18" s="69"/>
      <c r="D18" s="69"/>
      <c r="E18" s="69"/>
      <c r="F18" s="69"/>
      <c r="G18" s="69"/>
      <c r="H18" s="69"/>
    </row>
    <row r="19" spans="1:8" ht="31.5" customHeight="1" x14ac:dyDescent="0.2">
      <c r="A19" s="68" t="s">
        <v>47</v>
      </c>
      <c r="B19" s="69"/>
      <c r="C19" s="69"/>
      <c r="D19" s="69"/>
      <c r="E19" s="69"/>
      <c r="F19" s="69"/>
      <c r="G19" s="69"/>
      <c r="H19" s="69"/>
    </row>
    <row r="20" spans="1:8" ht="24.75" customHeight="1" x14ac:dyDescent="0.2">
      <c r="A20" s="68" t="s">
        <v>48</v>
      </c>
      <c r="B20" s="69"/>
      <c r="C20" s="69"/>
      <c r="D20" s="69"/>
      <c r="E20" s="69"/>
      <c r="F20" s="69"/>
      <c r="G20" s="69"/>
      <c r="H20" s="69"/>
    </row>
    <row r="21" spans="1:8" ht="22.5" customHeight="1" x14ac:dyDescent="0.2">
      <c r="A21" s="21" t="s">
        <v>29</v>
      </c>
    </row>
    <row r="22" spans="1:8" ht="22.5" customHeight="1" x14ac:dyDescent="0.25">
      <c r="A22" s="49" t="s">
        <v>62</v>
      </c>
    </row>
    <row r="23" spans="1:8" ht="27.75" customHeight="1" x14ac:dyDescent="0.25">
      <c r="A23" s="72" t="s">
        <v>42</v>
      </c>
      <c r="B23" s="72"/>
      <c r="C23" s="72"/>
      <c r="D23" s="72"/>
      <c r="E23" s="72"/>
      <c r="F23" s="72"/>
      <c r="G23" s="72"/>
      <c r="H23" s="72"/>
    </row>
    <row r="24" spans="1:8" ht="15.75" x14ac:dyDescent="0.25">
      <c r="A24" s="15"/>
    </row>
  </sheetData>
  <mergeCells count="5">
    <mergeCell ref="A20:H20"/>
    <mergeCell ref="A14:H14"/>
    <mergeCell ref="A18:H18"/>
    <mergeCell ref="A19:H19"/>
    <mergeCell ref="A23:H23"/>
  </mergeCells>
  <phoneticPr fontId="36" type="noConversion"/>
  <pageMargins left="0.70866141732283472" right="0.70866141732283472" top="0.74803149606299213" bottom="0.74803149606299213" header="0.31496062992125984" footer="0.31496062992125984"/>
  <pageSetup paperSize="9" scale="5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3"/>
  <sheetViews>
    <sheetView rightToLeft="1" zoomScaleNormal="100" zoomScaleSheetLayoutView="115" workbookViewId="0">
      <selection activeCell="C9" sqref="C9"/>
    </sheetView>
  </sheetViews>
  <sheetFormatPr defaultColWidth="9.140625" defaultRowHeight="15" x14ac:dyDescent="0.2"/>
  <cols>
    <col min="1" max="1" width="34.140625" style="3" customWidth="1"/>
    <col min="2" max="2" width="23.5703125" style="3" customWidth="1"/>
    <col min="3" max="3" width="25.7109375" style="3" customWidth="1"/>
    <col min="4" max="4" width="12.7109375" style="3" customWidth="1"/>
    <col min="5" max="5" width="19.42578125" style="3" customWidth="1"/>
    <col min="6" max="6" width="14.85546875" style="3" customWidth="1"/>
    <col min="7" max="7" width="20.85546875" style="3" customWidth="1"/>
    <col min="8" max="8" width="19.85546875" style="3" customWidth="1"/>
    <col min="9" max="16384" width="9.140625" style="3"/>
  </cols>
  <sheetData>
    <row r="1" spans="1:8" ht="42.75" customHeight="1" x14ac:dyDescent="0.25">
      <c r="A1" s="1" t="s">
        <v>57</v>
      </c>
      <c r="B1" s="2"/>
      <c r="C1" s="2"/>
      <c r="D1" s="2"/>
      <c r="E1" s="2"/>
      <c r="F1" s="2"/>
      <c r="G1" s="2"/>
    </row>
    <row r="2" spans="1:8" ht="51" customHeight="1" x14ac:dyDescent="0.2">
      <c r="A2" s="25" t="s">
        <v>7</v>
      </c>
      <c r="B2" s="4" t="s">
        <v>61</v>
      </c>
      <c r="C2" s="4" t="s">
        <v>35</v>
      </c>
      <c r="D2" s="5" t="s">
        <v>2</v>
      </c>
      <c r="E2" s="4" t="s">
        <v>36</v>
      </c>
      <c r="F2" s="4" t="s">
        <v>49</v>
      </c>
      <c r="G2" s="4" t="s">
        <v>50</v>
      </c>
      <c r="H2" s="54" t="s">
        <v>51</v>
      </c>
    </row>
    <row r="3" spans="1:8" ht="63" x14ac:dyDescent="0.2">
      <c r="A3" s="11" t="s">
        <v>0</v>
      </c>
      <c r="B3" s="22">
        <v>0.46350000000000002</v>
      </c>
      <c r="C3" s="9">
        <v>0.46</v>
      </c>
      <c r="D3" s="8" t="s">
        <v>3</v>
      </c>
      <c r="E3" s="8" t="s">
        <v>19</v>
      </c>
      <c r="F3" s="9">
        <v>0.46</v>
      </c>
      <c r="G3" s="10" t="s">
        <v>19</v>
      </c>
      <c r="H3" s="66" t="s">
        <v>63</v>
      </c>
    </row>
    <row r="4" spans="1:8" ht="60" x14ac:dyDescent="0.2">
      <c r="A4" s="11" t="s">
        <v>6</v>
      </c>
      <c r="B4" s="22">
        <v>0.2422</v>
      </c>
      <c r="C4" s="9">
        <v>0.25</v>
      </c>
      <c r="D4" s="8" t="s">
        <v>4</v>
      </c>
      <c r="E4" s="8" t="s">
        <v>22</v>
      </c>
      <c r="F4" s="9">
        <v>0.25</v>
      </c>
      <c r="G4" s="10" t="s">
        <v>22</v>
      </c>
      <c r="H4" s="12" t="s">
        <v>24</v>
      </c>
    </row>
    <row r="5" spans="1:8" ht="105" x14ac:dyDescent="0.2">
      <c r="A5" s="11" t="s">
        <v>16</v>
      </c>
      <c r="B5" s="22">
        <v>0.21</v>
      </c>
      <c r="C5" s="9">
        <v>0.24</v>
      </c>
      <c r="D5" s="8" t="s">
        <v>3</v>
      </c>
      <c r="E5" s="8" t="s">
        <v>23</v>
      </c>
      <c r="F5" s="9">
        <v>0.24</v>
      </c>
      <c r="G5" s="10" t="s">
        <v>23</v>
      </c>
      <c r="H5" s="26" t="s">
        <v>12</v>
      </c>
    </row>
    <row r="6" spans="1:8" ht="75" x14ac:dyDescent="0.25">
      <c r="A6" s="11" t="s">
        <v>8</v>
      </c>
      <c r="B6" s="22">
        <v>3.5999999999999999E-3</v>
      </c>
      <c r="C6" s="14">
        <v>0.03</v>
      </c>
      <c r="D6" s="8" t="s">
        <v>4</v>
      </c>
      <c r="E6" s="8" t="s">
        <v>13</v>
      </c>
      <c r="F6" s="14">
        <v>0.03</v>
      </c>
      <c r="G6" s="10" t="s">
        <v>13</v>
      </c>
      <c r="H6" s="57" t="s">
        <v>39</v>
      </c>
    </row>
    <row r="7" spans="1:8" s="15" customFormat="1" ht="41.25" customHeight="1" x14ac:dyDescent="0.25">
      <c r="A7" s="11" t="s">
        <v>17</v>
      </c>
      <c r="B7" s="22">
        <v>7.9000000000000001E-2</v>
      </c>
      <c r="C7" s="14">
        <v>0.05</v>
      </c>
      <c r="D7" s="8" t="s">
        <v>4</v>
      </c>
      <c r="E7" s="8" t="s">
        <v>9</v>
      </c>
      <c r="F7" s="14">
        <v>0.05</v>
      </c>
      <c r="G7" s="10" t="s">
        <v>9</v>
      </c>
      <c r="H7" s="6" t="s">
        <v>5</v>
      </c>
    </row>
    <row r="8" spans="1:8" ht="39" customHeight="1" x14ac:dyDescent="0.25">
      <c r="A8" s="11" t="s">
        <v>18</v>
      </c>
      <c r="B8" s="58">
        <f>SUM(B3:B7)</f>
        <v>0.99829999999999997</v>
      </c>
      <c r="C8" s="13">
        <f>SUM(C3:C7)</f>
        <v>1.03</v>
      </c>
      <c r="D8" s="57" t="s">
        <v>39</v>
      </c>
      <c r="E8" s="57" t="s">
        <v>39</v>
      </c>
      <c r="F8" s="14">
        <f>SUM(F3:F7)</f>
        <v>1.03</v>
      </c>
      <c r="G8" s="57" t="s">
        <v>39</v>
      </c>
      <c r="H8" s="57" t="s">
        <v>39</v>
      </c>
    </row>
    <row r="9" spans="1:8" ht="36.75" customHeight="1" x14ac:dyDescent="0.25">
      <c r="A9" s="11" t="s">
        <v>1</v>
      </c>
      <c r="B9" s="7">
        <v>0.1855</v>
      </c>
      <c r="C9" s="13">
        <v>0.2</v>
      </c>
      <c r="D9" s="8" t="s">
        <v>3</v>
      </c>
      <c r="E9" s="8" t="s">
        <v>20</v>
      </c>
      <c r="F9" s="67">
        <v>0.19</v>
      </c>
      <c r="G9" s="10" t="s">
        <v>11</v>
      </c>
      <c r="H9" s="57" t="s">
        <v>39</v>
      </c>
    </row>
    <row r="10" spans="1:8" ht="31.5" x14ac:dyDescent="0.25">
      <c r="A10" s="24" t="s">
        <v>54</v>
      </c>
      <c r="B10" s="57" t="s">
        <v>39</v>
      </c>
      <c r="C10" s="57" t="s">
        <v>39</v>
      </c>
      <c r="D10" s="57" t="s">
        <v>39</v>
      </c>
      <c r="E10" s="57" t="s">
        <v>39</v>
      </c>
      <c r="F10" s="23">
        <v>1.5E-3</v>
      </c>
      <c r="G10" s="57" t="s">
        <v>39</v>
      </c>
      <c r="H10" s="57" t="s">
        <v>39</v>
      </c>
    </row>
    <row r="11" spans="1:8" ht="26.25" customHeight="1" x14ac:dyDescent="0.2">
      <c r="A11" s="3" t="s">
        <v>25</v>
      </c>
    </row>
    <row r="12" spans="1:8" x14ac:dyDescent="0.2">
      <c r="A12" s="18" t="s">
        <v>26</v>
      </c>
      <c r="B12" s="18"/>
    </row>
    <row r="13" spans="1:8" x14ac:dyDescent="0.2">
      <c r="A13" s="18" t="s">
        <v>27</v>
      </c>
      <c r="B13" s="18"/>
    </row>
    <row r="14" spans="1:8" ht="30.75" customHeight="1" x14ac:dyDescent="0.2">
      <c r="A14" s="71" t="s">
        <v>43</v>
      </c>
      <c r="B14" s="73"/>
      <c r="C14" s="73"/>
      <c r="D14" s="73"/>
      <c r="E14" s="73"/>
      <c r="F14" s="73"/>
      <c r="G14" s="73"/>
      <c r="H14" s="73"/>
    </row>
    <row r="15" spans="1:8" ht="15.75" x14ac:dyDescent="0.2">
      <c r="A15" s="27" t="s">
        <v>44</v>
      </c>
      <c r="B15" s="28"/>
      <c r="C15" s="28"/>
      <c r="D15" s="28"/>
      <c r="E15" s="28"/>
      <c r="F15" s="28"/>
      <c r="G15" s="28"/>
      <c r="H15" s="28"/>
    </row>
    <row r="16" spans="1:8" ht="15.75" x14ac:dyDescent="0.2">
      <c r="A16" s="20" t="s">
        <v>45</v>
      </c>
      <c r="B16" s="28"/>
      <c r="C16" s="28"/>
      <c r="D16" s="28"/>
      <c r="E16" s="28"/>
      <c r="F16" s="28"/>
      <c r="G16" s="28"/>
      <c r="H16" s="28"/>
    </row>
    <row r="17" spans="1:8" ht="15.75" x14ac:dyDescent="0.2">
      <c r="A17" s="21" t="s">
        <v>14</v>
      </c>
      <c r="B17" s="28"/>
      <c r="C17" s="28"/>
      <c r="D17" s="28"/>
      <c r="E17" s="28"/>
      <c r="F17" s="28"/>
      <c r="G17" s="28"/>
      <c r="H17" s="28"/>
    </row>
    <row r="18" spans="1:8" x14ac:dyDescent="0.2">
      <c r="A18" s="71" t="s">
        <v>46</v>
      </c>
      <c r="B18" s="73"/>
      <c r="C18" s="73"/>
      <c r="D18" s="73"/>
      <c r="E18" s="73"/>
      <c r="F18" s="73"/>
      <c r="G18" s="73"/>
      <c r="H18" s="73"/>
    </row>
    <row r="19" spans="1:8" ht="33.75" customHeight="1" x14ac:dyDescent="0.2">
      <c r="A19" s="68" t="s">
        <v>47</v>
      </c>
      <c r="B19" s="73"/>
      <c r="C19" s="73"/>
      <c r="D19" s="73"/>
      <c r="E19" s="73"/>
      <c r="F19" s="73"/>
      <c r="G19" s="73"/>
      <c r="H19" s="73"/>
    </row>
    <row r="20" spans="1:8" ht="33.75" customHeight="1" x14ac:dyDescent="0.2">
      <c r="A20" s="68" t="s">
        <v>48</v>
      </c>
      <c r="B20" s="73"/>
      <c r="C20" s="73"/>
      <c r="D20" s="73"/>
      <c r="E20" s="73"/>
      <c r="F20" s="73"/>
      <c r="G20" s="73"/>
      <c r="H20" s="73"/>
    </row>
    <row r="21" spans="1:8" ht="15.75" x14ac:dyDescent="0.2">
      <c r="A21" s="21" t="s">
        <v>29</v>
      </c>
    </row>
    <row r="22" spans="1:8" ht="15.75" x14ac:dyDescent="0.25">
      <c r="A22" s="49" t="s">
        <v>62</v>
      </c>
    </row>
    <row r="23" spans="1:8" ht="31.5" customHeight="1" x14ac:dyDescent="0.25">
      <c r="A23" s="72" t="s">
        <v>42</v>
      </c>
      <c r="B23" s="72"/>
      <c r="C23" s="72"/>
      <c r="D23" s="72"/>
      <c r="E23" s="72"/>
      <c r="F23" s="72"/>
      <c r="G23" s="72"/>
      <c r="H23" s="72"/>
    </row>
  </sheetData>
  <mergeCells count="5">
    <mergeCell ref="A20:H20"/>
    <mergeCell ref="A14:H14"/>
    <mergeCell ref="A18:H18"/>
    <mergeCell ref="A19:H19"/>
    <mergeCell ref="A23:H23"/>
  </mergeCells>
  <phoneticPr fontId="36" type="noConversion"/>
  <pageMargins left="0.70866141732283472" right="0.70866141732283472" top="0.74803149606299213" bottom="0.74803149606299213" header="0.31496062992125984" footer="0.31496062992125984"/>
  <pageSetup paperSize="9" scale="52"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24"/>
  <sheetViews>
    <sheetView rightToLeft="1" zoomScaleNormal="100" zoomScaleSheetLayoutView="100" workbookViewId="0">
      <selection activeCell="D7" sqref="D7"/>
    </sheetView>
  </sheetViews>
  <sheetFormatPr defaultColWidth="9.140625" defaultRowHeight="15" x14ac:dyDescent="0.2"/>
  <cols>
    <col min="1" max="1" width="38.28515625" style="3" customWidth="1"/>
    <col min="2" max="3" width="17.140625" style="3" customWidth="1"/>
    <col min="4" max="4" width="14.140625" style="3" customWidth="1"/>
    <col min="5" max="5" width="19" style="3" customWidth="1"/>
    <col min="6" max="6" width="17.42578125" style="3" customWidth="1"/>
    <col min="7" max="7" width="25.85546875" style="3" customWidth="1"/>
    <col min="8" max="8" width="28.28515625" style="3" customWidth="1"/>
    <col min="9" max="16384" width="9.140625" style="3"/>
  </cols>
  <sheetData>
    <row r="1" spans="1:9" ht="15.75" x14ac:dyDescent="0.25">
      <c r="A1" s="1" t="s">
        <v>58</v>
      </c>
      <c r="B1" s="2"/>
      <c r="C1" s="2"/>
      <c r="D1" s="2"/>
      <c r="E1" s="2"/>
      <c r="F1" s="2"/>
      <c r="G1" s="2"/>
    </row>
    <row r="2" spans="1:9" ht="47.25" x14ac:dyDescent="0.2">
      <c r="A2" s="25" t="s">
        <v>7</v>
      </c>
      <c r="B2" s="4" t="s">
        <v>61</v>
      </c>
      <c r="C2" s="4" t="s">
        <v>35</v>
      </c>
      <c r="D2" s="5" t="s">
        <v>2</v>
      </c>
      <c r="E2" s="4" t="s">
        <v>36</v>
      </c>
      <c r="F2" s="4" t="s">
        <v>49</v>
      </c>
      <c r="G2" s="4" t="s">
        <v>50</v>
      </c>
      <c r="H2" s="54" t="s">
        <v>51</v>
      </c>
    </row>
    <row r="3" spans="1:9" ht="70.5" customHeight="1" x14ac:dyDescent="0.2">
      <c r="A3" s="11" t="s">
        <v>0</v>
      </c>
      <c r="B3" s="22">
        <v>0.45910000000000001</v>
      </c>
      <c r="C3" s="9">
        <v>0.46</v>
      </c>
      <c r="D3" s="8" t="s">
        <v>3</v>
      </c>
      <c r="E3" s="8" t="s">
        <v>19</v>
      </c>
      <c r="F3" s="9">
        <v>0.46</v>
      </c>
      <c r="G3" s="10" t="s">
        <v>19</v>
      </c>
      <c r="H3" s="66" t="s">
        <v>63</v>
      </c>
    </row>
    <row r="4" spans="1:9" ht="99" customHeight="1" x14ac:dyDescent="0.2">
      <c r="A4" s="11" t="s">
        <v>6</v>
      </c>
      <c r="B4" s="22">
        <v>0.24110000000000001</v>
      </c>
      <c r="C4" s="9">
        <v>0.25</v>
      </c>
      <c r="D4" s="8" t="s">
        <v>4</v>
      </c>
      <c r="E4" s="8" t="s">
        <v>22</v>
      </c>
      <c r="F4" s="9">
        <v>0.25</v>
      </c>
      <c r="G4" s="10" t="s">
        <v>22</v>
      </c>
      <c r="H4" s="12" t="s">
        <v>24</v>
      </c>
    </row>
    <row r="5" spans="1:9" ht="89.25" customHeight="1" x14ac:dyDescent="0.2">
      <c r="A5" s="11" t="s">
        <v>16</v>
      </c>
      <c r="B5" s="22">
        <v>0.21179999999999999</v>
      </c>
      <c r="C5" s="9">
        <v>0.24</v>
      </c>
      <c r="D5" s="8" t="s">
        <v>3</v>
      </c>
      <c r="E5" s="8" t="s">
        <v>23</v>
      </c>
      <c r="F5" s="9">
        <v>0.24</v>
      </c>
      <c r="G5" s="10" t="s">
        <v>23</v>
      </c>
      <c r="H5" s="26" t="s">
        <v>12</v>
      </c>
    </row>
    <row r="6" spans="1:9" ht="60" x14ac:dyDescent="0.25">
      <c r="A6" s="11" t="s">
        <v>8</v>
      </c>
      <c r="B6" s="22">
        <v>2.0999999999999999E-3</v>
      </c>
      <c r="C6" s="14">
        <v>0.03</v>
      </c>
      <c r="D6" s="8" t="s">
        <v>4</v>
      </c>
      <c r="E6" s="8" t="s">
        <v>13</v>
      </c>
      <c r="F6" s="14">
        <v>0.03</v>
      </c>
      <c r="G6" s="10" t="s">
        <v>13</v>
      </c>
      <c r="H6" s="57" t="s">
        <v>39</v>
      </c>
    </row>
    <row r="7" spans="1:9" s="15" customFormat="1" ht="41.25" customHeight="1" x14ac:dyDescent="0.25">
      <c r="A7" s="11" t="s">
        <v>17</v>
      </c>
      <c r="B7" s="22">
        <v>8.4199999999999997E-2</v>
      </c>
      <c r="C7" s="14">
        <v>0.05</v>
      </c>
      <c r="D7" s="8" t="s">
        <v>4</v>
      </c>
      <c r="E7" s="8" t="s">
        <v>9</v>
      </c>
      <c r="F7" s="14">
        <v>0.05</v>
      </c>
      <c r="G7" s="10" t="s">
        <v>9</v>
      </c>
      <c r="H7" s="6" t="s">
        <v>5</v>
      </c>
    </row>
    <row r="8" spans="1:9" ht="39" customHeight="1" x14ac:dyDescent="0.25">
      <c r="A8" s="11" t="s">
        <v>18</v>
      </c>
      <c r="B8" s="58">
        <f>SUM(B3:B7)</f>
        <v>0.99829999999999997</v>
      </c>
      <c r="C8" s="13">
        <f>SUM(C3:C7)</f>
        <v>1.03</v>
      </c>
      <c r="D8" s="57" t="s">
        <v>39</v>
      </c>
      <c r="E8" s="57" t="s">
        <v>39</v>
      </c>
      <c r="F8" s="14">
        <f>SUM(F3:F7)</f>
        <v>1.03</v>
      </c>
      <c r="G8" s="57" t="s">
        <v>39</v>
      </c>
      <c r="H8" s="57" t="s">
        <v>39</v>
      </c>
    </row>
    <row r="9" spans="1:9" ht="36.75" customHeight="1" x14ac:dyDescent="0.25">
      <c r="A9" s="11" t="s">
        <v>1</v>
      </c>
      <c r="B9" s="7">
        <v>0.18079999999999999</v>
      </c>
      <c r="C9" s="13">
        <v>0.2</v>
      </c>
      <c r="D9" s="8" t="s">
        <v>3</v>
      </c>
      <c r="E9" s="8" t="s">
        <v>20</v>
      </c>
      <c r="F9" s="67">
        <v>0.19</v>
      </c>
      <c r="G9" s="10" t="s">
        <v>11</v>
      </c>
      <c r="H9" s="57" t="s">
        <v>39</v>
      </c>
    </row>
    <row r="10" spans="1:9" ht="15.75" x14ac:dyDescent="0.25">
      <c r="A10" s="24" t="s">
        <v>54</v>
      </c>
      <c r="B10" s="32" t="s">
        <v>39</v>
      </c>
      <c r="C10" s="32" t="s">
        <v>39</v>
      </c>
      <c r="D10" s="32" t="s">
        <v>39</v>
      </c>
      <c r="E10" s="32" t="s">
        <v>39</v>
      </c>
      <c r="F10" s="35">
        <v>1.5E-3</v>
      </c>
      <c r="G10" s="32" t="s">
        <v>39</v>
      </c>
      <c r="H10" s="32" t="s">
        <v>39</v>
      </c>
    </row>
    <row r="11" spans="1:9" ht="22.5" customHeight="1" x14ac:dyDescent="0.2">
      <c r="A11" s="74" t="s">
        <v>25</v>
      </c>
      <c r="B11" s="74"/>
      <c r="C11" s="74"/>
      <c r="D11" s="74"/>
      <c r="E11" s="74"/>
      <c r="F11" s="74"/>
      <c r="G11" s="74"/>
      <c r="H11" s="74"/>
      <c r="I11" s="74"/>
    </row>
    <row r="12" spans="1:9" x14ac:dyDescent="0.2">
      <c r="A12" s="18" t="s">
        <v>26</v>
      </c>
      <c r="B12" s="18"/>
    </row>
    <row r="13" spans="1:9" x14ac:dyDescent="0.2">
      <c r="A13" s="18" t="s">
        <v>27</v>
      </c>
      <c r="B13" s="18"/>
    </row>
    <row r="14" spans="1:9" ht="45.75" customHeight="1" x14ac:dyDescent="0.2">
      <c r="A14" s="71" t="s">
        <v>43</v>
      </c>
      <c r="B14" s="73"/>
      <c r="C14" s="73"/>
      <c r="D14" s="73"/>
      <c r="E14" s="73"/>
      <c r="F14" s="73"/>
      <c r="G14" s="73"/>
      <c r="H14" s="73"/>
    </row>
    <row r="15" spans="1:9" ht="21" customHeight="1" x14ac:dyDescent="0.2">
      <c r="A15" s="27" t="s">
        <v>44</v>
      </c>
      <c r="B15" s="28"/>
      <c r="C15" s="28"/>
      <c r="D15" s="28"/>
      <c r="E15" s="28"/>
      <c r="F15" s="28"/>
      <c r="G15" s="28"/>
      <c r="H15" s="28"/>
    </row>
    <row r="16" spans="1:9" ht="15.75" x14ac:dyDescent="0.2">
      <c r="A16" s="20" t="s">
        <v>45</v>
      </c>
      <c r="B16" s="28"/>
      <c r="C16" s="28"/>
      <c r="D16" s="28"/>
      <c r="E16" s="28"/>
      <c r="F16" s="28"/>
      <c r="G16" s="28"/>
      <c r="H16" s="28"/>
    </row>
    <row r="17" spans="1:8" ht="15.75" x14ac:dyDescent="0.2">
      <c r="A17" s="21" t="s">
        <v>14</v>
      </c>
      <c r="B17" s="28"/>
      <c r="C17" s="28"/>
      <c r="D17" s="28"/>
      <c r="E17" s="28"/>
      <c r="F17" s="28"/>
      <c r="G17" s="28"/>
      <c r="H17" s="28"/>
    </row>
    <row r="18" spans="1:8" ht="27" customHeight="1" x14ac:dyDescent="0.2">
      <c r="A18" s="71" t="s">
        <v>46</v>
      </c>
      <c r="B18" s="73"/>
      <c r="C18" s="73"/>
      <c r="D18" s="73"/>
      <c r="E18" s="73"/>
      <c r="F18" s="73"/>
      <c r="G18" s="73"/>
      <c r="H18" s="73"/>
    </row>
    <row r="19" spans="1:8" ht="32.25" customHeight="1" x14ac:dyDescent="0.2">
      <c r="A19" s="68" t="s">
        <v>47</v>
      </c>
      <c r="B19" s="73"/>
      <c r="C19" s="73"/>
      <c r="D19" s="73"/>
      <c r="E19" s="73"/>
      <c r="F19" s="73"/>
      <c r="G19" s="73"/>
      <c r="H19" s="73"/>
    </row>
    <row r="20" spans="1:8" ht="29.25" customHeight="1" x14ac:dyDescent="0.2">
      <c r="A20" s="68" t="s">
        <v>48</v>
      </c>
      <c r="B20" s="73"/>
      <c r="C20" s="73"/>
      <c r="D20" s="73"/>
      <c r="E20" s="73"/>
      <c r="F20" s="73"/>
      <c r="G20" s="73"/>
      <c r="H20" s="73"/>
    </row>
    <row r="21" spans="1:8" ht="15.75" x14ac:dyDescent="0.2">
      <c r="A21" s="21" t="s">
        <v>29</v>
      </c>
    </row>
    <row r="22" spans="1:8" ht="15.75" x14ac:dyDescent="0.25">
      <c r="A22" s="49" t="s">
        <v>62</v>
      </c>
    </row>
    <row r="23" spans="1:8" ht="22.5" customHeight="1" x14ac:dyDescent="0.25">
      <c r="A23" s="72" t="s">
        <v>42</v>
      </c>
      <c r="B23" s="72"/>
      <c r="C23" s="72"/>
      <c r="D23" s="72"/>
      <c r="E23" s="72"/>
      <c r="F23" s="72"/>
      <c r="G23" s="72"/>
      <c r="H23" s="72"/>
    </row>
    <row r="24" spans="1:8" ht="15.75" x14ac:dyDescent="0.25">
      <c r="A24" s="15"/>
    </row>
  </sheetData>
  <mergeCells count="6">
    <mergeCell ref="A23:H23"/>
    <mergeCell ref="A19:H19"/>
    <mergeCell ref="A20:H20"/>
    <mergeCell ref="A11:I11"/>
    <mergeCell ref="A14:H14"/>
    <mergeCell ref="A18:H18"/>
  </mergeCells>
  <phoneticPr fontId="36" type="noConversion"/>
  <pageMargins left="0.70866141732283472" right="0.70866141732283472" top="0.74803149606299213" bottom="0.74803149606299213" header="0.31496062992125984" footer="0.31496062992125984"/>
  <pageSetup paperSize="9" scale="5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rightToLeft="1" zoomScaleNormal="100" zoomScaleSheetLayoutView="100" workbookViewId="0">
      <selection activeCell="B9" sqref="B9"/>
    </sheetView>
  </sheetViews>
  <sheetFormatPr defaultColWidth="9.140625" defaultRowHeight="15" x14ac:dyDescent="0.2"/>
  <cols>
    <col min="1" max="1" width="39.140625" style="3" customWidth="1"/>
    <col min="2" max="2" width="15.5703125" style="3" customWidth="1"/>
    <col min="3" max="3" width="15.42578125" style="3" customWidth="1"/>
    <col min="4" max="4" width="18.140625" style="3" customWidth="1"/>
    <col min="5" max="5" width="14.42578125" style="3" customWidth="1"/>
    <col min="6" max="6" width="19.7109375" style="3" customWidth="1"/>
    <col min="7" max="7" width="18.140625" style="3" customWidth="1"/>
    <col min="8" max="8" width="42.7109375" style="3" customWidth="1"/>
    <col min="9" max="16384" width="9.140625" style="3"/>
  </cols>
  <sheetData>
    <row r="1" spans="1:8" ht="44.25" customHeight="1" x14ac:dyDescent="0.25">
      <c r="A1" s="1" t="s">
        <v>59</v>
      </c>
      <c r="B1" s="1"/>
      <c r="C1" s="1"/>
      <c r="D1" s="1"/>
      <c r="E1" s="1"/>
      <c r="F1" s="1"/>
      <c r="G1" s="18"/>
      <c r="H1" s="18"/>
    </row>
    <row r="2" spans="1:8" ht="63" x14ac:dyDescent="0.2">
      <c r="A2" s="53" t="s">
        <v>30</v>
      </c>
      <c r="B2" s="4" t="s">
        <v>61</v>
      </c>
      <c r="C2" s="4" t="s">
        <v>35</v>
      </c>
      <c r="D2" s="5" t="s">
        <v>2</v>
      </c>
      <c r="E2" s="4" t="s">
        <v>36</v>
      </c>
      <c r="F2" s="4" t="s">
        <v>49</v>
      </c>
      <c r="G2" s="4" t="s">
        <v>50</v>
      </c>
      <c r="H2" s="54" t="s">
        <v>51</v>
      </c>
    </row>
    <row r="3" spans="1:8" ht="24" customHeight="1" x14ac:dyDescent="0.2">
      <c r="A3" s="11" t="s">
        <v>0</v>
      </c>
      <c r="B3" s="29">
        <v>0</v>
      </c>
      <c r="C3" s="39">
        <v>0</v>
      </c>
      <c r="D3" s="39">
        <v>0</v>
      </c>
      <c r="E3" s="39">
        <v>0</v>
      </c>
      <c r="F3" s="39">
        <v>0</v>
      </c>
      <c r="G3" s="34" t="s">
        <v>37</v>
      </c>
      <c r="H3" s="40" t="s">
        <v>39</v>
      </c>
    </row>
    <row r="4" spans="1:8" ht="70.5" customHeight="1" x14ac:dyDescent="0.2">
      <c r="A4" s="11" t="s">
        <v>6</v>
      </c>
      <c r="B4" s="29">
        <v>0.56889999999999996</v>
      </c>
      <c r="C4" s="39">
        <v>0.55000000000000004</v>
      </c>
      <c r="D4" s="34">
        <v>0.55000000000000004</v>
      </c>
      <c r="E4" s="30" t="s">
        <v>4</v>
      </c>
      <c r="F4" s="30" t="s">
        <v>31</v>
      </c>
      <c r="G4" s="31" t="s">
        <v>31</v>
      </c>
      <c r="H4" s="12" t="s">
        <v>24</v>
      </c>
    </row>
    <row r="5" spans="1:8" ht="96" customHeight="1" x14ac:dyDescent="0.2">
      <c r="A5" s="11" t="s">
        <v>16</v>
      </c>
      <c r="B5" s="29">
        <v>0.37930000000000003</v>
      </c>
      <c r="C5" s="39">
        <v>0.4</v>
      </c>
      <c r="D5" s="34">
        <v>0.4</v>
      </c>
      <c r="E5" s="30" t="s">
        <v>3</v>
      </c>
      <c r="F5" s="30" t="s">
        <v>32</v>
      </c>
      <c r="G5" s="31" t="s">
        <v>32</v>
      </c>
      <c r="H5" s="26" t="s">
        <v>12</v>
      </c>
    </row>
    <row r="6" spans="1:8" ht="63" customHeight="1" x14ac:dyDescent="0.2">
      <c r="A6" s="11" t="s">
        <v>8</v>
      </c>
      <c r="B6" s="29">
        <v>0</v>
      </c>
      <c r="C6" s="39">
        <v>0</v>
      </c>
      <c r="D6" s="34">
        <v>0</v>
      </c>
      <c r="E6" s="39">
        <v>0</v>
      </c>
      <c r="F6" s="39">
        <v>0</v>
      </c>
      <c r="G6" s="34" t="s">
        <v>38</v>
      </c>
      <c r="H6" s="40" t="s">
        <v>39</v>
      </c>
    </row>
    <row r="7" spans="1:8" ht="35.25" customHeight="1" x14ac:dyDescent="0.2">
      <c r="A7" s="11" t="s">
        <v>17</v>
      </c>
      <c r="B7" s="29">
        <v>5.1799999999999999E-2</v>
      </c>
      <c r="C7" s="39">
        <v>0.05</v>
      </c>
      <c r="D7" s="34">
        <v>0.05</v>
      </c>
      <c r="E7" s="30" t="s">
        <v>4</v>
      </c>
      <c r="F7" s="30" t="s">
        <v>9</v>
      </c>
      <c r="G7" s="31" t="s">
        <v>9</v>
      </c>
      <c r="H7" s="12" t="s">
        <v>5</v>
      </c>
    </row>
    <row r="8" spans="1:8" ht="28.5" customHeight="1" x14ac:dyDescent="0.2">
      <c r="A8" s="11" t="s">
        <v>18</v>
      </c>
      <c r="B8" s="33">
        <f>SUM(B3:B7)</f>
        <v>0.99999999999999989</v>
      </c>
      <c r="C8" s="41">
        <f>SUM(C3:C7)</f>
        <v>1</v>
      </c>
      <c r="D8" s="33">
        <f>SUM(D3:D7)</f>
        <v>1</v>
      </c>
      <c r="E8" s="30"/>
      <c r="F8" s="30"/>
      <c r="G8" s="31"/>
      <c r="H8" s="40" t="s">
        <v>39</v>
      </c>
    </row>
    <row r="9" spans="1:8" ht="45" customHeight="1" x14ac:dyDescent="0.2">
      <c r="A9" s="42" t="s">
        <v>1</v>
      </c>
      <c r="B9" s="43">
        <v>2.12E-2</v>
      </c>
      <c r="C9" s="44">
        <v>0.06</v>
      </c>
      <c r="D9" s="45">
        <v>0.06</v>
      </c>
      <c r="E9" s="46" t="s">
        <v>3</v>
      </c>
      <c r="F9" s="46" t="s">
        <v>33</v>
      </c>
      <c r="G9" s="47" t="s">
        <v>33</v>
      </c>
      <c r="H9" s="40" t="s">
        <v>39</v>
      </c>
    </row>
    <row r="10" spans="1:8" ht="378" x14ac:dyDescent="0.2">
      <c r="A10" s="40" t="s">
        <v>39</v>
      </c>
      <c r="B10" s="40" t="s">
        <v>39</v>
      </c>
      <c r="C10" s="40" t="s">
        <v>39</v>
      </c>
      <c r="D10" s="40" t="s">
        <v>39</v>
      </c>
      <c r="E10" s="40" t="s">
        <v>39</v>
      </c>
      <c r="F10" s="40" t="s">
        <v>39</v>
      </c>
      <c r="G10" s="40" t="s">
        <v>39</v>
      </c>
      <c r="H10" s="36" t="s">
        <v>34</v>
      </c>
    </row>
    <row r="11" spans="1:8" ht="15.75" x14ac:dyDescent="0.25">
      <c r="A11" s="24" t="s">
        <v>54</v>
      </c>
      <c r="B11" s="40" t="s">
        <v>39</v>
      </c>
      <c r="C11" s="40" t="s">
        <v>39</v>
      </c>
      <c r="D11" s="48">
        <v>5.0000000000000001E-4</v>
      </c>
      <c r="E11" s="40" t="s">
        <v>39</v>
      </c>
      <c r="F11" s="40" t="s">
        <v>39</v>
      </c>
      <c r="G11" s="40" t="s">
        <v>39</v>
      </c>
      <c r="H11" s="40" t="s">
        <v>39</v>
      </c>
    </row>
    <row r="12" spans="1:8" ht="15.75" x14ac:dyDescent="0.25">
      <c r="A12" s="37" t="s">
        <v>40</v>
      </c>
      <c r="C12" s="15"/>
      <c r="D12" s="15"/>
      <c r="E12" s="15"/>
      <c r="F12" s="38"/>
    </row>
    <row r="13" spans="1:8" x14ac:dyDescent="0.2">
      <c r="A13" s="37" t="s">
        <v>41</v>
      </c>
    </row>
    <row r="14" spans="1:8" ht="47.25" customHeight="1" x14ac:dyDescent="0.2">
      <c r="A14" s="71" t="s">
        <v>43</v>
      </c>
      <c r="B14" s="73"/>
      <c r="C14" s="73"/>
      <c r="D14" s="73"/>
      <c r="E14" s="73"/>
      <c r="F14" s="73"/>
      <c r="G14" s="73"/>
      <c r="H14" s="73"/>
    </row>
    <row r="15" spans="1:8" ht="15.75" x14ac:dyDescent="0.2">
      <c r="A15" s="27" t="s">
        <v>44</v>
      </c>
      <c r="B15" s="28"/>
      <c r="C15" s="28"/>
      <c r="D15" s="28"/>
      <c r="E15" s="28"/>
      <c r="F15" s="28"/>
      <c r="G15" s="28"/>
      <c r="H15" s="28"/>
    </row>
    <row r="16" spans="1:8" ht="15.75" x14ac:dyDescent="0.2">
      <c r="A16" s="20" t="s">
        <v>45</v>
      </c>
      <c r="B16" s="28"/>
      <c r="C16" s="28"/>
      <c r="D16" s="28"/>
      <c r="E16" s="28"/>
      <c r="F16" s="28"/>
      <c r="G16" s="28"/>
      <c r="H16" s="28"/>
    </row>
    <row r="17" spans="1:8" ht="15.75" x14ac:dyDescent="0.2">
      <c r="A17" s="21" t="s">
        <v>14</v>
      </c>
      <c r="B17" s="28"/>
      <c r="C17" s="28"/>
      <c r="D17" s="28"/>
      <c r="E17" s="28"/>
      <c r="F17" s="28"/>
      <c r="G17" s="28"/>
      <c r="H17" s="28"/>
    </row>
    <row r="18" spans="1:8" ht="34.5" customHeight="1" x14ac:dyDescent="0.2">
      <c r="A18" s="71" t="s">
        <v>46</v>
      </c>
      <c r="B18" s="73"/>
      <c r="C18" s="73"/>
      <c r="D18" s="73"/>
      <c r="E18" s="73"/>
      <c r="F18" s="73"/>
      <c r="G18" s="73"/>
      <c r="H18" s="73"/>
    </row>
    <row r="19" spans="1:8" ht="29.25" customHeight="1" x14ac:dyDescent="0.2">
      <c r="A19" s="68" t="s">
        <v>47</v>
      </c>
      <c r="B19" s="73"/>
      <c r="C19" s="73"/>
      <c r="D19" s="73"/>
      <c r="E19" s="73"/>
      <c r="F19" s="73"/>
      <c r="G19" s="73"/>
      <c r="H19" s="73"/>
    </row>
    <row r="20" spans="1:8" ht="30" customHeight="1" x14ac:dyDescent="0.2">
      <c r="A20" s="68" t="s">
        <v>48</v>
      </c>
      <c r="B20" s="73"/>
      <c r="C20" s="73"/>
      <c r="D20" s="73"/>
      <c r="E20" s="73"/>
      <c r="F20" s="73"/>
      <c r="G20" s="73"/>
      <c r="H20" s="73"/>
    </row>
    <row r="21" spans="1:8" ht="15.75" x14ac:dyDescent="0.2">
      <c r="A21" s="21" t="s">
        <v>29</v>
      </c>
    </row>
    <row r="22" spans="1:8" ht="15.75" x14ac:dyDescent="0.25">
      <c r="A22" s="49" t="s">
        <v>62</v>
      </c>
    </row>
    <row r="23" spans="1:8" ht="15.75" x14ac:dyDescent="0.25">
      <c r="A23" s="72" t="s">
        <v>42</v>
      </c>
      <c r="B23" s="72"/>
      <c r="C23" s="72"/>
      <c r="D23" s="72"/>
      <c r="E23" s="72"/>
      <c r="F23" s="72"/>
      <c r="G23" s="72"/>
      <c r="H23" s="72"/>
    </row>
    <row r="25" spans="1:8" ht="15.75" x14ac:dyDescent="0.25">
      <c r="A25" s="15"/>
    </row>
    <row r="27" spans="1:8" ht="15.75" x14ac:dyDescent="0.25">
      <c r="A27" s="15"/>
    </row>
  </sheetData>
  <mergeCells count="5">
    <mergeCell ref="A14:H14"/>
    <mergeCell ref="A18:H18"/>
    <mergeCell ref="A19:H19"/>
    <mergeCell ref="A20:H20"/>
    <mergeCell ref="A23:H23"/>
  </mergeCells>
  <phoneticPr fontId="36"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9"/>
  <sheetViews>
    <sheetView rightToLeft="1" zoomScaleNormal="100" zoomScaleSheetLayoutView="100" workbookViewId="0">
      <selection activeCell="B10" sqref="B10"/>
    </sheetView>
  </sheetViews>
  <sheetFormatPr defaultColWidth="9.140625" defaultRowHeight="15" x14ac:dyDescent="0.2"/>
  <cols>
    <col min="1" max="1" width="34.28515625" style="3" customWidth="1"/>
    <col min="2" max="2" width="13.42578125" style="3" customWidth="1"/>
    <col min="3" max="3" width="14.42578125" style="3" customWidth="1"/>
    <col min="4" max="4" width="14.140625" style="3" customWidth="1"/>
    <col min="5" max="5" width="12.5703125" style="3" customWidth="1"/>
    <col min="6" max="6" width="20.42578125" style="3" customWidth="1"/>
    <col min="7" max="7" width="20" style="3" customWidth="1"/>
    <col min="8" max="8" width="52.5703125" style="3" customWidth="1"/>
    <col min="9" max="16384" width="9.140625" style="3"/>
  </cols>
  <sheetData>
    <row r="1" spans="1:8" ht="31.5" customHeight="1" x14ac:dyDescent="0.25">
      <c r="A1" s="1" t="s">
        <v>60</v>
      </c>
      <c r="B1" s="2"/>
      <c r="C1" s="2"/>
      <c r="D1" s="2"/>
      <c r="E1" s="2"/>
      <c r="F1" s="2"/>
    </row>
    <row r="2" spans="1:8" ht="94.5" x14ac:dyDescent="0.2">
      <c r="A2" s="53" t="s">
        <v>30</v>
      </c>
      <c r="B2" s="4" t="s">
        <v>61</v>
      </c>
      <c r="C2" s="4" t="s">
        <v>35</v>
      </c>
      <c r="D2" s="5" t="s">
        <v>2</v>
      </c>
      <c r="E2" s="4" t="s">
        <v>36</v>
      </c>
      <c r="F2" s="4" t="s">
        <v>49</v>
      </c>
      <c r="G2" s="4" t="s">
        <v>50</v>
      </c>
      <c r="H2" s="54" t="s">
        <v>51</v>
      </c>
    </row>
    <row r="3" spans="1:8" ht="20.25" customHeight="1" x14ac:dyDescent="0.2">
      <c r="A3" s="11" t="s">
        <v>0</v>
      </c>
      <c r="B3" s="29">
        <v>0</v>
      </c>
      <c r="C3" s="39">
        <v>0</v>
      </c>
      <c r="D3" s="39">
        <v>0</v>
      </c>
      <c r="E3" s="39">
        <v>0</v>
      </c>
      <c r="F3" s="39">
        <v>0</v>
      </c>
      <c r="G3" s="34" t="s">
        <v>37</v>
      </c>
      <c r="H3" s="40" t="s">
        <v>39</v>
      </c>
    </row>
    <row r="4" spans="1:8" ht="53.25" customHeight="1" x14ac:dyDescent="0.2">
      <c r="A4" s="11" t="s">
        <v>6</v>
      </c>
      <c r="B4" s="29">
        <v>0.57520000000000004</v>
      </c>
      <c r="C4" s="39">
        <v>0.55000000000000004</v>
      </c>
      <c r="D4" s="34">
        <v>0.55000000000000004</v>
      </c>
      <c r="E4" s="30" t="s">
        <v>4</v>
      </c>
      <c r="F4" s="30" t="s">
        <v>31</v>
      </c>
      <c r="G4" s="31" t="s">
        <v>31</v>
      </c>
      <c r="H4" s="12" t="s">
        <v>24</v>
      </c>
    </row>
    <row r="5" spans="1:8" ht="60" x14ac:dyDescent="0.2">
      <c r="A5" s="11" t="s">
        <v>16</v>
      </c>
      <c r="B5" s="29">
        <v>0.37940000000000002</v>
      </c>
      <c r="C5" s="39">
        <v>0.4</v>
      </c>
      <c r="D5" s="34">
        <v>0.4</v>
      </c>
      <c r="E5" s="30" t="s">
        <v>3</v>
      </c>
      <c r="F5" s="30" t="s">
        <v>32</v>
      </c>
      <c r="G5" s="31" t="s">
        <v>32</v>
      </c>
      <c r="H5" s="26" t="s">
        <v>12</v>
      </c>
    </row>
    <row r="6" spans="1:8" ht="75" x14ac:dyDescent="0.2">
      <c r="A6" s="11" t="s">
        <v>8</v>
      </c>
      <c r="B6" s="29">
        <v>0</v>
      </c>
      <c r="C6" s="39">
        <v>0</v>
      </c>
      <c r="D6" s="34">
        <v>0</v>
      </c>
      <c r="E6" s="39">
        <v>0</v>
      </c>
      <c r="F6" s="39">
        <v>0</v>
      </c>
      <c r="G6" s="34" t="s">
        <v>38</v>
      </c>
      <c r="H6" s="40" t="s">
        <v>39</v>
      </c>
    </row>
    <row r="7" spans="1:8" ht="37.5" customHeight="1" x14ac:dyDescent="0.2">
      <c r="A7" s="11" t="s">
        <v>17</v>
      </c>
      <c r="B7" s="29">
        <v>4.53E-2</v>
      </c>
      <c r="C7" s="39">
        <v>0.05</v>
      </c>
      <c r="D7" s="34">
        <v>0.05</v>
      </c>
      <c r="E7" s="30" t="s">
        <v>4</v>
      </c>
      <c r="F7" s="30" t="s">
        <v>9</v>
      </c>
      <c r="G7" s="31" t="s">
        <v>9</v>
      </c>
      <c r="H7" s="40" t="s">
        <v>39</v>
      </c>
    </row>
    <row r="8" spans="1:8" ht="31.5" customHeight="1" x14ac:dyDescent="0.2">
      <c r="A8" s="11" t="s">
        <v>18</v>
      </c>
      <c r="B8" s="33">
        <f>SUM(B3:B7)</f>
        <v>0.99990000000000012</v>
      </c>
      <c r="C8" s="41">
        <f>SUM(C3:C7)</f>
        <v>1</v>
      </c>
      <c r="D8" s="33">
        <f>SUM(D3:D7)</f>
        <v>1</v>
      </c>
      <c r="E8" s="30"/>
      <c r="F8" s="30"/>
      <c r="G8" s="31"/>
      <c r="H8" s="40" t="s">
        <v>39</v>
      </c>
    </row>
    <row r="9" spans="1:8" ht="39" customHeight="1" x14ac:dyDescent="0.2">
      <c r="A9" s="42" t="s">
        <v>1</v>
      </c>
      <c r="B9" s="43">
        <v>2.75E-2</v>
      </c>
      <c r="C9" s="44">
        <v>0.06</v>
      </c>
      <c r="D9" s="45">
        <v>0.06</v>
      </c>
      <c r="E9" s="46" t="s">
        <v>3</v>
      </c>
      <c r="F9" s="46" t="s">
        <v>33</v>
      </c>
      <c r="G9" s="47" t="s">
        <v>33</v>
      </c>
      <c r="H9" s="40" t="s">
        <v>39</v>
      </c>
    </row>
    <row r="10" spans="1:8" ht="303.75" customHeight="1" x14ac:dyDescent="0.2">
      <c r="A10" s="50" t="s">
        <v>39</v>
      </c>
      <c r="B10" s="51" t="s">
        <v>39</v>
      </c>
      <c r="C10" s="51" t="s">
        <v>39</v>
      </c>
      <c r="D10" s="51" t="s">
        <v>39</v>
      </c>
      <c r="E10" s="51" t="s">
        <v>39</v>
      </c>
      <c r="F10" s="51" t="s">
        <v>39</v>
      </c>
      <c r="G10" s="51" t="s">
        <v>39</v>
      </c>
      <c r="H10" s="36" t="s">
        <v>34</v>
      </c>
    </row>
    <row r="11" spans="1:8" ht="31.5" x14ac:dyDescent="0.25">
      <c r="A11" s="24" t="s">
        <v>54</v>
      </c>
      <c r="B11" s="52" t="s">
        <v>39</v>
      </c>
      <c r="C11" s="52" t="s">
        <v>39</v>
      </c>
      <c r="D11" s="48">
        <v>5.0000000000000001E-4</v>
      </c>
      <c r="E11" s="52" t="s">
        <v>39</v>
      </c>
      <c r="F11" s="52" t="s">
        <v>39</v>
      </c>
      <c r="G11" s="52" t="s">
        <v>39</v>
      </c>
      <c r="H11" s="52" t="s">
        <v>39</v>
      </c>
    </row>
    <row r="12" spans="1:8" ht="15.75" x14ac:dyDescent="0.25">
      <c r="A12" s="37" t="s">
        <v>40</v>
      </c>
      <c r="C12" s="15"/>
      <c r="D12" s="15"/>
      <c r="E12" s="15"/>
      <c r="F12" s="38"/>
    </row>
    <row r="13" spans="1:8" x14ac:dyDescent="0.2">
      <c r="A13" s="37" t="s">
        <v>41</v>
      </c>
    </row>
    <row r="14" spans="1:8" ht="44.25" customHeight="1" x14ac:dyDescent="0.2">
      <c r="A14" s="71" t="s">
        <v>43</v>
      </c>
      <c r="B14" s="73"/>
      <c r="C14" s="73"/>
      <c r="D14" s="73"/>
      <c r="E14" s="73"/>
      <c r="F14" s="73"/>
      <c r="G14" s="73"/>
      <c r="H14" s="73"/>
    </row>
    <row r="15" spans="1:8" ht="15.75" x14ac:dyDescent="0.2">
      <c r="A15" s="27" t="s">
        <v>44</v>
      </c>
      <c r="B15" s="28"/>
      <c r="C15" s="28"/>
      <c r="D15" s="28"/>
      <c r="E15" s="28"/>
      <c r="F15" s="28"/>
      <c r="G15" s="28"/>
      <c r="H15" s="28"/>
    </row>
    <row r="16" spans="1:8" ht="33" customHeight="1" x14ac:dyDescent="0.2">
      <c r="A16" s="20" t="s">
        <v>45</v>
      </c>
      <c r="B16" s="28"/>
      <c r="C16" s="28"/>
      <c r="D16" s="28"/>
      <c r="E16" s="28"/>
      <c r="F16" s="28"/>
      <c r="G16" s="28"/>
      <c r="H16" s="28"/>
    </row>
    <row r="17" spans="1:8" ht="15.75" x14ac:dyDescent="0.2">
      <c r="A17" s="21" t="s">
        <v>14</v>
      </c>
      <c r="B17" s="28"/>
      <c r="C17" s="28"/>
      <c r="D17" s="28"/>
      <c r="E17" s="28"/>
      <c r="F17" s="28"/>
      <c r="G17" s="28"/>
      <c r="H17" s="28"/>
    </row>
    <row r="18" spans="1:8" x14ac:dyDescent="0.2">
      <c r="A18" s="71" t="s">
        <v>46</v>
      </c>
      <c r="B18" s="73"/>
      <c r="C18" s="73"/>
      <c r="D18" s="73"/>
      <c r="E18" s="73"/>
      <c r="F18" s="73"/>
      <c r="G18" s="73"/>
      <c r="H18" s="73"/>
    </row>
    <row r="19" spans="1:8" ht="13.5" customHeight="1" x14ac:dyDescent="0.2">
      <c r="A19" s="68" t="s">
        <v>47</v>
      </c>
      <c r="B19" s="73"/>
      <c r="C19" s="73"/>
      <c r="D19" s="73"/>
      <c r="E19" s="73"/>
      <c r="F19" s="73"/>
      <c r="G19" s="73"/>
      <c r="H19" s="73"/>
    </row>
    <row r="20" spans="1:8" ht="30.75" customHeight="1" x14ac:dyDescent="0.2">
      <c r="A20" s="68" t="s">
        <v>48</v>
      </c>
      <c r="B20" s="73"/>
      <c r="C20" s="73"/>
      <c r="D20" s="73"/>
      <c r="E20" s="73"/>
      <c r="F20" s="73"/>
      <c r="G20" s="73"/>
      <c r="H20" s="73"/>
    </row>
    <row r="21" spans="1:8" ht="33.75" customHeight="1" x14ac:dyDescent="0.2">
      <c r="A21" s="21" t="s">
        <v>29</v>
      </c>
    </row>
    <row r="22" spans="1:8" ht="33.75" customHeight="1" x14ac:dyDescent="0.25">
      <c r="A22" s="49" t="s">
        <v>62</v>
      </c>
    </row>
    <row r="23" spans="1:8" ht="25.5" customHeight="1" x14ac:dyDescent="0.25">
      <c r="A23" s="72" t="s">
        <v>42</v>
      </c>
      <c r="B23" s="72"/>
      <c r="C23" s="72"/>
      <c r="D23" s="72"/>
      <c r="E23" s="72"/>
      <c r="F23" s="72"/>
      <c r="G23" s="72"/>
      <c r="H23" s="72"/>
    </row>
    <row r="29" spans="1:8" ht="15.75" x14ac:dyDescent="0.25">
      <c r="A29" s="49"/>
    </row>
  </sheetData>
  <mergeCells count="5">
    <mergeCell ref="A14:H14"/>
    <mergeCell ref="A18:H18"/>
    <mergeCell ref="A19:H19"/>
    <mergeCell ref="A20:H20"/>
    <mergeCell ref="A23:H23"/>
  </mergeCells>
  <phoneticPr fontId="36"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SDCategories xmlns="995d9520-b773-45b0-af62-8fbca05246ff">:קרנות השתלמות:הנהלה:ישיבות:דירקטוריון תשע"ז:ישיבה 28.8.2017;#</SDCategories>
    <SDCategoryID xmlns="995d9520-b773-45b0-af62-8fbca05246ff">aa50102c0bab;#</SDCategoryID>
    <SDNumOfSignatures xmlns="995d9520-b773-45b0-af62-8fbca05246ff" xsi:nil="true"/>
    <SDOfflineTo xmlns="995d9520-b773-45b0-af62-8fbca05246ff" xsi:nil="true"/>
    <SDImportance xmlns="995d9520-b773-45b0-af62-8fbca05246ff">0</SDImportance>
    <SDDocDate xmlns="995d9520-b773-45b0-af62-8fbca05246ff">2017-08-22T21:00:00+00:00</SDDocDate>
    <SDExternalEntityConnected xmlns="995d9520-b773-45b0-af62-8fbca05246ff" xsi:nil="true"/>
    <SDHebDate xmlns="995d9520-b773-45b0-af62-8fbca05246ff">א' באלול, התשע"ז</SDHebDate>
    <SDLastSigningDate xmlns="995d9520-b773-45b0-af62-8fbca05246ff" xsi:nil="true"/>
    <AutoNumber xmlns="995d9520-b773-45b0-af62-8fbca05246ff">00364817</AutoNumber>
    <SDOriginalID xmlns="995d9520-b773-45b0-af62-8fbca05246ff" xsi:nil="true"/>
    <SDAsmachta xmlns="995d9520-b773-45b0-af62-8fbca05246ff">001-001761-2017</SDAsmachta>
    <SDSignersLogins xmlns="995d9520-b773-45b0-af62-8fbca05246ff" xsi:nil="true"/>
    <SDAuthor xmlns="995d9520-b773-45b0-af62-8fbca05246ff">נטלי אהרון</SDAuthor>
    <SDDocumentSource xmlns="995d9520-b773-45b0-af62-8fbca05246ff">OfficeAddIn</SDDocumentSource>
  </documentManagement>
</p:properties>
</file>

<file path=customXml/item3.xml><?xml version="1.0" encoding="utf-8"?>
<ct:contentTypeSchema xmlns:ct="http://schemas.microsoft.com/office/2006/metadata/contentType" xmlns:ma="http://schemas.microsoft.com/office/2006/metadata/properties/metaAttributes" ct:_="" ma:_="" ma:contentTypeName="דואר יוצא" ma:contentTypeID="0x0101008C55B00028322E4F854B3B81C414FC4305007E0C9B40CC55A74797F79D5EBDCFE9EF" ma:contentTypeVersion="20" ma:contentTypeDescription="צור מסמך חדש." ma:contentTypeScope="" ma:versionID="d886d1f94a0e57b27f1fba3a4ebb3034">
  <xsd:schema xmlns:xsd="http://www.w3.org/2001/XMLSchema" xmlns:xs="http://www.w3.org/2001/XMLSchema" xmlns:p="http://schemas.microsoft.com/office/2006/metadata/properties" xmlns:ns1="995d9520-b773-45b0-af62-8fbca05246ff" targetNamespace="http://schemas.microsoft.com/office/2006/metadata/properties" ma:root="true" ma:fieldsID="6a51b1a05a5ec752825fe43c1934a98b" ns1:_="">
    <xsd:import namespace="995d9520-b773-45b0-af62-8fbca05246ff"/>
    <xsd:element name="properties">
      <xsd:complexType>
        <xsd:sequence>
          <xsd:element name="documentManagement">
            <xsd:complexType>
              <xsd:all>
                <xsd:element ref="ns1:AutoNumber" minOccurs="0"/>
                <xsd:element ref="ns1:SDCategories" minOccurs="0"/>
                <xsd:element ref="ns1:SDCategoryID" minOccurs="0"/>
                <xsd:element ref="ns1:SDAuthor" minOccurs="0"/>
                <xsd:element ref="ns1:SDDocDate" minOccurs="0"/>
                <xsd:element ref="ns1:SDHebDate" minOccurs="0"/>
                <xsd:element ref="ns1:SDOriginalID" minOccurs="0"/>
                <xsd:element ref="ns1:SDOfflineTo" minOccurs="0"/>
                <xsd:element ref="ns1:SDAsmachta" minOccurs="0"/>
                <xsd:element ref="ns1:SDImportance" minOccurs="0"/>
                <xsd:element ref="ns1:SDDocumentSource" minOccurs="0"/>
                <xsd:element ref="ns1:SDExternalEntityConnected" minOccurs="0"/>
                <xsd:element ref="ns1:SDLastSigningDate" minOccurs="0"/>
                <xsd:element ref="ns1:SDNumOfSignatures" minOccurs="0"/>
                <xsd:element ref="ns1:SDSignersLogi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5d9520-b773-45b0-af62-8fbca05246ff" elementFormDefault="qualified">
    <xsd:import namespace="http://schemas.microsoft.com/office/2006/documentManagement/types"/>
    <xsd:import namespace="http://schemas.microsoft.com/office/infopath/2007/PartnerControls"/>
    <xsd:element name="AutoNumber" ma:index="0" nillable="true" ma:displayName="סימוכין" ma:indexed="true" ma:internalName="AutoNumber">
      <xsd:simpleType>
        <xsd:restriction base="dms:Text"/>
      </xsd:simpleType>
    </xsd:element>
    <xsd:element name="SDCategories" ma:index="1" nillable="true" ma:displayName="נושאים" ma:internalName="SDCategories">
      <xsd:simpleType>
        <xsd:restriction base="dms:Note">
          <xsd:maxLength value="255"/>
        </xsd:restriction>
      </xsd:simpleType>
    </xsd:element>
    <xsd:element name="SDCategoryID" ma:index="2" nillable="true" ma:displayName="מזהה נושא" ma:indexed="true" ma:internalName="SDCategoryID">
      <xsd:simpleType>
        <xsd:restriction base="dms:Text"/>
      </xsd:simpleType>
    </xsd:element>
    <xsd:element name="SDAuthor" ma:index="3" nillable="true" ma:displayName="מחבר" ma:indexed="true" ma:internalName="SDAuthor">
      <xsd:simpleType>
        <xsd:restriction base="dms:Text"/>
      </xsd:simpleType>
    </xsd:element>
    <xsd:element name="SDDocDate" ma:index="4" nillable="true" ma:displayName="תאריך המסמך" ma:indexed="true" ma:internalName="SDDocDate">
      <xsd:simpleType>
        <xsd:restriction base="dms:DateTime"/>
      </xsd:simpleType>
    </xsd:element>
    <xsd:element name="SDHebDate" ma:index="5" nillable="true" ma:displayName="תאריך עברי" ma:internalName="SDHebDate">
      <xsd:simpleType>
        <xsd:restriction base="dms:Text"/>
      </xsd:simpleType>
    </xsd:element>
    <xsd:element name="SDOriginalID" ma:index="6" nillable="true" ma:displayName="סימוכין מקורי" ma:internalName="SDOriginalID">
      <xsd:simpleType>
        <xsd:restriction base="dms:Text"/>
      </xsd:simpleType>
    </xsd:element>
    <xsd:element name="SDOfflineTo" ma:index="7" nillable="true" ma:displayName="הוצא אל" ma:internalName="SDOfflineTo">
      <xsd:simpleType>
        <xsd:restriction base="dms:Text"/>
      </xsd:simpleType>
    </xsd:element>
    <xsd:element name="SDAsmachta" ma:index="8" nillable="true" ma:displayName="אסמכתא" ma:internalName="SDAsmachta">
      <xsd:simpleType>
        <xsd:restriction base="dms:Text"/>
      </xsd:simpleType>
    </xsd:element>
    <xsd:element name="SDImportance" ma:index="9" nillable="true" ma:displayName="חשיבות" ma:internalName="SDImportance">
      <xsd:simpleType>
        <xsd:restriction base="dms:Number"/>
      </xsd:simpleType>
    </xsd:element>
    <xsd:element name="SDDocumentSource" ma:index="10" nillable="true" ma:displayName="SDDocumentSource" ma:internalName="SDDocumentSource">
      <xsd:simpleType>
        <xsd:restriction base="dms:Choice">
          <xsd:enumeration value="SDFileUpload"/>
          <xsd:enumeration value="SDNewFile"/>
          <xsd:enumeration value="SDMultiFilesUpload"/>
          <xsd:enumeration value="OutlookExtender"/>
          <xsd:enumeration value="SDMigration"/>
          <xsd:enumeration value="OfficeAddIn"/>
          <xsd:enumeration value="ArchiveScan"/>
          <xsd:enumeration value="PCDocs"/>
          <xsd:enumeration value="PST"/>
          <xsd:enumeration value="D2K"/>
          <xsd:enumeration value="Menahel"/>
          <xsd:enumeration value="ShipmentLoader"/>
          <xsd:enumeration value="PoliceOffices"/>
          <xsd:enumeration value="AGATForms"/>
          <xsd:enumeration value="SDK"/>
          <xsd:enumeration value="Other"/>
        </xsd:restriction>
      </xsd:simpleType>
    </xsd:element>
    <xsd:element name="SDExternalEntityConnected" ma:index="11" nillable="true" ma:displayName="מקושר לאפליקציה חיצונית" ma:internalName="SDExternalEntityConnected">
      <xsd:simpleType>
        <xsd:restriction base="dms:Boolean"/>
      </xsd:simpleType>
    </xsd:element>
    <xsd:element name="SDLastSigningDate" ma:index="12" nillable="true" ma:displayName="תאריך חתימה אחרון " ma:internalName="SDLastSigningDate">
      <xsd:simpleType>
        <xsd:restriction base="dms:DateTime"/>
      </xsd:simpleType>
    </xsd:element>
    <xsd:element name="SDNumOfSignatures" ma:index="13" nillable="true" ma:displayName="מספר חתימות" ma:internalName="SDNumOfSignatures">
      <xsd:simpleType>
        <xsd:restriction base="dms:Number"/>
      </xsd:simpleType>
    </xsd:element>
    <xsd:element name="SDSignersLogins" ma:index="14" nillable="true" ma:displayName="חותם המסמך" ma:internalName="SDSignersLogin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xsd:element ref="dc:title" minOccurs="0" maxOccurs="1"/>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D32CDD-922D-4FE3-8D13-F43F71E5A6B8}">
  <ds:schemaRefs>
    <ds:schemaRef ds:uri="http://schemas.microsoft.com/office/2006/metadata/longProperties"/>
  </ds:schemaRefs>
</ds:datastoreItem>
</file>

<file path=customXml/itemProps2.xml><?xml version="1.0" encoding="utf-8"?>
<ds:datastoreItem xmlns:ds="http://schemas.openxmlformats.org/officeDocument/2006/customXml" ds:itemID="{F30FF10D-4A68-4C50-925E-EE4F9255DA0F}">
  <ds:schemaRefs>
    <ds:schemaRef ds:uri="http://purl.org/dc/dcmitype/"/>
    <ds:schemaRef ds:uri="http://purl.org/dc/elements/1.1/"/>
    <ds:schemaRef ds:uri="http://www.w3.org/XML/1998/namespace"/>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995d9520-b773-45b0-af62-8fbca05246ff"/>
    <ds:schemaRef ds:uri="http://purl.org/dc/terms/"/>
  </ds:schemaRefs>
</ds:datastoreItem>
</file>

<file path=customXml/itemProps3.xml><?xml version="1.0" encoding="utf-8"?>
<ds:datastoreItem xmlns:ds="http://schemas.openxmlformats.org/officeDocument/2006/customXml" ds:itemID="{441DE879-EC4A-483A-BC69-4CFB178C14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5d9520-b773-45b0-af62-8fbca05246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E2A9901-2585-4DC8-A1ED-D1224487491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6</vt:i4>
      </vt:variant>
      <vt:variant>
        <vt:lpstr>טווחים בעלי שם</vt:lpstr>
      </vt:variant>
      <vt:variant>
        <vt:i4>3</vt:i4>
      </vt:variant>
    </vt:vector>
  </HeadingPairs>
  <TitlesOfParts>
    <vt:vector size="9" baseType="lpstr">
      <vt:lpstr>מורים תיכוניים</vt:lpstr>
      <vt:lpstr>מות מקור</vt:lpstr>
      <vt:lpstr>מות הלכתי</vt:lpstr>
      <vt:lpstr>מות מקור הלכתי</vt:lpstr>
      <vt:lpstr>מות אשראי ואגח</vt:lpstr>
      <vt:lpstr>מות מקור אשראי ואגח</vt:lpstr>
      <vt:lpstr>'מורים תיכוניים'!WPrint_Area_W</vt:lpstr>
      <vt:lpstr>'מות הלכתי'!WPrint_Area_W</vt:lpstr>
      <vt:lpstr>'מות מקור הלכתי'!WPrint_Area_W</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צפויה תשפה</dc:title>
  <dc:creator>Administrator</dc:creator>
  <cp:lastModifiedBy>Oded Manger</cp:lastModifiedBy>
  <cp:lastPrinted>2020-10-26T15:23:34Z</cp:lastPrinted>
  <dcterms:created xsi:type="dcterms:W3CDTF">2009-10-08T13:48:00Z</dcterms:created>
  <dcterms:modified xsi:type="dcterms:W3CDTF">2025-12-09T08:17:49Z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0x0101008C55B00028322E4F854B3B81C414FC4305007E0C9B40CC55A74797F79D5EBDCFE9EF</vt:lpwstr>
  </property>
</Properties>
</file>