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מדיניות השקעות צפויה תשפה\מדיניות השקעה לפירסום באינטרנט\קבצים מונגשים\מות\"/>
    </mc:Choice>
  </mc:AlternateContent>
  <xr:revisionPtr revIDLastSave="0" documentId="8_{56119EA3-8DC3-40DD-B71E-5E9ACFEB3AE4}" xr6:coauthVersionLast="47" xr6:coauthVersionMax="47" xr10:uidLastSave="{00000000-0000-0000-0000-000000000000}"/>
  <bookViews>
    <workbookView xWindow="-120" yWindow="-120" windowWidth="29040" windowHeight="15840" xr2:uid="{C7D06AA0-CC0E-4D01-A614-17710DA795DF}"/>
  </bookViews>
  <sheets>
    <sheet name="מורים תיכוניים" sheetId="1" r:id="rId1"/>
  </sheets>
  <definedNames>
    <definedName name="_xlnm.Print_Area" localSheetId="0">'מורים תיכוניים'!$A$1:$H$23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M13" i="1" s="1"/>
  <c r="K9" i="1"/>
  <c r="F8" i="1"/>
  <c r="C8" i="1"/>
  <c r="B8" i="1"/>
  <c r="J6" i="1"/>
</calcChain>
</file>

<file path=xl/sharedStrings.xml><?xml version="1.0" encoding="utf-8"?>
<sst xmlns="http://schemas.openxmlformats.org/spreadsheetml/2006/main" count="67" uniqueCount="44">
  <si>
    <t>קרן השתלמות למורים תיכונים, מורי סמינרים ומפקחים- מסלול רגיל-מסלול כללי - מדיניות צפויה תשפ"ה - אוגוסט 2024</t>
  </si>
  <si>
    <t>אפיק השקעה</t>
  </si>
  <si>
    <t>שיעור החשיפה לתאריך 18/08/2024</t>
  </si>
  <si>
    <t>שיעור חשיפה  לשנת תשפ"ד</t>
  </si>
  <si>
    <t>טווח סטייה</t>
  </si>
  <si>
    <t>גבולות שיעור החשיפה הצפויה לשנת תשפ"ד</t>
  </si>
  <si>
    <t>שיעור חשיפה לשנת תשפ"ה</t>
  </si>
  <si>
    <t>גבולות שיעור החשיפה הצפויה  לשנת תשפ"ה</t>
  </si>
  <si>
    <t>מדד ייחוס  לשנת תשפ"ה</t>
  </si>
  <si>
    <t>מניות סחירות</t>
  </si>
  <si>
    <t>6% +/-</t>
  </si>
  <si>
    <t>38%-50%</t>
  </si>
  <si>
    <t>ת"א 125- 25%
MSCI ALL COUNTRIES  -75%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</si>
  <si>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</si>
  <si>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</si>
  <si>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</si>
  <si>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</si>
  <si>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</si>
  <si>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</si>
  <si>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</si>
  <si>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</si>
  <si>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</si>
  <si>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</si>
  <si>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</si>
  <si>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</si>
  <si>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</si>
  <si>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</si>
  <si>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</si>
  <si>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</si>
  <si>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15%-27%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</si>
  <si>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</si>
  <si>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</si>
  <si>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</si>
  <si>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</si>
  <si>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</si>
  <si>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</si>
  <si>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</si>
  <si>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</si>
  <si>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</si>
  <si>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</si>
  <si>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</si>
  <si>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</si>
  <si>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26.08.2023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</si>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</sst>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sz val="12"/>
      <color theme="0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6" xfId="0" applyFont="1" applyBorder="1"/>
    <xf numFmtId="10" fontId="2" fillId="0" borderId="6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/>
    <xf numFmtId="9" fontId="2" fillId="0" borderId="6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10" fontId="3" fillId="0" borderId="6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wrapText="1" readingOrder="2"/>
    </xf>
    <xf numFmtId="0" fontId="14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ACD2B1B7-56A8-4DB5-876B-6C6BD04F6B19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4B8DA-23A9-4F18-BDB8-EFC7A4D8A59D}" name="טבלה1" displayName="טבלה1" ref="A2:H9" totalsRowShown="0" headerRowDxfId="11" dataDxfId="10" headerRowBorderDxfId="8" tableBorderDxfId="9">
  <tableColumns count="8">
    <tableColumn id="1" xr3:uid="{B4332A29-10DC-489E-A5C0-1B295C91BB42}" name="אפיק השקעה" dataDxfId="7"/>
    <tableColumn id="2" xr3:uid="{ECDC77A7-CEFB-4EB3-9D14-B75CCF2358E2}" name="שיעור החשיפה לתאריך 18/08/2024" dataDxfId="6"/>
    <tableColumn id="3" xr3:uid="{BCE97E30-EBBA-460F-8C2B-88479FAE8EFC}" name="שיעור חשיפה  לשנת תשפ&quot;ד" dataDxfId="5"/>
    <tableColumn id="4" xr3:uid="{98752DCC-3133-4BEB-B9BF-C99A8A867107}" name="טווח סטייה" dataDxfId="4"/>
    <tableColumn id="5" xr3:uid="{52F667A7-D4C1-4332-B9F7-BC7C0746129B}" name="גבולות שיעור החשיפה הצפויה לשנת תשפ&quot;ד" dataDxfId="3"/>
    <tableColumn id="6" xr3:uid="{1A83B337-18E2-4731-A793-57651D31FB43}" name="שיעור חשיפה לשנת תשפ&quot;ה" dataDxfId="2"/>
    <tableColumn id="7" xr3:uid="{CAE096BA-66F7-4C52-8660-5EFC31ED6B11}" name="גבולות שיעור החשיפה הצפויה  לשנת תשפ&quot;ה" dataDxfId="1"/>
    <tableColumn id="8" xr3:uid="{B24F7450-1013-4BAA-BC29-CC578563AFAD}" name="מדד ייחוס  לשנת תשפ&quot;ה" dataDxfId="0"/>
  </tableColumns>
  <tableStyleInfo name="TableStyleLight1" showFirstColumn="0" showLastColumn="0" showRowStripes="0" showColumnStripes="0"/>
  <extLst>
    <ext xmlns:x14="http://schemas.microsoft.com/office/spreadsheetml/2009/9/main" uri="{504A1905-F514-4f6f-8877-14C23A59335A}">
      <x14:table altText="טבלה 1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6852-5E93-440B-BA7C-AE5000F7F419}">
  <sheetPr>
    <pageSetUpPr fitToPage="1"/>
  </sheetPr>
  <dimension ref="A1:M23"/>
  <sheetViews>
    <sheetView rightToLeft="1" tabSelected="1" view="pageBreakPreview" zoomScaleNormal="100" zoomScaleSheetLayoutView="100" workbookViewId="0">
      <selection activeCell="D7" sqref="D7"/>
    </sheetView>
  </sheetViews>
  <sheetFormatPr defaultRowHeight="15" x14ac:dyDescent="0.2"/>
  <cols>
    <col min="1" max="1" width="35.42578125" style="3" customWidth="1"/>
    <col min="2" max="2" width="27.7109375" style="3" customWidth="1"/>
    <col min="3" max="3" width="20.28515625" style="3" customWidth="1"/>
    <col min="4" max="4" width="13" style="3" customWidth="1"/>
    <col min="5" max="5" width="25.42578125" style="3" customWidth="1"/>
    <col min="6" max="6" width="21.42578125" style="3" customWidth="1"/>
    <col min="7" max="7" width="26.140625" style="3" customWidth="1"/>
    <col min="8" max="8" width="27.5703125" style="3" customWidth="1"/>
    <col min="9" max="9" width="9.140625" style="3"/>
    <col min="10" max="13" width="0" style="3" hidden="1" customWidth="1"/>
    <col min="14" max="16384" width="9.140625" style="3"/>
  </cols>
  <sheetData>
    <row r="1" spans="1:13" ht="27.7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13" ht="41.25" customHeight="1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  <c r="K2" s="3">
        <v>0.28999999999999998</v>
      </c>
    </row>
    <row r="3" spans="1:13" ht="56.25" customHeight="1" x14ac:dyDescent="0.2">
      <c r="A3" s="8" t="s">
        <v>9</v>
      </c>
      <c r="B3" s="9">
        <v>0.46800000000000003</v>
      </c>
      <c r="C3" s="10">
        <v>0.44</v>
      </c>
      <c r="D3" s="11" t="s">
        <v>10</v>
      </c>
      <c r="E3" s="11" t="s">
        <v>11</v>
      </c>
      <c r="F3" s="12">
        <v>0.44</v>
      </c>
      <c r="G3" s="13" t="s">
        <v>11</v>
      </c>
      <c r="H3" s="14" t="s">
        <v>12</v>
      </c>
      <c r="J3" s="3">
        <v>7.52</v>
      </c>
      <c r="K3" s="3">
        <v>35.53</v>
      </c>
    </row>
    <row r="4" spans="1:13" ht="48.75" customHeight="1" x14ac:dyDescent="0.2">
      <c r="A4" s="8" t="s">
        <v>13</v>
      </c>
      <c r="B4" s="9">
        <v>0.1217</v>
      </c>
      <c r="C4" s="10">
        <v>0.15</v>
      </c>
      <c r="D4" s="11" t="s">
        <v>14</v>
      </c>
      <c r="E4" s="11" t="s">
        <v>15</v>
      </c>
      <c r="F4" s="12">
        <v>0.15</v>
      </c>
      <c r="G4" s="13" t="s">
        <v>15</v>
      </c>
      <c r="H4" s="14" t="s">
        <v>16</v>
      </c>
      <c r="J4" s="3">
        <v>6.06</v>
      </c>
      <c r="K4" s="3">
        <v>22.02</v>
      </c>
    </row>
    <row r="5" spans="1:13" ht="90" x14ac:dyDescent="0.2">
      <c r="A5" s="8" t="s">
        <v>17</v>
      </c>
      <c r="B5" s="9">
        <v>0.17180000000000001</v>
      </c>
      <c r="C5" s="10">
        <v>0.2</v>
      </c>
      <c r="D5" s="11" t="s">
        <v>10</v>
      </c>
      <c r="E5" s="11" t="s">
        <v>18</v>
      </c>
      <c r="F5" s="12">
        <v>0.2</v>
      </c>
      <c r="G5" s="13" t="s">
        <v>18</v>
      </c>
      <c r="H5" s="15" t="s">
        <v>19</v>
      </c>
      <c r="K5" s="3">
        <v>24.55</v>
      </c>
    </row>
    <row r="6" spans="1:13" ht="60" x14ac:dyDescent="0.2">
      <c r="A6" s="16" t="s">
        <v>20</v>
      </c>
      <c r="B6" s="9">
        <v>0.22309999999999999</v>
      </c>
      <c r="C6" s="10">
        <v>0.22</v>
      </c>
      <c r="D6" s="11" t="s">
        <v>14</v>
      </c>
      <c r="E6" s="11" t="s">
        <v>21</v>
      </c>
      <c r="F6" s="12">
        <v>0.22</v>
      </c>
      <c r="G6" s="13" t="s">
        <v>21</v>
      </c>
      <c r="H6" s="17" t="s">
        <v>22</v>
      </c>
      <c r="J6" s="3">
        <f>SUM(J3:J5)</f>
        <v>13.579999999999998</v>
      </c>
      <c r="K6" s="3">
        <v>4.87</v>
      </c>
    </row>
    <row r="7" spans="1:13" s="21" customFormat="1" ht="41.25" customHeight="1" x14ac:dyDescent="0.25">
      <c r="A7" s="8" t="s">
        <v>23</v>
      </c>
      <c r="B7" s="9">
        <v>6.7500000000000004E-2</v>
      </c>
      <c r="C7" s="18">
        <v>0.05</v>
      </c>
      <c r="D7" s="11" t="s">
        <v>14</v>
      </c>
      <c r="E7" s="11" t="s">
        <v>24</v>
      </c>
      <c r="F7" s="19">
        <v>0.05</v>
      </c>
      <c r="G7" s="13" t="s">
        <v>24</v>
      </c>
      <c r="H7" s="20" t="s">
        <v>25</v>
      </c>
      <c r="K7" s="21">
        <v>7.52</v>
      </c>
    </row>
    <row r="8" spans="1:13" ht="39" customHeight="1" x14ac:dyDescent="0.2">
      <c r="A8" s="8" t="s">
        <v>26</v>
      </c>
      <c r="B8" s="19">
        <f>SUM(B3:B7)</f>
        <v>1.0521</v>
      </c>
      <c r="C8" s="22">
        <f>SUM(C3:C7)</f>
        <v>1.06</v>
      </c>
      <c r="D8" s="17" t="s">
        <v>22</v>
      </c>
      <c r="E8" s="17" t="s">
        <v>22</v>
      </c>
      <c r="F8" s="19">
        <f>SUM(F3:F7)</f>
        <v>1.06</v>
      </c>
      <c r="G8" s="17" t="s">
        <v>22</v>
      </c>
      <c r="H8" s="17" t="s">
        <v>22</v>
      </c>
      <c r="K8" s="3">
        <v>5.21</v>
      </c>
    </row>
    <row r="9" spans="1:13" ht="36.75" customHeight="1" x14ac:dyDescent="0.2">
      <c r="A9" s="11" t="s">
        <v>27</v>
      </c>
      <c r="B9" s="19">
        <v>0.23039999999999999</v>
      </c>
      <c r="C9" s="18">
        <v>0.19</v>
      </c>
      <c r="D9" s="11" t="s">
        <v>10</v>
      </c>
      <c r="E9" s="11" t="s">
        <v>28</v>
      </c>
      <c r="F9" s="23">
        <v>0.21</v>
      </c>
      <c r="G9" s="13" t="s">
        <v>29</v>
      </c>
      <c r="H9" s="17" t="s">
        <v>22</v>
      </c>
      <c r="K9" s="3">
        <f>SUM(K2:K8)</f>
        <v>99.99</v>
      </c>
    </row>
    <row r="10" spans="1:13" ht="24" customHeight="1" x14ac:dyDescent="0.25">
      <c r="A10" s="24" t="s">
        <v>30</v>
      </c>
      <c r="B10" s="17" t="s">
        <v>22</v>
      </c>
      <c r="C10" s="17" t="s">
        <v>22</v>
      </c>
      <c r="D10" s="17" t="s">
        <v>22</v>
      </c>
      <c r="E10" s="17" t="s">
        <v>22</v>
      </c>
      <c r="F10" s="25">
        <v>4.0000000000000001E-3</v>
      </c>
      <c r="G10" s="17" t="s">
        <v>22</v>
      </c>
      <c r="H10" s="17" t="s">
        <v>22</v>
      </c>
      <c r="I10" s="21"/>
    </row>
    <row r="11" spans="1:13" ht="25.5" customHeight="1" x14ac:dyDescent="0.25">
      <c r="A11" s="3" t="s">
        <v>31</v>
      </c>
      <c r="C11" s="26" t="s">
        <v>22</v>
      </c>
      <c r="K11" s="3">
        <v>0.95</v>
      </c>
    </row>
    <row r="12" spans="1:13" ht="15.75" x14ac:dyDescent="0.25">
      <c r="A12" s="27" t="s">
        <v>32</v>
      </c>
      <c r="B12" s="27"/>
      <c r="C12" s="26" t="s">
        <v>22</v>
      </c>
      <c r="D12" s="27"/>
    </row>
    <row r="13" spans="1:13" ht="15.75" x14ac:dyDescent="0.25">
      <c r="A13" s="27" t="s">
        <v>33</v>
      </c>
      <c r="B13" s="27"/>
      <c r="C13" s="26" t="s">
        <v>22</v>
      </c>
      <c r="D13" s="27"/>
      <c r="K13" s="3">
        <f>K9-K11</f>
        <v>99.039999999999992</v>
      </c>
      <c r="L13" s="3">
        <v>98.47</v>
      </c>
      <c r="M13" s="3">
        <f>K13-L13</f>
        <v>0.56999999999999318</v>
      </c>
    </row>
    <row r="14" spans="1:13" ht="44.25" customHeight="1" x14ac:dyDescent="0.2">
      <c r="A14" s="28" t="s">
        <v>34</v>
      </c>
      <c r="B14" s="29"/>
      <c r="C14" s="29"/>
      <c r="D14" s="29"/>
      <c r="E14" s="29"/>
      <c r="F14" s="29"/>
      <c r="G14" s="29"/>
      <c r="H14" s="29"/>
    </row>
    <row r="15" spans="1:13" ht="15.75" x14ac:dyDescent="0.2">
      <c r="A15" s="30" t="s">
        <v>35</v>
      </c>
    </row>
    <row r="16" spans="1:13" ht="15.75" x14ac:dyDescent="0.2">
      <c r="A16" s="31" t="s">
        <v>36</v>
      </c>
    </row>
    <row r="17" spans="1:8" ht="15.75" x14ac:dyDescent="0.2">
      <c r="A17" s="32" t="s">
        <v>37</v>
      </c>
    </row>
    <row r="18" spans="1:8" ht="36.75" customHeight="1" x14ac:dyDescent="0.2">
      <c r="A18" s="33" t="s">
        <v>38</v>
      </c>
      <c r="B18" s="29"/>
      <c r="C18" s="29"/>
      <c r="D18" s="29"/>
      <c r="E18" s="29"/>
      <c r="F18" s="29"/>
      <c r="G18" s="29"/>
      <c r="H18" s="29"/>
    </row>
    <row r="19" spans="1:8" ht="30.75" customHeight="1" x14ac:dyDescent="0.2">
      <c r="A19" s="34" t="s">
        <v>39</v>
      </c>
      <c r="B19" s="29"/>
      <c r="C19" s="29"/>
      <c r="D19" s="29"/>
      <c r="E19" s="29"/>
      <c r="F19" s="29"/>
      <c r="G19" s="29"/>
      <c r="H19" s="29"/>
    </row>
    <row r="20" spans="1:8" ht="31.5" customHeight="1" x14ac:dyDescent="0.2">
      <c r="A20" s="34" t="s">
        <v>40</v>
      </c>
      <c r="B20" s="29"/>
      <c r="C20" s="29"/>
      <c r="D20" s="29"/>
      <c r="E20" s="29"/>
      <c r="F20" s="29"/>
      <c r="G20" s="29"/>
      <c r="H20" s="29"/>
    </row>
    <row r="21" spans="1:8" ht="20.25" customHeight="1" x14ac:dyDescent="0.2">
      <c r="A21" s="32" t="s">
        <v>41</v>
      </c>
    </row>
    <row r="22" spans="1:8" ht="20.25" customHeight="1" x14ac:dyDescent="0.25">
      <c r="A22" s="21" t="s">
        <v>42</v>
      </c>
    </row>
    <row r="23" spans="1:8" ht="26.25" customHeight="1" x14ac:dyDescent="0.25">
      <c r="A23" s="35" t="s">
        <v>43</v>
      </c>
      <c r="B23" s="35"/>
      <c r="C23" s="35"/>
      <c r="D23" s="35"/>
      <c r="E23" s="35"/>
      <c r="F23" s="35"/>
      <c r="G23" s="35"/>
      <c r="H23" s="35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מורים תיכוניים</vt:lpstr>
      <vt:lpstr>'מורים תיכוניים'!WPrint_Area_W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2024-09-08T13:19:11Z</dcterms:created>
  <dcterms:modified xsi:type="dcterms:W3CDTF">2024-09-08T13:19:38Z</dcterms:modified>
</cp:coreProperties>
</file>