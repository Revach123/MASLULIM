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8F513943-163C-4573-9B73-0CBAD79DE394}" xr6:coauthVersionLast="47" xr6:coauthVersionMax="47" xr10:uidLastSave="{00000000-0000-0000-0000-000000000000}"/>
  <bookViews>
    <workbookView xWindow="-120" yWindow="-120" windowWidth="15600" windowHeight="11160" xr2:uid="{297C3D2E-22FA-4824-AC45-CA445BF993AD}"/>
  </bookViews>
  <sheets>
    <sheet name="מורים וגננות " sheetId="1" r:id="rId1"/>
  </sheets>
  <definedNames>
    <definedName name="WinZmBookmark_zDCB88" localSheetId="0">'מורים וגננות '!$D$5</definedName>
    <definedName name="WinZmBookmarkEnd" localSheetId="0">'מורים וגננות '!$D$27</definedName>
    <definedName name="_xlnm.Print_Area" localSheetId="0">'מורים וגננות '!$A$1:$J$24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6" i="1" s="1"/>
  <c r="O16" i="1" s="1"/>
  <c r="G10" i="1"/>
  <c r="D10" i="1"/>
  <c r="C10" i="1"/>
  <c r="L8" i="1"/>
</calcChain>
</file>

<file path=xl/sharedStrings.xml><?xml version="1.0" encoding="utf-8"?>
<sst xmlns="http://schemas.openxmlformats.org/spreadsheetml/2006/main" count="59" uniqueCount="48">
  <si>
    <t>קרן השתלמות למורים וגננות - מדיניות צפויה תשפ"ג - עדכון דצמבר 2022</t>
  </si>
  <si>
    <t>אפיק השקעה</t>
  </si>
  <si>
    <t>שיעור החשיפה לתאריך 11/12/2022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</si>
  <si>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</si>
  <si>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</si>
  <si>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</si>
  <si>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</si>
  <si>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</si>
  <si>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</si>
  <si>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</si>
  <si>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 סחירות</t>
  </si>
  <si>
    <t>6% +/-</t>
  </si>
  <si>
    <t>40%-52%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</si>
  <si>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</si>
  <si>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</si>
  <si>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</si>
  <si>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</si>
  <si>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</si>
  <si>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</si>
  <si>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</si>
  <si>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</si>
  <si>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</si>
  <si>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</si>
  <si>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</si>
  <si>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</si>
  <si>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16%-26%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</si>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</sst>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2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4" fontId="2" fillId="0" borderId="0" xfId="0" applyNumberFormat="1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89C398FB-3C18-43FB-84F8-F05503DED1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6929-AF28-4553-8DE1-E6315F256D37}">
  <sheetPr>
    <pageSetUpPr fitToPage="1"/>
  </sheetPr>
  <dimension ref="A2:Q30"/>
  <sheetViews>
    <sheetView rightToLeft="1" tabSelected="1" topLeftCell="B1" zoomScaleNormal="100" workbookViewId="0">
      <selection activeCell="A12" sqref="A12:XFD12"/>
    </sheetView>
  </sheetViews>
  <sheetFormatPr defaultRowHeight="12.75" x14ac:dyDescent="0.2"/>
  <cols>
    <col min="2" max="2" width="38.28515625" customWidth="1"/>
    <col min="3" max="5" width="23.85546875" customWidth="1"/>
    <col min="6" max="6" width="19.28515625" customWidth="1"/>
    <col min="7" max="8" width="24.140625" customWidth="1"/>
    <col min="9" max="9" width="29.42578125" customWidth="1"/>
    <col min="10" max="10" width="28.5703125" customWidth="1"/>
    <col min="12" max="15" width="0" hidden="1" customWidth="1"/>
  </cols>
  <sheetData>
    <row r="2" spans="1:17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7" ht="41.25" customHeight="1" x14ac:dyDescent="0.2"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3" t="s">
        <v>6</v>
      </c>
      <c r="H4" s="3" t="s">
        <v>7</v>
      </c>
      <c r="I4" s="6" t="s">
        <v>8</v>
      </c>
      <c r="J4" s="7" t="s">
        <v>9</v>
      </c>
      <c r="M4">
        <v>0.28999999999999998</v>
      </c>
    </row>
    <row r="5" spans="1:17" ht="56.25" customHeight="1" x14ac:dyDescent="0.2">
      <c r="B5" s="2" t="s">
        <v>10</v>
      </c>
      <c r="C5" s="8">
        <v>0.44940000000000002</v>
      </c>
      <c r="D5" s="9">
        <v>0.46</v>
      </c>
      <c r="E5" s="2" t="s">
        <v>11</v>
      </c>
      <c r="F5" s="10" t="s">
        <v>12</v>
      </c>
      <c r="G5" s="11">
        <v>0.44</v>
      </c>
      <c r="H5" s="7" t="s">
        <v>13</v>
      </c>
      <c r="I5" s="12" t="s">
        <v>14</v>
      </c>
      <c r="J5" s="12" t="s">
        <v>14</v>
      </c>
      <c r="K5" s="13"/>
      <c r="L5">
        <v>7.52</v>
      </c>
      <c r="M5">
        <v>35.53</v>
      </c>
    </row>
    <row r="6" spans="1:17" ht="48.75" customHeight="1" x14ac:dyDescent="0.2">
      <c r="B6" s="2" t="s">
        <v>15</v>
      </c>
      <c r="C6" s="8">
        <v>0.13789999999999999</v>
      </c>
      <c r="D6" s="9">
        <v>0.15</v>
      </c>
      <c r="E6" s="2" t="s">
        <v>16</v>
      </c>
      <c r="F6" s="10" t="s">
        <v>17</v>
      </c>
      <c r="G6" s="9">
        <v>0.15</v>
      </c>
      <c r="H6" s="10" t="s">
        <v>17</v>
      </c>
      <c r="I6" s="12" t="s">
        <v>18</v>
      </c>
      <c r="J6" s="12" t="s">
        <v>19</v>
      </c>
      <c r="L6">
        <v>6.06</v>
      </c>
      <c r="M6">
        <v>22.02</v>
      </c>
    </row>
    <row r="7" spans="1:17" ht="51" x14ac:dyDescent="0.2">
      <c r="B7" s="2" t="s">
        <v>20</v>
      </c>
      <c r="C7" s="8">
        <v>0.2097</v>
      </c>
      <c r="D7" s="9">
        <v>0.2</v>
      </c>
      <c r="E7" s="2" t="s">
        <v>11</v>
      </c>
      <c r="F7" s="10" t="s">
        <v>21</v>
      </c>
      <c r="G7" s="9">
        <v>0.2</v>
      </c>
      <c r="H7" s="10" t="s">
        <v>21</v>
      </c>
      <c r="I7" s="14" t="s">
        <v>22</v>
      </c>
      <c r="J7" s="14" t="s">
        <v>22</v>
      </c>
      <c r="M7">
        <v>24.55</v>
      </c>
    </row>
    <row r="8" spans="1:17" ht="51" x14ac:dyDescent="0.2">
      <c r="B8" s="12" t="s">
        <v>23</v>
      </c>
      <c r="C8" s="8">
        <v>0.17710000000000001</v>
      </c>
      <c r="D8" s="15">
        <v>0.19</v>
      </c>
      <c r="E8" s="2" t="s">
        <v>16</v>
      </c>
      <c r="F8" s="10" t="s">
        <v>24</v>
      </c>
      <c r="G8" s="16">
        <v>0.21</v>
      </c>
      <c r="H8" s="7" t="s">
        <v>25</v>
      </c>
      <c r="I8" s="17"/>
      <c r="J8" s="17"/>
      <c r="L8">
        <f>SUM(L5:L7)</f>
        <v>13.579999999999998</v>
      </c>
      <c r="M8">
        <v>4.87</v>
      </c>
    </row>
    <row r="9" spans="1:17" s="18" customFormat="1" ht="41.25" customHeight="1" x14ac:dyDescent="0.2">
      <c r="B9" s="2" t="s">
        <v>26</v>
      </c>
      <c r="C9" s="8">
        <v>3.73E-2</v>
      </c>
      <c r="D9" s="15">
        <v>0.05</v>
      </c>
      <c r="E9" s="2" t="s">
        <v>16</v>
      </c>
      <c r="F9" s="2" t="s">
        <v>27</v>
      </c>
      <c r="G9" s="15">
        <v>0.05</v>
      </c>
      <c r="H9" s="10" t="s">
        <v>27</v>
      </c>
      <c r="I9" s="2" t="s">
        <v>28</v>
      </c>
      <c r="J9" s="2" t="s">
        <v>28</v>
      </c>
      <c r="M9" s="18">
        <v>7.52</v>
      </c>
    </row>
    <row r="10" spans="1:17" ht="39" customHeight="1" x14ac:dyDescent="0.2">
      <c r="B10" s="2" t="s">
        <v>29</v>
      </c>
      <c r="C10" s="19">
        <f>SUM(C5:C9)</f>
        <v>1.0114000000000001</v>
      </c>
      <c r="D10" s="20">
        <f>SUM(D5:D9)</f>
        <v>1.05</v>
      </c>
      <c r="E10" s="2"/>
      <c r="F10" s="2"/>
      <c r="G10" s="20">
        <f>SUM(G5:G9)</f>
        <v>1.05</v>
      </c>
      <c r="H10" s="10"/>
      <c r="I10" s="2"/>
      <c r="J10" s="2"/>
      <c r="M10">
        <v>5.21</v>
      </c>
    </row>
    <row r="11" spans="1:17" ht="36.75" customHeight="1" x14ac:dyDescent="0.2">
      <c r="B11" s="2" t="s">
        <v>30</v>
      </c>
      <c r="C11" s="21">
        <v>0.18390000000000001</v>
      </c>
      <c r="D11" s="15">
        <v>0.19</v>
      </c>
      <c r="E11" s="2" t="s">
        <v>11</v>
      </c>
      <c r="F11" s="2" t="s">
        <v>31</v>
      </c>
      <c r="G11" s="15">
        <v>0.19</v>
      </c>
      <c r="H11" s="2" t="s">
        <v>31</v>
      </c>
      <c r="I11" s="2"/>
      <c r="J11" s="2"/>
      <c r="M11">
        <f>SUM(M4:M10)</f>
        <v>99.99</v>
      </c>
    </row>
    <row r="12" spans="1:17" ht="24" customHeight="1" x14ac:dyDescent="0.2">
      <c r="B12" s="22" t="s">
        <v>32</v>
      </c>
      <c r="C12" s="23">
        <v>3.3E-3</v>
      </c>
      <c r="D12" s="24"/>
      <c r="E12" s="24"/>
      <c r="F12" s="24"/>
      <c r="G12" s="24"/>
      <c r="H12" s="24"/>
      <c r="I12" s="24"/>
      <c r="J12" s="24"/>
    </row>
    <row r="13" spans="1:17" x14ac:dyDescent="0.2">
      <c r="B13" s="13"/>
    </row>
    <row r="14" spans="1:17" x14ac:dyDescent="0.2">
      <c r="A14" t="s">
        <v>33</v>
      </c>
      <c r="B14" s="13" t="s">
        <v>34</v>
      </c>
      <c r="M14">
        <v>0.95</v>
      </c>
      <c r="Q14" s="13"/>
    </row>
    <row r="15" spans="1:17" x14ac:dyDescent="0.2">
      <c r="A15" t="s">
        <v>35</v>
      </c>
      <c r="B15" s="25" t="s">
        <v>36</v>
      </c>
      <c r="C15" s="25"/>
      <c r="D15" s="25"/>
      <c r="E15" s="25"/>
    </row>
    <row r="16" spans="1:17" x14ac:dyDescent="0.2">
      <c r="A16" t="s">
        <v>37</v>
      </c>
      <c r="B16" s="26" t="s">
        <v>38</v>
      </c>
      <c r="C16" s="26"/>
      <c r="D16" s="26"/>
      <c r="E16" s="26"/>
      <c r="M16">
        <f>M11-M14</f>
        <v>99.039999999999992</v>
      </c>
      <c r="N16">
        <v>98.47</v>
      </c>
      <c r="O16">
        <f>M16-N16</f>
        <v>0.56999999999999318</v>
      </c>
    </row>
    <row r="18" spans="2:8" ht="15" x14ac:dyDescent="0.2">
      <c r="B18" s="27" t="s">
        <v>39</v>
      </c>
      <c r="C18" s="28"/>
      <c r="D18" s="28"/>
      <c r="E18" s="28"/>
      <c r="F18" s="28"/>
      <c r="G18" s="13"/>
      <c r="H18" s="13"/>
    </row>
    <row r="19" spans="2:8" ht="15" x14ac:dyDescent="0.2">
      <c r="B19" s="29" t="s">
        <v>40</v>
      </c>
      <c r="C19" s="13"/>
      <c r="D19" s="13"/>
      <c r="E19" s="13"/>
    </row>
    <row r="20" spans="2:8" ht="15" x14ac:dyDescent="0.2">
      <c r="B20" s="30" t="s">
        <v>41</v>
      </c>
    </row>
    <row r="21" spans="2:8" ht="15" x14ac:dyDescent="0.2">
      <c r="B21" s="31" t="s">
        <v>42</v>
      </c>
    </row>
    <row r="22" spans="2:8" ht="15" x14ac:dyDescent="0.2">
      <c r="B22" s="31" t="s">
        <v>43</v>
      </c>
    </row>
    <row r="23" spans="2:8" ht="15" x14ac:dyDescent="0.2">
      <c r="B23" s="30" t="s">
        <v>44</v>
      </c>
    </row>
    <row r="24" spans="2:8" ht="15" x14ac:dyDescent="0.2">
      <c r="B24" s="30" t="s">
        <v>45</v>
      </c>
    </row>
    <row r="25" spans="2:8" x14ac:dyDescent="0.2">
      <c r="B25" s="32"/>
    </row>
    <row r="26" spans="2:8" ht="15" x14ac:dyDescent="0.2">
      <c r="B26" s="31" t="s">
        <v>46</v>
      </c>
    </row>
    <row r="30" spans="2:8" x14ac:dyDescent="0.2">
      <c r="B30" s="33" t="s">
        <v>47</v>
      </c>
    </row>
  </sheetData>
  <mergeCells count="2">
    <mergeCell ref="B2:I2"/>
    <mergeCell ref="C12:J12"/>
  </mergeCells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מורים וגננות </vt:lpstr>
      <vt:lpstr>'מורים וגננות '!WinZmBookmark_zDCB88</vt:lpstr>
      <vt:lpstr>'מורים וגננות '!WinZmBookmarkEnd</vt:lpstr>
      <vt:lpstr>'מורים וגננות 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2023-01-05T08:40:57Z</dcterms:created>
  <dcterms:modified xsi:type="dcterms:W3CDTF">2023-01-05T08:41:59Z</dcterms:modified>
</cp:coreProperties>
</file>