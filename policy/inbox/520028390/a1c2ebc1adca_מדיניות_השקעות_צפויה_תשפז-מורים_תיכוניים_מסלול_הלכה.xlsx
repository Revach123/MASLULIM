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1E2EB03A-26A6-4FC7-B3C9-1539EA6DD4C5}" xr6:coauthVersionLast="47" xr6:coauthVersionMax="47" xr10:uidLastSave="{00000000-0000-0000-0000-000000000000}"/>
  <bookViews>
    <workbookView xWindow="-120" yWindow="-120" windowWidth="15600" windowHeight="11160" xr2:uid="{4FF2C08D-FA3A-4A8E-B207-B230BDCC5A80}"/>
  </bookViews>
  <sheets>
    <sheet name="מות הלכתי" sheetId="1" r:id="rId1"/>
  </sheets>
  <definedNames>
    <definedName name="_xlnm.Print_Area" localSheetId="0">'מות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<sst xmlns="http://schemas.openxmlformats.org/spreadsheetml/2006/main" count="64" uniqueCount="47">
  <si>
    <t>קרן השתלמות למורים תיכונים, מורי סמינרים ומפקחים-מסלול רגיל-מסלול הלכה 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</si>
  <si>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</si>
  <si>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</si>
  <si>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</si>
  <si>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</si>
  <si>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</si>
  <si>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</si>
  <si>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</si>
  <si>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</si>
  <si>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</t>
  </si>
  <si>
    <t>6% +/-</t>
  </si>
  <si>
    <t>40%-52%</t>
  </si>
  <si>
    <t>41%-53%</t>
  </si>
  <si>
    <t>ת"א 125- 35%
MSCI ALL COUNTRIES  -65% שקלי</t>
  </si>
  <si>
    <t>אג"ח ממשלתי (שקלי, צמוד, משתנה, מט"ח, מק"מ)</t>
  </si>
  <si>
    <t>5% +/-</t>
  </si>
  <si>
    <t>20%-30%</t>
  </si>
  <si>
    <t>21%-31%</t>
  </si>
  <si>
    <t>ממשלתי שקלי בריבית קבועה- 55%              us 10 year treasury 10% שקלי 
ממשלתי צמוד 2-5 שנים- 35%</t>
  </si>
  <si>
    <t>אג"ח קונצרני (כולל פקדונות ושטרי הון)***</t>
  </si>
  <si>
    <t>18%-30%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</si>
  <si>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</si>
  <si>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</si>
  <si>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</si>
  <si>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</si>
  <si>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r>
      <t>Barclays Global Aggregate Corporate Bond Index- 11% ,  msci-ac - 3</t>
    </r>
    <r>
      <rPr>
        <sz val="12"/>
        <color rgb="FFFF0000"/>
        <rFont val="Arial"/>
        <family val="2"/>
      </rPr>
      <t>5</t>
    </r>
    <r>
      <rPr>
        <sz val="12"/>
        <rFont val="Arial"/>
        <family val="2"/>
        <charset val="177"/>
      </rPr>
      <t>% , S&amp;P Global Infrastructure Index - 43%, MSCI World Real Estate Index - 11% שקליים</t>
    </r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</si>
  <si>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</si>
  <si>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</si>
  <si>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</si>
  <si>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</si>
  <si>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</si>
  <si>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</si>
  <si>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13%-25%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</si>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</sst>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</font>
    <font>
      <sz val="12"/>
      <color rgb="FFFF0000"/>
      <name val="Arial"/>
      <family val="2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8" fillId="0" borderId="2" xfId="0" applyNumberFormat="1" applyFont="1" applyBorder="1" applyAlignment="1">
      <alignment horizontal="center" wrapText="1"/>
    </xf>
    <xf numFmtId="10" fontId="4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4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6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wrapText="1" readingOrder="2"/>
    </xf>
    <xf numFmtId="0" fontId="5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4665C291-65F8-4090-A49D-CEA28AA25976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44993-03A1-4729-B068-FE594D1FAD32}" name="טבלה310113" displayName="טבלה310113" ref="A2:H9" totalsRowShown="0" headerRowDxfId="11" dataDxfId="10" headerRowBorderDxfId="8" tableBorderDxfId="9">
  <tableColumns count="8">
    <tableColumn id="1" xr3:uid="{9F7E66EA-59BB-4392-BAE7-13BE7EFD0ABD}" name="אפיק השקעה" dataDxfId="7"/>
    <tableColumn id="2" xr3:uid="{86C319EA-484F-4E04-8082-E8751975F1B7}" name="שיעור החשיפה לתאריך 13/08/2026" dataDxfId="6"/>
    <tableColumn id="3" xr3:uid="{033725AE-0531-456D-816C-C8CB164246A4}" name="שיעור חשיפה לשנת תשפ&quot;ו" dataDxfId="5"/>
    <tableColumn id="4" xr3:uid="{9651C7F2-D02A-4550-A253-E968BFB58608}" name="טווח סטייה" dataDxfId="4"/>
    <tableColumn id="5" xr3:uid="{9B4715A6-FCA5-4E55-8E33-4AE0C8C5B4D4}" name="גבולות שיעור החשיפה הצפויה לשנת תשפ&quot;ו" dataDxfId="3"/>
    <tableColumn id="6" xr3:uid="{11A11390-C98B-4856-A1A1-211E7523A88A}" name="שיעור חשיפה לשנת תשפ&quot;ז" dataDxfId="2"/>
    <tableColumn id="7" xr3:uid="{C664D535-0613-4931-8F3F-81467F27277B}" name="גבולות שיעור החשיפה הצפויה  לשנת תשפ&quot;ז" dataDxfId="1"/>
    <tableColumn id="8" xr3:uid="{BCA09205-3E94-4AD1-82D0-D80CD0CC163F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371-5FB1-42C5-9E78-F0FADAA79079}">
  <sheetPr>
    <pageSetUpPr fitToPage="1"/>
  </sheetPr>
  <dimension ref="A1:H23"/>
  <sheetViews>
    <sheetView rightToLeft="1" tabSelected="1" topLeftCell="A6" zoomScaleNormal="100" zoomScaleSheetLayoutView="115" workbookViewId="0">
      <selection activeCell="H6" sqref="H6"/>
    </sheetView>
  </sheetViews>
  <sheetFormatPr defaultColWidth="9.140625" defaultRowHeight="15" x14ac:dyDescent="0.2"/>
  <cols>
    <col min="1" max="1" width="34.140625" style="3" customWidth="1"/>
    <col min="2" max="2" width="23.5703125" style="3" customWidth="1"/>
    <col min="3" max="3" width="25.7109375" style="3" customWidth="1"/>
    <col min="4" max="4" width="12.7109375" style="3" customWidth="1"/>
    <col min="5" max="5" width="19.42578125" style="3" customWidth="1"/>
    <col min="6" max="6" width="14.85546875" style="3" customWidth="1"/>
    <col min="7" max="7" width="20.85546875" style="3" customWidth="1"/>
    <col min="8" max="8" width="37.5703125" style="3" customWidth="1"/>
    <col min="9" max="16384" width="9.140625" style="3"/>
  </cols>
  <sheetData>
    <row r="1" spans="1:8" ht="42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ht="51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8" ht="30" x14ac:dyDescent="0.2">
      <c r="A3" s="8" t="s">
        <v>9</v>
      </c>
      <c r="B3" s="9">
        <v>0.49280000000000002</v>
      </c>
      <c r="C3" s="10">
        <v>0.46</v>
      </c>
      <c r="D3" s="11" t="s">
        <v>10</v>
      </c>
      <c r="E3" s="12" t="s">
        <v>11</v>
      </c>
      <c r="F3" s="13">
        <v>0.47</v>
      </c>
      <c r="G3" s="14" t="s">
        <v>12</v>
      </c>
      <c r="H3" s="15" t="s">
        <v>13</v>
      </c>
    </row>
    <row r="4" spans="1:8" ht="54.75" customHeight="1" x14ac:dyDescent="0.2">
      <c r="A4" s="8" t="s">
        <v>14</v>
      </c>
      <c r="B4" s="9">
        <v>0.2346</v>
      </c>
      <c r="C4" s="10">
        <v>0.25</v>
      </c>
      <c r="D4" s="11" t="s">
        <v>15</v>
      </c>
      <c r="E4" s="12" t="s">
        <v>16</v>
      </c>
      <c r="F4" s="13">
        <v>0.26</v>
      </c>
      <c r="G4" s="14" t="s">
        <v>17</v>
      </c>
      <c r="H4" s="15" t="s">
        <v>18</v>
      </c>
    </row>
    <row r="5" spans="1:8" ht="60" x14ac:dyDescent="0.2">
      <c r="A5" s="8" t="s">
        <v>19</v>
      </c>
      <c r="B5" s="9">
        <v>0.21920000000000001</v>
      </c>
      <c r="C5" s="10">
        <v>0.24</v>
      </c>
      <c r="D5" s="11" t="s">
        <v>10</v>
      </c>
      <c r="E5" s="12" t="s">
        <v>20</v>
      </c>
      <c r="F5" s="13">
        <v>0.22</v>
      </c>
      <c r="G5" s="14" t="s">
        <v>21</v>
      </c>
      <c r="H5" s="16" t="s">
        <v>22</v>
      </c>
    </row>
    <row r="6" spans="1:8" ht="90" x14ac:dyDescent="0.2">
      <c r="A6" s="8" t="s">
        <v>23</v>
      </c>
      <c r="B6" s="9">
        <v>6.1999999999999998E-3</v>
      </c>
      <c r="C6" s="17">
        <v>0.03</v>
      </c>
      <c r="D6" s="11" t="s">
        <v>15</v>
      </c>
      <c r="E6" s="12" t="s">
        <v>24</v>
      </c>
      <c r="F6" s="17">
        <v>0.03</v>
      </c>
      <c r="G6" s="12" t="s">
        <v>24</v>
      </c>
      <c r="H6" s="16" t="s">
        <v>25</v>
      </c>
    </row>
    <row r="7" spans="1:8" s="19" customFormat="1" ht="41.25" customHeight="1" x14ac:dyDescent="0.25">
      <c r="A7" s="8" t="s">
        <v>26</v>
      </c>
      <c r="B7" s="9">
        <v>6.4699999999999994E-2</v>
      </c>
      <c r="C7" s="17">
        <v>0.05</v>
      </c>
      <c r="D7" s="11" t="s">
        <v>15</v>
      </c>
      <c r="E7" s="12" t="s">
        <v>27</v>
      </c>
      <c r="F7" s="17">
        <v>0.05</v>
      </c>
      <c r="G7" s="12" t="s">
        <v>27</v>
      </c>
      <c r="H7" s="18" t="s">
        <v>28</v>
      </c>
    </row>
    <row r="8" spans="1:8" ht="39" customHeight="1" x14ac:dyDescent="0.25">
      <c r="A8" s="8" t="s">
        <v>29</v>
      </c>
      <c r="B8" s="20">
        <f>SUM(B3:B7)</f>
        <v>1.0175000000000001</v>
      </c>
      <c r="C8" s="17">
        <f>SUM(C3:C7)</f>
        <v>1.03</v>
      </c>
      <c r="D8" s="21" t="s">
        <v>30</v>
      </c>
      <c r="E8" s="21" t="s">
        <v>30</v>
      </c>
      <c r="F8" s="17">
        <f>SUM(F3:F7)</f>
        <v>1.03</v>
      </c>
      <c r="G8" s="21" t="s">
        <v>30</v>
      </c>
      <c r="H8" s="21" t="s">
        <v>30</v>
      </c>
    </row>
    <row r="9" spans="1:8" ht="36.75" customHeight="1" x14ac:dyDescent="0.25">
      <c r="A9" s="8" t="s">
        <v>31</v>
      </c>
      <c r="B9" s="22">
        <v>0.19320000000000001</v>
      </c>
      <c r="C9" s="23">
        <v>0.19</v>
      </c>
      <c r="D9" s="11" t="s">
        <v>10</v>
      </c>
      <c r="E9" s="12" t="s">
        <v>32</v>
      </c>
      <c r="F9" s="23">
        <v>0.19</v>
      </c>
      <c r="G9" s="12" t="s">
        <v>32</v>
      </c>
      <c r="H9" s="21" t="s">
        <v>30</v>
      </c>
    </row>
    <row r="10" spans="1:8" ht="31.5" x14ac:dyDescent="0.25">
      <c r="A10" s="24" t="s">
        <v>33</v>
      </c>
      <c r="B10" s="25" t="s">
        <v>30</v>
      </c>
      <c r="C10" s="25" t="s">
        <v>30</v>
      </c>
      <c r="D10" s="25" t="s">
        <v>30</v>
      </c>
      <c r="E10" s="25" t="s">
        <v>30</v>
      </c>
      <c r="F10" s="26">
        <v>1.5E-3</v>
      </c>
      <c r="G10" s="25" t="s">
        <v>30</v>
      </c>
      <c r="H10" s="25" t="s">
        <v>30</v>
      </c>
    </row>
    <row r="11" spans="1:8" ht="26.25" customHeight="1" x14ac:dyDescent="0.2">
      <c r="A11" s="3" t="s">
        <v>34</v>
      </c>
    </row>
    <row r="12" spans="1:8" x14ac:dyDescent="0.2">
      <c r="A12" s="27" t="s">
        <v>35</v>
      </c>
      <c r="B12" s="27"/>
    </row>
    <row r="13" spans="1:8" x14ac:dyDescent="0.2">
      <c r="A13" s="27" t="s">
        <v>36</v>
      </c>
      <c r="B13" s="27"/>
    </row>
    <row r="14" spans="1:8" ht="30.75" customHeight="1" x14ac:dyDescent="0.2">
      <c r="A14" s="28" t="s">
        <v>37</v>
      </c>
      <c r="B14" s="29"/>
      <c r="C14" s="29"/>
      <c r="D14" s="29"/>
      <c r="E14" s="29"/>
      <c r="F14" s="29"/>
      <c r="G14" s="29"/>
      <c r="H14" s="29"/>
    </row>
    <row r="15" spans="1:8" ht="15.75" x14ac:dyDescent="0.2">
      <c r="A15" s="30" t="s">
        <v>38</v>
      </c>
      <c r="B15" s="31"/>
      <c r="C15" s="31"/>
      <c r="D15" s="31"/>
      <c r="E15" s="31"/>
      <c r="F15" s="31"/>
      <c r="G15" s="31"/>
      <c r="H15" s="31"/>
    </row>
    <row r="16" spans="1:8" ht="15.75" x14ac:dyDescent="0.2">
      <c r="A16" s="32" t="s">
        <v>39</v>
      </c>
      <c r="B16" s="31"/>
      <c r="C16" s="31"/>
      <c r="D16" s="31"/>
      <c r="E16" s="31"/>
      <c r="F16" s="31"/>
      <c r="G16" s="31"/>
      <c r="H16" s="31"/>
    </row>
    <row r="17" spans="1:8" ht="15.75" x14ac:dyDescent="0.2">
      <c r="A17" s="33" t="s">
        <v>40</v>
      </c>
      <c r="B17" s="31"/>
      <c r="C17" s="31"/>
      <c r="D17" s="31"/>
      <c r="E17" s="31"/>
      <c r="F17" s="31"/>
      <c r="G17" s="31"/>
      <c r="H17" s="31"/>
    </row>
    <row r="18" spans="1:8" x14ac:dyDescent="0.2">
      <c r="A18" s="28" t="s">
        <v>41</v>
      </c>
      <c r="B18" s="29"/>
      <c r="C18" s="29"/>
      <c r="D18" s="29"/>
      <c r="E18" s="29"/>
      <c r="F18" s="29"/>
      <c r="G18" s="29"/>
      <c r="H18" s="29"/>
    </row>
    <row r="19" spans="1:8" ht="33.75" customHeight="1" x14ac:dyDescent="0.2">
      <c r="A19" s="34" t="s">
        <v>42</v>
      </c>
      <c r="B19" s="29"/>
      <c r="C19" s="29"/>
      <c r="D19" s="29"/>
      <c r="E19" s="29"/>
      <c r="F19" s="29"/>
      <c r="G19" s="29"/>
      <c r="H19" s="29"/>
    </row>
    <row r="20" spans="1:8" ht="33.75" customHeight="1" x14ac:dyDescent="0.2">
      <c r="A20" s="34" t="s">
        <v>43</v>
      </c>
      <c r="B20" s="29"/>
      <c r="C20" s="29"/>
      <c r="D20" s="29"/>
      <c r="E20" s="29"/>
      <c r="F20" s="29"/>
      <c r="G20" s="29"/>
      <c r="H20" s="29"/>
    </row>
    <row r="21" spans="1:8" ht="15.75" x14ac:dyDescent="0.2">
      <c r="A21" s="33" t="s">
        <v>44</v>
      </c>
    </row>
    <row r="22" spans="1:8" ht="15.75" x14ac:dyDescent="0.25">
      <c r="A22" s="35" t="s">
        <v>45</v>
      </c>
    </row>
    <row r="23" spans="1:8" ht="31.5" customHeight="1" x14ac:dyDescent="0.25">
      <c r="A23" s="36" t="s">
        <v>46</v>
      </c>
      <c r="B23" s="36"/>
      <c r="C23" s="36"/>
      <c r="D23" s="36"/>
      <c r="E23" s="36"/>
      <c r="F23" s="36"/>
      <c r="G23" s="36"/>
      <c r="H23" s="36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2026-08-31T09:05:12Z</dcterms:created>
  <dcterms:modified xsi:type="dcterms:W3CDTF">2026-08-31T09:05:44Z</dcterms:modified>
</cp:coreProperties>
</file>