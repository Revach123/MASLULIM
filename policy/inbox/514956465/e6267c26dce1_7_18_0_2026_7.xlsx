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ה 2.7\"/>
    </mc:Choice>
  </mc:AlternateContent>
  <xr:revisionPtr revIDLastSave="0" documentId="13_ncr:1_{AAF36AF3-10D1-49CC-948D-ECF5429151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<sst xmlns="http://schemas.openxmlformats.org/spreadsheetml/2006/main" count="2942" uniqueCount="252">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</sst>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6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right" vertical="center" wrapText="1" readingOrder="2"/>
    </xf>
    <xf numFmtId="0" fontId="14" fillId="2" borderId="4" xfId="0" applyFont="1" applyFill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right" vertical="center" wrapText="1" readingOrder="2"/>
    </xf>
    <xf numFmtId="0" fontId="21" fillId="18" borderId="0" xfId="0" applyFont="1" applyFill="1"/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80792</xdr:colOff>
      <xdr:row>1</xdr:row>
      <xdr:rowOff>27214</xdr:rowOff>
    </xdr:from>
    <xdr:to>
      <xdr:col>9</xdr:col>
      <xdr:colOff>414167</xdr:colOff>
      <xdr:row>1</xdr:row>
      <xdr:rowOff>360589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0434047" y="2721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31844-1A52-4CB2-B49E-3C5A4FB85EA8}" name="RowTitleRegion1.b3.b15.1" displayName="RowTitleRegion1.b3.b15.1" ref="B4:B16" totalsRowShown="0" headerRowDxfId="166" dataDxfId="164" headerRowBorderDxfId="165" tableBorderDxfId="163" totalsRowBorderDxfId="162">
  <autoFilter ref="B4:B16" xr:uid="{BCD31844-1A52-4CB2-B49E-3C5A4FB85EA8}">
    <filterColumn colId="0" hiddenButton="1"/>
  </autoFilter>
  <tableColumns count="1">
    <tableColumn id="1" xr3:uid="{CC7A235A-D1F0-4084-89FB-6547A822CC59}" name="אפיק השקעה " dataDxfId="161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160" headerRowBorderDxfId="159" tableBorderDxfId="158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157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156" headerRowBorderDxfId="155" tableBorderDxfId="154" totalsRowBorderDxfId="153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152" headerRowBorderDxfId="151" tableBorderDxfId="150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149" dataDxfId="147" headerRowBorderDxfId="148" tableBorderDxfId="146" totalsRowBorderDxfId="145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144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143" tableBorderDxfId="142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141" dataDxfId="139" headerRowBorderDxfId="140" tableBorderDxfId="138" totalsRowBorderDxfId="137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136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135" headerRowBorderDxfId="134" tableBorderDxfId="133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132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B4E18F3-5384-47B5-A09F-CC7AB8163FFF}" name="RowTitleRegion1.b64.b75.9" displayName="RowTitleRegion1.b64.b75.9" ref="B65:B76" totalsRowShown="0" headerRowDxfId="131" dataDxfId="129" headerRowBorderDxfId="130" tableBorderDxfId="128" totalsRowBorderDxfId="127">
  <autoFilter ref="B65:B76" xr:uid="{EB4E18F3-5384-47B5-A09F-CC7AB8163FFF}">
    <filterColumn colId="0" hiddenButton="1"/>
  </autoFilter>
  <tableColumns count="1">
    <tableColumn id="1" xr3:uid="{8E40ABDA-9AB5-43F3-9F3E-B23F2A6B0904}" name="מניות (קרנות סל, אופציות, קרנות נאמנות)" dataDxfId="126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125" headerRowBorderDxfId="124" tableBorderDxfId="123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122"/>
    <tableColumn id="2" xr3:uid="{7DBF2990-0522-455D-95EA-54DDFC92BFD4}" name="שיעור חשיפה צפוי לשנת 2026" dataDxfId="121"/>
    <tableColumn id="3" xr3:uid="{50D5A944-4C40-49F1-AB0D-837644D3486E}" name="טווח סטיה מותר" dataDxfId="120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119" headerRowBorderDxfId="118" tableBorderDxfId="117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116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115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114" headerRowBorderDxfId="113" tableBorderDxfId="112" totalsRowBorderDxfId="111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110"/>
    <tableColumn id="2" xr3:uid="{22372424-C3C0-4685-AB6C-0EB93DBFD0C1}" name="תגמולים שיעור החשיפה ליום 31/12/2025 " dataDxfId="109"/>
    <tableColumn id="3" xr3:uid="{3FCB0734-FF7E-4013-9381-881C78232253}" name="השתלמות שיעור החשיפה ליום 31/12/2025" dataDxfId="108"/>
    <tableColumn id="4" xr3:uid="{06F387C4-0C45-4052-8EF1-648EE37D736D}" name=" השקעה שיעור החשיפה ליום 31/12/2025" dataDxfId="107"/>
    <tableColumn id="5" xr3:uid="{56CFDF27-5250-4F70-8D07-8760CFAC110C}" name="שיעור חשיפה צפוי לשנת 2026" dataDxfId="106"/>
    <tableColumn id="6" xr3:uid="{9CF1F659-8924-4440-A490-DCFF81E7537C}" name="טווח סטיה מותר" dataDxfId="105"/>
    <tableColumn id="7" xr3:uid="{1DD03E8B-B589-4531-9AD7-A7C0D4F74C4D}" name="גבולות שיעור החשיפה הצפויה" dataDxfId="104"/>
    <tableColumn id="8" xr3:uid="{AB402CF2-6B37-4575-B7F3-757E44C738C7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103" headerRowBorderDxfId="102" tableBorderDxfId="101" totalsRowBorderDxfId="100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99" headerRowBorderDxfId="98" tableBorderDxfId="97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96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95" headerRowBorderDxfId="94" tableBorderDxfId="93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92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91" headerRowBorderDxfId="90" tableBorderDxfId="89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88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87" headerRowBorderDxfId="86" tableBorderDxfId="85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84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83" headerRowBorderDxfId="82" tableBorderDxfId="81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80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79" headerRowBorderDxfId="78" tableBorderDxfId="77" totalsRowBorderDxfId="76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75" headerRowBorderDxfId="74" tableBorderDxfId="73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72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71" headerRowBorderDxfId="70" tableBorderDxfId="69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68" headerRowBorderDxfId="67" tableBorderDxfId="66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65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64" headerRowBorderDxfId="63" tableBorderDxfId="62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61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60" headerRowBorderDxfId="59" tableBorderDxfId="58" totalsRowBorderDxfId="57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56" headerRowBorderDxfId="55" tableBorderDxfId="54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53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52" headerRowBorderDxfId="51" tableBorderDxfId="50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49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48" headerRowBorderDxfId="47" tableBorderDxfId="46" totalsRowBorderDxfId="45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44" tableBorderDxfId="43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42" headerRowBorderDxfId="41" tableBorderDxfId="40" totalsRowBorderDxfId="39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38" tableBorderDxfId="37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36"/>
    <tableColumn id="3" xr3:uid="{6E52C956-5E2E-4E67-9919-4221E2203D2D}" name="טווח סטיה מותר" dataDxfId="35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34" dataDxfId="32" headerRowBorderDxfId="33" tableBorderDxfId="31" totalsRowBorderDxfId="30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9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8" tableBorderDxfId="27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6"/>
    <tableColumn id="3" xr3:uid="{6C64841A-F8C2-450A-8F1C-3786D9F9FE42}" name="טווח סטיה מותר" dataDxfId="25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4" headerRowBorderDxfId="23" tableBorderDxfId="22" totalsRowBorderDxfId="21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" tableBorderDxfId="19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18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17" headerRowBorderDxfId="16" tableBorderDxfId="15" totalsRowBorderDxfId="14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3" tableBorderDxfId="12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1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11:E312" totalsRowShown="0" headerRowDxfId="10" dataDxfId="9">
  <autoFilter ref="A311:E312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8" dataCellStyle="היפר-קישור"/>
    <tableColumn id="2" xr3:uid="{CBF90846-E2F6-4A91-AAB5-F031328D3A8E}" name="תא ריק במקור" dataDxfId="7"/>
    <tableColumn id="3" xr3:uid="{BE5D57AB-6227-434B-9DA4-5955FE1F5EC7}" name="תא ריק במקור2" dataDxfId="6"/>
    <tableColumn id="4" xr3:uid="{CF7BE9ED-9360-4DB8-BCE2-E6D115030C78}" name="תא ריק במקור3" dataDxfId="5"/>
    <tableColumn id="5" xr3:uid="{42DFA518-0A4C-4EDC-87B6-9C3D9414F840}" name="תא ריק במקור4" dataDxfId="4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539B999-6D0F-472E-BD3F-7D12DEDD75FD}" name="TitleRegion1.b3.g14.32" displayName="TitleRegion1.b3.g14.32" ref="B4:G15" totalsRowShown="0" headerRowDxfId="311" headerRowBorderDxfId="310" tableBorderDxfId="309">
  <autoFilter ref="B4:G15" xr:uid="{B539B999-6D0F-472E-BD3F-7D12DEDD75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681D1AE-3C2C-451C-83C2-98C8338EB868}" name="אפיק השקעה " dataDxfId="308"/>
    <tableColumn id="2" xr3:uid="{46CC7448-5D7D-4412-9AFA-0D1AB3E70BDE}" name="שיעור החשיפה ליום 31/12/2025"/>
    <tableColumn id="3" xr3:uid="{92EEF3DD-DFA3-40EB-90CA-101838B42EB2}" name="שיעור חשיפה צפוי לשנת 2026"/>
    <tableColumn id="4" xr3:uid="{64E02574-333D-4E1E-BB71-1A69E882A8EC}" name="טווח סטיה מותר" dataDxfId="307"/>
    <tableColumn id="5" xr3:uid="{1056AEFB-1A21-4EA3-9644-99D7B7B89901}" name="גבולות שיעור החשיפה הצפויה"/>
    <tableColumn id="6" xr3:uid="{8886FAFD-8A9E-4DD7-B016-16FC4397632B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306" headerRowBorderDxfId="305" tableBorderDxfId="304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303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302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301" headerRowBorderDxfId="300" tableBorderDxfId="299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298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297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296" headerRowBorderDxfId="295" tableBorderDxfId="294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293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292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291" headerRowBorderDxfId="290" tableBorderDxfId="289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288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287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286" headerRowBorderDxfId="285" tableBorderDxfId="284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283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282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281" headerRowBorderDxfId="280" tableBorderDxfId="279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278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277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276" headerRowBorderDxfId="275" tableBorderDxfId="274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273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272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271" headerRowBorderDxfId="270" tableBorderDxfId="269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268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267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266" headerRowBorderDxfId="265" tableBorderDxfId="264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263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262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261" headerRowBorderDxfId="260" tableBorderDxfId="259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258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257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256" headerRowBorderDxfId="255" tableBorderDxfId="254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253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252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251" headerRowBorderDxfId="250" tableBorderDxfId="249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248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247" headerRowBorderDxfId="246" tableBorderDxfId="245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244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243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242" headerRowBorderDxfId="241" tableBorderDxfId="240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239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238" headerRowBorderDxfId="237" tableBorderDxfId="236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235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234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233" headerRowBorderDxfId="232" tableBorderDxfId="231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230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229" headerRowBorderDxfId="228" tableBorderDxfId="227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226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225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224" headerRowBorderDxfId="223" tableBorderDxfId="222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221"/>
    <tableColumn id="5" xr3:uid="{1339351B-DD5A-4308-82B2-D850AAFAE2C9}" name="גבולות שיעור החשיפה הצפויה"/>
    <tableColumn id="6" xr3:uid="{663DBC65-0304-4BCE-9AA9-F069A210115B}" name="מדד ייחוס*" dataDxfId="220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219" headerRowBorderDxfId="218" tableBorderDxfId="217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216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215"/>
    <tableColumn id="5" xr3:uid="{743CEBDC-D1FA-496C-A1A5-E986580A6A0A}" name="גבולות שיעור החשיפה הצפויה"/>
    <tableColumn id="6" xr3:uid="{787AD9A6-02EB-423D-B65D-E4FA1089A054}" name="מדד ייחוס*" dataDxfId="214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213" headerRowBorderDxfId="212" tableBorderDxfId="211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210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209" headerRowBorderDxfId="208" tableBorderDxfId="207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206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205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204" headerRowBorderDxfId="203" tableBorderDxfId="202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201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200" headerRowBorderDxfId="199" tableBorderDxfId="198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197" headerRowBorderDxfId="196" tableBorderDxfId="195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194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193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192" headerRowBorderDxfId="191" tableBorderDxfId="190" totalsRowBorderDxfId="189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188"/>
    <tableColumn id="2" xr3:uid="{B4627521-E489-4019-8185-F63363F0CF09}" name="שיעור החשיפה ליום 31/12/2025" dataDxfId="187"/>
    <tableColumn id="3" xr3:uid="{2B9FF3A1-7ABE-43ED-A18E-9979B286747C}" name="שיעור חשיפה צפוי לשנת 2026" dataDxfId="186"/>
    <tableColumn id="4" xr3:uid="{AC239917-97CE-4854-8165-1BF695035943}" name="טווח סטיה מותר" dataDxfId="185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184" headerRowBorderDxfId="183" tableBorderDxfId="182" totalsRowBorderDxfId="181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180"/>
    <tableColumn id="2" xr3:uid="{6AF2A5DB-E06B-4C46-9523-05B590A4FD6C}" name="שיעור החשיפה ליום 31/12/2025" dataDxfId="179"/>
    <tableColumn id="3" xr3:uid="{644F59B8-E1C2-467A-A52F-0762F99C20CD}" name="שיעור חשיפה צפוי לשנת 2026" dataDxfId="178"/>
    <tableColumn id="4" xr3:uid="{942882A3-26E4-4882-AB61-65C762601C8E}" name="טווח סטיה מותר" dataDxfId="177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877FF097-BC83-4C64-A25F-BE73DB88D5FD}" name="TitleRegion1.c178.g186.60" displayName="TitleRegion1.c178.g186.60" ref="C179:G187" totalsRowShown="0" headerRowDxfId="176" headerRowBorderDxfId="175" tableBorderDxfId="174">
  <autoFilter ref="C179:G187" xr:uid="{877FF097-BC83-4C64-A25F-BE73DB88D5F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0E0ABA-1E33-4418-BAB9-B5EFA0F3B512}" name="שיעור החשיפה ליום 31/12/2025"/>
    <tableColumn id="2" xr3:uid="{A73A5322-A6D8-43FD-A2E2-D857764C51FA}" name="שיעור חשיפה צפוי לשנת 2026"/>
    <tableColumn id="3" xr3:uid="{5E99C0E9-A03E-47AB-ACCC-EC54AC9D35AC}" name="טווח סטיה מותר" dataDxfId="173"/>
    <tableColumn id="4" xr3:uid="{5CD95DBA-B57C-4C54-8C5D-52A7FAC149A2}" name="גבולות שיעור החשיפה הצפויה"/>
    <tableColumn id="5" xr3:uid="{032C068D-F599-480D-9366-03B03897F774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172" headerRowBorderDxfId="171" tableBorderDxfId="170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169"/>
    <tableColumn id="2" xr3:uid="{47F3D90D-348C-4F33-95CC-EB89E027B9C7}" name="שיעור החשיפה ליום 31/12/2025" dataDxfId="168"/>
    <tableColumn id="3" xr3:uid="{E251B1A9-513F-4AA6-8C71-49DDA1EF3CBF}" name="שיעור חשיפה צפוי לשנת 2026"/>
    <tableColumn id="4" xr3:uid="{E240F933-B4EE-4CE8-92C2-33DEA13D244B}" name="טווח סטיה מותר" dataDxfId="167"/>
    <tableColumn id="5" xr3:uid="{8A2F6CE4-CC0E-42CB-A50C-D6977B929F51}" name="גבולות שיעור החשיפה הצפויה"/>
    <tableColumn id="6" xr3:uid="{0430E9AC-7E0A-40D3-997A-41F5B09D758D}" name="מדד ייחוס*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56536-CD25-49DD-BD23-12EB66468F80}" name="TitleRegion1.b154.g162.1" displayName="TitleRegion1.b154.g162.1" ref="B154:G162" totalsRowShown="0" headerRowDxfId="0" headerRowBorderDxfId="2" tableBorderDxfId="3">
  <autoFilter ref="B154:G162" xr:uid="{CD856536-CD25-49DD-BD23-12EB66468F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7CADF7-C877-4AF5-A63D-E14ADE23EF51}" name="אפיק השקעה "/>
    <tableColumn id="2" xr3:uid="{B331EED3-6751-40E6-9545-F1BD217C2901}" name="שיעור החשיפה ליום 31/12/2025"/>
    <tableColumn id="3" xr3:uid="{546E64B3-8BAA-47AD-A809-8B4EDD4491DD}" name="שיעור חשיפה צפוי לשנת 2026"/>
    <tableColumn id="4" xr3:uid="{E12052FD-3C4F-4E23-9AA8-F4FA2D7B67E4}" name="_x0009_טווח סטייה" dataDxfId="1"/>
    <tableColumn id="5" xr3:uid="{223F4301-E5E1-4F5C-BE71-CB55401F10C6}" name="גבולות שיעור החשיפה הצפויה"/>
    <tableColumn id="6" xr3:uid="{8E13B06F-ADFA-429B-B8E6-5F0BC9398D4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26" Type="http://schemas.openxmlformats.org/officeDocument/2006/relationships/table" Target="../tables/table59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4.xml"/><Relationship Id="rId34" Type="http://schemas.openxmlformats.org/officeDocument/2006/relationships/table" Target="../tables/table67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5" Type="http://schemas.openxmlformats.org/officeDocument/2006/relationships/table" Target="../tables/table58.xml"/><Relationship Id="rId33" Type="http://schemas.openxmlformats.org/officeDocument/2006/relationships/table" Target="../tables/table66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29" Type="http://schemas.openxmlformats.org/officeDocument/2006/relationships/table" Target="../tables/table62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24" Type="http://schemas.openxmlformats.org/officeDocument/2006/relationships/table" Target="../tables/table57.xml"/><Relationship Id="rId32" Type="http://schemas.openxmlformats.org/officeDocument/2006/relationships/table" Target="../tables/table65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23" Type="http://schemas.openxmlformats.org/officeDocument/2006/relationships/table" Target="../tables/table56.xml"/><Relationship Id="rId28" Type="http://schemas.openxmlformats.org/officeDocument/2006/relationships/table" Target="../tables/table61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31" Type="http://schemas.openxmlformats.org/officeDocument/2006/relationships/table" Target="../tables/table64.xml"/><Relationship Id="rId4" Type="http://schemas.openxmlformats.org/officeDocument/2006/relationships/drawing" Target="../drawings/drawing2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Relationship Id="rId22" Type="http://schemas.openxmlformats.org/officeDocument/2006/relationships/table" Target="../tables/table55.xml"/><Relationship Id="rId27" Type="http://schemas.openxmlformats.org/officeDocument/2006/relationships/table" Target="../tables/table60.xml"/><Relationship Id="rId30" Type="http://schemas.openxmlformats.org/officeDocument/2006/relationships/table" Target="../tables/table63.xml"/><Relationship Id="rId8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1"/>
  <sheetViews>
    <sheetView rightToLeft="1" topLeftCell="A259" zoomScale="55" zoomScaleNormal="55" workbookViewId="0">
      <selection activeCell="F306" sqref="F306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52" t="s">
        <v>250</v>
      </c>
    </row>
    <row r="2" spans="1:9" ht="62.85" customHeight="1">
      <c r="A2" s="255" t="s">
        <v>229</v>
      </c>
      <c r="B2" s="255"/>
      <c r="C2" s="255"/>
      <c r="D2" s="255"/>
      <c r="E2" s="255"/>
      <c r="F2" s="255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188</v>
      </c>
      <c r="D4" s="107" t="s">
        <v>189</v>
      </c>
      <c r="E4" s="133" t="s">
        <v>223</v>
      </c>
      <c r="F4" s="120" t="s">
        <v>199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139</v>
      </c>
      <c r="C5" s="108" t="s">
        <v>188</v>
      </c>
      <c r="D5" s="108" t="s">
        <v>188</v>
      </c>
      <c r="E5" s="64">
        <v>0.50090000000000001</v>
      </c>
      <c r="F5" s="5">
        <v>0.49</v>
      </c>
      <c r="G5" s="177" t="s">
        <v>4</v>
      </c>
      <c r="H5" s="7" t="s">
        <v>244</v>
      </c>
      <c r="I5" s="178" t="s">
        <v>221</v>
      </c>
    </row>
    <row r="6" spans="1:9">
      <c r="A6" s="24"/>
      <c r="B6" s="223" t="s">
        <v>2</v>
      </c>
      <c r="C6" s="109" t="s">
        <v>188</v>
      </c>
      <c r="D6" s="109" t="s">
        <v>188</v>
      </c>
      <c r="E6" s="64">
        <v>0.2044</v>
      </c>
      <c r="F6" s="3">
        <v>0.22</v>
      </c>
      <c r="G6" s="179" t="s">
        <v>3</v>
      </c>
      <c r="H6" s="4" t="s">
        <v>203</v>
      </c>
      <c r="I6" s="103" t="s">
        <v>14</v>
      </c>
    </row>
    <row r="7" spans="1:9">
      <c r="A7" s="25"/>
      <c r="B7" s="224" t="s">
        <v>138</v>
      </c>
      <c r="C7" s="108" t="s">
        <v>188</v>
      </c>
      <c r="D7" s="108" t="s">
        <v>188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188</v>
      </c>
      <c r="D8" s="109" t="s">
        <v>188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188</v>
      </c>
      <c r="D9" s="109" t="s">
        <v>188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188</v>
      </c>
      <c r="D10" s="109" t="s">
        <v>188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188</v>
      </c>
      <c r="D11" s="109" t="s">
        <v>188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188</v>
      </c>
      <c r="D12" s="109" t="s">
        <v>188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188</v>
      </c>
      <c r="D13" s="109" t="s">
        <v>188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188</v>
      </c>
    </row>
    <row r="14" spans="1:9" ht="15">
      <c r="A14" s="25"/>
      <c r="B14" s="225" t="s">
        <v>5</v>
      </c>
      <c r="C14" s="110" t="s">
        <v>188</v>
      </c>
      <c r="D14" s="110" t="s">
        <v>188</v>
      </c>
      <c r="E14" s="229">
        <f>SUM(E5:E13)</f>
        <v>1.3166000000000002</v>
      </c>
      <c r="F14" s="99">
        <f>SUM(F5:F13)</f>
        <v>1.4000000000000001</v>
      </c>
      <c r="G14" s="222" t="s">
        <v>188</v>
      </c>
      <c r="H14" s="182" t="s">
        <v>188</v>
      </c>
      <c r="I14" s="182" t="s">
        <v>188</v>
      </c>
    </row>
    <row r="15" spans="1:9">
      <c r="A15" s="25"/>
      <c r="B15" s="223" t="s">
        <v>6</v>
      </c>
      <c r="C15" s="109" t="s">
        <v>188</v>
      </c>
      <c r="D15" s="109" t="s">
        <v>188</v>
      </c>
      <c r="E15" s="65">
        <v>0.1918</v>
      </c>
      <c r="F15" s="11">
        <v>0.18</v>
      </c>
      <c r="G15" s="179" t="s">
        <v>4</v>
      </c>
      <c r="H15" s="4" t="s">
        <v>205</v>
      </c>
      <c r="I15" s="103" t="s">
        <v>19</v>
      </c>
    </row>
    <row r="16" spans="1:9" ht="15">
      <c r="A16" s="25"/>
      <c r="B16" s="227" t="s">
        <v>228</v>
      </c>
      <c r="C16" s="110" t="s">
        <v>188</v>
      </c>
      <c r="D16" s="110" t="s">
        <v>188</v>
      </c>
      <c r="E16" s="66">
        <v>2.5999999999999999E-3</v>
      </c>
      <c r="F16" s="142" t="s">
        <v>188</v>
      </c>
      <c r="G16" s="131" t="s">
        <v>188</v>
      </c>
      <c r="H16" s="131" t="s">
        <v>188</v>
      </c>
      <c r="I16" s="166" t="s">
        <v>188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188</v>
      </c>
      <c r="D19" s="107" t="s">
        <v>189</v>
      </c>
      <c r="E19" s="120" t="s">
        <v>223</v>
      </c>
      <c r="F19" s="120" t="s">
        <v>199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139</v>
      </c>
      <c r="C20" s="109" t="s">
        <v>188</v>
      </c>
      <c r="D20" s="109" t="s">
        <v>189</v>
      </c>
      <c r="E20" s="5" t="s">
        <v>232</v>
      </c>
      <c r="F20" s="5">
        <v>0.48</v>
      </c>
      <c r="G20" s="177" t="s">
        <v>4</v>
      </c>
      <c r="H20" s="7" t="s">
        <v>245</v>
      </c>
      <c r="I20" s="6" t="s">
        <v>221</v>
      </c>
    </row>
    <row r="21" spans="1:9">
      <c r="A21" s="24"/>
      <c r="B21" s="223" t="s">
        <v>2</v>
      </c>
      <c r="C21" s="109" t="s">
        <v>188</v>
      </c>
      <c r="D21" s="109" t="s">
        <v>188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138</v>
      </c>
      <c r="C22" s="109" t="s">
        <v>188</v>
      </c>
      <c r="D22" s="109" t="s">
        <v>188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188</v>
      </c>
      <c r="D23" s="109" t="s">
        <v>188</v>
      </c>
      <c r="E23" s="3">
        <v>6.2600000000000003E-2</v>
      </c>
      <c r="F23" s="3">
        <v>0.06</v>
      </c>
      <c r="G23" s="180" t="s">
        <v>3</v>
      </c>
      <c r="H23" s="4" t="s">
        <v>173</v>
      </c>
      <c r="I23" s="1" t="s">
        <v>16</v>
      </c>
    </row>
    <row r="24" spans="1:9">
      <c r="A24" s="25"/>
      <c r="B24" s="230" t="s">
        <v>10</v>
      </c>
      <c r="C24" s="109" t="s">
        <v>188</v>
      </c>
      <c r="D24" s="109" t="s">
        <v>188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188</v>
      </c>
      <c r="D25" s="109" t="s">
        <v>188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188</v>
      </c>
      <c r="D26" s="109" t="s">
        <v>188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188</v>
      </c>
      <c r="D27" s="109" t="s">
        <v>188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188</v>
      </c>
      <c r="D28" s="109" t="s">
        <v>188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188</v>
      </c>
    </row>
    <row r="29" spans="1:9" ht="15">
      <c r="A29" s="25"/>
      <c r="B29" s="225" t="s">
        <v>5</v>
      </c>
      <c r="C29" s="109" t="s">
        <v>188</v>
      </c>
      <c r="D29" s="109" t="s">
        <v>188</v>
      </c>
      <c r="E29" s="99">
        <f>SUM(E20:E28)</f>
        <v>0.81340000000000001</v>
      </c>
      <c r="F29" s="99">
        <f>SUM(F20:F28)</f>
        <v>1.37</v>
      </c>
      <c r="G29" s="222" t="s">
        <v>188</v>
      </c>
      <c r="H29" s="182" t="s">
        <v>188</v>
      </c>
      <c r="I29" s="112" t="s">
        <v>188</v>
      </c>
    </row>
    <row r="30" spans="1:9">
      <c r="A30" s="25"/>
      <c r="B30" s="223" t="s">
        <v>6</v>
      </c>
      <c r="C30" s="109" t="s">
        <v>188</v>
      </c>
      <c r="D30" s="109" t="s">
        <v>188</v>
      </c>
      <c r="E30" s="11">
        <v>0.188</v>
      </c>
      <c r="F30" s="11">
        <v>0.18</v>
      </c>
      <c r="G30" s="179" t="s">
        <v>4</v>
      </c>
      <c r="H30" s="4" t="s">
        <v>205</v>
      </c>
      <c r="I30" s="1" t="s">
        <v>19</v>
      </c>
    </row>
    <row r="31" spans="1:9" ht="15">
      <c r="A31" s="25"/>
      <c r="B31" s="227" t="s">
        <v>228</v>
      </c>
      <c r="C31" s="110" t="s">
        <v>188</v>
      </c>
      <c r="D31" s="110" t="s">
        <v>188</v>
      </c>
      <c r="E31" s="12">
        <v>1.9E-3</v>
      </c>
      <c r="F31" s="142" t="s">
        <v>188</v>
      </c>
      <c r="G31" s="131" t="s">
        <v>188</v>
      </c>
      <c r="H31" s="131" t="s">
        <v>188</v>
      </c>
      <c r="I31" s="166" t="s">
        <v>188</v>
      </c>
    </row>
    <row r="32" spans="1:9" ht="15">
      <c r="A32" s="18"/>
      <c r="B32" s="15"/>
      <c r="C32" s="15"/>
      <c r="D32" s="15"/>
      <c r="E32" s="160" t="s">
        <v>246</v>
      </c>
      <c r="F32" s="160" t="s">
        <v>246</v>
      </c>
      <c r="G32" s="160" t="s">
        <v>246</v>
      </c>
      <c r="H32" s="160" t="s">
        <v>246</v>
      </c>
      <c r="I32" s="169" t="s">
        <v>246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188</v>
      </c>
      <c r="D34" s="107" t="s">
        <v>189</v>
      </c>
      <c r="E34" s="133" t="s">
        <v>223</v>
      </c>
      <c r="F34" s="120" t="s">
        <v>199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139</v>
      </c>
      <c r="C35" s="108" t="s">
        <v>188</v>
      </c>
      <c r="D35" s="108" t="s">
        <v>188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221</v>
      </c>
    </row>
    <row r="36" spans="1:9">
      <c r="A36" s="20"/>
      <c r="B36" s="223" t="s">
        <v>2</v>
      </c>
      <c r="C36" s="109" t="s">
        <v>188</v>
      </c>
      <c r="D36" s="109" t="s">
        <v>188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138</v>
      </c>
      <c r="C37" s="108" t="s">
        <v>188</v>
      </c>
      <c r="D37" s="108" t="s">
        <v>188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188</v>
      </c>
      <c r="D38" s="109" t="s">
        <v>188</v>
      </c>
      <c r="E38" s="64">
        <v>7.9600000000000004E-2</v>
      </c>
      <c r="F38" s="3">
        <v>0.08</v>
      </c>
      <c r="G38" s="180" t="s">
        <v>3</v>
      </c>
      <c r="H38" s="4" t="s">
        <v>206</v>
      </c>
      <c r="I38" s="103" t="s">
        <v>16</v>
      </c>
    </row>
    <row r="39" spans="1:9">
      <c r="A39" s="20"/>
      <c r="B39" s="223" t="s">
        <v>10</v>
      </c>
      <c r="C39" s="109" t="s">
        <v>188</v>
      </c>
      <c r="D39" s="109" t="s">
        <v>188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188</v>
      </c>
      <c r="D40" s="109" t="s">
        <v>188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188</v>
      </c>
      <c r="D41" s="109" t="s">
        <v>188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188</v>
      </c>
      <c r="D42" s="109" t="s">
        <v>188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188</v>
      </c>
      <c r="D43" s="109" t="s">
        <v>188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188</v>
      </c>
    </row>
    <row r="44" spans="1:9" ht="15">
      <c r="A44" s="20"/>
      <c r="B44" s="225" t="s">
        <v>5</v>
      </c>
      <c r="C44" s="110" t="s">
        <v>188</v>
      </c>
      <c r="D44" s="110" t="s">
        <v>188</v>
      </c>
      <c r="E44" s="232">
        <f>SUBTOTAL(109,E35:E43)</f>
        <v>1.3390000000000002</v>
      </c>
      <c r="F44" s="27">
        <f>SUBTOTAL(109,F35:F43)</f>
        <v>1.4950000000000001</v>
      </c>
      <c r="G44" s="117" t="s">
        <v>188</v>
      </c>
      <c r="H44" s="118" t="s">
        <v>188</v>
      </c>
      <c r="I44" s="112" t="s">
        <v>188</v>
      </c>
    </row>
    <row r="45" spans="1:9">
      <c r="A45" s="20"/>
      <c r="B45" s="223" t="s">
        <v>6</v>
      </c>
      <c r="C45" s="109" t="s">
        <v>188</v>
      </c>
      <c r="D45" s="109" t="s">
        <v>188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228</v>
      </c>
      <c r="C46" s="110" t="s">
        <v>188</v>
      </c>
      <c r="D46" s="110" t="s">
        <v>188</v>
      </c>
      <c r="E46" s="66">
        <v>2.3999999999999998E-3</v>
      </c>
      <c r="F46" s="142" t="s">
        <v>188</v>
      </c>
      <c r="G46" s="131" t="s">
        <v>188</v>
      </c>
      <c r="H46" s="131" t="s">
        <v>188</v>
      </c>
      <c r="I46" s="146" t="s">
        <v>188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188</v>
      </c>
      <c r="D49" s="107" t="s">
        <v>189</v>
      </c>
      <c r="E49" s="133" t="s">
        <v>223</v>
      </c>
      <c r="F49" s="120" t="s">
        <v>199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139</v>
      </c>
      <c r="C50" s="108" t="s">
        <v>188</v>
      </c>
      <c r="D50" s="108" t="s">
        <v>189</v>
      </c>
      <c r="E50" s="63">
        <v>0.48320000000000002</v>
      </c>
      <c r="F50" s="5">
        <v>0.49</v>
      </c>
      <c r="G50" s="177" t="s">
        <v>4</v>
      </c>
      <c r="H50" s="7" t="s">
        <v>244</v>
      </c>
      <c r="I50" s="6" t="s">
        <v>221</v>
      </c>
    </row>
    <row r="51" spans="1:9">
      <c r="A51" s="20"/>
      <c r="B51" s="223" t="s">
        <v>2</v>
      </c>
      <c r="C51" s="109" t="s">
        <v>188</v>
      </c>
      <c r="D51" s="109" t="s">
        <v>188</v>
      </c>
      <c r="E51" s="64">
        <v>0.20169999999999999</v>
      </c>
      <c r="F51" s="3">
        <v>0.22</v>
      </c>
      <c r="G51" s="179" t="s">
        <v>3</v>
      </c>
      <c r="H51" s="4" t="s">
        <v>203</v>
      </c>
      <c r="I51" s="1" t="s">
        <v>14</v>
      </c>
    </row>
    <row r="52" spans="1:9">
      <c r="A52" s="20"/>
      <c r="B52" s="224" t="s">
        <v>138</v>
      </c>
      <c r="C52" s="108" t="s">
        <v>188</v>
      </c>
      <c r="D52" s="108" t="s">
        <v>188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188</v>
      </c>
      <c r="D53" s="109" t="s">
        <v>188</v>
      </c>
      <c r="E53" s="64">
        <v>8.6999999999999994E-2</v>
      </c>
      <c r="F53" s="3">
        <v>0.09</v>
      </c>
      <c r="G53" s="180" t="s">
        <v>3</v>
      </c>
      <c r="H53" s="4" t="s">
        <v>207</v>
      </c>
      <c r="I53" s="1" t="s">
        <v>16</v>
      </c>
    </row>
    <row r="54" spans="1:9">
      <c r="A54" s="20"/>
      <c r="B54" s="223" t="s">
        <v>10</v>
      </c>
      <c r="C54" s="109" t="s">
        <v>188</v>
      </c>
      <c r="D54" s="109" t="s">
        <v>188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188</v>
      </c>
      <c r="D55" s="109" t="s">
        <v>188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188</v>
      </c>
      <c r="D56" s="109" t="s">
        <v>188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188</v>
      </c>
      <c r="D57" s="109" t="s">
        <v>188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188</v>
      </c>
      <c r="D58" s="109" t="s">
        <v>188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188</v>
      </c>
    </row>
    <row r="59" spans="1:9" ht="15">
      <c r="A59" s="20"/>
      <c r="B59" s="225" t="s">
        <v>5</v>
      </c>
      <c r="C59" s="110" t="s">
        <v>188</v>
      </c>
      <c r="D59" s="110" t="s">
        <v>188</v>
      </c>
      <c r="E59" s="229">
        <f>SUBTOTAL(109,E50:E58)</f>
        <v>1.2925000000000002</v>
      </c>
      <c r="F59" s="99">
        <f>SUBTOTAL(109,F50:F58)</f>
        <v>1.3900000000000001</v>
      </c>
      <c r="G59" s="183" t="s">
        <v>188</v>
      </c>
      <c r="H59" s="184" t="s">
        <v>188</v>
      </c>
      <c r="I59" s="112" t="s">
        <v>188</v>
      </c>
    </row>
    <row r="60" spans="1:9">
      <c r="A60" s="20"/>
      <c r="B60" s="223" t="s">
        <v>6</v>
      </c>
      <c r="C60" s="109" t="s">
        <v>188</v>
      </c>
      <c r="D60" s="109" t="s">
        <v>188</v>
      </c>
      <c r="E60" s="65">
        <v>0.18940000000000001</v>
      </c>
      <c r="F60" s="11">
        <v>0.18</v>
      </c>
      <c r="G60" s="179" t="s">
        <v>4</v>
      </c>
      <c r="H60" s="4" t="s">
        <v>205</v>
      </c>
      <c r="I60" s="1" t="s">
        <v>19</v>
      </c>
    </row>
    <row r="61" spans="1:9" ht="15">
      <c r="A61" s="21"/>
      <c r="B61" s="227" t="s">
        <v>228</v>
      </c>
      <c r="C61" s="110" t="s">
        <v>188</v>
      </c>
      <c r="D61" s="110" t="s">
        <v>188</v>
      </c>
      <c r="E61" s="66">
        <v>2.3999999999999998E-3</v>
      </c>
      <c r="F61" s="142" t="s">
        <v>188</v>
      </c>
      <c r="G61" s="131" t="s">
        <v>188</v>
      </c>
      <c r="H61" s="131" t="s">
        <v>188</v>
      </c>
      <c r="I61" s="166" t="s">
        <v>188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3" t="s">
        <v>0</v>
      </c>
      <c r="C64" s="107" t="s">
        <v>188</v>
      </c>
      <c r="D64" s="107" t="s">
        <v>189</v>
      </c>
      <c r="E64" s="133" t="s">
        <v>223</v>
      </c>
      <c r="F64" s="120" t="s">
        <v>199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31" t="s">
        <v>139</v>
      </c>
      <c r="C65" s="108" t="s">
        <v>188</v>
      </c>
      <c r="D65" s="108" t="s">
        <v>189</v>
      </c>
      <c r="E65" s="63">
        <v>0.30099999999999999</v>
      </c>
      <c r="F65" s="5">
        <v>0.26</v>
      </c>
      <c r="G65" s="85" t="s">
        <v>4</v>
      </c>
      <c r="H65" s="7" t="s">
        <v>202</v>
      </c>
      <c r="I65" s="6" t="s">
        <v>221</v>
      </c>
    </row>
    <row r="66" spans="1:9">
      <c r="A66" s="20"/>
      <c r="B66" s="223" t="s">
        <v>2</v>
      </c>
      <c r="C66" s="109" t="s">
        <v>188</v>
      </c>
      <c r="D66" s="109" t="s">
        <v>188</v>
      </c>
      <c r="E66" s="64">
        <v>0.2843</v>
      </c>
      <c r="F66" s="3">
        <v>0.26</v>
      </c>
      <c r="G66" s="86" t="s">
        <v>3</v>
      </c>
      <c r="H66" s="4" t="s">
        <v>204</v>
      </c>
      <c r="I66" s="1" t="s">
        <v>14</v>
      </c>
    </row>
    <row r="67" spans="1:9">
      <c r="A67" s="20"/>
      <c r="B67" s="224" t="s">
        <v>138</v>
      </c>
      <c r="C67" s="108" t="s">
        <v>188</v>
      </c>
      <c r="D67" s="108" t="s">
        <v>188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188</v>
      </c>
      <c r="D68" s="109" t="s">
        <v>188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188</v>
      </c>
      <c r="D69" s="109" t="s">
        <v>188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188</v>
      </c>
      <c r="D70" s="109" t="s">
        <v>188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188</v>
      </c>
      <c r="D71" s="109" t="s">
        <v>188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188</v>
      </c>
      <c r="D72" s="109" t="s">
        <v>188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188</v>
      </c>
      <c r="D73" s="109" t="s">
        <v>188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188</v>
      </c>
    </row>
    <row r="74" spans="1:9" ht="15">
      <c r="A74" s="20"/>
      <c r="B74" s="225" t="s">
        <v>5</v>
      </c>
      <c r="C74" s="110" t="s">
        <v>188</v>
      </c>
      <c r="D74" s="110" t="s">
        <v>188</v>
      </c>
      <c r="E74" s="229">
        <f>SUBTOTAL(109,E65:E73)</f>
        <v>1.2392000000000003</v>
      </c>
      <c r="F74" s="99">
        <f>SUBTOTAL(109,F65:F73)</f>
        <v>1.27</v>
      </c>
      <c r="G74" s="117" t="s">
        <v>188</v>
      </c>
      <c r="H74" s="118" t="s">
        <v>188</v>
      </c>
      <c r="I74" s="112" t="s">
        <v>188</v>
      </c>
    </row>
    <row r="75" spans="1:9">
      <c r="A75" s="20"/>
      <c r="B75" s="223" t="s">
        <v>6</v>
      </c>
      <c r="C75" s="109" t="s">
        <v>188</v>
      </c>
      <c r="D75" s="109" t="s">
        <v>188</v>
      </c>
      <c r="E75" s="64">
        <v>0.17269999999999999</v>
      </c>
      <c r="F75" s="3">
        <v>0.18</v>
      </c>
      <c r="G75" s="86" t="s">
        <v>4</v>
      </c>
      <c r="H75" s="9" t="s">
        <v>205</v>
      </c>
      <c r="I75" s="1" t="s">
        <v>19</v>
      </c>
    </row>
    <row r="76" spans="1:9" ht="15">
      <c r="A76" s="21"/>
      <c r="B76" s="227" t="s">
        <v>228</v>
      </c>
      <c r="C76" s="110" t="s">
        <v>188</v>
      </c>
      <c r="D76" s="110" t="s">
        <v>188</v>
      </c>
      <c r="E76" s="66">
        <v>2.5000000000000001E-3</v>
      </c>
      <c r="F76" s="142" t="s">
        <v>188</v>
      </c>
      <c r="G76" s="131" t="s">
        <v>188</v>
      </c>
      <c r="H76" s="131" t="s">
        <v>188</v>
      </c>
      <c r="I76" s="168" t="s">
        <v>188</v>
      </c>
    </row>
    <row r="77" spans="1:9" ht="15">
      <c r="A77" s="18"/>
      <c r="B77" s="159" t="s">
        <v>188</v>
      </c>
      <c r="C77" s="159" t="s">
        <v>188</v>
      </c>
      <c r="D77" s="159" t="s">
        <v>188</v>
      </c>
      <c r="E77" s="160" t="s">
        <v>188</v>
      </c>
      <c r="F77" s="160" t="s">
        <v>188</v>
      </c>
      <c r="G77" s="160" t="s">
        <v>188</v>
      </c>
      <c r="H77" s="160" t="s">
        <v>188</v>
      </c>
      <c r="I77" s="169" t="s">
        <v>188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226</v>
      </c>
      <c r="D81" s="120" t="s">
        <v>225</v>
      </c>
      <c r="E81" s="120" t="s">
        <v>224</v>
      </c>
      <c r="F81" s="120" t="s">
        <v>199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139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242</v>
      </c>
      <c r="I82" s="6" t="s">
        <v>221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188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188</v>
      </c>
      <c r="H91" s="112" t="s">
        <v>188</v>
      </c>
      <c r="I91" s="112" t="s">
        <v>188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228</v>
      </c>
      <c r="C93" s="12">
        <v>1.4E-3</v>
      </c>
      <c r="D93" s="12">
        <v>1.4E-3</v>
      </c>
      <c r="E93" s="12">
        <v>1.1999999999999999E-3</v>
      </c>
      <c r="F93" s="142" t="s">
        <v>188</v>
      </c>
      <c r="G93" s="139" t="s">
        <v>188</v>
      </c>
      <c r="H93" s="140" t="s">
        <v>188</v>
      </c>
      <c r="I93" s="146" t="s">
        <v>188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226</v>
      </c>
      <c r="D98" s="120" t="s">
        <v>225</v>
      </c>
      <c r="E98" s="120" t="s">
        <v>224</v>
      </c>
      <c r="F98" s="120" t="s">
        <v>199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243</v>
      </c>
      <c r="G99" s="85" t="s">
        <v>23</v>
      </c>
      <c r="H99" s="7" t="s">
        <v>58</v>
      </c>
      <c r="I99" s="218" t="s">
        <v>221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130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188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188</v>
      </c>
      <c r="H108" s="118" t="s">
        <v>188</v>
      </c>
      <c r="I108" s="235" t="s">
        <v>188</v>
      </c>
    </row>
    <row r="109" spans="1:9">
      <c r="A109" s="31"/>
      <c r="B109" s="236" t="s">
        <v>6</v>
      </c>
      <c r="C109" s="237">
        <v>5.6899999999999999E-2</v>
      </c>
      <c r="D109" s="237">
        <v>5.5399999999999998E-2</v>
      </c>
      <c r="E109" s="237">
        <v>5.0500000000000003E-2</v>
      </c>
      <c r="F109" s="237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228</v>
      </c>
      <c r="C110" s="12">
        <v>1E-3</v>
      </c>
      <c r="D110" s="12">
        <v>1E-3</v>
      </c>
      <c r="E110" s="12">
        <v>1E-3</v>
      </c>
      <c r="F110" s="142" t="s">
        <v>188</v>
      </c>
      <c r="G110" s="139" t="s">
        <v>188</v>
      </c>
      <c r="H110" s="140" t="s">
        <v>188</v>
      </c>
      <c r="I110" s="146" t="s">
        <v>188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188</v>
      </c>
      <c r="D114" s="133" t="s">
        <v>227</v>
      </c>
      <c r="E114" s="120" t="s">
        <v>224</v>
      </c>
      <c r="F114" s="120" t="s">
        <v>199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139</v>
      </c>
      <c r="C115" s="108" t="s">
        <v>188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221</v>
      </c>
    </row>
    <row r="116" spans="1:9">
      <c r="A116" s="30"/>
      <c r="B116" s="223" t="s">
        <v>2</v>
      </c>
      <c r="C116" s="109" t="s">
        <v>188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178</v>
      </c>
      <c r="I116" s="1" t="s">
        <v>14</v>
      </c>
    </row>
    <row r="117" spans="1:9">
      <c r="A117" s="31"/>
      <c r="B117" s="224" t="s">
        <v>138</v>
      </c>
      <c r="C117" s="108" t="s">
        <v>188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188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188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188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188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188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188</v>
      </c>
    </row>
    <row r="124" spans="1:9" ht="15">
      <c r="A124" s="31"/>
      <c r="B124" s="225" t="s">
        <v>5</v>
      </c>
      <c r="C124" s="110" t="s">
        <v>188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188</v>
      </c>
      <c r="H124" s="184" t="s">
        <v>188</v>
      </c>
      <c r="I124" s="112" t="s">
        <v>188</v>
      </c>
    </row>
    <row r="125" spans="1:9">
      <c r="A125" s="31"/>
      <c r="B125" s="223" t="s">
        <v>6</v>
      </c>
      <c r="C125" s="109" t="s">
        <v>188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205</v>
      </c>
      <c r="I125" s="1" t="s">
        <v>19</v>
      </c>
    </row>
    <row r="126" spans="1:9" ht="15">
      <c r="A126" s="31"/>
      <c r="B126" s="227" t="s">
        <v>228</v>
      </c>
      <c r="C126" s="110" t="s">
        <v>188</v>
      </c>
      <c r="D126" s="12">
        <v>2.2000000000000001E-3</v>
      </c>
      <c r="E126" s="12">
        <v>1.6999999999999999E-3</v>
      </c>
      <c r="F126" s="142" t="s">
        <v>188</v>
      </c>
      <c r="G126" s="139" t="s">
        <v>188</v>
      </c>
      <c r="H126" s="140" t="s">
        <v>188</v>
      </c>
      <c r="I126" s="146" t="s">
        <v>188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226</v>
      </c>
      <c r="D131" s="120" t="s">
        <v>225</v>
      </c>
      <c r="E131" s="120" t="s">
        <v>224</v>
      </c>
      <c r="F131" s="120" t="s">
        <v>199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139</v>
      </c>
      <c r="C132" s="123" t="s">
        <v>188</v>
      </c>
      <c r="D132" s="123" t="s">
        <v>188</v>
      </c>
      <c r="E132" s="123" t="s">
        <v>188</v>
      </c>
      <c r="F132" s="123" t="s">
        <v>188</v>
      </c>
      <c r="G132" s="85" t="s">
        <v>23</v>
      </c>
      <c r="H132" s="157" t="s">
        <v>246</v>
      </c>
      <c r="I132" s="147" t="s">
        <v>188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131</v>
      </c>
      <c r="I133" s="1" t="s">
        <v>14</v>
      </c>
    </row>
    <row r="134" spans="1:9">
      <c r="A134" s="31"/>
      <c r="B134" s="105" t="s">
        <v>138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188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188</v>
      </c>
      <c r="H136" s="118" t="s">
        <v>246</v>
      </c>
      <c r="I136" s="112" t="s">
        <v>188</v>
      </c>
    </row>
    <row r="137" spans="1:9">
      <c r="A137" s="31"/>
      <c r="B137" s="104" t="s">
        <v>6</v>
      </c>
      <c r="C137" s="141" t="s">
        <v>188</v>
      </c>
      <c r="D137" s="141" t="s">
        <v>188</v>
      </c>
      <c r="E137" s="141">
        <v>0</v>
      </c>
      <c r="F137" s="141" t="s">
        <v>188</v>
      </c>
      <c r="G137" s="86" t="s">
        <v>23</v>
      </c>
      <c r="H137" s="132" t="s">
        <v>246</v>
      </c>
      <c r="I137" s="145" t="s">
        <v>188</v>
      </c>
    </row>
    <row r="138" spans="1:9" ht="15">
      <c r="A138" s="31"/>
      <c r="B138" s="106" t="s">
        <v>228</v>
      </c>
      <c r="C138" s="12">
        <v>1E-3</v>
      </c>
      <c r="D138" s="12">
        <v>1E-3</v>
      </c>
      <c r="E138" s="12">
        <v>1E-3</v>
      </c>
      <c r="F138" s="142" t="s">
        <v>188</v>
      </c>
      <c r="G138" s="139" t="s">
        <v>188</v>
      </c>
      <c r="H138" s="140" t="s">
        <v>188</v>
      </c>
      <c r="I138" s="146" t="s">
        <v>188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226</v>
      </c>
      <c r="D143" s="120" t="s">
        <v>225</v>
      </c>
      <c r="E143" s="120" t="s">
        <v>224</v>
      </c>
      <c r="F143" s="120" t="s">
        <v>199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139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230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132</v>
      </c>
      <c r="I145" s="1" t="s">
        <v>14</v>
      </c>
    </row>
    <row r="146" spans="1:9">
      <c r="A146" s="45"/>
      <c r="B146" s="105" t="s">
        <v>138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126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188</v>
      </c>
      <c r="H148" s="118" t="s">
        <v>188</v>
      </c>
      <c r="I148" s="112" t="s">
        <v>188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205</v>
      </c>
      <c r="I149" s="1" t="s">
        <v>19</v>
      </c>
    </row>
    <row r="150" spans="1:9" ht="15">
      <c r="A150" s="45"/>
      <c r="B150" s="106" t="s">
        <v>228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188</v>
      </c>
      <c r="G150" s="139" t="s">
        <v>188</v>
      </c>
      <c r="H150" s="140" t="s">
        <v>188</v>
      </c>
      <c r="I150" s="146" t="s">
        <v>188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226</v>
      </c>
      <c r="D155" s="120" t="s">
        <v>225</v>
      </c>
      <c r="E155" s="120" t="s">
        <v>224</v>
      </c>
      <c r="F155" s="120" t="s">
        <v>199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139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230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133</v>
      </c>
      <c r="I157" s="1" t="s">
        <v>14</v>
      </c>
    </row>
    <row r="158" spans="1:9">
      <c r="A158" s="45"/>
      <c r="B158" s="185" t="s">
        <v>138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188</v>
      </c>
      <c r="H160" s="118" t="s">
        <v>188</v>
      </c>
      <c r="I160" s="112" t="s">
        <v>188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205</v>
      </c>
      <c r="I161" s="1" t="s">
        <v>19</v>
      </c>
    </row>
    <row r="162" spans="1:9" ht="15">
      <c r="A162" s="45"/>
      <c r="B162" s="106" t="s">
        <v>228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188</v>
      </c>
      <c r="G162" s="139" t="s">
        <v>188</v>
      </c>
      <c r="H162" s="140" t="s">
        <v>188</v>
      </c>
      <c r="I162" s="146" t="s">
        <v>188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226</v>
      </c>
      <c r="D167" s="120" t="s">
        <v>225</v>
      </c>
      <c r="E167" s="120" t="s">
        <v>224</v>
      </c>
      <c r="F167" s="120" t="s">
        <v>199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230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238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188</v>
      </c>
      <c r="H172" s="118" t="s">
        <v>246</v>
      </c>
      <c r="I172" s="112" t="s">
        <v>188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228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188</v>
      </c>
      <c r="G174" s="139" t="s">
        <v>188</v>
      </c>
      <c r="H174" s="140" t="s">
        <v>188</v>
      </c>
      <c r="I174" s="146" t="s">
        <v>188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188</v>
      </c>
      <c r="D178" s="133" t="s">
        <v>225</v>
      </c>
      <c r="E178" s="120" t="s">
        <v>224</v>
      </c>
      <c r="F178" s="120" t="s">
        <v>199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139</v>
      </c>
      <c r="C179" s="108" t="s">
        <v>188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230</v>
      </c>
    </row>
    <row r="180" spans="1:9">
      <c r="A180" s="44"/>
      <c r="B180" s="223" t="s">
        <v>2</v>
      </c>
      <c r="C180" s="109" t="s">
        <v>188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138</v>
      </c>
      <c r="C181" s="108" t="s">
        <v>188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188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188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188</v>
      </c>
      <c r="H183" s="118" t="s">
        <v>246</v>
      </c>
      <c r="I183" s="112" t="s">
        <v>188</v>
      </c>
    </row>
    <row r="184" spans="1:9">
      <c r="A184" s="45"/>
      <c r="B184" s="223" t="s">
        <v>6</v>
      </c>
      <c r="C184" s="109" t="s">
        <v>188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134</v>
      </c>
      <c r="I184" s="1" t="s">
        <v>19</v>
      </c>
    </row>
    <row r="185" spans="1:9" ht="15">
      <c r="A185" s="45"/>
      <c r="B185" s="227" t="s">
        <v>228</v>
      </c>
      <c r="C185" s="109" t="s">
        <v>188</v>
      </c>
      <c r="D185" s="238">
        <v>5.9999999999999995E-4</v>
      </c>
      <c r="E185" s="100">
        <v>5.9999999999999995E-4</v>
      </c>
      <c r="F185" s="138" t="s">
        <v>188</v>
      </c>
      <c r="G185" s="139" t="s">
        <v>188</v>
      </c>
      <c r="H185" s="140" t="s">
        <v>188</v>
      </c>
      <c r="I185" s="146" t="s">
        <v>188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226</v>
      </c>
      <c r="D190" s="120" t="s">
        <v>225</v>
      </c>
      <c r="E190" s="120" t="s">
        <v>224</v>
      </c>
      <c r="F190" s="120" t="s">
        <v>199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139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201</v>
      </c>
      <c r="I192" s="9" t="s">
        <v>28</v>
      </c>
    </row>
    <row r="193" spans="1:9" ht="28.5">
      <c r="A193" s="49"/>
      <c r="B193" s="69" t="s">
        <v>138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188</v>
      </c>
      <c r="H195" s="118" t="s">
        <v>246</v>
      </c>
      <c r="I195" s="112" t="s">
        <v>188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228</v>
      </c>
      <c r="C197" s="100">
        <v>2E-3</v>
      </c>
      <c r="D197" s="100">
        <v>2E-3</v>
      </c>
      <c r="E197" s="12">
        <v>2.5000000000000001E-3</v>
      </c>
      <c r="F197" s="138" t="s">
        <v>188</v>
      </c>
      <c r="G197" s="139" t="s">
        <v>188</v>
      </c>
      <c r="H197" s="140" t="s">
        <v>188</v>
      </c>
      <c r="I197" s="146" t="s">
        <v>188</v>
      </c>
    </row>
    <row r="198" spans="1:9" ht="15">
      <c r="A198" s="18"/>
      <c r="B198" s="159" t="s">
        <v>246</v>
      </c>
      <c r="C198" s="159" t="s">
        <v>246</v>
      </c>
      <c r="D198" s="159" t="s">
        <v>246</v>
      </c>
      <c r="E198" s="160" t="s">
        <v>246</v>
      </c>
      <c r="F198" s="160" t="s">
        <v>246</v>
      </c>
      <c r="G198" s="160" t="s">
        <v>246</v>
      </c>
      <c r="H198" s="160" t="s">
        <v>246</v>
      </c>
      <c r="I198" s="169" t="s">
        <v>246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226</v>
      </c>
      <c r="D202" s="120" t="s">
        <v>225</v>
      </c>
      <c r="E202" s="120" t="s">
        <v>224</v>
      </c>
      <c r="F202" s="120" t="s">
        <v>199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191</v>
      </c>
      <c r="I204" s="9" t="s">
        <v>14</v>
      </c>
    </row>
    <row r="205" spans="1:9">
      <c r="A205" s="49"/>
      <c r="B205" s="105" t="s">
        <v>138</v>
      </c>
      <c r="C205" s="113">
        <v>0</v>
      </c>
      <c r="D205" s="113">
        <v>0</v>
      </c>
      <c r="E205" s="113">
        <v>0</v>
      </c>
      <c r="F205" s="113" t="s">
        <v>188</v>
      </c>
      <c r="G205" s="86" t="s">
        <v>23</v>
      </c>
      <c r="H205" s="113" t="s">
        <v>246</v>
      </c>
      <c r="I205" s="132" t="s">
        <v>188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132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188</v>
      </c>
      <c r="H207" s="118" t="s">
        <v>246</v>
      </c>
      <c r="I207" s="112" t="s">
        <v>188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228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188</v>
      </c>
      <c r="G209" s="139" t="s">
        <v>188</v>
      </c>
      <c r="H209" s="140" t="s">
        <v>188</v>
      </c>
      <c r="I209" s="146" t="s">
        <v>188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226</v>
      </c>
      <c r="D214" s="120" t="s">
        <v>225</v>
      </c>
      <c r="E214" s="120" t="s">
        <v>224</v>
      </c>
      <c r="F214" s="120" t="s">
        <v>199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139</v>
      </c>
      <c r="C215" s="123">
        <v>0</v>
      </c>
      <c r="D215" s="123" t="s">
        <v>188</v>
      </c>
      <c r="E215" s="123" t="s">
        <v>188</v>
      </c>
      <c r="F215" s="123" t="s">
        <v>188</v>
      </c>
      <c r="G215" s="85" t="s">
        <v>23</v>
      </c>
      <c r="H215" s="157" t="s">
        <v>246</v>
      </c>
      <c r="I215" s="147" t="s">
        <v>188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200</v>
      </c>
      <c r="I216" s="1" t="s">
        <v>28</v>
      </c>
    </row>
    <row r="217" spans="1:9" ht="28.5">
      <c r="A217" s="49"/>
      <c r="B217" s="105" t="s">
        <v>138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190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188</v>
      </c>
      <c r="H219" s="118" t="s">
        <v>246</v>
      </c>
      <c r="I219" s="111" t="s">
        <v>188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228</v>
      </c>
      <c r="C221" s="12">
        <v>2E-3</v>
      </c>
      <c r="D221" s="12">
        <v>2E-3</v>
      </c>
      <c r="E221" s="12">
        <v>2.5000000000000001E-3</v>
      </c>
      <c r="F221" s="138" t="s">
        <v>188</v>
      </c>
      <c r="G221" s="139" t="s">
        <v>188</v>
      </c>
      <c r="H221" s="140" t="s">
        <v>188</v>
      </c>
      <c r="I221" s="146" t="s">
        <v>188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9" t="s">
        <v>188</v>
      </c>
      <c r="D225" s="133" t="s">
        <v>225</v>
      </c>
      <c r="E225" s="120" t="s">
        <v>224</v>
      </c>
      <c r="F225" s="120" t="s">
        <v>199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139</v>
      </c>
      <c r="C226" s="127" t="s">
        <v>188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192</v>
      </c>
      <c r="I227" s="1" t="s">
        <v>28</v>
      </c>
    </row>
    <row r="228" spans="1:9" ht="28.5">
      <c r="A228" s="49"/>
      <c r="B228" s="224" t="s">
        <v>138</v>
      </c>
      <c r="C228" s="127" t="s">
        <v>188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188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188</v>
      </c>
      <c r="H230" s="118" t="s">
        <v>246</v>
      </c>
      <c r="I230" s="111" t="s">
        <v>188</v>
      </c>
    </row>
    <row r="231" spans="1:9">
      <c r="A231" s="49"/>
      <c r="B231" s="223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228</v>
      </c>
      <c r="C232" s="134" t="s">
        <v>188</v>
      </c>
      <c r="D232" s="66">
        <v>2.5000000000000001E-3</v>
      </c>
      <c r="E232" s="12">
        <v>2.5000000000000001E-3</v>
      </c>
      <c r="F232" s="138" t="s">
        <v>188</v>
      </c>
      <c r="G232" s="139" t="s">
        <v>188</v>
      </c>
      <c r="H232" s="140" t="s">
        <v>188</v>
      </c>
      <c r="I232" s="146" t="s">
        <v>188</v>
      </c>
    </row>
    <row r="233" spans="1:9" ht="15">
      <c r="A233" s="18"/>
      <c r="B233" s="159" t="s">
        <v>195</v>
      </c>
      <c r="C233" s="159" t="s">
        <v>195</v>
      </c>
      <c r="D233" s="159" t="s">
        <v>195</v>
      </c>
      <c r="E233" s="160" t="s">
        <v>195</v>
      </c>
      <c r="F233" s="160" t="s">
        <v>195</v>
      </c>
      <c r="G233" s="160" t="s">
        <v>195</v>
      </c>
      <c r="H233" s="160" t="s">
        <v>195</v>
      </c>
      <c r="I233" s="169" t="s">
        <v>195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226</v>
      </c>
      <c r="D237" s="120" t="s">
        <v>225</v>
      </c>
      <c r="E237" s="120" t="s">
        <v>224</v>
      </c>
      <c r="F237" s="120" t="s">
        <v>199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221">
        <v>0.15</v>
      </c>
      <c r="G239" s="85" t="s">
        <v>24</v>
      </c>
      <c r="H239" s="220" t="s">
        <v>52</v>
      </c>
      <c r="I239" s="1" t="s">
        <v>14</v>
      </c>
    </row>
    <row r="240" spans="1:9">
      <c r="A240" s="49"/>
      <c r="B240" s="105" t="s">
        <v>138</v>
      </c>
      <c r="C240" s="113">
        <v>0</v>
      </c>
      <c r="D240" s="113">
        <v>0</v>
      </c>
      <c r="E240" s="113">
        <v>0</v>
      </c>
      <c r="F240" s="113" t="s">
        <v>188</v>
      </c>
      <c r="G240" s="86" t="s">
        <v>23</v>
      </c>
      <c r="H240" s="113" t="s">
        <v>246</v>
      </c>
      <c r="I240" s="132" t="s">
        <v>188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3">
        <v>0.28000000000000003</v>
      </c>
      <c r="G241" s="86" t="s">
        <v>24</v>
      </c>
      <c r="H241" s="4" t="s">
        <v>215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1.3699999999999999</v>
      </c>
      <c r="G242" s="117" t="s">
        <v>188</v>
      </c>
      <c r="H242" s="118" t="s">
        <v>246</v>
      </c>
      <c r="I242" s="111" t="s">
        <v>188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228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188</v>
      </c>
      <c r="G244" s="139" t="s">
        <v>188</v>
      </c>
      <c r="H244" s="140" t="s">
        <v>188</v>
      </c>
      <c r="I244" s="146" t="s">
        <v>188</v>
      </c>
    </row>
    <row r="245" spans="1:9" ht="15">
      <c r="A245" s="18"/>
      <c r="B245" s="159" t="s">
        <v>188</v>
      </c>
      <c r="C245" s="159" t="s">
        <v>188</v>
      </c>
      <c r="D245" s="159" t="s">
        <v>188</v>
      </c>
      <c r="E245" s="160" t="s">
        <v>188</v>
      </c>
      <c r="F245" s="160" t="s">
        <v>188</v>
      </c>
      <c r="G245" s="160" t="s">
        <v>188</v>
      </c>
      <c r="H245" s="160" t="s">
        <v>188</v>
      </c>
      <c r="I245" s="169" t="s">
        <v>188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9" t="s">
        <v>188</v>
      </c>
      <c r="D247" s="240" t="s">
        <v>189</v>
      </c>
      <c r="E247" s="120" t="s">
        <v>223</v>
      </c>
      <c r="F247" s="120" t="s">
        <v>199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139</v>
      </c>
      <c r="C248" s="127" t="s">
        <v>188</v>
      </c>
      <c r="D248" s="128" t="s">
        <v>188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221</v>
      </c>
    </row>
    <row r="249" spans="1:9">
      <c r="A249" s="50"/>
      <c r="B249" s="223" t="s">
        <v>2</v>
      </c>
      <c r="C249" s="129" t="s">
        <v>188</v>
      </c>
      <c r="D249" s="130" t="s">
        <v>188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138</v>
      </c>
      <c r="C250" s="127" t="s">
        <v>188</v>
      </c>
      <c r="D250" s="128" t="s">
        <v>188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188</v>
      </c>
      <c r="D251" s="130" t="s">
        <v>188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188</v>
      </c>
      <c r="D252" s="130" t="s">
        <v>188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188</v>
      </c>
      <c r="D253" s="130" t="s">
        <v>188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188</v>
      </c>
      <c r="D254" s="130" t="s">
        <v>188</v>
      </c>
      <c r="E254" s="137">
        <v>0</v>
      </c>
      <c r="F254" s="113" t="s">
        <v>188</v>
      </c>
      <c r="G254" s="87" t="s">
        <v>3</v>
      </c>
      <c r="H254" s="132" t="s">
        <v>188</v>
      </c>
      <c r="I254" s="145" t="s">
        <v>188</v>
      </c>
    </row>
    <row r="255" spans="1:9" ht="15.75">
      <c r="A255" s="50"/>
      <c r="B255" s="230" t="s">
        <v>12</v>
      </c>
      <c r="C255" s="125" t="s">
        <v>188</v>
      </c>
      <c r="D255" s="126" t="s">
        <v>188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188</v>
      </c>
      <c r="D256" s="128" t="s">
        <v>188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188</v>
      </c>
    </row>
    <row r="257" spans="1:9" ht="15">
      <c r="A257" s="50"/>
      <c r="B257" s="225" t="s">
        <v>5</v>
      </c>
      <c r="C257" s="129" t="s">
        <v>188</v>
      </c>
      <c r="D257" s="130" t="s">
        <v>188</v>
      </c>
      <c r="E257" s="27">
        <f>SUBTOTAL(109,E248:E256)</f>
        <v>1.0430000000000001</v>
      </c>
      <c r="F257" s="27">
        <f>SUBTOTAL(109,F248:F256)</f>
        <v>1.29</v>
      </c>
      <c r="G257" s="117" t="s">
        <v>188</v>
      </c>
      <c r="H257" s="118" t="s">
        <v>188</v>
      </c>
      <c r="I257" s="112" t="s">
        <v>188</v>
      </c>
    </row>
    <row r="258" spans="1:9">
      <c r="A258" s="50"/>
      <c r="B258" s="223" t="s">
        <v>6</v>
      </c>
      <c r="C258" s="127" t="s">
        <v>188</v>
      </c>
      <c r="D258" s="128" t="s">
        <v>188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228</v>
      </c>
      <c r="C259" s="134" t="s">
        <v>188</v>
      </c>
      <c r="D259" s="135" t="s">
        <v>188</v>
      </c>
      <c r="E259" s="66">
        <v>1.9E-3</v>
      </c>
      <c r="F259" s="111" t="s">
        <v>188</v>
      </c>
      <c r="G259" s="131" t="s">
        <v>188</v>
      </c>
      <c r="H259" s="131" t="s">
        <v>188</v>
      </c>
      <c r="I259" s="146" t="s">
        <v>188</v>
      </c>
    </row>
    <row r="260" spans="1:9" ht="15">
      <c r="A260" s="18"/>
      <c r="B260" s="15"/>
      <c r="C260" s="15"/>
      <c r="D260" s="15"/>
      <c r="E260" s="160" t="s">
        <v>246</v>
      </c>
      <c r="F260" s="160" t="s">
        <v>246</v>
      </c>
      <c r="G260" s="160" t="s">
        <v>246</v>
      </c>
      <c r="H260" s="160" t="s">
        <v>246</v>
      </c>
      <c r="I260" s="169" t="s">
        <v>246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9" t="s">
        <v>188</v>
      </c>
      <c r="D262" s="241" t="s">
        <v>189</v>
      </c>
      <c r="E262" s="120" t="s">
        <v>223</v>
      </c>
      <c r="F262" s="120" t="s">
        <v>199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139</v>
      </c>
      <c r="C263" s="127" t="s">
        <v>188</v>
      </c>
      <c r="D263" s="108" t="s">
        <v>189</v>
      </c>
      <c r="E263" s="5" t="s">
        <v>239</v>
      </c>
      <c r="F263" s="5" t="s">
        <v>240</v>
      </c>
      <c r="G263" s="85" t="s">
        <v>4</v>
      </c>
      <c r="H263" s="7" t="s">
        <v>66</v>
      </c>
      <c r="I263" s="6" t="s">
        <v>230</v>
      </c>
    </row>
    <row r="264" spans="1:9">
      <c r="A264" s="50"/>
      <c r="B264" s="223" t="s">
        <v>2</v>
      </c>
      <c r="C264" s="129" t="s">
        <v>188</v>
      </c>
      <c r="D264" s="109" t="s">
        <v>188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138</v>
      </c>
      <c r="C265" s="127" t="s">
        <v>188</v>
      </c>
      <c r="D265" s="108" t="s">
        <v>188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188</v>
      </c>
      <c r="D266" s="109" t="s">
        <v>188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188</v>
      </c>
      <c r="D267" s="109" t="s">
        <v>188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188</v>
      </c>
      <c r="D268" s="109" t="s">
        <v>188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188</v>
      </c>
      <c r="D269" s="109" t="s">
        <v>188</v>
      </c>
      <c r="E269" s="113">
        <v>0</v>
      </c>
      <c r="F269" s="113" t="s">
        <v>188</v>
      </c>
      <c r="G269" s="87" t="s">
        <v>3</v>
      </c>
      <c r="H269" s="132" t="s">
        <v>246</v>
      </c>
      <c r="I269" s="145" t="s">
        <v>188</v>
      </c>
    </row>
    <row r="270" spans="1:9" ht="15.75">
      <c r="A270" s="50"/>
      <c r="B270" s="230" t="s">
        <v>12</v>
      </c>
      <c r="C270" s="125" t="s">
        <v>188</v>
      </c>
      <c r="D270" s="107" t="s">
        <v>188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188</v>
      </c>
      <c r="D271" s="108" t="s">
        <v>188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188</v>
      </c>
    </row>
    <row r="272" spans="1:9" ht="15">
      <c r="A272" s="50"/>
      <c r="B272" s="225" t="s">
        <v>5</v>
      </c>
      <c r="C272" s="129" t="s">
        <v>188</v>
      </c>
      <c r="D272" s="109" t="s">
        <v>188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188</v>
      </c>
      <c r="H272" s="118" t="s">
        <v>246</v>
      </c>
      <c r="I272" s="112" t="s">
        <v>188</v>
      </c>
    </row>
    <row r="273" spans="1:9">
      <c r="A273" s="50"/>
      <c r="B273" s="223" t="s">
        <v>6</v>
      </c>
      <c r="C273" s="127" t="s">
        <v>188</v>
      </c>
      <c r="D273" s="108" t="s">
        <v>188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228</v>
      </c>
      <c r="C274" s="134" t="s">
        <v>188</v>
      </c>
      <c r="D274" s="242" t="s">
        <v>188</v>
      </c>
      <c r="E274" s="66">
        <v>1.9E-3</v>
      </c>
      <c r="F274" s="111" t="s">
        <v>188</v>
      </c>
      <c r="G274" s="131" t="s">
        <v>188</v>
      </c>
      <c r="H274" s="131" t="s">
        <v>188</v>
      </c>
      <c r="I274" s="146" t="s">
        <v>188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3" t="s">
        <v>0</v>
      </c>
      <c r="C277" s="239" t="s">
        <v>188</v>
      </c>
      <c r="D277" s="241" t="s">
        <v>189</v>
      </c>
      <c r="E277" s="120" t="s">
        <v>223</v>
      </c>
      <c r="F277" s="120" t="s">
        <v>199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139</v>
      </c>
      <c r="C278" s="127" t="s">
        <v>188</v>
      </c>
      <c r="D278" s="108" t="s">
        <v>188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230</v>
      </c>
    </row>
    <row r="279" spans="1:9">
      <c r="A279" s="50"/>
      <c r="B279" s="223" t="s">
        <v>2</v>
      </c>
      <c r="C279" s="129" t="s">
        <v>188</v>
      </c>
      <c r="D279" s="109" t="s">
        <v>188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138</v>
      </c>
      <c r="C280" s="127" t="s">
        <v>188</v>
      </c>
      <c r="D280" s="108" t="s">
        <v>188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188</v>
      </c>
      <c r="D281" s="109" t="s">
        <v>188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188</v>
      </c>
      <c r="D282" s="109" t="s">
        <v>188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188</v>
      </c>
      <c r="D283" s="109" t="s">
        <v>188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188</v>
      </c>
      <c r="D284" s="109" t="s">
        <v>188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188</v>
      </c>
      <c r="D285" s="107" t="s">
        <v>188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188</v>
      </c>
      <c r="D286" s="108" t="s">
        <v>188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188</v>
      </c>
    </row>
    <row r="287" spans="1:9" ht="15">
      <c r="A287" s="50"/>
      <c r="B287" s="225" t="s">
        <v>5</v>
      </c>
      <c r="C287" s="129" t="s">
        <v>188</v>
      </c>
      <c r="D287" s="109" t="s">
        <v>188</v>
      </c>
      <c r="E287" s="99">
        <f>SUBTOTAL(109,E278:E286)</f>
        <v>1.4681</v>
      </c>
      <c r="F287" s="99">
        <f>SUBTOTAL(109,F278:F286)</f>
        <v>1.6800000000000004</v>
      </c>
      <c r="G287" s="117" t="s">
        <v>188</v>
      </c>
      <c r="H287" s="118" t="s">
        <v>188</v>
      </c>
      <c r="I287" s="112" t="s">
        <v>188</v>
      </c>
    </row>
    <row r="288" spans="1:9">
      <c r="A288" s="50"/>
      <c r="B288" s="223" t="s">
        <v>6</v>
      </c>
      <c r="C288" s="127" t="s">
        <v>188</v>
      </c>
      <c r="D288" s="108" t="s">
        <v>188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228</v>
      </c>
      <c r="C289" s="134" t="s">
        <v>188</v>
      </c>
      <c r="D289" s="242" t="s">
        <v>188</v>
      </c>
      <c r="E289" s="66">
        <v>1.9E-3</v>
      </c>
      <c r="F289" s="111" t="s">
        <v>188</v>
      </c>
      <c r="G289" s="131" t="s">
        <v>188</v>
      </c>
      <c r="H289" s="131" t="s">
        <v>188</v>
      </c>
      <c r="I289" s="146" t="s">
        <v>188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9" t="s">
        <v>188</v>
      </c>
      <c r="D292" s="241" t="s">
        <v>189</v>
      </c>
      <c r="E292" s="120" t="s">
        <v>223</v>
      </c>
      <c r="F292" s="120" t="s">
        <v>199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139</v>
      </c>
      <c r="C293" s="127" t="s">
        <v>188</v>
      </c>
      <c r="D293" s="108" t="s">
        <v>189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230</v>
      </c>
    </row>
    <row r="294" spans="1:9">
      <c r="A294" s="50"/>
      <c r="B294" s="223" t="s">
        <v>2</v>
      </c>
      <c r="C294" s="129" t="s">
        <v>188</v>
      </c>
      <c r="D294" s="109" t="s">
        <v>188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138</v>
      </c>
      <c r="C295" s="127" t="s">
        <v>188</v>
      </c>
      <c r="D295" s="108" t="s">
        <v>188</v>
      </c>
      <c r="E295" s="3">
        <v>9.3100000000000002E-2</v>
      </c>
      <c r="F295" s="3">
        <v>0.14000000000000001</v>
      </c>
      <c r="G295" s="86" t="s">
        <v>4</v>
      </c>
      <c r="H295" s="4" t="s">
        <v>124</v>
      </c>
      <c r="I295" s="1" t="s">
        <v>15</v>
      </c>
    </row>
    <row r="296" spans="1:9">
      <c r="A296" s="50"/>
      <c r="B296" s="223" t="s">
        <v>12</v>
      </c>
      <c r="C296" s="129" t="s">
        <v>188</v>
      </c>
      <c r="D296" s="109" t="s">
        <v>188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188</v>
      </c>
      <c r="D297" s="109" t="s">
        <v>188</v>
      </c>
      <c r="E297" s="27">
        <f>SUBTOTAL(109,E293:E296)</f>
        <v>1.4542999999999999</v>
      </c>
      <c r="F297" s="27">
        <f>SUBTOTAL(109,F293:F296)</f>
        <v>1.48</v>
      </c>
      <c r="G297" s="117" t="s">
        <v>188</v>
      </c>
      <c r="H297" s="118" t="s">
        <v>246</v>
      </c>
      <c r="I297" s="112" t="s">
        <v>188</v>
      </c>
    </row>
    <row r="298" spans="1:9">
      <c r="A298" s="50"/>
      <c r="B298" s="223" t="s">
        <v>6</v>
      </c>
      <c r="C298" s="129" t="s">
        <v>188</v>
      </c>
      <c r="D298" s="109" t="s">
        <v>188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228</v>
      </c>
      <c r="C299" s="129" t="s">
        <v>188</v>
      </c>
      <c r="D299" s="109" t="s">
        <v>188</v>
      </c>
      <c r="E299" s="66">
        <v>1.5E-3</v>
      </c>
      <c r="F299" s="111" t="s">
        <v>188</v>
      </c>
      <c r="G299" s="131" t="s">
        <v>188</v>
      </c>
      <c r="H299" s="131" t="s">
        <v>188</v>
      </c>
      <c r="I299" s="146" t="s">
        <v>188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125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9" t="s">
        <v>188</v>
      </c>
      <c r="D302" s="241" t="s">
        <v>189</v>
      </c>
      <c r="E302" s="120" t="s">
        <v>223</v>
      </c>
      <c r="F302" s="120" t="s">
        <v>199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139</v>
      </c>
      <c r="C303" s="127" t="s">
        <v>188</v>
      </c>
      <c r="D303" s="108" t="s">
        <v>189</v>
      </c>
      <c r="E303" s="5" t="s">
        <v>234</v>
      </c>
      <c r="F303" s="5" t="s">
        <v>235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188</v>
      </c>
      <c r="D304" s="109" t="s">
        <v>188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138</v>
      </c>
      <c r="C305" s="127" t="s">
        <v>188</v>
      </c>
      <c r="D305" s="108" t="s">
        <v>188</v>
      </c>
      <c r="E305" s="3">
        <v>0.28149999999999997</v>
      </c>
      <c r="F305" s="3">
        <v>0.34</v>
      </c>
      <c r="G305" s="86" t="s">
        <v>4</v>
      </c>
      <c r="H305" s="4" t="s">
        <v>126</v>
      </c>
      <c r="I305" s="1" t="s">
        <v>26</v>
      </c>
    </row>
    <row r="306" spans="1:9">
      <c r="A306" s="50"/>
      <c r="B306" s="223" t="s">
        <v>12</v>
      </c>
      <c r="C306" s="129" t="s">
        <v>188</v>
      </c>
      <c r="D306" s="109" t="s">
        <v>188</v>
      </c>
      <c r="E306" s="3">
        <v>0.23449999999999999</v>
      </c>
      <c r="F306" s="3">
        <v>0.21</v>
      </c>
      <c r="G306" s="86" t="s">
        <v>3</v>
      </c>
      <c r="H306" s="9" t="s">
        <v>127</v>
      </c>
      <c r="I306" s="9" t="s">
        <v>18</v>
      </c>
    </row>
    <row r="307" spans="1:9" ht="15">
      <c r="A307" s="50"/>
      <c r="B307" s="225" t="s">
        <v>5</v>
      </c>
      <c r="C307" s="129" t="s">
        <v>188</v>
      </c>
      <c r="D307" s="109" t="s">
        <v>188</v>
      </c>
      <c r="E307" s="27">
        <f>SUBTOTAL(109,E303:E306)</f>
        <v>0.748</v>
      </c>
      <c r="F307" s="27">
        <f>SUBTOTAL(109,F303:F306)</f>
        <v>0.8</v>
      </c>
      <c r="G307" s="117" t="s">
        <v>188</v>
      </c>
      <c r="H307" s="118" t="s">
        <v>246</v>
      </c>
      <c r="I307" s="112" t="s">
        <v>188</v>
      </c>
    </row>
    <row r="308" spans="1:9">
      <c r="A308" s="50"/>
      <c r="B308" s="223" t="s">
        <v>6</v>
      </c>
      <c r="C308" s="129" t="s">
        <v>188</v>
      </c>
      <c r="D308" s="109" t="s">
        <v>188</v>
      </c>
      <c r="E308" s="11">
        <v>0.83679999999999999</v>
      </c>
      <c r="F308" s="11">
        <v>0.81</v>
      </c>
      <c r="G308" s="86" t="s">
        <v>4</v>
      </c>
      <c r="H308" s="9" t="s">
        <v>128</v>
      </c>
      <c r="I308" s="1" t="s">
        <v>19</v>
      </c>
    </row>
    <row r="309" spans="1:9" ht="15">
      <c r="A309" s="50"/>
      <c r="B309" s="227" t="s">
        <v>228</v>
      </c>
      <c r="C309" s="129" t="s">
        <v>188</v>
      </c>
      <c r="D309" s="109" t="s">
        <v>188</v>
      </c>
      <c r="E309" s="66">
        <v>3.0000000000000001E-3</v>
      </c>
      <c r="F309" s="111" t="s">
        <v>188</v>
      </c>
      <c r="G309" s="131" t="s">
        <v>188</v>
      </c>
      <c r="H309" s="131" t="s">
        <v>188</v>
      </c>
      <c r="I309" s="146" t="s">
        <v>188</v>
      </c>
    </row>
    <row r="310" spans="1:9" ht="15.75">
      <c r="A310" s="54" t="s">
        <v>8</v>
      </c>
      <c r="B310" s="15"/>
      <c r="C310" s="15"/>
      <c r="D310" s="15"/>
      <c r="E310" s="17"/>
      <c r="F310" s="16"/>
      <c r="G310" s="88"/>
      <c r="H310" s="17"/>
      <c r="I310" s="167"/>
    </row>
    <row r="311" spans="1:9" s="95" customFormat="1">
      <c r="A311" s="59" t="s">
        <v>136</v>
      </c>
      <c r="B311" s="244" t="s">
        <v>246</v>
      </c>
      <c r="C311" s="244" t="s">
        <v>247</v>
      </c>
      <c r="D311" s="244" t="s">
        <v>248</v>
      </c>
      <c r="E311" s="245" t="s">
        <v>249</v>
      </c>
      <c r="F311" s="58"/>
      <c r="G311" s="92"/>
      <c r="H311" s="58"/>
      <c r="I311" s="83"/>
    </row>
    <row r="312" spans="1:9">
      <c r="A312" s="57" t="s">
        <v>135</v>
      </c>
      <c r="B312" s="246" t="s">
        <v>246</v>
      </c>
      <c r="C312" s="246" t="s">
        <v>246</v>
      </c>
      <c r="D312" s="246" t="s">
        <v>246</v>
      </c>
      <c r="E312" s="247" t="s">
        <v>246</v>
      </c>
      <c r="F312" s="56"/>
      <c r="G312" s="93"/>
      <c r="H312" s="56"/>
      <c r="I312" s="84"/>
    </row>
    <row r="313" spans="1:9" ht="15">
      <c r="A313" s="53"/>
      <c r="B313" s="15"/>
      <c r="C313" s="15"/>
      <c r="D313" s="15"/>
      <c r="E313" s="17"/>
      <c r="F313" s="16"/>
      <c r="G313" s="88"/>
      <c r="H313" s="17"/>
      <c r="I313" s="167"/>
    </row>
    <row r="10001" spans="10:52">
      <c r="J10001" s="94">
        <v>46</v>
      </c>
      <c r="K10001" s="94">
        <v>24</v>
      </c>
      <c r="L10001" s="94">
        <v>24</v>
      </c>
      <c r="M10001" s="94">
        <v>23</v>
      </c>
      <c r="N10001" s="94">
        <v>23</v>
      </c>
      <c r="AZ10001" s="94">
        <v>37</v>
      </c>
    </row>
  </sheetData>
  <mergeCells count="1">
    <mergeCell ref="A2:F2"/>
  </mergeCells>
  <hyperlinks>
    <hyperlink ref="A312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abSelected="1" topLeftCell="A156" zoomScale="55" zoomScaleNormal="55" workbookViewId="0">
      <selection activeCell="J181" sqref="J181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52" t="s">
        <v>251</v>
      </c>
    </row>
    <row r="2" spans="1:14" ht="94.35" customHeight="1">
      <c r="A2" s="253" t="s">
        <v>198</v>
      </c>
      <c r="B2" s="253"/>
      <c r="C2" s="253"/>
      <c r="D2" s="253"/>
      <c r="E2" s="253"/>
      <c r="F2" s="190"/>
      <c r="G2" s="191"/>
      <c r="H2" s="254" t="s">
        <v>222</v>
      </c>
      <c r="I2" s="254"/>
      <c r="J2" s="254"/>
      <c r="K2" s="254"/>
      <c r="L2" s="192"/>
      <c r="M2" s="192"/>
      <c r="N2" s="193"/>
    </row>
    <row r="3" spans="1:14" ht="51.75" customHeight="1">
      <c r="A3" s="19" t="s">
        <v>36</v>
      </c>
      <c r="B3" s="32" t="s">
        <v>129</v>
      </c>
      <c r="C3" s="33"/>
      <c r="D3" s="34"/>
      <c r="E3" s="81"/>
      <c r="F3" s="33"/>
      <c r="G3" s="170"/>
      <c r="H3" s="194" t="s">
        <v>36</v>
      </c>
      <c r="I3" s="32" t="s">
        <v>142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223</v>
      </c>
      <c r="D4" s="120" t="s">
        <v>199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223</v>
      </c>
      <c r="K4" s="120" t="s">
        <v>199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170</v>
      </c>
      <c r="C5" s="5">
        <v>0.2792</v>
      </c>
      <c r="D5" s="5">
        <v>0.3</v>
      </c>
      <c r="E5" s="143" t="s">
        <v>188</v>
      </c>
      <c r="F5" s="144" t="s">
        <v>188</v>
      </c>
      <c r="G5" s="144" t="s">
        <v>188</v>
      </c>
      <c r="H5" s="195"/>
      <c r="I5" s="154" t="s">
        <v>188</v>
      </c>
      <c r="J5" s="155" t="s">
        <v>188</v>
      </c>
      <c r="K5" s="155" t="s">
        <v>188</v>
      </c>
      <c r="L5" s="144" t="s">
        <v>188</v>
      </c>
      <c r="M5" s="144" t="s">
        <v>188</v>
      </c>
      <c r="N5" s="144" t="s">
        <v>188</v>
      </c>
    </row>
    <row r="6" spans="1:14" ht="34.5" customHeight="1">
      <c r="A6" s="20"/>
      <c r="B6" s="104" t="s">
        <v>139</v>
      </c>
      <c r="C6" s="5">
        <v>0.58360000000000001</v>
      </c>
      <c r="D6" s="5">
        <v>0.57999999999999996</v>
      </c>
      <c r="E6" s="6" t="s">
        <v>4</v>
      </c>
      <c r="F6" s="7" t="s">
        <v>208</v>
      </c>
      <c r="G6" s="6" t="s">
        <v>221</v>
      </c>
      <c r="H6" s="195"/>
      <c r="I6" s="104" t="s">
        <v>231</v>
      </c>
      <c r="J6" s="5">
        <v>0.56100000000000005</v>
      </c>
      <c r="K6" s="5">
        <v>0.56000000000000005</v>
      </c>
      <c r="L6" s="6" t="s">
        <v>4</v>
      </c>
      <c r="M6" s="7" t="s">
        <v>209</v>
      </c>
      <c r="N6" s="6" t="s">
        <v>221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207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5"/>
      <c r="I8" s="104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188</v>
      </c>
      <c r="H9" s="195"/>
      <c r="I9" s="104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188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188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188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188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188</v>
      </c>
    </row>
    <row r="12" spans="1:14">
      <c r="A12" s="20"/>
      <c r="B12" s="104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188</v>
      </c>
      <c r="H12" s="195"/>
      <c r="I12" s="104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188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188</v>
      </c>
      <c r="F13" s="118" t="s">
        <v>246</v>
      </c>
      <c r="G13" s="112" t="s">
        <v>188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1.4400000000000002</v>
      </c>
      <c r="L13" s="118" t="s">
        <v>188</v>
      </c>
      <c r="M13" s="118" t="s">
        <v>188</v>
      </c>
      <c r="N13" s="112" t="s">
        <v>188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228</v>
      </c>
      <c r="C15" s="12">
        <v>2.7000000000000001E-3</v>
      </c>
      <c r="D15" s="196" t="s">
        <v>188</v>
      </c>
      <c r="E15" s="131" t="s">
        <v>188</v>
      </c>
      <c r="F15" s="131" t="s">
        <v>188</v>
      </c>
      <c r="G15" s="171" t="s">
        <v>188</v>
      </c>
      <c r="H15" s="195"/>
      <c r="I15" s="106" t="s">
        <v>228</v>
      </c>
      <c r="J15" s="12">
        <v>2.3999999999999998E-3</v>
      </c>
      <c r="K15" s="196" t="s">
        <v>188</v>
      </c>
      <c r="L15" s="131" t="s">
        <v>188</v>
      </c>
      <c r="M15" s="131" t="s">
        <v>188</v>
      </c>
      <c r="N15" s="171" t="s">
        <v>188</v>
      </c>
    </row>
    <row r="16" spans="1:14" ht="21" customHeight="1">
      <c r="A16" s="70"/>
      <c r="B16" s="161" t="s">
        <v>195</v>
      </c>
      <c r="C16" s="162" t="s">
        <v>195</v>
      </c>
      <c r="D16" s="162" t="s">
        <v>195</v>
      </c>
      <c r="E16" s="162" t="s">
        <v>195</v>
      </c>
      <c r="F16" s="162" t="s">
        <v>195</v>
      </c>
      <c r="G16" s="172" t="s">
        <v>195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140</v>
      </c>
      <c r="C17" s="33"/>
      <c r="D17" s="34"/>
      <c r="E17" s="81"/>
      <c r="F17" s="33"/>
      <c r="G17" s="170"/>
      <c r="H17" s="194" t="s">
        <v>36</v>
      </c>
      <c r="I17" s="32" t="s">
        <v>143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223</v>
      </c>
      <c r="D18" s="120" t="s">
        <v>199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223</v>
      </c>
      <c r="K18" s="120" t="s">
        <v>199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170</v>
      </c>
      <c r="C19" s="5">
        <v>0.28210000000000002</v>
      </c>
      <c r="D19" s="5">
        <v>0.3</v>
      </c>
      <c r="E19" s="143" t="s">
        <v>188</v>
      </c>
      <c r="F19" s="144" t="s">
        <v>188</v>
      </c>
      <c r="G19" s="144" t="s">
        <v>188</v>
      </c>
      <c r="H19" s="195"/>
      <c r="I19" s="154" t="s">
        <v>188</v>
      </c>
      <c r="J19" s="155" t="s">
        <v>188</v>
      </c>
      <c r="K19" s="155" t="s">
        <v>188</v>
      </c>
      <c r="L19" s="144" t="s">
        <v>188</v>
      </c>
      <c r="M19" s="144" t="s">
        <v>188</v>
      </c>
      <c r="N19" s="144" t="s">
        <v>188</v>
      </c>
    </row>
    <row r="20" spans="1:14" ht="41.25" customHeight="1">
      <c r="A20" s="20"/>
      <c r="B20" s="104" t="s">
        <v>139</v>
      </c>
      <c r="C20" s="5">
        <v>0.4849</v>
      </c>
      <c r="D20" s="5">
        <v>0.45</v>
      </c>
      <c r="E20" s="6" t="s">
        <v>4</v>
      </c>
      <c r="F20" s="7" t="s">
        <v>66</v>
      </c>
      <c r="G20" s="6" t="s">
        <v>221</v>
      </c>
      <c r="H20" s="195"/>
      <c r="I20" s="104" t="s">
        <v>231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221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210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211</v>
      </c>
      <c r="N21" s="1" t="s">
        <v>14</v>
      </c>
    </row>
    <row r="22" spans="1:14" ht="33" customHeight="1">
      <c r="A22" s="20"/>
      <c r="B22" s="105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5"/>
      <c r="I22" s="104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188</v>
      </c>
      <c r="H23" s="195"/>
      <c r="I23" s="104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188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188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188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188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188</v>
      </c>
    </row>
    <row r="26" spans="1:14">
      <c r="A26" s="20"/>
      <c r="B26" s="104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188</v>
      </c>
      <c r="H26" s="195"/>
      <c r="I26" s="104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188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1.3800000000000001</v>
      </c>
      <c r="E27" s="117" t="s">
        <v>188</v>
      </c>
      <c r="F27" s="118" t="s">
        <v>188</v>
      </c>
      <c r="G27" s="112" t="s">
        <v>188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188</v>
      </c>
      <c r="M27" s="118" t="s">
        <v>188</v>
      </c>
      <c r="N27" s="112" t="s">
        <v>188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228</v>
      </c>
      <c r="C29" s="12">
        <v>2.3999999999999998E-3</v>
      </c>
      <c r="D29" s="196" t="s">
        <v>188</v>
      </c>
      <c r="E29" s="131" t="s">
        <v>188</v>
      </c>
      <c r="F29" s="131" t="s">
        <v>188</v>
      </c>
      <c r="G29" s="171" t="s">
        <v>188</v>
      </c>
      <c r="H29" s="195"/>
      <c r="I29" s="106" t="s">
        <v>228</v>
      </c>
      <c r="J29" s="12">
        <v>2.3999999999999998E-3</v>
      </c>
      <c r="K29" s="196" t="s">
        <v>188</v>
      </c>
      <c r="L29" s="131" t="s">
        <v>188</v>
      </c>
      <c r="M29" s="131" t="s">
        <v>188</v>
      </c>
      <c r="N29" s="171" t="s">
        <v>188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141</v>
      </c>
      <c r="C31" s="33"/>
      <c r="D31" s="34"/>
      <c r="E31" s="81"/>
      <c r="F31" s="33"/>
      <c r="G31" s="170"/>
      <c r="H31" s="194" t="s">
        <v>36</v>
      </c>
      <c r="I31" s="32" t="s">
        <v>144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223</v>
      </c>
      <c r="D32" s="120" t="s">
        <v>199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223</v>
      </c>
      <c r="K32" s="120" t="s">
        <v>199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170</v>
      </c>
      <c r="C33" s="3" t="s">
        <v>241</v>
      </c>
      <c r="D33" s="5" t="s">
        <v>196</v>
      </c>
      <c r="E33" s="143" t="s">
        <v>188</v>
      </c>
      <c r="F33" s="144" t="s">
        <v>189</v>
      </c>
      <c r="G33" s="144" t="s">
        <v>197</v>
      </c>
      <c r="H33" s="195"/>
      <c r="I33" s="154" t="s">
        <v>188</v>
      </c>
      <c r="J33" s="155" t="s">
        <v>188</v>
      </c>
      <c r="K33" s="155" t="s">
        <v>188</v>
      </c>
      <c r="L33" s="144" t="s">
        <v>188</v>
      </c>
      <c r="M33" s="144" t="s">
        <v>188</v>
      </c>
      <c r="N33" s="144" t="s">
        <v>188</v>
      </c>
    </row>
    <row r="34" spans="1:14" ht="38.25" customHeight="1">
      <c r="A34" s="20"/>
      <c r="B34" s="104" t="s">
        <v>139</v>
      </c>
      <c r="C34" s="5">
        <v>0.27360000000000001</v>
      </c>
      <c r="D34" s="5">
        <v>0.25</v>
      </c>
      <c r="E34" s="6" t="s">
        <v>4</v>
      </c>
      <c r="F34" s="7" t="s">
        <v>57</v>
      </c>
      <c r="G34" s="6" t="s">
        <v>221</v>
      </c>
      <c r="H34" s="195"/>
      <c r="I34" s="104" t="s">
        <v>231</v>
      </c>
      <c r="J34" s="5">
        <v>0.25459999999999999</v>
      </c>
      <c r="K34" s="5">
        <v>0.27</v>
      </c>
      <c r="L34" s="6" t="s">
        <v>4</v>
      </c>
      <c r="M34" s="7" t="s">
        <v>212</v>
      </c>
      <c r="N34" s="6" t="s">
        <v>221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213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5"/>
      <c r="I36" s="104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188</v>
      </c>
      <c r="H37" s="195"/>
      <c r="I37" s="104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188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188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188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188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188</v>
      </c>
    </row>
    <row r="40" spans="1:14">
      <c r="A40" s="20"/>
      <c r="B40" s="104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188</v>
      </c>
      <c r="H40" s="195"/>
      <c r="I40" s="104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188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0.9900000000000001</v>
      </c>
      <c r="E41" s="117" t="s">
        <v>188</v>
      </c>
      <c r="F41" s="118" t="s">
        <v>246</v>
      </c>
      <c r="G41" s="112" t="s">
        <v>188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188</v>
      </c>
      <c r="M41" s="118" t="s">
        <v>188</v>
      </c>
      <c r="N41" s="112" t="s">
        <v>188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1"/>
      <c r="B43" s="106" t="s">
        <v>228</v>
      </c>
      <c r="C43" s="12">
        <v>2.2000000000000001E-3</v>
      </c>
      <c r="D43" s="196" t="s">
        <v>188</v>
      </c>
      <c r="E43" s="131" t="s">
        <v>188</v>
      </c>
      <c r="F43" s="131" t="s">
        <v>188</v>
      </c>
      <c r="G43" s="171" t="s">
        <v>188</v>
      </c>
      <c r="H43" s="195"/>
      <c r="I43" s="106" t="s">
        <v>228</v>
      </c>
      <c r="J43" s="12">
        <v>2.3999999999999998E-3</v>
      </c>
      <c r="K43" s="196" t="s">
        <v>188</v>
      </c>
      <c r="L43" s="131" t="s">
        <v>188</v>
      </c>
      <c r="M43" s="131" t="s">
        <v>188</v>
      </c>
      <c r="N43" s="171" t="s">
        <v>188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145</v>
      </c>
      <c r="C45" s="37"/>
      <c r="D45" s="38"/>
      <c r="E45" s="82"/>
      <c r="F45" s="37"/>
      <c r="G45" s="170"/>
      <c r="H45" s="198" t="s">
        <v>67</v>
      </c>
      <c r="I45" s="36" t="s">
        <v>146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223</v>
      </c>
      <c r="D46" s="120" t="s">
        <v>199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223</v>
      </c>
      <c r="K46" s="120" t="s">
        <v>199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170</v>
      </c>
      <c r="C47" s="3">
        <v>0.2757</v>
      </c>
      <c r="D47" s="5" t="s">
        <v>196</v>
      </c>
      <c r="E47" s="143" t="s">
        <v>188</v>
      </c>
      <c r="F47" s="144" t="s">
        <v>189</v>
      </c>
      <c r="G47" s="144" t="s">
        <v>197</v>
      </c>
      <c r="H47" s="199"/>
      <c r="I47" s="154" t="s">
        <v>188</v>
      </c>
      <c r="J47" s="155" t="s">
        <v>188</v>
      </c>
      <c r="K47" s="155" t="s">
        <v>188</v>
      </c>
      <c r="L47" s="144" t="s">
        <v>188</v>
      </c>
      <c r="M47" s="144" t="s">
        <v>188</v>
      </c>
      <c r="N47" s="144" t="s">
        <v>188</v>
      </c>
    </row>
    <row r="48" spans="1:14" ht="57">
      <c r="A48" s="29"/>
      <c r="B48" s="104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221</v>
      </c>
      <c r="H48" s="199"/>
      <c r="I48" s="104" t="s">
        <v>231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221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214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215</v>
      </c>
      <c r="N49" s="1" t="s">
        <v>14</v>
      </c>
    </row>
    <row r="50" spans="1:14" ht="28.5">
      <c r="A50" s="29"/>
      <c r="B50" s="105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188</v>
      </c>
      <c r="H51" s="199"/>
      <c r="I51" s="104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188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188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188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188</v>
      </c>
      <c r="H54" s="199"/>
      <c r="I54" s="104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188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188</v>
      </c>
      <c r="F55" s="118" t="s">
        <v>246</v>
      </c>
      <c r="G55" s="112" t="s">
        <v>188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188</v>
      </c>
      <c r="M55" s="118" t="s">
        <v>188</v>
      </c>
      <c r="N55" s="112" t="s">
        <v>188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228</v>
      </c>
      <c r="C57" s="12">
        <v>1.4E-3</v>
      </c>
      <c r="D57" s="196" t="s">
        <v>188</v>
      </c>
      <c r="E57" s="131" t="s">
        <v>188</v>
      </c>
      <c r="F57" s="131" t="s">
        <v>188</v>
      </c>
      <c r="G57" s="171" t="s">
        <v>188</v>
      </c>
      <c r="H57" s="199"/>
      <c r="I57" s="106" t="s">
        <v>228</v>
      </c>
      <c r="J57" s="12">
        <v>1.4E-3</v>
      </c>
      <c r="K57" s="196" t="s">
        <v>188</v>
      </c>
      <c r="L57" s="131" t="s">
        <v>188</v>
      </c>
      <c r="M57" s="131" t="s">
        <v>188</v>
      </c>
      <c r="N57" s="171" t="s">
        <v>188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147</v>
      </c>
      <c r="C59" s="37"/>
      <c r="D59" s="38"/>
      <c r="E59" s="82"/>
      <c r="F59" s="37"/>
      <c r="G59" s="170"/>
      <c r="H59" s="198" t="s">
        <v>68</v>
      </c>
      <c r="I59" s="36" t="s">
        <v>148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223</v>
      </c>
      <c r="D60" s="120" t="s">
        <v>199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223</v>
      </c>
      <c r="K60" s="120" t="s">
        <v>199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170</v>
      </c>
      <c r="C61" s="5">
        <v>0.27400000000000002</v>
      </c>
      <c r="D61" s="5">
        <v>0.3</v>
      </c>
      <c r="E61" s="143" t="s">
        <v>188</v>
      </c>
      <c r="F61" s="144" t="s">
        <v>188</v>
      </c>
      <c r="G61" s="144" t="s">
        <v>188</v>
      </c>
      <c r="H61" s="199"/>
      <c r="I61" s="156" t="s">
        <v>188</v>
      </c>
      <c r="J61" s="155" t="s">
        <v>188</v>
      </c>
      <c r="K61" s="155" t="s">
        <v>188</v>
      </c>
      <c r="L61" s="144" t="s">
        <v>188</v>
      </c>
      <c r="M61" s="144" t="s">
        <v>188</v>
      </c>
      <c r="N61" s="144" t="s">
        <v>188</v>
      </c>
    </row>
    <row r="62" spans="1:14" ht="57">
      <c r="A62" s="29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221</v>
      </c>
      <c r="H62" s="199"/>
      <c r="I62" s="2" t="s">
        <v>231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221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216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217</v>
      </c>
      <c r="N64" s="1" t="s">
        <v>15</v>
      </c>
    </row>
    <row r="65" spans="1:14" ht="28.5">
      <c r="A65" s="29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188</v>
      </c>
      <c r="H65" s="199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188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188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188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188</v>
      </c>
      <c r="H68" s="199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188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188</v>
      </c>
      <c r="F69" s="118" t="s">
        <v>188</v>
      </c>
      <c r="G69" s="112" t="s">
        <v>188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188</v>
      </c>
      <c r="M69" s="118" t="s">
        <v>188</v>
      </c>
      <c r="N69" s="112" t="s">
        <v>188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228</v>
      </c>
      <c r="C71" s="12">
        <v>1.4E-3</v>
      </c>
      <c r="D71" s="196" t="s">
        <v>188</v>
      </c>
      <c r="E71" s="131" t="s">
        <v>188</v>
      </c>
      <c r="F71" s="131" t="s">
        <v>188</v>
      </c>
      <c r="G71" s="171" t="s">
        <v>188</v>
      </c>
      <c r="H71" s="199"/>
      <c r="I71" s="106" t="s">
        <v>228</v>
      </c>
      <c r="J71" s="12">
        <v>2E-3</v>
      </c>
      <c r="K71" s="196" t="s">
        <v>188</v>
      </c>
      <c r="L71" s="131" t="s">
        <v>188</v>
      </c>
      <c r="M71" s="131" t="s">
        <v>188</v>
      </c>
      <c r="N71" s="171" t="s">
        <v>188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149</v>
      </c>
      <c r="C73" s="37"/>
      <c r="D73" s="38"/>
      <c r="E73" s="82"/>
      <c r="F73" s="37"/>
      <c r="G73" s="170"/>
      <c r="H73" s="198" t="s">
        <v>70</v>
      </c>
      <c r="I73" s="36" t="s">
        <v>150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223</v>
      </c>
      <c r="D74" s="120" t="s">
        <v>199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223</v>
      </c>
      <c r="K74" s="120" t="s">
        <v>199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170</v>
      </c>
      <c r="C75" s="3">
        <v>0.2329</v>
      </c>
      <c r="D75" s="5">
        <v>0.3</v>
      </c>
      <c r="E75" s="143" t="s">
        <v>188</v>
      </c>
      <c r="F75" s="144" t="s">
        <v>188</v>
      </c>
      <c r="G75" s="144" t="s">
        <v>188</v>
      </c>
      <c r="H75" s="199"/>
      <c r="I75" s="154" t="s">
        <v>188</v>
      </c>
      <c r="J75" s="155" t="s">
        <v>188</v>
      </c>
      <c r="K75" s="155" t="s">
        <v>188</v>
      </c>
      <c r="L75" s="144" t="s">
        <v>188</v>
      </c>
      <c r="M75" s="144" t="s">
        <v>188</v>
      </c>
      <c r="N75" s="144" t="s">
        <v>188</v>
      </c>
    </row>
    <row r="76" spans="1:14" ht="28.5">
      <c r="A76" s="29"/>
      <c r="B76" s="104" t="s">
        <v>139</v>
      </c>
      <c r="C76" s="113">
        <v>0</v>
      </c>
      <c r="D76" s="5">
        <v>0</v>
      </c>
      <c r="E76" s="6" t="s">
        <v>4</v>
      </c>
      <c r="F76" s="157" t="s">
        <v>246</v>
      </c>
      <c r="G76" s="147" t="s">
        <v>188</v>
      </c>
      <c r="H76" s="199"/>
      <c r="I76" s="104" t="s">
        <v>231</v>
      </c>
      <c r="J76" s="157">
        <v>0</v>
      </c>
      <c r="K76" s="157" t="s">
        <v>188</v>
      </c>
      <c r="L76" s="6" t="s">
        <v>4</v>
      </c>
      <c r="M76" s="157" t="s">
        <v>246</v>
      </c>
      <c r="N76" s="147" t="s">
        <v>188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29"/>
      <c r="B78" s="105" t="s">
        <v>186</v>
      </c>
      <c r="C78" s="3">
        <v>2.0000000000000001E-4</v>
      </c>
      <c r="D78" s="3">
        <v>0</v>
      </c>
      <c r="E78" s="1" t="s">
        <v>4</v>
      </c>
      <c r="F78" s="113" t="s">
        <v>246</v>
      </c>
      <c r="G78" s="145" t="s">
        <v>188</v>
      </c>
      <c r="H78" s="199"/>
      <c r="I78" s="104" t="s">
        <v>187</v>
      </c>
      <c r="J78" s="113" t="s">
        <v>188</v>
      </c>
      <c r="K78" s="113" t="s">
        <v>188</v>
      </c>
      <c r="L78" s="1" t="s">
        <v>4</v>
      </c>
      <c r="M78" s="113" t="s">
        <v>246</v>
      </c>
      <c r="N78" s="145" t="s">
        <v>188</v>
      </c>
    </row>
    <row r="79" spans="1:14" ht="28.5">
      <c r="A79" s="29"/>
      <c r="B79" s="104" t="s">
        <v>171</v>
      </c>
      <c r="C79" s="113">
        <v>0</v>
      </c>
      <c r="D79" s="3">
        <v>0</v>
      </c>
      <c r="E79" s="8" t="s">
        <v>3</v>
      </c>
      <c r="F79" s="132" t="s">
        <v>246</v>
      </c>
      <c r="G79" s="145" t="s">
        <v>188</v>
      </c>
      <c r="H79" s="199"/>
      <c r="I79" s="104" t="s">
        <v>171</v>
      </c>
      <c r="J79" s="113" t="s">
        <v>188</v>
      </c>
      <c r="K79" s="113" t="s">
        <v>188</v>
      </c>
      <c r="L79" s="8" t="s">
        <v>3</v>
      </c>
      <c r="M79" s="132" t="s">
        <v>246</v>
      </c>
      <c r="N79" s="145" t="s">
        <v>188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246</v>
      </c>
      <c r="G80" s="145" t="s">
        <v>188</v>
      </c>
      <c r="H80" s="199"/>
      <c r="I80" s="104" t="s">
        <v>10</v>
      </c>
      <c r="J80" s="113" t="s">
        <v>188</v>
      </c>
      <c r="K80" s="113" t="s">
        <v>188</v>
      </c>
      <c r="L80" s="8" t="s">
        <v>3</v>
      </c>
      <c r="M80" s="132" t="s">
        <v>246</v>
      </c>
      <c r="N80" s="145" t="s">
        <v>188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172</v>
      </c>
      <c r="C82" s="113">
        <v>0</v>
      </c>
      <c r="D82" s="3">
        <v>0</v>
      </c>
      <c r="E82" s="1" t="s">
        <v>3</v>
      </c>
      <c r="F82" s="248" t="s">
        <v>246</v>
      </c>
      <c r="G82" s="132" t="s">
        <v>188</v>
      </c>
      <c r="H82" s="199"/>
      <c r="I82" s="104" t="s">
        <v>172</v>
      </c>
      <c r="J82" s="113" t="s">
        <v>188</v>
      </c>
      <c r="K82" s="113" t="s">
        <v>188</v>
      </c>
      <c r="L82" s="1" t="s">
        <v>3</v>
      </c>
      <c r="M82" s="248" t="s">
        <v>246</v>
      </c>
      <c r="N82" s="132" t="s">
        <v>188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188</v>
      </c>
      <c r="F83" s="118" t="s">
        <v>188</v>
      </c>
      <c r="G83" s="112" t="s">
        <v>188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188</v>
      </c>
      <c r="M83" s="118" t="s">
        <v>188</v>
      </c>
      <c r="N83" s="112" t="s">
        <v>188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246</v>
      </c>
      <c r="G84" s="145" t="s">
        <v>188</v>
      </c>
      <c r="H84" s="199"/>
      <c r="I84" s="104" t="s">
        <v>6</v>
      </c>
      <c r="J84" s="141" t="s">
        <v>188</v>
      </c>
      <c r="K84" s="141" t="s">
        <v>188</v>
      </c>
      <c r="L84" s="1" t="s">
        <v>4</v>
      </c>
      <c r="M84" s="132" t="s">
        <v>246</v>
      </c>
      <c r="N84" s="145" t="s">
        <v>188</v>
      </c>
    </row>
    <row r="85" spans="1:14" ht="30">
      <c r="A85" s="29"/>
      <c r="B85" s="106" t="s">
        <v>228</v>
      </c>
      <c r="C85" s="12">
        <v>2E-3</v>
      </c>
      <c r="D85" s="196" t="s">
        <v>188</v>
      </c>
      <c r="E85" s="131" t="s">
        <v>188</v>
      </c>
      <c r="F85" s="131" t="s">
        <v>188</v>
      </c>
      <c r="G85" s="171" t="s">
        <v>188</v>
      </c>
      <c r="H85" s="199"/>
      <c r="I85" s="106" t="s">
        <v>228</v>
      </c>
      <c r="J85" s="12">
        <v>2E-3</v>
      </c>
      <c r="K85" s="196" t="s">
        <v>188</v>
      </c>
      <c r="L85" s="131" t="s">
        <v>188</v>
      </c>
      <c r="M85" s="131" t="s">
        <v>188</v>
      </c>
      <c r="N85" s="171" t="s">
        <v>188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151</v>
      </c>
      <c r="C87" s="37"/>
      <c r="D87" s="38"/>
      <c r="E87" s="82"/>
      <c r="F87" s="82"/>
      <c r="G87" s="170"/>
      <c r="H87" s="200" t="s">
        <v>92</v>
      </c>
      <c r="I87" s="36" t="s">
        <v>152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223</v>
      </c>
      <c r="D88" s="120" t="s">
        <v>199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223</v>
      </c>
      <c r="K88" s="120" t="s">
        <v>199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170</v>
      </c>
      <c r="C89" s="5">
        <v>0.28060000000000002</v>
      </c>
      <c r="D89" s="5">
        <v>0.3</v>
      </c>
      <c r="E89" s="143" t="s">
        <v>188</v>
      </c>
      <c r="F89" s="144" t="s">
        <v>188</v>
      </c>
      <c r="G89" s="144" t="s">
        <v>188</v>
      </c>
      <c r="H89" s="201"/>
      <c r="I89" s="154" t="s">
        <v>188</v>
      </c>
      <c r="J89" s="155" t="s">
        <v>188</v>
      </c>
      <c r="K89" s="155" t="s">
        <v>188</v>
      </c>
      <c r="L89" s="144" t="s">
        <v>188</v>
      </c>
      <c r="M89" s="144" t="s">
        <v>188</v>
      </c>
      <c r="N89" s="144" t="s">
        <v>188</v>
      </c>
    </row>
    <row r="90" spans="1:14" ht="57">
      <c r="A90" s="43"/>
      <c r="B90" s="104" t="s">
        <v>139</v>
      </c>
      <c r="C90" s="5">
        <v>0.42370000000000002</v>
      </c>
      <c r="D90" s="5">
        <v>0.42</v>
      </c>
      <c r="E90" s="6" t="s">
        <v>23</v>
      </c>
      <c r="F90" s="7" t="s">
        <v>218</v>
      </c>
      <c r="G90" s="6" t="s">
        <v>221</v>
      </c>
      <c r="H90" s="201"/>
      <c r="I90" s="104" t="s">
        <v>231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221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219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188</v>
      </c>
      <c r="F94" s="118" t="s">
        <v>188</v>
      </c>
      <c r="G94" s="112" t="s">
        <v>188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188</v>
      </c>
      <c r="M94" s="40" t="s">
        <v>176</v>
      </c>
      <c r="N94" s="112" t="s">
        <v>188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205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205</v>
      </c>
      <c r="N95" s="1" t="s">
        <v>19</v>
      </c>
    </row>
    <row r="96" spans="1:14" ht="30">
      <c r="A96" s="45"/>
      <c r="B96" s="106" t="s">
        <v>228</v>
      </c>
      <c r="C96" s="12">
        <v>1.5E-3</v>
      </c>
      <c r="D96" s="138" t="s">
        <v>188</v>
      </c>
      <c r="E96" s="139" t="s">
        <v>188</v>
      </c>
      <c r="F96" s="140" t="s">
        <v>188</v>
      </c>
      <c r="G96" s="171" t="s">
        <v>188</v>
      </c>
      <c r="H96" s="201"/>
      <c r="I96" s="106" t="s">
        <v>228</v>
      </c>
      <c r="J96" s="12">
        <v>1.5E-3</v>
      </c>
      <c r="K96" s="138" t="s">
        <v>188</v>
      </c>
      <c r="L96" s="140" t="s">
        <v>188</v>
      </c>
      <c r="M96" s="140" t="s">
        <v>188</v>
      </c>
      <c r="N96" s="171" t="s">
        <v>188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153</v>
      </c>
      <c r="C98" s="37"/>
      <c r="D98" s="38"/>
      <c r="E98" s="37"/>
      <c r="F98" s="37"/>
      <c r="G98" s="170"/>
      <c r="H98" s="200" t="s">
        <v>82</v>
      </c>
      <c r="I98" s="36" t="s">
        <v>154</v>
      </c>
      <c r="J98" s="37"/>
      <c r="K98" s="38"/>
      <c r="L98" s="39" t="s">
        <v>185</v>
      </c>
      <c r="M98" s="37"/>
      <c r="N98" s="170"/>
    </row>
    <row r="99" spans="1:14" ht="51.75" customHeight="1">
      <c r="A99" s="43"/>
      <c r="B99" s="119" t="s">
        <v>0</v>
      </c>
      <c r="C99" s="120" t="s">
        <v>223</v>
      </c>
      <c r="D99" s="120" t="s">
        <v>199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223</v>
      </c>
      <c r="K99" s="120" t="s">
        <v>199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170</v>
      </c>
      <c r="C100" s="5">
        <v>0.2757</v>
      </c>
      <c r="D100" s="5">
        <v>0.3</v>
      </c>
      <c r="E100" s="143" t="s">
        <v>188</v>
      </c>
      <c r="F100" s="144" t="s">
        <v>188</v>
      </c>
      <c r="G100" s="144" t="s">
        <v>188</v>
      </c>
      <c r="H100" s="201"/>
      <c r="I100" s="156" t="s">
        <v>188</v>
      </c>
      <c r="J100" s="155" t="s">
        <v>188</v>
      </c>
      <c r="K100" s="155" t="s">
        <v>188</v>
      </c>
      <c r="L100" s="144" t="s">
        <v>188</v>
      </c>
      <c r="M100" s="144" t="s">
        <v>188</v>
      </c>
      <c r="N100" s="144" t="s">
        <v>188</v>
      </c>
    </row>
    <row r="101" spans="1:14" ht="57">
      <c r="A101" s="43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221</v>
      </c>
      <c r="H101" s="201"/>
      <c r="I101" s="2" t="s">
        <v>231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221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220</v>
      </c>
      <c r="N102" s="1" t="s">
        <v>14</v>
      </c>
    </row>
    <row r="103" spans="1:14" ht="28.5">
      <c r="A103" s="45"/>
      <c r="B103" s="69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188</v>
      </c>
      <c r="F105" s="40" t="s">
        <v>176</v>
      </c>
      <c r="G105" s="112" t="s">
        <v>188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188</v>
      </c>
      <c r="M105" s="118" t="s">
        <v>188</v>
      </c>
      <c r="N105" s="112" t="s">
        <v>188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205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205</v>
      </c>
      <c r="N106" s="1" t="s">
        <v>19</v>
      </c>
    </row>
    <row r="107" spans="1:14" ht="30">
      <c r="A107" s="45"/>
      <c r="B107" s="106" t="s">
        <v>228</v>
      </c>
      <c r="C107" s="12">
        <v>1.5E-3</v>
      </c>
      <c r="D107" s="138" t="s">
        <v>188</v>
      </c>
      <c r="E107" s="139" t="s">
        <v>188</v>
      </c>
      <c r="F107" s="140" t="s">
        <v>188</v>
      </c>
      <c r="G107" s="171" t="s">
        <v>188</v>
      </c>
      <c r="H107" s="201"/>
      <c r="I107" s="106" t="s">
        <v>228</v>
      </c>
      <c r="J107" s="12">
        <v>1.5E-3</v>
      </c>
      <c r="K107" s="138" t="s">
        <v>188</v>
      </c>
      <c r="L107" s="140" t="s">
        <v>188</v>
      </c>
      <c r="M107" s="140" t="s">
        <v>188</v>
      </c>
      <c r="N107" s="171" t="s">
        <v>188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155</v>
      </c>
      <c r="C109" s="37"/>
      <c r="D109" s="38"/>
      <c r="E109" s="82"/>
      <c r="F109" s="37"/>
      <c r="G109" s="170"/>
      <c r="H109" s="200" t="s">
        <v>83</v>
      </c>
      <c r="I109" s="36" t="s">
        <v>156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223</v>
      </c>
      <c r="D110" s="120" t="s">
        <v>199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223</v>
      </c>
      <c r="K110" s="120" t="s">
        <v>199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170</v>
      </c>
      <c r="C111" s="5">
        <v>0.28270000000000001</v>
      </c>
      <c r="D111" s="5">
        <v>0.3</v>
      </c>
      <c r="E111" s="143" t="s">
        <v>188</v>
      </c>
      <c r="F111" s="144" t="s">
        <v>188</v>
      </c>
      <c r="G111" s="144" t="s">
        <v>188</v>
      </c>
      <c r="H111" s="201"/>
      <c r="I111" s="156" t="s">
        <v>188</v>
      </c>
      <c r="J111" s="155" t="s">
        <v>188</v>
      </c>
      <c r="K111" s="155" t="s">
        <v>188</v>
      </c>
      <c r="L111" s="144" t="s">
        <v>188</v>
      </c>
      <c r="M111" s="144" t="s">
        <v>188</v>
      </c>
      <c r="N111" s="144" t="s">
        <v>188</v>
      </c>
    </row>
    <row r="112" spans="1:14" ht="57">
      <c r="A112" s="43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221</v>
      </c>
      <c r="H112" s="201"/>
      <c r="I112" s="2" t="s">
        <v>231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221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188</v>
      </c>
      <c r="F116" s="118" t="s">
        <v>188</v>
      </c>
      <c r="G116" s="112" t="s">
        <v>188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188</v>
      </c>
      <c r="M116" s="118" t="s">
        <v>188</v>
      </c>
      <c r="N116" s="112" t="s">
        <v>188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228</v>
      </c>
      <c r="C118" s="12">
        <v>1.5E-3</v>
      </c>
      <c r="D118" s="138" t="s">
        <v>188</v>
      </c>
      <c r="E118" s="139" t="s">
        <v>188</v>
      </c>
      <c r="F118" s="140" t="s">
        <v>188</v>
      </c>
      <c r="G118" s="171" t="s">
        <v>188</v>
      </c>
      <c r="H118" s="201"/>
      <c r="I118" s="106" t="s">
        <v>228</v>
      </c>
      <c r="J118" s="12">
        <v>1.5E-3</v>
      </c>
      <c r="K118" s="138" t="s">
        <v>188</v>
      </c>
      <c r="L118" s="140" t="s">
        <v>188</v>
      </c>
      <c r="M118" s="140" t="s">
        <v>188</v>
      </c>
      <c r="N118" s="171" t="s">
        <v>188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157</v>
      </c>
      <c r="C120" s="37"/>
      <c r="D120" s="38"/>
      <c r="E120" s="82"/>
      <c r="F120" s="37"/>
      <c r="G120" s="170"/>
      <c r="H120" s="202" t="s">
        <v>93</v>
      </c>
      <c r="I120" s="36" t="s">
        <v>158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223</v>
      </c>
      <c r="D121" s="120" t="s">
        <v>199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223</v>
      </c>
      <c r="K121" s="120" t="s">
        <v>199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170</v>
      </c>
      <c r="C122" s="5" t="s">
        <v>236</v>
      </c>
      <c r="D122" s="5" t="s">
        <v>196</v>
      </c>
      <c r="E122" s="143" t="s">
        <v>188</v>
      </c>
      <c r="F122" s="144" t="s">
        <v>189</v>
      </c>
      <c r="G122" s="144" t="s">
        <v>197</v>
      </c>
      <c r="H122" s="203"/>
      <c r="I122" s="154" t="s">
        <v>188</v>
      </c>
      <c r="J122" s="155" t="s">
        <v>188</v>
      </c>
      <c r="K122" s="155" t="s">
        <v>188</v>
      </c>
      <c r="L122" s="144" t="s">
        <v>188</v>
      </c>
      <c r="M122" s="144" t="s">
        <v>188</v>
      </c>
      <c r="N122" s="144" t="s">
        <v>188</v>
      </c>
    </row>
    <row r="123" spans="1:14" ht="28.5">
      <c r="A123" s="47"/>
      <c r="B123" s="104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231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7"/>
      <c r="B125" s="105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3"/>
      <c r="I125" s="104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188</v>
      </c>
      <c r="F127" s="118" t="s">
        <v>188</v>
      </c>
      <c r="G127" s="112" t="s">
        <v>188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188</v>
      </c>
      <c r="M127" s="118" t="s">
        <v>188</v>
      </c>
      <c r="N127" s="112" t="s">
        <v>188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228</v>
      </c>
      <c r="C129" s="12">
        <v>4.0000000000000001E-3</v>
      </c>
      <c r="D129" s="138" t="s">
        <v>188</v>
      </c>
      <c r="E129" s="139" t="s">
        <v>188</v>
      </c>
      <c r="F129" s="140" t="s">
        <v>188</v>
      </c>
      <c r="G129" s="171" t="s">
        <v>188</v>
      </c>
      <c r="H129" s="203"/>
      <c r="I129" s="106" t="s">
        <v>228</v>
      </c>
      <c r="J129" s="12">
        <v>4.0000000000000001E-3</v>
      </c>
      <c r="K129" s="138" t="s">
        <v>188</v>
      </c>
      <c r="L129" s="140" t="s">
        <v>188</v>
      </c>
      <c r="M129" s="140" t="s">
        <v>188</v>
      </c>
      <c r="N129" s="171" t="s">
        <v>188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159</v>
      </c>
      <c r="C131" s="37"/>
      <c r="D131" s="38"/>
      <c r="E131" s="82"/>
      <c r="F131" s="37"/>
      <c r="G131" s="170"/>
      <c r="H131" s="202" t="s">
        <v>100</v>
      </c>
      <c r="I131" s="36" t="s">
        <v>160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223</v>
      </c>
      <c r="D132" s="120" t="s">
        <v>199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223</v>
      </c>
      <c r="K132" s="120" t="s">
        <v>199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170</v>
      </c>
      <c r="C133" s="5" t="s">
        <v>237</v>
      </c>
      <c r="D133" s="5" t="s">
        <v>196</v>
      </c>
      <c r="E133" s="143" t="s">
        <v>188</v>
      </c>
      <c r="F133" s="144" t="s">
        <v>189</v>
      </c>
      <c r="G133" s="144" t="s">
        <v>197</v>
      </c>
      <c r="H133" s="203"/>
      <c r="I133" s="154" t="s">
        <v>188</v>
      </c>
      <c r="J133" s="155" t="s">
        <v>188</v>
      </c>
      <c r="K133" s="155" t="s">
        <v>188</v>
      </c>
      <c r="L133" s="144" t="s">
        <v>188</v>
      </c>
      <c r="M133" s="144" t="s">
        <v>188</v>
      </c>
      <c r="N133" s="144" t="s">
        <v>188</v>
      </c>
    </row>
    <row r="134" spans="1:14" ht="28.5">
      <c r="A134" s="49"/>
      <c r="B134" s="104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2" t="s">
        <v>27</v>
      </c>
      <c r="H134" s="203"/>
      <c r="I134" s="104" t="s">
        <v>231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138</v>
      </c>
      <c r="C136" s="3">
        <v>0</v>
      </c>
      <c r="D136" s="113" t="s">
        <v>188</v>
      </c>
      <c r="E136" s="1" t="s">
        <v>23</v>
      </c>
      <c r="F136" s="113" t="s">
        <v>246</v>
      </c>
      <c r="G136" s="132" t="s">
        <v>188</v>
      </c>
      <c r="H136" s="203"/>
      <c r="I136" s="104" t="s">
        <v>138</v>
      </c>
      <c r="J136" s="3">
        <v>0</v>
      </c>
      <c r="K136" s="113" t="s">
        <v>188</v>
      </c>
      <c r="L136" s="1" t="s">
        <v>23</v>
      </c>
      <c r="M136" s="113" t="s">
        <v>246</v>
      </c>
      <c r="N136" s="132" t="s">
        <v>188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188</v>
      </c>
      <c r="F138" s="118" t="s">
        <v>188</v>
      </c>
      <c r="G138" s="112" t="s">
        <v>188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188</v>
      </c>
      <c r="M138" s="118" t="s">
        <v>188</v>
      </c>
      <c r="N138" s="112" t="s">
        <v>188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137</v>
      </c>
      <c r="C140" s="12">
        <v>2E-3</v>
      </c>
      <c r="D140" s="138" t="s">
        <v>188</v>
      </c>
      <c r="E140" s="139" t="s">
        <v>188</v>
      </c>
      <c r="F140" s="140" t="s">
        <v>188</v>
      </c>
      <c r="G140" s="171" t="s">
        <v>188</v>
      </c>
      <c r="H140" s="203"/>
      <c r="I140" s="106" t="s">
        <v>137</v>
      </c>
      <c r="J140" s="12">
        <v>2E-3</v>
      </c>
      <c r="K140" s="138" t="s">
        <v>188</v>
      </c>
      <c r="L140" s="140" t="s">
        <v>188</v>
      </c>
      <c r="M140" s="140" t="s">
        <v>188</v>
      </c>
      <c r="N140" s="171" t="s">
        <v>188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161</v>
      </c>
      <c r="C142" s="37"/>
      <c r="D142" s="38"/>
      <c r="E142" s="82"/>
      <c r="F142" s="37"/>
      <c r="G142" s="170"/>
      <c r="H142" s="202" t="s">
        <v>104</v>
      </c>
      <c r="I142" s="36" t="s">
        <v>162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223</v>
      </c>
      <c r="D143" s="120" t="s">
        <v>199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223</v>
      </c>
      <c r="K143" s="120" t="s">
        <v>199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170</v>
      </c>
      <c r="C144" s="3">
        <v>0.3085</v>
      </c>
      <c r="D144" s="3">
        <v>0.3</v>
      </c>
      <c r="E144" s="143" t="s">
        <v>188</v>
      </c>
      <c r="F144" s="144" t="s">
        <v>188</v>
      </c>
      <c r="G144" s="144" t="s">
        <v>188</v>
      </c>
      <c r="H144" s="203"/>
      <c r="I144" s="154" t="s">
        <v>188</v>
      </c>
      <c r="J144" s="155" t="s">
        <v>188</v>
      </c>
      <c r="K144" s="155" t="s">
        <v>188</v>
      </c>
      <c r="L144" s="144" t="s">
        <v>188</v>
      </c>
      <c r="M144" s="144" t="s">
        <v>188</v>
      </c>
      <c r="N144" s="144" t="s">
        <v>188</v>
      </c>
    </row>
    <row r="145" spans="1:14" ht="28.5">
      <c r="A145" s="47"/>
      <c r="B145" s="104" t="s">
        <v>139</v>
      </c>
      <c r="C145" s="157">
        <v>0</v>
      </c>
      <c r="D145" s="157" t="s">
        <v>188</v>
      </c>
      <c r="E145" s="6" t="s">
        <v>23</v>
      </c>
      <c r="F145" s="157" t="s">
        <v>188</v>
      </c>
      <c r="G145" s="147" t="s">
        <v>188</v>
      </c>
      <c r="H145" s="203"/>
      <c r="I145" s="104" t="s">
        <v>231</v>
      </c>
      <c r="J145" s="157" t="s">
        <v>188</v>
      </c>
      <c r="K145" s="157" t="s">
        <v>188</v>
      </c>
      <c r="L145" s="6" t="s">
        <v>23</v>
      </c>
      <c r="M145" s="157" t="s">
        <v>188</v>
      </c>
      <c r="N145" s="147" t="s">
        <v>188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3"/>
      <c r="I147" s="158" t="s">
        <v>138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182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233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233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188</v>
      </c>
      <c r="F149" s="118" t="s">
        <v>188</v>
      </c>
      <c r="G149" s="111" t="s">
        <v>188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188</v>
      </c>
      <c r="M149" s="118" t="s">
        <v>188</v>
      </c>
      <c r="N149" s="111" t="s">
        <v>188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228</v>
      </c>
      <c r="C151" s="12">
        <v>4.0000000000000001E-3</v>
      </c>
      <c r="D151" s="138" t="s">
        <v>188</v>
      </c>
      <c r="E151" s="139" t="s">
        <v>188</v>
      </c>
      <c r="F151" s="140" t="s">
        <v>188</v>
      </c>
      <c r="G151" s="171" t="s">
        <v>188</v>
      </c>
      <c r="H151" s="203"/>
      <c r="I151" s="106" t="s">
        <v>228</v>
      </c>
      <c r="J151" s="12">
        <v>4.0000000000000001E-3</v>
      </c>
      <c r="K151" s="138" t="s">
        <v>188</v>
      </c>
      <c r="L151" s="140" t="s">
        <v>188</v>
      </c>
      <c r="M151" s="140" t="s">
        <v>188</v>
      </c>
      <c r="N151" s="171" t="s">
        <v>188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163</v>
      </c>
      <c r="C153" s="37"/>
      <c r="D153" s="38"/>
      <c r="E153" s="82"/>
      <c r="F153" s="37"/>
      <c r="G153" s="170"/>
      <c r="H153" s="202" t="s">
        <v>111</v>
      </c>
      <c r="I153" s="36" t="s">
        <v>164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223</v>
      </c>
      <c r="D154" s="120" t="s">
        <v>199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223</v>
      </c>
      <c r="K154" s="120" t="s">
        <v>199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170</v>
      </c>
      <c r="C155" s="5">
        <v>0.39269999999999999</v>
      </c>
      <c r="D155" s="5">
        <v>0.3</v>
      </c>
      <c r="E155" s="143" t="s">
        <v>188</v>
      </c>
      <c r="F155" s="144" t="s">
        <v>188</v>
      </c>
      <c r="G155" s="147" t="s">
        <v>188</v>
      </c>
      <c r="H155" s="203"/>
      <c r="I155" s="154" t="s">
        <v>188</v>
      </c>
      <c r="J155" s="155" t="s">
        <v>188</v>
      </c>
      <c r="K155" s="155" t="s">
        <v>188</v>
      </c>
      <c r="L155" s="144" t="s">
        <v>188</v>
      </c>
      <c r="M155" s="144" t="s">
        <v>188</v>
      </c>
      <c r="N155" s="144" t="s">
        <v>188</v>
      </c>
    </row>
    <row r="156" spans="1:14" ht="28.5">
      <c r="A156" s="47"/>
      <c r="B156" s="223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3"/>
      <c r="I156" s="104" t="s">
        <v>231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3">
        <v>0.15</v>
      </c>
      <c r="E157" s="1" t="s">
        <v>24</v>
      </c>
      <c r="F157" s="4" t="s">
        <v>52</v>
      </c>
      <c r="G157" s="1" t="s">
        <v>14</v>
      </c>
      <c r="H157" s="204"/>
      <c r="I157" s="104" t="s">
        <v>2</v>
      </c>
      <c r="J157" s="3">
        <v>0.2046</v>
      </c>
      <c r="K157" s="3">
        <v>0.15</v>
      </c>
      <c r="L157" s="1" t="s">
        <v>24</v>
      </c>
      <c r="M157" s="4" t="s">
        <v>52</v>
      </c>
      <c r="N157" s="1" t="s">
        <v>14</v>
      </c>
    </row>
    <row r="158" spans="1:14" ht="28.5">
      <c r="A158" s="49"/>
      <c r="B158" s="224" t="s">
        <v>138</v>
      </c>
      <c r="C158" s="113">
        <v>0</v>
      </c>
      <c r="D158" s="113" t="s">
        <v>188</v>
      </c>
      <c r="E158" s="1" t="s">
        <v>23</v>
      </c>
      <c r="F158" s="113" t="s">
        <v>246</v>
      </c>
      <c r="G158" s="132" t="s">
        <v>188</v>
      </c>
      <c r="H158" s="203"/>
      <c r="I158" s="104" t="s">
        <v>138</v>
      </c>
      <c r="J158" s="113">
        <v>0</v>
      </c>
      <c r="K158" s="113" t="s">
        <v>188</v>
      </c>
      <c r="L158" s="1" t="s">
        <v>23</v>
      </c>
      <c r="M158" s="113" t="s">
        <v>246</v>
      </c>
      <c r="N158" s="132" t="s">
        <v>188</v>
      </c>
    </row>
    <row r="159" spans="1:14">
      <c r="A159" s="49"/>
      <c r="B159" s="223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3"/>
      <c r="I159" s="104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1.3399999999999999</v>
      </c>
      <c r="E160" s="117" t="s">
        <v>188</v>
      </c>
      <c r="F160" s="118" t="s">
        <v>188</v>
      </c>
      <c r="G160" s="111" t="s">
        <v>188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1.3399999999999999</v>
      </c>
      <c r="L160" s="118" t="s">
        <v>188</v>
      </c>
      <c r="M160" s="118" t="s">
        <v>188</v>
      </c>
      <c r="N160" s="111" t="s">
        <v>188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228</v>
      </c>
      <c r="C162" s="12">
        <v>2E-3</v>
      </c>
      <c r="D162" s="138" t="s">
        <v>188</v>
      </c>
      <c r="E162" s="139" t="s">
        <v>188</v>
      </c>
      <c r="F162" s="140" t="s">
        <v>188</v>
      </c>
      <c r="G162" s="171" t="s">
        <v>188</v>
      </c>
      <c r="H162" s="203"/>
      <c r="I162" s="106" t="s">
        <v>228</v>
      </c>
      <c r="J162" s="66">
        <v>2E-3</v>
      </c>
      <c r="K162" s="138" t="s">
        <v>188</v>
      </c>
      <c r="L162" s="140" t="s">
        <v>188</v>
      </c>
      <c r="M162" s="140" t="s">
        <v>188</v>
      </c>
      <c r="N162" s="171" t="s">
        <v>188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165</v>
      </c>
      <c r="B164" s="32" t="s">
        <v>166</v>
      </c>
      <c r="C164" s="33"/>
      <c r="D164" s="34"/>
      <c r="E164" s="81"/>
      <c r="F164" s="33"/>
      <c r="G164" s="170"/>
      <c r="H164" s="205" t="s">
        <v>165</v>
      </c>
      <c r="I164" s="32" t="s">
        <v>168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223</v>
      </c>
      <c r="D165" s="120" t="s">
        <v>199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223</v>
      </c>
      <c r="K165" s="120" t="s">
        <v>199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170</v>
      </c>
      <c r="C166" s="63">
        <v>0.67090000000000005</v>
      </c>
      <c r="D166" s="5">
        <v>0.85</v>
      </c>
      <c r="E166" s="143" t="s">
        <v>188</v>
      </c>
      <c r="F166" s="144" t="s">
        <v>188</v>
      </c>
      <c r="G166" s="149" t="s">
        <v>188</v>
      </c>
      <c r="H166" s="206"/>
      <c r="I166" s="154" t="s">
        <v>188</v>
      </c>
      <c r="J166" s="155" t="s">
        <v>188</v>
      </c>
      <c r="K166" s="155" t="s">
        <v>188</v>
      </c>
      <c r="L166" s="144" t="s">
        <v>188</v>
      </c>
      <c r="M166" s="144" t="s">
        <v>188</v>
      </c>
      <c r="N166" s="149" t="s">
        <v>188</v>
      </c>
    </row>
    <row r="167" spans="1:14" ht="42" customHeight="1">
      <c r="A167" s="80"/>
      <c r="B167" s="104" t="s">
        <v>139</v>
      </c>
      <c r="C167" s="63">
        <v>8.0799999999999997E-2</v>
      </c>
      <c r="D167" s="3">
        <v>0.16</v>
      </c>
      <c r="E167" s="1" t="s">
        <v>4</v>
      </c>
      <c r="F167" s="4" t="s">
        <v>134</v>
      </c>
      <c r="G167" s="218" t="s">
        <v>221</v>
      </c>
      <c r="H167" s="206"/>
      <c r="I167" s="104" t="s">
        <v>231</v>
      </c>
      <c r="J167" s="63">
        <v>0.18729999999999999</v>
      </c>
      <c r="K167" s="5">
        <v>0.2</v>
      </c>
      <c r="L167" s="6" t="s">
        <v>4</v>
      </c>
      <c r="M167" s="7" t="s">
        <v>64</v>
      </c>
      <c r="N167" s="218" t="s">
        <v>221</v>
      </c>
    </row>
    <row r="168" spans="1:14" ht="21.75" customHeight="1">
      <c r="A168" s="80"/>
      <c r="B168" s="104" t="s">
        <v>2</v>
      </c>
      <c r="C168" s="64">
        <v>6.1199999999999997E-2</v>
      </c>
      <c r="D168" s="3">
        <v>0.05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64">
        <v>0.44080000000000003</v>
      </c>
      <c r="K168" s="3">
        <v>0.45</v>
      </c>
      <c r="L168" s="1" t="s">
        <v>3</v>
      </c>
      <c r="M168" s="4" t="s">
        <v>175</v>
      </c>
      <c r="N168" s="114" t="s">
        <v>14</v>
      </c>
    </row>
    <row r="169" spans="1:14" ht="28.5">
      <c r="A169" s="80"/>
      <c r="B169" s="105" t="s">
        <v>138</v>
      </c>
      <c r="C169" s="64">
        <v>6.0999999999999999E-2</v>
      </c>
      <c r="D169" s="3">
        <v>0.06</v>
      </c>
      <c r="E169" s="1" t="s">
        <v>4</v>
      </c>
      <c r="F169" s="4" t="s">
        <v>58</v>
      </c>
      <c r="G169" s="114" t="s">
        <v>184</v>
      </c>
      <c r="H169" s="206"/>
      <c r="I169" s="104" t="s">
        <v>138</v>
      </c>
      <c r="J169" s="64">
        <v>0.26440000000000002</v>
      </c>
      <c r="K169" s="3">
        <v>0.3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171</v>
      </c>
      <c r="C170" s="64">
        <v>0</v>
      </c>
      <c r="D170" s="3">
        <v>0.05</v>
      </c>
      <c r="E170" s="8" t="s">
        <v>3</v>
      </c>
      <c r="F170" s="9" t="s">
        <v>51</v>
      </c>
      <c r="G170" s="136" t="s">
        <v>188</v>
      </c>
      <c r="H170" s="206"/>
      <c r="I170" s="104" t="s">
        <v>171</v>
      </c>
      <c r="J170" s="64">
        <v>0</v>
      </c>
      <c r="K170" s="3">
        <v>0.05</v>
      </c>
      <c r="L170" s="8" t="s">
        <v>3</v>
      </c>
      <c r="M170" s="9" t="s">
        <v>51</v>
      </c>
      <c r="N170" s="136" t="s">
        <v>188</v>
      </c>
    </row>
    <row r="171" spans="1:14">
      <c r="A171" s="80"/>
      <c r="B171" s="104" t="s">
        <v>10</v>
      </c>
      <c r="C171" s="64">
        <v>6.8999999999999999E-3</v>
      </c>
      <c r="D171" s="3">
        <v>0.05</v>
      </c>
      <c r="E171" s="8" t="s">
        <v>3</v>
      </c>
      <c r="F171" s="9" t="s">
        <v>51</v>
      </c>
      <c r="G171" s="136" t="s">
        <v>188</v>
      </c>
      <c r="H171" s="206"/>
      <c r="I171" s="104" t="s">
        <v>10</v>
      </c>
      <c r="J171" s="64">
        <v>2.0999999999999999E-3</v>
      </c>
      <c r="K171" s="3">
        <v>0.05</v>
      </c>
      <c r="L171" s="8" t="s">
        <v>3</v>
      </c>
      <c r="M171" s="9" t="s">
        <v>51</v>
      </c>
      <c r="N171" s="136" t="s">
        <v>188</v>
      </c>
    </row>
    <row r="172" spans="1:14">
      <c r="A172" s="80"/>
      <c r="B172" s="104" t="s">
        <v>12</v>
      </c>
      <c r="C172" s="64">
        <v>0.11650000000000001</v>
      </c>
      <c r="D172" s="3">
        <v>0.15</v>
      </c>
      <c r="E172" s="8" t="s">
        <v>3</v>
      </c>
      <c r="F172" s="9" t="s">
        <v>52</v>
      </c>
      <c r="G172" s="136" t="s">
        <v>188</v>
      </c>
      <c r="H172" s="206"/>
      <c r="I172" s="104" t="s">
        <v>12</v>
      </c>
      <c r="J172" s="64">
        <v>0.1646</v>
      </c>
      <c r="K172" s="3">
        <v>0.15</v>
      </c>
      <c r="L172" s="8" t="s">
        <v>3</v>
      </c>
      <c r="M172" s="9" t="s">
        <v>52</v>
      </c>
      <c r="N172" s="136" t="s">
        <v>188</v>
      </c>
    </row>
    <row r="173" spans="1:14">
      <c r="A173" s="80"/>
      <c r="B173" s="104" t="s">
        <v>172</v>
      </c>
      <c r="C173" s="64">
        <v>0</v>
      </c>
      <c r="D173" s="3">
        <v>0.05</v>
      </c>
      <c r="E173" s="8" t="s">
        <v>3</v>
      </c>
      <c r="F173" s="9" t="s">
        <v>51</v>
      </c>
      <c r="G173" s="136" t="s">
        <v>188</v>
      </c>
      <c r="H173" s="206"/>
      <c r="I173" s="104" t="s">
        <v>172</v>
      </c>
      <c r="J173" s="64">
        <v>0</v>
      </c>
      <c r="K173" s="3">
        <v>0.05</v>
      </c>
      <c r="L173" s="8" t="s">
        <v>3</v>
      </c>
      <c r="M173" s="9" t="s">
        <v>51</v>
      </c>
      <c r="N173" s="136" t="s">
        <v>188</v>
      </c>
    </row>
    <row r="174" spans="1:14" ht="15">
      <c r="A174" s="80"/>
      <c r="B174" s="106" t="s">
        <v>5</v>
      </c>
      <c r="C174" s="99">
        <f>SUBTOTAL(109,C166:C173)</f>
        <v>0.99730000000000019</v>
      </c>
      <c r="D174" s="99">
        <f>SUBTOTAL(109,D166:D173)</f>
        <v>1.4200000000000002</v>
      </c>
      <c r="E174" s="145" t="s">
        <v>188</v>
      </c>
      <c r="F174" s="132" t="s">
        <v>188</v>
      </c>
      <c r="G174" s="116" t="s">
        <v>188</v>
      </c>
      <c r="H174" s="206"/>
      <c r="I174" s="106" t="s">
        <v>5</v>
      </c>
      <c r="J174" s="101">
        <f>SUBTOTAL(109,J166:J173)</f>
        <v>1.0592000000000001</v>
      </c>
      <c r="K174" s="101">
        <f>SUBTOTAL(109,K166:K173)</f>
        <v>1.25</v>
      </c>
      <c r="L174" s="145" t="s">
        <v>188</v>
      </c>
      <c r="M174" s="132" t="s">
        <v>188</v>
      </c>
      <c r="N174" s="116" t="s">
        <v>188</v>
      </c>
    </row>
    <row r="175" spans="1:14">
      <c r="A175" s="80"/>
      <c r="B175" s="104" t="s">
        <v>6</v>
      </c>
      <c r="C175" s="64">
        <v>2.1899999999999999E-2</v>
      </c>
      <c r="D175" s="3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64">
        <v>0.11219999999999999</v>
      </c>
      <c r="K175" s="3">
        <v>0.16</v>
      </c>
      <c r="L175" s="1" t="s">
        <v>23</v>
      </c>
      <c r="M175" s="10" t="s">
        <v>134</v>
      </c>
      <c r="N175" s="115" t="s">
        <v>19</v>
      </c>
    </row>
    <row r="176" spans="1:14" ht="30">
      <c r="A176" s="80"/>
      <c r="B176" s="219" t="s">
        <v>228</v>
      </c>
      <c r="C176" s="148">
        <v>2E-3</v>
      </c>
      <c r="D176" s="150" t="s">
        <v>188</v>
      </c>
      <c r="E176" s="151" t="s">
        <v>188</v>
      </c>
      <c r="F176" s="152" t="s">
        <v>188</v>
      </c>
      <c r="G176" s="153" t="s">
        <v>188</v>
      </c>
      <c r="H176" s="206"/>
      <c r="I176" s="219" t="s">
        <v>228</v>
      </c>
      <c r="J176" s="148">
        <v>2E-3</v>
      </c>
      <c r="K176" s="150" t="s">
        <v>188</v>
      </c>
      <c r="L176" s="152" t="s">
        <v>188</v>
      </c>
      <c r="M176" s="152" t="s">
        <v>188</v>
      </c>
      <c r="N176" s="153" t="s">
        <v>188</v>
      </c>
    </row>
    <row r="177" spans="1:14" ht="21" customHeight="1">
      <c r="A177" s="70"/>
      <c r="B177" s="161" t="s">
        <v>188</v>
      </c>
      <c r="C177" s="162" t="s">
        <v>188</v>
      </c>
      <c r="D177" s="162" t="s">
        <v>188</v>
      </c>
      <c r="E177" s="162" t="s">
        <v>188</v>
      </c>
      <c r="F177" s="162" t="s">
        <v>188</v>
      </c>
      <c r="G177" s="172" t="s">
        <v>188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165</v>
      </c>
      <c r="B178" s="32" t="s">
        <v>167</v>
      </c>
      <c r="C178" s="33"/>
      <c r="D178" s="34"/>
      <c r="E178" s="81"/>
      <c r="F178" s="33"/>
      <c r="G178" s="170"/>
      <c r="H178" s="205" t="s">
        <v>165</v>
      </c>
      <c r="I178" s="32" t="s">
        <v>169</v>
      </c>
      <c r="J178" s="33"/>
      <c r="K178" s="34"/>
      <c r="L178" s="35"/>
      <c r="M178" s="33"/>
      <c r="N178" s="170"/>
    </row>
    <row r="179" spans="1:14" ht="40.35" customHeight="1">
      <c r="A179" s="80"/>
      <c r="B179" s="234" t="s">
        <v>0</v>
      </c>
      <c r="C179" s="120" t="s">
        <v>223</v>
      </c>
      <c r="D179" s="120" t="s">
        <v>199</v>
      </c>
      <c r="E179" s="121" t="s">
        <v>30</v>
      </c>
      <c r="F179" s="121" t="s">
        <v>20</v>
      </c>
      <c r="G179" s="121" t="s">
        <v>35</v>
      </c>
      <c r="H179" s="206"/>
      <c r="I179" s="121" t="s">
        <v>0</v>
      </c>
      <c r="J179" s="120" t="s">
        <v>223</v>
      </c>
      <c r="K179" s="120" t="s">
        <v>199</v>
      </c>
      <c r="L179" s="121" t="s">
        <v>30</v>
      </c>
      <c r="M179" s="121" t="s">
        <v>20</v>
      </c>
      <c r="N179" s="121" t="s">
        <v>35</v>
      </c>
    </row>
    <row r="180" spans="1:14" ht="15.75">
      <c r="A180" s="80"/>
      <c r="B180" s="249" t="s">
        <v>170</v>
      </c>
      <c r="C180" s="5">
        <v>0.4904</v>
      </c>
      <c r="D180" s="5">
        <v>0.85</v>
      </c>
      <c r="E180" s="143" t="s">
        <v>188</v>
      </c>
      <c r="F180" s="144" t="s">
        <v>188</v>
      </c>
      <c r="G180" s="144" t="s">
        <v>188</v>
      </c>
      <c r="H180" s="206"/>
      <c r="I180" s="156" t="s">
        <v>188</v>
      </c>
      <c r="J180" s="155" t="s">
        <v>188</v>
      </c>
      <c r="K180" s="155" t="s">
        <v>188</v>
      </c>
      <c r="L180" s="144" t="s">
        <v>188</v>
      </c>
      <c r="M180" s="144" t="s">
        <v>188</v>
      </c>
      <c r="N180" s="144" t="s">
        <v>188</v>
      </c>
    </row>
    <row r="181" spans="1:14" ht="33.75" customHeight="1">
      <c r="A181" s="80"/>
      <c r="B181" s="249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221</v>
      </c>
      <c r="H181" s="206"/>
      <c r="I181" s="2" t="s">
        <v>231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221</v>
      </c>
    </row>
    <row r="182" spans="1:14">
      <c r="A182" s="80"/>
      <c r="B182" s="249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6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0"/>
      <c r="B183" s="250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6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0"/>
      <c r="B184" s="249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2" t="s">
        <v>188</v>
      </c>
      <c r="H184" s="206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2" t="s">
        <v>188</v>
      </c>
    </row>
    <row r="185" spans="1:14" ht="15">
      <c r="A185" s="80"/>
      <c r="B185" s="251" t="s">
        <v>5</v>
      </c>
      <c r="C185" s="27">
        <f>SUBTOTAL(109,C180:C184)</f>
        <v>1</v>
      </c>
      <c r="D185" s="27">
        <f>SUBTOTAL(109,D180:D184)</f>
        <v>1.27</v>
      </c>
      <c r="E185" s="117" t="s">
        <v>188</v>
      </c>
      <c r="F185" s="118" t="s">
        <v>188</v>
      </c>
      <c r="G185" s="112" t="s">
        <v>188</v>
      </c>
      <c r="H185" s="206"/>
      <c r="I185" s="2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188</v>
      </c>
      <c r="M185" s="118" t="s">
        <v>188</v>
      </c>
      <c r="N185" s="112" t="s">
        <v>188</v>
      </c>
    </row>
    <row r="186" spans="1:14">
      <c r="A186" s="80"/>
      <c r="B186" s="249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6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0"/>
      <c r="B187" s="251" t="s">
        <v>228</v>
      </c>
      <c r="C187" s="66">
        <v>2E-3</v>
      </c>
      <c r="D187" s="111" t="s">
        <v>188</v>
      </c>
      <c r="E187" s="131" t="s">
        <v>188</v>
      </c>
      <c r="F187" s="131" t="s">
        <v>188</v>
      </c>
      <c r="G187" s="171" t="s">
        <v>188</v>
      </c>
      <c r="H187" s="206"/>
      <c r="I187" s="106" t="s">
        <v>228</v>
      </c>
      <c r="J187" s="66">
        <v>2E-3</v>
      </c>
      <c r="K187" s="111" t="s">
        <v>188</v>
      </c>
      <c r="L187" s="131" t="s">
        <v>188</v>
      </c>
      <c r="M187" s="131" t="s">
        <v>188</v>
      </c>
      <c r="N187" s="171" t="s">
        <v>188</v>
      </c>
    </row>
    <row r="188" spans="1:14" ht="21" customHeight="1">
      <c r="A188" s="71" t="s">
        <v>8</v>
      </c>
      <c r="B188" s="72"/>
      <c r="C188" s="73"/>
      <c r="D188" s="74"/>
      <c r="E188" s="73"/>
      <c r="F188" s="73"/>
      <c r="G188" s="173"/>
      <c r="H188" s="207" t="s">
        <v>8</v>
      </c>
      <c r="I188" s="163" t="s">
        <v>188</v>
      </c>
      <c r="J188" s="164" t="s">
        <v>188</v>
      </c>
      <c r="K188" s="164" t="s">
        <v>188</v>
      </c>
      <c r="L188" s="164" t="s">
        <v>188</v>
      </c>
      <c r="M188" s="164" t="s">
        <v>188</v>
      </c>
      <c r="N188" s="175" t="s">
        <v>188</v>
      </c>
    </row>
    <row r="189" spans="1:14" s="95" customFormat="1" ht="18.75" customHeight="1">
      <c r="A189" s="59" t="s">
        <v>136</v>
      </c>
      <c r="B189" s="60"/>
      <c r="C189" s="187"/>
      <c r="D189" s="187"/>
      <c r="E189" s="208"/>
      <c r="F189" s="187"/>
      <c r="G189" s="209"/>
      <c r="H189" s="210" t="s">
        <v>136</v>
      </c>
      <c r="I189" s="211"/>
      <c r="J189" s="187"/>
      <c r="K189" s="187"/>
      <c r="L189" s="187"/>
      <c r="M189" s="187"/>
      <c r="N189" s="209"/>
    </row>
    <row r="190" spans="1:14" ht="18.75" customHeight="1">
      <c r="A190" s="57" t="s">
        <v>135</v>
      </c>
      <c r="B190" s="61"/>
      <c r="C190" s="188"/>
      <c r="D190" s="188"/>
      <c r="E190" s="212"/>
      <c r="F190" s="188"/>
      <c r="G190" s="209"/>
      <c r="H190" s="213" t="s">
        <v>135</v>
      </c>
      <c r="I190" s="214"/>
      <c r="J190" s="188"/>
      <c r="K190" s="188"/>
      <c r="L190" s="188"/>
      <c r="M190" s="188"/>
      <c r="N190" s="209"/>
    </row>
    <row r="191" spans="1:14" ht="18" customHeight="1">
      <c r="A191" s="75"/>
      <c r="B191" s="72"/>
      <c r="C191" s="73"/>
      <c r="D191" s="74"/>
      <c r="E191" s="73"/>
      <c r="F191" s="73"/>
      <c r="G191" s="173"/>
      <c r="H191" s="76"/>
      <c r="I191" s="76"/>
      <c r="J191" s="77"/>
      <c r="K191" s="78"/>
      <c r="L191" s="77"/>
      <c r="M191" s="77"/>
      <c r="N191" s="174"/>
    </row>
    <row r="10000" spans="52:52">
      <c r="AZ10000" s="94">
        <v>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Adi Raz</cp:lastModifiedBy>
  <cp:lastPrinted>2025-12-02T12:20:37Z</cp:lastPrinted>
  <dcterms:created xsi:type="dcterms:W3CDTF">2019-11-21T10:57:46Z</dcterms:created>
  <dcterms:modified xsi:type="dcterms:W3CDTF">2026-07-07T13:26:23Z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