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ofeks\Desktop\הנגשה אבישי 25.05.2026\"/>
    </mc:Choice>
  </mc:AlternateContent>
  <xr:revisionPtr revIDLastSave="0" documentId="13_ncr:1_{33ED9B72-7796-4305-A1A5-BCBFA583A9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<sst xmlns="http://schemas.openxmlformats.org/spreadsheetml/2006/main" count="2898" uniqueCount="247">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</sst>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5" fillId="17" borderId="2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 readingOrder="2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Hyperlink" xfId="2" builtinId="8"/>
    <cellStyle name="Normal" xfId="0" builtinId="0"/>
    <cellStyle name="Percent" xfId="1" builtinId="5"/>
  </cellStyles>
  <dxfs count="25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303B1-6965-45B0-B0FB-C30C2F702AF7}" name="TitleRegion1.b3.i15.1" displayName="TitleRegion1.b3.i15.1" ref="B3:I15" totalsRowShown="0" headerRowDxfId="244" tableBorderDxfId="249">
  <autoFilter ref="B3:I15" xr:uid="{904303B1-6965-45B0-B0FB-C30C2F702A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BA347B-6E3E-466D-9C5D-4909360A432B}" name="אפיק השקעה " dataDxfId="248"/>
    <tableColumn id="2" xr3:uid="{4C975AD9-991E-4124-BB83-08CBF46B39DB}" name="ריק במקור" dataDxfId="247"/>
    <tableColumn id="3" xr3:uid="{8C868EF1-3B55-4A26-AC2A-4D5D676B72B3}" name="ריק במקור2" dataDxfId="246"/>
    <tableColumn id="4" xr3:uid="{CB2E23A7-E840-4BFD-9C1B-416BCA92168E}" name="שיעור החשיפה ליום 31/12/2025"/>
    <tableColumn id="5" xr3:uid="{D53C6E98-0F1B-4B5A-A4CB-E3C879AE2E8F}" name="שיעור חשיפה צפוי לשנת 2026"/>
    <tableColumn id="6" xr3:uid="{27443E82-4214-402E-83C2-D7A4D02B8E77}" name="טווח סטיה מותר" dataDxfId="245"/>
    <tableColumn id="7" xr3:uid="{AB7608E5-52ED-4B21-9715-7A7FBD392E61}" name="גבולות שיעור החשיפה הצפויה"/>
    <tableColumn id="8" xr3:uid="{A277F6DA-5F20-4B7F-B8B5-E49C14B9AF5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5889B-B7D1-45D1-B3AD-DE90D3B8D4E2}" name="TitleRegion1.b18.i30.2" displayName="TitleRegion1.b18.i30.2" ref="B18:I30" totalsRowShown="0" headerRowDxfId="239" tableBorderDxfId="243">
  <autoFilter ref="B18:I30" xr:uid="{F725889B-B7D1-45D1-B3AD-DE90D3B8D4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BC69F2-268F-4C38-93E4-291E848AF7BC}" name="אפיק השקעה "/>
    <tableColumn id="2" xr3:uid="{A58ECE0B-6D82-4D48-B82C-2B4B317BE247}" name="ריק במקור" dataDxfId="242"/>
    <tableColumn id="3" xr3:uid="{BEA4C9E6-8322-4537-8121-41A4AD2CD6EF}" name="ריק במקור2" dataDxfId="241"/>
    <tableColumn id="4" xr3:uid="{23F71A23-D046-468A-A039-3C9F0E700226}" name="שיעור החשיפה ליום 31/12/2025"/>
    <tableColumn id="5" xr3:uid="{43BA4FC0-3F4A-43C2-919D-B0E02E5C76A7}" name="שיעור חשיפה צפוי לשנת 2026"/>
    <tableColumn id="6" xr3:uid="{0ACD86F0-A1BE-4D55-8BE0-55A86EF22F1F}" name="טווח סטיה מותר" dataDxfId="240"/>
    <tableColumn id="7" xr3:uid="{426A522B-C071-4DFD-91A2-E17FE4ADD5EC}" name="גבולות שיעור החשיפה הצפויה"/>
    <tableColumn id="8" xr3:uid="{C1AFF7CC-ACD5-4B8F-A373-0DEAC2428223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FBD73-8D28-4CC8-BF90-C06E2BCCB567}" name="TitleRegion1.b33.i45.3" displayName="TitleRegion1.b33.i45.3" ref="B33:I45" totalsRowShown="0" tableBorderDxfId="238">
  <autoFilter ref="B33:I45" xr:uid="{18DFBD73-8D28-4CC8-BF90-C06E2BCCB5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008277B-6254-4936-A708-5584F55F6BFB}" name="אפיק השקעה " dataDxfId="237"/>
    <tableColumn id="2" xr3:uid="{ABD08160-843C-4E2F-95DD-787A7E935C34}" name="ריק במקור" dataDxfId="236"/>
    <tableColumn id="3" xr3:uid="{9C18A76B-D62A-40C5-96A3-193A265DB794}" name="ריק במקור2" dataDxfId="235"/>
    <tableColumn id="4" xr3:uid="{9FE3978C-0F4C-4984-B0E6-47193339DA9D}" name="שיעור החשיפה ליום 31/12/2025"/>
    <tableColumn id="5" xr3:uid="{798786E0-D0B9-4848-9FD6-0525E7989EB5}" name="שיעור חשיפה צפוי לשנת 2026"/>
    <tableColumn id="6" xr3:uid="{AD6B4802-0B21-45C5-8E38-1F7B79BCB8B2}" name="טווח סטיה מותר"/>
    <tableColumn id="7" xr3:uid="{C8C29655-549B-4B6F-9B3A-3F52081BBDD8}" name="גבולות שיעור החשיפה הצפויה"/>
    <tableColumn id="8" xr3:uid="{8A983D07-B252-4631-A74E-D8A875DCB099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B558A2A-880A-40EA-A5AA-B0DE2A290ACC}" name="TitleRegion1.b48.i60.5" displayName="TitleRegion1.b48.i60.5" ref="B48:I60" totalsRowShown="0" headerRowDxfId="229" tableBorderDxfId="234">
  <autoFilter ref="B48:I60" xr:uid="{AB558A2A-880A-40EA-A5AA-B0DE2A290A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4B8C6ED-7DEB-4C0B-9CBA-00E3B1DD261D}" name="אפיק השקעה " dataDxfId="233"/>
    <tableColumn id="2" xr3:uid="{4F4CE3DE-1B21-4453-BDE3-F58DA9C54C00}" name="ריק במקור" dataDxfId="232"/>
    <tableColumn id="3" xr3:uid="{CF7E9FB5-7328-4719-AE7B-D1D5B87AF62D}" name="ריק במקור2" dataDxfId="231"/>
    <tableColumn id="4" xr3:uid="{D24B3996-5410-43A2-95A7-C45B2A4A67F5}" name="שיעור החשיפה ליום 31/12/2025"/>
    <tableColumn id="5" xr3:uid="{08E156FF-E347-4294-831A-4DB4C5C6980E}" name="שיעור חשיפה צפוי לשנת 2026"/>
    <tableColumn id="6" xr3:uid="{D0345ED9-3E3E-41C5-893C-CB726E863EAA}" name="טווח סטיה מותר" dataDxfId="230"/>
    <tableColumn id="7" xr3:uid="{97CB9E6F-B649-4EFD-82C0-37F46BCA1162}" name="גבולות שיעור החשיפה הצפויה"/>
    <tableColumn id="8" xr3:uid="{5F60CE6D-4C9C-4F12-8865-68A00D2B64D2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3F2D94B-FBDE-4C51-B30D-0538B73E61A7}" name="TitleRegion1.b63.i75.6" displayName="TitleRegion1.b63.i75.6" ref="B63:I75" totalsRowShown="0" headerRowDxfId="221" tableBorderDxfId="228">
  <autoFilter ref="B63:I75" xr:uid="{D3F2D94B-FBDE-4C51-B30D-0538B73E61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C9900E0-7EA1-41B5-8F02-E22F04E2F4E5}" name="אפיק השקעה " dataDxfId="227"/>
    <tableColumn id="2" xr3:uid="{C9BE5077-358D-41BF-9DD3-9A605F13D3B5}" name="ריק במקור" dataDxfId="226"/>
    <tableColumn id="3" xr3:uid="{BCF10260-B2AA-4C78-81B7-C7C5D89A7E89}" name="ריק במקור2" dataDxfId="225"/>
    <tableColumn id="4" xr3:uid="{E011CE81-2D41-4B16-97E7-7948E9676545}" name="שיעור החשיפה ליום 31/12/2025" dataDxfId="224"/>
    <tableColumn id="5" xr3:uid="{B129786E-320D-4800-8648-6E32C60B0D1B}" name="שיעור חשיפה צפוי לשנת 2026" dataDxfId="223"/>
    <tableColumn id="6" xr3:uid="{9D78E01F-648E-4D98-B78F-E60EB96312AD}" name="טווח סטיה מותר" dataDxfId="222"/>
    <tableColumn id="7" xr3:uid="{00C42068-E32F-4C6D-9D9B-0805C7B5AD32}" name="גבולות שיעור החשיפה הצפויה"/>
    <tableColumn id="8" xr3:uid="{6F9F8A85-191D-413A-B980-FF3CCE58E127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F0388FF-7590-4C62-B2D8-3B6B8BFBA69C}" name="TitleRegion1.b80.i92.7" displayName="TitleRegion1.b80.i92.7" ref="B80:I92" totalsRowShown="0" headerRowDxfId="216" headerRowBorderDxfId="219" tableBorderDxfId="220">
  <autoFilter ref="B80:I92" xr:uid="{DF0388FF-7590-4C62-B2D8-3B6B8BFBA6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F1CDA23-ADC4-4817-A31C-52DC2AFD4029}" name="אפיק השקעה " dataDxfId="218"/>
    <tableColumn id="2" xr3:uid="{567A4CF6-0E3E-460B-984F-96ED298D1729}" name="תגמולים שיעור החשיפה ליום 31/12/2025 "/>
    <tableColumn id="3" xr3:uid="{5B2744A5-7242-4069-84EA-D56BA0178451}" name="השתלמות שיעור החשיפה ליום 31/12/2025"/>
    <tableColumn id="4" xr3:uid="{98055FEE-A2C5-4158-989F-FDA547FE60FD}" name=" השקעה שיעור החשיפה ליום 31/12/2025"/>
    <tableColumn id="5" xr3:uid="{EA582254-35A0-46FD-A107-8AA8F3850A30}" name="שיעור חשיפה צפוי לשנת 2026"/>
    <tableColumn id="6" xr3:uid="{BF556BA9-FEE7-4BA2-BEE6-52FD2B7613BD}" name="טווח סטיה מותר" dataDxfId="217"/>
    <tableColumn id="7" xr3:uid="{46196561-5F81-41DD-A3D1-8A7CF4DEC515}" name="גבולות שיעור החשיפה הצפויה"/>
    <tableColumn id="8" xr3:uid="{7082872D-FEB4-4670-8263-F1023FC67BEE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5611E92-C4CE-4843-A2C4-62341C45317E}" name="TitleRegion1.b97.i109.8" displayName="TitleRegion1.b97.i109.8" ref="B97:I109" totalsRowShown="0" headerRowDxfId="211" headerRowBorderDxfId="214" tableBorderDxfId="215">
  <autoFilter ref="B97:I109" xr:uid="{05611E92-C4CE-4843-A2C4-62341C4531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766BAFD-3A04-4B2F-982F-292E36B531E8}" name="אפיק השקעה " dataDxfId="213"/>
    <tableColumn id="2" xr3:uid="{173C8ABE-B577-44F8-90D0-786607AFF63C}" name="תגמולים שיעור החשיפה ליום 31/12/2025 "/>
    <tableColumn id="3" xr3:uid="{E6BE40E7-149F-4DCA-A3BE-C990F65BC14F}" name="השתלמות שיעור החשיפה ליום 31/12/2025"/>
    <tableColumn id="4" xr3:uid="{5683FFD7-7456-4F66-8352-A14C17BA88C3}" name=" השקעה שיעור החשיפה ליום 31/12/2025"/>
    <tableColumn id="5" xr3:uid="{7401A63D-E81A-4332-83FD-C52438FA8B04}" name="שיעור חשיפה צפוי לשנת 2026"/>
    <tableColumn id="6" xr3:uid="{18B45A0E-128F-47A4-A2E1-0C32893C34C1}" name="טווח סטיה מותר" dataDxfId="212"/>
    <tableColumn id="7" xr3:uid="{55DA1107-997F-4550-8811-368320A9C6CE}" name="גבולות שיעור החשיפה הצפויה"/>
    <tableColumn id="8" xr3:uid="{229E2536-D9D5-4D4A-A8B7-68D678D737B3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8628A16-70A5-4A44-9362-D6CB15E14968}" name="TitleRegion1.b113.i125.9" displayName="TitleRegion1.b113.i125.9" ref="B113:I125" totalsRowShown="0" headerRowDxfId="207" tableBorderDxfId="210">
  <autoFilter ref="B113:I125" xr:uid="{F8628A16-70A5-4A44-9362-D6CB15E149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B89662-FE89-4FAE-9FC4-F0FEA2B1D0F4}" name="אפיק השקעה "/>
    <tableColumn id="2" xr3:uid="{3E9C645C-5894-4E31-98FA-286D57D4FAD6}" name="ריק במקור" dataDxfId="209"/>
    <tableColumn id="3" xr3:uid="{65C87FF3-8428-47BA-8AD6-84203B54A829}" name="השתלמות שיעור החשיפה ליום 31/12/2025 "/>
    <tableColumn id="4" xr3:uid="{547502D7-5E46-444B-B35C-2DD9D23892F6}" name=" השקעה שיעור החשיפה ליום 31/12/2025"/>
    <tableColumn id="5" xr3:uid="{3887DDE6-913F-4EE3-8205-D240FEF5DBF9}" name="שיעור חשיפה צפוי לשנת 2026"/>
    <tableColumn id="6" xr3:uid="{72351424-03FD-4A9B-A2F5-2A2A5211F70C}" name="טווח סטיה מותר" dataDxfId="208"/>
    <tableColumn id="7" xr3:uid="{084D4F71-1418-4567-85C0-225404B58633}" name="גבולות שיעור החשיפה הצפויה"/>
    <tableColumn id="8" xr3:uid="{99A96831-75A1-482B-AD86-EA238ACB51AB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7D4666B-05F5-40DF-9462-05DF8FF3ADEC}" name="TitleRegion1.b130.i137.10" displayName="TitleRegion1.b130.i137.10" ref="B130:I137" totalsRowShown="0" headerRowDxfId="203" headerRowBorderDxfId="205" tableBorderDxfId="206">
  <autoFilter ref="B130:I137" xr:uid="{C7D4666B-05F5-40DF-9462-05DF8FF3AD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B5EE036-6463-4903-BFF1-6254AA8DA188}" name="אפיק השקעה "/>
    <tableColumn id="2" xr3:uid="{009D96B3-2DE5-44F9-AF37-7332B621E68D}" name="תגמולים שיעור החשיפה ליום 31/12/2025 "/>
    <tableColumn id="3" xr3:uid="{30C2E9DB-BB2D-4BC3-8359-783207D1D849}" name="השתלמות שיעור החשיפה ליום 31/12/2025"/>
    <tableColumn id="4" xr3:uid="{F9791106-6284-4825-912C-A0F61185C1DD}" name=" השקעה שיעור החשיפה ליום 31/12/2025"/>
    <tableColumn id="5" xr3:uid="{AF4B74E7-8385-4208-AC07-69FFB894225D}" name="שיעור חשיפה צפוי לשנת 2026"/>
    <tableColumn id="6" xr3:uid="{875802B6-5022-48AC-9EF5-A0825D2E9073}" name="טווח סטיה מותר" dataDxfId="204"/>
    <tableColumn id="7" xr3:uid="{21FA004F-CEA1-436F-B6EF-6D27DF92317C}" name="גבולות שיעור החשיפה הצפויה"/>
    <tableColumn id="8" xr3:uid="{13859204-D322-415B-97D7-B9A49B0B1922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B798F57-08E1-4BDF-9953-AB763D11755D}" name="TitleRegion1.b142.i149.11" displayName="TitleRegion1.b142.i149.11" ref="B142:I149" totalsRowShown="0" headerRowDxfId="199" headerRowBorderDxfId="201" tableBorderDxfId="202">
  <autoFilter ref="B142:I149" xr:uid="{7B798F57-08E1-4BDF-9953-AB763D11755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FB2B7A4-2ACE-4423-9AC8-55663DC983DF}" name="אפיק השקעה "/>
    <tableColumn id="2" xr3:uid="{8DE7EAD4-46EB-40E7-BAAA-3B7421465C16}" name="תגמולים שיעור החשיפה ליום 31/12/2025 "/>
    <tableColumn id="3" xr3:uid="{A041D7F2-0CC8-4C02-8BF5-9984B34514F5}" name="השתלמות שיעור החשיפה ליום 31/12/2025"/>
    <tableColumn id="4" xr3:uid="{475BA3EB-B8E0-45E9-84AA-8DC3C2D5B7EF}" name=" השקעה שיעור החשיפה ליום 31/12/2025"/>
    <tableColumn id="5" xr3:uid="{42373E05-6F6A-49F4-9DF9-A18929D8F8A9}" name="שיעור חשיפה צפוי לשנת 2026"/>
    <tableColumn id="6" xr3:uid="{B99ABBF3-EBD2-404C-A7F8-4774317E7B9C}" name="טווח סטיה מותר" dataDxfId="200"/>
    <tableColumn id="7" xr3:uid="{EAE68CF9-B643-4B9E-ABBC-A61881618142}" name="גבולות שיעור החשיפה הצפויה"/>
    <tableColumn id="8" xr3:uid="{E5B141A8-8529-4D3C-B75A-7909B53B69AC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764AE44-8B22-46DB-953A-8F7F9F025B66}" name="TitleRegion1.b154.i161.12" displayName="TitleRegion1.b154.i161.12" ref="B154:I161" totalsRowShown="0" headerRowDxfId="195" headerRowBorderDxfId="197" tableBorderDxfId="198">
  <autoFilter ref="B154:I161" xr:uid="{E764AE44-8B22-46DB-953A-8F7F9F025B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721BD5-37CF-4F5E-AE2F-98A561FDD291}" name="אפיק השקעה "/>
    <tableColumn id="2" xr3:uid="{7ACD2F1F-F177-4411-A21A-B36BF3AA40D0}" name="תגמולים שיעור החשיפה ליום 31/12/2025 "/>
    <tableColumn id="3" xr3:uid="{6CAA7923-57BD-484E-9F14-0B0D7A08D615}" name="השתלמות שיעור החשיפה ליום 31/12/2025"/>
    <tableColumn id="4" xr3:uid="{C3666A02-59F4-466E-8773-F4DED0255553}" name=" השקעה שיעור החשיפה ליום 31/12/2025"/>
    <tableColumn id="5" xr3:uid="{DF973EE7-5673-4931-A189-CD8B5B968F86}" name="שיעור חשיפה צפוי לשנת 2026"/>
    <tableColumn id="6" xr3:uid="{86529F15-E312-4154-82D1-BD0D9085CB05}" name="טווח סטיה מותר" dataDxfId="196"/>
    <tableColumn id="7" xr3:uid="{CED98FAE-E012-4966-9551-52C28324407C}" name="גבולות שיעור החשיפה הצפויה"/>
    <tableColumn id="8" xr3:uid="{8EC5A13C-4430-444C-BFFC-70A68C4DDD21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935BFBA-226F-4E61-9043-6C28CA89BDE0}" name="TitleRegion1.b166.i173.13" displayName="TitleRegion1.b166.i173.13" ref="B166:I173" totalsRowShown="0" headerRowDxfId="191" headerRowBorderDxfId="193" tableBorderDxfId="194">
  <autoFilter ref="B166:I173" xr:uid="{7935BFBA-226F-4E61-9043-6C28CA89BD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291531-A9F1-4282-9DBD-7949E9721F3D}" name="אפיק השקעה "/>
    <tableColumn id="2" xr3:uid="{E40C350E-CEB7-472F-B029-2948A741AC40}" name="תגמולים שיעור החשיפה ליום 31/12/2025 "/>
    <tableColumn id="3" xr3:uid="{7B1DFBF0-C4C2-4013-8708-F082A1A728E7}" name="השתלמות שיעור החשיפה ליום 31/12/2025"/>
    <tableColumn id="4" xr3:uid="{399AE52E-1671-4118-9854-9323B20FE725}" name=" השקעה שיעור החשיפה ליום 31/12/2025"/>
    <tableColumn id="5" xr3:uid="{9756EB80-514F-4BCF-BB30-5763BFCAA53C}" name="שיעור חשיפה צפוי לשנת 2026"/>
    <tableColumn id="6" xr3:uid="{55E9235F-F098-4B08-B0A0-04C51D98E4D0}" name="טווח סטיה מותר" dataDxfId="192"/>
    <tableColumn id="7" xr3:uid="{771F8950-7689-4166-B3B7-EA5F19E6DDB3}" name="גבולות שיעור החשיפה הצפויה"/>
    <tableColumn id="8" xr3:uid="{A8FD5BEA-6496-4B7B-B90E-C24FE687FAEB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A035B3F-59E3-4A9C-8520-B60C6294AB19}" name="TitleRegion1.b177.i184.14" displayName="TitleRegion1.b177.i184.14" ref="B177:I184" totalsRowShown="0" headerRowDxfId="187" tableBorderDxfId="190">
  <autoFilter ref="B177:I184" xr:uid="{0A035B3F-59E3-4A9C-8520-B60C6294AB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0FD2E63-3064-46B7-B10D-04B4F03FDFBB}" name="אפיק השקעה "/>
    <tableColumn id="2" xr3:uid="{69681849-BEDF-44A7-A51B-F07A0FBECD0C}" name="ריק במקור" dataDxfId="189"/>
    <tableColumn id="3" xr3:uid="{B3A382ED-C903-4F9B-9318-A4570CF87C4F}" name="השתלמות שיעור החשיפה ליום 31/12/2025"/>
    <tableColumn id="4" xr3:uid="{F12A76B2-D997-4D0D-A149-AAC83C9725BB}" name=" השקעה שיעור החשיפה ליום 31/12/2025"/>
    <tableColumn id="5" xr3:uid="{11B6FB80-2DF6-4D71-9793-6CD6D28F40AA}" name="שיעור חשיפה צפוי לשנת 2026"/>
    <tableColumn id="6" xr3:uid="{D718F395-173A-4EC7-B78C-91AD4635B007}" name="טווח סטיה מותר" dataDxfId="188"/>
    <tableColumn id="7" xr3:uid="{83E7F5DA-68DE-44F9-830A-5C71A35BCF37}" name="גבולות שיעור החשיפה הצפויה"/>
    <tableColumn id="8" xr3:uid="{A8F0306C-6F4D-474C-8483-C48CD24E6E16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787D512-95A6-4289-95D5-14F0652C8157}" name="TitleRegion1.b189.i196.15" displayName="TitleRegion1.b189.i196.15" ref="B189:I196" totalsRowShown="0" headerRowDxfId="182" headerRowBorderDxfId="185" tableBorderDxfId="186">
  <autoFilter ref="B189:I196" xr:uid="{5787D512-95A6-4289-95D5-14F0652C81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01042CE-4BA3-4694-A7FE-D21F33E217A6}" name="אפיק השקעה "/>
    <tableColumn id="2" xr3:uid="{5661D709-03D2-454B-8DBE-B1B585D4A3D7}" name="תגמולים שיעור החשיפה ליום 31/12/2025 "/>
    <tableColumn id="3" xr3:uid="{97C290E8-6F78-4EA8-A3C6-0A9E24B4CD48}" name="השתלמות שיעור החשיפה ליום 31/12/2025"/>
    <tableColumn id="4" xr3:uid="{467A78B6-0BB4-42B3-B121-D4EE554F9129}" name=" השקעה שיעור החשיפה ליום 31/12/2025"/>
    <tableColumn id="5" xr3:uid="{F15B3DA0-3C6F-4726-8FA3-94796E33AD1B}" name="שיעור חשיפה צפוי לשנת 2026"/>
    <tableColumn id="6" xr3:uid="{457461AE-CCB2-4697-8D3B-DEC4F5653D0A}" name="טווח סטיה מותר" dataDxfId="184"/>
    <tableColumn id="7" xr3:uid="{879F8CB9-8A36-4412-BBE8-A375365AEE63}" name="גבולות שיעור החשיפה הצפויה"/>
    <tableColumn id="8" xr3:uid="{9A9084E7-B9A4-4130-A160-5E7C457579D3}" name="מדד ייחוס*" dataDxfId="183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6B686A8E-BE32-4045-9EC7-DBF38D946A69}" name="TitleRegion1.b201.i208.16" displayName="TitleRegion1.b201.i208.16" ref="B201:I208" totalsRowShown="0" headerRowDxfId="178" headerRowBorderDxfId="180" tableBorderDxfId="181">
  <autoFilter ref="B201:I208" xr:uid="{6B686A8E-BE32-4045-9EC7-DBF38D946A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966DC32-60DD-4C59-9BDC-3B144AAFBDD1}" name="אפיק השקעה "/>
    <tableColumn id="2" xr3:uid="{1D9F4D15-D599-483A-A6F1-81372864FEA3}" name="תגמולים שיעור החשיפה ליום 31/12/2025 "/>
    <tableColumn id="3" xr3:uid="{46777975-BD0A-4267-A73C-7294D37B1CB6}" name="השתלמות שיעור החשיפה ליום 31/12/2025"/>
    <tableColumn id="4" xr3:uid="{85A76D81-0F0B-4822-887B-9A1A4204F7E0}" name=" השקעה שיעור החשיפה ליום 31/12/2025"/>
    <tableColumn id="5" xr3:uid="{FD364C92-EC0B-4501-8D30-9918686F055D}" name="שיעור חשיפה צפוי לשנת 2026"/>
    <tableColumn id="6" xr3:uid="{53CFDAD7-3A01-478A-8B10-F54A1CE36B8A}" name="טווח סטיה מותר" dataDxfId="179"/>
    <tableColumn id="7" xr3:uid="{B302441F-818D-4EEA-AC99-4A840C5E4E99}" name="גבולות שיעור החשיפה הצפויה"/>
    <tableColumn id="8" xr3:uid="{BCE921C1-744A-4CE9-B8D6-57AC2EF7B769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59C5311-2699-4112-AA92-CD71A012CFEC}" name="TitleRegion1.b213.i220.17" displayName="TitleRegion1.b213.i220.17" ref="B213:I220" totalsRowShown="0" headerRowDxfId="174" headerRowBorderDxfId="176" tableBorderDxfId="177">
  <autoFilter ref="B213:I220" xr:uid="{059C5311-2699-4112-AA92-CD71A012CF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257F69-4618-4F3A-9A21-C42658DC879C}" name="אפיק השקעה "/>
    <tableColumn id="2" xr3:uid="{7998C5AE-A519-48AA-928A-B31554B4606D}" name="תגמולים שיעור החשיפה ליום 31/12/2025 "/>
    <tableColumn id="3" xr3:uid="{1468BA85-1DF5-4C0A-9D1C-A3DED16BC50C}" name="השתלמות שיעור החשיפה ליום 31/12/2025"/>
    <tableColumn id="4" xr3:uid="{51A82C02-D501-4D13-A5F4-004B7911EBF1}" name=" השקעה שיעור החשיפה ליום 31/12/2025"/>
    <tableColumn id="5" xr3:uid="{A704539C-678E-4181-8AF3-343737033497}" name="שיעור חשיפה צפוי לשנת 2026"/>
    <tableColumn id="6" xr3:uid="{BC73F11E-76DF-49E4-8911-FFE64B602F2D}" name="טווח סטיה מותר" dataDxfId="175"/>
    <tableColumn id="7" xr3:uid="{3FF5A81E-C06C-48A6-B1CF-746348E65738}" name="גבולות שיעור החשיפה הצפויה"/>
    <tableColumn id="8" xr3:uid="{EF319F2C-3477-425B-BBE0-37608435852F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06953D8-407B-4AC9-81A4-C864704ABEBC}" name="TitleRegion1.b224.i231.18" displayName="TitleRegion1.b224.i231.18" ref="B224:I231" totalsRowShown="0" headerRowDxfId="170" tableBorderDxfId="173">
  <autoFilter ref="B224:I231" xr:uid="{906953D8-407B-4AC9-81A4-C864704ABE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53203E0-0B40-45DB-8545-68B70603E356}" name="אפיק השקעה "/>
    <tableColumn id="2" xr3:uid="{9229890E-84A1-4C1A-833E-A4BC4CFE9B8E}" name="ריק במקור" dataDxfId="172"/>
    <tableColumn id="3" xr3:uid="{C1A869AA-82A7-4765-BDFA-C6092AE4C8A0}" name="השתלמות שיעור החשיפה ליום 31/12/2025"/>
    <tableColumn id="4" xr3:uid="{41587394-C942-4C69-B9FA-FFEFE010BD26}" name=" השקעה שיעור החשיפה ליום 31/12/2025"/>
    <tableColumn id="5" xr3:uid="{10B31EC9-6379-41B1-8AB1-4848ABFCBD5A}" name="שיעור חשיפה צפוי לשנת 2026"/>
    <tableColumn id="6" xr3:uid="{F763C1E5-FBFD-4AF7-8D1A-3BAD6C8BC4BC}" name="טווח סטיה מותר" dataDxfId="171"/>
    <tableColumn id="7" xr3:uid="{22A280EB-3012-490C-8FFA-A86B8311E0C7}" name="גבולות שיעור החשיפה הצפויה"/>
    <tableColumn id="8" xr3:uid="{DFA50D1A-7DA0-4DA4-9A67-7A1B493B8CAF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B858D32-F738-48AF-B676-2A7929C6678E}" name="TitleRegion1.b236.i243.19" displayName="TitleRegion1.b236.i243.19" ref="B236:I243" totalsRowShown="0" headerRowDxfId="166" headerRowBorderDxfId="168" tableBorderDxfId="169">
  <autoFilter ref="B236:I243" xr:uid="{9B858D32-F738-48AF-B676-2A7929C667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8695311-4617-4526-9180-60A79FE8DF06}" name="אפיק השקעה "/>
    <tableColumn id="2" xr3:uid="{52A3CCD4-9EF5-4090-8D41-DF1BF64C4CB7}" name="תגמולים שיעור החשיפה ליום 31/12/2025 "/>
    <tableColumn id="3" xr3:uid="{B4F7B734-8263-456E-8E8E-F45CEB9E46C9}" name="השתלמות שיעור החשיפה ליום 31/12/2025"/>
    <tableColumn id="4" xr3:uid="{7CDF0B10-24FD-40AA-A588-90B2C75A2E95}" name=" השקעה שיעור החשיפה ליום 31/12/2025"/>
    <tableColumn id="5" xr3:uid="{E5334928-4D15-4627-BD5C-108883895D1D}" name="שיעור חשיפה צפוי לשנת 2026"/>
    <tableColumn id="6" xr3:uid="{44425051-82D0-4BA8-9C5B-A687722E7739}" name="טווח סטיה מותר" dataDxfId="167"/>
    <tableColumn id="7" xr3:uid="{B90EEAF8-DE8A-4DF1-8834-1A46D84D7D56}" name="גבולות שיעור החשיפה הצפויה"/>
    <tableColumn id="8" xr3:uid="{9DD458E9-53BD-42B2-AB70-1FEAEAD0B525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491D0D7-E79E-4DA2-B22D-53D83380202F}" name="TitleRegion1.b246.i258.20" displayName="TitleRegion1.b246.i258.20" ref="B246:I258" totalsRowShown="0" tableBorderDxfId="165">
  <autoFilter ref="B246:I258" xr:uid="{5491D0D7-E79E-4DA2-B22D-53D8338020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2102E91-BDA1-4DDC-8099-4EAC61C05543}" name="אפיק השקעה "/>
    <tableColumn id="2" xr3:uid="{4F0F858E-EE0E-4C12-8F73-3AA90B8EF5F4}" name="ריק במקור"/>
    <tableColumn id="3" xr3:uid="{42933C4C-B202-49CD-A8E4-D34D83647221}" name="ריק במקור2"/>
    <tableColumn id="4" xr3:uid="{57A8DA5D-35A1-4886-BE5B-144785C7BF85}" name="שיעור החשיפה ליום 31/12/2025"/>
    <tableColumn id="5" xr3:uid="{0E56C0D0-F55D-45AB-8D26-32D04E6CE48C}" name="שיעור חשיפה צפוי לשנת 2026"/>
    <tableColumn id="6" xr3:uid="{CE9A830C-0199-458D-B30E-0C5394B9B6AF}" name="טווח סטיה מותר" dataDxfId="164"/>
    <tableColumn id="7" xr3:uid="{D62CD4E3-CCE9-4AFB-BBBE-D0B32AB78F8C}" name="גבולות שיעור החשיפה הצפויה"/>
    <tableColumn id="8" xr3:uid="{6B89A0F2-067A-4BD8-AA4A-62FE64FBE0F9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8EBEE66-170D-461B-8599-3657D31CE3BA}" name="TitleRegion1.b261.i273.21" displayName="TitleRegion1.b261.i273.21" ref="B261:I273" totalsRowShown="0" tableBorderDxfId="163">
  <autoFilter ref="B261:I273" xr:uid="{28EBEE66-170D-461B-8599-3657D31CE3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62120FB-744C-46FD-951D-5DE7CD1BA380}" name="אפיק השקעה "/>
    <tableColumn id="2" xr3:uid="{CCF47623-725B-4632-AA8E-65CB0911E55F}" name="ריק במקור"/>
    <tableColumn id="3" xr3:uid="{324EDA95-4813-4341-806B-D116D313C76D}" name="ריק במקור2"/>
    <tableColumn id="4" xr3:uid="{DA6A8BA0-0ABF-4648-947C-F3F40D76377D}" name="שיעור החשיפה ליום 31/12/2025"/>
    <tableColumn id="5" xr3:uid="{4105A012-E090-49A9-B43D-03B487ABBEF2}" name="שיעור חשיפה צפוי לשנת 2026" dataDxfId="162"/>
    <tableColumn id="6" xr3:uid="{8D244237-5133-44EC-96F2-3596114ED2FB}" name="טווח סטיה מותר" dataDxfId="161" dataCellStyle="Percent"/>
    <tableColumn id="7" xr3:uid="{BF507178-92ED-4B91-A25D-37BC9874B78E}" name="גבולות שיעור החשיפה הצפויה"/>
    <tableColumn id="8" xr3:uid="{B308CB06-F681-4632-9A91-EE46F2D8B5C1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FB6BAD0-DCDB-4784-8A9D-CBE00045484D}" name="TitleRegion1.b276.i288.22" displayName="TitleRegion1.b276.i288.22" ref="B276:I288" totalsRowShown="0" tableBorderDxfId="160">
  <autoFilter ref="B276:I288" xr:uid="{0FB6BAD0-DCDB-4784-8A9D-CBE0004548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F0962A3-2B5D-4512-9C81-6D65832E12AD}" name="אפיק השקעה " dataDxfId="159"/>
    <tableColumn id="2" xr3:uid="{4C1406F6-79A7-429F-A364-8A2CE99B637E}" name="ריק במקור"/>
    <tableColumn id="3" xr3:uid="{03C778D7-40AF-401B-AA69-BC0D2480A022}" name="ריק במקור2"/>
    <tableColumn id="4" xr3:uid="{B3277C14-CC16-41F1-B80F-E2AB1D236204}" name="שיעור החשיפה ליום 31/12/2025"/>
    <tableColumn id="5" xr3:uid="{F6B0E9BE-B307-4A88-9502-FA327E95C918}" name="שיעור חשיפה צפוי לשנת 2026" dataDxfId="158"/>
    <tableColumn id="6" xr3:uid="{672D509A-26D5-4B7C-A868-DC1337100BC9}" name="טווח סטיה מותר" dataDxfId="157" dataCellStyle="Percent"/>
    <tableColumn id="7" xr3:uid="{02118809-68BC-47BB-A97B-A87C1FB22244}" name="גבולות שיעור החשיפה הצפויה"/>
    <tableColumn id="8" xr3:uid="{E4CDC3A2-3E32-402D-851D-1A5D2F4B54B0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BB9F464-6AEC-4D79-93D6-D116F4AB9B59}" name="TitleRegion1.b291.i298.23" displayName="TitleRegion1.b291.i298.23" ref="B291:I298" totalsRowShown="0" tableBorderDxfId="156">
  <autoFilter ref="B291:I298" xr:uid="{5BB9F464-6AEC-4D79-93D6-D116F4AB9B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6E7E245-26FE-47D2-B833-F0A34BA46CE4}" name="אפיק השקעה "/>
    <tableColumn id="2" xr3:uid="{7B10BADD-E645-4DC9-885D-93D585DF12E2}" name="ריק במקור" dataDxfId="155"/>
    <tableColumn id="3" xr3:uid="{57F5B442-813A-48EE-873D-83FFD7C65989}" name="ריק במקור2" dataDxfId="154"/>
    <tableColumn id="4" xr3:uid="{8C474329-5988-440A-B790-B0CDF4ABF46D}" name="שיעור החשיפה ליום 31/12/2025"/>
    <tableColumn id="5" xr3:uid="{7B19C38C-C3EE-4D41-8C2B-524F01E35868}" name="שיעור חשיפה צפוי לשנת 2026"/>
    <tableColumn id="6" xr3:uid="{F11D0078-2807-43AC-89E0-DC2C587F6AD4}" name="טווח סטיה מותר" dataDxfId="153"/>
    <tableColumn id="7" xr3:uid="{96A28C55-12D8-4C22-A6D1-C2C8BEFD0749}" name="גבולות שיעור החשיפה הצפויה"/>
    <tableColumn id="8" xr3:uid="{7B17443F-5183-4DCA-8AF3-770B28B08030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ADC592F-D361-4589-A5D2-E26015588566}" name="TitleRegion1.b301.i308.24" displayName="TitleRegion1.b301.i308.24" ref="B301:I308" totalsRowShown="0" tableBorderDxfId="152">
  <autoFilter ref="B301:I308" xr:uid="{2ADC592F-D361-4589-A5D2-E260155885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72C4881-D980-4655-8E3F-7516A43ED070}" name="אפיק השקעה "/>
    <tableColumn id="2" xr3:uid="{FADFB9F9-616D-4312-AD81-B2C5D0C3FCCE}" name="ריק במקור" dataDxfId="151"/>
    <tableColumn id="3" xr3:uid="{D24B94F0-CD3F-4C4F-9E27-1E507D2D07EE}" name="ריק במקור2" dataDxfId="150"/>
    <tableColumn id="4" xr3:uid="{EBCEC762-35CF-4091-B52F-0FCDF9F84853}" name="שיעור החשיפה ליום 31/12/2025"/>
    <tableColumn id="5" xr3:uid="{E51CAF13-90F3-4D6F-A562-527016B259BC}" name="שיעור חשיפה צפוי לשנת 2026"/>
    <tableColumn id="6" xr3:uid="{D3FD8374-88A1-433F-8C2D-EB8F8BC0BBF1}" name="טווח סטיה מותר" dataDxfId="149"/>
    <tableColumn id="7" xr3:uid="{3E31941F-1AD6-4474-BD0A-814223DAB6FB}" name="גבולות שיעור החשיפה הצפויה"/>
    <tableColumn id="8" xr3:uid="{A9E80407-A537-4E2D-A653-9B9F09D4914E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0E96D14-F9EF-41CC-8AE2-AA99C903ACA4}" name="TitleRegion1.b3.g14.1" displayName="TitleRegion1.b3.g14.1" ref="B3:G14" totalsRowShown="0" headerRowDxfId="144" headerRowBorderDxfId="147" tableBorderDxfId="148">
  <autoFilter ref="B3:G14" xr:uid="{E0E96D14-F9EF-41CC-8AE2-AA99C903AC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F08EB5F-BF24-4EE2-8286-A2F4553FAEE3}" name="אפיק השקעה " dataDxfId="146"/>
    <tableColumn id="2" xr3:uid="{B27EA225-6C23-4D29-A8C4-FBFB85A17E5A}" name="שיעור החשיפה ליום 31/12/2025"/>
    <tableColumn id="3" xr3:uid="{5B2A5FD6-821C-46F3-B85D-063175015B23}" name="שיעור חשיפה צפוי לשנת 2026"/>
    <tableColumn id="4" xr3:uid="{2FE28575-784F-4BF5-9A14-EDFCF36478BC}" name="טווח סטיה מותר" dataDxfId="145"/>
    <tableColumn id="5" xr3:uid="{4D704B65-5FD7-4919-BABD-E379858B9D49}" name="גבולות שיעור החשיפה הצפויה"/>
    <tableColumn id="6" xr3:uid="{53BBBCB5-4767-4561-B746-8D0D06B058AA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ED85A2A0-58E6-43F9-802C-2CDF51DA7D7F}" name="TitleRegion1.i3.n14.2" displayName="TitleRegion1.i3.n14.2" ref="I3:N14" totalsRowShown="0" headerRowDxfId="139" headerRowBorderDxfId="142" tableBorderDxfId="143">
  <autoFilter ref="I3:N14" xr:uid="{ED85A2A0-58E6-43F9-802C-2CDF51DA7D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5BA22DF-B417-4F1A-B151-82213B5D5333}" name="אפיק השקעה " dataDxfId="141"/>
    <tableColumn id="2" xr3:uid="{6DF9E948-6EDD-4179-8A2F-6C7B5CAF936E}" name="שיעור החשיפה ליום 31/12/2025"/>
    <tableColumn id="3" xr3:uid="{8A24B308-8BFB-4512-802A-89A46391548E}" name="שיעור חשיפה צפוי לשנת 2026"/>
    <tableColumn id="4" xr3:uid="{8B075EE4-AB1C-4DFD-8FB3-C5B31AB13B16}" name="טווח סטיה מותר" dataDxfId="140"/>
    <tableColumn id="5" xr3:uid="{33E55ADD-A88F-44C1-870A-A7A219CE6EAA}" name="גבולות שיעור החשיפה הצפויה"/>
    <tableColumn id="6" xr3:uid="{781E59AC-1C24-4496-98D3-8C154673EDBE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FCF9E9D-1680-4F3F-895A-464F596BA3DB}" name="TitleRegion1.b17.g28.3" displayName="TitleRegion1.b17.g28.3" ref="B17:G28" totalsRowShown="0" headerRowDxfId="134" headerRowBorderDxfId="137" tableBorderDxfId="138">
  <autoFilter ref="B17:G28" xr:uid="{BFCF9E9D-1680-4F3F-895A-464F596BA3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B4F8FF-E170-4A7E-AF3C-768CABCA6C51}" name="אפיק השקעה " dataDxfId="136"/>
    <tableColumn id="2" xr3:uid="{199B9627-05DB-431B-ACC5-5DDECD310D43}" name="שיעור החשיפה ליום 31/12/2025"/>
    <tableColumn id="3" xr3:uid="{B50F27E1-89F9-4BA8-ADF4-053E518E20ED}" name="שיעור חשיפה צפוי לשנת 2026"/>
    <tableColumn id="4" xr3:uid="{BCAC8129-97A0-4D19-B86C-2C14C7D4567D}" name="טווח סטייה" dataDxfId="135"/>
    <tableColumn id="5" xr3:uid="{8CBE6535-FE58-4BE2-8F6F-879D1FE211C1}" name="גבולות שיעור החשיפה הצפויה"/>
    <tableColumn id="6" xr3:uid="{2EC96F89-390D-4224-8C5F-79D9A0A0B0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D3DB88B-14BD-4C76-9750-8706DE99D68B}" name="TitleRegion1.i17.n28.4" displayName="TitleRegion1.i17.n28.4" ref="I17:N28" totalsRowShown="0" headerRowDxfId="129" headerRowBorderDxfId="132" tableBorderDxfId="133">
  <autoFilter ref="I17:N28" xr:uid="{4D3DB88B-14BD-4C76-9750-8706DE99D6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4776474-F7E0-478D-BA4C-F9BE3A73DCBF}" name="אפיק השקעה " dataDxfId="131"/>
    <tableColumn id="2" xr3:uid="{7BB484AF-7943-4DC0-9DB4-5CCD0F298E9E}" name="שיעור החשיפה ליום 31/12/2025"/>
    <tableColumn id="3" xr3:uid="{9D6C9B00-E368-4CF2-AB8C-4E49D198D6F4}" name="שיעור חשיפה צפוי לשנת 2026"/>
    <tableColumn id="4" xr3:uid="{1A5717A3-061A-472E-9A9F-FF5D4D6ACC7F}" name="טווח סטייה" dataDxfId="130"/>
    <tableColumn id="5" xr3:uid="{4CE747AA-FC59-4C64-ADED-D4872C00631B}" name="גבולות שיעור החשיפה הצפויה"/>
    <tableColumn id="6" xr3:uid="{7B295B6C-631C-4D9D-A290-B92F6C18EB40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85B0DF49-7C5B-4B48-BD75-B325F7AF77A3}" name="TitleRegion1.b31.g42.5" displayName="TitleRegion1.b31.g42.5" ref="B31:G42" totalsRowShown="0" headerRowDxfId="124" headerRowBorderDxfId="127" tableBorderDxfId="128">
  <autoFilter ref="B31:G42" xr:uid="{85B0DF49-7C5B-4B48-BD75-B325F7AF77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C3C19C2-6601-4148-A561-9D144F4CDCED}" name="אפיק השקעה " dataDxfId="126"/>
    <tableColumn id="2" xr3:uid="{5EB7020B-8405-4976-96CB-AAC5653D3D70}" name="שיעור החשיפה ליום 31/12/2025"/>
    <tableColumn id="3" xr3:uid="{A1888B1B-EA08-48E0-9E6E-C03516CFC1B2}" name="שיעור חשיפה צפוי לשנת 2026"/>
    <tableColumn id="4" xr3:uid="{B661ED33-1B80-4654-A54E-18EDB34A0AFB}" name="טווח סטייה" dataDxfId="125"/>
    <tableColumn id="5" xr3:uid="{D729FDB6-C43D-4762-A4AA-F1F309EDF1BA}" name="גבולות שיעור החשיפה הצפויה"/>
    <tableColumn id="6" xr3:uid="{C95B1B1E-266D-422E-893A-FC9A67C9514E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08B8E3B-9ECF-4656-A689-C8954894750F}" name="TitleRegion1.i31.n42.6" displayName="TitleRegion1.i31.n42.6" ref="I31:N42" totalsRowShown="0" headerRowDxfId="119" headerRowBorderDxfId="122" tableBorderDxfId="123">
  <autoFilter ref="I31:N42" xr:uid="{F08B8E3B-9ECF-4656-A689-C895489475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9A4247-9F02-4464-B54E-234F79DD9FF4}" name="אפיק השקעה " dataDxfId="121"/>
    <tableColumn id="2" xr3:uid="{B5DBD6E5-1163-4E1B-825A-8AF25052DFE5}" name="שיעור החשיפה ליום 31/12/2025"/>
    <tableColumn id="3" xr3:uid="{5688A48B-6079-4153-A29F-78BA57C4C869}" name="שיעור חשיפה צפוי לשנת 2026"/>
    <tableColumn id="4" xr3:uid="{8B9E68E7-ABC8-4323-9FC4-C4F3B21AAE14}" name="טווח סטייה" dataDxfId="120"/>
    <tableColumn id="5" xr3:uid="{8206F533-E419-4CD7-BAE3-51BAA3BC8193}" name="גבולות שיעור החשיפה הצפויה"/>
    <tableColumn id="6" xr3:uid="{20D7E280-3B10-4276-9482-03A624A06552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2F142A96-0B20-4D6B-BC41-3261E62A0DE5}" name="TitleRegion1.b45.g56.7" displayName="TitleRegion1.b45.g56.7" ref="B45:G56" totalsRowShown="0" headerRowDxfId="114" headerRowBorderDxfId="117" tableBorderDxfId="118">
  <autoFilter ref="B45:G56" xr:uid="{2F142A96-0B20-4D6B-BC41-3261E62A0D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919841-A2AB-4DE3-8425-36FC9140172A}" name="אפיק השקעה " dataDxfId="116"/>
    <tableColumn id="2" xr3:uid="{BC324A3D-FA22-4463-947B-FF8CB8337AA5}" name="שיעור החשיפה ליום 31/12/2025"/>
    <tableColumn id="3" xr3:uid="{77C09E77-F945-43AC-8DE2-729A06D2AE9B}" name="שיעור חשיפה צפוי לשנת 2026"/>
    <tableColumn id="4" xr3:uid="{12CF8C6A-9F84-462B-A074-052BBAC5C00A}" name="טווח סטייה" dataDxfId="115"/>
    <tableColumn id="5" xr3:uid="{666325A9-AC9A-41CE-BE7B-6BD2707AFC01}" name="גבולות שיעור החשיפה הצפויה"/>
    <tableColumn id="6" xr3:uid="{4356ED26-0427-4B3B-AA69-EA6BBFDFB459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895CE6D-3920-4515-9FEF-FB55ACD606A2}" name="TitleRegion1.i45.n56.8" displayName="TitleRegion1.i45.n56.8" ref="I45:N56" totalsRowShown="0" headerRowDxfId="109" headerRowBorderDxfId="112" tableBorderDxfId="113">
  <autoFilter ref="I45:N56" xr:uid="{1895CE6D-3920-4515-9FEF-FB55ACD606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841658-FEE7-4B27-9166-A61CE197585C}" name="אפיק השקעה " dataDxfId="111"/>
    <tableColumn id="2" xr3:uid="{2771BECE-ECA1-476E-B205-7EC75A6D5D4B}" name="שיעור החשיפה ליום 31/12/2025"/>
    <tableColumn id="3" xr3:uid="{A999EBE6-8D82-4E9B-89D2-B33009DA50CD}" name="שיעור חשיפה צפוי לשנת 2026"/>
    <tableColumn id="4" xr3:uid="{C350B95E-1D72-42A5-B76C-55FED8200B6E}" name="טווח סטייה" dataDxfId="110"/>
    <tableColumn id="5" xr3:uid="{45B602EF-1E98-4477-8F1F-3E09FF9B4597}" name="גבולות שיעור החשיפה הצפויה"/>
    <tableColumn id="6" xr3:uid="{616DA6F5-BA3D-444E-88C5-BB9E0B4C0C0B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749AF35-198E-49B4-AE67-FE0165D52410}" name="TitleRegion1.b59.g70.9" displayName="TitleRegion1.b59.g70.9" ref="B59:G70" totalsRowShown="0" headerRowDxfId="104" headerRowBorderDxfId="107" tableBorderDxfId="108">
  <autoFilter ref="B59:G70" xr:uid="{0749AF35-198E-49B4-AE67-FE0165D524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0BFC04-4672-4B59-9521-FF9465C8DD7C}" name="אפיק השקעה " dataDxfId="106"/>
    <tableColumn id="2" xr3:uid="{0613D57C-9365-4200-8CB6-D36865A75302}" name="שיעור החשיפה ליום 31/12/2025"/>
    <tableColumn id="3" xr3:uid="{CEC57A77-DFC9-4BB9-A399-BA199366602D}" name="שיעור חשיפה צפוי לשנת 2026"/>
    <tableColumn id="4" xr3:uid="{F2185071-B7F9-4399-B8A0-B399ED1E89A5}" name="_x0009_טווח סטייה" dataDxfId="105"/>
    <tableColumn id="5" xr3:uid="{3FDEC043-8458-430D-9806-1394D29C50A5}" name="גבולות שיעור החשיפה הצפויה"/>
    <tableColumn id="6" xr3:uid="{246DCB5C-32A3-465F-A509-70871271FCE1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2D80E29-2001-4299-8E7E-17E1224D458F}" name="TitleRegion1.i59.n70.11" displayName="TitleRegion1.i59.n70.11" ref="I59:N70" totalsRowShown="0" headerRowDxfId="99" headerRowBorderDxfId="102" tableBorderDxfId="103">
  <autoFilter ref="I59:N70" xr:uid="{82D80E29-2001-4299-8E7E-17E1224D45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62039BE-DD79-4671-99DD-30639D293026}" name="אפיק השקעה " dataDxfId="101"/>
    <tableColumn id="2" xr3:uid="{2A4026B7-F9A2-48E8-81B3-F89D43B12425}" name="שיעור החשיפה ליום 31/12/2025"/>
    <tableColumn id="3" xr3:uid="{00C660D0-7431-4F36-BDC3-983970886E1E}" name="שיעור חשיפה צפוי לשנת 2026"/>
    <tableColumn id="4" xr3:uid="{0E98F25F-1E7B-45DA-B4CD-70E522C9BA16}" name="_x0009_טווח סטייה" dataDxfId="100"/>
    <tableColumn id="5" xr3:uid="{478072D9-D792-4730-A0CC-370DADE3153E}" name="גבולות שיעור החשיפה הצפויה"/>
    <tableColumn id="6" xr3:uid="{6875240C-E976-4650-82C1-414A2F167F1B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EEBFBAC-DF05-48D4-9DAB-EF4C46D8906B}" name="TitleRegion1.b73.g84.12" displayName="TitleRegion1.b73.g84.12" ref="B73:G84" totalsRowShown="0" headerRowDxfId="94" headerRowBorderDxfId="97" tableBorderDxfId="98">
  <autoFilter ref="B73:G84" xr:uid="{AEEBFBAC-DF05-48D4-9DAB-EF4C46D890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4221E90-386B-4226-B31B-278A6A87C258}" name="אפיק השקעה " dataDxfId="96"/>
    <tableColumn id="2" xr3:uid="{2D06A8FE-47D7-46AB-9AE9-A7202ADDFA7F}" name="שיעור החשיפה ליום 31/12/2025"/>
    <tableColumn id="3" xr3:uid="{A28BD2B2-FB4E-44AD-B83A-C7DB227E6859}" name="שיעור חשיפה צפוי לשנת 2026"/>
    <tableColumn id="4" xr3:uid="{C0424775-6D43-4728-8555-E27D53C91DE1}" name="_x0009_טווח סטייה" dataDxfId="95"/>
    <tableColumn id="5" xr3:uid="{596A71EB-F109-476C-9102-8BCC2A6F4804}" name="גבולות שיעור החשיפה הצפויה"/>
    <tableColumn id="6" xr3:uid="{31D7F6B4-6318-4540-985F-986584B044A7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5FD34989-C680-46DB-89D3-EEC6E47984F9}" name="TitleRegion1.i73.n84.13" displayName="TitleRegion1.i73.n84.13" ref="I73:N84" totalsRowShown="0" headerRowDxfId="89" headerRowBorderDxfId="92" tableBorderDxfId="93">
  <autoFilter ref="I73:N84" xr:uid="{5FD34989-C680-46DB-89D3-EEC6E47984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84843FE-1AEA-4F55-A02D-B40C5B6B9C98}" name="אפיק השקעה " dataDxfId="91"/>
    <tableColumn id="2" xr3:uid="{3B0D9DDC-CE8C-470A-ACF8-ECA5A3B8E36F}" name="שיעור החשיפה ליום 31/12/2025"/>
    <tableColumn id="3" xr3:uid="{7725E30C-E583-4996-A2D3-20EEAE597862}" name="שיעור חשיפה צפוי לשנת 2026"/>
    <tableColumn id="4" xr3:uid="{3C1093A6-C823-4381-999D-DED85FBDD58A}" name="_x0009_טווח סטייה" dataDxfId="90"/>
    <tableColumn id="5" xr3:uid="{3074F07A-0E84-4A21-ACE9-24D017959766}" name="גבולות שיעור החשיפה הצפויה"/>
    <tableColumn id="6" xr3:uid="{60FC62BF-F337-4423-9A18-715EF0B85866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9052502E-8BA5-42FF-AFA8-89E2EED0B045}" name="TitleRegion1.b87.g95.14" displayName="TitleRegion1.b87.g95.14" ref="B87:G95" totalsRowShown="0" headerRowDxfId="85" headerRowBorderDxfId="87" tableBorderDxfId="88">
  <autoFilter ref="B87:G95" xr:uid="{9052502E-8BA5-42FF-AFA8-89E2EED0B0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63482E-A813-48B8-A3D6-9FBFBDCEFFBE}" name="אפיק השקעה "/>
    <tableColumn id="2" xr3:uid="{B6DFE2B0-C639-42C6-A217-5E884D78ED2D}" name="שיעור החשיפה ליום 31/12/2025"/>
    <tableColumn id="3" xr3:uid="{6BFB5D72-1B4D-44BA-9055-FFD3E6AA4E16}" name="שיעור חשיפה צפוי לשנת 2026"/>
    <tableColumn id="4" xr3:uid="{CC06F23D-C542-4776-A233-8F2CF78456AD}" name="_x0009_טווח סטייה" dataDxfId="86"/>
    <tableColumn id="5" xr3:uid="{BB1751AA-3843-4870-9F17-6A32EF1F8516}" name="גבולות שיעור החשיפה הצפויה"/>
    <tableColumn id="6" xr3:uid="{48BCDC0B-C743-4BF0-BB2C-8C2741404D4C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1F57507-1DFD-4088-A6D8-485B0C2EC2AC}" name="TitleRegion1.i87.n95.15" displayName="TitleRegion1.i87.n95.15" ref="I87:N95" totalsRowShown="0" headerRowDxfId="80" headerRowBorderDxfId="83" tableBorderDxfId="84">
  <autoFilter ref="I87:N95" xr:uid="{31F57507-1DFD-4088-A6D8-485B0C2EC2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91A2833-295A-472A-A649-25630DE95875}" name="אפיק השקעה " dataDxfId="82"/>
    <tableColumn id="2" xr3:uid="{ED353163-C1E8-496A-AD3A-77DCC21CE031}" name="שיעור החשיפה ליום 31/12/2025"/>
    <tableColumn id="3" xr3:uid="{A80734BB-A815-4EAA-B522-6CC79D0C8A35}" name="שיעור חשיפה צפוי לשנת 2026"/>
    <tableColumn id="4" xr3:uid="{385BBFA3-9C29-4AF2-BF0B-F41F77F6A999}" name="_x0009_טווח סטייה" dataDxfId="81"/>
    <tableColumn id="5" xr3:uid="{B25142E6-5564-45A0-A02E-FF4FC150A541}" name="גבולות שיעור החשיפה הצפויה"/>
    <tableColumn id="6" xr3:uid="{9F944D2F-8BC9-4F3B-A948-91A7F4350E35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B601EF9F-A2D3-4A49-86ED-697232EA0165}" name="TitleRegion1.b98.g106.16" displayName="TitleRegion1.b98.g106.16" ref="B98:G106" totalsRowShown="0" headerRowDxfId="76" headerRowBorderDxfId="78" tableBorderDxfId="79">
  <autoFilter ref="B98:G106" xr:uid="{B601EF9F-A2D3-4A49-86ED-697232EA01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371F08-2095-46C5-9024-C5112919740F}" name="אפיק השקעה "/>
    <tableColumn id="2" xr3:uid="{D370D3F2-403F-47BC-866A-E5FB7ABD61F9}" name="שיעור החשיפה ליום 31/12/2025"/>
    <tableColumn id="3" xr3:uid="{32A7D0C0-CB2E-4090-B197-C88EC39DEAA3}" name="שיעור חשיפה צפוי לשנת 2026"/>
    <tableColumn id="4" xr3:uid="{32D98FE4-15C7-452B-87C2-302A782949E8}" name="_x0009_טווח סטייה" dataDxfId="77"/>
    <tableColumn id="5" xr3:uid="{43D881DA-A285-4842-B07D-186C26EAA3C5}" name="גבולות שיעור החשיפה הצפויה"/>
    <tableColumn id="6" xr3:uid="{8172995E-6A60-4316-9724-ECD6DB6D82BA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1A8D018-734D-456D-BE96-08D00F6A4BCA}" name="TitleRegion1.i98.n106.17" displayName="TitleRegion1.i98.n106.17" ref="I98:N106" totalsRowShown="0" headerRowDxfId="71" headerRowBorderDxfId="74" tableBorderDxfId="75">
  <autoFilter ref="I98:N106" xr:uid="{01A8D018-734D-456D-BE96-08D00F6A4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5C79B5B-BA3F-44B4-97A8-4E41881FE5EF}" name="אפיק השקעה " dataDxfId="73"/>
    <tableColumn id="2" xr3:uid="{D5A4B9AE-1A40-4139-AE24-8FC2A37A863D}" name="שיעור החשיפה ליום 31/12/2025"/>
    <tableColumn id="3" xr3:uid="{2B032473-BF78-46B5-A673-D124E7DD7450}" name="שיעור חשיפה צפוי לשנת 2026"/>
    <tableColumn id="4" xr3:uid="{8FAC6930-5943-4D67-8EC5-CAB3A6565733}" name="_x0009_טווח סטייה" dataDxfId="72"/>
    <tableColumn id="5" xr3:uid="{ABC90DAC-A272-44D5-9682-426EB5E276B8}" name="גבולות שיעור החשיפה הצפויה"/>
    <tableColumn id="6" xr3:uid="{3FDEEFC8-4BDB-4CCF-BB0C-3521213E4F05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CEE374D-D0A8-4395-A679-56FA56C38E98}" name="TitleRegion1.b109.g117.18" displayName="TitleRegion1.b109.g117.18" ref="B109:G117" totalsRowShown="0" headerRowDxfId="67" headerRowBorderDxfId="69" tableBorderDxfId="70">
  <autoFilter ref="B109:G117" xr:uid="{9CEE374D-D0A8-4395-A679-56FA56C38E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38647A9-0D2A-45EC-82EE-515E3EFD9FAC}" name="אפיק השקעה "/>
    <tableColumn id="2" xr3:uid="{3A9F841A-2C62-4AE3-8AB2-D3486F486572}" name="שיעור החשיפה ליום 31/12/2025"/>
    <tableColumn id="3" xr3:uid="{E3AAA0F4-285F-4F26-9BFD-3CEDAB381EE0}" name="שיעור חשיפה צפוי לשנת 2026"/>
    <tableColumn id="4" xr3:uid="{053741BD-851D-48AC-8F51-327B16809212}" name="_x0009_טווח סטייה" dataDxfId="68"/>
    <tableColumn id="5" xr3:uid="{76F6C744-496A-4E97-84A7-0A343D95E970}" name="גבולות שיעור החשיפה הצפויה"/>
    <tableColumn id="6" xr3:uid="{0E4FC164-A7FD-4E1C-A838-C00456A95625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9BCB4557-16EB-4F5B-89AD-DBE1E8FFC41E}" name="TitleRegion1.i109.n117.19" displayName="TitleRegion1.i109.n117.19" ref="I109:N117" totalsRowShown="0" headerRowDxfId="62" headerRowBorderDxfId="65" tableBorderDxfId="66">
  <autoFilter ref="I109:N117" xr:uid="{9BCB4557-16EB-4F5B-89AD-DBE1E8FFC4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6FC7720-DAE1-4BCF-9D73-0E02508881EA}" name="אפיק השקעה " dataDxfId="64"/>
    <tableColumn id="2" xr3:uid="{1C26CF5E-93EF-4B8C-9C3F-EAAF053C83CB}" name="שיעור החשיפה ליום 31/12/2025"/>
    <tableColumn id="3" xr3:uid="{5D21C8DD-F304-4BD3-98F2-17E3024F2666}" name="שיעור חשיפה צפוי לשנת 2026"/>
    <tableColumn id="4" xr3:uid="{3F25CF7C-A8E5-42BC-BF6B-0C8976A88AE2}" name="_x0009_טווח סטייה" dataDxfId="63"/>
    <tableColumn id="5" xr3:uid="{FA3E2C86-9028-41D2-B2E4-8BC3A5B5B1CC}" name="גבולות שיעור החשיפה הצפויה"/>
    <tableColumn id="6" xr3:uid="{32DC034C-B310-4E88-BB65-B19779A2AF18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1C715E0-F45B-400C-91C9-4CAA8E9F1D76}" name="TitleRegion1.b120.g128.20" displayName="TitleRegion1.b120.g128.20" ref="B120:G128" totalsRowShown="0" headerRowDxfId="57" headerRowBorderDxfId="60" tableBorderDxfId="61">
  <autoFilter ref="B120:G128" xr:uid="{C1C715E0-F45B-400C-91C9-4CAA8E9F1D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D90984B-BFFE-4D0C-AB51-702EE7FD1E43}" name="אפיק השקעה "/>
    <tableColumn id="2" xr3:uid="{094510CF-0CD3-4246-8CDD-DADCB937247C}" name="שיעור החשיפה ליום 31/12/2025"/>
    <tableColumn id="3" xr3:uid="{72DDD3F4-BCA9-42F6-8494-9D9586C51E4E}" name="שיעור חשיפה צפוי לשנת 2026"/>
    <tableColumn id="4" xr3:uid="{9F6B6FE1-A14A-4685-A2FF-DF75E3B87113}" name="_x0009_טווח סטייה" dataDxfId="59"/>
    <tableColumn id="5" xr3:uid="{29F20D98-FA71-4745-9E8D-DEFC4857C90E}" name="גבולות שיעור החשיפה הצפויה"/>
    <tableColumn id="6" xr3:uid="{987183C6-E867-4010-ADD3-167D49FD50DE}" name="מדד ייחוס*" dataDxfId="58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EEB3F21-D5D9-41E1-BD92-0238AA9EC3B1}" name="TitleRegion1.i120.n128.21" displayName="TitleRegion1.i120.n128.21" ref="I120:N128" totalsRowShown="0" headerRowDxfId="51" headerRowBorderDxfId="55" tableBorderDxfId="56">
  <autoFilter ref="I120:N128" xr:uid="{6EEB3F21-D5D9-41E1-BD92-0238AA9EC3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0814A65-4508-4BD4-A2EE-56974597C59E}" name="אפיק השקעה " dataDxfId="54"/>
    <tableColumn id="2" xr3:uid="{C844EE59-58A3-4347-BC3A-AF7561E39ACC}" name="שיעור החשיפה ליום 31/12/2025"/>
    <tableColumn id="3" xr3:uid="{EAE4A729-E688-4A1D-BE30-E878AB6EC836}" name="שיעור חשיפה צפוי לשנת 2026"/>
    <tableColumn id="4" xr3:uid="{0A5F091B-8A54-459B-8649-35F92B73FE77}" name="_x0009_טווח סטייה" dataDxfId="53"/>
    <tableColumn id="5" xr3:uid="{77C5C799-8264-41FE-A62B-819C755E8206}" name="גבולות שיעור החשיפה הצפויה"/>
    <tableColumn id="6" xr3:uid="{D66F1544-DFAC-4C37-B7A6-65AAB574ECE7}" name="מדד ייחוס*" dataDxfId="52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AD8C2BE-D4E1-4897-9506-C590DF81BB06}" name="TitleRegion1.b131.g139.22" displayName="TitleRegion1.b131.g139.22" ref="B131:G139" totalsRowShown="0" headerRowDxfId="47" headerRowBorderDxfId="49" tableBorderDxfId="50">
  <autoFilter ref="B131:G139" xr:uid="{0AD8C2BE-D4E1-4897-9506-C590DF81BB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22CF6FB-3D99-41FC-8340-716231BA0895}" name="אפיק השקעה "/>
    <tableColumn id="2" xr3:uid="{DC7925AA-033E-43B1-A0BE-CE1F034D81BF}" name="שיעור החשיפה ליום 31/12/2025"/>
    <tableColumn id="3" xr3:uid="{39A2B431-208C-476B-AF86-5510A52BC42D}" name="שיעור חשיפה צפוי לשנת 2026"/>
    <tableColumn id="4" xr3:uid="{EDCD4CB8-EDC8-48BE-8F79-0F40379B766A}" name="_x0009_טווח סטייה" dataDxfId="48"/>
    <tableColumn id="5" xr3:uid="{2107E845-8563-4FE7-A2A0-E2E4C1EAD541}" name="גבולות שיעור החשיפה הצפויה"/>
    <tableColumn id="6" xr3:uid="{C11E54BC-C241-4B2E-AC9D-436033D93F48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2944528C-6862-4F8A-81EF-E85102B22215}" name="TitleRegion1.i131.n139.23" displayName="TitleRegion1.i131.n139.23" ref="I131:N139" totalsRowShown="0" headerRowDxfId="42" headerRowBorderDxfId="45" tableBorderDxfId="46">
  <autoFilter ref="I131:N139" xr:uid="{2944528C-6862-4F8A-81EF-E85102B222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F37A2A1-84CD-490A-8352-636EC232EDB8}" name="אפיק השקעה " dataDxfId="44"/>
    <tableColumn id="2" xr3:uid="{CE83E614-4AD9-458E-91E4-007331EFEA55}" name="שיעור החשיפה ליום 31/12/2025"/>
    <tableColumn id="3" xr3:uid="{12FCC5A8-EEA2-4A2A-8D12-C31C1F3FAD9C}" name="שיעור חשיפה צפוי לשנת 2026"/>
    <tableColumn id="4" xr3:uid="{73030D51-03E5-4B8A-9176-3B27FAE75294}" name="_x0009_טווח סטייה" dataDxfId="43"/>
    <tableColumn id="5" xr3:uid="{7227F6A3-7ACA-4C5B-8838-5C743BC69702}" name="גבולות שיעור החשיפה הצפויה"/>
    <tableColumn id="6" xr3:uid="{3EBB5223-EB77-4C96-9C0C-B7F7567D8689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7B50F86D-F4B3-4682-8808-F1DF609FDCAF}" name="TitleRegion1.b142.g150.24" displayName="TitleRegion1.b142.g150.24" ref="B142:G150" totalsRowShown="0" headerRowDxfId="38" headerRowBorderDxfId="40" tableBorderDxfId="41">
  <autoFilter ref="B142:G150" xr:uid="{7B50F86D-F4B3-4682-8808-F1DF609FDC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8E59769-5C5D-4CEA-BBB2-5AFDB27BC9A1}" name="אפיק השקעה "/>
    <tableColumn id="2" xr3:uid="{C4B616FD-2F1A-40C8-B03C-8B83B941D8E3}" name="שיעור החשיפה ליום 31/12/2025"/>
    <tableColumn id="3" xr3:uid="{45970257-3C64-4CFD-A0FB-4763A6504682}" name="שיעור חשיפה צפוי לשנת 2026"/>
    <tableColumn id="4" xr3:uid="{3E71A8EA-6E0E-47AB-8C17-AA140A2312B3}" name="_x0009_טווח סטייה" dataDxfId="39"/>
    <tableColumn id="5" xr3:uid="{E1E73EC2-2E2B-48AE-9F08-AD174ED1B0B8}" name="גבולות שיעור החשיפה הצפויה"/>
    <tableColumn id="6" xr3:uid="{22CC28AD-9A78-459E-A912-1F86A33A0A71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AE047DE5-7DB6-44F8-8A2D-612101346FFB}" name="TitleRegion1.i142.n150.25" displayName="TitleRegion1.i142.n150.25" ref="I142:N150" totalsRowShown="0" headerRowDxfId="35" headerRowBorderDxfId="36" tableBorderDxfId="37">
  <autoFilter ref="I142:N150" xr:uid="{AE047DE5-7DB6-44F8-8A2D-612101346F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A23F881-88EE-4DE5-8127-654CC7E4B096}" name="אפיק השקעה "/>
    <tableColumn id="2" xr3:uid="{EAD20070-6817-408A-A551-F6D77E35C7BC}" name="שיעור החשיפה ליום 31/12/2025"/>
    <tableColumn id="3" xr3:uid="{7D47B68E-1C35-4792-8439-1E693A8F8603}" name="שיעור חשיפה צפוי לשנת 2026"/>
    <tableColumn id="4" xr3:uid="{C120089F-4303-48B2-A37E-22ADE31ACA51}" name="_x0009_טווח סטייה"/>
    <tableColumn id="5" xr3:uid="{0ACA9C78-B90B-4732-B9D4-D26A74D57D0A}" name="גבולות שיעור החשיפה הצפויה"/>
    <tableColumn id="6" xr3:uid="{46E9446F-249B-4B18-8E95-AB541AEAFCB6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0FE160D-E81A-4A2B-81A5-C581851CA26E}" name="TitleRegion1.b153.g161.26" displayName="TitleRegion1.b153.g161.26" ref="B153:G161" totalsRowShown="0" headerRowDxfId="31" headerRowBorderDxfId="33" tableBorderDxfId="34">
  <autoFilter ref="B153:G161" xr:uid="{80FE160D-E81A-4A2B-81A5-C581851CA2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B90FA52-BB98-403D-9E82-D161AB316450}" name="אפיק השקעה "/>
    <tableColumn id="2" xr3:uid="{B33FF72F-269B-4D76-83B1-62049AFCC362}" name="שיעור החשיפה ליום 31/12/2025"/>
    <tableColumn id="3" xr3:uid="{9EA22490-DB04-4728-95EE-FD2933122934}" name="שיעור חשיפה צפוי לשנת 2026"/>
    <tableColumn id="4" xr3:uid="{6D9CD088-FE41-4D9C-AEAC-8B5AE180E41C}" name="_x0009_טווח סטייה" dataDxfId="32"/>
    <tableColumn id="5" xr3:uid="{CBC3A14E-A6E1-4918-80AB-0B17270FF1CA}" name="גבולות שיעור החשיפה הצפויה"/>
    <tableColumn id="6" xr3:uid="{F35D30A3-675C-4F9F-B48A-C4370EEE1E6D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5C253C0-8161-4C34-9544-298C9B6BD602}" name="TitleRegion1.i153.n161.27" displayName="TitleRegion1.i153.n161.27" ref="I153:N161" totalsRowShown="0" headerRowDxfId="26" headerRowBorderDxfId="29" tableBorderDxfId="30">
  <autoFilter ref="I153:N161" xr:uid="{05C253C0-8161-4C34-9544-298C9B6BD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9F85058-0308-437F-99C0-6DCCC394B5E9}" name="אפיק השקעה " dataDxfId="28"/>
    <tableColumn id="2" xr3:uid="{29FDD464-B004-4B02-A892-DDCF269BA93D}" name="שיעור החשיפה ליום 31/12/2025"/>
    <tableColumn id="3" xr3:uid="{A555586C-FE8A-416F-9169-F112C16D2034}" name="שיעור חשיפה צפוי לשנת 2026"/>
    <tableColumn id="4" xr3:uid="{C42CFD6E-1008-407A-81AD-4143DED7474D}" name="_x0009_טווח סטייה" dataDxfId="27"/>
    <tableColumn id="5" xr3:uid="{C903238F-F193-4129-A914-0919F493A5BC}" name="גבולות שיעור החשיפה הצפויה"/>
    <tableColumn id="6" xr3:uid="{DB96824B-3476-48B1-92A1-66DED9B74EF0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D78C0C4A-63D8-47E5-93C8-AFCC29088196}" name="TitleRegion1.b164.g175.28" displayName="TitleRegion1.b164.g175.28" ref="B164:G175" totalsRowShown="0" headerRowDxfId="18" headerRowBorderDxfId="24" tableBorderDxfId="25" totalsRowBorderDxfId="23">
  <autoFilter ref="B164:G175" xr:uid="{D78C0C4A-63D8-47E5-93C8-AFCC290881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31029AD-8393-478B-85AE-BC31FB1C4D9F}" name="אפיק השקעה " dataDxfId="22"/>
    <tableColumn id="2" xr3:uid="{FBBA707A-02B8-4A45-BB5E-80AB69552DBD}" name="שיעור החשיפה ליום 31/12/2025" dataDxfId="21"/>
    <tableColumn id="3" xr3:uid="{27C2EE84-741E-4611-AEC0-5354C67C4CB4}" name="שיעור חשיפה צפוי לשנת 2026" dataDxfId="20"/>
    <tableColumn id="4" xr3:uid="{E748A71E-E79F-439D-8A1D-91634F975A5D}" name="טווח סטיה מותר" dataDxfId="19"/>
    <tableColumn id="5" xr3:uid="{5950EBF3-BE7C-4EBA-A84F-CEBB93563A35}" name="גבולות שיעור החשיפה הצפויה"/>
    <tableColumn id="6" xr3:uid="{69893108-4549-4D54-B33A-E86F270A9624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AB707A0-F758-44A3-9F38-CEB0E2F6F12F}" name="TitleRegion1.i164.n175.29" displayName="TitleRegion1.i164.n175.29" ref="I164:N175" totalsRowShown="0" headerRowDxfId="10" headerRowBorderDxfId="16" tableBorderDxfId="17" totalsRowBorderDxfId="15">
  <autoFilter ref="I164:N175" xr:uid="{BAB707A0-F758-44A3-9F38-CEB0E2F6F1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5BAFD3-01D2-4D57-8863-EF9903423300}" name="אפיק השקעה " dataDxfId="14"/>
    <tableColumn id="2" xr3:uid="{42EA6CC3-79F1-4F6B-84A0-5D3B3A0907DE}" name="שיעור החשיפה ליום 31/12/2025" dataDxfId="13"/>
    <tableColumn id="3" xr3:uid="{CCB3BAD9-5938-4F9D-8066-B701ED251F7D}" name="שיעור חשיפה צפוי לשנת 2026" dataDxfId="12"/>
    <tableColumn id="4" xr3:uid="{57ADE78C-869F-4CDF-B7D6-BE3824FE1FCA}" name="טווח סטיה מותר" dataDxfId="11"/>
    <tableColumn id="5" xr3:uid="{67374A44-E24A-436A-A17A-51A9867E91C1}" name="גבולות שיעור החשיפה הצפויה"/>
    <tableColumn id="6" xr3:uid="{A1BCCD6E-4CD1-4266-A13E-DA0EC7C2DC5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8FC3ECA-33A0-4EDE-A6D1-5B57038389A0}" name="TitleRegion1.b178.g186.30" displayName="TitleRegion1.b178.g186.30" ref="B178:G186" totalsRowShown="0" headerRowDxfId="6" headerRowBorderDxfId="8" tableBorderDxfId="9">
  <autoFilter ref="B178:G186" xr:uid="{C8FC3ECA-33A0-4EDE-A6D1-5B57038389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54FF92-7C7C-469A-BF5C-56CA8B5A07C6}" name="אפיק השקעה "/>
    <tableColumn id="2" xr3:uid="{FB3AEE85-50E6-4444-B5E4-0FE32B079992}" name="שיעור החשיפה ליום 31/12/2025"/>
    <tableColumn id="3" xr3:uid="{CEFA77A9-773C-4450-AD60-0110856F3E62}" name="שיעור חשיפה צפוי לשנת 2026"/>
    <tableColumn id="4" xr3:uid="{874114FF-4110-42EE-B761-773BA814C59C}" name="טווח סטיה מותר" dataDxfId="7"/>
    <tableColumn id="5" xr3:uid="{5AA19682-6923-4126-B5BF-D3F24C72BEA1}" name="גבולות שיעור החשיפה הצפויה"/>
    <tableColumn id="6" xr3:uid="{838D00FF-BCA6-41F6-8AAB-8CC1E13C51DD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EBB88EFB-F6D3-4AA4-9135-83543B254E34}" name="TitleRegion1.i178.n186.31" displayName="TitleRegion1.i178.n186.31" ref="I178:N186" totalsRowShown="0" headerRowDxfId="0" headerRowBorderDxfId="4" tableBorderDxfId="5">
  <autoFilter ref="I178:N186" xr:uid="{EBB88EFB-F6D3-4AA4-9135-83543B254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1C64F79-0083-48AF-BA68-22686E5FAE3B}" name="אפיק השקעה " dataDxfId="3"/>
    <tableColumn id="2" xr3:uid="{87F4910D-E43C-4E54-92E1-8150F80B240C}" name="שיעור החשיפה ליום 31/12/2025" dataDxfId="2"/>
    <tableColumn id="3" xr3:uid="{F4D7E881-BF5B-4B3F-996E-9AAE74008D4B}" name="שיעור חשיפה צפוי לשנת 2026"/>
    <tableColumn id="4" xr3:uid="{8D36EAAC-50EF-4EE7-A99A-4C6FEF902625}" name="טווח סטיה מותר" dataDxfId="1"/>
    <tableColumn id="5" xr3:uid="{842D49B8-EDF2-4782-B563-A43417E8B709}" name="גבולות שיעור החשיפה הצפויה"/>
    <tableColumn id="6" xr3:uid="{69C63579-75EE-4AFA-A617-D3EB7CBA9640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opLeftCell="A263" zoomScale="40" zoomScaleNormal="40" workbookViewId="0">
      <selection activeCell="B302" sqref="B302:I308"/>
    </sheetView>
  </sheetViews>
  <sheetFormatPr defaultColWidth="9" defaultRowHeight="14.25" x14ac:dyDescent="0.2"/>
  <cols>
    <col min="1" max="1" width="17.625" style="98" customWidth="1"/>
    <col min="2" max="2" width="32.625" style="100" customWidth="1"/>
    <col min="3" max="3" width="37.625" style="100" customWidth="1"/>
    <col min="4" max="4" width="38.625" style="100" customWidth="1"/>
    <col min="5" max="5" width="37.125" style="98" customWidth="1"/>
    <col min="6" max="6" width="28.125" style="98" customWidth="1"/>
    <col min="7" max="7" width="16.625" style="101" customWidth="1"/>
    <col min="8" max="8" width="29" style="98" customWidth="1"/>
    <col min="9" max="9" width="24.125" style="102" customWidth="1"/>
    <col min="10" max="16384" width="9" style="98"/>
  </cols>
  <sheetData>
    <row r="1" spans="1:9" ht="62.85" customHeight="1" x14ac:dyDescent="0.3">
      <c r="A1" s="234" t="s">
        <v>230</v>
      </c>
      <c r="B1" s="234"/>
      <c r="C1" s="234"/>
      <c r="D1" s="234"/>
      <c r="E1" s="234"/>
      <c r="F1" s="234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15.75" x14ac:dyDescent="0.2">
      <c r="A3" s="25"/>
      <c r="B3" s="13" t="s">
        <v>0</v>
      </c>
      <c r="C3" s="111" t="s">
        <v>189</v>
      </c>
      <c r="D3" s="111" t="s">
        <v>190</v>
      </c>
      <c r="E3" s="15" t="s">
        <v>224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232">
        <v>0.49</v>
      </c>
      <c r="G4" s="185" t="s">
        <v>4</v>
      </c>
      <c r="H4" s="231" t="s">
        <v>245</v>
      </c>
      <c r="I4" s="186" t="s">
        <v>222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204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1.4000000000000001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233">
        <v>0.18</v>
      </c>
      <c r="G14" s="187" t="s">
        <v>4</v>
      </c>
      <c r="H14" s="230" t="s">
        <v>206</v>
      </c>
      <c r="I14" s="107" t="s">
        <v>19</v>
      </c>
    </row>
    <row r="15" spans="1:9" ht="15" x14ac:dyDescent="0.25">
      <c r="A15" s="27"/>
      <c r="B15" s="110" t="s">
        <v>229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15.75" x14ac:dyDescent="0.2">
      <c r="A18" s="25"/>
      <c r="B18" s="13" t="s">
        <v>0</v>
      </c>
      <c r="C18" s="111" t="s">
        <v>189</v>
      </c>
      <c r="D18" s="111" t="s">
        <v>190</v>
      </c>
      <c r="E18" s="15" t="s">
        <v>224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7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233</v>
      </c>
      <c r="F19" s="232">
        <v>0.48</v>
      </c>
      <c r="G19" s="185" t="s">
        <v>4</v>
      </c>
      <c r="H19" s="231" t="s">
        <v>246</v>
      </c>
      <c r="I19" s="6" t="s">
        <v>222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1.37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233">
        <v>0.18</v>
      </c>
      <c r="G29" s="187" t="s">
        <v>4</v>
      </c>
      <c r="H29" s="230" t="s">
        <v>206</v>
      </c>
      <c r="I29" s="1" t="s">
        <v>19</v>
      </c>
    </row>
    <row r="30" spans="1:9" ht="15" x14ac:dyDescent="0.25">
      <c r="A30" s="27"/>
      <c r="B30" s="110" t="s">
        <v>229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15.75" x14ac:dyDescent="0.2">
      <c r="A33" s="22"/>
      <c r="B33" s="13" t="s">
        <v>0</v>
      </c>
      <c r="C33" s="111" t="s">
        <v>189</v>
      </c>
      <c r="D33" s="111" t="s">
        <v>190</v>
      </c>
      <c r="E33" s="15" t="s">
        <v>224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222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207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229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15.75" x14ac:dyDescent="0.2">
      <c r="A48" s="22"/>
      <c r="B48" s="13" t="s">
        <v>0</v>
      </c>
      <c r="C48" s="111" t="s">
        <v>189</v>
      </c>
      <c r="D48" s="111" t="s">
        <v>190</v>
      </c>
      <c r="E48" s="15" t="s">
        <v>224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232">
        <v>0.49</v>
      </c>
      <c r="G49" s="185" t="s">
        <v>4</v>
      </c>
      <c r="H49" s="231" t="s">
        <v>245</v>
      </c>
      <c r="I49" s="6" t="s">
        <v>222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204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208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1.3900000000000001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233">
        <v>0.18</v>
      </c>
      <c r="G59" s="187" t="s">
        <v>4</v>
      </c>
      <c r="H59" s="230" t="s">
        <v>206</v>
      </c>
      <c r="I59" s="1" t="s">
        <v>19</v>
      </c>
    </row>
    <row r="60" spans="1:9" ht="15" x14ac:dyDescent="0.25">
      <c r="A60" s="23"/>
      <c r="B60" s="110" t="s">
        <v>229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15.75" x14ac:dyDescent="0.2">
      <c r="A63" s="22"/>
      <c r="B63" s="13" t="s">
        <v>0</v>
      </c>
      <c r="C63" s="111" t="s">
        <v>189</v>
      </c>
      <c r="D63" s="111" t="s">
        <v>190</v>
      </c>
      <c r="E63" s="15" t="s">
        <v>224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108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222</v>
      </c>
    </row>
    <row r="65" spans="1:9" x14ac:dyDescent="0.2">
      <c r="A65" s="22"/>
      <c r="B65" s="108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205</v>
      </c>
      <c r="I65" s="1" t="s">
        <v>14</v>
      </c>
    </row>
    <row r="66" spans="1:9" x14ac:dyDescent="0.2">
      <c r="A66" s="22"/>
      <c r="B66" s="109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108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108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108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108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108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108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110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108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206</v>
      </c>
      <c r="I74" s="1" t="s">
        <v>19</v>
      </c>
    </row>
    <row r="75" spans="1:9" ht="15" x14ac:dyDescent="0.25">
      <c r="A75" s="23"/>
      <c r="B75" s="110" t="s">
        <v>229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7"/>
      <c r="C76" s="17"/>
      <c r="D76" s="17"/>
      <c r="E76" s="19"/>
      <c r="F76" s="18"/>
      <c r="G76" s="92"/>
      <c r="H76" s="19"/>
      <c r="I76" s="175"/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15.75" x14ac:dyDescent="0.2">
      <c r="A80" s="31"/>
      <c r="B80" s="125" t="s">
        <v>0</v>
      </c>
      <c r="C80" s="124" t="s">
        <v>227</v>
      </c>
      <c r="D80" s="124" t="s">
        <v>226</v>
      </c>
      <c r="E80" s="124" t="s">
        <v>225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ht="57" x14ac:dyDescent="0.2">
      <c r="A81" s="33"/>
      <c r="B81" s="108" t="s">
        <v>140</v>
      </c>
      <c r="C81" s="5">
        <v>1.0145</v>
      </c>
      <c r="D81" s="5">
        <v>0.99490000000000001</v>
      </c>
      <c r="E81" s="5">
        <v>0.99309999999999998</v>
      </c>
      <c r="F81" s="5">
        <v>0.99</v>
      </c>
      <c r="G81" s="89" t="s">
        <v>23</v>
      </c>
      <c r="H81" s="7" t="s">
        <v>243</v>
      </c>
      <c r="I81" s="6" t="s">
        <v>222</v>
      </c>
    </row>
    <row r="82" spans="1:9" x14ac:dyDescent="0.2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28" t="s">
        <v>5</v>
      </c>
      <c r="C90" s="103">
        <f>SUBTOTAL(109,C81:C89)</f>
        <v>1.5880000000000001</v>
      </c>
      <c r="D90" s="103">
        <f t="shared" ref="D90:F90" si="0">SUBTOTAL(109,D81:D89)</f>
        <v>1.5722999999999998</v>
      </c>
      <c r="E90" s="103">
        <f t="shared" si="0"/>
        <v>1.5875000000000001</v>
      </c>
      <c r="F90" s="103">
        <f t="shared" si="0"/>
        <v>1.7500000000000002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28" t="s">
        <v>229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15.75" x14ac:dyDescent="0.2">
      <c r="A97" s="31"/>
      <c r="B97" s="123" t="s">
        <v>0</v>
      </c>
      <c r="C97" s="124" t="s">
        <v>227</v>
      </c>
      <c r="D97" s="124" t="s">
        <v>226</v>
      </c>
      <c r="E97" s="124" t="s">
        <v>225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ht="57" x14ac:dyDescent="0.2">
      <c r="A98" s="33"/>
      <c r="B98" s="2" t="s">
        <v>140</v>
      </c>
      <c r="C98" s="5">
        <v>4.7699999999999999E-2</v>
      </c>
      <c r="D98" s="5">
        <v>5.1700000000000003E-2</v>
      </c>
      <c r="E98" s="5">
        <v>4.7199999999999999E-2</v>
      </c>
      <c r="F98" s="5" t="s">
        <v>244</v>
      </c>
      <c r="G98" s="89" t="s">
        <v>23</v>
      </c>
      <c r="H98" s="7" t="s">
        <v>58</v>
      </c>
      <c r="I98" s="6" t="s">
        <v>222</v>
      </c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1.0078999999999998</v>
      </c>
      <c r="D107" s="103">
        <f t="shared" ref="D107:F107" si="1">SUBTOTAL(109,D98:D106)</f>
        <v>1.0084000000000002</v>
      </c>
      <c r="E107" s="103">
        <f t="shared" si="1"/>
        <v>1.0074000000000001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229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75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15.75" x14ac:dyDescent="0.2">
      <c r="A113" s="31"/>
      <c r="B113" s="13" t="s">
        <v>0</v>
      </c>
      <c r="C113" s="111" t="s">
        <v>189</v>
      </c>
      <c r="D113" s="64" t="s">
        <v>228</v>
      </c>
      <c r="E113" s="15" t="s">
        <v>225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222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>SUBTOTAL(109,E114:E122)</f>
        <v>1.1534</v>
      </c>
      <c r="F123" s="103">
        <f>SUBTOTAL(109,F114:F122)</f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206</v>
      </c>
      <c r="I124" s="1" t="s">
        <v>19</v>
      </c>
    </row>
    <row r="125" spans="1:9" ht="15" x14ac:dyDescent="0.2">
      <c r="A125" s="33"/>
      <c r="B125" s="110" t="s">
        <v>229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15.75" x14ac:dyDescent="0.2">
      <c r="A130" s="31"/>
      <c r="B130" s="123" t="s">
        <v>0</v>
      </c>
      <c r="C130" s="124" t="s">
        <v>227</v>
      </c>
      <c r="D130" s="124" t="s">
        <v>226</v>
      </c>
      <c r="E130" s="124" t="s">
        <v>225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2">SUBTOTAL(109,D131:D134)</f>
        <v>0.99990000000000001</v>
      </c>
      <c r="E135" s="29">
        <f t="shared" si="2"/>
        <v>1</v>
      </c>
      <c r="F135" s="29">
        <f t="shared" si="2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229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15.75" x14ac:dyDescent="0.2">
      <c r="A142" s="45"/>
      <c r="B142" s="123" t="s">
        <v>0</v>
      </c>
      <c r="C142" s="124" t="s">
        <v>227</v>
      </c>
      <c r="D142" s="124" t="s">
        <v>226</v>
      </c>
      <c r="E142" s="124" t="s">
        <v>225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231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3">SUBTOTAL(109,D143:D146)</f>
        <v>1.2207999999999999</v>
      </c>
      <c r="E147" s="106">
        <f t="shared" si="3"/>
        <v>1.2177</v>
      </c>
      <c r="F147" s="106">
        <f t="shared" si="3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206</v>
      </c>
      <c r="I148" s="1" t="s">
        <v>19</v>
      </c>
    </row>
    <row r="149" spans="1:9" ht="15" x14ac:dyDescent="0.2">
      <c r="A149" s="47"/>
      <c r="B149" s="110" t="s">
        <v>229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15.75" x14ac:dyDescent="0.2">
      <c r="A154" s="45"/>
      <c r="B154" s="137" t="s">
        <v>0</v>
      </c>
      <c r="C154" s="124" t="s">
        <v>227</v>
      </c>
      <c r="D154" s="124" t="s">
        <v>226</v>
      </c>
      <c r="E154" s="124" t="s">
        <v>225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231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206</v>
      </c>
      <c r="I160" s="1" t="s">
        <v>19</v>
      </c>
    </row>
    <row r="161" spans="1:9" ht="15" x14ac:dyDescent="0.2">
      <c r="A161" s="47"/>
      <c r="B161" s="110" t="s">
        <v>229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15.75" x14ac:dyDescent="0.2">
      <c r="A166" s="45"/>
      <c r="B166" s="137" t="s">
        <v>0</v>
      </c>
      <c r="C166" s="124" t="s">
        <v>227</v>
      </c>
      <c r="D166" s="124" t="s">
        <v>226</v>
      </c>
      <c r="E166" s="124" t="s">
        <v>225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231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0.85</v>
      </c>
      <c r="G169" s="90" t="s">
        <v>23</v>
      </c>
      <c r="H169" s="4" t="s">
        <v>239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1.06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229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15.75" x14ac:dyDescent="0.2">
      <c r="A177" s="45"/>
      <c r="B177" s="13" t="s">
        <v>0</v>
      </c>
      <c r="C177" s="111" t="s">
        <v>189</v>
      </c>
      <c r="D177" s="15" t="s">
        <v>226</v>
      </c>
      <c r="E177" s="15" t="s">
        <v>225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231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229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45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15.75" x14ac:dyDescent="0.2">
      <c r="A189" s="49"/>
      <c r="B189" s="123" t="s">
        <v>0</v>
      </c>
      <c r="C189" s="124" t="s">
        <v>227</v>
      </c>
      <c r="D189" s="124" t="s">
        <v>226</v>
      </c>
      <c r="E189" s="124" t="s">
        <v>225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229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45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15.75" x14ac:dyDescent="0.2">
      <c r="A201" s="49"/>
      <c r="B201" s="123" t="s">
        <v>0</v>
      </c>
      <c r="C201" s="124" t="s">
        <v>227</v>
      </c>
      <c r="D201" s="124" t="s">
        <v>226</v>
      </c>
      <c r="E201" s="124" t="s">
        <v>225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229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45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15.75" x14ac:dyDescent="0.2">
      <c r="A213" s="49"/>
      <c r="B213" s="123" t="s">
        <v>0</v>
      </c>
      <c r="C213" s="124" t="s">
        <v>227</v>
      </c>
      <c r="D213" s="124" t="s">
        <v>226</v>
      </c>
      <c r="E213" s="124" t="s">
        <v>225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229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7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15.75" x14ac:dyDescent="0.2">
      <c r="A224" s="49"/>
      <c r="B224" s="123" t="s">
        <v>0</v>
      </c>
      <c r="C224" s="145" t="s">
        <v>189</v>
      </c>
      <c r="D224" s="137" t="s">
        <v>226</v>
      </c>
      <c r="E224" s="124" t="s">
        <v>225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229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45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15.75" x14ac:dyDescent="0.2">
      <c r="A236" s="49"/>
      <c r="B236" s="123" t="s">
        <v>0</v>
      </c>
      <c r="C236" s="124" t="s">
        <v>227</v>
      </c>
      <c r="D236" s="124" t="s">
        <v>226</v>
      </c>
      <c r="E236" s="124" t="s">
        <v>225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108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108" t="s">
        <v>2</v>
      </c>
      <c r="C238" s="3">
        <v>0.25309999999999999</v>
      </c>
      <c r="D238" s="3">
        <v>0.2361</v>
      </c>
      <c r="E238" s="3">
        <v>0.26840000000000003</v>
      </c>
      <c r="F238" s="5">
        <v>0.3</v>
      </c>
      <c r="G238" s="89" t="s">
        <v>24</v>
      </c>
      <c r="H238" s="7" t="s">
        <v>60</v>
      </c>
      <c r="I238" s="1" t="s">
        <v>14</v>
      </c>
    </row>
    <row r="239" spans="1:9" x14ac:dyDescent="0.2">
      <c r="A239" s="51"/>
      <c r="B239" s="109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108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216</v>
      </c>
      <c r="I240" s="1" t="s">
        <v>18</v>
      </c>
    </row>
    <row r="241" spans="1:9" ht="15" x14ac:dyDescent="0.2">
      <c r="A241" s="51"/>
      <c r="B241" s="110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1.52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108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110" t="s">
        <v>229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7"/>
      <c r="C244" s="17"/>
      <c r="D244" s="17"/>
      <c r="E244" s="19"/>
      <c r="F244" s="18"/>
      <c r="G244" s="92"/>
      <c r="H244" s="19"/>
      <c r="I244" s="175"/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15.7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224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222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229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15.75" x14ac:dyDescent="0.2">
      <c r="A261" s="52"/>
      <c r="B261" s="123" t="s">
        <v>0</v>
      </c>
      <c r="C261" s="129" t="s">
        <v>189</v>
      </c>
      <c r="D261" s="130" t="s">
        <v>190</v>
      </c>
      <c r="E261" s="124" t="s">
        <v>224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190</v>
      </c>
      <c r="E262" s="5" t="s">
        <v>240</v>
      </c>
      <c r="F262" s="5" t="s">
        <v>241</v>
      </c>
      <c r="G262" s="89" t="s">
        <v>4</v>
      </c>
      <c r="H262" s="7" t="s">
        <v>66</v>
      </c>
      <c r="I262" s="6" t="s">
        <v>231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0.65259999999999996</v>
      </c>
      <c r="F271" s="29">
        <f>SUBTOTAL(109,F262:F270)</f>
        <v>0.90000000000000024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3">
        <v>0.2</v>
      </c>
      <c r="G272" s="91" t="s">
        <v>4</v>
      </c>
      <c r="H272" s="9" t="s">
        <v>64</v>
      </c>
      <c r="I272" s="1" t="s">
        <v>19</v>
      </c>
    </row>
    <row r="273" spans="1:9" ht="15" x14ac:dyDescent="0.2">
      <c r="A273" s="52"/>
      <c r="B273" s="110" t="s">
        <v>229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15.7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224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231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3">
        <v>0.22</v>
      </c>
      <c r="G287" s="91" t="s">
        <v>4</v>
      </c>
      <c r="H287" s="9" t="s">
        <v>53</v>
      </c>
      <c r="I287" s="1" t="s">
        <v>19</v>
      </c>
    </row>
    <row r="288" spans="1:9" ht="15" x14ac:dyDescent="0.2">
      <c r="A288" s="52"/>
      <c r="B288" s="110" t="s">
        <v>229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15.7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224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231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229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15.7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224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190</v>
      </c>
      <c r="E302" s="5" t="s">
        <v>235</v>
      </c>
      <c r="F302" s="5" t="s">
        <v>236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229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K10000" s="98">
        <v>24</v>
      </c>
      <c r="L10000" s="98">
        <v>24</v>
      </c>
      <c r="M10000" s="98">
        <v>23</v>
      </c>
      <c r="AZ10000" s="98">
        <v>24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abSelected="1" topLeftCell="A166" zoomScale="55" zoomScaleNormal="55" workbookViewId="0">
      <selection activeCell="I179" sqref="I179:N186"/>
    </sheetView>
  </sheetViews>
  <sheetFormatPr defaultColWidth="9" defaultRowHeight="14.25" x14ac:dyDescent="0.2"/>
  <cols>
    <col min="1" max="1" width="17.625" style="98" customWidth="1"/>
    <col min="2" max="2" width="19.625" style="100" customWidth="1"/>
    <col min="3" max="3" width="30.5" style="199" customWidth="1"/>
    <col min="4" max="4" width="28.375" style="199" customWidth="1"/>
    <col min="5" max="5" width="16.875" style="225" customWidth="1"/>
    <col min="6" max="6" width="29" style="199" customWidth="1"/>
    <col min="7" max="7" width="22.125" style="226" customWidth="1"/>
    <col min="8" max="8" width="17.625" style="199" customWidth="1"/>
    <col min="9" max="9" width="19.625" style="227" customWidth="1"/>
    <col min="10" max="10" width="30.5" style="199" customWidth="1"/>
    <col min="11" max="11" width="28.375" style="199" customWidth="1"/>
    <col min="12" max="12" width="16.875" style="199" customWidth="1"/>
    <col min="13" max="13" width="29" style="199" customWidth="1"/>
    <col min="14" max="14" width="22.125" style="226" customWidth="1"/>
    <col min="15" max="16384" width="9" style="98"/>
  </cols>
  <sheetData>
    <row r="1" spans="1:14" ht="94.35" customHeight="1" x14ac:dyDescent="0.2">
      <c r="A1" s="235" t="s">
        <v>199</v>
      </c>
      <c r="B1" s="235"/>
      <c r="C1" s="235"/>
      <c r="D1" s="235"/>
      <c r="E1" s="235"/>
      <c r="F1" s="200"/>
      <c r="G1" s="201"/>
      <c r="H1" s="236" t="s">
        <v>223</v>
      </c>
      <c r="I1" s="236"/>
      <c r="J1" s="236"/>
      <c r="K1" s="236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35" customHeight="1" x14ac:dyDescent="0.2">
      <c r="A3" s="22"/>
      <c r="B3" s="123" t="s">
        <v>0</v>
      </c>
      <c r="C3" s="124" t="s">
        <v>224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224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209</v>
      </c>
      <c r="G5" s="6" t="s">
        <v>222</v>
      </c>
      <c r="H5" s="205"/>
      <c r="I5" s="108" t="s">
        <v>232</v>
      </c>
      <c r="J5" s="5">
        <v>0.56100000000000005</v>
      </c>
      <c r="K5" s="5">
        <v>0.56000000000000005</v>
      </c>
      <c r="L5" s="6" t="s">
        <v>4</v>
      </c>
      <c r="M5" s="7" t="s">
        <v>210</v>
      </c>
      <c r="N5" s="6" t="s">
        <v>222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208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42.7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229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229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224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224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222</v>
      </c>
      <c r="H19" s="205"/>
      <c r="I19" s="108" t="s">
        <v>232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222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211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212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42.7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229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229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224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224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 t="s">
        <v>242</v>
      </c>
      <c r="D32" s="5" t="s">
        <v>197</v>
      </c>
      <c r="E32" s="151" t="s">
        <v>189</v>
      </c>
      <c r="F32" s="152" t="s">
        <v>190</v>
      </c>
      <c r="G32" s="152" t="s">
        <v>198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222</v>
      </c>
      <c r="H33" s="205"/>
      <c r="I33" s="108" t="s">
        <v>232</v>
      </c>
      <c r="J33" s="5">
        <v>0.25459999999999999</v>
      </c>
      <c r="K33" s="5">
        <v>0.27</v>
      </c>
      <c r="L33" s="6" t="s">
        <v>4</v>
      </c>
      <c r="M33" s="7" t="s">
        <v>213</v>
      </c>
      <c r="N33" s="6" t="s">
        <v>222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214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42.7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0.87290000000000001</v>
      </c>
      <c r="D40" s="29">
        <f>SUBTOTAL(109,D32:D39)</f>
        <v>0.9900000000000001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229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229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224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224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71.25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222</v>
      </c>
      <c r="H47" s="209"/>
      <c r="I47" s="108" t="s">
        <v>232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222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215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216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42.7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229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229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224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224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71.25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222</v>
      </c>
      <c r="H61" s="209"/>
      <c r="I61" s="2" t="s">
        <v>232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222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217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218</v>
      </c>
      <c r="N63" s="1" t="s">
        <v>15</v>
      </c>
    </row>
    <row r="64" spans="1:14" ht="42.7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229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229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224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224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232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42.7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229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229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224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224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71.25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219</v>
      </c>
      <c r="G89" s="6" t="s">
        <v>222</v>
      </c>
      <c r="H89" s="211"/>
      <c r="I89" s="108" t="s">
        <v>232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222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220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206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206</v>
      </c>
      <c r="N94" s="1" t="s">
        <v>19</v>
      </c>
    </row>
    <row r="95" spans="1:14" ht="30" x14ac:dyDescent="0.2">
      <c r="A95" s="47"/>
      <c r="B95" s="110" t="s">
        <v>229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229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224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224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71.25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222</v>
      </c>
      <c r="H100" s="211"/>
      <c r="I100" s="2" t="s">
        <v>232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222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221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206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206</v>
      </c>
      <c r="N105" s="1" t="s">
        <v>19</v>
      </c>
    </row>
    <row r="106" spans="1:14" ht="30" x14ac:dyDescent="0.2">
      <c r="A106" s="47"/>
      <c r="B106" s="110" t="s">
        <v>229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229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224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224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71.25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222</v>
      </c>
      <c r="H111" s="211"/>
      <c r="I111" s="2" t="s">
        <v>232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222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229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229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224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224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 t="s">
        <v>237</v>
      </c>
      <c r="D121" s="5" t="s">
        <v>197</v>
      </c>
      <c r="E121" s="151" t="s">
        <v>189</v>
      </c>
      <c r="F121" s="152" t="s">
        <v>190</v>
      </c>
      <c r="G121" s="152" t="s">
        <v>198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232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0.88890000000000002</v>
      </c>
      <c r="D126" s="29">
        <f>SUBTOTAL(109,D121:D125)</f>
        <v>0.9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229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229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224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224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 t="s">
        <v>238</v>
      </c>
      <c r="D132" s="5" t="s">
        <v>197</v>
      </c>
      <c r="E132" s="151" t="s">
        <v>189</v>
      </c>
      <c r="F132" s="152" t="s">
        <v>190</v>
      </c>
      <c r="G132" s="152" t="s">
        <v>198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232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1.1696000000000002</v>
      </c>
      <c r="D137" s="29">
        <f>SUBTOTAL(109,D132:D136)</f>
        <v>1.04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224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224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232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234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234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229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229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224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224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232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229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229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35" customHeight="1" x14ac:dyDescent="0.2">
      <c r="A164" s="83"/>
      <c r="B164" s="123" t="s">
        <v>0</v>
      </c>
      <c r="C164" s="124" t="s">
        <v>224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224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3">
        <v>0.16</v>
      </c>
      <c r="E166" s="1" t="s">
        <v>4</v>
      </c>
      <c r="F166" s="4" t="s">
        <v>135</v>
      </c>
      <c r="G166" s="228" t="s">
        <v>222</v>
      </c>
      <c r="H166" s="216"/>
      <c r="I166" s="108" t="s">
        <v>232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222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1.4200000000000002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29" t="s">
        <v>229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229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35" customHeight="1" x14ac:dyDescent="0.2">
      <c r="A178" s="83"/>
      <c r="B178" s="123" t="s">
        <v>0</v>
      </c>
      <c r="C178" s="124" t="s">
        <v>224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224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3">
        <v>0.16</v>
      </c>
      <c r="E180" s="1" t="s">
        <v>4</v>
      </c>
      <c r="F180" s="4" t="s">
        <v>135</v>
      </c>
      <c r="G180" s="6" t="s">
        <v>222</v>
      </c>
      <c r="H180" s="216"/>
      <c r="I180" s="2" t="s">
        <v>232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222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1.27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229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229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R10000" s="98">
        <v>31</v>
      </c>
      <c r="S10000" s="98">
        <v>38</v>
      </c>
      <c r="T10000" s="98">
        <v>33</v>
      </c>
      <c r="AZ10000" s="98">
        <v>31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Ofek Sharon</cp:lastModifiedBy>
  <cp:lastPrinted>2025-12-02T12:20:37Z</cp:lastPrinted>
  <dcterms:created xsi:type="dcterms:W3CDTF">2019-11-21T10:57:46Z</dcterms:created>
  <dcterms:modified xsi:type="dcterms:W3CDTF">2026-05-25T08:30:08Z</dcterms:modified>
  <dc:language>עברית</dc:language>
</cp:coreProperties>
</file>