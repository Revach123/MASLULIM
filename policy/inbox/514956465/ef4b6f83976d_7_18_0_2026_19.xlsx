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2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G:\.shortcut-targets-by-id\1nExi9hsx3qzG2PhXupxl_rGrxifX19wI\CHEN\לקוחות\תיק לקוחות\הנגשת מסמכים\מור\מור גמל ופנסיה\2026\10.26\26.10\מונגש\"/>
    </mc:Choice>
  </mc:AlternateContent>
  <xr:revisionPtr revIDLastSave="0" documentId="13_ncr:1_{81CCE152-0F37-4C43-A023-FB4B8B5896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'!$A$2:$N$205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9" i="21" l="1"/>
  <c r="D199" i="21"/>
  <c r="D148" i="22"/>
  <c r="E148" i="22"/>
  <c r="F148" i="22"/>
  <c r="D136" i="22"/>
  <c r="E136" i="22"/>
  <c r="F136" i="22"/>
  <c r="E124" i="22"/>
  <c r="F124" i="22"/>
  <c r="D108" i="22"/>
  <c r="E108" i="22"/>
  <c r="F108" i="22"/>
  <c r="D91" i="22"/>
  <c r="E91" i="22"/>
  <c r="F91" i="22"/>
  <c r="F14" i="22"/>
  <c r="K185" i="21"/>
  <c r="D185" i="21"/>
  <c r="K174" i="21"/>
  <c r="D174" i="21"/>
  <c r="K160" i="21"/>
  <c r="D160" i="21"/>
  <c r="K149" i="21"/>
  <c r="D149" i="21"/>
  <c r="K138" i="21"/>
  <c r="D138" i="21"/>
  <c r="K127" i="21"/>
  <c r="D127" i="21"/>
  <c r="K116" i="21"/>
  <c r="D116" i="21"/>
  <c r="K105" i="21"/>
  <c r="D105" i="21"/>
  <c r="K94" i="21"/>
  <c r="D94" i="21"/>
  <c r="K83" i="21"/>
  <c r="D83" i="21"/>
  <c r="K69" i="21"/>
  <c r="D69" i="21"/>
  <c r="K55" i="21"/>
  <c r="D55" i="21"/>
  <c r="K41" i="21"/>
  <c r="D41" i="21"/>
  <c r="K27" i="21"/>
  <c r="D27" i="21"/>
  <c r="K13" i="21"/>
  <c r="D13" i="21"/>
  <c r="F307" i="22"/>
  <c r="F297" i="22"/>
  <c r="F287" i="22"/>
  <c r="F272" i="22"/>
  <c r="F257" i="22"/>
  <c r="F242" i="22"/>
  <c r="F230" i="22"/>
  <c r="F219" i="22"/>
  <c r="F207" i="22"/>
  <c r="F195" i="22"/>
  <c r="F183" i="22"/>
  <c r="E183" i="22"/>
  <c r="F172" i="22"/>
  <c r="E172" i="22"/>
  <c r="F160" i="22"/>
  <c r="F74" i="22"/>
  <c r="F59" i="22"/>
  <c r="F44" i="22"/>
  <c r="F29" i="22"/>
  <c r="E14" i="22"/>
  <c r="J185" i="21"/>
  <c r="J160" i="21"/>
  <c r="J149" i="21"/>
  <c r="J138" i="21"/>
  <c r="J127" i="21"/>
  <c r="J116" i="21"/>
  <c r="J105" i="21"/>
  <c r="J94" i="21"/>
  <c r="J83" i="21"/>
  <c r="J69" i="21"/>
  <c r="J41" i="21"/>
  <c r="J27" i="21"/>
  <c r="C185" i="21"/>
  <c r="C160" i="21"/>
  <c r="C149" i="21"/>
  <c r="C138" i="21"/>
  <c r="C127" i="21"/>
  <c r="C116" i="21"/>
  <c r="C105" i="21"/>
  <c r="C94" i="21"/>
  <c r="C83" i="21"/>
  <c r="C69" i="21" l="1"/>
  <c r="C27" i="21"/>
  <c r="J55" i="21"/>
  <c r="C13" i="21"/>
  <c r="J13" i="21"/>
  <c r="C55" i="21"/>
  <c r="C41" i="21"/>
  <c r="E307" i="22"/>
  <c r="E297" i="22"/>
  <c r="E287" i="22"/>
  <c r="E272" i="22"/>
  <c r="E257" i="22"/>
  <c r="E242" i="22"/>
  <c r="D242" i="22"/>
  <c r="C242" i="22"/>
  <c r="E230" i="22"/>
  <c r="D230" i="22"/>
  <c r="D219" i="22"/>
  <c r="C219" i="22"/>
  <c r="E219" i="22"/>
  <c r="E207" i="22"/>
  <c r="D207" i="22"/>
  <c r="C207" i="22"/>
  <c r="E195" i="22"/>
  <c r="D195" i="22"/>
  <c r="C195" i="22"/>
  <c r="D183" i="22"/>
  <c r="D172" i="22"/>
  <c r="C172" i="22"/>
  <c r="E160" i="22"/>
  <c r="D160" i="22"/>
  <c r="C160" i="22"/>
  <c r="C148" i="22" l="1"/>
  <c r="C136" i="22"/>
  <c r="C108" i="22"/>
  <c r="E74" i="22" l="1"/>
  <c r="D124" i="22"/>
  <c r="E59" i="22"/>
  <c r="C91" i="22"/>
  <c r="E44" i="22"/>
  <c r="E29" i="22"/>
</calcChain>
</file>

<file path=xl/sharedStrings.xml><?xml version="1.0" encoding="utf-8"?>
<sst xmlns="http://schemas.openxmlformats.org/spreadsheetml/2006/main" count="3115" uniqueCount="262">
  <si>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</si>
  <si>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</si>
  <si>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</si>
  <si>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</si>
  <si>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</si>
  <si>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</si>
  <si>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</si>
  <si>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</si>
  <si>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</si>
  <si>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</si>
  <si>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</si>
  <si>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</si>
  <si>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</si>
  <si>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</si>
  <si>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</si>
  <si>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</si>
  <si>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</si>
  <si>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</si>
  <si>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</si>
  <si>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</si>
  <si>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</si>
  <si>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</si>
  <si>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</si>
  <si>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</si>
  <si>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</si>
  <si>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</si>
  <si>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</si>
  <si>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</si>
  <si>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</si>
  <si>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</si>
  <si>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</si>
  <si>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</si>
  <si>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</si>
  <si>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</si>
  <si>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</si>
  <si>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</si>
  <si>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</si>
  <si>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</si>
  <si>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</si>
  <si>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</si>
  <si>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</si>
  <si>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</si>
  <si>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</si>
  <si>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</si>
  <si>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</si>
  <si>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</si>
  <si>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</si>
  <si>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</si>
  <si>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</si>
  <si>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</si>
  <si>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</si>
  <si>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</si>
  <si>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</si>
  <si>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</si>
  <si>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</si>
  <si>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</si>
  <si>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</si>
  <si>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</si>
  <si>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</si>
  <si>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</si>
  <si>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</si>
  <si>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</si>
  <si>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</si>
  <si>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</si>
  <si>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</si>
  <si>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</si>
  <si>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</si>
  <si>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</si>
  <si>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</si>
  <si>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</si>
  <si>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</si>
  <si>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</si>
  <si>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</si>
  <si>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</si>
  <si>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</si>
  <si>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</si>
  <si>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</si>
  <si>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</si>
  <si>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</si>
  <si>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</si>
  <si>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</si>
  <si>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</si>
  <si>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</si>
  <si>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</si>
  <si>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</si>
  <si>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</si>
  <si>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</si>
  <si>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</si>
  <si>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</si>
  <si>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</si>
  <si>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</si>
  <si>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</si>
  <si>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</si>
  <si>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</si>
  <si>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</si>
  <si>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</si>
  <si>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</si>
  <si>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</si>
  <si>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</si>
  <si>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</si>
  <si>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</si>
  <si>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</si>
  <si>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</si>
  <si>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</si>
  <si>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</si>
  <si>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</si>
  <si>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</si>
  <si>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</si>
  <si>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</si>
  <si>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</si>
  <si>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</si>
  <si>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</si>
  <si>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</si>
  <si>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</si>
  <si>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</si>
  <si>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</si>
  <si>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</si>
  <si>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</si>
  <si>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</si>
  <si>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</si>
  <si>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</si>
  <si>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</si>
  <si>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</si>
  <si>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</si>
  <si>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</si>
  <si>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</si>
  <si>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</si>
  <si>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</si>
  <si>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</si>
  <si>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</si>
  <si>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</si>
  <si>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</si>
  <si>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</si>
  <si>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</si>
  <si>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</si>
  <si>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</si>
  <si>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</si>
  <si>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</si>
  <si>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</si>
  <si>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</si>
  <si>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</si>
  <si>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</si>
  <si>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</si>
  <si>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</si>
  <si>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</si>
  <si>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</si>
  <si>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</si>
  <si>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</si>
  <si>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</si>
  <si>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</si>
  <si>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</si>
  <si>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</si>
  <si>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</si>
  <si>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</si>
  <si>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</si>
  <si>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</si>
  <si>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</si>
  <si>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</si>
  <si>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</si>
  <si>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</si>
  <si>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</si>
  <si>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</si>
  <si>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</si>
  <si>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</si>
  <si>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</si>
  <si>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</si>
  <si>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</si>
  <si>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</si>
  <si>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</si>
  <si>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</si>
  <si>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</si>
  <si>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</si>
  <si>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</si>
  <si>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</si>
  <si>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</si>
  <si>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</si>
  <si>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</si>
  <si>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</si>
  <si>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</si>
  <si>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</si>
  <si>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</si>
  <si>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</si>
  <si>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</si>
  <si>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</si>
  <si>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</si>
  <si>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</si>
  <si>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</si>
  <si>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</si>
  <si>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</si>
  <si>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</si>
  <si>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</si>
  <si>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</si>
  <si>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</si>
  <si>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</si>
  <si>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</si>
  <si>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</si>
  <si>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</si>
  <si>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</si>
  <si>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</si>
  <si>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</si>
  <si>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</si>
  <si>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17% - 27%</t>
  </si>
  <si>
    <t>21% - 31%</t>
  </si>
  <si>
    <t>12% - 24%</t>
  </si>
  <si>
    <t>3% - 13%</t>
  </si>
  <si>
    <t>4% - 14%</t>
  </si>
  <si>
    <t>52% - 64%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</si>
  <si>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</si>
  <si>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</si>
  <si>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</si>
  <si>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</si>
  <si>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</si>
  <si>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</si>
  <si>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</si>
  <si>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</si>
  <si>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</si>
  <si>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</si>
  <si>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</si>
  <si>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</si>
  <si>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</si>
  <si>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</si>
  <si>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</si>
  <si>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</si>
  <si>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</si>
  <si>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</si>
  <si>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</si>
  <si>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</si>
  <si>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</si>
  <si>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</si>
  <si>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</si>
  <si>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</si>
  <si>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</si>
  <si>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</si>
  <si>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</si>
  <si>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</si>
  <si>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</si>
  <si>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</si>
  <si>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</si>
  <si>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</si>
  <si>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</si>
  <si>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</si>
  <si>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</si>
  <si>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</si>
  <si>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</si>
  <si>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</si>
  <si>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</si>
  <si>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</si>
  <si>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</si>
  <si>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</si>
  <si>
    <t>מדד ת"א 125- 100%</t>
  </si>
  <si>
    <t>93%-105%</t>
  </si>
  <si>
    <t>25%-35%</t>
  </si>
  <si>
    <t>0%-12%</t>
  </si>
  <si>
    <t>0%-10%</t>
  </si>
  <si>
    <t>10%-20%</t>
  </si>
  <si>
    <t>מ"ה: 15881 - אלפא מור גמל לחיסכון – הלכה</t>
  </si>
  <si>
    <t>מ"ה: 15882 - מור השתלמות - הלכה</t>
  </si>
  <si>
    <t>מ"ה: 15883 - מור גמל להשקעה – הלכה</t>
  </si>
  <si>
    <t>12% - 14%</t>
  </si>
  <si>
    <t>מ"ה: 15892 - מור פנסיה מקיפה - הלכה</t>
  </si>
  <si>
    <t>מ"ה: 15893 - מור פנסיה כללית - הלכה</t>
  </si>
  <si>
    <t>מסלולי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</si>
</sst>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8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10" fontId="7" fillId="0" borderId="5" xfId="1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 readingOrder="2"/>
    </xf>
    <xf numFmtId="165" fontId="7" fillId="2" borderId="4" xfId="0" applyNumberFormat="1" applyFont="1" applyFill="1" applyBorder="1" applyAlignment="1">
      <alignment horizontal="center" vertical="center" wrapText="1"/>
    </xf>
    <xf numFmtId="10" fontId="7" fillId="0" borderId="5" xfId="0" applyNumberFormat="1" applyFont="1" applyBorder="1" applyAlignment="1">
      <alignment horizontal="center" vertical="center" wrapText="1" readingOrder="2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21" fillId="18" borderId="0" xfId="0" applyFont="1" applyFill="1"/>
    <xf numFmtId="0" fontId="5" fillId="17" borderId="2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/>
    </xf>
    <xf numFmtId="10" fontId="7" fillId="2" borderId="11" xfId="0" applyNumberFormat="1" applyFont="1" applyFill="1" applyBorder="1" applyAlignment="1">
      <alignment horizontal="center" vertical="center" wrapText="1" readingOrder="2"/>
    </xf>
    <xf numFmtId="165" fontId="7" fillId="2" borderId="3" xfId="0" applyNumberFormat="1" applyFont="1" applyFill="1" applyBorder="1" applyAlignment="1">
      <alignment horizontal="center" vertical="center" wrapText="1" readingOrder="2"/>
    </xf>
    <xf numFmtId="0" fontId="0" fillId="19" borderId="0" xfId="0" applyFill="1" applyAlignment="1">
      <alignment horizontal="center" vertical="center" wrapText="1"/>
    </xf>
    <xf numFmtId="0" fontId="0" fillId="19" borderId="0" xfId="0" applyFill="1"/>
    <xf numFmtId="0" fontId="14" fillId="19" borderId="0" xfId="0" applyFont="1" applyFill="1"/>
    <xf numFmtId="165" fontId="5" fillId="12" borderId="2" xfId="0" applyNumberFormat="1" applyFont="1" applyFill="1" applyBorder="1" applyAlignment="1">
      <alignment horizontal="center" vertical="center" wrapText="1"/>
    </xf>
    <xf numFmtId="165" fontId="13" fillId="2" borderId="2" xfId="0" applyNumberFormat="1" applyFont="1" applyFill="1" applyBorder="1" applyAlignment="1">
      <alignment horizontal="center" vertical="center" wrapText="1" readingOrder="2"/>
    </xf>
    <xf numFmtId="165" fontId="13" fillId="2" borderId="4" xfId="0" applyNumberFormat="1" applyFont="1" applyFill="1" applyBorder="1" applyAlignment="1">
      <alignment horizontal="center" vertical="center" wrapText="1" readingOrder="2"/>
    </xf>
    <xf numFmtId="10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9" xfId="0" applyNumberFormat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 wrapText="1" readingOrder="2"/>
    </xf>
    <xf numFmtId="10" fontId="5" fillId="11" borderId="11" xfId="0" applyNumberFormat="1" applyFont="1" applyFill="1" applyBorder="1" applyAlignment="1">
      <alignment horizontal="center" vertical="center" wrapText="1"/>
    </xf>
    <xf numFmtId="10" fontId="5" fillId="11" borderId="5" xfId="0" applyNumberFormat="1" applyFont="1" applyFill="1" applyBorder="1" applyAlignment="1">
      <alignment horizontal="center" vertical="center" wrapText="1"/>
    </xf>
    <xf numFmtId="10" fontId="7" fillId="11" borderId="2" xfId="1" applyNumberFormat="1" applyFont="1" applyFill="1" applyBorder="1" applyAlignment="1">
      <alignment horizontal="center" vertical="center" wrapText="1"/>
    </xf>
    <xf numFmtId="10" fontId="7" fillId="11" borderId="3" xfId="1" applyNumberFormat="1" applyFont="1" applyFill="1" applyBorder="1" applyAlignment="1">
      <alignment horizontal="center" vertical="center" wrapText="1"/>
    </xf>
    <xf numFmtId="0" fontId="7" fillId="19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10" fontId="5" fillId="0" borderId="2" xfId="1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 readingOrder="2"/>
    </xf>
    <xf numFmtId="0" fontId="13" fillId="2" borderId="13" xfId="0" applyFont="1" applyFill="1" applyBorder="1" applyAlignment="1">
      <alignment horizontal="center" vertical="center" wrapText="1" readingOrder="2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0" fontId="13" fillId="0" borderId="5" xfId="0" applyFont="1" applyBorder="1" applyAlignment="1">
      <alignment horizontal="center" vertical="center" wrapText="1" readingOrder="2"/>
    </xf>
    <xf numFmtId="165" fontId="13" fillId="12" borderId="0" xfId="0" applyNumberFormat="1" applyFont="1" applyFill="1" applyBorder="1" applyAlignment="1">
      <alignment horizontal="center" vertical="center" wrapText="1" readingOrder="2"/>
    </xf>
    <xf numFmtId="0" fontId="5" fillId="2" borderId="9" xfId="0" applyFont="1" applyFill="1" applyBorder="1" applyAlignment="1">
      <alignment horizontal="center" vertical="center" wrapText="1"/>
    </xf>
    <xf numFmtId="165" fontId="5" fillId="2" borderId="9" xfId="0" applyNumberFormat="1" applyFont="1" applyFill="1" applyBorder="1" applyAlignment="1">
      <alignment horizontal="center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2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1</xdr:row>
      <xdr:rowOff>0</xdr:rowOff>
    </xdr:from>
    <xdr:ext cx="2679246" cy="806366"/>
    <xdr:pic>
      <xdr:nvPicPr>
        <xdr:cNvPr id="3" name="תמונה 2" descr="לוגו מור גמל ופנסיה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6</xdr:col>
      <xdr:colOff>842792</xdr:colOff>
      <xdr:row>1</xdr:row>
      <xdr:rowOff>269669</xdr:rowOff>
    </xdr:from>
    <xdr:to>
      <xdr:col>6</xdr:col>
      <xdr:colOff>1176167</xdr:colOff>
      <xdr:row>1</xdr:row>
      <xdr:rowOff>603044</xdr:rowOff>
    </xdr:to>
    <xdr:pic>
      <xdr:nvPicPr>
        <xdr:cNvPr id="2" name="Picture 1" descr="סמל נגישות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566924" y="442851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1</xdr:row>
      <xdr:rowOff>41131</xdr:rowOff>
    </xdr:from>
    <xdr:ext cx="3190299" cy="960176"/>
    <xdr:pic>
      <xdr:nvPicPr>
        <xdr:cNvPr id="6" name="תמונה 5" descr="לוגו מור גמל ופנסיה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1</xdr:row>
      <xdr:rowOff>41132</xdr:rowOff>
    </xdr:from>
    <xdr:ext cx="3190299" cy="960176"/>
    <xdr:pic>
      <xdr:nvPicPr>
        <xdr:cNvPr id="7" name="תמונה 6" descr="לוגו מור גמל ופנסיה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1</xdr:row>
      <xdr:rowOff>519544</xdr:rowOff>
    </xdr:from>
    <xdr:to>
      <xdr:col>11</xdr:col>
      <xdr:colOff>419966</xdr:colOff>
      <xdr:row>1</xdr:row>
      <xdr:rowOff>852919</xdr:rowOff>
    </xdr:to>
    <xdr:pic>
      <xdr:nvPicPr>
        <xdr:cNvPr id="5" name="Picture 4" descr="סמל נגישות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AF27EDF-43D6-40C7-A554-D047DE7A3430}" name="TitleRegion1.b80.i92.11" displayName="TitleRegion1.b80.i92.11" ref="B81:I93" totalsRowShown="0" headerRowDxfId="279" headerRowBorderDxfId="278" tableBorderDxfId="277">
  <autoFilter ref="B81:I93" xr:uid="{3AF27EDF-43D6-40C7-A554-D047DE7A34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F8C3B7B-6A47-4D6B-AA52-A63A7C6E9B73}" name="אפיק השקעה " dataDxfId="276"/>
    <tableColumn id="2" xr3:uid="{385DD5B9-A5CD-4099-A0E3-0B793BCE9992}" name="תגמולים שיעור החשיפה ליום 31/12/2025 "/>
    <tableColumn id="3" xr3:uid="{9E9D56BD-4722-403E-BCE7-243DF17D34BA}" name="השתלמות שיעור החשיפה ליום 31/12/2025"/>
    <tableColumn id="4" xr3:uid="{EDE30069-F81B-4242-B6CA-2F81FD00B9B5}" name=" השקעה שיעור החשיפה ליום 31/12/2025"/>
    <tableColumn id="5" xr3:uid="{1153E669-9F1A-4AB0-9BA2-DD4558A33ECB}" name="שיעור חשיפה צפוי לשנת 2026"/>
    <tableColumn id="6" xr3:uid="{5706C79D-6115-4B8A-B7A0-0843BD44011B}" name="טווח סטיה מותר" dataDxfId="275"/>
    <tableColumn id="7" xr3:uid="{BA2DDBF2-7CED-4369-9786-27689F0E0F2F}" name="גבולות שיעור החשיפה הצפויה"/>
    <tableColumn id="8" xr3:uid="{88141235-8801-4969-A919-5ED029713C4E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3D71D4E-7CCF-441D-A297-128D6B788FD8}" name="TitleRegion1.b130.i137.15" displayName="TitleRegion1.b130.i137.15" ref="B131:I138" totalsRowShown="0" headerRowDxfId="274" headerRowBorderDxfId="273" tableBorderDxfId="272">
  <autoFilter ref="B131:I138" xr:uid="{C3D71D4E-7CCF-441D-A297-128D6B788F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371CFA-CBA1-4CCA-8F65-074AA21C1D93}" name="אפיק השקעה "/>
    <tableColumn id="2" xr3:uid="{4C2EE75C-1470-4699-822A-6F56FB77B40A}" name="תגמולים שיעור החשיפה ליום 31/12/2025 "/>
    <tableColumn id="3" xr3:uid="{388C569D-C5C8-4C7E-8429-A8F06D60564F}" name="השתלמות שיעור החשיפה ליום 31/12/2025"/>
    <tableColumn id="4" xr3:uid="{7A73EFB1-D70D-4535-BA3E-49F059CB0035}" name=" השקעה שיעור החשיפה ליום 31/12/2025"/>
    <tableColumn id="5" xr3:uid="{756E6954-A27F-42A0-A263-4AA1F3F6776C}" name="שיעור חשיפה צפוי לשנת 2026"/>
    <tableColumn id="6" xr3:uid="{1D51F045-525C-4944-920B-A342489AF92E}" name="טווח סטיה מותר" dataDxfId="271"/>
    <tableColumn id="7" xr3:uid="{87ACBE4E-F27B-40A7-B998-68BFDE9B727B}" name="גבולות שיעור החשיפה הצפויה"/>
    <tableColumn id="8" xr3:uid="{999EFBC8-E2B8-4B84-9FF4-740D4D690A4E}" name="מדד ייחוס*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A149512-0FD3-4B8B-83CF-EA423B07D1B9}" name="TitleRegion1.b142.i149.16" displayName="TitleRegion1.b142.i149.16" ref="B143:I150" totalsRowShown="0" headerRowDxfId="270" headerRowBorderDxfId="269" tableBorderDxfId="268">
  <autoFilter ref="B143:I150" xr:uid="{CA149512-0FD3-4B8B-83CF-EA423B07D1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34F42D4-9C53-44E4-AB91-9A3A29EAE4F9}" name="אפיק השקעה "/>
    <tableColumn id="2" xr3:uid="{30C170CD-84FC-4A19-B151-72871C798334}" name="תגמולים שיעור החשיפה ליום 31/12/2025 "/>
    <tableColumn id="3" xr3:uid="{A1D0CCB7-0309-483F-82D1-F12F686F885C}" name="השתלמות שיעור החשיפה ליום 31/12/2025"/>
    <tableColumn id="4" xr3:uid="{8AFF6D73-0371-468E-B6DA-EEAAF213BE7F}" name=" השקעה שיעור החשיפה ליום 31/12/2025"/>
    <tableColumn id="5" xr3:uid="{A3FCC340-61AC-4C28-A339-4D14C4704114}" name="שיעור חשיפה צפוי לשנת 2026"/>
    <tableColumn id="6" xr3:uid="{14428CBB-3634-48C3-B21F-6499E5E7DE84}" name="טווח סטיה מותר" dataDxfId="267"/>
    <tableColumn id="7" xr3:uid="{1F7D7E33-EBF6-497D-BB95-0546CC355AEC}" name="גבולות שיעור החשיפה הצפויה"/>
    <tableColumn id="8" xr3:uid="{8F8C1AB1-36A0-494B-8F47-6BA6FA3C9F1E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252B60B2-0A78-4213-9289-EC57815D54AA}" name="TitleRegion1.b154.i161.17" displayName="TitleRegion1.b154.i161.17" ref="B155:I162" totalsRowShown="0" headerRowDxfId="266" headerRowBorderDxfId="265" tableBorderDxfId="264">
  <autoFilter ref="B155:I162" xr:uid="{252B60B2-0A78-4213-9289-EC57815D54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C77994-2F55-4ADA-914A-0086DF0B0DF2}" name="אפיק השקעה "/>
    <tableColumn id="2" xr3:uid="{9EEC8F3C-9E8F-4EF6-AD26-016D8A55096E}" name="תגמולים שיעור החשיפה ליום 31/12/2025 "/>
    <tableColumn id="3" xr3:uid="{31AEB9DD-6D19-4532-ABF5-8BEE0A77B5A0}" name="השתלמות שיעור החשיפה ליום 31/12/2025"/>
    <tableColumn id="4" xr3:uid="{70C2DF55-6946-4954-9CA0-11324CC09067}" name=" השקעה שיעור החשיפה ליום 31/12/2025"/>
    <tableColumn id="5" xr3:uid="{10BFE47F-A79B-47C1-9FD4-AA77AF3E1AD8}" name="שיעור חשיפה צפוי לשנת 2026"/>
    <tableColumn id="6" xr3:uid="{A1167D51-1CA1-463D-AE40-16F58F965855}" name="טווח סטיה מותר" dataDxfId="263"/>
    <tableColumn id="7" xr3:uid="{0BDE1781-E629-45D9-AA32-46C32CDB947A}" name="גבולות שיעור החשיפה הצפויה"/>
    <tableColumn id="8" xr3:uid="{845484A8-E53E-4147-A4A8-61362417AF50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5EDFF9E-8094-42B1-BDC8-163D4C8E1873}" name="RowTitleRegion1.b166.i173.18" displayName="RowTitleRegion1.b166.i173.18" ref="B167:I174" totalsRowShown="0" headerRowDxfId="262" headerRowBorderDxfId="261" tableBorderDxfId="260">
  <autoFilter ref="B167:I174" xr:uid="{95EDFF9E-8094-42B1-BDC8-163D4C8E18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57BE09-2E4D-40E2-A243-D401F67CD7DF}" name="אפיק השקעה "/>
    <tableColumn id="2" xr3:uid="{414E9FDB-FEFA-442F-BFFE-CAD4A9020254}" name="תגמולים שיעור החשיפה ליום 31/12/2025 "/>
    <tableColumn id="3" xr3:uid="{F6764D1A-0A70-41CC-8482-73E18CCE826D}" name="השתלמות שיעור החשיפה ליום 31/12/2025"/>
    <tableColumn id="4" xr3:uid="{04D0170A-B4C9-46D6-B1E3-6008EE955FB0}" name=" השקעה שיעור החשיפה ליום 31/12/2025"/>
    <tableColumn id="5" xr3:uid="{CBBCBD20-C2FC-4F27-A1AC-69A8FD9F0B6E}" name="שיעור חשיפה צפוי לשנת 2026"/>
    <tableColumn id="6" xr3:uid="{0BBFDA57-E79D-484B-A087-9C64EFD79553}" name="טווח סטיה מותר" dataDxfId="259"/>
    <tableColumn id="7" xr3:uid="{17D79536-B24F-4283-A28E-5C905C879C67}" name="גבולות שיעור החשיפה הצפויה"/>
    <tableColumn id="8" xr3:uid="{D1FCA6B1-6A5E-4E91-9A95-F4246DB8503D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CDB34F9-C03E-4B84-B9D5-E955E335255D}" name="RowTitleRegion1.b177.b184.19" displayName="RowTitleRegion1.b177.b184.19" ref="B178:B185" totalsRowShown="0" headerRowDxfId="258" headerRowBorderDxfId="257" tableBorderDxfId="256" totalsRowBorderDxfId="255">
  <autoFilter ref="B178:B185" xr:uid="{0CDB34F9-C03E-4B84-B9D5-E955E335255D}">
    <filterColumn colId="0" hiddenButton="1"/>
  </autoFilter>
  <tableColumns count="1">
    <tableColumn id="1" xr3:uid="{96227FDE-5B9A-49C2-8488-61F46C2A12B4}" name="אפיק השקעה 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34CF862-92FC-4C4E-B8CD-962ACFDB7EB1}" name="TitleRegion1.d177.i184.20" displayName="TitleRegion1.d177.i184.20" ref="D178:I185" totalsRowShown="0" headerRowDxfId="254" headerRowBorderDxfId="253" tableBorderDxfId="252">
  <autoFilter ref="D178:I185" xr:uid="{B34CF862-92FC-4C4E-B8CD-962ACFDB7E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74FA13-23A0-46A5-AE15-F6026753C367}" name="השתלמות שיעור החשיפה ליום 31/12/2025"/>
    <tableColumn id="2" xr3:uid="{040938C4-6180-4064-8D20-9EB79726661E}" name=" השקעה שיעור החשיפה ליום 31/12/2025"/>
    <tableColumn id="3" xr3:uid="{078FF623-644C-47A7-BD51-9DDB4355F833}" name="שיעור חשיפה צפוי לשנת 2026"/>
    <tableColumn id="4" xr3:uid="{E00A867A-36AC-4211-90D3-E928DA384853}" name="טווח סטיה מותר" dataDxfId="251"/>
    <tableColumn id="5" xr3:uid="{008CAE45-EF57-4C68-BC4F-15F66F1858C9}" name="גבולות שיעור החשיפה הצפויה"/>
    <tableColumn id="6" xr3:uid="{5A14406C-D578-4762-88F2-1DCFB7A10C1D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131232D5-4ED5-4975-85D8-9E99DD7349FA}" name="TitleRegion1.b189.i197.21" displayName="TitleRegion1.b189.i197.21" ref="B190:I198" totalsRowShown="0" headerRowDxfId="250" headerRowBorderDxfId="249" tableBorderDxfId="248">
  <autoFilter ref="B190:I198" xr:uid="{131232D5-4ED5-4975-85D8-9E99DD7349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8E7FCC-497A-44A5-94A2-552EBBA27ECE}" name="אפיק השקעה "/>
    <tableColumn id="2" xr3:uid="{70FF7766-0F0C-4036-B24B-5D89523F8B5B}" name="תגמולים שיעור החשיפה ליום 31/12/2025 "/>
    <tableColumn id="3" xr3:uid="{B9747AAB-1DAA-4B36-B439-F3CA96AF8D34}" name="השתלמות שיעור החשיפה ליום 31/12/2025"/>
    <tableColumn id="4" xr3:uid="{EF1C30EB-9969-4402-98F6-170396867CA9}" name=" השקעה שיעור החשיפה ליום 31/12/2025"/>
    <tableColumn id="5" xr3:uid="{F6379EC9-D5A6-43BA-8388-5F28C134E181}" name="שיעור חשיפה צפוי לשנת 2026"/>
    <tableColumn id="6" xr3:uid="{6E6DFB86-B097-423D-BB9E-C2829A3AC8C9}" name="טווח סטיה מותר"/>
    <tableColumn id="7" xr3:uid="{E7696EE9-55CF-4A42-B00B-6FEA5B790545}" name="גבולות שיעור החשיפה הצפויה"/>
    <tableColumn id="8" xr3:uid="{00B49472-5623-4199-BF71-91F4A017B58C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EBA2F26-C065-41E5-B265-6410DC75ACBD}" name="TitleRegion1.b201.i208.22" displayName="TitleRegion1.b201.i208.22" ref="B202:I209" totalsRowShown="0" headerRowDxfId="247" headerRowBorderDxfId="246" tableBorderDxfId="245">
  <autoFilter ref="B202:I209" xr:uid="{0EBA2F26-C065-41E5-B265-6410DC75AC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64986BC-27A1-4D35-B7A5-FC57867FC065}" name="אפיק השקעה "/>
    <tableColumn id="2" xr3:uid="{33DCBD18-34D7-4A63-BD49-086AD11908BF}" name="תגמולים שיעור החשיפה ליום 31/12/2025 "/>
    <tableColumn id="3" xr3:uid="{E612BFA3-78A0-4BBA-81DD-F6BC29196004}" name="השתלמות שיעור החשיפה ליום 31/12/2025"/>
    <tableColumn id="4" xr3:uid="{BF3B2A9A-154D-46DD-A325-88B67B79B81E}" name=" השקעה שיעור החשיפה ליום 31/12/2025"/>
    <tableColumn id="5" xr3:uid="{969573E6-E415-43CB-B323-B2AA5247F12A}" name="שיעור חשיפה צפוי לשנת 2026"/>
    <tableColumn id="6" xr3:uid="{1F854629-8872-4998-981D-E7C4BCFB1819}" name="טווח סטיה מותר" dataDxfId="244"/>
    <tableColumn id="7" xr3:uid="{1653C7FA-FD99-413A-BF23-8A439639E4F3}" name="גבולות שיעור החשיפה הצפויה"/>
    <tableColumn id="8" xr3:uid="{FA851EAF-3355-4F9C-8164-BCE3B9F5B7F9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A155260-B0F2-4713-8ECB-31FC2527FD85}" name="TitleRegion1.b213.i220.23" displayName="TitleRegion1.b213.i220.23" ref="B214:I221" totalsRowShown="0" headerRowDxfId="243" headerRowBorderDxfId="242" tableBorderDxfId="241">
  <autoFilter ref="B214:I221" xr:uid="{EA155260-B0F2-4713-8ECB-31FC2527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B837AC-B813-4F32-B18A-27A1FDBA75FD}" name="אפיק השקעה "/>
    <tableColumn id="2" xr3:uid="{1DF53931-B8B5-451C-B2F6-58F43485C1CA}" name="תגמולים שיעור החשיפה ליום 31/12/2025 "/>
    <tableColumn id="3" xr3:uid="{4892B289-CA1B-4635-9CC7-EB325FF33080}" name="השתלמות שיעור החשיפה ליום 31/12/2025"/>
    <tableColumn id="4" xr3:uid="{4962D967-F8C4-46C3-B05C-69A5D35125EB}" name=" השקעה שיעור החשיפה ליום 31/12/2025"/>
    <tableColumn id="5" xr3:uid="{A66E5508-1C08-4C80-A44A-0B77EA3F93F2}" name="שיעור חשיפה צפוי לשנת 2026"/>
    <tableColumn id="6" xr3:uid="{79CE5A26-B8E9-4D9B-B4FD-096473C0523F}" name="טווח סטיה מותר" dataDxfId="240"/>
    <tableColumn id="7" xr3:uid="{7E09EBE5-4BFE-4AE7-A165-DCF09A70B034}" name="גבולות שיעור החשיפה הצפויה"/>
    <tableColumn id="8" xr3:uid="{918BE8DB-6558-4E38-AF30-4E6C4193BD83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D822ABA-33F7-475D-9AC8-9732789017F2}" name="TitleRegion1.b236.i243.26" displayName="TitleRegion1.b236.i243.26" ref="B237:I244" totalsRowShown="0" headerRowDxfId="239" headerRowBorderDxfId="238" tableBorderDxfId="237">
  <autoFilter ref="B237:I244" xr:uid="{0D822ABA-33F7-475D-9AC8-9732789017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567789-C621-4594-AC9F-10EF0092E33C}" name="אפיק השקעה "/>
    <tableColumn id="2" xr3:uid="{9661A515-8A58-44A8-A502-92E654DE5D95}" name="תגמולים שיעור החשיפה ליום 31/12/2025 "/>
    <tableColumn id="3" xr3:uid="{B55D72D3-41C8-4A6E-ADAE-907B8BC8EEF7}" name="השתלמות שיעור החשיפה ליום 31/12/2025"/>
    <tableColumn id="4" xr3:uid="{39E59EE2-A87F-48EF-91CC-A1EBFF6CF7A4}" name=" השקעה שיעור החשיפה ליום 31/12/2025"/>
    <tableColumn id="5" xr3:uid="{AE416F67-DD01-45F3-A154-91333B929D03}" name="שיעור חשיפה צפוי לשנת 2026"/>
    <tableColumn id="6" xr3:uid="{0D101B16-B90B-4C98-8721-7FC643D7F6BB}" name="טווח סטיה מותר" dataDxfId="236"/>
    <tableColumn id="7" xr3:uid="{E6FCF210-3C97-47AA-9439-E92CCA400968}" name="גבולות שיעור החשיפה הצפויה"/>
    <tableColumn id="8" xr3:uid="{316CFDCE-9606-4CEC-933F-0C6717A77592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26:E327" totalsRowShown="0" headerRowDxfId="235" dataDxfId="234">
  <autoFilter ref="A326:E327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233" dataCellStyle="היפר-קישור"/>
    <tableColumn id="2" xr3:uid="{CBF90846-E2F6-4A91-AAB5-F031328D3A8E}" name="תא ריק במקור" dataDxfId="232"/>
    <tableColumn id="3" xr3:uid="{BE5D57AB-6227-434B-9DA4-5955FE1F5EC7}" name="תא ריק במקור2" dataDxfId="231"/>
    <tableColumn id="4" xr3:uid="{CF7BE9ED-9360-4DB8-BCE2-E6D115030C78}" name="תא ריק במקור3" dataDxfId="230"/>
    <tableColumn id="5" xr3:uid="{42DFA518-0A4C-4EDC-87B6-9C3D9414F840}" name="תא ריק במקור4" dataDxfId="229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7A344-180E-416C-9AA4-9A5441E6E890}" name="TitleRegion1.b4.i16.1" displayName="TitleRegion1.b4.i16.1" ref="B4:I16" totalsRowShown="0" headerRowDxfId="56">
  <autoFilter ref="B4:I16" xr:uid="{CF67A344-180E-416C-9AA4-9A5441E6E8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A30D932-0E2D-415D-BE15-08E69BE7D6A3}" name="אפיק השקעה " dataDxfId="60"/>
    <tableColumn id="2" xr3:uid="{64819700-4B71-42FE-B39C-3F4F09154674}" name="ריק במקור" dataDxfId="59"/>
    <tableColumn id="3" xr3:uid="{E917F849-8B1C-4A1A-B342-AF0C9F7ED268}" name="ריק במקור2" dataDxfId="58"/>
    <tableColumn id="4" xr3:uid="{3B1EFE23-4654-44A5-92AF-65D896A18A4F}" name="שיעור החשיפה ליום 31/12/2025"/>
    <tableColumn id="5" xr3:uid="{8F24BA28-6F8C-40DF-925A-6509D531A558}" name="שיעור חשיפה צפוי לשנת 2026"/>
    <tableColumn id="6" xr3:uid="{8B560E99-B74D-4321-8D68-8CA01020E6A2}" name="טווח סטיה מותר" dataDxfId="57"/>
    <tableColumn id="7" xr3:uid="{962A06AA-D321-406C-A75E-06C001A57B75}" name="גבולות שיעור החשיפה הצפויה"/>
    <tableColumn id="8" xr3:uid="{F44EAEC6-023E-4684-B6B3-6B598A8E2A1A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1BA788F-D32C-4E64-824F-D9D224D087D1}" name="TitleRegion1.b19.i31.2" displayName="TitleRegion1.b19.i31.2" ref="B19:I31" totalsRowShown="0" headerRowDxfId="52">
  <autoFilter ref="B19:I31" xr:uid="{A1BA788F-D32C-4E64-824F-D9D224D087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77595B2-E360-438D-A130-422EF22CFAB0}" name="אפיק השקעה "/>
    <tableColumn id="2" xr3:uid="{48EE0BDB-2355-4D0E-A0C6-63AC47C36A2C}" name="ריק במקור" dataDxfId="55"/>
    <tableColumn id="3" xr3:uid="{0F2C1E39-C041-4C4A-8613-482437D20145}" name="ריק במקור2" dataDxfId="54"/>
    <tableColumn id="4" xr3:uid="{79C31DAC-8D83-42D7-8C1C-75F6D5D0EA88}" name="שיעור החשיפה ליום 31/12/2025"/>
    <tableColumn id="5" xr3:uid="{91939962-8CA7-41B6-9C58-F3B803044A99}" name="שיעור חשיפה צפוי לשנת 2026"/>
    <tableColumn id="6" xr3:uid="{81CFB858-E3C9-44E4-93AB-18A149EB83B1}" name="טווח סטיה מותר" dataDxfId="53"/>
    <tableColumn id="7" xr3:uid="{266015A5-2B5A-4616-B235-ABBBCBD2ADF3}" name="גבולות שיעור החשיפה הצפויה"/>
    <tableColumn id="8" xr3:uid="{C3C179F0-0130-41F0-94B8-1D53B89B7BFC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F4D3D18-A877-4242-8EBC-E2ECA18EB48D}" name="TitleRegion1.b34.i46.3" displayName="TitleRegion1.b34.i46.3" ref="B34:I46" totalsRowShown="0">
  <autoFilter ref="B34:I46" xr:uid="{4F4D3D18-A877-4242-8EBC-E2ECA18EB4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108595D-E955-4D7C-A857-EB20F4BB5F76}" name="אפיק השקעה " dataDxfId="51"/>
    <tableColumn id="2" xr3:uid="{DB3F2C9A-CAED-4475-BACF-84709845C55C}" name="ריק במקור" dataDxfId="50"/>
    <tableColumn id="3" xr3:uid="{32C02C63-BD3F-452E-B089-E636CAFC0619}" name="ריק במקור2" dataDxfId="49"/>
    <tableColumn id="4" xr3:uid="{011A77F9-334D-44EE-B871-82E93444B001}" name="שיעור החשיפה ליום 31/12/2025"/>
    <tableColumn id="5" xr3:uid="{8909FC31-6F4D-40FD-9141-D170B915E968}" name="שיעור חשיפה צפוי לשנת 2026"/>
    <tableColumn id="6" xr3:uid="{C9B80B0C-344E-4610-A4F8-BD7E740E491A}" name="טווח סטיה מותר"/>
    <tableColumn id="7" xr3:uid="{C64D9605-6CA9-43EB-8E9C-7DBF01C4F6A3}" name="גבולות שיעור החשיפה הצפויה"/>
    <tableColumn id="8" xr3:uid="{85E02E7E-60F8-4E56-99A0-E1806903E8C4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FA9C475-1B40-4851-956D-3D4ECE7EBE2E}" name="TitleRegion1.b49.i61.4" displayName="TitleRegion1.b49.i61.4" ref="B49:I61" totalsRowShown="0" headerRowDxfId="44">
  <autoFilter ref="B49:I61" xr:uid="{8FA9C475-1B40-4851-956D-3D4ECE7EBE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451DF9C-B635-4E77-B420-03ADCFFA8FA5}" name="אפיק השקעה " dataDxfId="48"/>
    <tableColumn id="2" xr3:uid="{1F1CECC2-C050-4E28-8363-961339E262F2}" name="ריק במקור" dataDxfId="47"/>
    <tableColumn id="3" xr3:uid="{0F9F1FA8-2CDA-4B56-9CA8-3122D27BA84F}" name="ריק במקור2" dataDxfId="46"/>
    <tableColumn id="4" xr3:uid="{A109AD18-3A42-456F-9D88-F318D2D4CAF5}" name="שיעור החשיפה ליום 31/12/2025"/>
    <tableColumn id="5" xr3:uid="{ED67AB14-9042-4D1B-A254-516A6C67A9B9}" name="שיעור חשיפה צפוי לשנת 2026"/>
    <tableColumn id="6" xr3:uid="{31F91EFB-ECFD-404B-BFF0-0C64E1F1F4D3}" name="טווח סטיה מותר" dataDxfId="45"/>
    <tableColumn id="7" xr3:uid="{D526A3F9-A613-487E-91CE-29EAC760F2D4}" name="גבולות שיעור החשיפה הצפויה"/>
    <tableColumn id="8" xr3:uid="{0A4239DD-C9D7-4418-8E07-39C367EE7349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6D1E26-8EF1-4888-AE75-5854E3E0A9E4}" name="TitleRegion1.b64.i76.5" displayName="TitleRegion1.b64.i76.5" ref="B64:I76" totalsRowShown="0" headerRowDxfId="37">
  <autoFilter ref="B64:I76" xr:uid="{3F6D1E26-8EF1-4888-AE75-5854E3E0A9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6C84AEA-0701-4D71-85CE-2CE9A2176780}" name="אפיק השקעה " dataDxfId="43"/>
    <tableColumn id="2" xr3:uid="{A2FFD61A-131E-437A-B143-00FDC54AE0B3}" name="ריק במקור" dataDxfId="42"/>
    <tableColumn id="3" xr3:uid="{8ACDD9F7-FFDE-4C46-92A0-9E4A9B1C3901}" name="ריק במקור2" dataDxfId="41"/>
    <tableColumn id="4" xr3:uid="{10326994-47A6-4C56-A8D0-97FB2D0A2C8A}" name="שיעור החשיפה ליום 31/12/2025" dataDxfId="40"/>
    <tableColumn id="5" xr3:uid="{EC57618A-EF6E-44C2-9379-6C53AF30ADD2}" name="שיעור חשיפה צפוי לשנת 2026" dataDxfId="39"/>
    <tableColumn id="6" xr3:uid="{1E4E42F9-02B9-42D7-8202-65ADBBD53750}" name="טווח סטיה מותר" dataDxfId="38"/>
    <tableColumn id="7" xr3:uid="{A3EDD8BF-3A93-4193-ABB5-18B1B17E8891}" name="גבולות שיעור החשיפה הצפויה"/>
    <tableColumn id="8" xr3:uid="{08941C93-E0BB-499A-A36C-3EE8FDA78DE4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A75163C-443A-4842-8E3E-D3FA8125BE89}" name="TitleRegion1.b98.i110.6" displayName="TitleRegion1.b98.i110.6" ref="B98:I110" totalsRowShown="0" headerRowDxfId="32" headerRowBorderDxfId="35" tableBorderDxfId="36">
  <autoFilter ref="B98:I110" xr:uid="{3A75163C-443A-4842-8E3E-D3FA8125BE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C8B4D7A-488B-47D4-B1B3-0A4607C78184}" name="אפיק השקעה " dataDxfId="34"/>
    <tableColumn id="2" xr3:uid="{2191C8D6-ACAE-41A2-9F6C-35DD28A83A0E}" name="תגמולים שיעור החשיפה ליום 31/12/2025 "/>
    <tableColumn id="3" xr3:uid="{103DAE14-2844-4777-ABB6-ACC179A3F2D8}" name="השתלמות שיעור החשיפה ליום 31/12/2025"/>
    <tableColumn id="4" xr3:uid="{E333911C-2FDF-4A98-A180-2B99CBBB2811}" name=" השקעה שיעור החשיפה ליום 31/12/2025"/>
    <tableColumn id="5" xr3:uid="{26B16D4E-B6B4-4006-8489-3315A14E1BBB}" name="שיעור חשיפה צפוי לשנת 2026"/>
    <tableColumn id="6" xr3:uid="{F918F8F4-3760-4ACA-8B6C-7BD29898D973}" name="טווח סטיה מותר" dataDxfId="33"/>
    <tableColumn id="7" xr3:uid="{ED954466-D242-4C08-AAB4-DEA83203D815}" name="גבולות שיעור החשיפה הצפויה"/>
    <tableColumn id="8" xr3:uid="{8E1B4BB2-2C33-4C88-B5D9-7BBA5FA7BF32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8097F8-007A-4B98-9D8B-A21370396A99}" name="TitleRegion1.b114.i126.7" displayName="TitleRegion1.b114.i126.7" ref="B114:I126" totalsRowShown="0" headerRowDxfId="29">
  <autoFilter ref="B114:I126" xr:uid="{278097F8-007A-4B98-9D8B-A21370396A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C178ED4-E2F9-4FE8-B464-6E6F894B52DD}" name="אפיק השקעה "/>
    <tableColumn id="2" xr3:uid="{74BAE7AD-28E3-4EA8-94A7-BD287CFCC9DB}" name="ריק במקור" dataDxfId="31"/>
    <tableColumn id="3" xr3:uid="{A3CC4EB9-645A-4BFC-91EA-E3EF12EE6A63}" name="השתלמות שיעור החשיפה ליום 31/12/2025 "/>
    <tableColumn id="4" xr3:uid="{014126FA-9D0A-48D0-AFD3-D11A8E9E9046}" name=" השקעה שיעור החשיפה ליום 31/12/2025"/>
    <tableColumn id="5" xr3:uid="{FE0D8173-3BF2-46CC-8775-0D5FD5B4CB94}" name="שיעור חשיפה צפוי לשנת 2026"/>
    <tableColumn id="6" xr3:uid="{EA99C27A-1D3C-4CD3-AAE3-AF686A32E86F}" name="טווח סטיה מותר" dataDxfId="30"/>
    <tableColumn id="7" xr3:uid="{CDF6A23C-077A-4461-8E8D-324031B1A545}" name="גבולות שיעור החשיפה הצפויה"/>
    <tableColumn id="8" xr3:uid="{52B479FA-0B84-496C-9AD0-681D67E75ACF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384402B-6772-4B96-8F9A-C0D21A5023F3}" name="TitleRegion1.b225.i232.8" displayName="TitleRegion1.b225.i232.8" ref="B225:I232" totalsRowShown="0" headerRowDxfId="25" tableBorderDxfId="28">
  <autoFilter ref="B225:I232" xr:uid="{A384402B-6772-4B96-8F9A-C0D21A5023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7290884-6DCC-4D4C-94E9-8B054D3309A5}" name="אפיק השקעה "/>
    <tableColumn id="2" xr3:uid="{374544BE-7F99-43DB-9999-2275AADDFC48}" name="ריק במקור" dataDxfId="27"/>
    <tableColumn id="3" xr3:uid="{03A3D55C-222C-4124-A965-8636FF1C8517}" name="השתלמות שיעור החשיפה ליום 31/12/2025"/>
    <tableColumn id="4" xr3:uid="{D75E57A7-450B-4BDC-AC6B-A6E1AD93EE68}" name=" השקעה שיעור החשיפה ליום 31/12/2025"/>
    <tableColumn id="5" xr3:uid="{C90102C7-37D0-4047-B4FD-69288804CDCD}" name="שיעור חשיפה צפוי לשנת 2026"/>
    <tableColumn id="6" xr3:uid="{6D6F665E-BA9E-4587-83A8-0753A170FC5D}" name="טווח סטיה מותר" dataDxfId="26"/>
    <tableColumn id="7" xr3:uid="{520EE9FC-6645-47CE-8A6A-83D6FCA0EA9B}" name="גבולות שיעור החשיפה הצפויה"/>
    <tableColumn id="8" xr3:uid="{0383C9A2-4345-4FD8-8E55-F1700CADE43E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54CCB5B-7F72-42C2-A0A3-50228AA8F74E}" name="TitleRegion1.b247.i259.9" displayName="TitleRegion1.b247.i259.9" ref="B247:I259" totalsRowShown="0" tableBorderDxfId="24">
  <autoFilter ref="B247:I259" xr:uid="{154CCB5B-7F72-42C2-A0A3-50228AA8F7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4217531-BD43-4040-A1F7-A8F7DAFD0532}" name="אפיק השקעה "/>
    <tableColumn id="2" xr3:uid="{C6C741BE-99A7-48D2-BE1E-F1AAACEEBA7A}" name="ריק במקור"/>
    <tableColumn id="3" xr3:uid="{7D28F3E2-8830-499A-A8E4-4D8261FBD5A2}" name="ריק במקור2"/>
    <tableColumn id="4" xr3:uid="{1C9FA535-E92B-4C50-BAFE-8EB9D7AAC632}" name="שיעור החשיפה ליום 31/12/2025"/>
    <tableColumn id="5" xr3:uid="{4FF63516-6BFA-43B8-A6BC-B365C3052D3D}" name="שיעור חשיפה צפוי לשנת 2026"/>
    <tableColumn id="6" xr3:uid="{9A14C7DE-F112-4A19-AD9D-0653B96273E5}" name="טווח סטיה מותר" dataDxfId="23"/>
    <tableColumn id="7" xr3:uid="{A050A22E-CBF0-428A-BCB1-19DE76294DBF}" name="גבולות שיעור החשיפה הצפויה"/>
    <tableColumn id="8" xr3:uid="{B4FD96F5-050C-43A2-8F5D-4C5CEBCDAE1F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5926FE-412E-4C4F-9112-0D7B6669CFCA}" name="TitleRegion1.b262.i274.10" displayName="TitleRegion1.b262.i274.10" ref="B262:I274" totalsRowShown="0" tableBorderDxfId="22">
  <autoFilter ref="B262:I274" xr:uid="{475926FE-412E-4C4F-9112-0D7B6669CF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75CEFFF-58D9-4E93-B2CF-E19A620C71C7}" name="אפיק השקעה "/>
    <tableColumn id="2" xr3:uid="{465F98E6-2398-4EFA-BEE7-AC971D1B5FE2}" name="ריק במקור"/>
    <tableColumn id="3" xr3:uid="{36291584-8238-4735-859A-7732B49A0CF4}" name="ריק במקור2"/>
    <tableColumn id="4" xr3:uid="{C8955DA8-AF55-4080-81E2-0398DD95A6EE}" name="שיעור החשיפה ליום 31/12/2025"/>
    <tableColumn id="5" xr3:uid="{53BD3101-A69D-4043-BE7D-D5B0A1C6616D}" name="שיעור חשיפה צפוי לשנת 2026" dataDxfId="21"/>
    <tableColumn id="6" xr3:uid="{4EBDE0A2-FC95-499D-B73E-176F10F9A57A}" name="טווח סטיה מותר" dataDxfId="20" dataCellStyle="Percent"/>
    <tableColumn id="7" xr3:uid="{122AD032-F6FC-43D7-B770-11F3F001B881}" name="גבולות שיעור החשיפה הצפויה"/>
    <tableColumn id="8" xr3:uid="{8BA3999F-5D36-4454-9649-55EE6FCC03DE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4C33AAD-397E-46D7-B35C-FA4D44F9A26E}" name="TitleRegion1.b277.i289.11" displayName="TitleRegion1.b277.i289.11" ref="B277:I289" totalsRowShown="0" tableBorderDxfId="19">
  <autoFilter ref="B277:I289" xr:uid="{14C33AAD-397E-46D7-B35C-FA4D44F9A2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0B03ADB-AC97-4925-9D94-BA0864079412}" name="אפיק השקעה " dataDxfId="18"/>
    <tableColumn id="2" xr3:uid="{8E3C7861-FD3D-4735-9D25-20BE2421F997}" name="ריק במקור"/>
    <tableColumn id="3" xr3:uid="{4C3540F5-00DD-4A8B-B755-583068C2A354}" name="ריק במקור2"/>
    <tableColumn id="4" xr3:uid="{81E693CA-B060-48F4-A44A-5F966F5B0880}" name="שיעור החשיפה ליום 31/12/2025"/>
    <tableColumn id="5" xr3:uid="{D3CAB557-4278-4658-BC65-C02A5A112A2C}" name="שיעור חשיפה צפוי לשנת 2026" dataDxfId="17"/>
    <tableColumn id="6" xr3:uid="{B76F70E1-9246-44AC-A566-454AA344F7C1}" name="טווח סטיה מותר" dataDxfId="16" dataCellStyle="Percent"/>
    <tableColumn id="7" xr3:uid="{C2411732-307E-4BB8-92FD-363AA8907E49}" name="גבולות שיעור החשיפה הצפויה"/>
    <tableColumn id="8" xr3:uid="{3110461A-FA0E-431F-8CD3-23753C90AFAC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31E443C-98F8-46A0-91AD-E0EED6034176}" name="TitleRegion1.b292.i299.12" displayName="TitleRegion1.b292.i299.12" ref="B292:I299" totalsRowShown="0" tableBorderDxfId="15">
  <autoFilter ref="B292:I299" xr:uid="{131E443C-98F8-46A0-91AD-E0EED60341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1A593D-41B7-4FF4-8184-E1688242F62D}" name="אפיק השקעה "/>
    <tableColumn id="2" xr3:uid="{4BEDE361-47AA-43DB-8D54-D3D82690662A}" name="ריק במקור" dataDxfId="14"/>
    <tableColumn id="3" xr3:uid="{A6ED8D06-226E-47BD-A4DE-BF1FEB250859}" name="ריק במקור2" dataDxfId="13"/>
    <tableColumn id="4" xr3:uid="{674AA0B5-FA82-4617-A0C9-C61BE0CDFD1B}" name="שיעור החשיפה ליום 31/12/2025"/>
    <tableColumn id="5" xr3:uid="{1844B25A-9BFB-4A8B-945C-49A37CE85D4B}" name="שיעור חשיפה צפוי לשנת 2026"/>
    <tableColumn id="6" xr3:uid="{9FB05CCB-9F84-4CE4-89FA-CCBFDF5271BC}" name="טווח סטיה מותר" dataDxfId="12"/>
    <tableColumn id="7" xr3:uid="{7EBE7CC9-E654-4D81-AF0E-C114206FC9C7}" name="גבולות שיעור החשיפה הצפויה"/>
    <tableColumn id="8" xr3:uid="{0837DCEC-B35C-41D9-B388-EACBD9E18990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9553316-B632-442E-98E7-C15D4B808CEE}" name="TitleRegion1.b302.i309.13" displayName="TitleRegion1.b302.i309.13" ref="B302:I309" totalsRowShown="0" tableBorderDxfId="11">
  <autoFilter ref="B302:I309" xr:uid="{A9553316-B632-442E-98E7-C15D4B808C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0EF4B5B-1F61-49CF-915D-47C142BB502D}" name="אפיק השקעה "/>
    <tableColumn id="2" xr3:uid="{C2830DC0-6DD7-4AF2-981E-4DEFE4359A9A}" name="ריק במקור" dataDxfId="10"/>
    <tableColumn id="3" xr3:uid="{73976F1E-1F12-4914-9F20-AC0BC6729071}" name="ריק במקור2" dataDxfId="9"/>
    <tableColumn id="4" xr3:uid="{C3F0AF8F-3BDD-4501-9DA4-B66AB6E26A29}" name="שיעור החשיפה ליום 31/12/2025"/>
    <tableColumn id="5" xr3:uid="{F3C4AA63-68C1-4113-B8DC-6B4B28F0DFBD}" name="שיעור חשיפה צפוי לשנת 2026"/>
    <tableColumn id="6" xr3:uid="{1D272A55-FED3-44E7-9BBB-B1143784FD17}" name="טווח סטיה מותר" dataDxfId="8"/>
    <tableColumn id="7" xr3:uid="{4FC4C1E7-C252-40AC-BD1E-635A1D638766}" name="גבולות שיעור החשיפה הצפויה"/>
    <tableColumn id="8" xr3:uid="{824AE0CC-DB82-48B8-9D01-418775CA5595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3756095-8423-4401-AFE0-F4FB83E3EFC8}" name="TitleRegion1.b314.i324.14" displayName="TitleRegion1.b314.i324.14" ref="B314:I324" totalsRowShown="0" tableBorderDxfId="7">
  <autoFilter ref="B314:I324" xr:uid="{A3756095-8423-4401-AFE0-F4FB83E3EF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6F29170-2429-4EF5-AB59-0A47093B7C19}" name="אפיק השקעה " dataDxfId="6"/>
    <tableColumn id="2" xr3:uid="{184994E2-A028-4291-B9EC-1F74DF60EEBF}" name="ריק במקור" dataDxfId="5"/>
    <tableColumn id="3" xr3:uid="{4A43EDFD-9791-492E-A112-648AA3AFB7B5}" name="ריק במקור2" dataDxfId="4"/>
    <tableColumn id="4" xr3:uid="{FB714F03-2554-4252-8CF1-01759E7DA2CE}" name="שיעור החשיפה ליום 31/12/2025" dataDxfId="3"/>
    <tableColumn id="5" xr3:uid="{A0D5EF0A-E366-4132-A1D6-E9D46FA1C8A7}" name="שיעור חשיפה צפוי לשנת 2026" dataDxfId="2"/>
    <tableColumn id="6" xr3:uid="{4CEF458F-C126-4A7F-A57A-C561B7994466}" name="טווח סטיה מותר" dataDxfId="1"/>
    <tableColumn id="7" xr3:uid="{A1D4828E-BC48-48E5-BFA8-AA5A64ECB549}" name="גבולות שיעור החשיפה הצפויה" dataDxfId="0"/>
    <tableColumn id="8" xr3:uid="{79CB0EF3-C42C-40CB-B027-87A61FB5BB47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51E8A70-E360-402C-8121-A5CB06ACD853}" name="TitleRegion1.i3.n14.33" displayName="TitleRegion1.i3.n14.33" ref="I4:N15" totalsRowShown="0" headerRowDxfId="228" headerRowBorderDxfId="227" tableBorderDxfId="226">
  <autoFilter ref="I4:N15" xr:uid="{551E8A70-E360-402C-8121-A5CB06ACD8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619010-B1B2-4721-AD6D-F259DC75C5F7}" name="אפיק השקעה " dataDxfId="225"/>
    <tableColumn id="2" xr3:uid="{4AF90B64-C51C-425F-AFFA-E5796BFC6E09}" name="שיעור החשיפה ליום 31/12/2025"/>
    <tableColumn id="3" xr3:uid="{CFC0E90F-DDE7-44A1-B1BD-BE1B077C930D}" name="שיעור חשיפה צפוי לשנת 2026"/>
    <tableColumn id="4" xr3:uid="{A0030480-5204-4556-A8C0-E21C015CFB2A}" name="טווח סטיה מותר" dataDxfId="224"/>
    <tableColumn id="5" xr3:uid="{8357BCCA-F8C1-4BED-A780-405B6AFA52F8}" name="גבולות שיעור החשיפה הצפויה"/>
    <tableColumn id="6" xr3:uid="{448A1700-519C-4C44-BE62-BCB57DEABD3F}" name="מדד ייחוס*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E01127-25AA-4119-9E4A-D4C04EC0ECE3}" name="TitleRegion1.b17.g28.34" displayName="TitleRegion1.b17.g28.34" ref="B18:G29" totalsRowShown="0" headerRowDxfId="223" headerRowBorderDxfId="222" tableBorderDxfId="221">
  <autoFilter ref="B18:G29" xr:uid="{84E01127-25AA-4119-9E4A-D4C04EC0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23FFE-4FD1-4E83-AC86-00A6C57DDED5}" name="אפיק השקעה " dataDxfId="220"/>
    <tableColumn id="2" xr3:uid="{397771C6-A8E0-45BE-8ACC-50B4BB3D4DF2}" name="שיעור החשיפה ליום 31/12/2025"/>
    <tableColumn id="3" xr3:uid="{4AF1A5E3-476D-46E0-A7CF-F884A2251050}" name="שיעור חשיפה צפוי לשנת 2026"/>
    <tableColumn id="4" xr3:uid="{C6AE1EFF-BC40-4165-B7ED-890F8D5D5837}" name="טווח סטייה" dataDxfId="219"/>
    <tableColumn id="5" xr3:uid="{57424BD6-B556-430B-ABC3-42CE6F6133C4}" name="גבולות שיעור החשיפה הצפויה"/>
    <tableColumn id="6" xr3:uid="{BF946E56-0AD2-423D-8F91-F495B51AA0EB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8FF9374-AF2C-4AF8-AF11-8725846182CA}" name="TitleRegion1.i17.n28.35" displayName="TitleRegion1.i17.n28.35" ref="I18:N29" totalsRowShown="0" headerRowDxfId="218" headerRowBorderDxfId="217" tableBorderDxfId="216">
  <autoFilter ref="I18:N29" xr:uid="{88FF9374-AF2C-4AF8-AF11-8725846182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8902D3-0BAB-4B72-B3CA-AB803C6FD6FB}" name="אפיק השקעה " dataDxfId="215"/>
    <tableColumn id="2" xr3:uid="{137BB304-E2FC-4A22-BD2A-0489BB7C27B9}" name="שיעור החשיפה ליום 31/12/2025"/>
    <tableColumn id="3" xr3:uid="{840A5C6C-4086-4201-BDBF-07BE15E5354C}" name="שיעור חשיפה צפוי לשנת 2026"/>
    <tableColumn id="4" xr3:uid="{339394C7-4D13-40E1-8D24-10961D2B343B}" name="טווח סטייה" dataDxfId="214"/>
    <tableColumn id="5" xr3:uid="{DE1022E7-BC2E-4947-9F15-09009B238A9B}" name="גבולות שיעור החשיפה הצפויה"/>
    <tableColumn id="6" xr3:uid="{9FD41D83-E97F-4146-946C-C9ECDC015847}" name="מדד ייחוס*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DE14176-B645-4C28-93EE-0355FBBB2914}" name="TitleRegion1.b31.g42.36" displayName="TitleRegion1.b31.g42.36" ref="B32:G43" totalsRowShown="0" headerRowDxfId="213" headerRowBorderDxfId="212" tableBorderDxfId="211">
  <autoFilter ref="B32:G43" xr:uid="{2DE14176-B645-4C28-93EE-0355FBBB2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BC7448-B2A5-4C7F-985B-C1D86F3074F5}" name="אפיק השקעה " dataDxfId="210"/>
    <tableColumn id="2" xr3:uid="{5F30B42B-F3B0-4B1C-892F-655002EF0BBC}" name="שיעור החשיפה ליום 31/12/2025"/>
    <tableColumn id="3" xr3:uid="{E0E24ECA-E557-44C7-BC82-501DA70B2384}" name="שיעור חשיפה צפוי לשנת 2026"/>
    <tableColumn id="4" xr3:uid="{690F84EE-3C39-4F42-AF69-1D84BCF2B5E3}" name="טווח סטייה" dataDxfId="209"/>
    <tableColumn id="5" xr3:uid="{E4A218E3-D06A-4FC7-90A8-1653693B5941}" name="גבולות שיעור החשיפה הצפויה"/>
    <tableColumn id="6" xr3:uid="{DC0F128D-08B0-453D-A10E-5B647DADA8CE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702E086-0DCF-47B0-8E04-0A8F03CECB50}" name="TitleRegion1.i31.n42.37" displayName="TitleRegion1.i31.n42.37" ref="I32:N43" totalsRowShown="0" headerRowDxfId="208" headerRowBorderDxfId="207" tableBorderDxfId="206">
  <autoFilter ref="I32:N43" xr:uid="{6702E086-0DCF-47B0-8E04-0A8F03CECB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82506A-1EC1-4B49-8920-F0132EFDEEDD}" name="אפיק השקעה " dataDxfId="205"/>
    <tableColumn id="2" xr3:uid="{F0F0FC46-163F-497E-A3E2-EDFF28CB4EC2}" name="שיעור החשיפה ליום 31/12/2025"/>
    <tableColumn id="3" xr3:uid="{B789F0FC-5889-4F5D-8F5A-37B934CF863B}" name="שיעור חשיפה צפוי לשנת 2026"/>
    <tableColumn id="4" xr3:uid="{3B051CB9-F5AF-4974-874D-4FCF3253D0DB}" name="טווח סטייה" dataDxfId="204"/>
    <tableColumn id="5" xr3:uid="{33EF9B87-D3AF-4F4B-B318-8427B7A41627}" name="גבולות שיעור החשיפה הצפויה"/>
    <tableColumn id="6" xr3:uid="{D0BCC355-969F-4C25-BF6D-6A91F368E7C9}" name="מדד ייחוס*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C97C03C-52A1-4D22-B025-0AE74B04949E}" name="TitleRegion1.b45.g56.38" displayName="TitleRegion1.b45.g56.38" ref="B46:G57" totalsRowShown="0" headerRowDxfId="203" headerRowBorderDxfId="202" tableBorderDxfId="201">
  <autoFilter ref="B46:G57" xr:uid="{FC97C03C-52A1-4D22-B025-0AE74B0494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1CD741-C424-43B9-A679-B1459FDAD0E9}" name="אפיק השקעה " dataDxfId="200"/>
    <tableColumn id="2" xr3:uid="{037CF4CD-6273-4818-95ED-01825E526753}" name="שיעור החשיפה ליום 31/12/2025"/>
    <tableColumn id="3" xr3:uid="{DEDEF1AC-9166-4941-9DA7-B31706C48E99}" name="שיעור חשיפה צפוי לשנת 2026"/>
    <tableColumn id="4" xr3:uid="{81E3A1E8-886B-4E52-A155-45A9242E4311}" name="טווח סטייה" dataDxfId="199"/>
    <tableColumn id="5" xr3:uid="{62FA841D-04AF-41FF-A318-555AF0E33F90}" name="גבולות שיעור החשיפה הצפויה"/>
    <tableColumn id="6" xr3:uid="{B4104C1F-BA20-45C2-B1F1-8D05120BA0E2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BE43A8C-6610-4132-871E-A7BED98D31D8}" name="TitleRegion1.i45.n56.39" displayName="TitleRegion1.i45.n56.39" ref="I46:N57" totalsRowShown="0" headerRowDxfId="198" headerRowBorderDxfId="197" tableBorderDxfId="196">
  <autoFilter ref="I46:N57" xr:uid="{8BE43A8C-6610-4132-871E-A7BED98D31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DB8A9C-4F70-4D77-AAF6-1981E5CF5660}" name="אפיק השקעה " dataDxfId="195"/>
    <tableColumn id="2" xr3:uid="{B73E89DD-3D96-49AB-90B5-8CAC1229AA2F}" name="שיעור החשיפה ליום 31/12/2025"/>
    <tableColumn id="3" xr3:uid="{812BCE1D-0667-4695-8B23-EF57F9684D75}" name="שיעור חשיפה צפוי לשנת 2026"/>
    <tableColumn id="4" xr3:uid="{60614762-3939-470F-B522-E31BD02D7F10}" name="טווח סטייה" dataDxfId="194"/>
    <tableColumn id="5" xr3:uid="{DB562BBB-39B2-4C84-94F7-9BFDF56E848B}" name="גבולות שיעור החשיפה הצפויה"/>
    <tableColumn id="6" xr3:uid="{9CC6A82D-28C8-4AF0-A06B-CB549485D170}" name="מדד ייחוס*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617213E-96CA-47F4-A5E4-5DE5B77D4951}" name="TitleRegion1.b59.g70.40" displayName="TitleRegion1.b59.g70.40" ref="B60:G71" totalsRowShown="0" headerRowDxfId="193" headerRowBorderDxfId="192" tableBorderDxfId="191">
  <autoFilter ref="B60:G71" xr:uid="{B617213E-96CA-47F4-A5E4-5DE5B77D4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3627F7-6DF9-4BEB-8250-09EB26D128B2}" name="אפיק השקעה " dataDxfId="190"/>
    <tableColumn id="2" xr3:uid="{09E43FE9-9DF4-48B9-BEB6-0F13BB264D90}" name="שיעור החשיפה ליום 31/12/2025"/>
    <tableColumn id="3" xr3:uid="{EF6097B0-05E1-483F-9A75-950DF5018950}" name="שיעור חשיפה צפוי לשנת 2026"/>
    <tableColumn id="4" xr3:uid="{A2FE4A81-4B6E-4869-BDC8-F0F850676306}" name="_x0009_טווח סטייה" dataDxfId="189"/>
    <tableColumn id="5" xr3:uid="{FBF8534E-ADA4-4B9A-A7BD-56E2F199D9E2}" name="גבולות שיעור החשיפה הצפויה"/>
    <tableColumn id="6" xr3:uid="{29B4D1A2-45FA-4C0D-99BE-3A57BD19D92E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FD20EF8-6C71-416C-8320-E83A14B43E77}" name="TitleRegion1.i59.n70.41" displayName="TitleRegion1.i59.n70.41" ref="I60:N71" totalsRowShown="0" headerRowDxfId="188" headerRowBorderDxfId="187" tableBorderDxfId="186">
  <autoFilter ref="I60:N71" xr:uid="{7FD20EF8-6C71-416C-8320-E83A14B43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5B0BBD-F731-4B0F-A29F-975503270D62}" name="אפיק השקעה " dataDxfId="185"/>
    <tableColumn id="2" xr3:uid="{9624AFF5-9C8A-4AA0-9E46-BBDCE0A3073D}" name="שיעור החשיפה ליום 31/12/2025"/>
    <tableColumn id="3" xr3:uid="{DC2F5D86-CA83-4280-ACA7-2B5144091274}" name="שיעור חשיפה צפוי לשנת 2026"/>
    <tableColumn id="4" xr3:uid="{87F41F30-C5CC-4534-8886-4EACF02C104C}" name="_x0009_טווח סטייה" dataDxfId="184"/>
    <tableColumn id="5" xr3:uid="{E3FD3EB2-2CE7-4124-A059-3EE0D311A87C}" name="גבולות שיעור החשיפה הצפויה"/>
    <tableColumn id="6" xr3:uid="{6800A50E-CD14-47E3-BBC9-ABB8DA405A43}" name="מדד ייחוס*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62147A5-49AA-44C8-9303-4838A4825783}" name="TitleRegion1.b73.g84.42" displayName="TitleRegion1.b73.g84.42" ref="B74:G85" totalsRowShown="0" headerRowDxfId="183" headerRowBorderDxfId="182" tableBorderDxfId="181">
  <autoFilter ref="B74:G85" xr:uid="{562147A5-49AA-44C8-9303-4838A4825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84449C-551C-40FD-B107-1D8685AECFF5}" name="אפיק השקעה " dataDxfId="180"/>
    <tableColumn id="2" xr3:uid="{FA3849E3-AF64-4646-AAF9-8EA507AE43FB}" name="שיעור החשיפה ליום 31/12/2025"/>
    <tableColumn id="3" xr3:uid="{D2900CD1-0C3C-4E53-878A-F1A7CDAA833D}" name="שיעור חשיפה צפוי לשנת 2026"/>
    <tableColumn id="4" xr3:uid="{A7D0F667-29EE-4D4A-A691-DA289654450B}" name="_x0009_טווח סטייה" dataDxfId="179"/>
    <tableColumn id="5" xr3:uid="{233D5F24-452E-43B0-818E-809F1CB8FA4D}" name="גבולות שיעור החשיפה הצפויה"/>
    <tableColumn id="6" xr3:uid="{13EF5CEE-9DF1-47BA-BB24-7D7400509BE1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4CC5FD7-9862-4F7D-AC88-A40C0765FE43}" name="TitleRegion1.i73.n84.43" displayName="TitleRegion1.i73.n84.43" ref="I74:N85" totalsRowShown="0" headerRowDxfId="178" headerRowBorderDxfId="177" tableBorderDxfId="176">
  <autoFilter ref="I74:N85" xr:uid="{54CC5FD7-9862-4F7D-AC88-A40C0765FE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B53464-151D-4A8D-A6CE-F83C2A21B2B4}" name="אפיק השקעה " dataDxfId="175"/>
    <tableColumn id="2" xr3:uid="{CEAE6A22-51C5-45F1-9C5C-965E787047ED}" name="שיעור החשיפה ליום 31/12/2025"/>
    <tableColumn id="3" xr3:uid="{B89BC2CA-6C98-44CF-9A08-FF9D268EDE74}" name="שיעור חשיפה צפוי לשנת 2026"/>
    <tableColumn id="4" xr3:uid="{D2C2895C-B441-4544-8BB7-2D134AF2D4F6}" name="_x0009_טווח סטייה" dataDxfId="174"/>
    <tableColumn id="5" xr3:uid="{F76956EB-025D-46A3-80AC-6BCA32DF4785}" name="גבולות שיעור החשיפה הצפויה"/>
    <tableColumn id="6" xr3:uid="{20B0088B-B46B-4924-B76D-37D881810A0D}" name="מדד ייחוס*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DF412282-0876-4FA1-9643-179AEED0443A}" name="TitleRegion1.b87.g95.44" displayName="TitleRegion1.b87.g95.44" ref="B88:G96" totalsRowShown="0" headerRowDxfId="173" headerRowBorderDxfId="172" tableBorderDxfId="171">
  <autoFilter ref="B88:G96" xr:uid="{DF412282-0876-4FA1-9643-179AEED044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A74498-E06B-4EC8-BF0E-E1A7B193F83D}" name="אפיק השקעה "/>
    <tableColumn id="2" xr3:uid="{1A13C245-45E2-49AE-BB10-FCB5E63B43D8}" name="שיעור החשיפה ליום 31/12/2025"/>
    <tableColumn id="3" xr3:uid="{D85B9002-3A43-4CB9-83D1-D98A966D58AD}" name="שיעור חשיפה צפוי לשנת 2026"/>
    <tableColumn id="4" xr3:uid="{70657EC5-770B-47B7-AF9E-977D531B0A6D}" name="_x0009_טווח סטייה" dataDxfId="170"/>
    <tableColumn id="5" xr3:uid="{BAC55EE9-D029-4F85-971D-4ACF0E0661B1}" name="גבולות שיעור החשיפה הצפויה"/>
    <tableColumn id="6" xr3:uid="{7694D963-DFB4-490A-A687-2BF20DE24840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3E9F8BA-3A2A-4234-8B07-C90C66A4FAB6}" name="TitleRegion1.i87.n95.45" displayName="TitleRegion1.i87.n95.45" ref="I88:N96" totalsRowShown="0" headerRowDxfId="169" headerRowBorderDxfId="168" tableBorderDxfId="167">
  <autoFilter ref="I88:N96" xr:uid="{63E9F8BA-3A2A-4234-8B07-C90C66A4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4FB891-979C-4862-82A5-1BB5E2F7A58A}" name="אפיק השקעה " dataDxfId="166"/>
    <tableColumn id="2" xr3:uid="{8D1A118B-90AC-422D-B876-B7D2169D10AA}" name="שיעור החשיפה ליום 31/12/2025"/>
    <tableColumn id="3" xr3:uid="{C3980467-54A0-4BC1-B31C-6CD3330B3574}" name="שיעור חשיפה צפוי לשנת 2026"/>
    <tableColumn id="4" xr3:uid="{BDF0B7EE-2308-4002-999B-DEE38F3F96CE}" name="_x0009_טווח סטייה" dataDxfId="165"/>
    <tableColumn id="5" xr3:uid="{F3E2F404-60D1-442D-9D99-A9E45DD94B60}" name="גבולות שיעור החשיפה הצפויה"/>
    <tableColumn id="6" xr3:uid="{7DB9ACE3-F2DD-40FC-9C84-F1586EDB3617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634CCDB-3693-49F8-95F8-694881C3FB8B}" name="TitleRegion1.b98.g106.46" displayName="TitleRegion1.b98.g106.46" ref="B99:G107" totalsRowShown="0" headerRowDxfId="164" headerRowBorderDxfId="163" tableBorderDxfId="162">
  <autoFilter ref="B99:G107" xr:uid="{D634CCDB-3693-49F8-95F8-694881C3FB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D1A84F-37DF-441E-A84C-32033A137801}" name="אפיק השקעה "/>
    <tableColumn id="2" xr3:uid="{652C159B-4C14-42D7-8EC3-8586138D2717}" name="שיעור החשיפה ליום 31/12/2025"/>
    <tableColumn id="3" xr3:uid="{915BD44C-B9AD-41B6-8BC3-C9F1514DE775}" name="שיעור חשיפה צפוי לשנת 2026"/>
    <tableColumn id="4" xr3:uid="{E21EF1CC-776D-4FD2-AAAE-D67FB50748B6}" name="_x0009_טווח סטייה" dataDxfId="161"/>
    <tableColumn id="5" xr3:uid="{FE96C6CC-1C61-476B-84ED-03EC2761D267}" name="גבולות שיעור החשיפה הצפויה"/>
    <tableColumn id="6" xr3:uid="{D2A7B705-BD5B-4EE7-8659-46320A6DF4E1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CF63039-342E-4726-868A-000EC2006EE9}" name="TitleRegion1.i98.n106.47" displayName="TitleRegion1.i98.n106.47" ref="I99:N107" totalsRowShown="0" headerRowDxfId="160" headerRowBorderDxfId="159" tableBorderDxfId="158">
  <autoFilter ref="I99:N107" xr:uid="{8CF63039-342E-4726-868A-000EC2006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D36B0-3CBD-452D-9A4B-47D88756B6AD}" name="אפיק השקעה " dataDxfId="157"/>
    <tableColumn id="2" xr3:uid="{FADA94B7-1461-4731-972D-B96A4044055F}" name="שיעור החשיפה ליום 31/12/2025"/>
    <tableColumn id="3" xr3:uid="{C925B369-489C-4EC1-B98E-0FED19859503}" name="שיעור חשיפה צפוי לשנת 2026"/>
    <tableColumn id="4" xr3:uid="{93A8C162-9637-43AF-A4D0-1437E0A1F5C0}" name="_x0009_טווח סטייה" dataDxfId="156"/>
    <tableColumn id="5" xr3:uid="{49EC7A08-19A5-4656-B66A-A9D9B9B230CA}" name="גבולות שיעור החשיפה הצפויה"/>
    <tableColumn id="6" xr3:uid="{A4A06F55-51EC-4099-B580-7DE3D4882D15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2297E7-48E2-42CF-8D91-28D31306EA53}" name="TitleRegion1.b109.g117.48" displayName="TitleRegion1.b109.g117.48" ref="B110:G118" totalsRowShown="0" headerRowDxfId="155" headerRowBorderDxfId="154" tableBorderDxfId="153">
  <autoFilter ref="B110:G118" xr:uid="{692297E7-48E2-42CF-8D91-28D31306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CFC5-1637-4A2A-BCDC-3D4339783E53}" name="אפיק השקעה "/>
    <tableColumn id="2" xr3:uid="{AA242393-F7AC-4598-A6DF-59E34B5718B3}" name="שיעור החשיפה ליום 31/12/2025"/>
    <tableColumn id="3" xr3:uid="{6DF3A618-DCAB-4BB9-AE10-BFF806AA75C0}" name="שיעור חשיפה צפוי לשנת 2026"/>
    <tableColumn id="4" xr3:uid="{4D831867-52A9-48AB-84E6-16E63BA76A8A}" name="_x0009_טווח סטייה" dataDxfId="152"/>
    <tableColumn id="5" xr3:uid="{B36B4B82-F33C-46BD-ABFE-303BE19DCB45}" name="גבולות שיעור החשיפה הצפויה"/>
    <tableColumn id="6" xr3:uid="{1AEEA061-63BF-476C-ACBE-B43C687A53FA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BCC926-D87B-40AF-9D89-EF7727132ED9}" name="TitleRegion1.i109.n117.49" displayName="TitleRegion1.i109.n117.49" ref="I110:N118" totalsRowShown="0" headerRowDxfId="151" headerRowBorderDxfId="150" tableBorderDxfId="149">
  <autoFilter ref="I110:N118" xr:uid="{F4BCC926-D87B-40AF-9D89-EF7727132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1844DC-F4DB-4320-8251-C87F88030494}" name="אפיק השקעה " dataDxfId="148"/>
    <tableColumn id="2" xr3:uid="{58A9AF8C-D1AD-4868-8678-0FD0346C63D2}" name="שיעור החשיפה ליום 31/12/2025"/>
    <tableColumn id="3" xr3:uid="{9E6FCF4B-2E94-4AAD-9C6B-88A336022933}" name="שיעור חשיפה צפוי לשנת 2026"/>
    <tableColumn id="4" xr3:uid="{739B00E3-D93A-4931-A803-0E054BA9DF58}" name="_x0009_טווח סטייה" dataDxfId="147"/>
    <tableColumn id="5" xr3:uid="{A4634030-32CA-4B13-8783-9EB763B46B3A}" name="גבולות שיעור החשיפה הצפויה"/>
    <tableColumn id="6" xr3:uid="{19828B0E-2A90-4EF9-BC77-1E51FE19B196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6C23878-0E2B-4497-A133-F41B107242A2}" name="TitleRegion1.b120.g128.50" displayName="TitleRegion1.b120.g128.50" ref="B121:G129" totalsRowShown="0" headerRowDxfId="146" headerRowBorderDxfId="145" tableBorderDxfId="144">
  <autoFilter ref="B121:G129" xr:uid="{C6C23878-0E2B-4497-A133-F41B1072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B5D543-FCA3-4CAE-8694-5CEBD4F34D4A}" name="אפיק השקעה "/>
    <tableColumn id="2" xr3:uid="{08E1B3DB-FFCA-4368-BECF-D28906904EF9}" name="שיעור החשיפה ליום 31/12/2025"/>
    <tableColumn id="3" xr3:uid="{09712979-FB7D-49F9-B7E9-08DEAE9EFFBE}" name="שיעור חשיפה צפוי לשנת 2026"/>
    <tableColumn id="4" xr3:uid="{DD648800-750E-4DE6-BF30-2570F3B3BAF5}" name="_x0009_טווח סטייה" dataDxfId="143"/>
    <tableColumn id="5" xr3:uid="{1339351B-DD5A-4308-82B2-D850AAFAE2C9}" name="גבולות שיעור החשיפה הצפויה"/>
    <tableColumn id="6" xr3:uid="{663DBC65-0304-4BCE-9AA9-F069A210115B}" name="מדד ייחוס*" dataDxfId="142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1A79C36-D960-4A73-80FB-F28E997374AE}" name="TitleRegion1.i120.n128.51" displayName="TitleRegion1.i120.n128.51" ref="I121:N129" totalsRowShown="0" headerRowDxfId="141" headerRowBorderDxfId="140" tableBorderDxfId="139">
  <autoFilter ref="I121:N129" xr:uid="{71A79C36-D960-4A73-80FB-F28E997374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579B35-D416-4DE8-B4D9-0310E5169361}" name="אפיק השקעה " dataDxfId="138"/>
    <tableColumn id="2" xr3:uid="{93046D82-901E-4255-8CEF-C67DD0B0332E}" name="שיעור החשיפה ליום 31/12/2025"/>
    <tableColumn id="3" xr3:uid="{B71E1710-A9F8-4EDA-AE85-E4AFDF1A1B8B}" name="שיעור חשיפה צפוי לשנת 2026"/>
    <tableColumn id="4" xr3:uid="{3ADBAB5F-0761-4F82-8969-6C9FBB8ED03A}" name="_x0009_טווח סטייה" dataDxfId="137"/>
    <tableColumn id="5" xr3:uid="{743CEBDC-D1FA-496C-A1A5-E986580A6A0A}" name="גבולות שיעור החשיפה הצפויה"/>
    <tableColumn id="6" xr3:uid="{787AD9A6-02EB-423D-B65D-E4FA1089A054}" name="מדד ייחוס*" dataDxfId="136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E109284-C751-4AB5-B6CF-2130422A3F19}" name="TitleRegion1.b131.g139.52" displayName="TitleRegion1.b131.g139.52" ref="B132:G140" totalsRowShown="0" headerRowDxfId="135" headerRowBorderDxfId="134" tableBorderDxfId="133">
  <autoFilter ref="B132:G140" xr:uid="{DE109284-C751-4AB5-B6CF-2130422A3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9D50-A48E-4DC0-83DE-7CFBCD6389A7}" name="אפיק השקעה "/>
    <tableColumn id="2" xr3:uid="{F10AD8AB-7A23-4E1C-9EB3-B7522AF84BFC}" name="שיעור החשיפה ליום 31/12/2025"/>
    <tableColumn id="3" xr3:uid="{7A5411D2-54FA-456F-AC59-D8A32A4A1137}" name="שיעור חשיפה צפוי לשנת 2026"/>
    <tableColumn id="4" xr3:uid="{5F58A7FE-7C62-4446-9654-5E6E2D8F1C6F}" name="_x0009_טווח סטייה" dataDxfId="132"/>
    <tableColumn id="5" xr3:uid="{64EFB148-1A3E-4110-8207-09E96545BBB6}" name="גבולות שיעור החשיפה הצפויה"/>
    <tableColumn id="6" xr3:uid="{B7739990-F16A-4190-8DF3-D8AE585358BC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9E08AEE-3918-4261-8A61-E41566B15294}" name="TitleRegion1.i131.n139.53" displayName="TitleRegion1.i131.n139.53" ref="I132:N140" totalsRowShown="0" headerRowDxfId="131" headerRowBorderDxfId="130" tableBorderDxfId="129">
  <autoFilter ref="I132:N140" xr:uid="{79E08AEE-3918-4261-8A61-E41566B15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159DB2-FAF5-430E-B341-D98AC666C6B8}" name="אפיק השקעה " dataDxfId="128"/>
    <tableColumn id="2" xr3:uid="{A8444CE6-3426-4588-8C85-C42F19EC07B1}" name="שיעור החשיפה ליום 31/12/2025"/>
    <tableColumn id="3" xr3:uid="{9CDB0B13-EA70-4386-A74D-E18E45AE0093}" name="שיעור חשיפה צפוי לשנת 2026"/>
    <tableColumn id="4" xr3:uid="{222339AD-7FB3-4CAE-B953-B5EF6C0C5CD4}" name="_x0009_טווח סטייה" dataDxfId="127"/>
    <tableColumn id="5" xr3:uid="{E72C2176-B3A7-4FAF-AEEF-B45CB415287F}" name="גבולות שיעור החשיפה הצפויה"/>
    <tableColumn id="6" xr3:uid="{C9F721E5-32A4-4FDF-9235-B9FCC9A5F055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AA55C7C-BF49-404D-971D-363812FC8AA3}" name="TitleRegion1.b142.g150.54" displayName="TitleRegion1.b142.g150.54" ref="B143:G151" totalsRowShown="0" headerRowDxfId="126" headerRowBorderDxfId="125" tableBorderDxfId="124">
  <autoFilter ref="B143:G151" xr:uid="{0AA55C7C-BF49-404D-971D-363812FC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2FCBE5-E641-49AE-B4D7-66C746550C7E}" name="אפיק השקעה "/>
    <tableColumn id="2" xr3:uid="{4180D8F2-E7B0-46F4-8234-D6781EAAF516}" name="שיעור החשיפה ליום 31/12/2025"/>
    <tableColumn id="3" xr3:uid="{D1FE2609-A3C4-4E7E-B827-614C39183BB5}" name="שיעור חשיפה צפוי לשנת 2026"/>
    <tableColumn id="4" xr3:uid="{454FE87D-8410-4070-A914-F1386617BB8C}" name="_x0009_טווח סטייה" dataDxfId="123"/>
    <tableColumn id="5" xr3:uid="{4787C422-B79F-4A04-A787-959BE808FC82}" name="גבולות שיעור החשיפה הצפויה"/>
    <tableColumn id="6" xr3:uid="{EED48DF5-FA21-4843-A85A-839EC4C7AFA5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02E22B5-85D7-42C1-A979-0C3204271DDE}" name="TitleRegion1.i142.n150.55" displayName="TitleRegion1.i142.n150.55" ref="I143:N151" totalsRowShown="0" headerRowDxfId="122" headerRowBorderDxfId="121" tableBorderDxfId="120">
  <autoFilter ref="I143:N151" xr:uid="{802E22B5-85D7-42C1-A979-0C3204271D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8538-51DC-43A5-A02E-D517900A5F1A}" name="אפיק השקעה "/>
    <tableColumn id="2" xr3:uid="{2A67BF2C-2CDD-41F9-A81E-FC1CC385BE36}" name="שיעור החשיפה ליום 31/12/2025"/>
    <tableColumn id="3" xr3:uid="{F46670BA-AA45-41A8-A8BF-3CA77937DAF7}" name="שיעור חשיפה צפוי לשנת 2026"/>
    <tableColumn id="4" xr3:uid="{A17B4EF6-CA54-4263-AEB0-FDEAF3F5ACDA}" name="_x0009_טווח סטייה"/>
    <tableColumn id="5" xr3:uid="{59343995-E12D-45ED-B21D-AA952B886AC7}" name="גבולות שיעור החשיפה הצפויה"/>
    <tableColumn id="6" xr3:uid="{71CC8F8A-1E89-4DCB-8976-F699DA5D0EC9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5A0625E-B603-4E76-BF98-C00CD69E4C57}" name="TitleRegion1.i153.n161.57" displayName="TitleRegion1.i153.n161.57" ref="I154:N162" totalsRowShown="0" headerRowDxfId="119" headerRowBorderDxfId="118" tableBorderDxfId="117">
  <autoFilter ref="I154:N162" xr:uid="{35A0625E-B603-4E76-BF98-C00CD69E4C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176701-8772-4AE2-84BF-94159A6CB843}" name="אפיק השקעה " dataDxfId="116"/>
    <tableColumn id="2" xr3:uid="{84054CC9-7C25-4CF8-BBB3-436ECF059A22}" name="שיעור החשיפה ליום 31/12/2025"/>
    <tableColumn id="3" xr3:uid="{BE8158F5-B32B-4016-8BAB-11355C498B75}" name="שיעור חשיפה צפוי לשנת 2026"/>
    <tableColumn id="4" xr3:uid="{7095CA82-63B4-49DA-8298-A4BE4D5BF658}" name="_x0009_טווח סטייה" dataDxfId="115"/>
    <tableColumn id="5" xr3:uid="{D3A1E67C-3B4E-4F9E-B4C6-D758ACB71A2D}" name="גבולות שיעור החשיפה הצפויה"/>
    <tableColumn id="6" xr3:uid="{4D6D1F5F-6CAB-4EE3-9AF0-CA720EEC4D81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0D0CB46-8111-4DE3-99ED-261D88684310}" name="TitleRegion1.b164.g175.58" displayName="TitleRegion1.b164.g175.58" ref="B165:G176" totalsRowShown="0" headerRowDxfId="114" headerRowBorderDxfId="113" tableBorderDxfId="112" totalsRowBorderDxfId="111">
  <autoFilter ref="B165:G176" xr:uid="{C0D0CB46-8111-4DE3-99ED-261D88684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9796EF-9B05-453C-A7C3-78B175B73427}" name="אפיק השקעה " dataDxfId="110"/>
    <tableColumn id="2" xr3:uid="{B4627521-E489-4019-8185-F63363F0CF09}" name="שיעור החשיפה ליום 31/12/2025" dataDxfId="109"/>
    <tableColumn id="3" xr3:uid="{2B9FF3A1-7ABE-43ED-A18E-9979B286747C}" name="שיעור חשיפה צפוי לשנת 2026" dataDxfId="108"/>
    <tableColumn id="4" xr3:uid="{AC239917-97CE-4854-8165-1BF695035943}" name="טווח סטיה מותר" dataDxfId="107"/>
    <tableColumn id="5" xr3:uid="{98A3F9E3-0C49-40AA-908C-101478207541}" name="גבולות שיעור החשיפה הצפויה"/>
    <tableColumn id="6" xr3:uid="{28AFD05B-BA6C-4A33-BD81-AE53486CD0DE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63FBF4C-7C6E-4673-A08A-9FC9B143F219}" name="TitleRegion1.i164.n175.59" displayName="TitleRegion1.i164.n175.59" ref="I165:N176" totalsRowShown="0" headerRowDxfId="106" headerRowBorderDxfId="105" tableBorderDxfId="104" totalsRowBorderDxfId="103">
  <autoFilter ref="I165:N176" xr:uid="{A63FBF4C-7C6E-4673-A08A-9FC9B143F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59F937-93D8-4B89-A33D-527910B5C171}" name="אפיק השקעה " dataDxfId="102"/>
    <tableColumn id="2" xr3:uid="{6AF2A5DB-E06B-4C46-9523-05B590A4FD6C}" name="שיעור החשיפה ליום 31/12/2025" dataDxfId="101"/>
    <tableColumn id="3" xr3:uid="{644F59B8-E1C2-467A-A52F-0762F99C20CD}" name="שיעור חשיפה צפוי לשנת 2026" dataDxfId="100"/>
    <tableColumn id="4" xr3:uid="{942882A3-26E4-4882-AB61-65C762601C8E}" name="טווח סטיה מותר" dataDxfId="99"/>
    <tableColumn id="5" xr3:uid="{7D94C36B-8DDF-472D-9121-96C6C259BEE0}" name="גבולות שיעור החשיפה הצפויה"/>
    <tableColumn id="6" xr3:uid="{4404DBE1-8D40-487B-8CC0-0BE2705C514B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08CD597-BA2A-45CB-B612-034D56554052}" name="TitleRegion1.i178.n186.61" displayName="TitleRegion1.i178.n186.61" ref="I179:N187" totalsRowShown="0" headerRowDxfId="98" headerRowBorderDxfId="97" tableBorderDxfId="96" totalsRowBorderDxfId="95">
  <autoFilter ref="I179:N187" xr:uid="{708CD597-BA2A-45CB-B612-034D56554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115731-49D5-45C0-AB62-A0C19DDB5775}" name="אפיק השקעה " dataDxfId="94"/>
    <tableColumn id="2" xr3:uid="{47F3D90D-348C-4F33-95CC-EB89E027B9C7}" name="שיעור החשיפה ליום 31/12/2025" dataDxfId="93"/>
    <tableColumn id="3" xr3:uid="{E251B1A9-513F-4AA6-8C71-49DDA1EF3CBF}" name="שיעור חשיפה צפוי לשנת 2026" dataDxfId="92"/>
    <tableColumn id="4" xr3:uid="{E240F933-B4EE-4CE8-92C2-33DEA13D244B}" name="טווח סטיה מותר" dataDxfId="91"/>
    <tableColumn id="5" xr3:uid="{8A2F6CE4-CC0E-42CB-A50C-D6977B929F51}" name="גבולות שיעור החשיפה הצפויה" dataDxfId="90"/>
    <tableColumn id="6" xr3:uid="{0430E9AC-7E0A-40D3-997A-41F5B09D758D}" name="מדד ייחוס*" dataDxfId="89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0B071-F41E-4DCC-BD2B-70624C03FD85}" name="TitleRegion1.b4.g15.1" displayName="TitleRegion1.b4.g15.1" ref="B4:G15" totalsRowShown="0" headerRowDxfId="88" headerRowBorderDxfId="87" tableBorderDxfId="86">
  <autoFilter ref="B4:G15" xr:uid="{2910B071-F41E-4DCC-BD2B-70624C03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8E774-D2BF-4F7F-A83D-D0D87554A685}" name="אפיק השקעה " dataDxfId="85"/>
    <tableColumn id="2" xr3:uid="{5B1D5936-FBF5-4BBC-858C-ADDFCD47A1CB}" name="שיעור החשיפה ליום 31/12/2025"/>
    <tableColumn id="3" xr3:uid="{0568B06C-1CB5-4F38-BC99-94829673486F}" name="שיעור חשיפה צפוי לשנת 2026"/>
    <tableColumn id="4" xr3:uid="{B7F61C8C-4DA6-40DE-9F44-976EE25F4EFB}" name="טווח סטיה מותר" dataDxfId="84"/>
    <tableColumn id="5" xr3:uid="{D0CA35F3-7EF9-44D7-BF72-FB80DEE7570C}" name="גבולות שיעור החשיפה הצפויה"/>
    <tableColumn id="6" xr3:uid="{5FE14371-DF6C-43DE-BC10-DCF6A1963BB2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D3B414-3E32-46CD-8576-BD2B913B1F33}" name="TitleRegion1.b154.g162.2" displayName="TitleRegion1.b154.g162.2" ref="B154:G162" totalsRowShown="0" headerRowDxfId="83" headerRowBorderDxfId="82" tableBorderDxfId="81">
  <autoFilter ref="B154:G162" xr:uid="{E6D3B414-3E32-46CD-8576-BD2B913B1F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86FDF56-2AC4-48D6-B82B-66002B2C0EC9}" name="אפיק השקעה "/>
    <tableColumn id="2" xr3:uid="{57770EB3-F4EF-4E1D-B7D1-084B10A03B9C}" name="שיעור החשיפה ליום 31/12/2025"/>
    <tableColumn id="3" xr3:uid="{54C0C677-D920-4BA2-89F2-53683F6BCB41}" name="שיעור חשיפה צפוי לשנת 2026"/>
    <tableColumn id="4" xr3:uid="{244EAD2C-C998-4FB4-828A-113B865994D7}" name="_x0009_טווח סטייה" dataDxfId="80"/>
    <tableColumn id="5" xr3:uid="{468EE5EE-3C9F-4C33-9917-B491B5263589}" name="גבולות שיעור החשיפה הצפויה"/>
    <tableColumn id="6" xr3:uid="{6699343C-ACD6-42C1-9F83-2DE22AE82ECF}" name="מדד ייחוס*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189E00-FB3E-4615-BE34-00BAB8CFED16}" name="TitleRegion1.b179.g187.3" displayName="TitleRegion1.b179.g187.3" ref="B179:G187" totalsRowShown="0" headerRowDxfId="79" tableBorderDxfId="78">
  <autoFilter ref="B179:G187" xr:uid="{BF189E00-FB3E-4615-BE34-00BAB8CFED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DD589C-36A6-4354-B304-1DC12960BF49}" name="אפיק השקעה "/>
    <tableColumn id="2" xr3:uid="{D75C03F9-6128-4B37-9CC7-C801F9997070}" name="שיעור החשיפה ליום 31/12/2025"/>
    <tableColumn id="3" xr3:uid="{DA0D1257-5DF8-4170-BDD7-17DA9A2598DD}" name="שיעור חשיפה צפוי לשנת 2026"/>
    <tableColumn id="4" xr3:uid="{45221E9C-B452-4524-A7FA-3597A8B37EE5}" name="טווח סטיה מותר" dataDxfId="77"/>
    <tableColumn id="5" xr3:uid="{04A7FC96-DB0A-4527-96B1-7F2383748ABD}" name="גבולות שיעור החשיפה הצפויה"/>
    <tableColumn id="6" xr3:uid="{4BE62E62-C927-4709-A25C-8A7204B1737A}" name="מדד ייחוס*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7EB4F0-A292-4888-9725-EF5E2DD9C529}" name="TitleRegion1.b164.g175.5814" displayName="TitleRegion1.b164.g175.5814" ref="B190:G201" totalsRowShown="0" headerRowDxfId="76" headerRowBorderDxfId="75" tableBorderDxfId="74" totalsRowBorderDxfId="73">
  <autoFilter ref="B190:G201" xr:uid="{1C7EB4F0-A292-4888-9725-EF5E2DD9C529}"/>
  <tableColumns count="6">
    <tableColumn id="1" xr3:uid="{8FBD8197-FE87-4784-939C-1B4F1E880157}" name="אפיק השקעה " dataDxfId="72"/>
    <tableColumn id="2" xr3:uid="{5353B4F3-CF5C-4176-AB76-F35BD9AED12A}" name="שיעור החשיפה ליום 31/12/2025" dataDxfId="71"/>
    <tableColumn id="3" xr3:uid="{BF61A437-D382-4839-9CC2-56990335A8BD}" name="שיעור חשיפה צפוי לשנת 2026" dataDxfId="70"/>
    <tableColumn id="4" xr3:uid="{28D5E387-CF42-4DF2-8213-B77A57E0D245}" name="טווח סטיה מותר" dataDxfId="69"/>
    <tableColumn id="5" xr3:uid="{60ACFDAD-52D8-46E7-94DF-5788D16BD7B7}" name="גבולות שיעור החשיפה הצפויה"/>
    <tableColumn id="6" xr3:uid="{16E707F8-FFFB-4211-9D20-5A0D6696B17B}" name="מדד ייחוס*"/>
  </tableColumns>
  <tableStyleInfo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9FC650F-984F-4FB6-B735-962546466D9B}" name="TitleRegion1.b164.g175.5815" displayName="TitleRegion1.b164.g175.5815" ref="I190:N201" totalsRowShown="0" headerRowDxfId="68" headerRowBorderDxfId="67" tableBorderDxfId="66" totalsRowBorderDxfId="65">
  <autoFilter ref="I190:N201" xr:uid="{C9FC650F-984F-4FB6-B735-962546466D9B}"/>
  <tableColumns count="6">
    <tableColumn id="1" xr3:uid="{59CB8A5D-1015-4ECF-AEF5-A9F2C4EDB13B}" name="אפיק השקעה " dataDxfId="64"/>
    <tableColumn id="2" xr3:uid="{499BC9BB-D64C-4B00-A578-B0A3F96FCAD6}" name="שיעור החשיפה ליום 31/12/2025" dataDxfId="63"/>
    <tableColumn id="3" xr3:uid="{6BF65D2A-648A-4CD7-BCDF-E1816878D9AB}" name="שיעור חשיפה צפוי לשנת 2026" dataDxfId="62"/>
    <tableColumn id="4" xr3:uid="{979719AA-D09F-42E7-AC59-D906E39C0F5B}" name="טווח סטיה מותר" dataDxfId="61"/>
    <tableColumn id="5" xr3:uid="{7B50EF99-1A60-4E15-9EDB-1B8A5071C7A0}" name="גבולות שיעור החשיפה הצפויה"/>
    <tableColumn id="6" xr3:uid="{6EF6D52D-890D-441A-9E8B-00E3C0AA5021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5.xml"/><Relationship Id="rId18" Type="http://schemas.openxmlformats.org/officeDocument/2006/relationships/table" Target="../tables/table40.xml"/><Relationship Id="rId26" Type="http://schemas.openxmlformats.org/officeDocument/2006/relationships/table" Target="../tables/table48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43.xml"/><Relationship Id="rId34" Type="http://schemas.openxmlformats.org/officeDocument/2006/relationships/table" Target="../tables/table56.xml"/><Relationship Id="rId7" Type="http://schemas.openxmlformats.org/officeDocument/2006/relationships/table" Target="../tables/table29.xml"/><Relationship Id="rId12" Type="http://schemas.openxmlformats.org/officeDocument/2006/relationships/table" Target="../tables/table34.xml"/><Relationship Id="rId17" Type="http://schemas.openxmlformats.org/officeDocument/2006/relationships/table" Target="../tables/table39.xml"/><Relationship Id="rId25" Type="http://schemas.openxmlformats.org/officeDocument/2006/relationships/table" Target="../tables/table47.xml"/><Relationship Id="rId33" Type="http://schemas.openxmlformats.org/officeDocument/2006/relationships/table" Target="../tables/table55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38.xml"/><Relationship Id="rId20" Type="http://schemas.openxmlformats.org/officeDocument/2006/relationships/table" Target="../tables/table42.xml"/><Relationship Id="rId29" Type="http://schemas.openxmlformats.org/officeDocument/2006/relationships/table" Target="../tables/table51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28.xml"/><Relationship Id="rId11" Type="http://schemas.openxmlformats.org/officeDocument/2006/relationships/table" Target="../tables/table33.xml"/><Relationship Id="rId24" Type="http://schemas.openxmlformats.org/officeDocument/2006/relationships/table" Target="../tables/table46.xml"/><Relationship Id="rId32" Type="http://schemas.openxmlformats.org/officeDocument/2006/relationships/table" Target="../tables/table54.xml"/><Relationship Id="rId5" Type="http://schemas.openxmlformats.org/officeDocument/2006/relationships/table" Target="../tables/table27.xml"/><Relationship Id="rId15" Type="http://schemas.openxmlformats.org/officeDocument/2006/relationships/table" Target="../tables/table37.xml"/><Relationship Id="rId23" Type="http://schemas.openxmlformats.org/officeDocument/2006/relationships/table" Target="../tables/table45.xml"/><Relationship Id="rId28" Type="http://schemas.openxmlformats.org/officeDocument/2006/relationships/table" Target="../tables/table50.xml"/><Relationship Id="rId36" Type="http://schemas.openxmlformats.org/officeDocument/2006/relationships/table" Target="../tables/table58.xml"/><Relationship Id="rId10" Type="http://schemas.openxmlformats.org/officeDocument/2006/relationships/table" Target="../tables/table32.xml"/><Relationship Id="rId19" Type="http://schemas.openxmlformats.org/officeDocument/2006/relationships/table" Target="../tables/table41.xml"/><Relationship Id="rId31" Type="http://schemas.openxmlformats.org/officeDocument/2006/relationships/table" Target="../tables/table53.xml"/><Relationship Id="rId4" Type="http://schemas.openxmlformats.org/officeDocument/2006/relationships/drawing" Target="../drawings/drawing2.xml"/><Relationship Id="rId9" Type="http://schemas.openxmlformats.org/officeDocument/2006/relationships/table" Target="../tables/table31.xml"/><Relationship Id="rId14" Type="http://schemas.openxmlformats.org/officeDocument/2006/relationships/table" Target="../tables/table36.xml"/><Relationship Id="rId22" Type="http://schemas.openxmlformats.org/officeDocument/2006/relationships/table" Target="../tables/table44.xml"/><Relationship Id="rId27" Type="http://schemas.openxmlformats.org/officeDocument/2006/relationships/table" Target="../tables/table49.xml"/><Relationship Id="rId30" Type="http://schemas.openxmlformats.org/officeDocument/2006/relationships/table" Target="../tables/table52.xml"/><Relationship Id="rId35" Type="http://schemas.openxmlformats.org/officeDocument/2006/relationships/table" Target="../tables/table57.xml"/><Relationship Id="rId8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10"/>
  <sheetViews>
    <sheetView rightToLeft="1" topLeftCell="G2" zoomScale="55" zoomScaleNormal="55" workbookViewId="0">
      <selection activeCell="D313" sqref="D313"/>
    </sheetView>
  </sheetViews>
  <sheetFormatPr defaultColWidth="9" defaultRowHeight="14.25"/>
  <cols>
    <col min="1" max="1" width="107.125" style="94" customWidth="1"/>
    <col min="2" max="2" width="33.75" style="96" customWidth="1"/>
    <col min="3" max="3" width="38.875" style="96" customWidth="1"/>
    <col min="4" max="4" width="40.25" style="96" customWidth="1"/>
    <col min="5" max="5" width="38.375" style="94" customWidth="1"/>
    <col min="6" max="6" width="28.125" style="94" customWidth="1"/>
    <col min="7" max="7" width="16.875" style="97" customWidth="1"/>
    <col min="8" max="8" width="29" style="94" customWidth="1"/>
    <col min="9" max="9" width="24.125" style="98" customWidth="1"/>
    <col min="10" max="16384" width="9" style="94"/>
  </cols>
  <sheetData>
    <row r="1" spans="1:9">
      <c r="A1" s="237" t="s">
        <v>247</v>
      </c>
    </row>
    <row r="2" spans="1:9" ht="62.85" customHeight="1">
      <c r="A2" s="257" t="s">
        <v>226</v>
      </c>
      <c r="B2" s="257"/>
      <c r="C2" s="257"/>
      <c r="D2" s="257"/>
      <c r="E2" s="257"/>
      <c r="F2" s="257"/>
      <c r="G2" s="89"/>
      <c r="H2" s="14"/>
      <c r="I2" s="165"/>
    </row>
    <row r="3" spans="1:9" ht="23.25">
      <c r="A3" s="22" t="s">
        <v>37</v>
      </c>
      <c r="B3" s="32" t="s">
        <v>33</v>
      </c>
      <c r="C3" s="36"/>
      <c r="D3" s="36"/>
      <c r="E3" s="33"/>
      <c r="F3" s="34"/>
      <c r="G3" s="90"/>
      <c r="H3" s="33"/>
      <c r="I3" s="39"/>
    </row>
    <row r="4" spans="1:9" ht="15.75">
      <c r="A4" s="23"/>
      <c r="B4" s="262" t="s">
        <v>0</v>
      </c>
      <c r="C4" s="107" t="s">
        <v>187</v>
      </c>
      <c r="D4" s="107" t="s">
        <v>188</v>
      </c>
      <c r="E4" s="261" t="s">
        <v>220</v>
      </c>
      <c r="F4" s="261" t="s">
        <v>198</v>
      </c>
      <c r="G4" s="13" t="s">
        <v>30</v>
      </c>
      <c r="H4" s="13" t="s">
        <v>20</v>
      </c>
      <c r="I4" s="13" t="s">
        <v>35</v>
      </c>
    </row>
    <row r="5" spans="1:9" ht="57">
      <c r="A5" s="25"/>
      <c r="B5" s="221" t="s">
        <v>138</v>
      </c>
      <c r="C5" s="108" t="s">
        <v>187</v>
      </c>
      <c r="D5" s="108" t="s">
        <v>187</v>
      </c>
      <c r="E5" s="3">
        <v>0.50090000000000001</v>
      </c>
      <c r="F5" s="5">
        <v>0.49</v>
      </c>
      <c r="G5" s="177" t="s">
        <v>4</v>
      </c>
      <c r="H5" s="7" t="s">
        <v>241</v>
      </c>
      <c r="I5" s="178" t="s">
        <v>218</v>
      </c>
    </row>
    <row r="6" spans="1:9">
      <c r="A6" s="24"/>
      <c r="B6" s="221" t="s">
        <v>2</v>
      </c>
      <c r="C6" s="109" t="s">
        <v>187</v>
      </c>
      <c r="D6" s="109" t="s">
        <v>187</v>
      </c>
      <c r="E6" s="3">
        <v>0.2044</v>
      </c>
      <c r="F6" s="3">
        <v>0.22</v>
      </c>
      <c r="G6" s="179" t="s">
        <v>3</v>
      </c>
      <c r="H6" s="4" t="s">
        <v>201</v>
      </c>
      <c r="I6" s="103" t="s">
        <v>14</v>
      </c>
    </row>
    <row r="7" spans="1:9">
      <c r="A7" s="25"/>
      <c r="B7" s="222" t="s">
        <v>137</v>
      </c>
      <c r="C7" s="108" t="s">
        <v>187</v>
      </c>
      <c r="D7" s="108" t="s">
        <v>187</v>
      </c>
      <c r="E7" s="3">
        <v>0.20710000000000001</v>
      </c>
      <c r="F7" s="3">
        <v>0.22</v>
      </c>
      <c r="G7" s="179" t="s">
        <v>4</v>
      </c>
      <c r="H7" s="4" t="s">
        <v>53</v>
      </c>
      <c r="I7" s="103" t="s">
        <v>15</v>
      </c>
    </row>
    <row r="8" spans="1:9" ht="28.5">
      <c r="A8" s="25"/>
      <c r="B8" s="221" t="s">
        <v>9</v>
      </c>
      <c r="C8" s="109" t="s">
        <v>187</v>
      </c>
      <c r="D8" s="109" t="s">
        <v>187</v>
      </c>
      <c r="E8" s="3">
        <v>9.9900000000000003E-2</v>
      </c>
      <c r="F8" s="3">
        <v>0.1</v>
      </c>
      <c r="G8" s="180" t="s">
        <v>3</v>
      </c>
      <c r="H8" s="4" t="s">
        <v>49</v>
      </c>
      <c r="I8" s="103" t="s">
        <v>16</v>
      </c>
    </row>
    <row r="9" spans="1:9">
      <c r="A9" s="25"/>
      <c r="B9" s="221" t="s">
        <v>10</v>
      </c>
      <c r="C9" s="109" t="s">
        <v>187</v>
      </c>
      <c r="D9" s="109" t="s">
        <v>187</v>
      </c>
      <c r="E9" s="3">
        <v>3.2800000000000003E-2</v>
      </c>
      <c r="F9" s="3">
        <v>7.0000000000000007E-2</v>
      </c>
      <c r="G9" s="180" t="s">
        <v>3</v>
      </c>
      <c r="H9" s="4" t="s">
        <v>50</v>
      </c>
      <c r="I9" s="103" t="s">
        <v>17</v>
      </c>
    </row>
    <row r="10" spans="1:9">
      <c r="A10" s="25"/>
      <c r="B10" s="221" t="s">
        <v>11</v>
      </c>
      <c r="C10" s="109" t="s">
        <v>187</v>
      </c>
      <c r="D10" s="109" t="s">
        <v>187</v>
      </c>
      <c r="E10" s="3">
        <v>7.0699999999999999E-2</v>
      </c>
      <c r="F10" s="3">
        <v>0.05</v>
      </c>
      <c r="G10" s="180" t="s">
        <v>3</v>
      </c>
      <c r="H10" s="4" t="s">
        <v>51</v>
      </c>
      <c r="I10" s="103" t="s">
        <v>18</v>
      </c>
    </row>
    <row r="11" spans="1:9">
      <c r="A11" s="25"/>
      <c r="B11" s="221" t="s">
        <v>21</v>
      </c>
      <c r="C11" s="109" t="s">
        <v>187</v>
      </c>
      <c r="D11" s="109" t="s">
        <v>187</v>
      </c>
      <c r="E11" s="3">
        <v>0</v>
      </c>
      <c r="F11" s="3">
        <v>0.05</v>
      </c>
      <c r="G11" s="180" t="s">
        <v>3</v>
      </c>
      <c r="H11" s="4" t="s">
        <v>51</v>
      </c>
      <c r="I11" s="103" t="s">
        <v>18</v>
      </c>
    </row>
    <row r="12" spans="1:9">
      <c r="A12" s="25"/>
      <c r="B12" s="221" t="s">
        <v>12</v>
      </c>
      <c r="C12" s="109" t="s">
        <v>187</v>
      </c>
      <c r="D12" s="109" t="s">
        <v>187</v>
      </c>
      <c r="E12" s="260">
        <v>0.17960000000000001</v>
      </c>
      <c r="F12" s="3">
        <v>0.15</v>
      </c>
      <c r="G12" s="179" t="s">
        <v>3</v>
      </c>
      <c r="H12" s="4" t="s">
        <v>52</v>
      </c>
      <c r="I12" s="4" t="s">
        <v>18</v>
      </c>
    </row>
    <row r="13" spans="1:9">
      <c r="A13" s="25"/>
      <c r="B13" s="221" t="s">
        <v>13</v>
      </c>
      <c r="C13" s="109" t="s">
        <v>187</v>
      </c>
      <c r="D13" s="109" t="s">
        <v>187</v>
      </c>
      <c r="E13" s="3">
        <v>2.12E-2</v>
      </c>
      <c r="F13" s="3">
        <v>0.05</v>
      </c>
      <c r="G13" s="179" t="s">
        <v>3</v>
      </c>
      <c r="H13" s="181" t="s">
        <v>51</v>
      </c>
      <c r="I13" s="113" t="s">
        <v>187</v>
      </c>
    </row>
    <row r="14" spans="1:9" ht="15">
      <c r="A14" s="25"/>
      <c r="B14" s="223" t="s">
        <v>5</v>
      </c>
      <c r="C14" s="110" t="s">
        <v>187</v>
      </c>
      <c r="D14" s="110" t="s">
        <v>187</v>
      </c>
      <c r="E14" s="99">
        <f>SUM(E5:E13)</f>
        <v>1.3166000000000002</v>
      </c>
      <c r="F14" s="99">
        <f>SUM(F5:F13)</f>
        <v>1.4000000000000001</v>
      </c>
      <c r="G14" s="220" t="s">
        <v>187</v>
      </c>
      <c r="H14" s="182" t="s">
        <v>187</v>
      </c>
      <c r="I14" s="182" t="s">
        <v>187</v>
      </c>
    </row>
    <row r="15" spans="1:9">
      <c r="A15" s="25"/>
      <c r="B15" s="221" t="s">
        <v>6</v>
      </c>
      <c r="C15" s="109" t="s">
        <v>187</v>
      </c>
      <c r="D15" s="109" t="s">
        <v>187</v>
      </c>
      <c r="E15" s="11">
        <v>0.1918</v>
      </c>
      <c r="F15" s="11">
        <v>0.18</v>
      </c>
      <c r="G15" s="179" t="s">
        <v>4</v>
      </c>
      <c r="H15" s="4" t="s">
        <v>203</v>
      </c>
      <c r="I15" s="103" t="s">
        <v>19</v>
      </c>
    </row>
    <row r="16" spans="1:9" ht="15">
      <c r="A16" s="25"/>
      <c r="B16" s="223" t="s">
        <v>225</v>
      </c>
      <c r="C16" s="110" t="s">
        <v>187</v>
      </c>
      <c r="D16" s="110" t="s">
        <v>187</v>
      </c>
      <c r="E16" s="12">
        <v>2.5999999999999999E-3</v>
      </c>
      <c r="F16" s="142" t="s">
        <v>187</v>
      </c>
      <c r="G16" s="131" t="s">
        <v>187</v>
      </c>
      <c r="H16" s="131" t="s">
        <v>187</v>
      </c>
      <c r="I16" s="166" t="s">
        <v>187</v>
      </c>
    </row>
    <row r="17" spans="1:9" ht="15">
      <c r="A17" s="18"/>
      <c r="B17" s="15"/>
      <c r="C17" s="15"/>
      <c r="D17" s="15"/>
      <c r="E17" s="17"/>
      <c r="F17" s="16"/>
      <c r="G17" s="88"/>
      <c r="H17" s="17"/>
      <c r="I17" s="167"/>
    </row>
    <row r="18" spans="1:9" ht="23.25">
      <c r="A18" s="22" t="s">
        <v>37</v>
      </c>
      <c r="B18" s="32" t="s">
        <v>34</v>
      </c>
      <c r="C18" s="32"/>
      <c r="D18" s="32"/>
      <c r="E18" s="33"/>
      <c r="F18" s="34"/>
      <c r="G18" s="90"/>
      <c r="H18" s="33"/>
      <c r="I18" s="39"/>
    </row>
    <row r="19" spans="1:9" ht="15.75">
      <c r="A19" s="23"/>
      <c r="B19" s="13" t="s">
        <v>0</v>
      </c>
      <c r="C19" s="107" t="s">
        <v>187</v>
      </c>
      <c r="D19" s="107" t="s">
        <v>188</v>
      </c>
      <c r="E19" s="261" t="s">
        <v>220</v>
      </c>
      <c r="F19" s="261" t="s">
        <v>198</v>
      </c>
      <c r="G19" s="13" t="s">
        <v>30</v>
      </c>
      <c r="H19" s="13" t="s">
        <v>20</v>
      </c>
      <c r="I19" s="13" t="s">
        <v>35</v>
      </c>
    </row>
    <row r="20" spans="1:9" ht="57">
      <c r="A20" s="25"/>
      <c r="B20" s="221" t="s">
        <v>138</v>
      </c>
      <c r="C20" s="109" t="s">
        <v>187</v>
      </c>
      <c r="D20" s="109" t="s">
        <v>188</v>
      </c>
      <c r="E20" s="5" t="s">
        <v>229</v>
      </c>
      <c r="F20" s="5">
        <v>0.48</v>
      </c>
      <c r="G20" s="177" t="s">
        <v>4</v>
      </c>
      <c r="H20" s="7" t="s">
        <v>242</v>
      </c>
      <c r="I20" s="6" t="s">
        <v>218</v>
      </c>
    </row>
    <row r="21" spans="1:9">
      <c r="A21" s="24"/>
      <c r="B21" s="221" t="s">
        <v>2</v>
      </c>
      <c r="C21" s="109" t="s">
        <v>187</v>
      </c>
      <c r="D21" s="109" t="s">
        <v>187</v>
      </c>
      <c r="E21" s="3">
        <v>0.24310000000000001</v>
      </c>
      <c r="F21" s="3">
        <v>0.24</v>
      </c>
      <c r="G21" s="179" t="s">
        <v>3</v>
      </c>
      <c r="H21" s="4" t="s">
        <v>46</v>
      </c>
      <c r="I21" s="1" t="s">
        <v>14</v>
      </c>
    </row>
    <row r="22" spans="1:9">
      <c r="A22" s="25"/>
      <c r="B22" s="222" t="s">
        <v>137</v>
      </c>
      <c r="C22" s="109" t="s">
        <v>187</v>
      </c>
      <c r="D22" s="109" t="s">
        <v>187</v>
      </c>
      <c r="E22" s="3">
        <v>0.2155</v>
      </c>
      <c r="F22" s="3">
        <v>0.22</v>
      </c>
      <c r="G22" s="179" t="s">
        <v>4</v>
      </c>
      <c r="H22" s="4" t="s">
        <v>53</v>
      </c>
      <c r="I22" s="1" t="s">
        <v>15</v>
      </c>
    </row>
    <row r="23" spans="1:9" ht="28.5">
      <c r="A23" s="25"/>
      <c r="B23" s="221" t="s">
        <v>9</v>
      </c>
      <c r="C23" s="109" t="s">
        <v>187</v>
      </c>
      <c r="D23" s="109" t="s">
        <v>187</v>
      </c>
      <c r="E23" s="3">
        <v>6.2600000000000003E-2</v>
      </c>
      <c r="F23" s="3">
        <v>0.06</v>
      </c>
      <c r="G23" s="180" t="s">
        <v>3</v>
      </c>
      <c r="H23" s="4" t="s">
        <v>172</v>
      </c>
      <c r="I23" s="1" t="s">
        <v>16</v>
      </c>
    </row>
    <row r="24" spans="1:9">
      <c r="A24" s="25"/>
      <c r="B24" s="227" t="s">
        <v>10</v>
      </c>
      <c r="C24" s="109" t="s">
        <v>187</v>
      </c>
      <c r="D24" s="109" t="s">
        <v>187</v>
      </c>
      <c r="E24" s="3">
        <v>3.4000000000000002E-2</v>
      </c>
      <c r="F24" s="3">
        <v>7.0000000000000007E-2</v>
      </c>
      <c r="G24" s="180" t="s">
        <v>3</v>
      </c>
      <c r="H24" s="4" t="s">
        <v>50</v>
      </c>
      <c r="I24" s="1" t="s">
        <v>17</v>
      </c>
    </row>
    <row r="25" spans="1:9">
      <c r="A25" s="25"/>
      <c r="B25" s="221" t="s">
        <v>11</v>
      </c>
      <c r="C25" s="109" t="s">
        <v>187</v>
      </c>
      <c r="D25" s="109" t="s">
        <v>187</v>
      </c>
      <c r="E25" s="3">
        <v>5.2499999999999998E-2</v>
      </c>
      <c r="F25" s="3">
        <v>0.05</v>
      </c>
      <c r="G25" s="180" t="s">
        <v>3</v>
      </c>
      <c r="H25" s="4" t="s">
        <v>51</v>
      </c>
      <c r="I25" s="1" t="s">
        <v>18</v>
      </c>
    </row>
    <row r="26" spans="1:9">
      <c r="A26" s="25"/>
      <c r="B26" s="221" t="s">
        <v>21</v>
      </c>
      <c r="C26" s="109" t="s">
        <v>187</v>
      </c>
      <c r="D26" s="109" t="s">
        <v>187</v>
      </c>
      <c r="E26" s="3">
        <v>0</v>
      </c>
      <c r="F26" s="3">
        <v>0.05</v>
      </c>
      <c r="G26" s="180" t="s">
        <v>3</v>
      </c>
      <c r="H26" s="4" t="s">
        <v>51</v>
      </c>
      <c r="I26" s="1" t="s">
        <v>18</v>
      </c>
    </row>
    <row r="27" spans="1:9">
      <c r="A27" s="25"/>
      <c r="B27" s="221" t="s">
        <v>12</v>
      </c>
      <c r="C27" s="109" t="s">
        <v>187</v>
      </c>
      <c r="D27" s="109" t="s">
        <v>187</v>
      </c>
      <c r="E27" s="3">
        <v>0.18920000000000001</v>
      </c>
      <c r="F27" s="3">
        <v>0.15</v>
      </c>
      <c r="G27" s="179" t="s">
        <v>3</v>
      </c>
      <c r="H27" s="4" t="s">
        <v>52</v>
      </c>
      <c r="I27" s="9" t="s">
        <v>18</v>
      </c>
    </row>
    <row r="28" spans="1:9">
      <c r="A28" s="25"/>
      <c r="B28" s="227" t="s">
        <v>13</v>
      </c>
      <c r="C28" s="109" t="s">
        <v>187</v>
      </c>
      <c r="D28" s="109" t="s">
        <v>187</v>
      </c>
      <c r="E28" s="3">
        <v>1.6500000000000001E-2</v>
      </c>
      <c r="F28" s="3">
        <v>0.05</v>
      </c>
      <c r="G28" s="179" t="s">
        <v>3</v>
      </c>
      <c r="H28" s="181" t="s">
        <v>51</v>
      </c>
      <c r="I28" s="132" t="s">
        <v>187</v>
      </c>
    </row>
    <row r="29" spans="1:9" ht="15">
      <c r="A29" s="25"/>
      <c r="B29" s="223" t="s">
        <v>5</v>
      </c>
      <c r="C29" s="109" t="s">
        <v>187</v>
      </c>
      <c r="D29" s="109" t="s">
        <v>187</v>
      </c>
      <c r="E29" s="99">
        <f>SUM(E20:E28)</f>
        <v>0.81340000000000001</v>
      </c>
      <c r="F29" s="99">
        <f>SUM(F20:F28)</f>
        <v>1.37</v>
      </c>
      <c r="G29" s="220" t="s">
        <v>187</v>
      </c>
      <c r="H29" s="182" t="s">
        <v>187</v>
      </c>
      <c r="I29" s="112" t="s">
        <v>187</v>
      </c>
    </row>
    <row r="30" spans="1:9">
      <c r="A30" s="25"/>
      <c r="B30" s="221" t="s">
        <v>6</v>
      </c>
      <c r="C30" s="109" t="s">
        <v>187</v>
      </c>
      <c r="D30" s="109" t="s">
        <v>187</v>
      </c>
      <c r="E30" s="11">
        <v>0.188</v>
      </c>
      <c r="F30" s="11">
        <v>0.18</v>
      </c>
      <c r="G30" s="179" t="s">
        <v>4</v>
      </c>
      <c r="H30" s="4" t="s">
        <v>203</v>
      </c>
      <c r="I30" s="1" t="s">
        <v>19</v>
      </c>
    </row>
    <row r="31" spans="1:9" ht="15">
      <c r="A31" s="25"/>
      <c r="B31" s="223" t="s">
        <v>225</v>
      </c>
      <c r="C31" s="110" t="s">
        <v>187</v>
      </c>
      <c r="D31" s="110" t="s">
        <v>187</v>
      </c>
      <c r="E31" s="12">
        <v>1.9E-3</v>
      </c>
      <c r="F31" s="142" t="s">
        <v>187</v>
      </c>
      <c r="G31" s="131" t="s">
        <v>187</v>
      </c>
      <c r="H31" s="131" t="s">
        <v>187</v>
      </c>
      <c r="I31" s="166" t="s">
        <v>187</v>
      </c>
    </row>
    <row r="32" spans="1:9" ht="15">
      <c r="A32" s="18"/>
      <c r="B32" s="15"/>
      <c r="C32" s="15"/>
      <c r="D32" s="15"/>
      <c r="E32" s="160" t="s">
        <v>243</v>
      </c>
      <c r="F32" s="160" t="s">
        <v>243</v>
      </c>
      <c r="G32" s="160" t="s">
        <v>243</v>
      </c>
      <c r="H32" s="160" t="s">
        <v>243</v>
      </c>
      <c r="I32" s="169" t="s">
        <v>243</v>
      </c>
    </row>
    <row r="33" spans="1:9" ht="23.25">
      <c r="A33" s="19" t="s">
        <v>36</v>
      </c>
      <c r="B33" s="32" t="s">
        <v>29</v>
      </c>
      <c r="C33" s="32"/>
      <c r="D33" s="32"/>
      <c r="E33" s="33"/>
      <c r="F33" s="34"/>
      <c r="G33" s="90"/>
      <c r="H33" s="33"/>
      <c r="I33" s="39"/>
    </row>
    <row r="34" spans="1:9" ht="15.75">
      <c r="A34" s="20"/>
      <c r="B34" s="262" t="s">
        <v>0</v>
      </c>
      <c r="C34" s="107" t="s">
        <v>187</v>
      </c>
      <c r="D34" s="107" t="s">
        <v>188</v>
      </c>
      <c r="E34" s="261" t="s">
        <v>220</v>
      </c>
      <c r="F34" s="261" t="s">
        <v>198</v>
      </c>
      <c r="G34" s="263" t="s">
        <v>30</v>
      </c>
      <c r="H34" s="13" t="s">
        <v>20</v>
      </c>
      <c r="I34" s="13" t="s">
        <v>35</v>
      </c>
    </row>
    <row r="35" spans="1:9" ht="57">
      <c r="A35" s="20"/>
      <c r="B35" s="221" t="s">
        <v>138</v>
      </c>
      <c r="C35" s="108" t="s">
        <v>187</v>
      </c>
      <c r="D35" s="108" t="s">
        <v>187</v>
      </c>
      <c r="E35" s="5">
        <v>0.58220000000000005</v>
      </c>
      <c r="F35" s="5">
        <v>0.59499999999999997</v>
      </c>
      <c r="G35" s="177" t="s">
        <v>4</v>
      </c>
      <c r="H35" s="7" t="s">
        <v>65</v>
      </c>
      <c r="I35" s="178" t="s">
        <v>218</v>
      </c>
    </row>
    <row r="36" spans="1:9">
      <c r="A36" s="20"/>
      <c r="B36" s="221" t="s">
        <v>2</v>
      </c>
      <c r="C36" s="109" t="s">
        <v>187</v>
      </c>
      <c r="D36" s="109" t="s">
        <v>187</v>
      </c>
      <c r="E36" s="3">
        <v>0.24129999999999999</v>
      </c>
      <c r="F36" s="3">
        <v>0.25</v>
      </c>
      <c r="G36" s="179" t="s">
        <v>3</v>
      </c>
      <c r="H36" s="4" t="s">
        <v>54</v>
      </c>
      <c r="I36" s="103" t="s">
        <v>14</v>
      </c>
    </row>
    <row r="37" spans="1:9">
      <c r="A37" s="20"/>
      <c r="B37" s="222" t="s">
        <v>137</v>
      </c>
      <c r="C37" s="108" t="s">
        <v>187</v>
      </c>
      <c r="D37" s="108" t="s">
        <v>187</v>
      </c>
      <c r="E37" s="3">
        <v>0.18959999999999999</v>
      </c>
      <c r="F37" s="3">
        <v>0.2</v>
      </c>
      <c r="G37" s="179" t="s">
        <v>4</v>
      </c>
      <c r="H37" s="4" t="s">
        <v>64</v>
      </c>
      <c r="I37" s="103" t="s">
        <v>15</v>
      </c>
    </row>
    <row r="38" spans="1:9" ht="28.5">
      <c r="A38" s="20"/>
      <c r="B38" s="221" t="s">
        <v>9</v>
      </c>
      <c r="C38" s="109" t="s">
        <v>187</v>
      </c>
      <c r="D38" s="109" t="s">
        <v>187</v>
      </c>
      <c r="E38" s="3">
        <v>7.9600000000000004E-2</v>
      </c>
      <c r="F38" s="3">
        <v>0.08</v>
      </c>
      <c r="G38" s="180" t="s">
        <v>3</v>
      </c>
      <c r="H38" s="4" t="s">
        <v>204</v>
      </c>
      <c r="I38" s="103" t="s">
        <v>16</v>
      </c>
    </row>
    <row r="39" spans="1:9">
      <c r="A39" s="20"/>
      <c r="B39" s="221" t="s">
        <v>10</v>
      </c>
      <c r="C39" s="109" t="s">
        <v>187</v>
      </c>
      <c r="D39" s="109" t="s">
        <v>187</v>
      </c>
      <c r="E39" s="3">
        <v>3.2300000000000002E-2</v>
      </c>
      <c r="F39" s="3">
        <v>7.0000000000000007E-2</v>
      </c>
      <c r="G39" s="180" t="s">
        <v>3</v>
      </c>
      <c r="H39" s="4" t="s">
        <v>50</v>
      </c>
      <c r="I39" s="103" t="s">
        <v>17</v>
      </c>
    </row>
    <row r="40" spans="1:9">
      <c r="A40" s="20"/>
      <c r="B40" s="221" t="s">
        <v>11</v>
      </c>
      <c r="C40" s="109" t="s">
        <v>187</v>
      </c>
      <c r="D40" s="109" t="s">
        <v>187</v>
      </c>
      <c r="E40" s="3">
        <v>2.2000000000000001E-3</v>
      </c>
      <c r="F40" s="3">
        <v>0.05</v>
      </c>
      <c r="G40" s="180" t="s">
        <v>3</v>
      </c>
      <c r="H40" s="4" t="s">
        <v>51</v>
      </c>
      <c r="I40" s="103" t="s">
        <v>18</v>
      </c>
    </row>
    <row r="41" spans="1:9">
      <c r="A41" s="20"/>
      <c r="B41" s="221" t="s">
        <v>21</v>
      </c>
      <c r="C41" s="109" t="s">
        <v>187</v>
      </c>
      <c r="D41" s="109" t="s">
        <v>187</v>
      </c>
      <c r="E41" s="3">
        <v>0</v>
      </c>
      <c r="F41" s="3">
        <v>0.05</v>
      </c>
      <c r="G41" s="180" t="s">
        <v>3</v>
      </c>
      <c r="H41" s="4" t="s">
        <v>51</v>
      </c>
      <c r="I41" s="103" t="s">
        <v>18</v>
      </c>
    </row>
    <row r="42" spans="1:9">
      <c r="A42" s="20"/>
      <c r="B42" s="221" t="s">
        <v>12</v>
      </c>
      <c r="C42" s="109" t="s">
        <v>187</v>
      </c>
      <c r="D42" s="109" t="s">
        <v>187</v>
      </c>
      <c r="E42" s="3">
        <v>0.19139999999999999</v>
      </c>
      <c r="F42" s="3">
        <v>0.15</v>
      </c>
      <c r="G42" s="179" t="s">
        <v>3</v>
      </c>
      <c r="H42" s="4" t="s">
        <v>52</v>
      </c>
      <c r="I42" s="4" t="s">
        <v>18</v>
      </c>
    </row>
    <row r="43" spans="1:9">
      <c r="A43" s="20"/>
      <c r="B43" s="221" t="s">
        <v>13</v>
      </c>
      <c r="C43" s="109" t="s">
        <v>187</v>
      </c>
      <c r="D43" s="109" t="s">
        <v>187</v>
      </c>
      <c r="E43" s="3">
        <v>2.0400000000000001E-2</v>
      </c>
      <c r="F43" s="3">
        <v>0.05</v>
      </c>
      <c r="G43" s="179" t="s">
        <v>3</v>
      </c>
      <c r="H43" s="181" t="s">
        <v>51</v>
      </c>
      <c r="I43" s="113" t="s">
        <v>187</v>
      </c>
    </row>
    <row r="44" spans="1:9" ht="15">
      <c r="A44" s="20"/>
      <c r="B44" s="223" t="s">
        <v>5</v>
      </c>
      <c r="C44" s="110" t="s">
        <v>187</v>
      </c>
      <c r="D44" s="110" t="s">
        <v>187</v>
      </c>
      <c r="E44" s="27">
        <f>SUBTOTAL(109,E35:E43)</f>
        <v>1.3390000000000002</v>
      </c>
      <c r="F44" s="27">
        <f>SUBTOTAL(109,F35:F43)</f>
        <v>1.4950000000000001</v>
      </c>
      <c r="G44" s="117" t="s">
        <v>187</v>
      </c>
      <c r="H44" s="118" t="s">
        <v>187</v>
      </c>
      <c r="I44" s="112" t="s">
        <v>187</v>
      </c>
    </row>
    <row r="45" spans="1:9">
      <c r="A45" s="20"/>
      <c r="B45" s="221" t="s">
        <v>6</v>
      </c>
      <c r="C45" s="109" t="s">
        <v>187</v>
      </c>
      <c r="D45" s="109" t="s">
        <v>187</v>
      </c>
      <c r="E45" s="11">
        <v>0.21179999999999999</v>
      </c>
      <c r="F45" s="11">
        <v>0.2</v>
      </c>
      <c r="G45" s="86" t="s">
        <v>4</v>
      </c>
      <c r="H45" s="9" t="s">
        <v>64</v>
      </c>
      <c r="I45" s="1" t="s">
        <v>19</v>
      </c>
    </row>
    <row r="46" spans="1:9" ht="15">
      <c r="A46" s="21"/>
      <c r="B46" s="223" t="s">
        <v>225</v>
      </c>
      <c r="C46" s="110" t="s">
        <v>187</v>
      </c>
      <c r="D46" s="110" t="s">
        <v>187</v>
      </c>
      <c r="E46" s="12">
        <v>2.3999999999999998E-3</v>
      </c>
      <c r="F46" s="142" t="s">
        <v>187</v>
      </c>
      <c r="G46" s="131" t="s">
        <v>187</v>
      </c>
      <c r="H46" s="131" t="s">
        <v>187</v>
      </c>
      <c r="I46" s="146" t="s">
        <v>187</v>
      </c>
    </row>
    <row r="47" spans="1:9" ht="15">
      <c r="A47" s="18"/>
      <c r="B47" s="15"/>
      <c r="C47" s="15"/>
      <c r="D47" s="15"/>
      <c r="E47" s="17"/>
      <c r="F47" s="16"/>
      <c r="G47" s="88"/>
      <c r="H47" s="17"/>
      <c r="I47" s="167"/>
    </row>
    <row r="48" spans="1:9" ht="23.25">
      <c r="A48" s="19" t="s">
        <v>36</v>
      </c>
      <c r="B48" s="32" t="s">
        <v>31</v>
      </c>
      <c r="C48" s="32"/>
      <c r="D48" s="32"/>
      <c r="E48" s="33"/>
      <c r="F48" s="34"/>
      <c r="G48" s="90"/>
      <c r="H48" s="33"/>
      <c r="I48" s="39"/>
    </row>
    <row r="49" spans="1:9" ht="15.75">
      <c r="A49" s="20"/>
      <c r="B49" s="262" t="s">
        <v>0</v>
      </c>
      <c r="C49" s="107" t="s">
        <v>187</v>
      </c>
      <c r="D49" s="107" t="s">
        <v>188</v>
      </c>
      <c r="E49" s="261" t="s">
        <v>220</v>
      </c>
      <c r="F49" s="261" t="s">
        <v>198</v>
      </c>
      <c r="G49" s="13" t="s">
        <v>30</v>
      </c>
      <c r="H49" s="13" t="s">
        <v>20</v>
      </c>
      <c r="I49" s="13" t="s">
        <v>35</v>
      </c>
    </row>
    <row r="50" spans="1:9" ht="57">
      <c r="A50" s="20"/>
      <c r="B50" s="221" t="s">
        <v>138</v>
      </c>
      <c r="C50" s="108" t="s">
        <v>187</v>
      </c>
      <c r="D50" s="108" t="s">
        <v>188</v>
      </c>
      <c r="E50" s="5">
        <v>0.48320000000000002</v>
      </c>
      <c r="F50" s="5">
        <v>0.49</v>
      </c>
      <c r="G50" s="177" t="s">
        <v>4</v>
      </c>
      <c r="H50" s="7" t="s">
        <v>241</v>
      </c>
      <c r="I50" s="6" t="s">
        <v>218</v>
      </c>
    </row>
    <row r="51" spans="1:9">
      <c r="A51" s="20"/>
      <c r="B51" s="221" t="s">
        <v>2</v>
      </c>
      <c r="C51" s="109" t="s">
        <v>187</v>
      </c>
      <c r="D51" s="109" t="s">
        <v>187</v>
      </c>
      <c r="E51" s="3">
        <v>0.20169999999999999</v>
      </c>
      <c r="F51" s="3">
        <v>0.22</v>
      </c>
      <c r="G51" s="179" t="s">
        <v>3</v>
      </c>
      <c r="H51" s="4" t="s">
        <v>201</v>
      </c>
      <c r="I51" s="1" t="s">
        <v>14</v>
      </c>
    </row>
    <row r="52" spans="1:9">
      <c r="A52" s="20"/>
      <c r="B52" s="222" t="s">
        <v>137</v>
      </c>
      <c r="C52" s="108" t="s">
        <v>187</v>
      </c>
      <c r="D52" s="108" t="s">
        <v>187</v>
      </c>
      <c r="E52" s="3">
        <v>0.21379999999999999</v>
      </c>
      <c r="F52" s="3">
        <v>0.22</v>
      </c>
      <c r="G52" s="179" t="s">
        <v>4</v>
      </c>
      <c r="H52" s="4" t="s">
        <v>53</v>
      </c>
      <c r="I52" s="1" t="s">
        <v>15</v>
      </c>
    </row>
    <row r="53" spans="1:9" ht="28.5">
      <c r="A53" s="20"/>
      <c r="B53" s="221" t="s">
        <v>9</v>
      </c>
      <c r="C53" s="109" t="s">
        <v>187</v>
      </c>
      <c r="D53" s="109" t="s">
        <v>187</v>
      </c>
      <c r="E53" s="3">
        <v>8.6999999999999994E-2</v>
      </c>
      <c r="F53" s="3">
        <v>0.09</v>
      </c>
      <c r="G53" s="180" t="s">
        <v>3</v>
      </c>
      <c r="H53" s="4" t="s">
        <v>205</v>
      </c>
      <c r="I53" s="1" t="s">
        <v>16</v>
      </c>
    </row>
    <row r="54" spans="1:9">
      <c r="A54" s="20"/>
      <c r="B54" s="221" t="s">
        <v>10</v>
      </c>
      <c r="C54" s="109" t="s">
        <v>187</v>
      </c>
      <c r="D54" s="109" t="s">
        <v>187</v>
      </c>
      <c r="E54" s="3">
        <v>3.8600000000000002E-2</v>
      </c>
      <c r="F54" s="3">
        <v>7.0000000000000007E-2</v>
      </c>
      <c r="G54" s="180" t="s">
        <v>3</v>
      </c>
      <c r="H54" s="4" t="s">
        <v>50</v>
      </c>
      <c r="I54" s="1" t="s">
        <v>17</v>
      </c>
    </row>
    <row r="55" spans="1:9">
      <c r="A55" s="20"/>
      <c r="B55" s="221" t="s">
        <v>11</v>
      </c>
      <c r="C55" s="109" t="s">
        <v>187</v>
      </c>
      <c r="D55" s="109" t="s">
        <v>187</v>
      </c>
      <c r="E55" s="55">
        <v>5.3800000000000001E-2</v>
      </c>
      <c r="F55" s="3">
        <v>0.05</v>
      </c>
      <c r="G55" s="180" t="s">
        <v>3</v>
      </c>
      <c r="H55" s="4" t="s">
        <v>51</v>
      </c>
      <c r="I55" s="1" t="s">
        <v>18</v>
      </c>
    </row>
    <row r="56" spans="1:9">
      <c r="A56" s="20"/>
      <c r="B56" s="221" t="s">
        <v>21</v>
      </c>
      <c r="C56" s="109" t="s">
        <v>187</v>
      </c>
      <c r="D56" s="109" t="s">
        <v>187</v>
      </c>
      <c r="E56" s="3">
        <v>0</v>
      </c>
      <c r="F56" s="3">
        <v>0.05</v>
      </c>
      <c r="G56" s="180" t="s">
        <v>3</v>
      </c>
      <c r="H56" s="4" t="s">
        <v>51</v>
      </c>
      <c r="I56" s="1" t="s">
        <v>18</v>
      </c>
    </row>
    <row r="57" spans="1:9">
      <c r="A57" s="20"/>
      <c r="B57" s="221" t="s">
        <v>12</v>
      </c>
      <c r="C57" s="109" t="s">
        <v>187</v>
      </c>
      <c r="D57" s="109" t="s">
        <v>187</v>
      </c>
      <c r="E57" s="3">
        <v>0.19070000000000001</v>
      </c>
      <c r="F57" s="3">
        <v>0.15</v>
      </c>
      <c r="G57" s="179" t="s">
        <v>3</v>
      </c>
      <c r="H57" s="4" t="s">
        <v>52</v>
      </c>
      <c r="I57" s="9" t="s">
        <v>18</v>
      </c>
    </row>
    <row r="58" spans="1:9">
      <c r="A58" s="20"/>
      <c r="B58" s="221" t="s">
        <v>13</v>
      </c>
      <c r="C58" s="109" t="s">
        <v>187</v>
      </c>
      <c r="D58" s="109" t="s">
        <v>187</v>
      </c>
      <c r="E58" s="3">
        <v>2.3699999999999999E-2</v>
      </c>
      <c r="F58" s="3">
        <v>0.05</v>
      </c>
      <c r="G58" s="179" t="s">
        <v>3</v>
      </c>
      <c r="H58" s="181" t="s">
        <v>51</v>
      </c>
      <c r="I58" s="132" t="s">
        <v>187</v>
      </c>
    </row>
    <row r="59" spans="1:9" ht="15">
      <c r="A59" s="20"/>
      <c r="B59" s="223" t="s">
        <v>5</v>
      </c>
      <c r="C59" s="110" t="s">
        <v>187</v>
      </c>
      <c r="D59" s="110" t="s">
        <v>187</v>
      </c>
      <c r="E59" s="99">
        <f>SUBTOTAL(109,E50:E58)</f>
        <v>1.2925000000000002</v>
      </c>
      <c r="F59" s="99">
        <f>SUBTOTAL(109,F50:F58)</f>
        <v>1.3900000000000001</v>
      </c>
      <c r="G59" s="183" t="s">
        <v>187</v>
      </c>
      <c r="H59" s="184" t="s">
        <v>187</v>
      </c>
      <c r="I59" s="112" t="s">
        <v>187</v>
      </c>
    </row>
    <row r="60" spans="1:9">
      <c r="A60" s="20"/>
      <c r="B60" s="221" t="s">
        <v>6</v>
      </c>
      <c r="C60" s="109" t="s">
        <v>187</v>
      </c>
      <c r="D60" s="109" t="s">
        <v>187</v>
      </c>
      <c r="E60" s="11">
        <v>0.18940000000000001</v>
      </c>
      <c r="F60" s="11">
        <v>0.18</v>
      </c>
      <c r="G60" s="179" t="s">
        <v>4</v>
      </c>
      <c r="H60" s="4" t="s">
        <v>203</v>
      </c>
      <c r="I60" s="1" t="s">
        <v>19</v>
      </c>
    </row>
    <row r="61" spans="1:9" ht="15">
      <c r="A61" s="21"/>
      <c r="B61" s="223" t="s">
        <v>225</v>
      </c>
      <c r="C61" s="110" t="s">
        <v>187</v>
      </c>
      <c r="D61" s="110" t="s">
        <v>187</v>
      </c>
      <c r="E61" s="12">
        <v>2.3999999999999998E-3</v>
      </c>
      <c r="F61" s="142" t="s">
        <v>187</v>
      </c>
      <c r="G61" s="131" t="s">
        <v>187</v>
      </c>
      <c r="H61" s="131" t="s">
        <v>187</v>
      </c>
      <c r="I61" s="166" t="s">
        <v>187</v>
      </c>
    </row>
    <row r="62" spans="1:9" ht="15">
      <c r="A62" s="18"/>
      <c r="B62" s="15"/>
      <c r="C62" s="15"/>
      <c r="D62" s="15"/>
      <c r="E62" s="17"/>
      <c r="F62" s="16"/>
      <c r="G62" s="88"/>
      <c r="H62" s="17"/>
      <c r="I62" s="167"/>
    </row>
    <row r="63" spans="1:9" ht="23.25">
      <c r="A63" s="19" t="s">
        <v>36</v>
      </c>
      <c r="B63" s="32" t="s">
        <v>32</v>
      </c>
      <c r="C63" s="32"/>
      <c r="D63" s="32"/>
      <c r="E63" s="33"/>
      <c r="F63" s="34"/>
      <c r="G63" s="90"/>
      <c r="H63" s="33"/>
      <c r="I63" s="39"/>
    </row>
    <row r="64" spans="1:9" ht="15.75">
      <c r="A64" s="20"/>
      <c r="B64" s="13" t="s">
        <v>0</v>
      </c>
      <c r="C64" s="107" t="s">
        <v>187</v>
      </c>
      <c r="D64" s="107" t="s">
        <v>188</v>
      </c>
      <c r="E64" s="261" t="s">
        <v>220</v>
      </c>
      <c r="F64" s="261" t="s">
        <v>198</v>
      </c>
      <c r="G64" s="13" t="s">
        <v>30</v>
      </c>
      <c r="H64" s="13" t="s">
        <v>20</v>
      </c>
      <c r="I64" s="13" t="s">
        <v>35</v>
      </c>
    </row>
    <row r="65" spans="1:9" ht="57">
      <c r="A65" s="20"/>
      <c r="B65" s="221" t="s">
        <v>138</v>
      </c>
      <c r="C65" s="108" t="s">
        <v>187</v>
      </c>
      <c r="D65" s="108" t="s">
        <v>188</v>
      </c>
      <c r="E65" s="5">
        <v>0.30099999999999999</v>
      </c>
      <c r="F65" s="5">
        <v>0.3</v>
      </c>
      <c r="G65" s="177" t="s">
        <v>4</v>
      </c>
      <c r="H65" s="7" t="s">
        <v>61</v>
      </c>
      <c r="I65" s="6" t="s">
        <v>218</v>
      </c>
    </row>
    <row r="66" spans="1:9">
      <c r="A66" s="20"/>
      <c r="B66" s="221" t="s">
        <v>2</v>
      </c>
      <c r="C66" s="109" t="s">
        <v>187</v>
      </c>
      <c r="D66" s="109" t="s">
        <v>187</v>
      </c>
      <c r="E66" s="3">
        <v>0.2843</v>
      </c>
      <c r="F66" s="3">
        <v>0.26</v>
      </c>
      <c r="G66" s="86" t="s">
        <v>3</v>
      </c>
      <c r="H66" s="4" t="s">
        <v>202</v>
      </c>
      <c r="I66" s="1" t="s">
        <v>14</v>
      </c>
    </row>
    <row r="67" spans="1:9">
      <c r="A67" s="20"/>
      <c r="B67" s="222" t="s">
        <v>137</v>
      </c>
      <c r="C67" s="108" t="s">
        <v>187</v>
      </c>
      <c r="D67" s="108" t="s">
        <v>187</v>
      </c>
      <c r="E67" s="3">
        <v>0.27910000000000001</v>
      </c>
      <c r="F67" s="3">
        <v>0.28000000000000003</v>
      </c>
      <c r="G67" s="86" t="s">
        <v>4</v>
      </c>
      <c r="H67" s="4" t="s">
        <v>62</v>
      </c>
      <c r="I67" s="1" t="s">
        <v>15</v>
      </c>
    </row>
    <row r="68" spans="1:9" ht="28.5">
      <c r="A68" s="20"/>
      <c r="B68" s="221" t="s">
        <v>9</v>
      </c>
      <c r="C68" s="109" t="s">
        <v>187</v>
      </c>
      <c r="D68" s="109" t="s">
        <v>187</v>
      </c>
      <c r="E68" s="3">
        <v>9.7299999999999998E-2</v>
      </c>
      <c r="F68" s="3">
        <v>0.1</v>
      </c>
      <c r="G68" s="87" t="s">
        <v>3</v>
      </c>
      <c r="H68" s="9" t="s">
        <v>49</v>
      </c>
      <c r="I68" s="1" t="s">
        <v>16</v>
      </c>
    </row>
    <row r="69" spans="1:9">
      <c r="A69" s="20"/>
      <c r="B69" s="221" t="s">
        <v>10</v>
      </c>
      <c r="C69" s="109" t="s">
        <v>187</v>
      </c>
      <c r="D69" s="109" t="s">
        <v>187</v>
      </c>
      <c r="E69" s="3">
        <v>4.3799999999999999E-2</v>
      </c>
      <c r="F69" s="3">
        <v>7.0000000000000007E-2</v>
      </c>
      <c r="G69" s="87" t="s">
        <v>3</v>
      </c>
      <c r="H69" s="9" t="s">
        <v>50</v>
      </c>
      <c r="I69" s="1" t="s">
        <v>17</v>
      </c>
    </row>
    <row r="70" spans="1:9">
      <c r="A70" s="20"/>
      <c r="B70" s="221" t="s">
        <v>11</v>
      </c>
      <c r="C70" s="109" t="s">
        <v>187</v>
      </c>
      <c r="D70" s="109" t="s">
        <v>187</v>
      </c>
      <c r="E70" s="3">
        <v>1.1999999999999999E-3</v>
      </c>
      <c r="F70" s="3">
        <v>0.05</v>
      </c>
      <c r="G70" s="87" t="s">
        <v>3</v>
      </c>
      <c r="H70" s="9" t="s">
        <v>51</v>
      </c>
      <c r="I70" s="1" t="s">
        <v>18</v>
      </c>
    </row>
    <row r="71" spans="1:9">
      <c r="A71" s="20"/>
      <c r="B71" s="221" t="s">
        <v>21</v>
      </c>
      <c r="C71" s="109" t="s">
        <v>187</v>
      </c>
      <c r="D71" s="109" t="s">
        <v>187</v>
      </c>
      <c r="E71" s="3">
        <v>3.9300000000000002E-2</v>
      </c>
      <c r="F71" s="3">
        <v>0.05</v>
      </c>
      <c r="G71" s="87" t="s">
        <v>3</v>
      </c>
      <c r="H71" s="9" t="s">
        <v>51</v>
      </c>
      <c r="I71" s="1" t="s">
        <v>18</v>
      </c>
    </row>
    <row r="72" spans="1:9">
      <c r="A72" s="20"/>
      <c r="B72" s="221" t="s">
        <v>12</v>
      </c>
      <c r="C72" s="109" t="s">
        <v>187</v>
      </c>
      <c r="D72" s="109" t="s">
        <v>187</v>
      </c>
      <c r="E72" s="3">
        <v>0.16139999999999999</v>
      </c>
      <c r="F72" s="3">
        <v>0.15</v>
      </c>
      <c r="G72" s="86" t="s">
        <v>3</v>
      </c>
      <c r="H72" s="9" t="s">
        <v>52</v>
      </c>
      <c r="I72" s="9" t="s">
        <v>18</v>
      </c>
    </row>
    <row r="73" spans="1:9">
      <c r="A73" s="20"/>
      <c r="B73" s="221" t="s">
        <v>13</v>
      </c>
      <c r="C73" s="109" t="s">
        <v>187</v>
      </c>
      <c r="D73" s="109" t="s">
        <v>187</v>
      </c>
      <c r="E73" s="3">
        <v>3.1800000000000002E-2</v>
      </c>
      <c r="F73" s="3">
        <v>0.05</v>
      </c>
      <c r="G73" s="86" t="s">
        <v>3</v>
      </c>
      <c r="H73" s="10" t="s">
        <v>51</v>
      </c>
      <c r="I73" s="132" t="s">
        <v>187</v>
      </c>
    </row>
    <row r="74" spans="1:9" ht="15">
      <c r="A74" s="20"/>
      <c r="B74" s="223" t="s">
        <v>5</v>
      </c>
      <c r="C74" s="110" t="s">
        <v>187</v>
      </c>
      <c r="D74" s="110" t="s">
        <v>187</v>
      </c>
      <c r="E74" s="99">
        <f>SUBTOTAL(109,E65:E73)</f>
        <v>1.2392000000000003</v>
      </c>
      <c r="F74" s="99">
        <f>SUBTOTAL(109,F65:F73)</f>
        <v>1.31</v>
      </c>
      <c r="G74" s="117" t="s">
        <v>187</v>
      </c>
      <c r="H74" s="118" t="s">
        <v>187</v>
      </c>
      <c r="I74" s="112" t="s">
        <v>187</v>
      </c>
    </row>
    <row r="75" spans="1:9">
      <c r="A75" s="20"/>
      <c r="B75" s="221" t="s">
        <v>6</v>
      </c>
      <c r="C75" s="109" t="s">
        <v>187</v>
      </c>
      <c r="D75" s="109" t="s">
        <v>187</v>
      </c>
      <c r="E75" s="3">
        <v>0.17269999999999999</v>
      </c>
      <c r="F75" s="3">
        <v>0.18</v>
      </c>
      <c r="G75" s="86" t="s">
        <v>4</v>
      </c>
      <c r="H75" s="9" t="s">
        <v>203</v>
      </c>
      <c r="I75" s="1" t="s">
        <v>19</v>
      </c>
    </row>
    <row r="76" spans="1:9" ht="15">
      <c r="A76" s="21"/>
      <c r="B76" s="223" t="s">
        <v>225</v>
      </c>
      <c r="C76" s="110" t="s">
        <v>187</v>
      </c>
      <c r="D76" s="110" t="s">
        <v>187</v>
      </c>
      <c r="E76" s="12">
        <v>2.5000000000000001E-3</v>
      </c>
      <c r="F76" s="142" t="s">
        <v>187</v>
      </c>
      <c r="G76" s="131" t="s">
        <v>187</v>
      </c>
      <c r="H76" s="131" t="s">
        <v>187</v>
      </c>
      <c r="I76" s="168" t="s">
        <v>187</v>
      </c>
    </row>
    <row r="77" spans="1:9" ht="15">
      <c r="A77" s="18"/>
      <c r="B77" s="159" t="s">
        <v>187</v>
      </c>
      <c r="C77" s="159" t="s">
        <v>187</v>
      </c>
      <c r="D77" s="159" t="s">
        <v>187</v>
      </c>
      <c r="E77" s="160" t="s">
        <v>187</v>
      </c>
      <c r="F77" s="160" t="s">
        <v>187</v>
      </c>
      <c r="G77" s="160" t="s">
        <v>187</v>
      </c>
      <c r="H77" s="160" t="s">
        <v>187</v>
      </c>
      <c r="I77" s="169" t="s">
        <v>187</v>
      </c>
    </row>
    <row r="78" spans="1:9" ht="30">
      <c r="A78" s="28" t="s">
        <v>67</v>
      </c>
      <c r="B78" s="36" t="s">
        <v>38</v>
      </c>
      <c r="C78" s="36"/>
      <c r="D78" s="36"/>
      <c r="E78" s="37"/>
      <c r="F78" s="38"/>
      <c r="G78" s="91"/>
      <c r="H78" s="37"/>
      <c r="I78" s="39"/>
    </row>
    <row r="79" spans="1:9" ht="23.25">
      <c r="A79" s="28"/>
      <c r="B79" s="41" t="s">
        <v>42</v>
      </c>
      <c r="C79" s="41"/>
      <c r="D79" s="41"/>
      <c r="E79" s="37"/>
      <c r="F79" s="38"/>
      <c r="G79" s="91"/>
      <c r="H79" s="37"/>
      <c r="I79" s="39"/>
    </row>
    <row r="80" spans="1:9" ht="23.25">
      <c r="A80" s="28"/>
      <c r="B80" s="41" t="s">
        <v>43</v>
      </c>
      <c r="C80" s="41"/>
      <c r="D80" s="41"/>
      <c r="E80" s="37"/>
      <c r="F80" s="38"/>
      <c r="G80" s="91"/>
      <c r="H80" s="37"/>
      <c r="I80" s="39"/>
    </row>
    <row r="81" spans="1:9" ht="15.75">
      <c r="A81" s="29"/>
      <c r="B81" s="121" t="s">
        <v>0</v>
      </c>
      <c r="C81" s="120" t="s">
        <v>223</v>
      </c>
      <c r="D81" s="120" t="s">
        <v>222</v>
      </c>
      <c r="E81" s="120" t="s">
        <v>221</v>
      </c>
      <c r="F81" s="120" t="s">
        <v>198</v>
      </c>
      <c r="G81" s="121" t="s">
        <v>30</v>
      </c>
      <c r="H81" s="121" t="s">
        <v>20</v>
      </c>
      <c r="I81" s="121" t="s">
        <v>35</v>
      </c>
    </row>
    <row r="82" spans="1:9" ht="57">
      <c r="A82" s="31"/>
      <c r="B82" s="104" t="s">
        <v>138</v>
      </c>
      <c r="C82" s="5">
        <v>1.0145</v>
      </c>
      <c r="D82" s="5">
        <v>0.99490000000000001</v>
      </c>
      <c r="E82" s="5">
        <v>0.99309999999999998</v>
      </c>
      <c r="F82" s="5">
        <v>0.99</v>
      </c>
      <c r="G82" s="85" t="s">
        <v>23</v>
      </c>
      <c r="H82" s="7" t="s">
        <v>239</v>
      </c>
      <c r="I82" s="6" t="s">
        <v>218</v>
      </c>
    </row>
    <row r="83" spans="1:9">
      <c r="A83" s="30"/>
      <c r="B83" s="2" t="s">
        <v>2</v>
      </c>
      <c r="C83" s="3">
        <v>0.28270000000000001</v>
      </c>
      <c r="D83" s="3">
        <v>0.28960000000000002</v>
      </c>
      <c r="E83" s="3">
        <v>0.2969</v>
      </c>
      <c r="F83" s="3">
        <v>0.3</v>
      </c>
      <c r="G83" s="86" t="s">
        <v>24</v>
      </c>
      <c r="H83" s="4" t="s">
        <v>60</v>
      </c>
      <c r="I83" s="1" t="s">
        <v>14</v>
      </c>
    </row>
    <row r="84" spans="1:9">
      <c r="A84" s="31"/>
      <c r="B84" s="69" t="s">
        <v>137</v>
      </c>
      <c r="C84" s="3">
        <v>3.8600000000000002E-2</v>
      </c>
      <c r="D84" s="3">
        <v>3.9199999999999999E-2</v>
      </c>
      <c r="E84" s="3">
        <v>4.3900000000000002E-2</v>
      </c>
      <c r="F84" s="3">
        <v>0.06</v>
      </c>
      <c r="G84" s="86" t="s">
        <v>23</v>
      </c>
      <c r="H84" s="4" t="s">
        <v>58</v>
      </c>
      <c r="I84" s="1" t="s">
        <v>15</v>
      </c>
    </row>
    <row r="85" spans="1:9" ht="28.5">
      <c r="A85" s="31"/>
      <c r="B85" s="2" t="s">
        <v>9</v>
      </c>
      <c r="C85" s="3">
        <v>4.6199999999999998E-2</v>
      </c>
      <c r="D85" s="3">
        <v>3.5799999999999998E-2</v>
      </c>
      <c r="E85" s="3">
        <v>3.5000000000000003E-2</v>
      </c>
      <c r="F85" s="3">
        <v>0.05</v>
      </c>
      <c r="G85" s="87" t="s">
        <v>24</v>
      </c>
      <c r="H85" s="9" t="s">
        <v>51</v>
      </c>
      <c r="I85" s="1" t="s">
        <v>16</v>
      </c>
    </row>
    <row r="86" spans="1:9">
      <c r="A86" s="31"/>
      <c r="B86" s="2" t="s">
        <v>10</v>
      </c>
      <c r="C86" s="3">
        <v>1.6000000000000001E-3</v>
      </c>
      <c r="D86" s="3">
        <v>1.6000000000000001E-3</v>
      </c>
      <c r="E86" s="3">
        <v>1.4E-3</v>
      </c>
      <c r="F86" s="3">
        <v>0.05</v>
      </c>
      <c r="G86" s="87" t="s">
        <v>24</v>
      </c>
      <c r="H86" s="9" t="s">
        <v>51</v>
      </c>
      <c r="I86" s="1" t="s">
        <v>17</v>
      </c>
    </row>
    <row r="87" spans="1:9">
      <c r="A87" s="31"/>
      <c r="B87" s="2" t="s">
        <v>11</v>
      </c>
      <c r="C87" s="3">
        <v>0</v>
      </c>
      <c r="D87" s="3">
        <v>8.9999999999999998E-4</v>
      </c>
      <c r="E87" s="3">
        <v>5.9999999999999995E-4</v>
      </c>
      <c r="F87" s="3">
        <v>0.05</v>
      </c>
      <c r="G87" s="87" t="s">
        <v>24</v>
      </c>
      <c r="H87" s="9" t="s">
        <v>51</v>
      </c>
      <c r="I87" s="1" t="s">
        <v>18</v>
      </c>
    </row>
    <row r="88" spans="1:9">
      <c r="A88" s="31"/>
      <c r="B88" s="2" t="s">
        <v>21</v>
      </c>
      <c r="C88" s="3">
        <v>0</v>
      </c>
      <c r="D88" s="3">
        <v>0</v>
      </c>
      <c r="E88" s="3">
        <v>0</v>
      </c>
      <c r="F88" s="3">
        <v>0.05</v>
      </c>
      <c r="G88" s="87" t="s">
        <v>24</v>
      </c>
      <c r="H88" s="9" t="s">
        <v>51</v>
      </c>
      <c r="I88" s="1" t="s">
        <v>18</v>
      </c>
    </row>
    <row r="89" spans="1:9">
      <c r="A89" s="31"/>
      <c r="B89" s="2" t="s">
        <v>12</v>
      </c>
      <c r="C89" s="3">
        <v>0.19520000000000001</v>
      </c>
      <c r="D89" s="3">
        <v>0.20150000000000001</v>
      </c>
      <c r="E89" s="3">
        <v>0.1908</v>
      </c>
      <c r="F89" s="3">
        <v>0.15</v>
      </c>
      <c r="G89" s="86" t="s">
        <v>24</v>
      </c>
      <c r="H89" s="9" t="s">
        <v>52</v>
      </c>
      <c r="I89" s="9" t="s">
        <v>18</v>
      </c>
    </row>
    <row r="90" spans="1:9">
      <c r="A90" s="31"/>
      <c r="B90" s="2" t="s">
        <v>13</v>
      </c>
      <c r="C90" s="3">
        <v>9.1999999999999998E-3</v>
      </c>
      <c r="D90" s="3">
        <v>8.8000000000000005E-3</v>
      </c>
      <c r="E90" s="3">
        <v>2.58E-2</v>
      </c>
      <c r="F90" s="3">
        <v>0.05</v>
      </c>
      <c r="G90" s="86" t="s">
        <v>24</v>
      </c>
      <c r="H90" s="10" t="s">
        <v>51</v>
      </c>
      <c r="I90" s="132" t="s">
        <v>187</v>
      </c>
    </row>
    <row r="91" spans="1:9" ht="15">
      <c r="A91" s="31"/>
      <c r="B91" s="26" t="s">
        <v>5</v>
      </c>
      <c r="C91" s="99">
        <f>SUBTOTAL(109,C82:C90)</f>
        <v>1.5880000000000001</v>
      </c>
      <c r="D91" s="99">
        <f t="shared" ref="D91:F91" si="0">SUBTOTAL(109,D82:D90)</f>
        <v>1.5722999999999998</v>
      </c>
      <c r="E91" s="99">
        <f t="shared" si="0"/>
        <v>1.5875000000000001</v>
      </c>
      <c r="F91" s="99">
        <f t="shared" si="0"/>
        <v>1.7500000000000002</v>
      </c>
      <c r="G91" s="117" t="s">
        <v>187</v>
      </c>
      <c r="H91" s="112" t="s">
        <v>187</v>
      </c>
      <c r="I91" s="112" t="s">
        <v>187</v>
      </c>
    </row>
    <row r="92" spans="1:9">
      <c r="A92" s="31"/>
      <c r="B92" s="2" t="s">
        <v>6</v>
      </c>
      <c r="C92" s="11">
        <v>0.2351</v>
      </c>
      <c r="D92" s="11">
        <v>0.22620000000000001</v>
      </c>
      <c r="E92" s="11">
        <v>0.2379</v>
      </c>
      <c r="F92" s="11">
        <v>0.22</v>
      </c>
      <c r="G92" s="86" t="s">
        <v>23</v>
      </c>
      <c r="H92" s="9" t="s">
        <v>53</v>
      </c>
      <c r="I92" s="1" t="s">
        <v>19</v>
      </c>
    </row>
    <row r="93" spans="1:9" ht="15">
      <c r="A93" s="31"/>
      <c r="B93" s="26" t="s">
        <v>225</v>
      </c>
      <c r="C93" s="12">
        <v>1.4E-3</v>
      </c>
      <c r="D93" s="12">
        <v>1.4E-3</v>
      </c>
      <c r="E93" s="12">
        <v>1.1999999999999999E-3</v>
      </c>
      <c r="F93" s="142" t="s">
        <v>187</v>
      </c>
      <c r="G93" s="139" t="s">
        <v>187</v>
      </c>
      <c r="H93" s="140" t="s">
        <v>187</v>
      </c>
      <c r="I93" s="146" t="s">
        <v>187</v>
      </c>
    </row>
    <row r="94" spans="1:9" ht="15">
      <c r="A94" s="18"/>
      <c r="B94" s="15"/>
      <c r="C94" s="15"/>
      <c r="D94" s="15"/>
      <c r="E94" s="17"/>
      <c r="F94" s="16"/>
      <c r="G94" s="88"/>
      <c r="H94" s="17"/>
      <c r="I94" s="167"/>
    </row>
    <row r="95" spans="1:9" ht="30">
      <c r="A95" s="28" t="s">
        <v>68</v>
      </c>
      <c r="B95" s="36" t="s">
        <v>39</v>
      </c>
      <c r="C95" s="36"/>
      <c r="D95" s="36"/>
      <c r="E95" s="37"/>
      <c r="F95" s="38"/>
      <c r="G95" s="91"/>
      <c r="H95" s="37"/>
      <c r="I95" s="39"/>
    </row>
    <row r="96" spans="1:9" ht="23.25">
      <c r="A96" s="28"/>
      <c r="B96" s="41" t="s">
        <v>40</v>
      </c>
      <c r="C96" s="41"/>
      <c r="D96" s="41"/>
      <c r="E96" s="37"/>
      <c r="F96" s="38"/>
      <c r="G96" s="91"/>
      <c r="H96" s="37"/>
      <c r="I96" s="39"/>
    </row>
    <row r="97" spans="1:9" ht="23.25">
      <c r="A97" s="28"/>
      <c r="B97" s="41" t="s">
        <v>41</v>
      </c>
      <c r="C97" s="41"/>
      <c r="D97" s="41"/>
      <c r="E97" s="37"/>
      <c r="F97" s="38"/>
      <c r="G97" s="91"/>
      <c r="H97" s="37"/>
      <c r="I97" s="39"/>
    </row>
    <row r="98" spans="1:9" ht="15.75">
      <c r="A98" s="29"/>
      <c r="B98" s="119" t="s">
        <v>0</v>
      </c>
      <c r="C98" s="120" t="s">
        <v>223</v>
      </c>
      <c r="D98" s="120" t="s">
        <v>222</v>
      </c>
      <c r="E98" s="120" t="s">
        <v>221</v>
      </c>
      <c r="F98" s="120" t="s">
        <v>198</v>
      </c>
      <c r="G98" s="121" t="s">
        <v>30</v>
      </c>
      <c r="H98" s="121" t="s">
        <v>20</v>
      </c>
      <c r="I98" s="121" t="s">
        <v>35</v>
      </c>
    </row>
    <row r="99" spans="1:9" ht="57">
      <c r="A99" s="31"/>
      <c r="B99" s="2" t="s">
        <v>138</v>
      </c>
      <c r="C99" s="5">
        <v>4.7699999999999999E-2</v>
      </c>
      <c r="D99" s="5">
        <v>5.1700000000000003E-2</v>
      </c>
      <c r="E99" s="5">
        <v>4.7199999999999999E-2</v>
      </c>
      <c r="F99" s="5" t="s">
        <v>240</v>
      </c>
      <c r="G99" s="85" t="s">
        <v>23</v>
      </c>
      <c r="H99" s="7" t="s">
        <v>58</v>
      </c>
      <c r="I99" s="6" t="s">
        <v>218</v>
      </c>
    </row>
    <row r="100" spans="1:9">
      <c r="A100" s="30"/>
      <c r="B100" s="2" t="s">
        <v>2</v>
      </c>
      <c r="C100" s="5">
        <v>9.7600000000000006E-2</v>
      </c>
      <c r="D100" s="5">
        <v>8.9200000000000002E-2</v>
      </c>
      <c r="E100" s="5">
        <v>9.6100000000000005E-2</v>
      </c>
      <c r="F100" s="5">
        <v>0.1</v>
      </c>
      <c r="G100" s="86" t="s">
        <v>24</v>
      </c>
      <c r="H100" s="4" t="s">
        <v>49</v>
      </c>
      <c r="I100" s="1" t="s">
        <v>14</v>
      </c>
    </row>
    <row r="101" spans="1:9">
      <c r="A101" s="31"/>
      <c r="B101" s="69" t="s">
        <v>137</v>
      </c>
      <c r="C101" s="5">
        <v>0.76659999999999995</v>
      </c>
      <c r="D101" s="5">
        <v>0.78290000000000004</v>
      </c>
      <c r="E101" s="5">
        <v>0.77100000000000002</v>
      </c>
      <c r="F101" s="5">
        <v>0.8</v>
      </c>
      <c r="G101" s="86" t="s">
        <v>23</v>
      </c>
      <c r="H101" s="4" t="s">
        <v>129</v>
      </c>
      <c r="I101" s="1" t="s">
        <v>15</v>
      </c>
    </row>
    <row r="102" spans="1:9" ht="28.5">
      <c r="A102" s="31"/>
      <c r="B102" s="176" t="s">
        <v>9</v>
      </c>
      <c r="C102" s="5">
        <v>1.2E-2</v>
      </c>
      <c r="D102" s="5">
        <v>1.52E-2</v>
      </c>
      <c r="E102" s="5">
        <v>1.2200000000000001E-2</v>
      </c>
      <c r="F102" s="5">
        <v>0.05</v>
      </c>
      <c r="G102" s="87" t="s">
        <v>24</v>
      </c>
      <c r="H102" s="9" t="s">
        <v>51</v>
      </c>
      <c r="I102" s="1" t="s">
        <v>16</v>
      </c>
    </row>
    <row r="103" spans="1:9">
      <c r="A103" s="31"/>
      <c r="B103" s="176" t="s">
        <v>10</v>
      </c>
      <c r="C103" s="5">
        <v>1.6400000000000001E-2</v>
      </c>
      <c r="D103" s="5">
        <v>1.8800000000000001E-2</v>
      </c>
      <c r="E103" s="5">
        <v>1.4E-2</v>
      </c>
      <c r="F103" s="5">
        <v>0.05</v>
      </c>
      <c r="G103" s="87" t="s">
        <v>24</v>
      </c>
      <c r="H103" s="9" t="s">
        <v>51</v>
      </c>
      <c r="I103" s="1" t="s">
        <v>17</v>
      </c>
    </row>
    <row r="104" spans="1:9">
      <c r="A104" s="31"/>
      <c r="B104" s="176" t="s">
        <v>11</v>
      </c>
      <c r="C104" s="5">
        <v>0</v>
      </c>
      <c r="D104" s="5">
        <v>0</v>
      </c>
      <c r="E104" s="5">
        <v>0</v>
      </c>
      <c r="F104" s="5">
        <v>0.05</v>
      </c>
      <c r="G104" s="87" t="s">
        <v>24</v>
      </c>
      <c r="H104" s="9" t="s">
        <v>51</v>
      </c>
      <c r="I104" s="1" t="s">
        <v>18</v>
      </c>
    </row>
    <row r="105" spans="1:9">
      <c r="A105" s="31"/>
      <c r="B105" s="176" t="s">
        <v>21</v>
      </c>
      <c r="C105" s="3">
        <v>0</v>
      </c>
      <c r="D105" s="5">
        <v>0</v>
      </c>
      <c r="E105" s="3">
        <v>0</v>
      </c>
      <c r="F105" s="5">
        <v>0.05</v>
      </c>
      <c r="G105" s="87" t="s">
        <v>24</v>
      </c>
      <c r="H105" s="9" t="s">
        <v>51</v>
      </c>
      <c r="I105" s="1" t="s">
        <v>18</v>
      </c>
    </row>
    <row r="106" spans="1:9">
      <c r="A106" s="31"/>
      <c r="B106" s="2" t="s">
        <v>12</v>
      </c>
      <c r="C106" s="5">
        <v>6.4600000000000005E-2</v>
      </c>
      <c r="D106" s="5">
        <v>4.8500000000000001E-2</v>
      </c>
      <c r="E106" s="5">
        <v>6.5500000000000003E-2</v>
      </c>
      <c r="F106" s="5">
        <v>0.05</v>
      </c>
      <c r="G106" s="86" t="s">
        <v>24</v>
      </c>
      <c r="H106" s="9" t="s">
        <v>51</v>
      </c>
      <c r="I106" s="9" t="s">
        <v>18</v>
      </c>
    </row>
    <row r="107" spans="1:9">
      <c r="A107" s="31"/>
      <c r="B107" s="2" t="s">
        <v>13</v>
      </c>
      <c r="C107" s="3">
        <v>3.0000000000000001E-3</v>
      </c>
      <c r="D107" s="5">
        <v>2.0999999999999999E-3</v>
      </c>
      <c r="E107" s="3">
        <v>1.4E-3</v>
      </c>
      <c r="F107" s="3">
        <v>0.05</v>
      </c>
      <c r="G107" s="86" t="s">
        <v>24</v>
      </c>
      <c r="H107" s="10" t="s">
        <v>51</v>
      </c>
      <c r="I107" s="132" t="s">
        <v>187</v>
      </c>
    </row>
    <row r="108" spans="1:9" ht="15">
      <c r="A108" s="31"/>
      <c r="B108" s="26" t="s">
        <v>5</v>
      </c>
      <c r="C108" s="99">
        <f>SUBTOTAL(109,C99:C107)</f>
        <v>1.0078999999999998</v>
      </c>
      <c r="D108" s="99">
        <f t="shared" ref="D108:F108" si="1">SUBTOTAL(109,D99:D107)</f>
        <v>1.0084000000000002</v>
      </c>
      <c r="E108" s="99">
        <f t="shared" si="1"/>
        <v>1.0074000000000001</v>
      </c>
      <c r="F108" s="99">
        <f t="shared" si="1"/>
        <v>1.2000000000000002</v>
      </c>
      <c r="G108" s="117" t="s">
        <v>187</v>
      </c>
      <c r="H108" s="118" t="s">
        <v>187</v>
      </c>
      <c r="I108" s="112" t="s">
        <v>187</v>
      </c>
    </row>
    <row r="109" spans="1:9">
      <c r="A109" s="31"/>
      <c r="B109" s="2" t="s">
        <v>6</v>
      </c>
      <c r="C109" s="11">
        <v>5.6899999999999999E-2</v>
      </c>
      <c r="D109" s="11">
        <v>5.5399999999999998E-2</v>
      </c>
      <c r="E109" s="11">
        <v>5.0500000000000003E-2</v>
      </c>
      <c r="F109" s="11">
        <v>0.08</v>
      </c>
      <c r="G109" s="86" t="s">
        <v>23</v>
      </c>
      <c r="H109" s="9" t="s">
        <v>59</v>
      </c>
      <c r="I109" s="1" t="s">
        <v>19</v>
      </c>
    </row>
    <row r="110" spans="1:9" ht="15">
      <c r="A110" s="31"/>
      <c r="B110" s="106" t="s">
        <v>225</v>
      </c>
      <c r="C110" s="12">
        <v>1E-3</v>
      </c>
      <c r="D110" s="12">
        <v>1E-3</v>
      </c>
      <c r="E110" s="12">
        <v>1E-3</v>
      </c>
      <c r="F110" s="142" t="s">
        <v>187</v>
      </c>
      <c r="G110" s="139" t="s">
        <v>187</v>
      </c>
      <c r="H110" s="140" t="s">
        <v>187</v>
      </c>
      <c r="I110" s="146" t="s">
        <v>187</v>
      </c>
    </row>
    <row r="111" spans="1:9" ht="15">
      <c r="A111" s="18"/>
      <c r="B111" s="15"/>
      <c r="C111" s="15"/>
      <c r="D111" s="15"/>
      <c r="E111" s="17"/>
      <c r="F111" s="16"/>
      <c r="G111" s="88"/>
      <c r="H111" s="17"/>
      <c r="I111" s="167"/>
    </row>
    <row r="112" spans="1:9" ht="30">
      <c r="A112" s="28" t="s">
        <v>69</v>
      </c>
      <c r="B112" s="36" t="s">
        <v>44</v>
      </c>
      <c r="C112" s="36"/>
      <c r="D112" s="36"/>
      <c r="E112" s="37"/>
      <c r="F112" s="38"/>
      <c r="G112" s="91"/>
      <c r="H112" s="37"/>
      <c r="I112" s="39"/>
    </row>
    <row r="113" spans="1:9" ht="23.25">
      <c r="A113" s="28"/>
      <c r="B113" s="41" t="s">
        <v>45</v>
      </c>
      <c r="C113" s="41"/>
      <c r="D113" s="41"/>
      <c r="E113" s="37"/>
      <c r="F113" s="38"/>
      <c r="G113" s="91"/>
      <c r="H113" s="37"/>
      <c r="I113" s="39"/>
    </row>
    <row r="114" spans="1:9" ht="15.75">
      <c r="A114" s="29"/>
      <c r="B114" s="262" t="s">
        <v>0</v>
      </c>
      <c r="C114" s="107" t="s">
        <v>187</v>
      </c>
      <c r="D114" s="264" t="s">
        <v>224</v>
      </c>
      <c r="E114" s="261" t="s">
        <v>221</v>
      </c>
      <c r="F114" s="261" t="s">
        <v>198</v>
      </c>
      <c r="G114" s="13" t="s">
        <v>30</v>
      </c>
      <c r="H114" s="13" t="s">
        <v>20</v>
      </c>
      <c r="I114" s="13" t="s">
        <v>35</v>
      </c>
    </row>
    <row r="115" spans="1:9" ht="57">
      <c r="A115" s="31"/>
      <c r="B115" s="221" t="s">
        <v>138</v>
      </c>
      <c r="C115" s="108" t="s">
        <v>187</v>
      </c>
      <c r="D115" s="5">
        <v>0.24879999999999999</v>
      </c>
      <c r="E115" s="5">
        <v>0.23849999999999999</v>
      </c>
      <c r="F115" s="5">
        <v>0.24</v>
      </c>
      <c r="G115" s="177" t="s">
        <v>23</v>
      </c>
      <c r="H115" s="7" t="s">
        <v>63</v>
      </c>
      <c r="I115" s="6" t="s">
        <v>218</v>
      </c>
    </row>
    <row r="116" spans="1:9">
      <c r="A116" s="30"/>
      <c r="B116" s="221" t="s">
        <v>2</v>
      </c>
      <c r="C116" s="109" t="s">
        <v>187</v>
      </c>
      <c r="D116" s="3">
        <v>0.27939999999999998</v>
      </c>
      <c r="E116" s="3">
        <v>0.28810000000000002</v>
      </c>
      <c r="F116" s="3">
        <v>0.27</v>
      </c>
      <c r="G116" s="179" t="s">
        <v>24</v>
      </c>
      <c r="H116" s="4" t="s">
        <v>177</v>
      </c>
      <c r="I116" s="1" t="s">
        <v>14</v>
      </c>
    </row>
    <row r="117" spans="1:9">
      <c r="A117" s="31"/>
      <c r="B117" s="222" t="s">
        <v>137</v>
      </c>
      <c r="C117" s="108" t="s">
        <v>187</v>
      </c>
      <c r="D117" s="3">
        <v>0.33810000000000001</v>
      </c>
      <c r="E117" s="3">
        <v>0.33660000000000001</v>
      </c>
      <c r="F117" s="3">
        <v>0.35</v>
      </c>
      <c r="G117" s="179" t="s">
        <v>23</v>
      </c>
      <c r="H117" s="4" t="s">
        <v>118</v>
      </c>
      <c r="I117" s="1" t="s">
        <v>15</v>
      </c>
    </row>
    <row r="118" spans="1:9" ht="28.5">
      <c r="A118" s="31"/>
      <c r="B118" s="227" t="s">
        <v>9</v>
      </c>
      <c r="C118" s="109" t="s">
        <v>187</v>
      </c>
      <c r="D118" s="3">
        <v>8.1000000000000003E-2</v>
      </c>
      <c r="E118" s="3">
        <v>5.8099999999999999E-2</v>
      </c>
      <c r="F118" s="3">
        <v>7.0000000000000007E-2</v>
      </c>
      <c r="G118" s="180" t="s">
        <v>24</v>
      </c>
      <c r="H118" s="4" t="s">
        <v>50</v>
      </c>
      <c r="I118" s="1" t="s">
        <v>16</v>
      </c>
    </row>
    <row r="119" spans="1:9">
      <c r="A119" s="31"/>
      <c r="B119" s="227" t="s">
        <v>10</v>
      </c>
      <c r="C119" s="109" t="s">
        <v>187</v>
      </c>
      <c r="D119" s="3">
        <v>3.95E-2</v>
      </c>
      <c r="E119" s="3">
        <v>4.4400000000000002E-2</v>
      </c>
      <c r="F119" s="3">
        <v>0.05</v>
      </c>
      <c r="G119" s="180" t="s">
        <v>24</v>
      </c>
      <c r="H119" s="4" t="s">
        <v>51</v>
      </c>
      <c r="I119" s="1" t="s">
        <v>17</v>
      </c>
    </row>
    <row r="120" spans="1:9">
      <c r="A120" s="31"/>
      <c r="B120" s="227" t="s">
        <v>11</v>
      </c>
      <c r="C120" s="109" t="s">
        <v>187</v>
      </c>
      <c r="D120" s="3">
        <v>0</v>
      </c>
      <c r="E120" s="3">
        <v>0</v>
      </c>
      <c r="F120" s="3">
        <v>0.05</v>
      </c>
      <c r="G120" s="180" t="s">
        <v>24</v>
      </c>
      <c r="H120" s="4" t="s">
        <v>51</v>
      </c>
      <c r="I120" s="1" t="s">
        <v>18</v>
      </c>
    </row>
    <row r="121" spans="1:9">
      <c r="A121" s="31"/>
      <c r="B121" s="227" t="s">
        <v>21</v>
      </c>
      <c r="C121" s="109" t="s">
        <v>187</v>
      </c>
      <c r="D121" s="3">
        <v>0</v>
      </c>
      <c r="E121" s="3">
        <v>0</v>
      </c>
      <c r="F121" s="3">
        <v>0.05</v>
      </c>
      <c r="G121" s="180" t="s">
        <v>24</v>
      </c>
      <c r="H121" s="4" t="s">
        <v>51</v>
      </c>
      <c r="I121" s="1" t="s">
        <v>18</v>
      </c>
    </row>
    <row r="122" spans="1:9">
      <c r="A122" s="31"/>
      <c r="B122" s="227" t="s">
        <v>12</v>
      </c>
      <c r="C122" s="109" t="s">
        <v>187</v>
      </c>
      <c r="D122" s="3">
        <v>0.16520000000000001</v>
      </c>
      <c r="E122" s="3">
        <v>0.16619999999999999</v>
      </c>
      <c r="F122" s="3">
        <v>0.12</v>
      </c>
      <c r="G122" s="179" t="s">
        <v>24</v>
      </c>
      <c r="H122" s="4" t="s">
        <v>56</v>
      </c>
      <c r="I122" s="9" t="s">
        <v>18</v>
      </c>
    </row>
    <row r="123" spans="1:9">
      <c r="A123" s="31"/>
      <c r="B123" s="227" t="s">
        <v>13</v>
      </c>
      <c r="C123" s="109" t="s">
        <v>187</v>
      </c>
      <c r="D123" s="3">
        <v>2.06E-2</v>
      </c>
      <c r="E123" s="3">
        <v>2.1499999999999998E-2</v>
      </c>
      <c r="F123" s="3">
        <v>0.05</v>
      </c>
      <c r="G123" s="179" t="s">
        <v>24</v>
      </c>
      <c r="H123" s="181" t="s">
        <v>51</v>
      </c>
      <c r="I123" s="132" t="s">
        <v>187</v>
      </c>
    </row>
    <row r="124" spans="1:9" ht="15">
      <c r="A124" s="31"/>
      <c r="B124" s="223" t="s">
        <v>5</v>
      </c>
      <c r="C124" s="110" t="s">
        <v>187</v>
      </c>
      <c r="D124" s="99">
        <f>SUBTOTAL(109,D115:D123)</f>
        <v>1.1726000000000001</v>
      </c>
      <c r="E124" s="99">
        <f>SUBTOTAL(109,E115:E123)</f>
        <v>1.1534</v>
      </c>
      <c r="F124" s="99">
        <f>SUBTOTAL(109,F115:F123)</f>
        <v>1.2500000000000002</v>
      </c>
      <c r="G124" s="183" t="s">
        <v>187</v>
      </c>
      <c r="H124" s="184" t="s">
        <v>187</v>
      </c>
      <c r="I124" s="112" t="s">
        <v>187</v>
      </c>
    </row>
    <row r="125" spans="1:9">
      <c r="A125" s="31"/>
      <c r="B125" s="221" t="s">
        <v>6</v>
      </c>
      <c r="C125" s="109" t="s">
        <v>187</v>
      </c>
      <c r="D125" s="11">
        <v>0.17860000000000001</v>
      </c>
      <c r="E125" s="11">
        <v>0.17680000000000001</v>
      </c>
      <c r="F125" s="11">
        <v>0.18</v>
      </c>
      <c r="G125" s="179" t="s">
        <v>23</v>
      </c>
      <c r="H125" s="4" t="s">
        <v>203</v>
      </c>
      <c r="I125" s="1" t="s">
        <v>19</v>
      </c>
    </row>
    <row r="126" spans="1:9" ht="15">
      <c r="A126" s="31"/>
      <c r="B126" s="223" t="s">
        <v>225</v>
      </c>
      <c r="C126" s="110" t="s">
        <v>187</v>
      </c>
      <c r="D126" s="12">
        <v>2.2000000000000001E-3</v>
      </c>
      <c r="E126" s="12">
        <v>1.6999999999999999E-3</v>
      </c>
      <c r="F126" s="142" t="s">
        <v>187</v>
      </c>
      <c r="G126" s="139" t="s">
        <v>187</v>
      </c>
      <c r="H126" s="140" t="s">
        <v>187</v>
      </c>
      <c r="I126" s="146" t="s">
        <v>187</v>
      </c>
    </row>
    <row r="127" spans="1:9" ht="15">
      <c r="A127" s="18"/>
      <c r="B127" s="15"/>
      <c r="C127" s="15"/>
      <c r="D127" s="15"/>
      <c r="E127" s="17"/>
      <c r="F127" s="16"/>
      <c r="G127" s="88"/>
      <c r="H127" s="17"/>
      <c r="I127" s="167"/>
    </row>
    <row r="128" spans="1:9" ht="30">
      <c r="A128" s="28" t="s">
        <v>70</v>
      </c>
      <c r="B128" s="36" t="s">
        <v>71</v>
      </c>
      <c r="C128" s="36"/>
      <c r="D128" s="36"/>
      <c r="E128" s="37"/>
      <c r="F128" s="38"/>
      <c r="G128" s="91"/>
      <c r="H128" s="37"/>
      <c r="I128" s="39"/>
    </row>
    <row r="129" spans="1:9" ht="23.25">
      <c r="A129" s="28"/>
      <c r="B129" s="41" t="s">
        <v>72</v>
      </c>
      <c r="C129" s="41"/>
      <c r="D129" s="41"/>
      <c r="E129" s="37"/>
      <c r="F129" s="38"/>
      <c r="G129" s="91"/>
      <c r="H129" s="37"/>
      <c r="I129" s="39"/>
    </row>
    <row r="130" spans="1:9" ht="23.25">
      <c r="A130" s="28"/>
      <c r="B130" s="41" t="s">
        <v>73</v>
      </c>
      <c r="C130" s="41"/>
      <c r="D130" s="41"/>
      <c r="E130" s="37"/>
      <c r="F130" s="38"/>
      <c r="G130" s="91"/>
      <c r="H130" s="37"/>
      <c r="I130" s="39"/>
    </row>
    <row r="131" spans="1:9" ht="15.75">
      <c r="A131" s="29"/>
      <c r="B131" s="119" t="s">
        <v>0</v>
      </c>
      <c r="C131" s="120" t="s">
        <v>223</v>
      </c>
      <c r="D131" s="120" t="s">
        <v>222</v>
      </c>
      <c r="E131" s="120" t="s">
        <v>221</v>
      </c>
      <c r="F131" s="120" t="s">
        <v>198</v>
      </c>
      <c r="G131" s="121" t="s">
        <v>30</v>
      </c>
      <c r="H131" s="121" t="s">
        <v>20</v>
      </c>
      <c r="I131" s="121" t="s">
        <v>35</v>
      </c>
    </row>
    <row r="132" spans="1:9">
      <c r="A132" s="31"/>
      <c r="B132" s="104" t="s">
        <v>138</v>
      </c>
      <c r="C132" s="123" t="s">
        <v>187</v>
      </c>
      <c r="D132" s="123" t="s">
        <v>187</v>
      </c>
      <c r="E132" s="123" t="s">
        <v>187</v>
      </c>
      <c r="F132" s="123" t="s">
        <v>187</v>
      </c>
      <c r="G132" s="85" t="s">
        <v>23</v>
      </c>
      <c r="H132" s="157" t="s">
        <v>243</v>
      </c>
      <c r="I132" s="147" t="s">
        <v>187</v>
      </c>
    </row>
    <row r="133" spans="1:9">
      <c r="A133" s="30"/>
      <c r="B133" s="104" t="s">
        <v>2</v>
      </c>
      <c r="C133" s="55">
        <v>0.9486</v>
      </c>
      <c r="D133" s="55">
        <v>0.9325</v>
      </c>
      <c r="E133" s="55">
        <v>0.96250000000000002</v>
      </c>
      <c r="F133" s="55">
        <v>0.95</v>
      </c>
      <c r="G133" s="86" t="s">
        <v>24</v>
      </c>
      <c r="H133" s="4" t="s">
        <v>130</v>
      </c>
      <c r="I133" s="1" t="s">
        <v>14</v>
      </c>
    </row>
    <row r="134" spans="1:9">
      <c r="A134" s="31"/>
      <c r="B134" s="105" t="s">
        <v>137</v>
      </c>
      <c r="C134" s="55">
        <v>1.7999999999999999E-2</v>
      </c>
      <c r="D134" s="55">
        <v>2.35E-2</v>
      </c>
      <c r="E134" s="55">
        <v>2.2800000000000001E-2</v>
      </c>
      <c r="F134" s="55">
        <v>0.06</v>
      </c>
      <c r="G134" s="86" t="s">
        <v>23</v>
      </c>
      <c r="H134" s="4" t="s">
        <v>58</v>
      </c>
      <c r="I134" s="145" t="s">
        <v>187</v>
      </c>
    </row>
    <row r="135" spans="1:9">
      <c r="A135" s="31"/>
      <c r="B135" s="158" t="s">
        <v>12</v>
      </c>
      <c r="C135" s="55">
        <v>3.3300000000000003E-2</v>
      </c>
      <c r="D135" s="55">
        <v>4.3900000000000002E-2</v>
      </c>
      <c r="E135" s="55">
        <v>1.47E-2</v>
      </c>
      <c r="F135" s="55">
        <v>0.05</v>
      </c>
      <c r="G135" s="86" t="s">
        <v>24</v>
      </c>
      <c r="H135" s="9" t="s">
        <v>51</v>
      </c>
      <c r="I135" s="9" t="s">
        <v>18</v>
      </c>
    </row>
    <row r="136" spans="1:9" ht="15">
      <c r="A136" s="31"/>
      <c r="B136" s="106" t="s">
        <v>5</v>
      </c>
      <c r="C136" s="27">
        <f>SUBTOTAL(109,C132:C135)</f>
        <v>0.99990000000000001</v>
      </c>
      <c r="D136" s="27">
        <f t="shared" ref="D136:F136" si="2">SUBTOTAL(109,D132:D135)</f>
        <v>0.99990000000000001</v>
      </c>
      <c r="E136" s="27">
        <f t="shared" si="2"/>
        <v>1</v>
      </c>
      <c r="F136" s="27">
        <f t="shared" si="2"/>
        <v>1.06</v>
      </c>
      <c r="G136" s="117" t="s">
        <v>187</v>
      </c>
      <c r="H136" s="118" t="s">
        <v>243</v>
      </c>
      <c r="I136" s="112" t="s">
        <v>187</v>
      </c>
    </row>
    <row r="137" spans="1:9">
      <c r="A137" s="31"/>
      <c r="B137" s="104" t="s">
        <v>6</v>
      </c>
      <c r="C137" s="141" t="s">
        <v>187</v>
      </c>
      <c r="D137" s="141" t="s">
        <v>187</v>
      </c>
      <c r="E137" s="141">
        <v>0</v>
      </c>
      <c r="F137" s="141" t="s">
        <v>187</v>
      </c>
      <c r="G137" s="86" t="s">
        <v>23</v>
      </c>
      <c r="H137" s="132" t="s">
        <v>243</v>
      </c>
      <c r="I137" s="145" t="s">
        <v>187</v>
      </c>
    </row>
    <row r="138" spans="1:9" ht="15">
      <c r="A138" s="31"/>
      <c r="B138" s="106" t="s">
        <v>225</v>
      </c>
      <c r="C138" s="12">
        <v>1E-3</v>
      </c>
      <c r="D138" s="12">
        <v>1E-3</v>
      </c>
      <c r="E138" s="12">
        <v>1E-3</v>
      </c>
      <c r="F138" s="142" t="s">
        <v>187</v>
      </c>
      <c r="G138" s="139" t="s">
        <v>187</v>
      </c>
      <c r="H138" s="140" t="s">
        <v>187</v>
      </c>
      <c r="I138" s="146" t="s">
        <v>187</v>
      </c>
    </row>
    <row r="139" spans="1:9" ht="15">
      <c r="A139" s="18"/>
      <c r="B139" s="15"/>
      <c r="C139" s="15"/>
      <c r="D139" s="15"/>
      <c r="E139" s="17"/>
      <c r="F139" s="16"/>
      <c r="G139" s="88"/>
      <c r="H139" s="17"/>
      <c r="I139" s="167"/>
    </row>
    <row r="140" spans="1:9" ht="30">
      <c r="A140" s="42" t="s">
        <v>92</v>
      </c>
      <c r="B140" s="36" t="s">
        <v>74</v>
      </c>
      <c r="C140" s="36"/>
      <c r="D140" s="36"/>
      <c r="E140" s="37"/>
      <c r="F140" s="38"/>
      <c r="G140" s="91"/>
      <c r="H140" s="37"/>
      <c r="I140" s="39"/>
    </row>
    <row r="141" spans="1:9" ht="23.25">
      <c r="A141" s="42"/>
      <c r="B141" s="41" t="s">
        <v>75</v>
      </c>
      <c r="C141" s="41"/>
      <c r="D141" s="41"/>
      <c r="E141" s="37"/>
      <c r="F141" s="38"/>
      <c r="G141" s="91"/>
      <c r="H141" s="37"/>
      <c r="I141" s="39"/>
    </row>
    <row r="142" spans="1:9" ht="23.25">
      <c r="A142" s="42"/>
      <c r="B142" s="41" t="s">
        <v>76</v>
      </c>
      <c r="C142" s="41"/>
      <c r="D142" s="41"/>
      <c r="E142" s="37"/>
      <c r="F142" s="38"/>
      <c r="G142" s="91"/>
      <c r="H142" s="37"/>
      <c r="I142" s="39"/>
    </row>
    <row r="143" spans="1:9" ht="15.75">
      <c r="A143" s="43"/>
      <c r="B143" s="119" t="s">
        <v>0</v>
      </c>
      <c r="C143" s="120" t="s">
        <v>223</v>
      </c>
      <c r="D143" s="120" t="s">
        <v>222</v>
      </c>
      <c r="E143" s="120" t="s">
        <v>221</v>
      </c>
      <c r="F143" s="120" t="s">
        <v>198</v>
      </c>
      <c r="G143" s="121" t="s">
        <v>30</v>
      </c>
      <c r="H143" s="121" t="s">
        <v>20</v>
      </c>
      <c r="I143" s="121" t="s">
        <v>35</v>
      </c>
    </row>
    <row r="144" spans="1:9" ht="28.5">
      <c r="A144" s="45"/>
      <c r="B144" s="104" t="s">
        <v>138</v>
      </c>
      <c r="C144" s="62">
        <v>0.44180000000000003</v>
      </c>
      <c r="D144" s="62">
        <v>0.44169999999999998</v>
      </c>
      <c r="E144" s="62">
        <v>0.44290000000000002</v>
      </c>
      <c r="F144" s="62">
        <v>0.46</v>
      </c>
      <c r="G144" s="85" t="s">
        <v>23</v>
      </c>
      <c r="H144" s="7" t="s">
        <v>48</v>
      </c>
      <c r="I144" s="6" t="s">
        <v>227</v>
      </c>
    </row>
    <row r="145" spans="1:9">
      <c r="A145" s="44"/>
      <c r="B145" s="104" t="s">
        <v>2</v>
      </c>
      <c r="C145" s="55">
        <v>0.24099999999999999</v>
      </c>
      <c r="D145" s="55">
        <v>0.22370000000000001</v>
      </c>
      <c r="E145" s="55">
        <v>0.22009999999999999</v>
      </c>
      <c r="F145" s="55">
        <v>0.2</v>
      </c>
      <c r="G145" s="86" t="s">
        <v>24</v>
      </c>
      <c r="H145" s="4" t="s">
        <v>131</v>
      </c>
      <c r="I145" s="1" t="s">
        <v>14</v>
      </c>
    </row>
    <row r="146" spans="1:9">
      <c r="A146" s="45"/>
      <c r="B146" s="105" t="s">
        <v>137</v>
      </c>
      <c r="C146" s="55">
        <v>0.38790000000000002</v>
      </c>
      <c r="D146" s="55">
        <v>0.36909999999999998</v>
      </c>
      <c r="E146" s="55">
        <v>0.36720000000000003</v>
      </c>
      <c r="F146" s="55">
        <v>0.34</v>
      </c>
      <c r="G146" s="86" t="s">
        <v>23</v>
      </c>
      <c r="H146" s="4" t="s">
        <v>125</v>
      </c>
      <c r="I146" s="1" t="s">
        <v>15</v>
      </c>
    </row>
    <row r="147" spans="1:9">
      <c r="A147" s="45"/>
      <c r="B147" s="104" t="s">
        <v>12</v>
      </c>
      <c r="C147" s="55">
        <v>0.19309999999999999</v>
      </c>
      <c r="D147" s="55">
        <v>0.18629999999999999</v>
      </c>
      <c r="E147" s="55">
        <v>0.1875</v>
      </c>
      <c r="F147" s="55">
        <v>0.15</v>
      </c>
      <c r="G147" s="86" t="s">
        <v>24</v>
      </c>
      <c r="H147" s="9" t="s">
        <v>52</v>
      </c>
      <c r="I147" s="9" t="s">
        <v>18</v>
      </c>
    </row>
    <row r="148" spans="1:9" ht="15">
      <c r="A148" s="45"/>
      <c r="B148" s="106" t="s">
        <v>5</v>
      </c>
      <c r="C148" s="102">
        <f>SUBTOTAL(109,C144:C147)</f>
        <v>1.2638</v>
      </c>
      <c r="D148" s="102">
        <f t="shared" ref="D148:F148" si="3">SUBTOTAL(109,D144:D147)</f>
        <v>1.2207999999999999</v>
      </c>
      <c r="E148" s="102">
        <f t="shared" si="3"/>
        <v>1.2177</v>
      </c>
      <c r="F148" s="102">
        <f t="shared" si="3"/>
        <v>1.1499999999999999</v>
      </c>
      <c r="G148" s="117" t="s">
        <v>187</v>
      </c>
      <c r="H148" s="118" t="s">
        <v>187</v>
      </c>
      <c r="I148" s="112" t="s">
        <v>187</v>
      </c>
    </row>
    <row r="149" spans="1:9">
      <c r="A149" s="45"/>
      <c r="B149" s="104" t="s">
        <v>6</v>
      </c>
      <c r="C149" s="68">
        <v>0.15659999999999999</v>
      </c>
      <c r="D149" s="68">
        <v>0.1535</v>
      </c>
      <c r="E149" s="68">
        <v>0.15229999999999999</v>
      </c>
      <c r="F149" s="68">
        <v>0.18</v>
      </c>
      <c r="G149" s="86" t="s">
        <v>23</v>
      </c>
      <c r="H149" s="9" t="s">
        <v>203</v>
      </c>
      <c r="I149" s="1" t="s">
        <v>19</v>
      </c>
    </row>
    <row r="150" spans="1:9" ht="15">
      <c r="A150" s="45"/>
      <c r="B150" s="106" t="s">
        <v>225</v>
      </c>
      <c r="C150" s="12">
        <v>5.9999999999999995E-4</v>
      </c>
      <c r="D150" s="12">
        <v>5.9999999999999995E-4</v>
      </c>
      <c r="E150" s="12">
        <v>5.9999999999999995E-4</v>
      </c>
      <c r="F150" s="138" t="s">
        <v>187</v>
      </c>
      <c r="G150" s="139" t="s">
        <v>187</v>
      </c>
      <c r="H150" s="140" t="s">
        <v>187</v>
      </c>
      <c r="I150" s="146" t="s">
        <v>187</v>
      </c>
    </row>
    <row r="151" spans="1:9" ht="15">
      <c r="A151" s="18"/>
      <c r="B151" s="15"/>
      <c r="C151" s="15"/>
      <c r="D151" s="15"/>
      <c r="E151" s="17"/>
      <c r="F151" s="16"/>
      <c r="G151" s="88"/>
      <c r="H151" s="17"/>
      <c r="I151" s="167"/>
    </row>
    <row r="152" spans="1:9" ht="30">
      <c r="A152" s="42" t="s">
        <v>82</v>
      </c>
      <c r="B152" s="36" t="s">
        <v>79</v>
      </c>
      <c r="C152" s="36"/>
      <c r="D152" s="36"/>
      <c r="E152" s="37"/>
      <c r="F152" s="38"/>
      <c r="G152" s="91"/>
      <c r="H152" s="37"/>
      <c r="I152" s="39"/>
    </row>
    <row r="153" spans="1:9" ht="23.25">
      <c r="A153" s="42"/>
      <c r="B153" s="41" t="s">
        <v>80</v>
      </c>
      <c r="C153" s="41"/>
      <c r="D153" s="41"/>
      <c r="E153" s="37"/>
      <c r="F153" s="38"/>
      <c r="G153" s="91"/>
      <c r="H153" s="37"/>
      <c r="I153" s="39"/>
    </row>
    <row r="154" spans="1:9" ht="23.25">
      <c r="A154" s="42"/>
      <c r="B154" s="41" t="s">
        <v>81</v>
      </c>
      <c r="C154" s="41"/>
      <c r="D154" s="41"/>
      <c r="E154" s="37"/>
      <c r="F154" s="38"/>
      <c r="G154" s="91"/>
      <c r="H154" s="37"/>
      <c r="I154" s="39"/>
    </row>
    <row r="155" spans="1:9" ht="15.75">
      <c r="A155" s="43"/>
      <c r="B155" s="133" t="s">
        <v>0</v>
      </c>
      <c r="C155" s="120" t="s">
        <v>223</v>
      </c>
      <c r="D155" s="120" t="s">
        <v>222</v>
      </c>
      <c r="E155" s="120" t="s">
        <v>221</v>
      </c>
      <c r="F155" s="120" t="s">
        <v>198</v>
      </c>
      <c r="G155" s="121" t="s">
        <v>30</v>
      </c>
      <c r="H155" s="121" t="s">
        <v>20</v>
      </c>
      <c r="I155" s="121" t="s">
        <v>35</v>
      </c>
    </row>
    <row r="156" spans="1:9" ht="28.5">
      <c r="A156" s="45"/>
      <c r="B156" s="176" t="s">
        <v>138</v>
      </c>
      <c r="C156" s="62">
        <v>0.96960000000000002</v>
      </c>
      <c r="D156" s="62">
        <v>0.96309999999999996</v>
      </c>
      <c r="E156" s="62">
        <v>0.96389999999999998</v>
      </c>
      <c r="F156" s="62">
        <v>0.94</v>
      </c>
      <c r="G156" s="85" t="s">
        <v>23</v>
      </c>
      <c r="H156" s="7" t="s">
        <v>98</v>
      </c>
      <c r="I156" s="6" t="s">
        <v>227</v>
      </c>
    </row>
    <row r="157" spans="1:9">
      <c r="A157" s="44"/>
      <c r="B157" s="176" t="s">
        <v>2</v>
      </c>
      <c r="C157" s="55">
        <v>0.41870000000000002</v>
      </c>
      <c r="D157" s="55">
        <v>0.4289</v>
      </c>
      <c r="E157" s="55">
        <v>0.4284</v>
      </c>
      <c r="F157" s="55">
        <v>0.47</v>
      </c>
      <c r="G157" s="86" t="s">
        <v>24</v>
      </c>
      <c r="H157" s="4" t="s">
        <v>132</v>
      </c>
      <c r="I157" s="1" t="s">
        <v>14</v>
      </c>
    </row>
    <row r="158" spans="1:9">
      <c r="A158" s="45"/>
      <c r="B158" s="185" t="s">
        <v>137</v>
      </c>
      <c r="C158" s="55">
        <v>2.53E-2</v>
      </c>
      <c r="D158" s="55">
        <v>2.4500000000000001E-2</v>
      </c>
      <c r="E158" s="55">
        <v>2.3900000000000001E-2</v>
      </c>
      <c r="F158" s="55">
        <v>0.06</v>
      </c>
      <c r="G158" s="86" t="s">
        <v>23</v>
      </c>
      <c r="H158" s="4" t="s">
        <v>58</v>
      </c>
      <c r="I158" s="1" t="s">
        <v>15</v>
      </c>
    </row>
    <row r="159" spans="1:9">
      <c r="A159" s="45"/>
      <c r="B159" s="176" t="s">
        <v>12</v>
      </c>
      <c r="C159" s="3">
        <v>0.16120000000000001</v>
      </c>
      <c r="D159" s="3">
        <v>0.16370000000000001</v>
      </c>
      <c r="E159" s="3">
        <v>0.15340000000000001</v>
      </c>
      <c r="F159" s="3">
        <v>0.15</v>
      </c>
      <c r="G159" s="86" t="s">
        <v>24</v>
      </c>
      <c r="H159" s="9" t="s">
        <v>52</v>
      </c>
      <c r="I159" s="9" t="s">
        <v>18</v>
      </c>
    </row>
    <row r="160" spans="1:9" ht="15">
      <c r="A160" s="45"/>
      <c r="B160" s="186" t="s">
        <v>5</v>
      </c>
      <c r="C160" s="99">
        <f>SUBTOTAL(109,C156:C159)</f>
        <v>1.5748000000000002</v>
      </c>
      <c r="D160" s="99">
        <f>SUBTOTAL(109,D156:D159)</f>
        <v>1.5801999999999998</v>
      </c>
      <c r="E160" s="99">
        <f>SUBTOTAL(109,E156:E159)</f>
        <v>1.5696000000000001</v>
      </c>
      <c r="F160" s="99">
        <f>SUBTOTAL(109,F156:F159)</f>
        <v>1.6199999999999999</v>
      </c>
      <c r="G160" s="117" t="s">
        <v>187</v>
      </c>
      <c r="H160" s="118" t="s">
        <v>187</v>
      </c>
      <c r="I160" s="112" t="s">
        <v>187</v>
      </c>
    </row>
    <row r="161" spans="1:9">
      <c r="A161" s="45"/>
      <c r="B161" s="176" t="s">
        <v>6</v>
      </c>
      <c r="C161" s="11">
        <v>0.17899999999999999</v>
      </c>
      <c r="D161" s="11">
        <v>0.1681</v>
      </c>
      <c r="E161" s="11">
        <v>0.17780000000000001</v>
      </c>
      <c r="F161" s="11">
        <v>0.18</v>
      </c>
      <c r="G161" s="86" t="s">
        <v>23</v>
      </c>
      <c r="H161" s="9" t="s">
        <v>203</v>
      </c>
      <c r="I161" s="1" t="s">
        <v>19</v>
      </c>
    </row>
    <row r="162" spans="1:9" ht="15">
      <c r="A162" s="45"/>
      <c r="B162" s="106" t="s">
        <v>225</v>
      </c>
      <c r="C162" s="12">
        <v>5.9999999999999995E-4</v>
      </c>
      <c r="D162" s="12">
        <v>5.9999999999999995E-4</v>
      </c>
      <c r="E162" s="100">
        <v>5.9999999999999995E-4</v>
      </c>
      <c r="F162" s="138" t="s">
        <v>187</v>
      </c>
      <c r="G162" s="139" t="s">
        <v>187</v>
      </c>
      <c r="H162" s="140" t="s">
        <v>187</v>
      </c>
      <c r="I162" s="146" t="s">
        <v>187</v>
      </c>
    </row>
    <row r="163" spans="1:9" ht="15">
      <c r="A163" s="18"/>
      <c r="B163" s="15"/>
      <c r="C163" s="15"/>
      <c r="D163" s="15"/>
      <c r="E163" s="17"/>
      <c r="F163" s="16"/>
      <c r="G163" s="88"/>
      <c r="H163" s="17"/>
      <c r="I163" s="167"/>
    </row>
    <row r="164" spans="1:9" ht="30">
      <c r="A164" s="42" t="s">
        <v>83</v>
      </c>
      <c r="B164" s="36" t="s">
        <v>84</v>
      </c>
      <c r="C164" s="36"/>
      <c r="D164" s="36"/>
      <c r="E164" s="37"/>
      <c r="F164" s="38"/>
      <c r="G164" s="91"/>
      <c r="H164" s="37"/>
      <c r="I164" s="39"/>
    </row>
    <row r="165" spans="1:9" ht="23.25">
      <c r="A165" s="42"/>
      <c r="B165" s="41" t="s">
        <v>85</v>
      </c>
      <c r="C165" s="41"/>
      <c r="D165" s="41"/>
      <c r="E165" s="37"/>
      <c r="F165" s="38"/>
      <c r="G165" s="91"/>
      <c r="H165" s="37"/>
      <c r="I165" s="39"/>
    </row>
    <row r="166" spans="1:9" ht="23.25">
      <c r="A166" s="42"/>
      <c r="B166" s="41" t="s">
        <v>89</v>
      </c>
      <c r="C166" s="41"/>
      <c r="D166" s="41"/>
      <c r="E166" s="37"/>
      <c r="F166" s="38"/>
      <c r="G166" s="91"/>
      <c r="H166" s="37"/>
      <c r="I166" s="39"/>
    </row>
    <row r="167" spans="1:9" ht="15.75">
      <c r="A167" s="43"/>
      <c r="B167" s="133" t="s">
        <v>0</v>
      </c>
      <c r="C167" s="120" t="s">
        <v>223</v>
      </c>
      <c r="D167" s="120" t="s">
        <v>222</v>
      </c>
      <c r="E167" s="120" t="s">
        <v>221</v>
      </c>
      <c r="F167" s="120" t="s">
        <v>198</v>
      </c>
      <c r="G167" s="121" t="s">
        <v>30</v>
      </c>
      <c r="H167" s="121" t="s">
        <v>20</v>
      </c>
      <c r="I167" s="121" t="s">
        <v>35</v>
      </c>
    </row>
    <row r="168" spans="1:9" ht="28.5">
      <c r="A168" s="45"/>
      <c r="B168" s="176" t="s">
        <v>138</v>
      </c>
      <c r="C168" s="5">
        <v>3.4299999999999997E-2</v>
      </c>
      <c r="D168" s="5">
        <v>2.76E-2</v>
      </c>
      <c r="E168" s="5">
        <v>2.69E-2</v>
      </c>
      <c r="F168" s="5">
        <v>0.06</v>
      </c>
      <c r="G168" s="85" t="s">
        <v>23</v>
      </c>
      <c r="H168" s="7" t="s">
        <v>58</v>
      </c>
      <c r="I168" s="6" t="s">
        <v>227</v>
      </c>
    </row>
    <row r="169" spans="1:9">
      <c r="A169" s="44"/>
      <c r="B169" s="176" t="s">
        <v>2</v>
      </c>
      <c r="C169" s="3">
        <v>0.1047</v>
      </c>
      <c r="D169" s="3">
        <v>0.10580000000000001</v>
      </c>
      <c r="E169" s="3">
        <v>0.1124</v>
      </c>
      <c r="F169" s="3">
        <v>0.1</v>
      </c>
      <c r="G169" s="86" t="s">
        <v>24</v>
      </c>
      <c r="H169" s="4" t="s">
        <v>49</v>
      </c>
      <c r="I169" s="1" t="s">
        <v>14</v>
      </c>
    </row>
    <row r="170" spans="1:9">
      <c r="A170" s="45"/>
      <c r="B170" s="185" t="s">
        <v>137</v>
      </c>
      <c r="C170" s="3">
        <v>0.82169999999999999</v>
      </c>
      <c r="D170" s="3">
        <v>0.82040000000000002</v>
      </c>
      <c r="E170" s="3">
        <v>0.78590000000000004</v>
      </c>
      <c r="F170" s="3">
        <v>0.85</v>
      </c>
      <c r="G170" s="86" t="s">
        <v>23</v>
      </c>
      <c r="H170" s="4" t="s">
        <v>235</v>
      </c>
      <c r="I170" s="1" t="s">
        <v>15</v>
      </c>
    </row>
    <row r="171" spans="1:9">
      <c r="A171" s="45"/>
      <c r="B171" s="176" t="s">
        <v>12</v>
      </c>
      <c r="C171" s="55">
        <v>4.1700000000000001E-2</v>
      </c>
      <c r="D171" s="55">
        <v>4.8099999999999997E-2</v>
      </c>
      <c r="E171" s="55">
        <v>7.6899999999999996E-2</v>
      </c>
      <c r="F171" s="55">
        <v>0.05</v>
      </c>
      <c r="G171" s="86" t="s">
        <v>24</v>
      </c>
      <c r="H171" s="9" t="s">
        <v>51</v>
      </c>
      <c r="I171" s="9" t="s">
        <v>18</v>
      </c>
    </row>
    <row r="172" spans="1:9" ht="15">
      <c r="A172" s="45"/>
      <c r="B172" s="186" t="s">
        <v>5</v>
      </c>
      <c r="C172" s="99">
        <f>SUBTOTAL(109,C168:C171)</f>
        <v>1.0024</v>
      </c>
      <c r="D172" s="99">
        <f>SUBTOTAL(109,D168:D171)</f>
        <v>1.0019</v>
      </c>
      <c r="E172" s="99">
        <f>SUBTOTAL(109,E168:E171)</f>
        <v>1.0021</v>
      </c>
      <c r="F172" s="99">
        <f>SUBTOTAL(109,F168:F171)</f>
        <v>1.06</v>
      </c>
      <c r="G172" s="117" t="s">
        <v>187</v>
      </c>
      <c r="H172" s="118" t="s">
        <v>243</v>
      </c>
      <c r="I172" s="112" t="s">
        <v>187</v>
      </c>
    </row>
    <row r="173" spans="1:9">
      <c r="A173" s="45"/>
      <c r="B173" s="176" t="s">
        <v>6</v>
      </c>
      <c r="C173" s="11">
        <v>5.3999999999999999E-2</v>
      </c>
      <c r="D173" s="11">
        <v>4.5999999999999999E-2</v>
      </c>
      <c r="E173" s="11">
        <v>4.19E-2</v>
      </c>
      <c r="F173" s="11">
        <v>0.08</v>
      </c>
      <c r="G173" s="86" t="s">
        <v>23</v>
      </c>
      <c r="H173" s="9" t="s">
        <v>59</v>
      </c>
      <c r="I173" s="1" t="s">
        <v>19</v>
      </c>
    </row>
    <row r="174" spans="1:9" ht="15">
      <c r="A174" s="45"/>
      <c r="B174" s="106" t="s">
        <v>225</v>
      </c>
      <c r="C174" s="12">
        <v>5.9999999999999995E-4</v>
      </c>
      <c r="D174" s="12">
        <v>5.9999999999999995E-4</v>
      </c>
      <c r="E174" s="12">
        <v>5.9999999999999995E-4</v>
      </c>
      <c r="F174" s="138" t="s">
        <v>187</v>
      </c>
      <c r="G174" s="139" t="s">
        <v>187</v>
      </c>
      <c r="H174" s="140" t="s">
        <v>187</v>
      </c>
      <c r="I174" s="146" t="s">
        <v>187</v>
      </c>
    </row>
    <row r="175" spans="1:9" ht="15">
      <c r="A175" s="18"/>
      <c r="B175" s="15"/>
      <c r="C175" s="15"/>
      <c r="D175" s="15"/>
      <c r="E175" s="17"/>
      <c r="F175" s="16"/>
      <c r="G175" s="88"/>
      <c r="H175" s="17"/>
      <c r="I175" s="167"/>
    </row>
    <row r="176" spans="1:9" ht="30">
      <c r="A176" s="42" t="s">
        <v>90</v>
      </c>
      <c r="B176" s="36" t="s">
        <v>88</v>
      </c>
      <c r="C176" s="36"/>
      <c r="D176" s="36"/>
      <c r="E176" s="37"/>
      <c r="F176" s="38"/>
      <c r="G176" s="91"/>
      <c r="H176" s="37"/>
      <c r="I176" s="39"/>
    </row>
    <row r="177" spans="1:9" ht="23.25">
      <c r="A177" s="42"/>
      <c r="B177" s="41" t="s">
        <v>87</v>
      </c>
      <c r="C177" s="41"/>
      <c r="D177" s="41"/>
      <c r="E177" s="37"/>
      <c r="F177" s="38"/>
      <c r="G177" s="91"/>
      <c r="H177" s="37"/>
      <c r="I177" s="39"/>
    </row>
    <row r="178" spans="1:9" ht="15.75">
      <c r="A178" s="43"/>
      <c r="B178" s="224" t="s">
        <v>0</v>
      </c>
      <c r="C178" s="107" t="s">
        <v>187</v>
      </c>
      <c r="D178" s="133" t="s">
        <v>222</v>
      </c>
      <c r="E178" s="120" t="s">
        <v>221</v>
      </c>
      <c r="F178" s="120" t="s">
        <v>198</v>
      </c>
      <c r="G178" s="121" t="s">
        <v>30</v>
      </c>
      <c r="H178" s="121" t="s">
        <v>20</v>
      </c>
      <c r="I178" s="121" t="s">
        <v>35</v>
      </c>
    </row>
    <row r="179" spans="1:9" ht="28.5">
      <c r="A179" s="45"/>
      <c r="B179" s="221" t="s">
        <v>138</v>
      </c>
      <c r="C179" s="108" t="s">
        <v>187</v>
      </c>
      <c r="D179" s="63">
        <v>0.20569999999999999</v>
      </c>
      <c r="E179" s="5">
        <v>0.20519999999999999</v>
      </c>
      <c r="F179" s="5">
        <v>0.19</v>
      </c>
      <c r="G179" s="85" t="s">
        <v>23</v>
      </c>
      <c r="H179" s="7" t="s">
        <v>55</v>
      </c>
      <c r="I179" s="6" t="s">
        <v>227</v>
      </c>
    </row>
    <row r="180" spans="1:9">
      <c r="A180" s="44"/>
      <c r="B180" s="221" t="s">
        <v>2</v>
      </c>
      <c r="C180" s="109" t="s">
        <v>187</v>
      </c>
      <c r="D180" s="64">
        <v>0.25119999999999998</v>
      </c>
      <c r="E180" s="3">
        <v>0.25729999999999997</v>
      </c>
      <c r="F180" s="3">
        <v>0.25</v>
      </c>
      <c r="G180" s="86" t="s">
        <v>24</v>
      </c>
      <c r="H180" s="4" t="s">
        <v>54</v>
      </c>
      <c r="I180" s="1" t="s">
        <v>14</v>
      </c>
    </row>
    <row r="181" spans="1:9">
      <c r="A181" s="45"/>
      <c r="B181" s="222" t="s">
        <v>137</v>
      </c>
      <c r="C181" s="108" t="s">
        <v>187</v>
      </c>
      <c r="D181" s="64">
        <v>0.44259999999999999</v>
      </c>
      <c r="E181" s="3">
        <v>0.4415</v>
      </c>
      <c r="F181" s="3">
        <v>0.45</v>
      </c>
      <c r="G181" s="86" t="s">
        <v>23</v>
      </c>
      <c r="H181" s="4" t="s">
        <v>66</v>
      </c>
      <c r="I181" s="1" t="s">
        <v>15</v>
      </c>
    </row>
    <row r="182" spans="1:9">
      <c r="A182" s="45"/>
      <c r="B182" s="221" t="s">
        <v>12</v>
      </c>
      <c r="C182" s="109" t="s">
        <v>187</v>
      </c>
      <c r="D182" s="64">
        <v>0.16739999999999999</v>
      </c>
      <c r="E182" s="3">
        <v>0.1661</v>
      </c>
      <c r="F182" s="3">
        <v>0.15</v>
      </c>
      <c r="G182" s="86" t="s">
        <v>24</v>
      </c>
      <c r="H182" s="9" t="s">
        <v>52</v>
      </c>
      <c r="I182" s="9" t="s">
        <v>18</v>
      </c>
    </row>
    <row r="183" spans="1:9" ht="15">
      <c r="A183" s="45"/>
      <c r="B183" s="223" t="s">
        <v>5</v>
      </c>
      <c r="C183" s="109" t="s">
        <v>187</v>
      </c>
      <c r="D183" s="226">
        <f>SUBTOTAL(109,D179:D182)</f>
        <v>1.0669</v>
      </c>
      <c r="E183" s="99">
        <f>SUBTOTAL(109,E179:E182)</f>
        <v>1.0700999999999998</v>
      </c>
      <c r="F183" s="99">
        <f>SUBTOTAL(109,F179:F182)</f>
        <v>1.04</v>
      </c>
      <c r="G183" s="117" t="s">
        <v>187</v>
      </c>
      <c r="H183" s="118" t="s">
        <v>243</v>
      </c>
      <c r="I183" s="112" t="s">
        <v>187</v>
      </c>
    </row>
    <row r="184" spans="1:9">
      <c r="A184" s="45"/>
      <c r="B184" s="221" t="s">
        <v>6</v>
      </c>
      <c r="C184" s="109" t="s">
        <v>187</v>
      </c>
      <c r="D184" s="65">
        <v>0.16170000000000001</v>
      </c>
      <c r="E184" s="11">
        <v>0.15620000000000001</v>
      </c>
      <c r="F184" s="11">
        <v>0.16</v>
      </c>
      <c r="G184" s="86" t="s">
        <v>23</v>
      </c>
      <c r="H184" s="9" t="s">
        <v>133</v>
      </c>
      <c r="I184" s="1" t="s">
        <v>19</v>
      </c>
    </row>
    <row r="185" spans="1:9" ht="15">
      <c r="A185" s="45"/>
      <c r="B185" s="225" t="s">
        <v>225</v>
      </c>
      <c r="C185" s="109" t="s">
        <v>187</v>
      </c>
      <c r="D185" s="229">
        <v>5.9999999999999995E-4</v>
      </c>
      <c r="E185" s="100">
        <v>5.9999999999999995E-4</v>
      </c>
      <c r="F185" s="138" t="s">
        <v>187</v>
      </c>
      <c r="G185" s="139" t="s">
        <v>187</v>
      </c>
      <c r="H185" s="140" t="s">
        <v>187</v>
      </c>
      <c r="I185" s="146" t="s">
        <v>187</v>
      </c>
    </row>
    <row r="186" spans="1:9" ht="15">
      <c r="A186" s="18"/>
      <c r="B186" s="15"/>
      <c r="C186" s="15"/>
      <c r="D186" s="15"/>
      <c r="E186" s="17"/>
      <c r="F186" s="16"/>
      <c r="G186" s="88"/>
      <c r="H186" s="17"/>
      <c r="I186" s="167"/>
    </row>
    <row r="187" spans="1:9" ht="30">
      <c r="A187" s="46" t="s">
        <v>93</v>
      </c>
      <c r="B187" s="36" t="s">
        <v>94</v>
      </c>
      <c r="C187" s="36"/>
      <c r="D187" s="36"/>
      <c r="E187" s="37"/>
      <c r="F187" s="38"/>
      <c r="G187" s="91"/>
      <c r="H187" s="37"/>
      <c r="I187" s="39"/>
    </row>
    <row r="188" spans="1:9" ht="23.25">
      <c r="A188" s="46"/>
      <c r="B188" s="41" t="s">
        <v>95</v>
      </c>
      <c r="C188" s="41"/>
      <c r="D188" s="41"/>
      <c r="E188" s="37"/>
      <c r="F188" s="38"/>
      <c r="G188" s="91"/>
      <c r="H188" s="37"/>
      <c r="I188" s="39"/>
    </row>
    <row r="189" spans="1:9" ht="23.25">
      <c r="A189" s="46"/>
      <c r="B189" s="41" t="s">
        <v>96</v>
      </c>
      <c r="C189" s="41"/>
      <c r="D189" s="41"/>
      <c r="E189" s="37"/>
      <c r="F189" s="38"/>
      <c r="G189" s="91"/>
      <c r="H189" s="37"/>
      <c r="I189" s="39"/>
    </row>
    <row r="190" spans="1:9" ht="15.75">
      <c r="A190" s="47"/>
      <c r="B190" s="121" t="s">
        <v>0</v>
      </c>
      <c r="C190" s="120" t="s">
        <v>223</v>
      </c>
      <c r="D190" s="120" t="s">
        <v>222</v>
      </c>
      <c r="E190" s="120" t="s">
        <v>221</v>
      </c>
      <c r="F190" s="120" t="s">
        <v>198</v>
      </c>
      <c r="G190" s="121" t="s">
        <v>30</v>
      </c>
      <c r="H190" s="121" t="s">
        <v>20</v>
      </c>
      <c r="I190" s="121" t="s">
        <v>35</v>
      </c>
    </row>
    <row r="191" spans="1:9">
      <c r="A191" s="49"/>
      <c r="B191" s="2" t="s">
        <v>138</v>
      </c>
      <c r="C191" s="62">
        <v>0.43340000000000001</v>
      </c>
      <c r="D191" s="62">
        <v>0.47099999999999997</v>
      </c>
      <c r="E191" s="62">
        <v>0.43809999999999999</v>
      </c>
      <c r="F191" s="62">
        <v>0.43</v>
      </c>
      <c r="G191" s="85" t="s">
        <v>23</v>
      </c>
      <c r="H191" s="7" t="s">
        <v>97</v>
      </c>
      <c r="I191" s="52" t="s">
        <v>27</v>
      </c>
    </row>
    <row r="192" spans="1:9">
      <c r="A192" s="48"/>
      <c r="B192" s="2" t="s">
        <v>2</v>
      </c>
      <c r="C192" s="55">
        <v>0.62229999999999996</v>
      </c>
      <c r="D192" s="55">
        <v>0.62350000000000005</v>
      </c>
      <c r="E192" s="55">
        <v>0.56140000000000001</v>
      </c>
      <c r="F192" s="55">
        <v>0.57999999999999996</v>
      </c>
      <c r="G192" s="86" t="s">
        <v>24</v>
      </c>
      <c r="H192" s="4" t="s">
        <v>200</v>
      </c>
      <c r="I192" s="9" t="s">
        <v>28</v>
      </c>
    </row>
    <row r="193" spans="1:9" ht="28.5">
      <c r="A193" s="49"/>
      <c r="B193" s="69" t="s">
        <v>137</v>
      </c>
      <c r="C193" s="55">
        <v>0.34699999999999998</v>
      </c>
      <c r="D193" s="55">
        <v>0.34289999999999998</v>
      </c>
      <c r="E193" s="55">
        <v>0.34360000000000002</v>
      </c>
      <c r="F193" s="55">
        <v>0.33</v>
      </c>
      <c r="G193" s="86" t="s">
        <v>23</v>
      </c>
      <c r="H193" s="4" t="s">
        <v>78</v>
      </c>
      <c r="I193" s="9" t="s">
        <v>99</v>
      </c>
    </row>
    <row r="194" spans="1:9">
      <c r="A194" s="49"/>
      <c r="B194" s="2" t="s">
        <v>12</v>
      </c>
      <c r="C194" s="55">
        <v>0.2596</v>
      </c>
      <c r="D194" s="55">
        <v>0.25900000000000001</v>
      </c>
      <c r="E194" s="55">
        <v>0.24149999999999999</v>
      </c>
      <c r="F194" s="55">
        <v>0.25</v>
      </c>
      <c r="G194" s="86" t="s">
        <v>24</v>
      </c>
      <c r="H194" s="9" t="s">
        <v>54</v>
      </c>
      <c r="I194" s="9" t="s">
        <v>18</v>
      </c>
    </row>
    <row r="195" spans="1:9" ht="15">
      <c r="A195" s="49"/>
      <c r="B195" s="26" t="s">
        <v>5</v>
      </c>
      <c r="C195" s="102">
        <f>SUBTOTAL(109,C191:C194)</f>
        <v>1.6622999999999999</v>
      </c>
      <c r="D195" s="102">
        <f>SUBTOTAL(109,D191:D194)</f>
        <v>1.6964000000000001</v>
      </c>
      <c r="E195" s="67">
        <f>SUBTOTAL(109,E191:E194)</f>
        <v>1.5846000000000002</v>
      </c>
      <c r="F195" s="67">
        <f>SUBTOTAL(109,F191:F194)</f>
        <v>1.59</v>
      </c>
      <c r="G195" s="117" t="s">
        <v>187</v>
      </c>
      <c r="H195" s="118" t="s">
        <v>243</v>
      </c>
      <c r="I195" s="112" t="s">
        <v>187</v>
      </c>
    </row>
    <row r="196" spans="1:9">
      <c r="A196" s="49"/>
      <c r="B196" s="2" t="s">
        <v>6</v>
      </c>
      <c r="C196" s="68">
        <v>0.99885000000000002</v>
      </c>
      <c r="D196" s="68">
        <v>0.99729999999999996</v>
      </c>
      <c r="E196" s="68">
        <v>0.99560000000000004</v>
      </c>
      <c r="F196" s="68">
        <v>0.94</v>
      </c>
      <c r="G196" s="86" t="s">
        <v>23</v>
      </c>
      <c r="H196" s="9" t="s">
        <v>98</v>
      </c>
      <c r="I196" s="9" t="s">
        <v>19</v>
      </c>
    </row>
    <row r="197" spans="1:9" ht="15">
      <c r="A197" s="49"/>
      <c r="B197" s="26" t="s">
        <v>225</v>
      </c>
      <c r="C197" s="100">
        <v>2E-3</v>
      </c>
      <c r="D197" s="100">
        <v>2E-3</v>
      </c>
      <c r="E197" s="12">
        <v>2.5000000000000001E-3</v>
      </c>
      <c r="F197" s="138" t="s">
        <v>187</v>
      </c>
      <c r="G197" s="139" t="s">
        <v>187</v>
      </c>
      <c r="H197" s="140" t="s">
        <v>187</v>
      </c>
      <c r="I197" s="146" t="s">
        <v>187</v>
      </c>
    </row>
    <row r="198" spans="1:9" ht="15">
      <c r="A198" s="18"/>
      <c r="B198" s="159" t="s">
        <v>243</v>
      </c>
      <c r="C198" s="159" t="s">
        <v>243</v>
      </c>
      <c r="D198" s="159" t="s">
        <v>243</v>
      </c>
      <c r="E198" s="160" t="s">
        <v>243</v>
      </c>
      <c r="F198" s="160" t="s">
        <v>243</v>
      </c>
      <c r="G198" s="160" t="s">
        <v>243</v>
      </c>
      <c r="H198" s="160" t="s">
        <v>243</v>
      </c>
      <c r="I198" s="169" t="s">
        <v>243</v>
      </c>
    </row>
    <row r="199" spans="1:9" ht="30">
      <c r="A199" s="46" t="s">
        <v>100</v>
      </c>
      <c r="B199" s="36" t="s">
        <v>101</v>
      </c>
      <c r="C199" s="36"/>
      <c r="D199" s="36"/>
      <c r="E199" s="37"/>
      <c r="F199" s="38"/>
      <c r="G199" s="91"/>
      <c r="H199" s="37"/>
      <c r="I199" s="39"/>
    </row>
    <row r="200" spans="1:9" ht="23.25">
      <c r="A200" s="46"/>
      <c r="B200" s="41" t="s">
        <v>102</v>
      </c>
      <c r="C200" s="41"/>
      <c r="D200" s="41"/>
      <c r="E200" s="37"/>
      <c r="F200" s="38"/>
      <c r="G200" s="91"/>
      <c r="H200" s="37"/>
      <c r="I200" s="39"/>
    </row>
    <row r="201" spans="1:9" ht="23.25">
      <c r="A201" s="46"/>
      <c r="B201" s="41" t="s">
        <v>103</v>
      </c>
      <c r="C201" s="41"/>
      <c r="D201" s="41"/>
      <c r="E201" s="37"/>
      <c r="F201" s="38"/>
      <c r="G201" s="91"/>
      <c r="H201" s="37"/>
      <c r="I201" s="39"/>
    </row>
    <row r="202" spans="1:9" ht="15.75">
      <c r="A202" s="47"/>
      <c r="B202" s="119" t="s">
        <v>0</v>
      </c>
      <c r="C202" s="120" t="s">
        <v>223</v>
      </c>
      <c r="D202" s="120" t="s">
        <v>222</v>
      </c>
      <c r="E202" s="120" t="s">
        <v>221</v>
      </c>
      <c r="F202" s="120" t="s">
        <v>198</v>
      </c>
      <c r="G202" s="121" t="s">
        <v>30</v>
      </c>
      <c r="H202" s="121" t="s">
        <v>20</v>
      </c>
      <c r="I202" s="121" t="s">
        <v>35</v>
      </c>
    </row>
    <row r="203" spans="1:9">
      <c r="A203" s="49"/>
      <c r="B203" s="104" t="s">
        <v>138</v>
      </c>
      <c r="C203" s="5">
        <v>0.99980000000000002</v>
      </c>
      <c r="D203" s="5">
        <v>0.99850000000000005</v>
      </c>
      <c r="E203" s="5">
        <v>0.99660000000000004</v>
      </c>
      <c r="F203" s="5">
        <v>0.94</v>
      </c>
      <c r="G203" s="85" t="s">
        <v>23</v>
      </c>
      <c r="H203" s="7" t="s">
        <v>98</v>
      </c>
      <c r="I203" s="52" t="s">
        <v>27</v>
      </c>
    </row>
    <row r="204" spans="1:9">
      <c r="A204" s="48"/>
      <c r="B204" s="104" t="s">
        <v>2</v>
      </c>
      <c r="C204" s="55">
        <v>0.56220000000000003</v>
      </c>
      <c r="D204" s="55">
        <v>0.54849999999999999</v>
      </c>
      <c r="E204" s="55">
        <v>0.55520000000000003</v>
      </c>
      <c r="F204" s="55">
        <v>0.56999999999999995</v>
      </c>
      <c r="G204" s="86" t="s">
        <v>24</v>
      </c>
      <c r="H204" s="4" t="s">
        <v>190</v>
      </c>
      <c r="I204" s="9" t="s">
        <v>14</v>
      </c>
    </row>
    <row r="205" spans="1:9">
      <c r="A205" s="49"/>
      <c r="B205" s="105" t="s">
        <v>137</v>
      </c>
      <c r="C205" s="113">
        <v>0</v>
      </c>
      <c r="D205" s="113">
        <v>0</v>
      </c>
      <c r="E205" s="113">
        <v>0</v>
      </c>
      <c r="F205" s="113" t="s">
        <v>187</v>
      </c>
      <c r="G205" s="86" t="s">
        <v>23</v>
      </c>
      <c r="H205" s="113" t="s">
        <v>243</v>
      </c>
      <c r="I205" s="132" t="s">
        <v>187</v>
      </c>
    </row>
    <row r="206" spans="1:9">
      <c r="A206" s="49"/>
      <c r="B206" s="104" t="s">
        <v>12</v>
      </c>
      <c r="C206" s="3">
        <v>0.22650000000000001</v>
      </c>
      <c r="D206" s="3">
        <v>0.22639999999999999</v>
      </c>
      <c r="E206" s="3">
        <v>0.2402</v>
      </c>
      <c r="F206" s="3">
        <v>0.2</v>
      </c>
      <c r="G206" s="86" t="s">
        <v>24</v>
      </c>
      <c r="H206" s="9" t="s">
        <v>131</v>
      </c>
      <c r="I206" s="9" t="s">
        <v>18</v>
      </c>
    </row>
    <row r="207" spans="1:9" ht="15">
      <c r="A207" s="49"/>
      <c r="B207" s="106" t="s">
        <v>5</v>
      </c>
      <c r="C207" s="99">
        <f>SUBTOTAL(109,C203:C206)</f>
        <v>1.7885</v>
      </c>
      <c r="D207" s="99">
        <f>SUBTOTAL(109,D203:D206)</f>
        <v>1.7734000000000001</v>
      </c>
      <c r="E207" s="99">
        <f>SUBTOTAL(109,E203:E206)</f>
        <v>1.792</v>
      </c>
      <c r="F207" s="99">
        <f>SUBTOTAL(109,F203:F206)</f>
        <v>1.7099999999999997</v>
      </c>
      <c r="G207" s="117" t="s">
        <v>187</v>
      </c>
      <c r="H207" s="118" t="s">
        <v>243</v>
      </c>
      <c r="I207" s="112" t="s">
        <v>187</v>
      </c>
    </row>
    <row r="208" spans="1:9">
      <c r="A208" s="49"/>
      <c r="B208" s="104" t="s">
        <v>6</v>
      </c>
      <c r="C208" s="11">
        <v>0.99404800000000004</v>
      </c>
      <c r="D208" s="11">
        <v>0.99870000000000003</v>
      </c>
      <c r="E208" s="11">
        <v>0.99760000000000004</v>
      </c>
      <c r="F208" s="11">
        <v>0.94</v>
      </c>
      <c r="G208" s="86" t="s">
        <v>23</v>
      </c>
      <c r="H208" s="9" t="s">
        <v>98</v>
      </c>
      <c r="I208" s="9" t="s">
        <v>19</v>
      </c>
    </row>
    <row r="209" spans="1:9" ht="15">
      <c r="A209" s="49"/>
      <c r="B209" s="106" t="s">
        <v>225</v>
      </c>
      <c r="C209" s="12">
        <v>8.9999999999999998E-4</v>
      </c>
      <c r="D209" s="12">
        <v>8.9999999999999998E-4</v>
      </c>
      <c r="E209" s="12">
        <v>8.9999999999999998E-4</v>
      </c>
      <c r="F209" s="138" t="s">
        <v>187</v>
      </c>
      <c r="G209" s="139" t="s">
        <v>187</v>
      </c>
      <c r="H209" s="140" t="s">
        <v>187</v>
      </c>
      <c r="I209" s="146" t="s">
        <v>187</v>
      </c>
    </row>
    <row r="210" spans="1:9" ht="15">
      <c r="A210" s="18"/>
      <c r="B210" s="15"/>
      <c r="C210" s="15"/>
      <c r="D210" s="15"/>
      <c r="E210" s="17"/>
      <c r="F210" s="16"/>
      <c r="G210" s="88"/>
      <c r="H210" s="17"/>
      <c r="I210" s="167"/>
    </row>
    <row r="211" spans="1:9" ht="30">
      <c r="A211" s="46" t="s">
        <v>104</v>
      </c>
      <c r="B211" s="36" t="s">
        <v>105</v>
      </c>
      <c r="C211" s="36"/>
      <c r="D211" s="36"/>
      <c r="E211" s="37"/>
      <c r="F211" s="38"/>
      <c r="G211" s="91"/>
      <c r="H211" s="37"/>
      <c r="I211" s="39"/>
    </row>
    <row r="212" spans="1:9" ht="23.25">
      <c r="A212" s="46"/>
      <c r="B212" s="41" t="s">
        <v>106</v>
      </c>
      <c r="C212" s="41"/>
      <c r="D212" s="41"/>
      <c r="E212" s="37"/>
      <c r="F212" s="38"/>
      <c r="G212" s="91"/>
      <c r="H212" s="37"/>
      <c r="I212" s="39"/>
    </row>
    <row r="213" spans="1:9" ht="23.25">
      <c r="A213" s="46"/>
      <c r="B213" s="41" t="s">
        <v>107</v>
      </c>
      <c r="C213" s="41"/>
      <c r="D213" s="41"/>
      <c r="E213" s="37"/>
      <c r="F213" s="38"/>
      <c r="G213" s="91"/>
      <c r="H213" s="37"/>
      <c r="I213" s="39"/>
    </row>
    <row r="214" spans="1:9" ht="15.75">
      <c r="A214" s="47"/>
      <c r="B214" s="119" t="s">
        <v>0</v>
      </c>
      <c r="C214" s="120" t="s">
        <v>223</v>
      </c>
      <c r="D214" s="120" t="s">
        <v>222</v>
      </c>
      <c r="E214" s="120" t="s">
        <v>221</v>
      </c>
      <c r="F214" s="120" t="s">
        <v>198</v>
      </c>
      <c r="G214" s="121" t="s">
        <v>30</v>
      </c>
      <c r="H214" s="121" t="s">
        <v>20</v>
      </c>
      <c r="I214" s="122" t="s">
        <v>35</v>
      </c>
    </row>
    <row r="215" spans="1:9">
      <c r="A215" s="49"/>
      <c r="B215" s="104" t="s">
        <v>138</v>
      </c>
      <c r="C215" s="123">
        <v>0</v>
      </c>
      <c r="D215" s="123" t="s">
        <v>187</v>
      </c>
      <c r="E215" s="123" t="s">
        <v>187</v>
      </c>
      <c r="F215" s="123" t="s">
        <v>187</v>
      </c>
      <c r="G215" s="85" t="s">
        <v>23</v>
      </c>
      <c r="H215" s="157" t="s">
        <v>243</v>
      </c>
      <c r="I215" s="147" t="s">
        <v>187</v>
      </c>
    </row>
    <row r="216" spans="1:9">
      <c r="A216" s="48"/>
      <c r="B216" s="104" t="s">
        <v>2</v>
      </c>
      <c r="C216" s="55">
        <v>0.62970000000000004</v>
      </c>
      <c r="D216" s="55">
        <v>0.59279999999999999</v>
      </c>
      <c r="E216" s="55">
        <v>0.59560000000000002</v>
      </c>
      <c r="F216" s="55">
        <v>0.6</v>
      </c>
      <c r="G216" s="86" t="s">
        <v>24</v>
      </c>
      <c r="H216" s="4" t="s">
        <v>199</v>
      </c>
      <c r="I216" s="1" t="s">
        <v>28</v>
      </c>
    </row>
    <row r="217" spans="1:9" ht="28.5">
      <c r="A217" s="49"/>
      <c r="B217" s="105" t="s">
        <v>137</v>
      </c>
      <c r="C217" s="55">
        <v>0.74639999999999995</v>
      </c>
      <c r="D217" s="55">
        <v>0.72660000000000002</v>
      </c>
      <c r="E217" s="55">
        <v>0.72199999999999998</v>
      </c>
      <c r="F217" s="55">
        <v>0.7</v>
      </c>
      <c r="G217" s="86" t="s">
        <v>23</v>
      </c>
      <c r="H217" s="4" t="s">
        <v>86</v>
      </c>
      <c r="I217" s="9" t="s">
        <v>99</v>
      </c>
    </row>
    <row r="218" spans="1:9">
      <c r="A218" s="49"/>
      <c r="B218" s="105" t="s">
        <v>12</v>
      </c>
      <c r="C218" s="55">
        <v>0.2354</v>
      </c>
      <c r="D218" s="55">
        <v>0.21609999999999999</v>
      </c>
      <c r="E218" s="55">
        <v>0.22020000000000001</v>
      </c>
      <c r="F218" s="55">
        <v>0.25</v>
      </c>
      <c r="G218" s="86" t="s">
        <v>24</v>
      </c>
      <c r="H218" s="4" t="s">
        <v>189</v>
      </c>
      <c r="I218" s="9" t="s">
        <v>18</v>
      </c>
    </row>
    <row r="219" spans="1:9" ht="15">
      <c r="A219" s="49"/>
      <c r="B219" s="106" t="s">
        <v>5</v>
      </c>
      <c r="C219" s="102">
        <f>SUBTOTAL(109,C215:C218)</f>
        <v>1.6115000000000002</v>
      </c>
      <c r="D219" s="102">
        <f>SUBTOTAL(109,D215:D218)</f>
        <v>1.5354999999999999</v>
      </c>
      <c r="E219" s="102">
        <f>SUBTOTAL(109,E215:E218)</f>
        <v>1.5378000000000001</v>
      </c>
      <c r="F219" s="102">
        <f>SUBTOTAL(109,F215:F218)</f>
        <v>1.5499999999999998</v>
      </c>
      <c r="G219" s="117" t="s">
        <v>187</v>
      </c>
      <c r="H219" s="118" t="s">
        <v>243</v>
      </c>
      <c r="I219" s="111" t="s">
        <v>187</v>
      </c>
    </row>
    <row r="220" spans="1:9">
      <c r="A220" s="49"/>
      <c r="B220" s="104" t="s">
        <v>6</v>
      </c>
      <c r="C220" s="68">
        <v>0.99670000000000003</v>
      </c>
      <c r="D220" s="68">
        <v>0.99409999999999998</v>
      </c>
      <c r="E220" s="68">
        <v>0.99650000000000005</v>
      </c>
      <c r="F220" s="68">
        <v>0.94</v>
      </c>
      <c r="G220" s="86" t="s">
        <v>23</v>
      </c>
      <c r="H220" s="9" t="s">
        <v>98</v>
      </c>
      <c r="I220" s="1" t="s">
        <v>19</v>
      </c>
    </row>
    <row r="221" spans="1:9" ht="15">
      <c r="A221" s="49"/>
      <c r="B221" s="106" t="s">
        <v>225</v>
      </c>
      <c r="C221" s="12">
        <v>2E-3</v>
      </c>
      <c r="D221" s="12">
        <v>2E-3</v>
      </c>
      <c r="E221" s="12">
        <v>2.5000000000000001E-3</v>
      </c>
      <c r="F221" s="138" t="s">
        <v>187</v>
      </c>
      <c r="G221" s="139" t="s">
        <v>187</v>
      </c>
      <c r="H221" s="140" t="s">
        <v>187</v>
      </c>
      <c r="I221" s="146" t="s">
        <v>187</v>
      </c>
    </row>
    <row r="222" spans="1:9" ht="15">
      <c r="A222" s="18"/>
      <c r="B222" s="15"/>
      <c r="C222" s="15"/>
      <c r="D222" s="15"/>
      <c r="E222" s="17"/>
      <c r="F222" s="16"/>
      <c r="G222" s="88"/>
      <c r="H222" s="17"/>
      <c r="I222" s="167"/>
    </row>
    <row r="223" spans="1:9" ht="30">
      <c r="A223" s="46" t="s">
        <v>108</v>
      </c>
      <c r="B223" s="36" t="s">
        <v>109</v>
      </c>
      <c r="C223" s="36"/>
      <c r="D223" s="36"/>
      <c r="E223" s="37"/>
      <c r="F223" s="38"/>
      <c r="G223" s="91"/>
      <c r="H223" s="37"/>
      <c r="I223" s="39"/>
    </row>
    <row r="224" spans="1:9" ht="23.25">
      <c r="A224" s="46"/>
      <c r="B224" s="41" t="s">
        <v>110</v>
      </c>
      <c r="C224" s="41"/>
      <c r="D224" s="41"/>
      <c r="E224" s="37"/>
      <c r="F224" s="38"/>
      <c r="G224" s="91"/>
      <c r="H224" s="37"/>
      <c r="I224" s="39"/>
    </row>
    <row r="225" spans="1:9" ht="15.75">
      <c r="A225" s="47"/>
      <c r="B225" s="224" t="s">
        <v>0</v>
      </c>
      <c r="C225" s="125" t="s">
        <v>187</v>
      </c>
      <c r="D225" s="120" t="s">
        <v>222</v>
      </c>
      <c r="E225" s="120" t="s">
        <v>221</v>
      </c>
      <c r="F225" s="120" t="s">
        <v>198</v>
      </c>
      <c r="G225" s="121" t="s">
        <v>30</v>
      </c>
      <c r="H225" s="121" t="s">
        <v>20</v>
      </c>
      <c r="I225" s="121" t="s">
        <v>35</v>
      </c>
    </row>
    <row r="226" spans="1:9">
      <c r="A226" s="49"/>
      <c r="B226" s="221" t="s">
        <v>138</v>
      </c>
      <c r="C226" s="127" t="s">
        <v>187</v>
      </c>
      <c r="D226" s="5">
        <v>0.15790000000000001</v>
      </c>
      <c r="E226" s="5">
        <v>0.17799999999999999</v>
      </c>
      <c r="F226" s="5">
        <v>0.19</v>
      </c>
      <c r="G226" s="85" t="s">
        <v>23</v>
      </c>
      <c r="H226" s="7" t="s">
        <v>55</v>
      </c>
      <c r="I226" s="6" t="s">
        <v>27</v>
      </c>
    </row>
    <row r="227" spans="1:9">
      <c r="A227" s="48"/>
      <c r="B227" s="221" t="s">
        <v>2</v>
      </c>
      <c r="C227" s="129" t="s">
        <v>187</v>
      </c>
      <c r="D227" s="3">
        <v>0.5524</v>
      </c>
      <c r="E227" s="3">
        <v>0.54559999999999997</v>
      </c>
      <c r="F227" s="3">
        <v>0.52</v>
      </c>
      <c r="G227" s="86" t="s">
        <v>24</v>
      </c>
      <c r="H227" s="4" t="s">
        <v>191</v>
      </c>
      <c r="I227" s="1" t="s">
        <v>28</v>
      </c>
    </row>
    <row r="228" spans="1:9" ht="28.5">
      <c r="A228" s="49"/>
      <c r="B228" s="222" t="s">
        <v>137</v>
      </c>
      <c r="C228" s="127" t="s">
        <v>187</v>
      </c>
      <c r="D228" s="3">
        <v>0.46339999999999998</v>
      </c>
      <c r="E228" s="3">
        <v>0.46160000000000001</v>
      </c>
      <c r="F228" s="3">
        <v>0.5</v>
      </c>
      <c r="G228" s="86" t="s">
        <v>23</v>
      </c>
      <c r="H228" s="4" t="s">
        <v>91</v>
      </c>
      <c r="I228" s="9" t="s">
        <v>99</v>
      </c>
    </row>
    <row r="229" spans="1:9">
      <c r="A229" s="49"/>
      <c r="B229" s="221" t="s">
        <v>12</v>
      </c>
      <c r="C229" s="129" t="s">
        <v>187</v>
      </c>
      <c r="D229" s="3">
        <v>0.27550000000000002</v>
      </c>
      <c r="E229" s="3">
        <v>0.29170000000000001</v>
      </c>
      <c r="F229" s="3">
        <v>0.25</v>
      </c>
      <c r="G229" s="86" t="s">
        <v>24</v>
      </c>
      <c r="H229" s="9" t="s">
        <v>54</v>
      </c>
      <c r="I229" s="1" t="s">
        <v>18</v>
      </c>
    </row>
    <row r="230" spans="1:9" ht="15">
      <c r="A230" s="49"/>
      <c r="B230" s="223" t="s">
        <v>5</v>
      </c>
      <c r="C230" s="129" t="s">
        <v>187</v>
      </c>
      <c r="D230" s="27">
        <f>SUBTOTAL(109,D226:D229)</f>
        <v>1.4492</v>
      </c>
      <c r="E230" s="27">
        <f>SUBTOTAL(109,E226:E229)</f>
        <v>1.4769000000000001</v>
      </c>
      <c r="F230" s="27">
        <f>SUBTOTAL(109,F226:F229)</f>
        <v>1.46</v>
      </c>
      <c r="G230" s="117" t="s">
        <v>187</v>
      </c>
      <c r="H230" s="118" t="s">
        <v>243</v>
      </c>
      <c r="I230" s="111" t="s">
        <v>187</v>
      </c>
    </row>
    <row r="231" spans="1:9">
      <c r="A231" s="49"/>
      <c r="B231" s="221" t="s">
        <v>6</v>
      </c>
      <c r="C231" s="129" t="s">
        <v>187</v>
      </c>
      <c r="D231" s="11">
        <v>0.99707000000000001</v>
      </c>
      <c r="E231" s="11">
        <v>0.99619999999999997</v>
      </c>
      <c r="F231" s="11">
        <v>0.94</v>
      </c>
      <c r="G231" s="86" t="s">
        <v>23</v>
      </c>
      <c r="H231" s="9" t="s">
        <v>98</v>
      </c>
      <c r="I231" s="1" t="s">
        <v>19</v>
      </c>
    </row>
    <row r="232" spans="1:9" ht="15">
      <c r="A232" s="49"/>
      <c r="B232" s="223" t="s">
        <v>225</v>
      </c>
      <c r="C232" s="134" t="s">
        <v>187</v>
      </c>
      <c r="D232" s="12">
        <v>2.5000000000000001E-3</v>
      </c>
      <c r="E232" s="12">
        <v>2.5000000000000001E-3</v>
      </c>
      <c r="F232" s="138" t="s">
        <v>187</v>
      </c>
      <c r="G232" s="139" t="s">
        <v>187</v>
      </c>
      <c r="H232" s="140" t="s">
        <v>187</v>
      </c>
      <c r="I232" s="146" t="s">
        <v>187</v>
      </c>
    </row>
    <row r="233" spans="1:9" ht="15">
      <c r="A233" s="18"/>
      <c r="B233" s="159" t="s">
        <v>194</v>
      </c>
      <c r="C233" s="159" t="s">
        <v>194</v>
      </c>
      <c r="D233" s="159" t="s">
        <v>194</v>
      </c>
      <c r="E233" s="160" t="s">
        <v>194</v>
      </c>
      <c r="F233" s="160" t="s">
        <v>194</v>
      </c>
      <c r="G233" s="160" t="s">
        <v>194</v>
      </c>
      <c r="H233" s="160" t="s">
        <v>194</v>
      </c>
      <c r="I233" s="169" t="s">
        <v>194</v>
      </c>
    </row>
    <row r="234" spans="1:9" ht="30">
      <c r="A234" s="46" t="s">
        <v>111</v>
      </c>
      <c r="B234" s="36" t="s">
        <v>112</v>
      </c>
      <c r="C234" s="36"/>
      <c r="D234" s="36"/>
      <c r="E234" s="37"/>
      <c r="F234" s="38"/>
      <c r="G234" s="91"/>
      <c r="H234" s="37"/>
      <c r="I234" s="39"/>
    </row>
    <row r="235" spans="1:9" ht="23.25">
      <c r="A235" s="46"/>
      <c r="B235" s="41" t="s">
        <v>113</v>
      </c>
      <c r="C235" s="41"/>
      <c r="D235" s="41"/>
      <c r="E235" s="37"/>
      <c r="F235" s="38"/>
      <c r="G235" s="91"/>
      <c r="H235" s="37"/>
      <c r="I235" s="39"/>
    </row>
    <row r="236" spans="1:9" ht="23.25">
      <c r="A236" s="46"/>
      <c r="B236" s="41" t="s">
        <v>114</v>
      </c>
      <c r="C236" s="41"/>
      <c r="D236" s="41"/>
      <c r="E236" s="37"/>
      <c r="F236" s="38"/>
      <c r="G236" s="91"/>
      <c r="H236" s="37"/>
      <c r="I236" s="39"/>
    </row>
    <row r="237" spans="1:9" ht="15.75">
      <c r="A237" s="47"/>
      <c r="B237" s="119" t="s">
        <v>0</v>
      </c>
      <c r="C237" s="120" t="s">
        <v>223</v>
      </c>
      <c r="D237" s="120" t="s">
        <v>222</v>
      </c>
      <c r="E237" s="120" t="s">
        <v>221</v>
      </c>
      <c r="F237" s="120" t="s">
        <v>198</v>
      </c>
      <c r="G237" s="121" t="s">
        <v>30</v>
      </c>
      <c r="H237" s="121" t="s">
        <v>20</v>
      </c>
      <c r="I237" s="121" t="s">
        <v>35</v>
      </c>
    </row>
    <row r="238" spans="1:9">
      <c r="A238" s="49"/>
      <c r="B238" s="104" t="s">
        <v>138</v>
      </c>
      <c r="C238" s="5">
        <v>0.99850000000000005</v>
      </c>
      <c r="D238" s="5">
        <v>0.99839999999999995</v>
      </c>
      <c r="E238" s="5">
        <v>0.99850000000000005</v>
      </c>
      <c r="F238" s="5">
        <v>0.94</v>
      </c>
      <c r="G238" s="85" t="s">
        <v>23</v>
      </c>
      <c r="H238" s="7" t="s">
        <v>98</v>
      </c>
      <c r="I238" s="6" t="s">
        <v>7</v>
      </c>
    </row>
    <row r="239" spans="1:9">
      <c r="A239" s="48"/>
      <c r="B239" s="104" t="s">
        <v>2</v>
      </c>
      <c r="C239" s="3">
        <v>0.25309999999999999</v>
      </c>
      <c r="D239" s="3">
        <v>0.2361</v>
      </c>
      <c r="E239" s="3">
        <v>0.26840000000000003</v>
      </c>
      <c r="F239" s="3">
        <v>0.05</v>
      </c>
      <c r="G239" s="3" t="s">
        <v>24</v>
      </c>
      <c r="H239" s="3" t="s">
        <v>51</v>
      </c>
      <c r="I239" s="1" t="s">
        <v>14</v>
      </c>
    </row>
    <row r="240" spans="1:9">
      <c r="A240" s="49"/>
      <c r="B240" s="105" t="s">
        <v>137</v>
      </c>
      <c r="C240" s="113">
        <v>0</v>
      </c>
      <c r="D240" s="113">
        <v>0</v>
      </c>
      <c r="E240" s="113">
        <v>0</v>
      </c>
      <c r="F240" s="132" t="s">
        <v>187</v>
      </c>
      <c r="G240" s="3" t="s">
        <v>23</v>
      </c>
      <c r="H240" s="132" t="s">
        <v>187</v>
      </c>
      <c r="I240" s="132" t="s">
        <v>187</v>
      </c>
    </row>
    <row r="241" spans="1:9">
      <c r="A241" s="49"/>
      <c r="B241" s="104" t="s">
        <v>12</v>
      </c>
      <c r="C241" s="3">
        <v>0.2959</v>
      </c>
      <c r="D241" s="3">
        <v>0.26269999999999999</v>
      </c>
      <c r="E241" s="3">
        <v>0.29260000000000003</v>
      </c>
      <c r="F241" s="239">
        <v>0.05</v>
      </c>
      <c r="G241" s="3" t="s">
        <v>24</v>
      </c>
      <c r="H241" s="239" t="s">
        <v>51</v>
      </c>
      <c r="I241" s="1" t="s">
        <v>18</v>
      </c>
    </row>
    <row r="242" spans="1:9" ht="15">
      <c r="A242" s="49"/>
      <c r="B242" s="106" t="s">
        <v>5</v>
      </c>
      <c r="C242" s="27">
        <f>SUBTOTAL(109,C238:C241)</f>
        <v>1.5475000000000001</v>
      </c>
      <c r="D242" s="27">
        <f>SUBTOTAL(109,D238:D241)</f>
        <v>1.4971999999999999</v>
      </c>
      <c r="E242" s="27">
        <f>SUBTOTAL(109,E238:E241)</f>
        <v>1.5595000000000001</v>
      </c>
      <c r="F242" s="27">
        <f>SUBTOTAL(109,F238:F241)</f>
        <v>1.04</v>
      </c>
      <c r="G242" s="117" t="s">
        <v>187</v>
      </c>
      <c r="H242" s="118" t="s">
        <v>243</v>
      </c>
      <c r="I242" s="111" t="s">
        <v>187</v>
      </c>
    </row>
    <row r="243" spans="1:9">
      <c r="A243" s="49"/>
      <c r="B243" s="104" t="s">
        <v>6</v>
      </c>
      <c r="C243" s="5">
        <v>0.99729999999999996</v>
      </c>
      <c r="D243" s="5">
        <v>0.99829999999999997</v>
      </c>
      <c r="E243" s="5">
        <v>0.99809999999999999</v>
      </c>
      <c r="F243" s="11">
        <v>0.94</v>
      </c>
      <c r="G243" s="86" t="s">
        <v>23</v>
      </c>
      <c r="H243" s="9" t="s">
        <v>98</v>
      </c>
      <c r="I243" s="1" t="s">
        <v>19</v>
      </c>
    </row>
    <row r="244" spans="1:9" ht="15">
      <c r="A244" s="49"/>
      <c r="B244" s="106" t="s">
        <v>225</v>
      </c>
      <c r="C244" s="66">
        <v>8.9999999999999998E-4</v>
      </c>
      <c r="D244" s="66">
        <v>8.9999999999999998E-4</v>
      </c>
      <c r="E244" s="66">
        <v>8.9999999999999998E-4</v>
      </c>
      <c r="F244" s="138" t="s">
        <v>187</v>
      </c>
      <c r="G244" s="139" t="s">
        <v>187</v>
      </c>
      <c r="H244" s="140" t="s">
        <v>187</v>
      </c>
      <c r="I244" s="146" t="s">
        <v>187</v>
      </c>
    </row>
    <row r="245" spans="1:9" ht="15">
      <c r="A245" s="18"/>
      <c r="B245" s="159" t="s">
        <v>187</v>
      </c>
      <c r="C245" s="159" t="s">
        <v>187</v>
      </c>
      <c r="D245" s="159" t="s">
        <v>187</v>
      </c>
      <c r="E245" s="160" t="s">
        <v>187</v>
      </c>
      <c r="F245" s="160" t="s">
        <v>187</v>
      </c>
      <c r="G245" s="160" t="s">
        <v>187</v>
      </c>
      <c r="H245" s="160" t="s">
        <v>187</v>
      </c>
      <c r="I245" s="169" t="s">
        <v>187</v>
      </c>
    </row>
    <row r="246" spans="1:9" ht="23.25">
      <c r="A246" s="51" t="s">
        <v>115</v>
      </c>
      <c r="B246" s="32" t="s">
        <v>116</v>
      </c>
      <c r="C246" s="36"/>
      <c r="D246" s="36"/>
      <c r="E246" s="33"/>
      <c r="F246" s="34"/>
      <c r="G246" s="90"/>
      <c r="H246" s="33"/>
      <c r="I246" s="39"/>
    </row>
    <row r="247" spans="1:9" ht="15.75">
      <c r="A247" s="50"/>
      <c r="B247" s="121" t="s">
        <v>0</v>
      </c>
      <c r="C247" s="125" t="s">
        <v>187</v>
      </c>
      <c r="D247" s="126" t="s">
        <v>188</v>
      </c>
      <c r="E247" s="120" t="s">
        <v>220</v>
      </c>
      <c r="F247" s="120" t="s">
        <v>198</v>
      </c>
      <c r="G247" s="124" t="s">
        <v>30</v>
      </c>
      <c r="H247" s="121" t="s">
        <v>20</v>
      </c>
      <c r="I247" s="121" t="s">
        <v>35</v>
      </c>
    </row>
    <row r="248" spans="1:9" ht="57">
      <c r="A248" s="50"/>
      <c r="B248" s="221" t="s">
        <v>138</v>
      </c>
      <c r="C248" s="127" t="s">
        <v>187</v>
      </c>
      <c r="D248" s="128" t="s">
        <v>187</v>
      </c>
      <c r="E248" s="63">
        <v>0.28160000000000002</v>
      </c>
      <c r="F248" s="5">
        <v>0.24</v>
      </c>
      <c r="G248" s="85" t="s">
        <v>4</v>
      </c>
      <c r="H248" s="7" t="s">
        <v>63</v>
      </c>
      <c r="I248" s="6" t="s">
        <v>218</v>
      </c>
    </row>
    <row r="249" spans="1:9">
      <c r="A249" s="50"/>
      <c r="B249" s="221" t="s">
        <v>2</v>
      </c>
      <c r="C249" s="129" t="s">
        <v>187</v>
      </c>
      <c r="D249" s="130" t="s">
        <v>187</v>
      </c>
      <c r="E249" s="64">
        <v>0.30370000000000003</v>
      </c>
      <c r="F249" s="3">
        <v>0.35</v>
      </c>
      <c r="G249" s="86" t="s">
        <v>3</v>
      </c>
      <c r="H249" s="4" t="s">
        <v>117</v>
      </c>
      <c r="I249" s="1" t="s">
        <v>14</v>
      </c>
    </row>
    <row r="250" spans="1:9">
      <c r="A250" s="50"/>
      <c r="B250" s="222" t="s">
        <v>137</v>
      </c>
      <c r="C250" s="127" t="s">
        <v>187</v>
      </c>
      <c r="D250" s="128" t="s">
        <v>187</v>
      </c>
      <c r="E250" s="64">
        <v>0.32650000000000001</v>
      </c>
      <c r="F250" s="3">
        <v>0.35</v>
      </c>
      <c r="G250" s="86" t="s">
        <v>4</v>
      </c>
      <c r="H250" s="4" t="s">
        <v>118</v>
      </c>
      <c r="I250" s="1" t="s">
        <v>15</v>
      </c>
    </row>
    <row r="251" spans="1:9" ht="28.5">
      <c r="A251" s="50"/>
      <c r="B251" s="227" t="s">
        <v>9</v>
      </c>
      <c r="C251" s="129" t="s">
        <v>187</v>
      </c>
      <c r="D251" s="130" t="s">
        <v>187</v>
      </c>
      <c r="E251" s="64">
        <v>6.8999999999999999E-3</v>
      </c>
      <c r="F251" s="3">
        <v>0.05</v>
      </c>
      <c r="G251" s="87" t="s">
        <v>3</v>
      </c>
      <c r="H251" s="9" t="s">
        <v>51</v>
      </c>
      <c r="I251" s="1" t="s">
        <v>16</v>
      </c>
    </row>
    <row r="252" spans="1:9">
      <c r="A252" s="50"/>
      <c r="B252" s="227" t="s">
        <v>10</v>
      </c>
      <c r="C252" s="129" t="s">
        <v>187</v>
      </c>
      <c r="D252" s="130" t="s">
        <v>187</v>
      </c>
      <c r="E252" s="64">
        <v>1.4E-2</v>
      </c>
      <c r="F252" s="3">
        <v>0.05</v>
      </c>
      <c r="G252" s="87" t="s">
        <v>3</v>
      </c>
      <c r="H252" s="9" t="s">
        <v>51</v>
      </c>
      <c r="I252" s="1" t="s">
        <v>17</v>
      </c>
    </row>
    <row r="253" spans="1:9">
      <c r="A253" s="50"/>
      <c r="B253" s="227" t="s">
        <v>11</v>
      </c>
      <c r="C253" s="129" t="s">
        <v>187</v>
      </c>
      <c r="D253" s="130" t="s">
        <v>187</v>
      </c>
      <c r="E253" s="64">
        <v>0</v>
      </c>
      <c r="F253" s="3">
        <v>0.05</v>
      </c>
      <c r="G253" s="87" t="s">
        <v>3</v>
      </c>
      <c r="H253" s="9" t="s">
        <v>51</v>
      </c>
      <c r="I253" s="1" t="s">
        <v>18</v>
      </c>
    </row>
    <row r="254" spans="1:9">
      <c r="A254" s="50"/>
      <c r="B254" s="227" t="s">
        <v>21</v>
      </c>
      <c r="C254" s="129" t="s">
        <v>187</v>
      </c>
      <c r="D254" s="130" t="s">
        <v>187</v>
      </c>
      <c r="E254" s="137">
        <v>0</v>
      </c>
      <c r="F254" s="113" t="s">
        <v>187</v>
      </c>
      <c r="G254" s="87" t="s">
        <v>3</v>
      </c>
      <c r="H254" s="132" t="s">
        <v>187</v>
      </c>
      <c r="I254" s="145" t="s">
        <v>187</v>
      </c>
    </row>
    <row r="255" spans="1:9" ht="15.75">
      <c r="A255" s="50"/>
      <c r="B255" s="227" t="s">
        <v>12</v>
      </c>
      <c r="C255" s="125" t="s">
        <v>187</v>
      </c>
      <c r="D255" s="126" t="s">
        <v>187</v>
      </c>
      <c r="E255" s="64">
        <v>0.10920000000000001</v>
      </c>
      <c r="F255" s="3">
        <v>0.15</v>
      </c>
      <c r="G255" s="86" t="s">
        <v>3</v>
      </c>
      <c r="H255" s="9" t="s">
        <v>52</v>
      </c>
      <c r="I255" s="9" t="s">
        <v>18</v>
      </c>
    </row>
    <row r="256" spans="1:9">
      <c r="A256" s="50"/>
      <c r="B256" s="221" t="s">
        <v>13</v>
      </c>
      <c r="C256" s="127" t="s">
        <v>187</v>
      </c>
      <c r="D256" s="128" t="s">
        <v>187</v>
      </c>
      <c r="E256" s="64">
        <v>1.1000000000000001E-3</v>
      </c>
      <c r="F256" s="3">
        <v>0.05</v>
      </c>
      <c r="G256" s="86" t="s">
        <v>3</v>
      </c>
      <c r="H256" s="10" t="s">
        <v>51</v>
      </c>
      <c r="I256" s="132" t="s">
        <v>187</v>
      </c>
    </row>
    <row r="257" spans="1:9" ht="15">
      <c r="A257" s="50"/>
      <c r="B257" s="223" t="s">
        <v>5</v>
      </c>
      <c r="C257" s="129" t="s">
        <v>187</v>
      </c>
      <c r="D257" s="130" t="s">
        <v>187</v>
      </c>
      <c r="E257" s="27">
        <f>SUBTOTAL(109,E248:E256)</f>
        <v>1.0430000000000001</v>
      </c>
      <c r="F257" s="27">
        <f>SUBTOTAL(109,F248:F256)</f>
        <v>1.29</v>
      </c>
      <c r="G257" s="117" t="s">
        <v>187</v>
      </c>
      <c r="H257" s="118" t="s">
        <v>187</v>
      </c>
      <c r="I257" s="112" t="s">
        <v>187</v>
      </c>
    </row>
    <row r="258" spans="1:9">
      <c r="A258" s="50"/>
      <c r="B258" s="221" t="s">
        <v>6</v>
      </c>
      <c r="C258" s="127" t="s">
        <v>187</v>
      </c>
      <c r="D258" s="128" t="s">
        <v>187</v>
      </c>
      <c r="E258" s="65">
        <v>0.14530000000000001</v>
      </c>
      <c r="F258" s="11">
        <v>0.15</v>
      </c>
      <c r="G258" s="86" t="s">
        <v>4</v>
      </c>
      <c r="H258" s="9" t="s">
        <v>119</v>
      </c>
      <c r="I258" s="1" t="s">
        <v>19</v>
      </c>
    </row>
    <row r="259" spans="1:9" ht="15">
      <c r="A259" s="50"/>
      <c r="B259" s="223" t="s">
        <v>225</v>
      </c>
      <c r="C259" s="134" t="s">
        <v>187</v>
      </c>
      <c r="D259" s="135" t="s">
        <v>187</v>
      </c>
      <c r="E259" s="66">
        <v>1.9E-3</v>
      </c>
      <c r="F259" s="111" t="s">
        <v>187</v>
      </c>
      <c r="G259" s="131" t="s">
        <v>187</v>
      </c>
      <c r="H259" s="131" t="s">
        <v>187</v>
      </c>
      <c r="I259" s="146" t="s">
        <v>187</v>
      </c>
    </row>
    <row r="260" spans="1:9" ht="15">
      <c r="A260" s="18"/>
      <c r="B260" s="15"/>
      <c r="C260" s="15"/>
      <c r="D260" s="15"/>
      <c r="E260" s="160" t="s">
        <v>243</v>
      </c>
      <c r="F260" s="160" t="s">
        <v>243</v>
      </c>
      <c r="G260" s="160" t="s">
        <v>243</v>
      </c>
      <c r="H260" s="160" t="s">
        <v>243</v>
      </c>
      <c r="I260" s="169" t="s">
        <v>243</v>
      </c>
    </row>
    <row r="261" spans="1:9" ht="23.25">
      <c r="A261" s="51" t="s">
        <v>115</v>
      </c>
      <c r="B261" s="32" t="s">
        <v>120</v>
      </c>
      <c r="C261" s="32"/>
      <c r="D261" s="32"/>
      <c r="E261" s="33"/>
      <c r="F261" s="34"/>
      <c r="G261" s="90"/>
      <c r="H261" s="33"/>
      <c r="I261" s="39"/>
    </row>
    <row r="262" spans="1:9" ht="15.75">
      <c r="A262" s="50"/>
      <c r="B262" s="224" t="s">
        <v>0</v>
      </c>
      <c r="C262" s="125" t="s">
        <v>187</v>
      </c>
      <c r="D262" s="265" t="s">
        <v>188</v>
      </c>
      <c r="E262" s="120" t="s">
        <v>220</v>
      </c>
      <c r="F262" s="120" t="s">
        <v>198</v>
      </c>
      <c r="G262" s="124" t="s">
        <v>30</v>
      </c>
      <c r="H262" s="121" t="s">
        <v>20</v>
      </c>
      <c r="I262" s="121" t="s">
        <v>35</v>
      </c>
    </row>
    <row r="263" spans="1:9" ht="28.5">
      <c r="A263" s="50"/>
      <c r="B263" s="221" t="s">
        <v>138</v>
      </c>
      <c r="C263" s="127" t="s">
        <v>187</v>
      </c>
      <c r="D263" s="108" t="s">
        <v>188</v>
      </c>
      <c r="E263" s="5" t="s">
        <v>236</v>
      </c>
      <c r="F263" s="5" t="s">
        <v>237</v>
      </c>
      <c r="G263" s="85" t="s">
        <v>4</v>
      </c>
      <c r="H263" s="7" t="s">
        <v>66</v>
      </c>
      <c r="I263" s="6" t="s">
        <v>227</v>
      </c>
    </row>
    <row r="264" spans="1:9">
      <c r="A264" s="50"/>
      <c r="B264" s="221" t="s">
        <v>2</v>
      </c>
      <c r="C264" s="129" t="s">
        <v>187</v>
      </c>
      <c r="D264" s="109" t="s">
        <v>187</v>
      </c>
      <c r="E264" s="3">
        <v>0.26590000000000003</v>
      </c>
      <c r="F264" s="3">
        <v>0.3</v>
      </c>
      <c r="G264" s="86" t="s">
        <v>3</v>
      </c>
      <c r="H264" s="4" t="s">
        <v>60</v>
      </c>
      <c r="I264" s="1" t="s">
        <v>14</v>
      </c>
    </row>
    <row r="265" spans="1:9">
      <c r="A265" s="50"/>
      <c r="B265" s="222" t="s">
        <v>137</v>
      </c>
      <c r="C265" s="127" t="s">
        <v>187</v>
      </c>
      <c r="D265" s="108" t="s">
        <v>187</v>
      </c>
      <c r="E265" s="3">
        <v>0.27239999999999998</v>
      </c>
      <c r="F265" s="3">
        <v>0.25</v>
      </c>
      <c r="G265" s="86" t="s">
        <v>4</v>
      </c>
      <c r="H265" s="4" t="s">
        <v>57</v>
      </c>
      <c r="I265" s="1" t="s">
        <v>15</v>
      </c>
    </row>
    <row r="266" spans="1:9" ht="28.5">
      <c r="A266" s="50"/>
      <c r="B266" s="227" t="s">
        <v>9</v>
      </c>
      <c r="C266" s="129" t="s">
        <v>187</v>
      </c>
      <c r="D266" s="109" t="s">
        <v>187</v>
      </c>
      <c r="E266" s="3">
        <v>1.6999999999999999E-3</v>
      </c>
      <c r="F266" s="3">
        <v>0.05</v>
      </c>
      <c r="G266" s="87" t="s">
        <v>3</v>
      </c>
      <c r="H266" s="9" t="s">
        <v>51</v>
      </c>
      <c r="I266" s="1" t="s">
        <v>16</v>
      </c>
    </row>
    <row r="267" spans="1:9">
      <c r="A267" s="50"/>
      <c r="B267" s="227" t="s">
        <v>10</v>
      </c>
      <c r="C267" s="129" t="s">
        <v>187</v>
      </c>
      <c r="D267" s="109" t="s">
        <v>187</v>
      </c>
      <c r="E267" s="3">
        <v>4.4999999999999997E-3</v>
      </c>
      <c r="F267" s="3">
        <v>0.05</v>
      </c>
      <c r="G267" s="87" t="s">
        <v>3</v>
      </c>
      <c r="H267" s="9" t="s">
        <v>51</v>
      </c>
      <c r="I267" s="1" t="s">
        <v>17</v>
      </c>
    </row>
    <row r="268" spans="1:9">
      <c r="A268" s="50"/>
      <c r="B268" s="227" t="s">
        <v>11</v>
      </c>
      <c r="C268" s="129" t="s">
        <v>187</v>
      </c>
      <c r="D268" s="109" t="s">
        <v>187</v>
      </c>
      <c r="E268" s="113">
        <v>0</v>
      </c>
      <c r="F268" s="3">
        <v>0.05</v>
      </c>
      <c r="G268" s="87" t="s">
        <v>3</v>
      </c>
      <c r="H268" s="9" t="s">
        <v>51</v>
      </c>
      <c r="I268" s="1" t="s">
        <v>18</v>
      </c>
    </row>
    <row r="269" spans="1:9">
      <c r="A269" s="50"/>
      <c r="B269" s="227" t="s">
        <v>21</v>
      </c>
      <c r="C269" s="129" t="s">
        <v>187</v>
      </c>
      <c r="D269" s="109" t="s">
        <v>187</v>
      </c>
      <c r="E269" s="113">
        <v>0</v>
      </c>
      <c r="F269" s="113" t="s">
        <v>187</v>
      </c>
      <c r="G269" s="87" t="s">
        <v>3</v>
      </c>
      <c r="H269" s="132" t="s">
        <v>243</v>
      </c>
      <c r="I269" s="145" t="s">
        <v>187</v>
      </c>
    </row>
    <row r="270" spans="1:9" ht="15.75">
      <c r="A270" s="50"/>
      <c r="B270" s="227" t="s">
        <v>12</v>
      </c>
      <c r="C270" s="125" t="s">
        <v>187</v>
      </c>
      <c r="D270" s="107" t="s">
        <v>187</v>
      </c>
      <c r="E270" s="3">
        <v>0.1081</v>
      </c>
      <c r="F270" s="3">
        <v>0.15</v>
      </c>
      <c r="G270" s="86" t="s">
        <v>3</v>
      </c>
      <c r="H270" s="9" t="s">
        <v>52</v>
      </c>
      <c r="I270" s="9" t="s">
        <v>18</v>
      </c>
    </row>
    <row r="271" spans="1:9">
      <c r="A271" s="50"/>
      <c r="B271" s="221" t="s">
        <v>13</v>
      </c>
      <c r="C271" s="127" t="s">
        <v>187</v>
      </c>
      <c r="D271" s="108" t="s">
        <v>187</v>
      </c>
      <c r="E271" s="3">
        <v>0</v>
      </c>
      <c r="F271" s="3">
        <v>0.05</v>
      </c>
      <c r="G271" s="86" t="s">
        <v>3</v>
      </c>
      <c r="H271" s="10" t="s">
        <v>51</v>
      </c>
      <c r="I271" s="132" t="s">
        <v>187</v>
      </c>
    </row>
    <row r="272" spans="1:9" ht="15">
      <c r="A272" s="50"/>
      <c r="B272" s="223" t="s">
        <v>5</v>
      </c>
      <c r="C272" s="129" t="s">
        <v>187</v>
      </c>
      <c r="D272" s="109" t="s">
        <v>187</v>
      </c>
      <c r="E272" s="27">
        <f>SUBTOTAL(109,E263:E271)</f>
        <v>0.65259999999999996</v>
      </c>
      <c r="F272" s="27">
        <f>SUBTOTAL(109,F263:F271)</f>
        <v>0.90000000000000024</v>
      </c>
      <c r="G272" s="117" t="s">
        <v>187</v>
      </c>
      <c r="H272" s="118" t="s">
        <v>243</v>
      </c>
      <c r="I272" s="112" t="s">
        <v>187</v>
      </c>
    </row>
    <row r="273" spans="1:9">
      <c r="A273" s="50"/>
      <c r="B273" s="221" t="s">
        <v>6</v>
      </c>
      <c r="C273" s="127" t="s">
        <v>187</v>
      </c>
      <c r="D273" s="108" t="s">
        <v>187</v>
      </c>
      <c r="E273" s="11">
        <v>0.2248</v>
      </c>
      <c r="F273" s="3">
        <v>0.2</v>
      </c>
      <c r="G273" s="87" t="s">
        <v>4</v>
      </c>
      <c r="H273" s="9" t="s">
        <v>64</v>
      </c>
      <c r="I273" s="1" t="s">
        <v>19</v>
      </c>
    </row>
    <row r="274" spans="1:9" ht="15">
      <c r="A274" s="50"/>
      <c r="B274" s="223" t="s">
        <v>225</v>
      </c>
      <c r="C274" s="134" t="s">
        <v>187</v>
      </c>
      <c r="D274" s="230" t="s">
        <v>187</v>
      </c>
      <c r="E274" s="12">
        <v>1.9E-3</v>
      </c>
      <c r="F274" s="111" t="s">
        <v>187</v>
      </c>
      <c r="G274" s="131" t="s">
        <v>187</v>
      </c>
      <c r="H274" s="131" t="s">
        <v>187</v>
      </c>
      <c r="I274" s="146" t="s">
        <v>187</v>
      </c>
    </row>
    <row r="275" spans="1:9" ht="15">
      <c r="A275" s="18"/>
      <c r="B275" s="15"/>
      <c r="C275" s="15"/>
      <c r="D275" s="15"/>
      <c r="E275" s="17"/>
      <c r="F275" s="16"/>
      <c r="G275" s="88"/>
      <c r="H275" s="17"/>
      <c r="I275" s="167"/>
    </row>
    <row r="276" spans="1:9" ht="23.25">
      <c r="A276" s="51" t="s">
        <v>115</v>
      </c>
      <c r="B276" s="32" t="s">
        <v>121</v>
      </c>
      <c r="C276" s="32"/>
      <c r="D276" s="32"/>
      <c r="E276" s="33"/>
      <c r="F276" s="34"/>
      <c r="G276" s="90"/>
      <c r="H276" s="33"/>
      <c r="I276" s="39"/>
    </row>
    <row r="277" spans="1:9" ht="15.75">
      <c r="A277" s="50"/>
      <c r="B277" s="231" t="s">
        <v>0</v>
      </c>
      <c r="C277" s="125" t="s">
        <v>187</v>
      </c>
      <c r="D277" s="265" t="s">
        <v>188</v>
      </c>
      <c r="E277" s="120" t="s">
        <v>220</v>
      </c>
      <c r="F277" s="120" t="s">
        <v>198</v>
      </c>
      <c r="G277" s="124" t="s">
        <v>30</v>
      </c>
      <c r="H277" s="121" t="s">
        <v>20</v>
      </c>
      <c r="I277" s="121" t="s">
        <v>35</v>
      </c>
    </row>
    <row r="278" spans="1:9" ht="28.5">
      <c r="A278" s="50"/>
      <c r="B278" s="221" t="s">
        <v>138</v>
      </c>
      <c r="C278" s="127" t="s">
        <v>187</v>
      </c>
      <c r="D278" s="108" t="s">
        <v>187</v>
      </c>
      <c r="E278" s="5">
        <v>0.97670000000000001</v>
      </c>
      <c r="F278" s="5">
        <v>0.95</v>
      </c>
      <c r="G278" s="85" t="s">
        <v>4</v>
      </c>
      <c r="H278" s="7" t="s">
        <v>122</v>
      </c>
      <c r="I278" s="6" t="s">
        <v>227</v>
      </c>
    </row>
    <row r="279" spans="1:9">
      <c r="A279" s="50"/>
      <c r="B279" s="221" t="s">
        <v>2</v>
      </c>
      <c r="C279" s="129" t="s">
        <v>187</v>
      </c>
      <c r="D279" s="109" t="s">
        <v>187</v>
      </c>
      <c r="E279" s="3">
        <v>0.27710000000000001</v>
      </c>
      <c r="F279" s="3">
        <v>0.3</v>
      </c>
      <c r="G279" s="86" t="s">
        <v>3</v>
      </c>
      <c r="H279" s="4" t="s">
        <v>60</v>
      </c>
      <c r="I279" s="1" t="s">
        <v>14</v>
      </c>
    </row>
    <row r="280" spans="1:9">
      <c r="A280" s="50"/>
      <c r="B280" s="222" t="s">
        <v>137</v>
      </c>
      <c r="C280" s="127" t="s">
        <v>187</v>
      </c>
      <c r="D280" s="108" t="s">
        <v>187</v>
      </c>
      <c r="E280" s="3">
        <v>3.0599999999999999E-2</v>
      </c>
      <c r="F280" s="3">
        <v>0.06</v>
      </c>
      <c r="G280" s="86" t="s">
        <v>4</v>
      </c>
      <c r="H280" s="4" t="s">
        <v>58</v>
      </c>
      <c r="I280" s="1" t="s">
        <v>15</v>
      </c>
    </row>
    <row r="281" spans="1:9" ht="28.5">
      <c r="A281" s="50"/>
      <c r="B281" s="227" t="s">
        <v>9</v>
      </c>
      <c r="C281" s="129" t="s">
        <v>187</v>
      </c>
      <c r="D281" s="109" t="s">
        <v>187</v>
      </c>
      <c r="E281" s="3">
        <v>2.2200000000000001E-2</v>
      </c>
      <c r="F281" s="3">
        <v>0.05</v>
      </c>
      <c r="G281" s="87" t="s">
        <v>3</v>
      </c>
      <c r="H281" s="9" t="s">
        <v>51</v>
      </c>
      <c r="I281" s="1" t="s">
        <v>16</v>
      </c>
    </row>
    <row r="282" spans="1:9">
      <c r="A282" s="50"/>
      <c r="B282" s="227" t="s">
        <v>10</v>
      </c>
      <c r="C282" s="129" t="s">
        <v>187</v>
      </c>
      <c r="D282" s="109" t="s">
        <v>187</v>
      </c>
      <c r="E282" s="3">
        <v>2.3E-3</v>
      </c>
      <c r="F282" s="3">
        <v>0.05</v>
      </c>
      <c r="G282" s="87" t="s">
        <v>3</v>
      </c>
      <c r="H282" s="9" t="s">
        <v>51</v>
      </c>
      <c r="I282" s="1" t="s">
        <v>17</v>
      </c>
    </row>
    <row r="283" spans="1:9">
      <c r="A283" s="50"/>
      <c r="B283" s="227" t="s">
        <v>11</v>
      </c>
      <c r="C283" s="129" t="s">
        <v>187</v>
      </c>
      <c r="D283" s="109" t="s">
        <v>187</v>
      </c>
      <c r="E283" s="3">
        <v>0</v>
      </c>
      <c r="F283" s="3">
        <v>0.05</v>
      </c>
      <c r="G283" s="87" t="s">
        <v>3</v>
      </c>
      <c r="H283" s="9" t="s">
        <v>51</v>
      </c>
      <c r="I283" s="1" t="s">
        <v>18</v>
      </c>
    </row>
    <row r="284" spans="1:9">
      <c r="A284" s="50"/>
      <c r="B284" s="227" t="s">
        <v>21</v>
      </c>
      <c r="C284" s="129" t="s">
        <v>187</v>
      </c>
      <c r="D284" s="109" t="s">
        <v>187</v>
      </c>
      <c r="E284" s="3">
        <v>0</v>
      </c>
      <c r="F284" s="3">
        <v>0.05</v>
      </c>
      <c r="G284" s="87" t="s">
        <v>3</v>
      </c>
      <c r="H284" s="9" t="s">
        <v>51</v>
      </c>
      <c r="I284" s="1" t="s">
        <v>18</v>
      </c>
    </row>
    <row r="285" spans="1:9" ht="15.75">
      <c r="A285" s="50"/>
      <c r="B285" s="221" t="s">
        <v>12</v>
      </c>
      <c r="C285" s="125" t="s">
        <v>187</v>
      </c>
      <c r="D285" s="107" t="s">
        <v>187</v>
      </c>
      <c r="E285" s="3">
        <v>0.15720000000000001</v>
      </c>
      <c r="F285" s="3">
        <v>0.12</v>
      </c>
      <c r="G285" s="86" t="s">
        <v>3</v>
      </c>
      <c r="H285" s="9" t="s">
        <v>56</v>
      </c>
      <c r="I285" s="9" t="s">
        <v>18</v>
      </c>
    </row>
    <row r="286" spans="1:9">
      <c r="A286" s="50"/>
      <c r="B286" s="221" t="s">
        <v>13</v>
      </c>
      <c r="C286" s="127" t="s">
        <v>187</v>
      </c>
      <c r="D286" s="108" t="s">
        <v>187</v>
      </c>
      <c r="E286" s="3">
        <v>2E-3</v>
      </c>
      <c r="F286" s="3">
        <v>0.05</v>
      </c>
      <c r="G286" s="86" t="s">
        <v>3</v>
      </c>
      <c r="H286" s="10" t="s">
        <v>51</v>
      </c>
      <c r="I286" s="132" t="s">
        <v>187</v>
      </c>
    </row>
    <row r="287" spans="1:9" ht="15">
      <c r="A287" s="50"/>
      <c r="B287" s="223" t="s">
        <v>5</v>
      </c>
      <c r="C287" s="129" t="s">
        <v>187</v>
      </c>
      <c r="D287" s="109" t="s">
        <v>187</v>
      </c>
      <c r="E287" s="99">
        <f>SUBTOTAL(109,E278:E286)</f>
        <v>1.4681</v>
      </c>
      <c r="F287" s="99">
        <f>SUBTOTAL(109,F278:F286)</f>
        <v>1.6800000000000004</v>
      </c>
      <c r="G287" s="117" t="s">
        <v>187</v>
      </c>
      <c r="H287" s="118" t="s">
        <v>187</v>
      </c>
      <c r="I287" s="112" t="s">
        <v>187</v>
      </c>
    </row>
    <row r="288" spans="1:9">
      <c r="A288" s="50"/>
      <c r="B288" s="221" t="s">
        <v>6</v>
      </c>
      <c r="C288" s="127" t="s">
        <v>187</v>
      </c>
      <c r="D288" s="108" t="s">
        <v>187</v>
      </c>
      <c r="E288" s="11">
        <v>0.2243</v>
      </c>
      <c r="F288" s="3">
        <v>0.22</v>
      </c>
      <c r="G288" s="87" t="s">
        <v>4</v>
      </c>
      <c r="H288" s="9" t="s">
        <v>53</v>
      </c>
      <c r="I288" s="1" t="s">
        <v>19</v>
      </c>
    </row>
    <row r="289" spans="1:9" ht="15">
      <c r="A289" s="50"/>
      <c r="B289" s="223" t="s">
        <v>225</v>
      </c>
      <c r="C289" s="134" t="s">
        <v>187</v>
      </c>
      <c r="D289" s="230" t="s">
        <v>187</v>
      </c>
      <c r="E289" s="12">
        <v>1.9E-3</v>
      </c>
      <c r="F289" s="111" t="s">
        <v>187</v>
      </c>
      <c r="G289" s="131" t="s">
        <v>187</v>
      </c>
      <c r="H289" s="131" t="s">
        <v>187</v>
      </c>
      <c r="I289" s="146" t="s">
        <v>187</v>
      </c>
    </row>
    <row r="290" spans="1:9" ht="15">
      <c r="A290" s="18"/>
      <c r="B290" s="15"/>
      <c r="C290" s="15"/>
      <c r="D290" s="15"/>
      <c r="E290" s="17"/>
      <c r="F290" s="16"/>
      <c r="G290" s="88"/>
      <c r="H290" s="17"/>
      <c r="I290" s="167"/>
    </row>
    <row r="291" spans="1:9" ht="23.25">
      <c r="A291" s="51" t="s">
        <v>115</v>
      </c>
      <c r="B291" s="32" t="s">
        <v>123</v>
      </c>
      <c r="C291" s="32"/>
      <c r="D291" s="32"/>
      <c r="E291" s="33"/>
      <c r="F291" s="34"/>
      <c r="G291" s="90"/>
      <c r="H291" s="33"/>
      <c r="I291" s="39"/>
    </row>
    <row r="292" spans="1:9" ht="15.75">
      <c r="A292" s="50"/>
      <c r="B292" s="224" t="s">
        <v>0</v>
      </c>
      <c r="C292" s="125" t="s">
        <v>187</v>
      </c>
      <c r="D292" s="265" t="s">
        <v>188</v>
      </c>
      <c r="E292" s="120" t="s">
        <v>220</v>
      </c>
      <c r="F292" s="120" t="s">
        <v>198</v>
      </c>
      <c r="G292" s="124" t="s">
        <v>30</v>
      </c>
      <c r="H292" s="121" t="s">
        <v>20</v>
      </c>
      <c r="I292" s="121" t="s">
        <v>35</v>
      </c>
    </row>
    <row r="293" spans="1:9" ht="28.5">
      <c r="A293" s="50"/>
      <c r="B293" s="221" t="s">
        <v>138</v>
      </c>
      <c r="C293" s="127" t="s">
        <v>187</v>
      </c>
      <c r="D293" s="108" t="s">
        <v>188</v>
      </c>
      <c r="E293" s="5">
        <v>0.96450000000000002</v>
      </c>
      <c r="F293" s="5">
        <v>0.94</v>
      </c>
      <c r="G293" s="86" t="s">
        <v>4</v>
      </c>
      <c r="H293" s="7" t="s">
        <v>98</v>
      </c>
      <c r="I293" s="6" t="s">
        <v>227</v>
      </c>
    </row>
    <row r="294" spans="1:9">
      <c r="A294" s="50"/>
      <c r="B294" s="221" t="s">
        <v>2</v>
      </c>
      <c r="C294" s="129" t="s">
        <v>187</v>
      </c>
      <c r="D294" s="109" t="s">
        <v>187</v>
      </c>
      <c r="E294" s="3">
        <v>0.2339</v>
      </c>
      <c r="F294" s="3">
        <v>0.25</v>
      </c>
      <c r="G294" s="86" t="s">
        <v>3</v>
      </c>
      <c r="H294" s="4" t="s">
        <v>54</v>
      </c>
      <c r="I294" s="1" t="s">
        <v>14</v>
      </c>
    </row>
    <row r="295" spans="1:9">
      <c r="A295" s="50"/>
      <c r="B295" s="222" t="s">
        <v>137</v>
      </c>
      <c r="C295" s="127" t="s">
        <v>187</v>
      </c>
      <c r="D295" s="108" t="s">
        <v>187</v>
      </c>
      <c r="E295" s="3">
        <v>9.3100000000000002E-2</v>
      </c>
      <c r="F295" s="3">
        <v>0.06</v>
      </c>
      <c r="G295" s="86" t="s">
        <v>4</v>
      </c>
      <c r="H295" s="3" t="s">
        <v>58</v>
      </c>
      <c r="I295" s="1" t="s">
        <v>15</v>
      </c>
    </row>
    <row r="296" spans="1:9">
      <c r="A296" s="50"/>
      <c r="B296" s="221" t="s">
        <v>12</v>
      </c>
      <c r="C296" s="129" t="s">
        <v>187</v>
      </c>
      <c r="D296" s="109" t="s">
        <v>187</v>
      </c>
      <c r="E296" s="3">
        <v>0.1628</v>
      </c>
      <c r="F296" s="3">
        <v>0.15</v>
      </c>
      <c r="G296" s="86" t="s">
        <v>3</v>
      </c>
      <c r="H296" s="9" t="s">
        <v>52</v>
      </c>
      <c r="I296" s="9" t="s">
        <v>18</v>
      </c>
    </row>
    <row r="297" spans="1:9" ht="15">
      <c r="A297" s="50"/>
      <c r="B297" s="223" t="s">
        <v>5</v>
      </c>
      <c r="C297" s="129" t="s">
        <v>187</v>
      </c>
      <c r="D297" s="109" t="s">
        <v>187</v>
      </c>
      <c r="E297" s="27">
        <f>SUBTOTAL(109,E293:E296)</f>
        <v>1.4542999999999999</v>
      </c>
      <c r="F297" s="27">
        <f>SUBTOTAL(109,F293:F296)</f>
        <v>1.4</v>
      </c>
      <c r="G297" s="117" t="s">
        <v>187</v>
      </c>
      <c r="H297" s="118" t="s">
        <v>243</v>
      </c>
      <c r="I297" s="112" t="s">
        <v>187</v>
      </c>
    </row>
    <row r="298" spans="1:9">
      <c r="A298" s="50"/>
      <c r="B298" s="221" t="s">
        <v>6</v>
      </c>
      <c r="C298" s="129" t="s">
        <v>187</v>
      </c>
      <c r="D298" s="109" t="s">
        <v>187</v>
      </c>
      <c r="E298" s="11">
        <v>0.27339999999999998</v>
      </c>
      <c r="F298" s="11">
        <v>0.24</v>
      </c>
      <c r="G298" s="86" t="s">
        <v>4</v>
      </c>
      <c r="H298" s="9" t="s">
        <v>63</v>
      </c>
      <c r="I298" s="1" t="s">
        <v>19</v>
      </c>
    </row>
    <row r="299" spans="1:9" ht="15">
      <c r="A299" s="50"/>
      <c r="B299" s="223" t="s">
        <v>225</v>
      </c>
      <c r="C299" s="129" t="s">
        <v>187</v>
      </c>
      <c r="D299" s="109" t="s">
        <v>187</v>
      </c>
      <c r="E299" s="12">
        <v>1.5E-3</v>
      </c>
      <c r="F299" s="111" t="s">
        <v>187</v>
      </c>
      <c r="G299" s="131" t="s">
        <v>187</v>
      </c>
      <c r="H299" s="131" t="s">
        <v>187</v>
      </c>
      <c r="I299" s="146" t="s">
        <v>187</v>
      </c>
    </row>
    <row r="300" spans="1:9" ht="15">
      <c r="A300" s="18"/>
      <c r="B300" s="15"/>
      <c r="C300" s="15"/>
      <c r="D300" s="15"/>
      <c r="E300" s="17"/>
      <c r="F300" s="16"/>
      <c r="G300" s="88"/>
      <c r="H300" s="17"/>
      <c r="I300" s="167"/>
    </row>
    <row r="301" spans="1:9" ht="23.25">
      <c r="A301" s="51" t="s">
        <v>115</v>
      </c>
      <c r="B301" s="32" t="s">
        <v>124</v>
      </c>
      <c r="C301" s="32"/>
      <c r="D301" s="32"/>
      <c r="E301" s="33"/>
      <c r="F301" s="34"/>
      <c r="G301" s="90"/>
      <c r="H301" s="33"/>
      <c r="I301" s="39"/>
    </row>
    <row r="302" spans="1:9" ht="15.75">
      <c r="A302" s="50"/>
      <c r="B302" s="224" t="s">
        <v>0</v>
      </c>
      <c r="C302" s="125" t="s">
        <v>187</v>
      </c>
      <c r="D302" s="265" t="s">
        <v>188</v>
      </c>
      <c r="E302" s="120" t="s">
        <v>220</v>
      </c>
      <c r="F302" s="120" t="s">
        <v>198</v>
      </c>
      <c r="G302" s="124" t="s">
        <v>30</v>
      </c>
      <c r="H302" s="121" t="s">
        <v>20</v>
      </c>
      <c r="I302" s="121" t="s">
        <v>35</v>
      </c>
    </row>
    <row r="303" spans="1:9">
      <c r="A303" s="50"/>
      <c r="B303" s="221" t="s">
        <v>138</v>
      </c>
      <c r="C303" s="127" t="s">
        <v>187</v>
      </c>
      <c r="D303" s="108" t="s">
        <v>188</v>
      </c>
      <c r="E303" s="5" t="s">
        <v>231</v>
      </c>
      <c r="F303" s="5" t="s">
        <v>232</v>
      </c>
      <c r="G303" s="85" t="s">
        <v>4</v>
      </c>
      <c r="H303" s="7" t="s">
        <v>64</v>
      </c>
      <c r="I303" s="52" t="s">
        <v>25</v>
      </c>
    </row>
    <row r="304" spans="1:9">
      <c r="A304" s="50"/>
      <c r="B304" s="221" t="s">
        <v>2</v>
      </c>
      <c r="C304" s="129" t="s">
        <v>187</v>
      </c>
      <c r="D304" s="109" t="s">
        <v>187</v>
      </c>
      <c r="E304" s="3">
        <v>0.23200000000000001</v>
      </c>
      <c r="F304" s="3">
        <v>0.25</v>
      </c>
      <c r="G304" s="86" t="s">
        <v>3</v>
      </c>
      <c r="H304" s="4" t="s">
        <v>54</v>
      </c>
      <c r="I304" s="1" t="s">
        <v>26</v>
      </c>
    </row>
    <row r="305" spans="1:9">
      <c r="A305" s="50"/>
      <c r="B305" s="222" t="s">
        <v>137</v>
      </c>
      <c r="C305" s="127" t="s">
        <v>187</v>
      </c>
      <c r="D305" s="108" t="s">
        <v>187</v>
      </c>
      <c r="E305" s="3">
        <v>0.28149999999999997</v>
      </c>
      <c r="F305" s="3">
        <v>0.34</v>
      </c>
      <c r="G305" s="86" t="s">
        <v>4</v>
      </c>
      <c r="H305" s="4" t="s">
        <v>125</v>
      </c>
      <c r="I305" s="1" t="s">
        <v>26</v>
      </c>
    </row>
    <row r="306" spans="1:9">
      <c r="A306" s="50"/>
      <c r="B306" s="221" t="s">
        <v>12</v>
      </c>
      <c r="C306" s="129" t="s">
        <v>187</v>
      </c>
      <c r="D306" s="109" t="s">
        <v>187</v>
      </c>
      <c r="E306" s="3">
        <v>0.23449999999999999</v>
      </c>
      <c r="F306" s="3">
        <v>0.21</v>
      </c>
      <c r="G306" s="86" t="s">
        <v>3</v>
      </c>
      <c r="H306" s="9" t="s">
        <v>126</v>
      </c>
      <c r="I306" s="9" t="s">
        <v>18</v>
      </c>
    </row>
    <row r="307" spans="1:9" ht="15">
      <c r="A307" s="50"/>
      <c r="B307" s="223" t="s">
        <v>5</v>
      </c>
      <c r="C307" s="129" t="s">
        <v>187</v>
      </c>
      <c r="D307" s="109" t="s">
        <v>187</v>
      </c>
      <c r="E307" s="27">
        <f>SUBTOTAL(109,E303:E306)</f>
        <v>0.748</v>
      </c>
      <c r="F307" s="27">
        <f>SUBTOTAL(109,F303:F306)</f>
        <v>0.8</v>
      </c>
      <c r="G307" s="117" t="s">
        <v>187</v>
      </c>
      <c r="H307" s="118" t="s">
        <v>243</v>
      </c>
      <c r="I307" s="112" t="s">
        <v>187</v>
      </c>
    </row>
    <row r="308" spans="1:9">
      <c r="A308" s="50"/>
      <c r="B308" s="221" t="s">
        <v>6</v>
      </c>
      <c r="C308" s="129" t="s">
        <v>187</v>
      </c>
      <c r="D308" s="109" t="s">
        <v>187</v>
      </c>
      <c r="E308" s="11">
        <v>0.83679999999999999</v>
      </c>
      <c r="F308" s="11">
        <v>0.81</v>
      </c>
      <c r="G308" s="86" t="s">
        <v>4</v>
      </c>
      <c r="H308" s="9" t="s">
        <v>127</v>
      </c>
      <c r="I308" s="1" t="s">
        <v>19</v>
      </c>
    </row>
    <row r="309" spans="1:9" ht="15">
      <c r="A309" s="50"/>
      <c r="B309" s="223" t="s">
        <v>225</v>
      </c>
      <c r="C309" s="129" t="s">
        <v>187</v>
      </c>
      <c r="D309" s="109" t="s">
        <v>187</v>
      </c>
      <c r="E309" s="12">
        <v>3.0000000000000001E-3</v>
      </c>
      <c r="F309" s="111" t="s">
        <v>187</v>
      </c>
      <c r="G309" s="131" t="s">
        <v>187</v>
      </c>
      <c r="H309" s="131" t="s">
        <v>187</v>
      </c>
      <c r="I309" s="146" t="s">
        <v>187</v>
      </c>
    </row>
    <row r="310" spans="1:9" ht="15">
      <c r="A310" s="18"/>
      <c r="B310" s="15"/>
      <c r="C310" s="15"/>
      <c r="D310" s="15"/>
      <c r="E310" s="17"/>
      <c r="F310" s="16"/>
      <c r="G310" s="88"/>
      <c r="H310" s="17"/>
      <c r="I310" s="167"/>
    </row>
    <row r="311" spans="1:9" ht="23.25">
      <c r="A311" s="242"/>
      <c r="B311" s="36" t="s">
        <v>255</v>
      </c>
      <c r="C311" s="36"/>
      <c r="D311" s="36"/>
      <c r="E311" s="37"/>
      <c r="F311" s="38"/>
      <c r="G311" s="91"/>
      <c r="H311" s="37"/>
      <c r="I311" s="39"/>
    </row>
    <row r="312" spans="1:9" ht="23.25">
      <c r="A312" s="242"/>
      <c r="B312" s="41" t="s">
        <v>256</v>
      </c>
      <c r="C312" s="41"/>
      <c r="D312" s="41"/>
      <c r="E312" s="37"/>
      <c r="F312" s="38"/>
      <c r="G312" s="91"/>
      <c r="H312" s="37"/>
      <c r="I312" s="39"/>
    </row>
    <row r="313" spans="1:9" ht="23.25">
      <c r="A313" s="242"/>
      <c r="B313" s="41" t="s">
        <v>257</v>
      </c>
      <c r="C313" s="41"/>
      <c r="D313" s="41"/>
      <c r="E313" s="37"/>
      <c r="F313" s="38"/>
      <c r="G313" s="91"/>
      <c r="H313" s="37"/>
      <c r="I313" s="39"/>
    </row>
    <row r="314" spans="1:9" ht="15.75">
      <c r="A314" s="242"/>
      <c r="B314" s="224" t="s">
        <v>0</v>
      </c>
      <c r="C314" s="125" t="s">
        <v>187</v>
      </c>
      <c r="D314" s="265" t="s">
        <v>188</v>
      </c>
      <c r="E314" s="120" t="s">
        <v>220</v>
      </c>
      <c r="F314" s="133" t="s">
        <v>198</v>
      </c>
      <c r="G314" s="124" t="s">
        <v>30</v>
      </c>
      <c r="H314" s="121" t="s">
        <v>20</v>
      </c>
      <c r="I314" s="122" t="s">
        <v>35</v>
      </c>
    </row>
    <row r="315" spans="1:9">
      <c r="A315" s="242"/>
      <c r="B315" s="221" t="s">
        <v>138</v>
      </c>
      <c r="C315" s="127" t="s">
        <v>187</v>
      </c>
      <c r="D315" s="108" t="s">
        <v>188</v>
      </c>
      <c r="E315" s="245">
        <v>0</v>
      </c>
      <c r="F315" s="63">
        <v>0.99</v>
      </c>
      <c r="G315" s="85" t="s">
        <v>4</v>
      </c>
      <c r="H315" s="7" t="s">
        <v>250</v>
      </c>
      <c r="I315" s="266" t="s">
        <v>249</v>
      </c>
    </row>
    <row r="316" spans="1:9">
      <c r="A316" s="242"/>
      <c r="B316" s="221" t="s">
        <v>2</v>
      </c>
      <c r="C316" s="129" t="s">
        <v>187</v>
      </c>
      <c r="D316" s="109" t="s">
        <v>187</v>
      </c>
      <c r="E316" s="245">
        <v>0</v>
      </c>
      <c r="F316" s="64">
        <v>0.3</v>
      </c>
      <c r="G316" s="86" t="s">
        <v>3</v>
      </c>
      <c r="H316" s="4" t="s">
        <v>251</v>
      </c>
      <c r="I316" s="114" t="s">
        <v>14</v>
      </c>
    </row>
    <row r="317" spans="1:9">
      <c r="A317" s="242"/>
      <c r="B317" s="222" t="s">
        <v>137</v>
      </c>
      <c r="C317" s="127" t="s">
        <v>187</v>
      </c>
      <c r="D317" s="108" t="s">
        <v>187</v>
      </c>
      <c r="E317" s="245">
        <v>0</v>
      </c>
      <c r="F317" s="64">
        <v>0.06</v>
      </c>
      <c r="G317" s="85" t="s">
        <v>4</v>
      </c>
      <c r="H317" s="4" t="s">
        <v>252</v>
      </c>
      <c r="I317" s="114" t="s">
        <v>15</v>
      </c>
    </row>
    <row r="318" spans="1:9">
      <c r="A318" s="242"/>
      <c r="B318" s="227" t="s">
        <v>10</v>
      </c>
      <c r="C318" s="129" t="s">
        <v>187</v>
      </c>
      <c r="D318" s="109" t="s">
        <v>187</v>
      </c>
      <c r="E318" s="245">
        <v>0</v>
      </c>
      <c r="F318" s="64">
        <v>0.05</v>
      </c>
      <c r="G318" s="86" t="s">
        <v>3</v>
      </c>
      <c r="H318" s="9" t="s">
        <v>253</v>
      </c>
      <c r="I318" s="114" t="s">
        <v>17</v>
      </c>
    </row>
    <row r="319" spans="1:9">
      <c r="A319" s="242"/>
      <c r="B319" s="227" t="s">
        <v>21</v>
      </c>
      <c r="C319" s="129" t="s">
        <v>187</v>
      </c>
      <c r="D319" s="109" t="s">
        <v>187</v>
      </c>
      <c r="E319" s="245">
        <v>0</v>
      </c>
      <c r="F319" s="64">
        <v>0.05</v>
      </c>
      <c r="G319" s="86" t="s">
        <v>3</v>
      </c>
      <c r="H319" s="9" t="s">
        <v>253</v>
      </c>
      <c r="I319" s="115" t="s">
        <v>18</v>
      </c>
    </row>
    <row r="320" spans="1:9">
      <c r="A320" s="242"/>
      <c r="B320" s="221" t="s">
        <v>12</v>
      </c>
      <c r="C320" s="129" t="s">
        <v>187</v>
      </c>
      <c r="D320" s="109" t="s">
        <v>187</v>
      </c>
      <c r="E320" s="245">
        <v>0</v>
      </c>
      <c r="F320" s="65">
        <v>0.15</v>
      </c>
      <c r="G320" s="86" t="s">
        <v>3</v>
      </c>
      <c r="H320" s="9" t="s">
        <v>254</v>
      </c>
      <c r="I320" s="115" t="s">
        <v>18</v>
      </c>
    </row>
    <row r="321" spans="1:9">
      <c r="A321" s="242"/>
      <c r="B321" s="221" t="s">
        <v>13</v>
      </c>
      <c r="C321" s="129" t="s">
        <v>187</v>
      </c>
      <c r="D321" s="109" t="s">
        <v>187</v>
      </c>
      <c r="E321" s="245">
        <v>0</v>
      </c>
      <c r="F321" s="64">
        <v>0.05</v>
      </c>
      <c r="G321" s="86" t="s">
        <v>3</v>
      </c>
      <c r="H321" s="9" t="s">
        <v>253</v>
      </c>
      <c r="I321" s="136" t="s">
        <v>187</v>
      </c>
    </row>
    <row r="322" spans="1:9" ht="15">
      <c r="A322" s="243"/>
      <c r="B322" s="225" t="s">
        <v>5</v>
      </c>
      <c r="C322" s="129" t="s">
        <v>187</v>
      </c>
      <c r="D322" s="109" t="s">
        <v>187</v>
      </c>
      <c r="E322" s="245">
        <v>0</v>
      </c>
      <c r="F322" s="240">
        <v>1.65</v>
      </c>
      <c r="G322" s="147" t="s">
        <v>187</v>
      </c>
      <c r="H322" s="241" t="s">
        <v>187</v>
      </c>
      <c r="I322" s="267" t="s">
        <v>187</v>
      </c>
    </row>
    <row r="323" spans="1:9" s="95" customFormat="1">
      <c r="A323" s="244"/>
      <c r="B323" s="221" t="s">
        <v>6</v>
      </c>
      <c r="C323" s="129" t="s">
        <v>187</v>
      </c>
      <c r="D323" s="109" t="s">
        <v>187</v>
      </c>
      <c r="E323" s="245">
        <v>0</v>
      </c>
      <c r="F323" s="64">
        <v>0.06</v>
      </c>
      <c r="G323" s="85" t="s">
        <v>4</v>
      </c>
      <c r="H323" s="9" t="s">
        <v>252</v>
      </c>
      <c r="I323" s="114" t="s">
        <v>19</v>
      </c>
    </row>
    <row r="324" spans="1:9" ht="15">
      <c r="A324" s="243"/>
      <c r="B324" s="223" t="s">
        <v>225</v>
      </c>
      <c r="C324" s="129" t="s">
        <v>187</v>
      </c>
      <c r="D324" s="109" t="s">
        <v>187</v>
      </c>
      <c r="E324" s="245">
        <v>0</v>
      </c>
      <c r="F324" s="64">
        <v>3.0000000000000001E-3</v>
      </c>
      <c r="G324" s="147" t="s">
        <v>187</v>
      </c>
      <c r="H324" s="241" t="s">
        <v>187</v>
      </c>
      <c r="I324" s="267" t="s">
        <v>187</v>
      </c>
    </row>
    <row r="325" spans="1:9" ht="15.75">
      <c r="A325" s="54" t="s">
        <v>8</v>
      </c>
      <c r="B325" s="15"/>
      <c r="C325" s="15"/>
      <c r="D325" s="15"/>
      <c r="E325" s="17"/>
      <c r="F325" s="16"/>
      <c r="G325" s="88"/>
      <c r="H325" s="17"/>
      <c r="I325" s="167"/>
    </row>
    <row r="326" spans="1:9">
      <c r="A326" s="59" t="s">
        <v>135</v>
      </c>
      <c r="B326" s="232" t="s">
        <v>243</v>
      </c>
      <c r="C326" s="232" t="s">
        <v>244</v>
      </c>
      <c r="D326" s="232" t="s">
        <v>245</v>
      </c>
      <c r="E326" s="233" t="s">
        <v>246</v>
      </c>
      <c r="F326" s="58"/>
      <c r="G326" s="92"/>
      <c r="H326" s="58"/>
      <c r="I326" s="83"/>
    </row>
    <row r="327" spans="1:9">
      <c r="A327" s="57" t="s">
        <v>134</v>
      </c>
      <c r="B327" s="234" t="s">
        <v>243</v>
      </c>
      <c r="C327" s="234" t="s">
        <v>243</v>
      </c>
      <c r="D327" s="234" t="s">
        <v>243</v>
      </c>
      <c r="E327" s="235" t="s">
        <v>243</v>
      </c>
      <c r="F327" s="56"/>
      <c r="G327" s="93"/>
      <c r="H327" s="56"/>
      <c r="I327" s="84"/>
    </row>
    <row r="328" spans="1:9" ht="15">
      <c r="A328" s="53"/>
      <c r="B328" s="15"/>
      <c r="C328" s="15"/>
      <c r="D328" s="15"/>
      <c r="E328" s="17"/>
      <c r="F328" s="16"/>
      <c r="G328" s="88"/>
      <c r="H328" s="17"/>
      <c r="I328" s="167"/>
    </row>
    <row r="10000" spans="52:52">
      <c r="AZ10000" s="94">
        <v>14</v>
      </c>
    </row>
    <row r="10009" spans="10:16">
      <c r="P10009" s="94">
        <v>2</v>
      </c>
    </row>
    <row r="10010" spans="10:16">
      <c r="J10010" s="94">
        <v>46</v>
      </c>
      <c r="K10010" s="94">
        <v>24</v>
      </c>
      <c r="L10010" s="94">
        <v>24</v>
      </c>
      <c r="M10010" s="94">
        <v>23</v>
      </c>
      <c r="N10010" s="94">
        <v>23</v>
      </c>
      <c r="O10010" s="94">
        <v>37</v>
      </c>
    </row>
  </sheetData>
  <mergeCells count="1">
    <mergeCell ref="A2:F2"/>
  </mergeCells>
  <hyperlinks>
    <hyperlink ref="A327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26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P10015"/>
  <sheetViews>
    <sheetView rightToLeft="1" tabSelected="1" zoomScale="40" zoomScaleNormal="40" workbookViewId="0">
      <selection activeCell="S24" sqref="S24"/>
    </sheetView>
  </sheetViews>
  <sheetFormatPr defaultColWidth="9" defaultRowHeight="14.25"/>
  <cols>
    <col min="1" max="1" width="17.625" style="94" customWidth="1"/>
    <col min="2" max="2" width="19.625" style="96" customWidth="1"/>
    <col min="3" max="3" width="30.5" style="189" customWidth="1"/>
    <col min="4" max="4" width="28.375" style="189" customWidth="1"/>
    <col min="5" max="5" width="16.875" style="215" customWidth="1"/>
    <col min="6" max="6" width="29" style="189" customWidth="1"/>
    <col min="7" max="7" width="22.125" style="216" customWidth="1"/>
    <col min="8" max="8" width="17.625" style="189" customWidth="1"/>
    <col min="9" max="9" width="19.625" style="217" customWidth="1"/>
    <col min="10" max="10" width="30.5" style="189" customWidth="1"/>
    <col min="11" max="11" width="28.375" style="189" customWidth="1"/>
    <col min="12" max="12" width="16.875" style="189" customWidth="1"/>
    <col min="13" max="13" width="29" style="189" customWidth="1"/>
    <col min="14" max="14" width="22.125" style="216" customWidth="1"/>
    <col min="15" max="16384" width="9" style="94"/>
  </cols>
  <sheetData>
    <row r="1" spans="1:14">
      <c r="A1" s="237" t="s">
        <v>248</v>
      </c>
    </row>
    <row r="2" spans="1:14" ht="94.35" customHeight="1">
      <c r="A2" s="258" t="s">
        <v>197</v>
      </c>
      <c r="B2" s="258"/>
      <c r="C2" s="258"/>
      <c r="D2" s="258"/>
      <c r="E2" s="258"/>
      <c r="F2" s="190"/>
      <c r="G2" s="191"/>
      <c r="H2" s="259" t="s">
        <v>219</v>
      </c>
      <c r="I2" s="259"/>
      <c r="J2" s="259"/>
      <c r="K2" s="259"/>
      <c r="L2" s="192"/>
      <c r="M2" s="192"/>
      <c r="N2" s="193"/>
    </row>
    <row r="3" spans="1:14" ht="51.75" customHeight="1">
      <c r="A3" s="19" t="s">
        <v>36</v>
      </c>
      <c r="B3" s="32" t="s">
        <v>128</v>
      </c>
      <c r="C3" s="33"/>
      <c r="D3" s="34"/>
      <c r="E3" s="81"/>
      <c r="F3" s="33"/>
      <c r="G3" s="170"/>
      <c r="H3" s="194" t="s">
        <v>36</v>
      </c>
      <c r="I3" s="32" t="s">
        <v>141</v>
      </c>
      <c r="J3" s="33"/>
      <c r="K3" s="34"/>
      <c r="L3" s="35"/>
      <c r="M3" s="33"/>
      <c r="N3" s="170"/>
    </row>
    <row r="4" spans="1:14" ht="40.35" customHeight="1">
      <c r="A4" s="20"/>
      <c r="B4" s="119" t="s">
        <v>0</v>
      </c>
      <c r="C4" s="120" t="s">
        <v>220</v>
      </c>
      <c r="D4" s="120" t="s">
        <v>198</v>
      </c>
      <c r="E4" s="121" t="s">
        <v>30</v>
      </c>
      <c r="F4" s="121" t="s">
        <v>20</v>
      </c>
      <c r="G4" s="121" t="s">
        <v>35</v>
      </c>
      <c r="H4" s="195"/>
      <c r="I4" s="119" t="s">
        <v>0</v>
      </c>
      <c r="J4" s="120" t="s">
        <v>220</v>
      </c>
      <c r="K4" s="120" t="s">
        <v>198</v>
      </c>
      <c r="L4" s="121" t="s">
        <v>30</v>
      </c>
      <c r="M4" s="121" t="s">
        <v>20</v>
      </c>
      <c r="N4" s="121" t="s">
        <v>35</v>
      </c>
    </row>
    <row r="5" spans="1:14" ht="15.75">
      <c r="A5" s="20"/>
      <c r="B5" s="104" t="s">
        <v>169</v>
      </c>
      <c r="C5" s="5">
        <v>0.2792</v>
      </c>
      <c r="D5" s="5">
        <v>0.3</v>
      </c>
      <c r="E5" s="143" t="s">
        <v>187</v>
      </c>
      <c r="F5" s="144" t="s">
        <v>187</v>
      </c>
      <c r="G5" s="144" t="s">
        <v>187</v>
      </c>
      <c r="H5" s="195"/>
      <c r="I5" s="154" t="s">
        <v>187</v>
      </c>
      <c r="J5" s="155" t="s">
        <v>187</v>
      </c>
      <c r="K5" s="155" t="s">
        <v>187</v>
      </c>
      <c r="L5" s="144" t="s">
        <v>187</v>
      </c>
      <c r="M5" s="144" t="s">
        <v>187</v>
      </c>
      <c r="N5" s="144" t="s">
        <v>187</v>
      </c>
    </row>
    <row r="6" spans="1:14" ht="34.5" customHeight="1">
      <c r="A6" s="20"/>
      <c r="B6" s="104" t="s">
        <v>138</v>
      </c>
      <c r="C6" s="5">
        <v>0.58360000000000001</v>
      </c>
      <c r="D6" s="5">
        <v>0.57999999999999996</v>
      </c>
      <c r="E6" s="6" t="s">
        <v>4</v>
      </c>
      <c r="F6" s="7" t="s">
        <v>206</v>
      </c>
      <c r="G6" s="6" t="s">
        <v>218</v>
      </c>
      <c r="H6" s="195"/>
      <c r="I6" s="104" t="s">
        <v>228</v>
      </c>
      <c r="J6" s="5">
        <v>0.56100000000000005</v>
      </c>
      <c r="K6" s="5">
        <v>0.57999999999999996</v>
      </c>
      <c r="L6" s="178" t="s">
        <v>4</v>
      </c>
      <c r="M6" s="7" t="s">
        <v>206</v>
      </c>
      <c r="N6" s="6" t="s">
        <v>218</v>
      </c>
    </row>
    <row r="7" spans="1:14">
      <c r="A7" s="20"/>
      <c r="B7" s="104" t="s">
        <v>2</v>
      </c>
      <c r="C7" s="3">
        <v>9.0700000000000003E-2</v>
      </c>
      <c r="D7" s="3">
        <v>0.09</v>
      </c>
      <c r="E7" s="1" t="s">
        <v>3</v>
      </c>
      <c r="F7" s="4" t="s">
        <v>205</v>
      </c>
      <c r="G7" s="1" t="s">
        <v>14</v>
      </c>
      <c r="H7" s="195"/>
      <c r="I7" s="104" t="s">
        <v>2</v>
      </c>
      <c r="J7" s="3">
        <v>0.27579999999999999</v>
      </c>
      <c r="K7" s="3">
        <v>0.28000000000000003</v>
      </c>
      <c r="L7" s="1" t="s">
        <v>3</v>
      </c>
      <c r="M7" s="4" t="s">
        <v>46</v>
      </c>
      <c r="N7" s="1" t="s">
        <v>14</v>
      </c>
    </row>
    <row r="8" spans="1:14" ht="28.5">
      <c r="A8" s="20"/>
      <c r="B8" s="105" t="s">
        <v>137</v>
      </c>
      <c r="C8" s="3">
        <v>0.14419999999999999</v>
      </c>
      <c r="D8" s="3">
        <v>0.15</v>
      </c>
      <c r="E8" s="1" t="s">
        <v>4</v>
      </c>
      <c r="F8" s="4" t="s">
        <v>119</v>
      </c>
      <c r="G8" s="1" t="s">
        <v>173</v>
      </c>
      <c r="H8" s="195"/>
      <c r="I8" s="104" t="s">
        <v>137</v>
      </c>
      <c r="J8" s="3">
        <v>0.26300000000000001</v>
      </c>
      <c r="K8" s="3">
        <v>0.3</v>
      </c>
      <c r="L8" s="1" t="s">
        <v>4</v>
      </c>
      <c r="M8" s="4" t="s">
        <v>61</v>
      </c>
      <c r="N8" s="1" t="s">
        <v>15</v>
      </c>
    </row>
    <row r="9" spans="1:14" ht="42.75">
      <c r="A9" s="20"/>
      <c r="B9" s="104" t="s">
        <v>170</v>
      </c>
      <c r="C9" s="3">
        <v>1.0699999999999999E-2</v>
      </c>
      <c r="D9" s="3">
        <v>0.05</v>
      </c>
      <c r="E9" s="8" t="s">
        <v>3</v>
      </c>
      <c r="F9" s="9" t="s">
        <v>51</v>
      </c>
      <c r="G9" s="145" t="s">
        <v>187</v>
      </c>
      <c r="H9" s="195"/>
      <c r="I9" s="104" t="s">
        <v>170</v>
      </c>
      <c r="J9" s="3">
        <v>1.0800000000000001E-2</v>
      </c>
      <c r="K9" s="3">
        <v>0.05</v>
      </c>
      <c r="L9" s="8" t="s">
        <v>3</v>
      </c>
      <c r="M9" s="9" t="s">
        <v>51</v>
      </c>
      <c r="N9" s="145" t="s">
        <v>187</v>
      </c>
    </row>
    <row r="10" spans="1:14">
      <c r="A10" s="20"/>
      <c r="B10" s="104" t="s">
        <v>10</v>
      </c>
      <c r="C10" s="3">
        <v>1.38E-2</v>
      </c>
      <c r="D10" s="3">
        <v>0.05</v>
      </c>
      <c r="E10" s="8" t="s">
        <v>3</v>
      </c>
      <c r="F10" s="9" t="s">
        <v>51</v>
      </c>
      <c r="G10" s="145" t="s">
        <v>187</v>
      </c>
      <c r="H10" s="195"/>
      <c r="I10" s="104" t="s">
        <v>10</v>
      </c>
      <c r="J10" s="3">
        <v>9.4000000000000004E-3</v>
      </c>
      <c r="K10" s="3">
        <v>0.05</v>
      </c>
      <c r="L10" s="8" t="s">
        <v>3</v>
      </c>
      <c r="M10" s="9" t="s">
        <v>51</v>
      </c>
      <c r="N10" s="145" t="s">
        <v>187</v>
      </c>
    </row>
    <row r="11" spans="1:14">
      <c r="A11" s="20"/>
      <c r="B11" s="104" t="s">
        <v>12</v>
      </c>
      <c r="C11" s="3">
        <v>0.14019999999999999</v>
      </c>
      <c r="D11" s="3">
        <v>0.15</v>
      </c>
      <c r="E11" s="1" t="s">
        <v>3</v>
      </c>
      <c r="F11" s="9" t="s">
        <v>52</v>
      </c>
      <c r="G11" s="132" t="s">
        <v>187</v>
      </c>
      <c r="H11" s="195"/>
      <c r="I11" s="104" t="s">
        <v>12</v>
      </c>
      <c r="J11" s="3">
        <v>0.18379999999999999</v>
      </c>
      <c r="K11" s="3">
        <v>0.15</v>
      </c>
      <c r="L11" s="1" t="s">
        <v>3</v>
      </c>
      <c r="M11" s="9" t="s">
        <v>52</v>
      </c>
      <c r="N11" s="132" t="s">
        <v>187</v>
      </c>
    </row>
    <row r="12" spans="1:14">
      <c r="A12" s="20"/>
      <c r="B12" s="104" t="s">
        <v>171</v>
      </c>
      <c r="C12" s="3">
        <v>7.0000000000000001E-3</v>
      </c>
      <c r="D12" s="3">
        <v>0.05</v>
      </c>
      <c r="E12" s="1" t="s">
        <v>3</v>
      </c>
      <c r="F12" s="10" t="s">
        <v>51</v>
      </c>
      <c r="G12" s="132" t="s">
        <v>187</v>
      </c>
      <c r="H12" s="195"/>
      <c r="I12" s="104" t="s">
        <v>171</v>
      </c>
      <c r="J12" s="3">
        <v>5.3E-3</v>
      </c>
      <c r="K12" s="3">
        <v>0.05</v>
      </c>
      <c r="L12" s="1" t="s">
        <v>3</v>
      </c>
      <c r="M12" s="10" t="s">
        <v>51</v>
      </c>
      <c r="N12" s="132" t="s">
        <v>187</v>
      </c>
    </row>
    <row r="13" spans="1:14" ht="15">
      <c r="A13" s="20"/>
      <c r="B13" s="106" t="s">
        <v>5</v>
      </c>
      <c r="C13" s="27">
        <f>SUBTOTAL(109,C5:C12)</f>
        <v>1.2693999999999999</v>
      </c>
      <c r="D13" s="99">
        <f>SUBTOTAL(109,D5:D12)</f>
        <v>1.42</v>
      </c>
      <c r="E13" s="117" t="s">
        <v>187</v>
      </c>
      <c r="F13" s="118" t="s">
        <v>243</v>
      </c>
      <c r="G13" s="112" t="s">
        <v>187</v>
      </c>
      <c r="H13" s="195"/>
      <c r="I13" s="106" t="s">
        <v>5</v>
      </c>
      <c r="J13" s="27">
        <f>SUBTOTAL(109,J5:J12)</f>
        <v>1.3091000000000002</v>
      </c>
      <c r="K13" s="99">
        <f>SUBTOTAL(109,K5:K12)</f>
        <v>1.46</v>
      </c>
      <c r="L13" s="118" t="s">
        <v>187</v>
      </c>
      <c r="M13" s="118" t="s">
        <v>187</v>
      </c>
      <c r="N13" s="112" t="s">
        <v>187</v>
      </c>
    </row>
    <row r="14" spans="1:14">
      <c r="A14" s="20"/>
      <c r="B14" s="104" t="s">
        <v>6</v>
      </c>
      <c r="C14" s="11">
        <v>0.19939999999999999</v>
      </c>
      <c r="D14" s="11">
        <v>0.2</v>
      </c>
      <c r="E14" s="1" t="s">
        <v>4</v>
      </c>
      <c r="F14" s="9" t="s">
        <v>64</v>
      </c>
      <c r="G14" s="1" t="s">
        <v>19</v>
      </c>
      <c r="H14" s="195"/>
      <c r="I14" s="104" t="s">
        <v>6</v>
      </c>
      <c r="J14" s="11">
        <v>0.1971</v>
      </c>
      <c r="K14" s="11">
        <v>0.2</v>
      </c>
      <c r="L14" s="1" t="s">
        <v>4</v>
      </c>
      <c r="M14" s="9" t="s">
        <v>64</v>
      </c>
      <c r="N14" s="1" t="s">
        <v>19</v>
      </c>
    </row>
    <row r="15" spans="1:14" ht="30">
      <c r="A15" s="21"/>
      <c r="B15" s="106" t="s">
        <v>225</v>
      </c>
      <c r="C15" s="12">
        <v>2.7000000000000001E-3</v>
      </c>
      <c r="D15" s="196" t="s">
        <v>187</v>
      </c>
      <c r="E15" s="131" t="s">
        <v>187</v>
      </c>
      <c r="F15" s="131" t="s">
        <v>187</v>
      </c>
      <c r="G15" s="171" t="s">
        <v>187</v>
      </c>
      <c r="H15" s="195"/>
      <c r="I15" s="106" t="s">
        <v>225</v>
      </c>
      <c r="J15" s="12">
        <v>2.3999999999999998E-3</v>
      </c>
      <c r="K15" s="196" t="s">
        <v>187</v>
      </c>
      <c r="L15" s="131" t="s">
        <v>187</v>
      </c>
      <c r="M15" s="131" t="s">
        <v>187</v>
      </c>
      <c r="N15" s="171" t="s">
        <v>187</v>
      </c>
    </row>
    <row r="16" spans="1:14" ht="21" customHeight="1">
      <c r="A16" s="70"/>
      <c r="B16" s="161" t="s">
        <v>194</v>
      </c>
      <c r="C16" s="162" t="s">
        <v>194</v>
      </c>
      <c r="D16" s="162" t="s">
        <v>194</v>
      </c>
      <c r="E16" s="162" t="s">
        <v>194</v>
      </c>
      <c r="F16" s="162" t="s">
        <v>194</v>
      </c>
      <c r="G16" s="172" t="s">
        <v>194</v>
      </c>
      <c r="H16" s="197"/>
      <c r="I16" s="76"/>
      <c r="J16" s="77"/>
      <c r="K16" s="78"/>
      <c r="L16" s="77"/>
      <c r="M16" s="77"/>
      <c r="N16" s="174"/>
    </row>
    <row r="17" spans="1:14" ht="51.75" customHeight="1">
      <c r="A17" s="19" t="s">
        <v>36</v>
      </c>
      <c r="B17" s="32" t="s">
        <v>139</v>
      </c>
      <c r="C17" s="33"/>
      <c r="D17" s="34"/>
      <c r="E17" s="81"/>
      <c r="F17" s="33"/>
      <c r="G17" s="170"/>
      <c r="H17" s="194" t="s">
        <v>36</v>
      </c>
      <c r="I17" s="32" t="s">
        <v>142</v>
      </c>
      <c r="J17" s="33"/>
      <c r="K17" s="34"/>
      <c r="L17" s="35"/>
      <c r="M17" s="33"/>
      <c r="N17" s="170"/>
    </row>
    <row r="18" spans="1:14" ht="37.5" customHeight="1">
      <c r="A18" s="20"/>
      <c r="B18" s="119" t="s">
        <v>0</v>
      </c>
      <c r="C18" s="120" t="s">
        <v>220</v>
      </c>
      <c r="D18" s="120" t="s">
        <v>198</v>
      </c>
      <c r="E18" s="121" t="s">
        <v>1</v>
      </c>
      <c r="F18" s="121" t="s">
        <v>20</v>
      </c>
      <c r="G18" s="121" t="s">
        <v>35</v>
      </c>
      <c r="H18" s="195"/>
      <c r="I18" s="119" t="s">
        <v>0</v>
      </c>
      <c r="J18" s="120" t="s">
        <v>220</v>
      </c>
      <c r="K18" s="120" t="s">
        <v>198</v>
      </c>
      <c r="L18" s="121" t="s">
        <v>1</v>
      </c>
      <c r="M18" s="121" t="s">
        <v>20</v>
      </c>
      <c r="N18" s="121" t="s">
        <v>35</v>
      </c>
    </row>
    <row r="19" spans="1:14" ht="15.75">
      <c r="A19" s="20"/>
      <c r="B19" s="104" t="s">
        <v>169</v>
      </c>
      <c r="C19" s="5">
        <v>0.28210000000000002</v>
      </c>
      <c r="D19" s="5">
        <v>0.3</v>
      </c>
      <c r="E19" s="143" t="s">
        <v>187</v>
      </c>
      <c r="F19" s="144" t="s">
        <v>187</v>
      </c>
      <c r="G19" s="144" t="s">
        <v>187</v>
      </c>
      <c r="H19" s="195"/>
      <c r="I19" s="154" t="s">
        <v>187</v>
      </c>
      <c r="J19" s="155" t="s">
        <v>187</v>
      </c>
      <c r="K19" s="155" t="s">
        <v>187</v>
      </c>
      <c r="L19" s="144" t="s">
        <v>187</v>
      </c>
      <c r="M19" s="144" t="s">
        <v>187</v>
      </c>
      <c r="N19" s="144" t="s">
        <v>187</v>
      </c>
    </row>
    <row r="20" spans="1:14" ht="41.25" customHeight="1">
      <c r="A20" s="20"/>
      <c r="B20" s="104" t="s">
        <v>138</v>
      </c>
      <c r="C20" s="5">
        <v>0.4849</v>
      </c>
      <c r="D20" s="5">
        <v>0.5</v>
      </c>
      <c r="E20" s="178" t="s">
        <v>4</v>
      </c>
      <c r="F20" s="7" t="s">
        <v>91</v>
      </c>
      <c r="G20" s="6" t="s">
        <v>218</v>
      </c>
      <c r="H20" s="195"/>
      <c r="I20" s="104" t="s">
        <v>228</v>
      </c>
      <c r="J20" s="5">
        <v>0.46200000000000002</v>
      </c>
      <c r="K20" s="5">
        <v>0.45</v>
      </c>
      <c r="L20" s="6" t="s">
        <v>4</v>
      </c>
      <c r="M20" s="7" t="s">
        <v>66</v>
      </c>
      <c r="N20" s="6" t="s">
        <v>218</v>
      </c>
    </row>
    <row r="21" spans="1:14" ht="25.5" customHeight="1">
      <c r="A21" s="20"/>
      <c r="B21" s="104" t="s">
        <v>2</v>
      </c>
      <c r="C21" s="3">
        <v>0.12520000000000001</v>
      </c>
      <c r="D21" s="3">
        <v>0.13</v>
      </c>
      <c r="E21" s="1" t="s">
        <v>3</v>
      </c>
      <c r="F21" s="4" t="s">
        <v>207</v>
      </c>
      <c r="G21" s="1" t="s">
        <v>14</v>
      </c>
      <c r="H21" s="195"/>
      <c r="I21" s="104" t="s">
        <v>2</v>
      </c>
      <c r="J21" s="3">
        <v>0.28939999999999999</v>
      </c>
      <c r="K21" s="3">
        <v>0.28999999999999998</v>
      </c>
      <c r="L21" s="1" t="s">
        <v>3</v>
      </c>
      <c r="M21" s="4" t="s">
        <v>208</v>
      </c>
      <c r="N21" s="1" t="s">
        <v>14</v>
      </c>
    </row>
    <row r="22" spans="1:14" ht="33" customHeight="1">
      <c r="A22" s="20"/>
      <c r="B22" s="105" t="s">
        <v>137</v>
      </c>
      <c r="C22" s="3">
        <v>0.17899999999999999</v>
      </c>
      <c r="D22" s="3">
        <v>0.2</v>
      </c>
      <c r="E22" s="1" t="s">
        <v>4</v>
      </c>
      <c r="F22" s="4" t="s">
        <v>64</v>
      </c>
      <c r="G22" s="1" t="s">
        <v>173</v>
      </c>
      <c r="H22" s="195"/>
      <c r="I22" s="104" t="s">
        <v>137</v>
      </c>
      <c r="J22" s="3">
        <v>0.32419999999999999</v>
      </c>
      <c r="K22" s="3">
        <v>0.35</v>
      </c>
      <c r="L22" s="1" t="s">
        <v>4</v>
      </c>
      <c r="M22" s="4" t="s">
        <v>118</v>
      </c>
      <c r="N22" s="1" t="s">
        <v>15</v>
      </c>
    </row>
    <row r="23" spans="1:14" ht="42.75">
      <c r="A23" s="20"/>
      <c r="B23" s="104" t="s">
        <v>170</v>
      </c>
      <c r="C23" s="3">
        <v>7.4000000000000003E-3</v>
      </c>
      <c r="D23" s="3">
        <v>0.05</v>
      </c>
      <c r="E23" s="8" t="s">
        <v>3</v>
      </c>
      <c r="F23" s="9" t="s">
        <v>51</v>
      </c>
      <c r="G23" s="145" t="s">
        <v>187</v>
      </c>
      <c r="H23" s="195"/>
      <c r="I23" s="104" t="s">
        <v>170</v>
      </c>
      <c r="J23" s="3">
        <v>4.8999999999999998E-3</v>
      </c>
      <c r="K23" s="3">
        <v>0.05</v>
      </c>
      <c r="L23" s="8" t="s">
        <v>3</v>
      </c>
      <c r="M23" s="9" t="s">
        <v>51</v>
      </c>
      <c r="N23" s="145" t="s">
        <v>187</v>
      </c>
    </row>
    <row r="24" spans="1:14">
      <c r="A24" s="20"/>
      <c r="B24" s="104" t="s">
        <v>10</v>
      </c>
      <c r="C24" s="3">
        <v>1.2500000000000001E-2</v>
      </c>
      <c r="D24" s="3">
        <v>0.05</v>
      </c>
      <c r="E24" s="8" t="s">
        <v>3</v>
      </c>
      <c r="F24" s="9" t="s">
        <v>51</v>
      </c>
      <c r="G24" s="145" t="s">
        <v>187</v>
      </c>
      <c r="H24" s="195"/>
      <c r="I24" s="104" t="s">
        <v>10</v>
      </c>
      <c r="J24" s="3">
        <v>7.9000000000000008E-3</v>
      </c>
      <c r="K24" s="3">
        <v>0.05</v>
      </c>
      <c r="L24" s="8" t="s">
        <v>3</v>
      </c>
      <c r="M24" s="9" t="s">
        <v>51</v>
      </c>
      <c r="N24" s="145" t="s">
        <v>187</v>
      </c>
    </row>
    <row r="25" spans="1:14">
      <c r="A25" s="20"/>
      <c r="B25" s="104" t="s">
        <v>12</v>
      </c>
      <c r="C25" s="3">
        <v>0.14580000000000001</v>
      </c>
      <c r="D25" s="3">
        <v>0.15</v>
      </c>
      <c r="E25" s="1" t="s">
        <v>3</v>
      </c>
      <c r="F25" s="9" t="s">
        <v>52</v>
      </c>
      <c r="G25" s="132" t="s">
        <v>187</v>
      </c>
      <c r="H25" s="195"/>
      <c r="I25" s="104" t="s">
        <v>12</v>
      </c>
      <c r="J25" s="3">
        <v>0.16750000000000001</v>
      </c>
      <c r="K25" s="3">
        <v>0.15</v>
      </c>
      <c r="L25" s="1" t="s">
        <v>3</v>
      </c>
      <c r="M25" s="9" t="s">
        <v>52</v>
      </c>
      <c r="N25" s="132" t="s">
        <v>187</v>
      </c>
    </row>
    <row r="26" spans="1:14">
      <c r="A26" s="20"/>
      <c r="B26" s="104" t="s">
        <v>171</v>
      </c>
      <c r="C26" s="3">
        <v>5.3E-3</v>
      </c>
      <c r="D26" s="3">
        <v>0.05</v>
      </c>
      <c r="E26" s="1" t="s">
        <v>3</v>
      </c>
      <c r="F26" s="10" t="s">
        <v>51</v>
      </c>
      <c r="G26" s="132" t="s">
        <v>187</v>
      </c>
      <c r="H26" s="195"/>
      <c r="I26" s="104" t="s">
        <v>171</v>
      </c>
      <c r="J26" s="3">
        <v>4.3E-3</v>
      </c>
      <c r="K26" s="3">
        <v>0.05</v>
      </c>
      <c r="L26" s="1" t="s">
        <v>3</v>
      </c>
      <c r="M26" s="10" t="s">
        <v>51</v>
      </c>
      <c r="N26" s="132" t="s">
        <v>187</v>
      </c>
    </row>
    <row r="27" spans="1:14" ht="15">
      <c r="A27" s="20"/>
      <c r="B27" s="106" t="s">
        <v>5</v>
      </c>
      <c r="C27" s="27">
        <f>SUBTOTAL(109,C19:C26)</f>
        <v>1.2422</v>
      </c>
      <c r="D27" s="99">
        <f>SUBTOTAL(109,D19:D26)</f>
        <v>1.4300000000000002</v>
      </c>
      <c r="E27" s="117" t="s">
        <v>187</v>
      </c>
      <c r="F27" s="118" t="s">
        <v>187</v>
      </c>
      <c r="G27" s="112" t="s">
        <v>187</v>
      </c>
      <c r="H27" s="195"/>
      <c r="I27" s="106" t="s">
        <v>5</v>
      </c>
      <c r="J27" s="27">
        <f>SUBTOTAL(109,J19:J26)</f>
        <v>1.2602</v>
      </c>
      <c r="K27" s="99">
        <f>SUBTOTAL(109,K19:K26)</f>
        <v>1.39</v>
      </c>
      <c r="L27" s="118" t="s">
        <v>187</v>
      </c>
      <c r="M27" s="118" t="s">
        <v>187</v>
      </c>
      <c r="N27" s="112" t="s">
        <v>187</v>
      </c>
    </row>
    <row r="28" spans="1:14">
      <c r="A28" s="20"/>
      <c r="B28" s="104" t="s">
        <v>6</v>
      </c>
      <c r="C28" s="11">
        <v>0.1835</v>
      </c>
      <c r="D28" s="11">
        <v>0.2</v>
      </c>
      <c r="E28" s="1" t="s">
        <v>4</v>
      </c>
      <c r="F28" s="9" t="s">
        <v>64</v>
      </c>
      <c r="G28" s="1" t="s">
        <v>19</v>
      </c>
      <c r="H28" s="195"/>
      <c r="I28" s="104" t="s">
        <v>6</v>
      </c>
      <c r="J28" s="11">
        <v>0.16669999999999999</v>
      </c>
      <c r="K28" s="11">
        <v>0.2</v>
      </c>
      <c r="L28" s="1" t="s">
        <v>4</v>
      </c>
      <c r="M28" s="9" t="s">
        <v>64</v>
      </c>
      <c r="N28" s="1" t="s">
        <v>19</v>
      </c>
    </row>
    <row r="29" spans="1:14" ht="30">
      <c r="A29" s="21"/>
      <c r="B29" s="106" t="s">
        <v>225</v>
      </c>
      <c r="C29" s="12">
        <v>2.3999999999999998E-3</v>
      </c>
      <c r="D29" s="196" t="s">
        <v>187</v>
      </c>
      <c r="E29" s="131" t="s">
        <v>187</v>
      </c>
      <c r="F29" s="131" t="s">
        <v>187</v>
      </c>
      <c r="G29" s="171" t="s">
        <v>187</v>
      </c>
      <c r="H29" s="195"/>
      <c r="I29" s="106" t="s">
        <v>225</v>
      </c>
      <c r="J29" s="12">
        <v>2.3999999999999998E-3</v>
      </c>
      <c r="K29" s="196" t="s">
        <v>187</v>
      </c>
      <c r="L29" s="131" t="s">
        <v>187</v>
      </c>
      <c r="M29" s="131" t="s">
        <v>187</v>
      </c>
      <c r="N29" s="171" t="s">
        <v>187</v>
      </c>
    </row>
    <row r="30" spans="1:14" ht="21" customHeight="1">
      <c r="A30" s="70"/>
      <c r="B30" s="72"/>
      <c r="C30" s="73"/>
      <c r="D30" s="74"/>
      <c r="E30" s="73"/>
      <c r="F30" s="73"/>
      <c r="G30" s="173"/>
      <c r="H30" s="197"/>
      <c r="I30" s="76"/>
      <c r="J30" s="77"/>
      <c r="K30" s="78"/>
      <c r="L30" s="77"/>
      <c r="M30" s="77"/>
      <c r="N30" s="174"/>
    </row>
    <row r="31" spans="1:14" ht="51.75" customHeight="1">
      <c r="A31" s="19" t="s">
        <v>36</v>
      </c>
      <c r="B31" s="32" t="s">
        <v>140</v>
      </c>
      <c r="C31" s="33"/>
      <c r="D31" s="34"/>
      <c r="E31" s="81"/>
      <c r="F31" s="33"/>
      <c r="G31" s="170"/>
      <c r="H31" s="194" t="s">
        <v>36</v>
      </c>
      <c r="I31" s="32" t="s">
        <v>143</v>
      </c>
      <c r="J31" s="33"/>
      <c r="K31" s="34"/>
      <c r="L31" s="35"/>
      <c r="M31" s="33"/>
      <c r="N31" s="170"/>
    </row>
    <row r="32" spans="1:14" ht="34.5" customHeight="1">
      <c r="A32" s="20"/>
      <c r="B32" s="119" t="s">
        <v>0</v>
      </c>
      <c r="C32" s="120" t="s">
        <v>220</v>
      </c>
      <c r="D32" s="120" t="s">
        <v>198</v>
      </c>
      <c r="E32" s="121" t="s">
        <v>1</v>
      </c>
      <c r="F32" s="121" t="s">
        <v>20</v>
      </c>
      <c r="G32" s="121" t="s">
        <v>35</v>
      </c>
      <c r="H32" s="195"/>
      <c r="I32" s="119" t="s">
        <v>0</v>
      </c>
      <c r="J32" s="120" t="s">
        <v>220</v>
      </c>
      <c r="K32" s="120" t="s">
        <v>198</v>
      </c>
      <c r="L32" s="121" t="s">
        <v>1</v>
      </c>
      <c r="M32" s="121" t="s">
        <v>20</v>
      </c>
      <c r="N32" s="121" t="s">
        <v>35</v>
      </c>
    </row>
    <row r="33" spans="1:14" ht="15.75">
      <c r="A33" s="20"/>
      <c r="B33" s="104" t="s">
        <v>169</v>
      </c>
      <c r="C33" s="3" t="s">
        <v>238</v>
      </c>
      <c r="D33" s="5" t="s">
        <v>195</v>
      </c>
      <c r="E33" s="143" t="s">
        <v>187</v>
      </c>
      <c r="F33" s="144" t="s">
        <v>188</v>
      </c>
      <c r="G33" s="144" t="s">
        <v>196</v>
      </c>
      <c r="H33" s="195"/>
      <c r="I33" s="154" t="s">
        <v>187</v>
      </c>
      <c r="J33" s="155" t="s">
        <v>187</v>
      </c>
      <c r="K33" s="155" t="s">
        <v>187</v>
      </c>
      <c r="L33" s="144" t="s">
        <v>187</v>
      </c>
      <c r="M33" s="144" t="s">
        <v>187</v>
      </c>
      <c r="N33" s="144" t="s">
        <v>187</v>
      </c>
    </row>
    <row r="34" spans="1:14" ht="38.25" customHeight="1">
      <c r="A34" s="20"/>
      <c r="B34" s="104" t="s">
        <v>138</v>
      </c>
      <c r="C34" s="5">
        <v>0.27360000000000001</v>
      </c>
      <c r="D34" s="5">
        <v>0.3</v>
      </c>
      <c r="E34" s="178" t="s">
        <v>4</v>
      </c>
      <c r="F34" s="7" t="s">
        <v>61</v>
      </c>
      <c r="G34" s="6" t="s">
        <v>218</v>
      </c>
      <c r="H34" s="195"/>
      <c r="I34" s="104" t="s">
        <v>228</v>
      </c>
      <c r="J34" s="5">
        <v>0.25459999999999999</v>
      </c>
      <c r="K34" s="5">
        <v>0.27</v>
      </c>
      <c r="L34" s="6" t="s">
        <v>4</v>
      </c>
      <c r="M34" s="7" t="s">
        <v>209</v>
      </c>
      <c r="N34" s="6" t="s">
        <v>218</v>
      </c>
    </row>
    <row r="35" spans="1:14">
      <c r="A35" s="20"/>
      <c r="B35" s="104" t="s">
        <v>2</v>
      </c>
      <c r="C35" s="3">
        <v>0.23019999999999999</v>
      </c>
      <c r="D35" s="3">
        <v>0.23</v>
      </c>
      <c r="E35" s="1" t="s">
        <v>3</v>
      </c>
      <c r="F35" s="4" t="s">
        <v>210</v>
      </c>
      <c r="G35" s="1" t="s">
        <v>14</v>
      </c>
      <c r="H35" s="195"/>
      <c r="I35" s="104" t="s">
        <v>2</v>
      </c>
      <c r="J35" s="3">
        <v>0.34439999999999998</v>
      </c>
      <c r="K35" s="3">
        <v>0.38</v>
      </c>
      <c r="L35" s="1" t="s">
        <v>3</v>
      </c>
      <c r="M35" s="4" t="s">
        <v>77</v>
      </c>
      <c r="N35" s="1" t="s">
        <v>14</v>
      </c>
    </row>
    <row r="36" spans="1:14" ht="28.5">
      <c r="A36" s="20"/>
      <c r="B36" s="105" t="s">
        <v>137</v>
      </c>
      <c r="C36" s="3">
        <v>0.2031</v>
      </c>
      <c r="D36" s="3">
        <v>0.21</v>
      </c>
      <c r="E36" s="1" t="s">
        <v>4</v>
      </c>
      <c r="F36" s="4" t="s">
        <v>176</v>
      </c>
      <c r="G36" s="1" t="s">
        <v>173</v>
      </c>
      <c r="H36" s="195"/>
      <c r="I36" s="104" t="s">
        <v>137</v>
      </c>
      <c r="J36" s="3">
        <v>0.32029999999999997</v>
      </c>
      <c r="K36" s="3">
        <v>0.35</v>
      </c>
      <c r="L36" s="1" t="s">
        <v>4</v>
      </c>
      <c r="M36" s="4" t="s">
        <v>118</v>
      </c>
      <c r="N36" s="1" t="s">
        <v>15</v>
      </c>
    </row>
    <row r="37" spans="1:14" ht="42.75">
      <c r="A37" s="20"/>
      <c r="B37" s="104" t="s">
        <v>170</v>
      </c>
      <c r="C37" s="3">
        <v>5.4999999999999997E-3</v>
      </c>
      <c r="D37" s="3">
        <v>0.05</v>
      </c>
      <c r="E37" s="8" t="s">
        <v>3</v>
      </c>
      <c r="F37" s="9" t="s">
        <v>51</v>
      </c>
      <c r="G37" s="145" t="s">
        <v>187</v>
      </c>
      <c r="H37" s="195"/>
      <c r="I37" s="104" t="s">
        <v>170</v>
      </c>
      <c r="J37" s="3">
        <v>4.5999999999999999E-3</v>
      </c>
      <c r="K37" s="3">
        <v>0.05</v>
      </c>
      <c r="L37" s="8" t="s">
        <v>3</v>
      </c>
      <c r="M37" s="9" t="s">
        <v>51</v>
      </c>
      <c r="N37" s="145" t="s">
        <v>187</v>
      </c>
    </row>
    <row r="38" spans="1:14">
      <c r="A38" s="20"/>
      <c r="B38" s="104" t="s">
        <v>10</v>
      </c>
      <c r="C38" s="3">
        <v>1.55E-2</v>
      </c>
      <c r="D38" s="3">
        <v>0.05</v>
      </c>
      <c r="E38" s="8" t="s">
        <v>3</v>
      </c>
      <c r="F38" s="9" t="s">
        <v>51</v>
      </c>
      <c r="G38" s="145" t="s">
        <v>187</v>
      </c>
      <c r="H38" s="195"/>
      <c r="I38" s="104" t="s">
        <v>10</v>
      </c>
      <c r="J38" s="3">
        <v>1.0699999999999999E-2</v>
      </c>
      <c r="K38" s="3">
        <v>0.05</v>
      </c>
      <c r="L38" s="8" t="s">
        <v>3</v>
      </c>
      <c r="M38" s="9" t="s">
        <v>51</v>
      </c>
      <c r="N38" s="145" t="s">
        <v>187</v>
      </c>
    </row>
    <row r="39" spans="1:14">
      <c r="A39" s="20"/>
      <c r="B39" s="104" t="s">
        <v>12</v>
      </c>
      <c r="C39" s="3">
        <v>0.14069999999999999</v>
      </c>
      <c r="D39" s="3">
        <v>0.15</v>
      </c>
      <c r="E39" s="1" t="s">
        <v>3</v>
      </c>
      <c r="F39" s="9" t="s">
        <v>52</v>
      </c>
      <c r="G39" s="132" t="s">
        <v>187</v>
      </c>
      <c r="H39" s="195"/>
      <c r="I39" s="104" t="s">
        <v>12</v>
      </c>
      <c r="J39" s="3">
        <v>0.19409999999999999</v>
      </c>
      <c r="K39" s="3">
        <v>0.15</v>
      </c>
      <c r="L39" s="1" t="s">
        <v>3</v>
      </c>
      <c r="M39" s="9" t="s">
        <v>52</v>
      </c>
      <c r="N39" s="132" t="s">
        <v>187</v>
      </c>
    </row>
    <row r="40" spans="1:14">
      <c r="A40" s="20"/>
      <c r="B40" s="104" t="s">
        <v>171</v>
      </c>
      <c r="C40" s="3">
        <v>4.3E-3</v>
      </c>
      <c r="D40" s="3">
        <v>0.05</v>
      </c>
      <c r="E40" s="1" t="s">
        <v>3</v>
      </c>
      <c r="F40" s="10" t="s">
        <v>51</v>
      </c>
      <c r="G40" s="132" t="s">
        <v>187</v>
      </c>
      <c r="H40" s="195"/>
      <c r="I40" s="104" t="s">
        <v>171</v>
      </c>
      <c r="J40" s="3">
        <v>3.8999999999999998E-3</v>
      </c>
      <c r="K40" s="3">
        <v>0.05</v>
      </c>
      <c r="L40" s="1" t="s">
        <v>3</v>
      </c>
      <c r="M40" s="10" t="s">
        <v>51</v>
      </c>
      <c r="N40" s="132" t="s">
        <v>187</v>
      </c>
    </row>
    <row r="41" spans="1:14" ht="15">
      <c r="A41" s="20"/>
      <c r="B41" s="106" t="s">
        <v>5</v>
      </c>
      <c r="C41" s="27">
        <f>SUBTOTAL(109,C33:C40)</f>
        <v>0.87290000000000001</v>
      </c>
      <c r="D41" s="27">
        <f>SUBTOTAL(109,D33:D40)</f>
        <v>1.04</v>
      </c>
      <c r="E41" s="117" t="s">
        <v>187</v>
      </c>
      <c r="F41" s="118" t="s">
        <v>243</v>
      </c>
      <c r="G41" s="112" t="s">
        <v>187</v>
      </c>
      <c r="H41" s="195"/>
      <c r="I41" s="106" t="s">
        <v>5</v>
      </c>
      <c r="J41" s="27">
        <f>SUBTOTAL(109,J33:J40)</f>
        <v>1.1326000000000001</v>
      </c>
      <c r="K41" s="27">
        <f>SUBTOTAL(109,K33:K40)</f>
        <v>1.3</v>
      </c>
      <c r="L41" s="118" t="s">
        <v>187</v>
      </c>
      <c r="M41" s="118" t="s">
        <v>187</v>
      </c>
      <c r="N41" s="112" t="s">
        <v>187</v>
      </c>
    </row>
    <row r="42" spans="1:14">
      <c r="A42" s="20"/>
      <c r="B42" s="104" t="s">
        <v>6</v>
      </c>
      <c r="C42" s="11">
        <v>0.14460000000000001</v>
      </c>
      <c r="D42" s="11">
        <v>0.2</v>
      </c>
      <c r="E42" s="1" t="s">
        <v>4</v>
      </c>
      <c r="F42" s="9" t="s">
        <v>64</v>
      </c>
      <c r="G42" s="1" t="s">
        <v>19</v>
      </c>
      <c r="H42" s="195"/>
      <c r="I42" s="104" t="s">
        <v>6</v>
      </c>
      <c r="J42" s="11">
        <v>0.1416</v>
      </c>
      <c r="K42" s="11">
        <v>0.16</v>
      </c>
      <c r="L42" s="1" t="s">
        <v>4</v>
      </c>
      <c r="M42" s="9" t="s">
        <v>133</v>
      </c>
      <c r="N42" s="1" t="s">
        <v>19</v>
      </c>
    </row>
    <row r="43" spans="1:14" ht="30">
      <c r="A43" s="21"/>
      <c r="B43" s="106" t="s">
        <v>225</v>
      </c>
      <c r="C43" s="12">
        <v>2.2000000000000001E-3</v>
      </c>
      <c r="D43" s="196" t="s">
        <v>187</v>
      </c>
      <c r="E43" s="131" t="s">
        <v>187</v>
      </c>
      <c r="F43" s="131" t="s">
        <v>187</v>
      </c>
      <c r="G43" s="171" t="s">
        <v>187</v>
      </c>
      <c r="H43" s="195"/>
      <c r="I43" s="106" t="s">
        <v>225</v>
      </c>
      <c r="J43" s="12">
        <v>2.3999999999999998E-3</v>
      </c>
      <c r="K43" s="196" t="s">
        <v>187</v>
      </c>
      <c r="L43" s="131" t="s">
        <v>187</v>
      </c>
      <c r="M43" s="131" t="s">
        <v>187</v>
      </c>
      <c r="N43" s="171" t="s">
        <v>187</v>
      </c>
    </row>
    <row r="44" spans="1:14" ht="21" customHeight="1">
      <c r="A44" s="70"/>
      <c r="B44" s="72"/>
      <c r="C44" s="73"/>
      <c r="D44" s="74"/>
      <c r="E44" s="73"/>
      <c r="F44" s="73"/>
      <c r="G44" s="173"/>
      <c r="H44" s="197"/>
      <c r="I44" s="76"/>
      <c r="J44" s="77"/>
      <c r="K44" s="78"/>
      <c r="L44" s="77"/>
      <c r="M44" s="77"/>
      <c r="N44" s="174"/>
    </row>
    <row r="45" spans="1:14" ht="51.75" customHeight="1">
      <c r="A45" s="28" t="s">
        <v>67</v>
      </c>
      <c r="B45" s="36" t="s">
        <v>144</v>
      </c>
      <c r="C45" s="37"/>
      <c r="D45" s="38"/>
      <c r="E45" s="82"/>
      <c r="F45" s="37"/>
      <c r="G45" s="170"/>
      <c r="H45" s="198" t="s">
        <v>67</v>
      </c>
      <c r="I45" s="36" t="s">
        <v>145</v>
      </c>
      <c r="J45" s="37"/>
      <c r="K45" s="38"/>
      <c r="L45" s="39"/>
      <c r="M45" s="37"/>
      <c r="N45" s="170"/>
    </row>
    <row r="46" spans="1:14" ht="51.75" customHeight="1">
      <c r="A46" s="29"/>
      <c r="B46" s="119" t="s">
        <v>0</v>
      </c>
      <c r="C46" s="120" t="s">
        <v>220</v>
      </c>
      <c r="D46" s="120" t="s">
        <v>198</v>
      </c>
      <c r="E46" s="121" t="s">
        <v>1</v>
      </c>
      <c r="F46" s="121" t="s">
        <v>20</v>
      </c>
      <c r="G46" s="121" t="s">
        <v>35</v>
      </c>
      <c r="H46" s="199"/>
      <c r="I46" s="119" t="s">
        <v>0</v>
      </c>
      <c r="J46" s="120" t="s">
        <v>220</v>
      </c>
      <c r="K46" s="120" t="s">
        <v>198</v>
      </c>
      <c r="L46" s="121" t="s">
        <v>1</v>
      </c>
      <c r="M46" s="121" t="s">
        <v>20</v>
      </c>
      <c r="N46" s="121" t="s">
        <v>35</v>
      </c>
    </row>
    <row r="47" spans="1:14" ht="15.75">
      <c r="A47" s="29"/>
      <c r="B47" s="104" t="s">
        <v>169</v>
      </c>
      <c r="C47" s="3">
        <v>0.2757</v>
      </c>
      <c r="D47" s="5" t="s">
        <v>195</v>
      </c>
      <c r="E47" s="143" t="s">
        <v>187</v>
      </c>
      <c r="F47" s="144" t="s">
        <v>188</v>
      </c>
      <c r="G47" s="144" t="s">
        <v>196</v>
      </c>
      <c r="H47" s="199"/>
      <c r="I47" s="154" t="s">
        <v>187</v>
      </c>
      <c r="J47" s="155" t="s">
        <v>187</v>
      </c>
      <c r="K47" s="155" t="s">
        <v>187</v>
      </c>
      <c r="L47" s="144" t="s">
        <v>187</v>
      </c>
      <c r="M47" s="144" t="s">
        <v>187</v>
      </c>
      <c r="N47" s="144" t="s">
        <v>187</v>
      </c>
    </row>
    <row r="48" spans="1:14" ht="71.25">
      <c r="A48" s="29"/>
      <c r="B48" s="104" t="s">
        <v>138</v>
      </c>
      <c r="C48" s="5">
        <v>0.72640000000000005</v>
      </c>
      <c r="D48" s="5">
        <v>0.7</v>
      </c>
      <c r="E48" s="6" t="s">
        <v>4</v>
      </c>
      <c r="F48" s="7" t="s">
        <v>86</v>
      </c>
      <c r="G48" s="6" t="s">
        <v>218</v>
      </c>
      <c r="H48" s="199"/>
      <c r="I48" s="104" t="s">
        <v>228</v>
      </c>
      <c r="J48" s="5">
        <v>0.97</v>
      </c>
      <c r="K48" s="5">
        <v>0.95</v>
      </c>
      <c r="L48" s="6" t="s">
        <v>4</v>
      </c>
      <c r="M48" s="7" t="s">
        <v>122</v>
      </c>
      <c r="N48" s="6" t="s">
        <v>218</v>
      </c>
    </row>
    <row r="49" spans="1:14">
      <c r="A49" s="29"/>
      <c r="B49" s="104" t="s">
        <v>2</v>
      </c>
      <c r="C49" s="3">
        <v>0.189</v>
      </c>
      <c r="D49" s="3">
        <v>0.19</v>
      </c>
      <c r="E49" s="1" t="s">
        <v>3</v>
      </c>
      <c r="F49" s="4" t="s">
        <v>211</v>
      </c>
      <c r="G49" s="1" t="s">
        <v>14</v>
      </c>
      <c r="H49" s="199"/>
      <c r="I49" s="104" t="s">
        <v>2</v>
      </c>
      <c r="J49" s="3">
        <v>0.28410000000000002</v>
      </c>
      <c r="K49" s="3">
        <v>0.28000000000000003</v>
      </c>
      <c r="L49" s="1" t="s">
        <v>3</v>
      </c>
      <c r="M49" s="4" t="s">
        <v>212</v>
      </c>
      <c r="N49" s="1" t="s">
        <v>14</v>
      </c>
    </row>
    <row r="50" spans="1:14" ht="28.5">
      <c r="A50" s="29"/>
      <c r="B50" s="105" t="s">
        <v>137</v>
      </c>
      <c r="C50" s="3">
        <v>2.5499999999999998E-2</v>
      </c>
      <c r="D50" s="3">
        <v>0.06</v>
      </c>
      <c r="E50" s="1" t="s">
        <v>4</v>
      </c>
      <c r="F50" s="4" t="s">
        <v>58</v>
      </c>
      <c r="G50" s="1" t="s">
        <v>15</v>
      </c>
      <c r="H50" s="199"/>
      <c r="I50" s="104" t="s">
        <v>137</v>
      </c>
      <c r="J50" s="3">
        <v>4.2099999999999999E-2</v>
      </c>
      <c r="K50" s="3">
        <v>0.06</v>
      </c>
      <c r="L50" s="1" t="s">
        <v>4</v>
      </c>
      <c r="M50" s="4" t="s">
        <v>58</v>
      </c>
      <c r="N50" s="1" t="s">
        <v>15</v>
      </c>
    </row>
    <row r="51" spans="1:14" ht="42.75">
      <c r="A51" s="29"/>
      <c r="B51" s="104" t="s">
        <v>170</v>
      </c>
      <c r="C51" s="3">
        <v>2.8999999999999998E-3</v>
      </c>
      <c r="D51" s="3">
        <v>0.05</v>
      </c>
      <c r="E51" s="8" t="s">
        <v>3</v>
      </c>
      <c r="F51" s="9" t="s">
        <v>51</v>
      </c>
      <c r="G51" s="145" t="s">
        <v>187</v>
      </c>
      <c r="H51" s="199"/>
      <c r="I51" s="104" t="s">
        <v>170</v>
      </c>
      <c r="J51" s="3">
        <v>2E-3</v>
      </c>
      <c r="K51" s="3">
        <v>0.05</v>
      </c>
      <c r="L51" s="8" t="s">
        <v>3</v>
      </c>
      <c r="M51" s="9" t="s">
        <v>51</v>
      </c>
      <c r="N51" s="145" t="s">
        <v>187</v>
      </c>
    </row>
    <row r="52" spans="1:14">
      <c r="A52" s="29"/>
      <c r="B52" s="104" t="s">
        <v>10</v>
      </c>
      <c r="C52" s="3">
        <v>5.9999999999999995E-4</v>
      </c>
      <c r="D52" s="3">
        <v>0.05</v>
      </c>
      <c r="E52" s="8" t="s">
        <v>3</v>
      </c>
      <c r="F52" s="9" t="s">
        <v>51</v>
      </c>
      <c r="G52" s="145" t="s">
        <v>187</v>
      </c>
      <c r="H52" s="199"/>
      <c r="I52" s="104" t="s">
        <v>10</v>
      </c>
      <c r="J52" s="3">
        <v>5.0000000000000001E-4</v>
      </c>
      <c r="K52" s="3">
        <v>0.05</v>
      </c>
      <c r="L52" s="8" t="s">
        <v>3</v>
      </c>
      <c r="M52" s="9" t="s">
        <v>51</v>
      </c>
      <c r="N52" s="145" t="s">
        <v>187</v>
      </c>
    </row>
    <row r="53" spans="1:14">
      <c r="A53" s="29"/>
      <c r="B53" s="104" t="s">
        <v>12</v>
      </c>
      <c r="C53" s="3">
        <v>0.1608</v>
      </c>
      <c r="D53" s="3">
        <v>0.15</v>
      </c>
      <c r="E53" s="1" t="s">
        <v>3</v>
      </c>
      <c r="F53" s="9" t="s">
        <v>52</v>
      </c>
      <c r="G53" s="9" t="s">
        <v>18</v>
      </c>
      <c r="H53" s="199"/>
      <c r="I53" s="104" t="s">
        <v>12</v>
      </c>
      <c r="J53" s="3">
        <v>0.14480000000000001</v>
      </c>
      <c r="K53" s="3">
        <v>0.15</v>
      </c>
      <c r="L53" s="1" t="s">
        <v>3</v>
      </c>
      <c r="M53" s="9" t="s">
        <v>52</v>
      </c>
      <c r="N53" s="9" t="s">
        <v>18</v>
      </c>
    </row>
    <row r="54" spans="1:14">
      <c r="A54" s="29"/>
      <c r="B54" s="104" t="s">
        <v>171</v>
      </c>
      <c r="C54" s="3">
        <v>0</v>
      </c>
      <c r="D54" s="3">
        <v>0.05</v>
      </c>
      <c r="E54" s="1" t="s">
        <v>3</v>
      </c>
      <c r="F54" s="10" t="s">
        <v>51</v>
      </c>
      <c r="G54" s="132" t="s">
        <v>187</v>
      </c>
      <c r="H54" s="199"/>
      <c r="I54" s="104" t="s">
        <v>171</v>
      </c>
      <c r="J54" s="3">
        <v>0</v>
      </c>
      <c r="K54" s="3">
        <v>0.05</v>
      </c>
      <c r="L54" s="1" t="s">
        <v>3</v>
      </c>
      <c r="M54" s="10" t="s">
        <v>51</v>
      </c>
      <c r="N54" s="132" t="s">
        <v>187</v>
      </c>
    </row>
    <row r="55" spans="1:14" ht="15">
      <c r="A55" s="29"/>
      <c r="B55" s="106" t="s">
        <v>5</v>
      </c>
      <c r="C55" s="27">
        <f>SUBTOTAL(109,C47:C54)</f>
        <v>1.3809</v>
      </c>
      <c r="D55" s="99">
        <f>SUBTOTAL(109,D47:D54)</f>
        <v>1.25</v>
      </c>
      <c r="E55" s="117" t="s">
        <v>187</v>
      </c>
      <c r="F55" s="118" t="s">
        <v>243</v>
      </c>
      <c r="G55" s="112" t="s">
        <v>187</v>
      </c>
      <c r="H55" s="199"/>
      <c r="I55" s="106" t="s">
        <v>5</v>
      </c>
      <c r="J55" s="27">
        <f>SUBTOTAL(109,J47:J54)</f>
        <v>1.4435</v>
      </c>
      <c r="K55" s="99">
        <f>SUBTOTAL(109,K47:K54)</f>
        <v>1.59</v>
      </c>
      <c r="L55" s="118" t="s">
        <v>187</v>
      </c>
      <c r="M55" s="118" t="s">
        <v>187</v>
      </c>
      <c r="N55" s="112" t="s">
        <v>187</v>
      </c>
    </row>
    <row r="56" spans="1:14">
      <c r="A56" s="29"/>
      <c r="B56" s="104" t="s">
        <v>6</v>
      </c>
      <c r="C56" s="11">
        <v>0.20200000000000001</v>
      </c>
      <c r="D56" s="11">
        <v>0.2</v>
      </c>
      <c r="E56" s="1" t="s">
        <v>4</v>
      </c>
      <c r="F56" s="9" t="s">
        <v>64</v>
      </c>
      <c r="G56" s="1" t="s">
        <v>19</v>
      </c>
      <c r="H56" s="199"/>
      <c r="I56" s="104" t="s">
        <v>6</v>
      </c>
      <c r="J56" s="11">
        <v>0.20330000000000001</v>
      </c>
      <c r="K56" s="11">
        <v>0.2</v>
      </c>
      <c r="L56" s="1" t="s">
        <v>4</v>
      </c>
      <c r="M56" s="9" t="s">
        <v>64</v>
      </c>
      <c r="N56" s="1" t="s">
        <v>19</v>
      </c>
    </row>
    <row r="57" spans="1:14" ht="30">
      <c r="A57" s="29"/>
      <c r="B57" s="106" t="s">
        <v>225</v>
      </c>
      <c r="C57" s="12">
        <v>1.4E-3</v>
      </c>
      <c r="D57" s="196" t="s">
        <v>187</v>
      </c>
      <c r="E57" s="131" t="s">
        <v>187</v>
      </c>
      <c r="F57" s="131" t="s">
        <v>187</v>
      </c>
      <c r="G57" s="171" t="s">
        <v>187</v>
      </c>
      <c r="H57" s="199"/>
      <c r="I57" s="106" t="s">
        <v>225</v>
      </c>
      <c r="J57" s="12">
        <v>1.4E-3</v>
      </c>
      <c r="K57" s="196" t="s">
        <v>187</v>
      </c>
      <c r="L57" s="131" t="s">
        <v>187</v>
      </c>
      <c r="M57" s="131" t="s">
        <v>187</v>
      </c>
      <c r="N57" s="171" t="s">
        <v>187</v>
      </c>
    </row>
    <row r="58" spans="1:14" ht="21" customHeight="1">
      <c r="A58" s="70"/>
      <c r="B58" s="72"/>
      <c r="C58" s="73"/>
      <c r="D58" s="74"/>
      <c r="E58" s="73"/>
      <c r="F58" s="73"/>
      <c r="G58" s="173"/>
      <c r="H58" s="197"/>
      <c r="I58" s="76"/>
      <c r="J58" s="77"/>
      <c r="K58" s="78"/>
      <c r="L58" s="77"/>
      <c r="M58" s="77"/>
      <c r="N58" s="174"/>
    </row>
    <row r="59" spans="1:14" ht="51.75" customHeight="1">
      <c r="A59" s="28" t="s">
        <v>68</v>
      </c>
      <c r="B59" s="36" t="s">
        <v>146</v>
      </c>
      <c r="C59" s="37"/>
      <c r="D59" s="38"/>
      <c r="E59" s="82"/>
      <c r="F59" s="37"/>
      <c r="G59" s="170"/>
      <c r="H59" s="198" t="s">
        <v>68</v>
      </c>
      <c r="I59" s="36" t="s">
        <v>147</v>
      </c>
      <c r="J59" s="37"/>
      <c r="K59" s="38"/>
      <c r="L59" s="39"/>
      <c r="M59" s="37"/>
      <c r="N59" s="170"/>
    </row>
    <row r="60" spans="1:14" ht="51.75" customHeight="1">
      <c r="A60" s="29"/>
      <c r="B60" s="119" t="s">
        <v>0</v>
      </c>
      <c r="C60" s="120" t="s">
        <v>220</v>
      </c>
      <c r="D60" s="120" t="s">
        <v>198</v>
      </c>
      <c r="E60" s="121" t="s">
        <v>22</v>
      </c>
      <c r="F60" s="121" t="s">
        <v>20</v>
      </c>
      <c r="G60" s="121" t="s">
        <v>35</v>
      </c>
      <c r="H60" s="199"/>
      <c r="I60" s="119" t="s">
        <v>0</v>
      </c>
      <c r="J60" s="120" t="s">
        <v>220</v>
      </c>
      <c r="K60" s="120" t="s">
        <v>198</v>
      </c>
      <c r="L60" s="121" t="s">
        <v>22</v>
      </c>
      <c r="M60" s="121" t="s">
        <v>20</v>
      </c>
      <c r="N60" s="121" t="s">
        <v>35</v>
      </c>
    </row>
    <row r="61" spans="1:14" ht="15.75">
      <c r="A61" s="29"/>
      <c r="B61" s="2" t="s">
        <v>169</v>
      </c>
      <c r="C61" s="5">
        <v>0.27400000000000002</v>
      </c>
      <c r="D61" s="5">
        <v>0.3</v>
      </c>
      <c r="E61" s="143" t="s">
        <v>187</v>
      </c>
      <c r="F61" s="144" t="s">
        <v>187</v>
      </c>
      <c r="G61" s="144" t="s">
        <v>187</v>
      </c>
      <c r="H61" s="199"/>
      <c r="I61" s="156" t="s">
        <v>187</v>
      </c>
      <c r="J61" s="155" t="s">
        <v>187</v>
      </c>
      <c r="K61" s="155" t="s">
        <v>187</v>
      </c>
      <c r="L61" s="144" t="s">
        <v>187</v>
      </c>
      <c r="M61" s="144" t="s">
        <v>187</v>
      </c>
      <c r="N61" s="144" t="s">
        <v>187</v>
      </c>
    </row>
    <row r="62" spans="1:14" ht="71.25">
      <c r="A62" s="29"/>
      <c r="B62" s="2" t="s">
        <v>138</v>
      </c>
      <c r="C62" s="5">
        <v>4.3700000000000003E-2</v>
      </c>
      <c r="D62" s="5">
        <v>0.06</v>
      </c>
      <c r="E62" s="6" t="s">
        <v>4</v>
      </c>
      <c r="F62" s="7" t="s">
        <v>58</v>
      </c>
      <c r="G62" s="6" t="s">
        <v>218</v>
      </c>
      <c r="H62" s="199"/>
      <c r="I62" s="2" t="s">
        <v>228</v>
      </c>
      <c r="J62" s="5">
        <v>2.87E-2</v>
      </c>
      <c r="K62" s="5">
        <v>0.06</v>
      </c>
      <c r="L62" s="6" t="s">
        <v>4</v>
      </c>
      <c r="M62" s="7" t="s">
        <v>58</v>
      </c>
      <c r="N62" s="6" t="s">
        <v>218</v>
      </c>
    </row>
    <row r="63" spans="1:14">
      <c r="A63" s="29"/>
      <c r="B63" s="2" t="s">
        <v>2</v>
      </c>
      <c r="C63" s="3">
        <v>0.12970000000000001</v>
      </c>
      <c r="D63" s="3">
        <v>0.11</v>
      </c>
      <c r="E63" s="1" t="s">
        <v>3</v>
      </c>
      <c r="F63" s="4" t="s">
        <v>213</v>
      </c>
      <c r="G63" s="1" t="s">
        <v>14</v>
      </c>
      <c r="H63" s="199"/>
      <c r="I63" s="2" t="s">
        <v>2</v>
      </c>
      <c r="J63" s="3">
        <v>0.34100000000000003</v>
      </c>
      <c r="K63" s="3">
        <v>0.35</v>
      </c>
      <c r="L63" s="1" t="s">
        <v>3</v>
      </c>
      <c r="M63" s="4" t="s">
        <v>117</v>
      </c>
      <c r="N63" s="1" t="s">
        <v>14</v>
      </c>
    </row>
    <row r="64" spans="1:14" ht="28.5">
      <c r="A64" s="29"/>
      <c r="B64" s="69" t="s">
        <v>137</v>
      </c>
      <c r="C64" s="3">
        <v>0.46379999999999999</v>
      </c>
      <c r="D64" s="3">
        <v>0.5</v>
      </c>
      <c r="E64" s="1" t="s">
        <v>4</v>
      </c>
      <c r="F64" s="4" t="s">
        <v>91</v>
      </c>
      <c r="G64" s="1" t="s">
        <v>15</v>
      </c>
      <c r="H64" s="199"/>
      <c r="I64" s="2" t="s">
        <v>137</v>
      </c>
      <c r="J64" s="3">
        <v>0.58160000000000001</v>
      </c>
      <c r="K64" s="3">
        <v>0.6</v>
      </c>
      <c r="L64" s="1" t="s">
        <v>4</v>
      </c>
      <c r="M64" s="4" t="s">
        <v>214</v>
      </c>
      <c r="N64" s="1" t="s">
        <v>15</v>
      </c>
    </row>
    <row r="65" spans="1:14" ht="42.75">
      <c r="A65" s="29"/>
      <c r="B65" s="2" t="s">
        <v>170</v>
      </c>
      <c r="C65" s="3">
        <v>1.6000000000000001E-3</v>
      </c>
      <c r="D65" s="3">
        <v>0.05</v>
      </c>
      <c r="E65" s="8" t="s">
        <v>3</v>
      </c>
      <c r="F65" s="9" t="s">
        <v>51</v>
      </c>
      <c r="G65" s="145" t="s">
        <v>187</v>
      </c>
      <c r="H65" s="199"/>
      <c r="I65" s="2" t="s">
        <v>170</v>
      </c>
      <c r="J65" s="3">
        <v>2.0000000000000001E-4</v>
      </c>
      <c r="K65" s="3">
        <v>0.05</v>
      </c>
      <c r="L65" s="8" t="s">
        <v>3</v>
      </c>
      <c r="M65" s="9" t="s">
        <v>51</v>
      </c>
      <c r="N65" s="145" t="s">
        <v>187</v>
      </c>
    </row>
    <row r="66" spans="1:14">
      <c r="A66" s="29"/>
      <c r="B66" s="2" t="s">
        <v>10</v>
      </c>
      <c r="C66" s="3">
        <v>1.5699999999999999E-2</v>
      </c>
      <c r="D66" s="3">
        <v>0.05</v>
      </c>
      <c r="E66" s="8" t="s">
        <v>3</v>
      </c>
      <c r="F66" s="9" t="s">
        <v>51</v>
      </c>
      <c r="G66" s="145" t="s">
        <v>187</v>
      </c>
      <c r="H66" s="199"/>
      <c r="I66" s="2" t="s">
        <v>10</v>
      </c>
      <c r="J66" s="3">
        <v>0</v>
      </c>
      <c r="K66" s="3">
        <v>0.05</v>
      </c>
      <c r="L66" s="8" t="s">
        <v>3</v>
      </c>
      <c r="M66" s="9" t="s">
        <v>51</v>
      </c>
      <c r="N66" s="145" t="s">
        <v>187</v>
      </c>
    </row>
    <row r="67" spans="1:14">
      <c r="A67" s="29"/>
      <c r="B67" s="2" t="s">
        <v>12</v>
      </c>
      <c r="C67" s="3">
        <v>7.1400000000000005E-2</v>
      </c>
      <c r="D67" s="3">
        <v>0.05</v>
      </c>
      <c r="E67" s="1" t="s">
        <v>3</v>
      </c>
      <c r="F67" s="9" t="s">
        <v>51</v>
      </c>
      <c r="G67" s="9" t="s">
        <v>18</v>
      </c>
      <c r="H67" s="199"/>
      <c r="I67" s="2" t="s">
        <v>12</v>
      </c>
      <c r="J67" s="3">
        <v>5.0099999999999999E-2</v>
      </c>
      <c r="K67" s="3">
        <v>0.05</v>
      </c>
      <c r="L67" s="1" t="s">
        <v>3</v>
      </c>
      <c r="M67" s="9" t="s">
        <v>51</v>
      </c>
      <c r="N67" s="9" t="s">
        <v>18</v>
      </c>
    </row>
    <row r="68" spans="1:14">
      <c r="A68" s="29"/>
      <c r="B68" s="2" t="s">
        <v>171</v>
      </c>
      <c r="C68" s="3">
        <v>0</v>
      </c>
      <c r="D68" s="3">
        <v>0.05</v>
      </c>
      <c r="E68" s="1" t="s">
        <v>3</v>
      </c>
      <c r="F68" s="10" t="s">
        <v>51</v>
      </c>
      <c r="G68" s="132" t="s">
        <v>187</v>
      </c>
      <c r="H68" s="199"/>
      <c r="I68" s="2" t="s">
        <v>171</v>
      </c>
      <c r="J68" s="3">
        <v>0</v>
      </c>
      <c r="K68" s="3">
        <v>0.05</v>
      </c>
      <c r="L68" s="1" t="s">
        <v>3</v>
      </c>
      <c r="M68" s="10" t="s">
        <v>51</v>
      </c>
      <c r="N68" s="132" t="s">
        <v>187</v>
      </c>
    </row>
    <row r="69" spans="1:14" ht="15">
      <c r="A69" s="29"/>
      <c r="B69" s="26" t="s">
        <v>5</v>
      </c>
      <c r="C69" s="99">
        <f>SUBTOTAL(109,C61:C68)</f>
        <v>0.99990000000000012</v>
      </c>
      <c r="D69" s="99">
        <f>SUBTOTAL(109,D61:D68)</f>
        <v>1.1700000000000002</v>
      </c>
      <c r="E69" s="117" t="s">
        <v>187</v>
      </c>
      <c r="F69" s="118" t="s">
        <v>187</v>
      </c>
      <c r="G69" s="112" t="s">
        <v>187</v>
      </c>
      <c r="H69" s="199"/>
      <c r="I69" s="26" t="s">
        <v>5</v>
      </c>
      <c r="J69" s="27">
        <f>SUBTOTAL(109,J61:J68)</f>
        <v>1.0016</v>
      </c>
      <c r="K69" s="27">
        <f>SUBTOTAL(109,K61:K68)</f>
        <v>1.2100000000000002</v>
      </c>
      <c r="L69" s="118" t="s">
        <v>187</v>
      </c>
      <c r="M69" s="118" t="s">
        <v>187</v>
      </c>
      <c r="N69" s="112" t="s">
        <v>187</v>
      </c>
    </row>
    <row r="70" spans="1:14">
      <c r="A70" s="29"/>
      <c r="B70" s="2" t="s">
        <v>6</v>
      </c>
      <c r="C70" s="11">
        <v>5.5100000000000003E-2</v>
      </c>
      <c r="D70" s="11">
        <v>0.06</v>
      </c>
      <c r="E70" s="1" t="s">
        <v>4</v>
      </c>
      <c r="F70" s="9" t="s">
        <v>58</v>
      </c>
      <c r="G70" s="1" t="s">
        <v>19</v>
      </c>
      <c r="H70" s="199"/>
      <c r="I70" s="2" t="s">
        <v>6</v>
      </c>
      <c r="J70" s="11">
        <v>5.28E-2</v>
      </c>
      <c r="K70" s="11">
        <v>0.06</v>
      </c>
      <c r="L70" s="1" t="s">
        <v>4</v>
      </c>
      <c r="M70" s="9" t="s">
        <v>58</v>
      </c>
      <c r="N70" s="1" t="s">
        <v>19</v>
      </c>
    </row>
    <row r="71" spans="1:14" ht="30">
      <c r="A71" s="29"/>
      <c r="B71" s="106" t="s">
        <v>225</v>
      </c>
      <c r="C71" s="12">
        <v>1.4E-3</v>
      </c>
      <c r="D71" s="196" t="s">
        <v>187</v>
      </c>
      <c r="E71" s="131" t="s">
        <v>187</v>
      </c>
      <c r="F71" s="131" t="s">
        <v>187</v>
      </c>
      <c r="G71" s="171" t="s">
        <v>187</v>
      </c>
      <c r="H71" s="199"/>
      <c r="I71" s="106" t="s">
        <v>225</v>
      </c>
      <c r="J71" s="12">
        <v>2E-3</v>
      </c>
      <c r="K71" s="196" t="s">
        <v>187</v>
      </c>
      <c r="L71" s="131" t="s">
        <v>187</v>
      </c>
      <c r="M71" s="131" t="s">
        <v>187</v>
      </c>
      <c r="N71" s="171" t="s">
        <v>187</v>
      </c>
    </row>
    <row r="72" spans="1:14" ht="21" customHeight="1">
      <c r="A72" s="70"/>
      <c r="B72" s="72"/>
      <c r="C72" s="73"/>
      <c r="D72" s="74"/>
      <c r="E72" s="73"/>
      <c r="F72" s="73"/>
      <c r="G72" s="173"/>
      <c r="H72" s="197"/>
      <c r="I72" s="76"/>
      <c r="J72" s="77"/>
      <c r="K72" s="78"/>
      <c r="L72" s="77"/>
      <c r="M72" s="77"/>
      <c r="N72" s="174"/>
    </row>
    <row r="73" spans="1:14" ht="51.75" customHeight="1">
      <c r="A73" s="28" t="s">
        <v>70</v>
      </c>
      <c r="B73" s="36" t="s">
        <v>148</v>
      </c>
      <c r="C73" s="37"/>
      <c r="D73" s="38"/>
      <c r="E73" s="82"/>
      <c r="F73" s="37"/>
      <c r="G73" s="170"/>
      <c r="H73" s="198" t="s">
        <v>70</v>
      </c>
      <c r="I73" s="36" t="s">
        <v>149</v>
      </c>
      <c r="J73" s="37"/>
      <c r="K73" s="38"/>
      <c r="L73" s="39"/>
      <c r="M73" s="37"/>
      <c r="N73" s="170"/>
    </row>
    <row r="74" spans="1:14" ht="51.75" customHeight="1">
      <c r="A74" s="29"/>
      <c r="B74" s="119" t="s">
        <v>0</v>
      </c>
      <c r="C74" s="120" t="s">
        <v>220</v>
      </c>
      <c r="D74" s="120" t="s">
        <v>198</v>
      </c>
      <c r="E74" s="121" t="s">
        <v>22</v>
      </c>
      <c r="F74" s="121" t="s">
        <v>20</v>
      </c>
      <c r="G74" s="121" t="s">
        <v>35</v>
      </c>
      <c r="H74" s="199"/>
      <c r="I74" s="119" t="s">
        <v>0</v>
      </c>
      <c r="J74" s="120" t="s">
        <v>220</v>
      </c>
      <c r="K74" s="120" t="s">
        <v>198</v>
      </c>
      <c r="L74" s="121" t="s">
        <v>22</v>
      </c>
      <c r="M74" s="121" t="s">
        <v>20</v>
      </c>
      <c r="N74" s="121" t="s">
        <v>35</v>
      </c>
    </row>
    <row r="75" spans="1:14" ht="15.75">
      <c r="A75" s="29"/>
      <c r="B75" s="104" t="s">
        <v>169</v>
      </c>
      <c r="C75" s="3">
        <v>0.2329</v>
      </c>
      <c r="D75" s="5">
        <v>0.3</v>
      </c>
      <c r="E75" s="143" t="s">
        <v>187</v>
      </c>
      <c r="F75" s="144" t="s">
        <v>187</v>
      </c>
      <c r="G75" s="144" t="s">
        <v>187</v>
      </c>
      <c r="H75" s="199"/>
      <c r="I75" s="154" t="s">
        <v>187</v>
      </c>
      <c r="J75" s="155" t="s">
        <v>187</v>
      </c>
      <c r="K75" s="155" t="s">
        <v>187</v>
      </c>
      <c r="L75" s="144" t="s">
        <v>187</v>
      </c>
      <c r="M75" s="144" t="s">
        <v>187</v>
      </c>
      <c r="N75" s="144" t="s">
        <v>187</v>
      </c>
    </row>
    <row r="76" spans="1:14" ht="28.5">
      <c r="A76" s="29"/>
      <c r="B76" s="104" t="s">
        <v>138</v>
      </c>
      <c r="C76" s="113">
        <v>0</v>
      </c>
      <c r="D76" s="5">
        <v>0</v>
      </c>
      <c r="E76" s="6" t="s">
        <v>4</v>
      </c>
      <c r="F76" s="157" t="s">
        <v>243</v>
      </c>
      <c r="G76" s="147" t="s">
        <v>187</v>
      </c>
      <c r="H76" s="199"/>
      <c r="I76" s="104" t="s">
        <v>228</v>
      </c>
      <c r="J76" s="157">
        <v>0</v>
      </c>
      <c r="K76" s="157" t="s">
        <v>187</v>
      </c>
      <c r="L76" s="6" t="s">
        <v>4</v>
      </c>
      <c r="M76" s="157" t="s">
        <v>243</v>
      </c>
      <c r="N76" s="147" t="s">
        <v>187</v>
      </c>
    </row>
    <row r="77" spans="1:14">
      <c r="A77" s="29"/>
      <c r="B77" s="104" t="s">
        <v>2</v>
      </c>
      <c r="C77" s="3">
        <v>0.68799999999999994</v>
      </c>
      <c r="D77" s="3">
        <v>0.65</v>
      </c>
      <c r="E77" s="1" t="s">
        <v>3</v>
      </c>
      <c r="F77" s="4" t="s">
        <v>193</v>
      </c>
      <c r="G77" s="1" t="s">
        <v>14</v>
      </c>
      <c r="H77" s="199"/>
      <c r="I77" s="104" t="s">
        <v>2</v>
      </c>
      <c r="J77" s="3">
        <v>0.96209999999999996</v>
      </c>
      <c r="K77" s="3">
        <v>0.98</v>
      </c>
      <c r="L77" s="1" t="s">
        <v>3</v>
      </c>
      <c r="M77" s="4" t="s">
        <v>179</v>
      </c>
      <c r="N77" s="1" t="s">
        <v>14</v>
      </c>
    </row>
    <row r="78" spans="1:14" ht="42.75">
      <c r="A78" s="29"/>
      <c r="B78" s="105" t="s">
        <v>185</v>
      </c>
      <c r="C78" s="3">
        <v>2.0000000000000001E-4</v>
      </c>
      <c r="D78" s="3">
        <v>0</v>
      </c>
      <c r="E78" s="1" t="s">
        <v>4</v>
      </c>
      <c r="F78" s="113" t="s">
        <v>243</v>
      </c>
      <c r="G78" s="145" t="s">
        <v>187</v>
      </c>
      <c r="H78" s="199"/>
      <c r="I78" s="104" t="s">
        <v>186</v>
      </c>
      <c r="J78" s="113" t="s">
        <v>187</v>
      </c>
      <c r="K78" s="113" t="s">
        <v>187</v>
      </c>
      <c r="L78" s="1" t="s">
        <v>4</v>
      </c>
      <c r="M78" s="113" t="s">
        <v>243</v>
      </c>
      <c r="N78" s="145" t="s">
        <v>187</v>
      </c>
    </row>
    <row r="79" spans="1:14" ht="42.75">
      <c r="A79" s="29"/>
      <c r="B79" s="104" t="s">
        <v>170</v>
      </c>
      <c r="C79" s="113">
        <v>0</v>
      </c>
      <c r="D79" s="3">
        <v>0</v>
      </c>
      <c r="E79" s="8" t="s">
        <v>3</v>
      </c>
      <c r="F79" s="132" t="s">
        <v>243</v>
      </c>
      <c r="G79" s="145" t="s">
        <v>187</v>
      </c>
      <c r="H79" s="199"/>
      <c r="I79" s="104" t="s">
        <v>170</v>
      </c>
      <c r="J79" s="113" t="s">
        <v>187</v>
      </c>
      <c r="K79" s="113" t="s">
        <v>187</v>
      </c>
      <c r="L79" s="8" t="s">
        <v>3</v>
      </c>
      <c r="M79" s="132" t="s">
        <v>243</v>
      </c>
      <c r="N79" s="145" t="s">
        <v>187</v>
      </c>
    </row>
    <row r="80" spans="1:14">
      <c r="A80" s="29"/>
      <c r="B80" s="104" t="s">
        <v>10</v>
      </c>
      <c r="C80" s="113">
        <v>0</v>
      </c>
      <c r="D80" s="3">
        <v>0</v>
      </c>
      <c r="E80" s="8" t="s">
        <v>3</v>
      </c>
      <c r="F80" s="132" t="s">
        <v>243</v>
      </c>
      <c r="G80" s="145" t="s">
        <v>187</v>
      </c>
      <c r="H80" s="199"/>
      <c r="I80" s="104" t="s">
        <v>10</v>
      </c>
      <c r="J80" s="113" t="s">
        <v>187</v>
      </c>
      <c r="K80" s="113" t="s">
        <v>187</v>
      </c>
      <c r="L80" s="8" t="s">
        <v>3</v>
      </c>
      <c r="M80" s="132" t="s">
        <v>243</v>
      </c>
      <c r="N80" s="145" t="s">
        <v>187</v>
      </c>
    </row>
    <row r="81" spans="1:14">
      <c r="A81" s="29"/>
      <c r="B81" s="104" t="s">
        <v>12</v>
      </c>
      <c r="C81" s="3">
        <v>7.4899999999999994E-2</v>
      </c>
      <c r="D81" s="3">
        <v>0.05</v>
      </c>
      <c r="E81" s="1" t="s">
        <v>3</v>
      </c>
      <c r="F81" s="9" t="s">
        <v>51</v>
      </c>
      <c r="G81" s="9" t="s">
        <v>18</v>
      </c>
      <c r="H81" s="199"/>
      <c r="I81" s="104" t="s">
        <v>12</v>
      </c>
      <c r="J81" s="3">
        <v>3.6600000000000001E-2</v>
      </c>
      <c r="K81" s="3">
        <v>0.05</v>
      </c>
      <c r="L81" s="1" t="s">
        <v>3</v>
      </c>
      <c r="M81" s="9" t="s">
        <v>51</v>
      </c>
      <c r="N81" s="9" t="s">
        <v>18</v>
      </c>
    </row>
    <row r="82" spans="1:14">
      <c r="A82" s="29"/>
      <c r="B82" s="104" t="s">
        <v>171</v>
      </c>
      <c r="C82" s="113">
        <v>0</v>
      </c>
      <c r="D82" s="3">
        <v>0</v>
      </c>
      <c r="E82" s="1" t="s">
        <v>3</v>
      </c>
      <c r="F82" s="236" t="s">
        <v>243</v>
      </c>
      <c r="G82" s="132" t="s">
        <v>187</v>
      </c>
      <c r="H82" s="199"/>
      <c r="I82" s="104" t="s">
        <v>171</v>
      </c>
      <c r="J82" s="113" t="s">
        <v>187</v>
      </c>
      <c r="K82" s="113" t="s">
        <v>187</v>
      </c>
      <c r="L82" s="1" t="s">
        <v>3</v>
      </c>
      <c r="M82" s="236" t="s">
        <v>243</v>
      </c>
      <c r="N82" s="132" t="s">
        <v>187</v>
      </c>
    </row>
    <row r="83" spans="1:14" ht="15">
      <c r="A83" s="29"/>
      <c r="B83" s="106" t="s">
        <v>5</v>
      </c>
      <c r="C83" s="99">
        <f>SUBTOTAL(109,C75:C82)</f>
        <v>0.99599999999999989</v>
      </c>
      <c r="D83" s="99">
        <f>SUBTOTAL(109,D75:D82)</f>
        <v>1</v>
      </c>
      <c r="E83" s="117" t="s">
        <v>187</v>
      </c>
      <c r="F83" s="118" t="s">
        <v>187</v>
      </c>
      <c r="G83" s="112" t="s">
        <v>187</v>
      </c>
      <c r="H83" s="199"/>
      <c r="I83" s="106" t="s">
        <v>5</v>
      </c>
      <c r="J83" s="99">
        <f>SUBTOTAL(109,J75:J82)</f>
        <v>0.99869999999999992</v>
      </c>
      <c r="K83" s="99">
        <f>SUBTOTAL(109,K75:K82)</f>
        <v>1.03</v>
      </c>
      <c r="L83" s="118" t="s">
        <v>187</v>
      </c>
      <c r="M83" s="118" t="s">
        <v>187</v>
      </c>
      <c r="N83" s="112" t="s">
        <v>187</v>
      </c>
    </row>
    <row r="84" spans="1:14">
      <c r="A84" s="29"/>
      <c r="B84" s="104" t="s">
        <v>6</v>
      </c>
      <c r="C84" s="141">
        <v>0</v>
      </c>
      <c r="D84" s="11">
        <v>0</v>
      </c>
      <c r="E84" s="1" t="s">
        <v>4</v>
      </c>
      <c r="F84" s="132" t="s">
        <v>243</v>
      </c>
      <c r="G84" s="145" t="s">
        <v>187</v>
      </c>
      <c r="H84" s="199"/>
      <c r="I84" s="104" t="s">
        <v>6</v>
      </c>
      <c r="J84" s="141" t="s">
        <v>187</v>
      </c>
      <c r="K84" s="141" t="s">
        <v>187</v>
      </c>
      <c r="L84" s="1" t="s">
        <v>4</v>
      </c>
      <c r="M84" s="132" t="s">
        <v>243</v>
      </c>
      <c r="N84" s="145" t="s">
        <v>187</v>
      </c>
    </row>
    <row r="85" spans="1:14" ht="30">
      <c r="A85" s="29"/>
      <c r="B85" s="106" t="s">
        <v>225</v>
      </c>
      <c r="C85" s="12">
        <v>2E-3</v>
      </c>
      <c r="D85" s="196" t="s">
        <v>187</v>
      </c>
      <c r="E85" s="131" t="s">
        <v>187</v>
      </c>
      <c r="F85" s="131" t="s">
        <v>187</v>
      </c>
      <c r="G85" s="171" t="s">
        <v>187</v>
      </c>
      <c r="H85" s="199"/>
      <c r="I85" s="106" t="s">
        <v>225</v>
      </c>
      <c r="J85" s="12">
        <v>2E-3</v>
      </c>
      <c r="K85" s="196" t="s">
        <v>187</v>
      </c>
      <c r="L85" s="131" t="s">
        <v>187</v>
      </c>
      <c r="M85" s="131" t="s">
        <v>187</v>
      </c>
      <c r="N85" s="171" t="s">
        <v>187</v>
      </c>
    </row>
    <row r="86" spans="1:14" ht="21" customHeight="1">
      <c r="A86" s="70"/>
      <c r="B86" s="72"/>
      <c r="C86" s="73"/>
      <c r="D86" s="74"/>
      <c r="E86" s="73"/>
      <c r="F86" s="73"/>
      <c r="G86" s="173"/>
      <c r="H86" s="197"/>
      <c r="I86" s="76"/>
      <c r="J86" s="77"/>
      <c r="K86" s="78"/>
      <c r="L86" s="77"/>
      <c r="M86" s="77"/>
      <c r="N86" s="174"/>
    </row>
    <row r="87" spans="1:14" ht="64.5" customHeight="1">
      <c r="A87" s="42" t="s">
        <v>92</v>
      </c>
      <c r="B87" s="36" t="s">
        <v>150</v>
      </c>
      <c r="C87" s="37"/>
      <c r="D87" s="38"/>
      <c r="E87" s="82"/>
      <c r="F87" s="82"/>
      <c r="G87" s="170"/>
      <c r="H87" s="200" t="s">
        <v>92</v>
      </c>
      <c r="I87" s="36" t="s">
        <v>151</v>
      </c>
      <c r="J87" s="37"/>
      <c r="K87" s="38"/>
      <c r="L87" s="39"/>
      <c r="M87" s="39"/>
      <c r="N87" s="170"/>
    </row>
    <row r="88" spans="1:14" ht="51.75" customHeight="1">
      <c r="A88" s="43"/>
      <c r="B88" s="119" t="s">
        <v>0</v>
      </c>
      <c r="C88" s="120" t="s">
        <v>220</v>
      </c>
      <c r="D88" s="120" t="s">
        <v>198</v>
      </c>
      <c r="E88" s="121" t="s">
        <v>22</v>
      </c>
      <c r="F88" s="121" t="s">
        <v>20</v>
      </c>
      <c r="G88" s="121" t="s">
        <v>35</v>
      </c>
      <c r="H88" s="201"/>
      <c r="I88" s="119" t="s">
        <v>0</v>
      </c>
      <c r="J88" s="120" t="s">
        <v>220</v>
      </c>
      <c r="K88" s="120" t="s">
        <v>198</v>
      </c>
      <c r="L88" s="121" t="s">
        <v>22</v>
      </c>
      <c r="M88" s="121" t="s">
        <v>20</v>
      </c>
      <c r="N88" s="121" t="s">
        <v>35</v>
      </c>
    </row>
    <row r="89" spans="1:14" ht="15.75">
      <c r="A89" s="43"/>
      <c r="B89" s="104" t="s">
        <v>169</v>
      </c>
      <c r="C89" s="5">
        <v>0.28060000000000002</v>
      </c>
      <c r="D89" s="5">
        <v>0.3</v>
      </c>
      <c r="E89" s="143" t="s">
        <v>187</v>
      </c>
      <c r="F89" s="144" t="s">
        <v>187</v>
      </c>
      <c r="G89" s="144" t="s">
        <v>187</v>
      </c>
      <c r="H89" s="201"/>
      <c r="I89" s="154" t="s">
        <v>187</v>
      </c>
      <c r="J89" s="155" t="s">
        <v>187</v>
      </c>
      <c r="K89" s="155" t="s">
        <v>187</v>
      </c>
      <c r="L89" s="144" t="s">
        <v>187</v>
      </c>
      <c r="M89" s="144" t="s">
        <v>187</v>
      </c>
      <c r="N89" s="144" t="s">
        <v>187</v>
      </c>
    </row>
    <row r="90" spans="1:14" ht="71.25">
      <c r="A90" s="43"/>
      <c r="B90" s="104" t="s">
        <v>138</v>
      </c>
      <c r="C90" s="5">
        <v>0.42370000000000002</v>
      </c>
      <c r="D90" s="5">
        <v>0.42</v>
      </c>
      <c r="E90" s="6" t="s">
        <v>23</v>
      </c>
      <c r="F90" s="7" t="s">
        <v>215</v>
      </c>
      <c r="G90" s="6" t="s">
        <v>218</v>
      </c>
      <c r="H90" s="201"/>
      <c r="I90" s="104" t="s">
        <v>228</v>
      </c>
      <c r="J90" s="5">
        <v>0.4521</v>
      </c>
      <c r="K90" s="5">
        <v>0.46</v>
      </c>
      <c r="L90" s="6" t="s">
        <v>23</v>
      </c>
      <c r="M90" s="7" t="s">
        <v>48</v>
      </c>
      <c r="N90" s="6" t="s">
        <v>218</v>
      </c>
    </row>
    <row r="91" spans="1:14">
      <c r="A91" s="43"/>
      <c r="B91" s="104" t="s">
        <v>2</v>
      </c>
      <c r="C91" s="3">
        <v>0.11990000000000001</v>
      </c>
      <c r="D91" s="3">
        <v>0.12</v>
      </c>
      <c r="E91" s="1" t="s">
        <v>24</v>
      </c>
      <c r="F91" s="4" t="s">
        <v>216</v>
      </c>
      <c r="G91" s="1" t="s">
        <v>14</v>
      </c>
      <c r="H91" s="201"/>
      <c r="I91" s="104" t="s">
        <v>2</v>
      </c>
      <c r="J91" s="3">
        <v>0.29709999999999998</v>
      </c>
      <c r="K91" s="3">
        <v>0.3</v>
      </c>
      <c r="L91" s="1" t="s">
        <v>24</v>
      </c>
      <c r="M91" s="4" t="s">
        <v>60</v>
      </c>
      <c r="N91" s="1" t="s">
        <v>14</v>
      </c>
    </row>
    <row r="92" spans="1:14" ht="28.5">
      <c r="A92" s="45"/>
      <c r="B92" s="105" t="s">
        <v>137</v>
      </c>
      <c r="C92" s="3">
        <v>0.23080000000000001</v>
      </c>
      <c r="D92" s="3">
        <v>0.23</v>
      </c>
      <c r="E92" s="1" t="s">
        <v>23</v>
      </c>
      <c r="F92" s="4" t="s">
        <v>47</v>
      </c>
      <c r="G92" s="1" t="s">
        <v>15</v>
      </c>
      <c r="H92" s="201"/>
      <c r="I92" s="104" t="s">
        <v>137</v>
      </c>
      <c r="J92" s="3">
        <v>0.2959</v>
      </c>
      <c r="K92" s="3">
        <v>0.31</v>
      </c>
      <c r="L92" s="1" t="s">
        <v>23</v>
      </c>
      <c r="M92" s="4" t="s">
        <v>180</v>
      </c>
      <c r="N92" s="1" t="s">
        <v>15</v>
      </c>
    </row>
    <row r="93" spans="1:14">
      <c r="A93" s="45"/>
      <c r="B93" s="104" t="s">
        <v>12</v>
      </c>
      <c r="C93" s="3">
        <v>0.16589999999999999</v>
      </c>
      <c r="D93" s="3">
        <v>0.15</v>
      </c>
      <c r="E93" s="1" t="s">
        <v>24</v>
      </c>
      <c r="F93" s="9" t="s">
        <v>52</v>
      </c>
      <c r="G93" s="9" t="s">
        <v>18</v>
      </c>
      <c r="H93" s="201"/>
      <c r="I93" s="104" t="s">
        <v>12</v>
      </c>
      <c r="J93" s="3">
        <v>8.8400000000000006E-2</v>
      </c>
      <c r="K93" s="3">
        <v>0.05</v>
      </c>
      <c r="L93" s="1" t="s">
        <v>24</v>
      </c>
      <c r="M93" s="9" t="s">
        <v>51</v>
      </c>
      <c r="N93" s="9" t="s">
        <v>18</v>
      </c>
    </row>
    <row r="94" spans="1:14" ht="15">
      <c r="A94" s="45"/>
      <c r="B94" s="106" t="s">
        <v>5</v>
      </c>
      <c r="C94" s="27">
        <f>SUBTOTAL(109,C89:C93)</f>
        <v>1.2209000000000001</v>
      </c>
      <c r="D94" s="99">
        <f>SUBTOTAL(109,D89:D93)</f>
        <v>1.22</v>
      </c>
      <c r="E94" s="117" t="s">
        <v>187</v>
      </c>
      <c r="F94" s="118" t="s">
        <v>187</v>
      </c>
      <c r="G94" s="112" t="s">
        <v>187</v>
      </c>
      <c r="H94" s="201"/>
      <c r="I94" s="106" t="s">
        <v>5</v>
      </c>
      <c r="J94" s="27">
        <f>SUBTOTAL(109,J89:J93)</f>
        <v>1.1335</v>
      </c>
      <c r="K94" s="27">
        <f>SUBTOTAL(109,K89:K93)</f>
        <v>1.1200000000000001</v>
      </c>
      <c r="L94" s="118" t="s">
        <v>187</v>
      </c>
      <c r="M94" s="40" t="s">
        <v>175</v>
      </c>
      <c r="N94" s="112" t="s">
        <v>187</v>
      </c>
    </row>
    <row r="95" spans="1:14">
      <c r="A95" s="45"/>
      <c r="B95" s="104" t="s">
        <v>6</v>
      </c>
      <c r="C95" s="11">
        <v>0.16209999999999999</v>
      </c>
      <c r="D95" s="11">
        <v>0.18</v>
      </c>
      <c r="E95" s="1" t="s">
        <v>23</v>
      </c>
      <c r="F95" s="9" t="s">
        <v>203</v>
      </c>
      <c r="G95" s="1" t="s">
        <v>19</v>
      </c>
      <c r="H95" s="201"/>
      <c r="I95" s="104" t="s">
        <v>6</v>
      </c>
      <c r="J95" s="11">
        <v>0.1678</v>
      </c>
      <c r="K95" s="11">
        <v>0.18</v>
      </c>
      <c r="L95" s="1" t="s">
        <v>23</v>
      </c>
      <c r="M95" s="9" t="s">
        <v>203</v>
      </c>
      <c r="N95" s="1" t="s">
        <v>19</v>
      </c>
    </row>
    <row r="96" spans="1:14" ht="30">
      <c r="A96" s="45"/>
      <c r="B96" s="106" t="s">
        <v>225</v>
      </c>
      <c r="C96" s="12">
        <v>1.5E-3</v>
      </c>
      <c r="D96" s="138" t="s">
        <v>187</v>
      </c>
      <c r="E96" s="139" t="s">
        <v>187</v>
      </c>
      <c r="F96" s="140" t="s">
        <v>187</v>
      </c>
      <c r="G96" s="171" t="s">
        <v>187</v>
      </c>
      <c r="H96" s="201"/>
      <c r="I96" s="106" t="s">
        <v>225</v>
      </c>
      <c r="J96" s="12">
        <v>1.5E-3</v>
      </c>
      <c r="K96" s="138" t="s">
        <v>187</v>
      </c>
      <c r="L96" s="140" t="s">
        <v>187</v>
      </c>
      <c r="M96" s="140" t="s">
        <v>187</v>
      </c>
      <c r="N96" s="171" t="s">
        <v>187</v>
      </c>
    </row>
    <row r="97" spans="1:14" ht="21" customHeight="1">
      <c r="A97" s="70"/>
      <c r="B97" s="72"/>
      <c r="C97" s="73"/>
      <c r="D97" s="74"/>
      <c r="E97" s="73"/>
      <c r="F97" s="73"/>
      <c r="G97" s="173"/>
      <c r="H97" s="197"/>
      <c r="I97" s="76"/>
      <c r="J97" s="77"/>
      <c r="K97" s="78"/>
      <c r="L97" s="77"/>
      <c r="M97" s="77"/>
      <c r="N97" s="174"/>
    </row>
    <row r="98" spans="1:14" ht="64.5" customHeight="1">
      <c r="A98" s="42" t="s">
        <v>82</v>
      </c>
      <c r="B98" s="36" t="s">
        <v>152</v>
      </c>
      <c r="C98" s="37"/>
      <c r="D98" s="38"/>
      <c r="E98" s="37"/>
      <c r="F98" s="37"/>
      <c r="G98" s="170"/>
      <c r="H98" s="200" t="s">
        <v>82</v>
      </c>
      <c r="I98" s="36" t="s">
        <v>153</v>
      </c>
      <c r="J98" s="37"/>
      <c r="K98" s="38"/>
      <c r="L98" s="39" t="s">
        <v>184</v>
      </c>
      <c r="M98" s="37"/>
      <c r="N98" s="170"/>
    </row>
    <row r="99" spans="1:14" ht="51.75" customHeight="1">
      <c r="A99" s="43"/>
      <c r="B99" s="119" t="s">
        <v>0</v>
      </c>
      <c r="C99" s="120" t="s">
        <v>220</v>
      </c>
      <c r="D99" s="120" t="s">
        <v>198</v>
      </c>
      <c r="E99" s="121" t="s">
        <v>22</v>
      </c>
      <c r="F99" s="121" t="s">
        <v>20</v>
      </c>
      <c r="G99" s="121" t="s">
        <v>35</v>
      </c>
      <c r="H99" s="201"/>
      <c r="I99" s="119" t="s">
        <v>0</v>
      </c>
      <c r="J99" s="120" t="s">
        <v>220</v>
      </c>
      <c r="K99" s="120" t="s">
        <v>198</v>
      </c>
      <c r="L99" s="121" t="s">
        <v>22</v>
      </c>
      <c r="M99" s="121" t="s">
        <v>20</v>
      </c>
      <c r="N99" s="121" t="s">
        <v>35</v>
      </c>
    </row>
    <row r="100" spans="1:14" ht="15.75">
      <c r="A100" s="43"/>
      <c r="B100" s="2" t="s">
        <v>169</v>
      </c>
      <c r="C100" s="5">
        <v>0.2757</v>
      </c>
      <c r="D100" s="5">
        <v>0.3</v>
      </c>
      <c r="E100" s="143" t="s">
        <v>187</v>
      </c>
      <c r="F100" s="144" t="s">
        <v>187</v>
      </c>
      <c r="G100" s="144" t="s">
        <v>187</v>
      </c>
      <c r="H100" s="201"/>
      <c r="I100" s="156" t="s">
        <v>187</v>
      </c>
      <c r="J100" s="155" t="s">
        <v>187</v>
      </c>
      <c r="K100" s="155" t="s">
        <v>187</v>
      </c>
      <c r="L100" s="144" t="s">
        <v>187</v>
      </c>
      <c r="M100" s="144" t="s">
        <v>187</v>
      </c>
      <c r="N100" s="144" t="s">
        <v>187</v>
      </c>
    </row>
    <row r="101" spans="1:14" ht="71.25">
      <c r="A101" s="43"/>
      <c r="B101" s="2" t="s">
        <v>138</v>
      </c>
      <c r="C101" s="5">
        <v>0.70889999999999997</v>
      </c>
      <c r="D101" s="5">
        <v>0.7</v>
      </c>
      <c r="E101" s="6" t="s">
        <v>23</v>
      </c>
      <c r="F101" s="7" t="s">
        <v>192</v>
      </c>
      <c r="G101" s="6" t="s">
        <v>218</v>
      </c>
      <c r="H101" s="201"/>
      <c r="I101" s="2" t="s">
        <v>228</v>
      </c>
      <c r="J101" s="5">
        <v>0.96550000000000002</v>
      </c>
      <c r="K101" s="5">
        <v>0.94</v>
      </c>
      <c r="L101" s="6" t="s">
        <v>23</v>
      </c>
      <c r="M101" s="7" t="s">
        <v>98</v>
      </c>
      <c r="N101" s="6" t="s">
        <v>218</v>
      </c>
    </row>
    <row r="102" spans="1:14">
      <c r="A102" s="44"/>
      <c r="B102" s="2" t="s">
        <v>2</v>
      </c>
      <c r="C102" s="3">
        <v>0.17580000000000001</v>
      </c>
      <c r="D102" s="3">
        <v>0.17</v>
      </c>
      <c r="E102" s="1" t="s">
        <v>24</v>
      </c>
      <c r="F102" s="4" t="s">
        <v>178</v>
      </c>
      <c r="G102" s="1" t="s">
        <v>14</v>
      </c>
      <c r="H102" s="201"/>
      <c r="I102" s="2" t="s">
        <v>2</v>
      </c>
      <c r="J102" s="3">
        <v>0.32119999999999999</v>
      </c>
      <c r="K102" s="3">
        <v>0.32</v>
      </c>
      <c r="L102" s="1" t="s">
        <v>24</v>
      </c>
      <c r="M102" s="4" t="s">
        <v>217</v>
      </c>
      <c r="N102" s="1" t="s">
        <v>14</v>
      </c>
    </row>
    <row r="103" spans="1:14" ht="28.5">
      <c r="A103" s="45"/>
      <c r="B103" s="69" t="s">
        <v>137</v>
      </c>
      <c r="C103" s="3">
        <v>2.6700000000000002E-2</v>
      </c>
      <c r="D103" s="3">
        <v>0.06</v>
      </c>
      <c r="E103" s="1" t="s">
        <v>23</v>
      </c>
      <c r="F103" s="4" t="s">
        <v>58</v>
      </c>
      <c r="G103" s="1" t="s">
        <v>15</v>
      </c>
      <c r="H103" s="201"/>
      <c r="I103" s="2" t="s">
        <v>137</v>
      </c>
      <c r="J103" s="3">
        <v>5.6000000000000001E-2</v>
      </c>
      <c r="K103" s="3">
        <v>0.06</v>
      </c>
      <c r="L103" s="1" t="s">
        <v>23</v>
      </c>
      <c r="M103" s="4" t="s">
        <v>58</v>
      </c>
      <c r="N103" s="1" t="s">
        <v>15</v>
      </c>
    </row>
    <row r="104" spans="1:14">
      <c r="A104" s="45"/>
      <c r="B104" s="2" t="s">
        <v>12</v>
      </c>
      <c r="C104" s="3">
        <v>0.18049999999999999</v>
      </c>
      <c r="D104" s="3">
        <v>0.15</v>
      </c>
      <c r="E104" s="1" t="s">
        <v>24</v>
      </c>
      <c r="F104" s="9" t="s">
        <v>52</v>
      </c>
      <c r="G104" s="9" t="s">
        <v>18</v>
      </c>
      <c r="H104" s="201"/>
      <c r="I104" s="2" t="s">
        <v>12</v>
      </c>
      <c r="J104" s="3">
        <v>0.19209999999999999</v>
      </c>
      <c r="K104" s="3">
        <v>0.15</v>
      </c>
      <c r="L104" s="1" t="s">
        <v>24</v>
      </c>
      <c r="M104" s="9" t="s">
        <v>52</v>
      </c>
      <c r="N104" s="9" t="s">
        <v>18</v>
      </c>
    </row>
    <row r="105" spans="1:14" ht="15">
      <c r="A105" s="45"/>
      <c r="B105" s="26" t="s">
        <v>5</v>
      </c>
      <c r="C105" s="27">
        <f>SUBTOTAL(109,C100:C104)</f>
        <v>1.3675999999999999</v>
      </c>
      <c r="D105" s="27">
        <f>SUBTOTAL(109,D100:D104)</f>
        <v>1.38</v>
      </c>
      <c r="E105" s="117" t="s">
        <v>187</v>
      </c>
      <c r="F105" s="40" t="s">
        <v>175</v>
      </c>
      <c r="G105" s="112" t="s">
        <v>187</v>
      </c>
      <c r="H105" s="201"/>
      <c r="I105" s="26" t="s">
        <v>5</v>
      </c>
      <c r="J105" s="27">
        <f>SUBTOTAL(109,J100:J104)</f>
        <v>1.5347999999999999</v>
      </c>
      <c r="K105" s="99">
        <f>SUBTOTAL(109,K100:K104)</f>
        <v>1.47</v>
      </c>
      <c r="L105" s="118" t="s">
        <v>187</v>
      </c>
      <c r="M105" s="118" t="s">
        <v>187</v>
      </c>
      <c r="N105" s="112" t="s">
        <v>187</v>
      </c>
    </row>
    <row r="106" spans="1:14">
      <c r="A106" s="45"/>
      <c r="B106" s="2" t="s">
        <v>6</v>
      </c>
      <c r="C106" s="11">
        <v>0.18990000000000001</v>
      </c>
      <c r="D106" s="11">
        <v>0.18</v>
      </c>
      <c r="E106" s="1" t="s">
        <v>23</v>
      </c>
      <c r="F106" s="9" t="s">
        <v>203</v>
      </c>
      <c r="G106" s="1" t="s">
        <v>19</v>
      </c>
      <c r="H106" s="201"/>
      <c r="I106" s="2" t="s">
        <v>6</v>
      </c>
      <c r="J106" s="11">
        <v>0.20599999999999999</v>
      </c>
      <c r="K106" s="11">
        <v>0.18</v>
      </c>
      <c r="L106" s="1" t="s">
        <v>23</v>
      </c>
      <c r="M106" s="9" t="s">
        <v>203</v>
      </c>
      <c r="N106" s="1" t="s">
        <v>19</v>
      </c>
    </row>
    <row r="107" spans="1:14" ht="30">
      <c r="A107" s="45"/>
      <c r="B107" s="106" t="s">
        <v>225</v>
      </c>
      <c r="C107" s="12">
        <v>1.5E-3</v>
      </c>
      <c r="D107" s="138" t="s">
        <v>187</v>
      </c>
      <c r="E107" s="139" t="s">
        <v>187</v>
      </c>
      <c r="F107" s="140" t="s">
        <v>187</v>
      </c>
      <c r="G107" s="171" t="s">
        <v>187</v>
      </c>
      <c r="H107" s="201"/>
      <c r="I107" s="106" t="s">
        <v>225</v>
      </c>
      <c r="J107" s="12">
        <v>1.5E-3</v>
      </c>
      <c r="K107" s="138" t="s">
        <v>187</v>
      </c>
      <c r="L107" s="140" t="s">
        <v>187</v>
      </c>
      <c r="M107" s="140" t="s">
        <v>187</v>
      </c>
      <c r="N107" s="171" t="s">
        <v>187</v>
      </c>
    </row>
    <row r="108" spans="1:14" ht="21" customHeight="1">
      <c r="A108" s="70"/>
      <c r="B108" s="72"/>
      <c r="C108" s="73"/>
      <c r="D108" s="74"/>
      <c r="E108" s="73"/>
      <c r="F108" s="73"/>
      <c r="G108" s="173"/>
      <c r="H108" s="197"/>
      <c r="I108" s="76"/>
      <c r="J108" s="77"/>
      <c r="K108" s="78"/>
      <c r="L108" s="77"/>
      <c r="M108" s="77"/>
      <c r="N108" s="174"/>
    </row>
    <row r="109" spans="1:14" ht="64.5" customHeight="1">
      <c r="A109" s="42" t="s">
        <v>83</v>
      </c>
      <c r="B109" s="36" t="s">
        <v>154</v>
      </c>
      <c r="C109" s="37"/>
      <c r="D109" s="38"/>
      <c r="E109" s="82"/>
      <c r="F109" s="37"/>
      <c r="G109" s="170"/>
      <c r="H109" s="200" t="s">
        <v>83</v>
      </c>
      <c r="I109" s="36" t="s">
        <v>155</v>
      </c>
      <c r="J109" s="37"/>
      <c r="K109" s="38"/>
      <c r="L109" s="39"/>
      <c r="M109" s="37"/>
      <c r="N109" s="170"/>
    </row>
    <row r="110" spans="1:14" ht="51.75" customHeight="1">
      <c r="A110" s="43"/>
      <c r="B110" s="119" t="s">
        <v>0</v>
      </c>
      <c r="C110" s="120" t="s">
        <v>220</v>
      </c>
      <c r="D110" s="120" t="s">
        <v>198</v>
      </c>
      <c r="E110" s="121" t="s">
        <v>22</v>
      </c>
      <c r="F110" s="121" t="s">
        <v>20</v>
      </c>
      <c r="G110" s="121" t="s">
        <v>35</v>
      </c>
      <c r="H110" s="201"/>
      <c r="I110" s="119" t="s">
        <v>0</v>
      </c>
      <c r="J110" s="120" t="s">
        <v>220</v>
      </c>
      <c r="K110" s="120" t="s">
        <v>198</v>
      </c>
      <c r="L110" s="121" t="s">
        <v>22</v>
      </c>
      <c r="M110" s="121" t="s">
        <v>20</v>
      </c>
      <c r="N110" s="121" t="s">
        <v>35</v>
      </c>
    </row>
    <row r="111" spans="1:14" ht="15.75">
      <c r="A111" s="43"/>
      <c r="B111" s="2" t="s">
        <v>169</v>
      </c>
      <c r="C111" s="5">
        <v>0.28270000000000001</v>
      </c>
      <c r="D111" s="5">
        <v>0.3</v>
      </c>
      <c r="E111" s="143" t="s">
        <v>187</v>
      </c>
      <c r="F111" s="144" t="s">
        <v>187</v>
      </c>
      <c r="G111" s="144" t="s">
        <v>187</v>
      </c>
      <c r="H111" s="201"/>
      <c r="I111" s="156" t="s">
        <v>187</v>
      </c>
      <c r="J111" s="155" t="s">
        <v>187</v>
      </c>
      <c r="K111" s="155" t="s">
        <v>187</v>
      </c>
      <c r="L111" s="144" t="s">
        <v>187</v>
      </c>
      <c r="M111" s="144" t="s">
        <v>187</v>
      </c>
      <c r="N111" s="144" t="s">
        <v>187</v>
      </c>
    </row>
    <row r="112" spans="1:14" ht="71.25">
      <c r="A112" s="43"/>
      <c r="B112" s="2" t="s">
        <v>138</v>
      </c>
      <c r="C112" s="5">
        <v>3.2599999999999997E-2</v>
      </c>
      <c r="D112" s="5">
        <v>0.06</v>
      </c>
      <c r="E112" s="6" t="s">
        <v>23</v>
      </c>
      <c r="F112" s="7" t="s">
        <v>58</v>
      </c>
      <c r="G112" s="6" t="s">
        <v>218</v>
      </c>
      <c r="H112" s="201"/>
      <c r="I112" s="2" t="s">
        <v>228</v>
      </c>
      <c r="J112" s="5">
        <v>2.5999999999999999E-2</v>
      </c>
      <c r="K112" s="5">
        <v>0.06</v>
      </c>
      <c r="L112" s="6" t="s">
        <v>23</v>
      </c>
      <c r="M112" s="7" t="s">
        <v>58</v>
      </c>
      <c r="N112" s="6" t="s">
        <v>218</v>
      </c>
    </row>
    <row r="113" spans="1:14">
      <c r="A113" s="44"/>
      <c r="B113" s="2" t="s">
        <v>2</v>
      </c>
      <c r="C113" s="3">
        <v>0.152</v>
      </c>
      <c r="D113" s="3">
        <v>0.15</v>
      </c>
      <c r="E113" s="1" t="s">
        <v>24</v>
      </c>
      <c r="F113" s="4" t="s">
        <v>52</v>
      </c>
      <c r="G113" s="1" t="s">
        <v>14</v>
      </c>
      <c r="H113" s="201"/>
      <c r="I113" s="2" t="s">
        <v>2</v>
      </c>
      <c r="J113" s="3">
        <v>0.25390000000000001</v>
      </c>
      <c r="K113" s="3">
        <v>0.25</v>
      </c>
      <c r="L113" s="1" t="s">
        <v>24</v>
      </c>
      <c r="M113" s="4" t="s">
        <v>54</v>
      </c>
      <c r="N113" s="1" t="s">
        <v>14</v>
      </c>
    </row>
    <row r="114" spans="1:14" ht="28.5">
      <c r="A114" s="45"/>
      <c r="B114" s="69" t="s">
        <v>137</v>
      </c>
      <c r="C114" s="3">
        <v>0.47239999999999999</v>
      </c>
      <c r="D114" s="3">
        <v>0.5</v>
      </c>
      <c r="E114" s="1" t="s">
        <v>23</v>
      </c>
      <c r="F114" s="4" t="s">
        <v>91</v>
      </c>
      <c r="G114" s="1" t="s">
        <v>15</v>
      </c>
      <c r="H114" s="201"/>
      <c r="I114" s="2" t="s">
        <v>137</v>
      </c>
      <c r="J114" s="3">
        <v>0.66200000000000003</v>
      </c>
      <c r="K114" s="3">
        <v>0.7</v>
      </c>
      <c r="L114" s="1" t="s">
        <v>23</v>
      </c>
      <c r="M114" s="4" t="s">
        <v>86</v>
      </c>
      <c r="N114" s="1" t="s">
        <v>15</v>
      </c>
    </row>
    <row r="115" spans="1:14">
      <c r="A115" s="45"/>
      <c r="B115" s="2" t="s">
        <v>12</v>
      </c>
      <c r="C115" s="3">
        <v>6.3299999999999995E-2</v>
      </c>
      <c r="D115" s="3">
        <v>0.1</v>
      </c>
      <c r="E115" s="1" t="s">
        <v>24</v>
      </c>
      <c r="F115" s="9" t="s">
        <v>49</v>
      </c>
      <c r="G115" s="9" t="s">
        <v>18</v>
      </c>
      <c r="H115" s="201"/>
      <c r="I115" s="2" t="s">
        <v>12</v>
      </c>
      <c r="J115" s="3">
        <v>5.8099999999999999E-2</v>
      </c>
      <c r="K115" s="3">
        <v>0.05</v>
      </c>
      <c r="L115" s="1" t="s">
        <v>24</v>
      </c>
      <c r="M115" s="9" t="s">
        <v>51</v>
      </c>
      <c r="N115" s="9" t="s">
        <v>18</v>
      </c>
    </row>
    <row r="116" spans="1:14" ht="15">
      <c r="A116" s="45"/>
      <c r="B116" s="26" t="s">
        <v>5</v>
      </c>
      <c r="C116" s="27">
        <f>SUBTOTAL(109,C111:C115)</f>
        <v>1.0029999999999999</v>
      </c>
      <c r="D116" s="27">
        <f>SUBTOTAL(109,D111:D115)</f>
        <v>1.1100000000000001</v>
      </c>
      <c r="E116" s="117" t="s">
        <v>187</v>
      </c>
      <c r="F116" s="118" t="s">
        <v>187</v>
      </c>
      <c r="G116" s="112" t="s">
        <v>187</v>
      </c>
      <c r="H116" s="201"/>
      <c r="I116" s="26" t="s">
        <v>5</v>
      </c>
      <c r="J116" s="27">
        <f>SUBTOTAL(109,J111:J115)</f>
        <v>1</v>
      </c>
      <c r="K116" s="27">
        <f>SUBTOTAL(109,K111:K115)</f>
        <v>1.06</v>
      </c>
      <c r="L116" s="118" t="s">
        <v>187</v>
      </c>
      <c r="M116" s="118" t="s">
        <v>187</v>
      </c>
      <c r="N116" s="112" t="s">
        <v>187</v>
      </c>
    </row>
    <row r="117" spans="1:14">
      <c r="A117" s="45"/>
      <c r="B117" s="2" t="s">
        <v>6</v>
      </c>
      <c r="C117" s="11">
        <v>3.3700000000000001E-2</v>
      </c>
      <c r="D117" s="11">
        <v>0.06</v>
      </c>
      <c r="E117" s="1" t="s">
        <v>23</v>
      </c>
      <c r="F117" s="9" t="s">
        <v>58</v>
      </c>
      <c r="G117" s="1" t="s">
        <v>19</v>
      </c>
      <c r="H117" s="201"/>
      <c r="I117" s="2" t="s">
        <v>6</v>
      </c>
      <c r="J117" s="11">
        <v>3.73E-2</v>
      </c>
      <c r="K117" s="11">
        <v>0.08</v>
      </c>
      <c r="L117" s="1" t="s">
        <v>23</v>
      </c>
      <c r="M117" s="9" t="s">
        <v>59</v>
      </c>
      <c r="N117" s="1" t="s">
        <v>19</v>
      </c>
    </row>
    <row r="118" spans="1:14" ht="30">
      <c r="A118" s="45"/>
      <c r="B118" s="106" t="s">
        <v>225</v>
      </c>
      <c r="C118" s="12">
        <v>1.5E-3</v>
      </c>
      <c r="D118" s="138" t="s">
        <v>187</v>
      </c>
      <c r="E118" s="139" t="s">
        <v>187</v>
      </c>
      <c r="F118" s="140" t="s">
        <v>187</v>
      </c>
      <c r="G118" s="171" t="s">
        <v>187</v>
      </c>
      <c r="H118" s="201"/>
      <c r="I118" s="106" t="s">
        <v>225</v>
      </c>
      <c r="J118" s="12">
        <v>1.5E-3</v>
      </c>
      <c r="K118" s="138" t="s">
        <v>187</v>
      </c>
      <c r="L118" s="140" t="s">
        <v>187</v>
      </c>
      <c r="M118" s="140" t="s">
        <v>187</v>
      </c>
      <c r="N118" s="171" t="s">
        <v>187</v>
      </c>
    </row>
    <row r="119" spans="1:14" ht="21" customHeight="1">
      <c r="A119" s="70"/>
      <c r="B119" s="72"/>
      <c r="C119" s="73"/>
      <c r="D119" s="74"/>
      <c r="E119" s="73"/>
      <c r="F119" s="73"/>
      <c r="G119" s="173"/>
      <c r="H119" s="197"/>
      <c r="I119" s="76"/>
      <c r="J119" s="77"/>
      <c r="K119" s="78"/>
      <c r="L119" s="77"/>
      <c r="M119" s="77"/>
      <c r="N119" s="174"/>
    </row>
    <row r="120" spans="1:14" ht="51.75" customHeight="1">
      <c r="A120" s="46" t="s">
        <v>93</v>
      </c>
      <c r="B120" s="36" t="s">
        <v>156</v>
      </c>
      <c r="C120" s="37"/>
      <c r="D120" s="38"/>
      <c r="E120" s="82"/>
      <c r="F120" s="37"/>
      <c r="G120" s="170"/>
      <c r="H120" s="202" t="s">
        <v>93</v>
      </c>
      <c r="I120" s="36" t="s">
        <v>157</v>
      </c>
      <c r="J120" s="37"/>
      <c r="K120" s="38"/>
      <c r="L120" s="39"/>
      <c r="M120" s="37"/>
      <c r="N120" s="170"/>
    </row>
    <row r="121" spans="1:14" ht="51.75" customHeight="1">
      <c r="A121" s="47"/>
      <c r="B121" s="119" t="s">
        <v>0</v>
      </c>
      <c r="C121" s="120" t="s">
        <v>220</v>
      </c>
      <c r="D121" s="120" t="s">
        <v>198</v>
      </c>
      <c r="E121" s="121" t="s">
        <v>22</v>
      </c>
      <c r="F121" s="121" t="s">
        <v>20</v>
      </c>
      <c r="G121" s="121" t="s">
        <v>35</v>
      </c>
      <c r="H121" s="203"/>
      <c r="I121" s="119" t="s">
        <v>0</v>
      </c>
      <c r="J121" s="120" t="s">
        <v>220</v>
      </c>
      <c r="K121" s="120" t="s">
        <v>198</v>
      </c>
      <c r="L121" s="121" t="s">
        <v>22</v>
      </c>
      <c r="M121" s="121" t="s">
        <v>20</v>
      </c>
      <c r="N121" s="121" t="s">
        <v>35</v>
      </c>
    </row>
    <row r="122" spans="1:14" ht="15.75">
      <c r="A122" s="47"/>
      <c r="B122" s="104" t="s">
        <v>169</v>
      </c>
      <c r="C122" s="5" t="s">
        <v>233</v>
      </c>
      <c r="D122" s="5" t="s">
        <v>195</v>
      </c>
      <c r="E122" s="143" t="s">
        <v>187</v>
      </c>
      <c r="F122" s="144" t="s">
        <v>188</v>
      </c>
      <c r="G122" s="144" t="s">
        <v>196</v>
      </c>
      <c r="H122" s="203"/>
      <c r="I122" s="154" t="s">
        <v>187</v>
      </c>
      <c r="J122" s="155" t="s">
        <v>187</v>
      </c>
      <c r="K122" s="155" t="s">
        <v>187</v>
      </c>
      <c r="L122" s="144" t="s">
        <v>187</v>
      </c>
      <c r="M122" s="144" t="s">
        <v>187</v>
      </c>
      <c r="N122" s="144" t="s">
        <v>187</v>
      </c>
    </row>
    <row r="123" spans="1:14" ht="28.5">
      <c r="A123" s="47"/>
      <c r="B123" s="104" t="s">
        <v>138</v>
      </c>
      <c r="C123" s="5">
        <v>0.35039999999999999</v>
      </c>
      <c r="D123" s="5">
        <v>0.35</v>
      </c>
      <c r="E123" s="6" t="s">
        <v>23</v>
      </c>
      <c r="F123" s="7" t="s">
        <v>118</v>
      </c>
      <c r="G123" s="52" t="s">
        <v>27</v>
      </c>
      <c r="H123" s="203"/>
      <c r="I123" s="104" t="s">
        <v>228</v>
      </c>
      <c r="J123" s="5">
        <v>0.48180000000000001</v>
      </c>
      <c r="K123" s="5">
        <v>0.46</v>
      </c>
      <c r="L123" s="6" t="s">
        <v>23</v>
      </c>
      <c r="M123" s="7" t="s">
        <v>48</v>
      </c>
      <c r="N123" s="52" t="s">
        <v>27</v>
      </c>
    </row>
    <row r="124" spans="1:14">
      <c r="A124" s="47"/>
      <c r="B124" s="104" t="s">
        <v>2</v>
      </c>
      <c r="C124" s="3">
        <v>0.1638</v>
      </c>
      <c r="D124" s="3">
        <v>0.2</v>
      </c>
      <c r="E124" s="1" t="s">
        <v>24</v>
      </c>
      <c r="F124" s="4" t="s">
        <v>131</v>
      </c>
      <c r="G124" s="9" t="s">
        <v>28</v>
      </c>
      <c r="H124" s="204"/>
      <c r="I124" s="104" t="s">
        <v>2</v>
      </c>
      <c r="J124" s="3">
        <v>0.23130000000000001</v>
      </c>
      <c r="K124" s="3">
        <v>0.2</v>
      </c>
      <c r="L124" s="1" t="s">
        <v>24</v>
      </c>
      <c r="M124" s="4" t="s">
        <v>131</v>
      </c>
      <c r="N124" s="9" t="s">
        <v>28</v>
      </c>
    </row>
    <row r="125" spans="1:14" ht="28.5">
      <c r="A125" s="47"/>
      <c r="B125" s="105" t="s">
        <v>137</v>
      </c>
      <c r="C125" s="3">
        <v>0.223</v>
      </c>
      <c r="D125" s="3">
        <v>0.2</v>
      </c>
      <c r="E125" s="1" t="s">
        <v>23</v>
      </c>
      <c r="F125" s="4" t="s">
        <v>64</v>
      </c>
      <c r="G125" s="9" t="s">
        <v>181</v>
      </c>
      <c r="H125" s="203"/>
      <c r="I125" s="104" t="s">
        <v>137</v>
      </c>
      <c r="J125" s="3">
        <v>0.29930000000000001</v>
      </c>
      <c r="K125" s="3">
        <v>0.33</v>
      </c>
      <c r="L125" s="1" t="s">
        <v>23</v>
      </c>
      <c r="M125" s="4" t="s">
        <v>78</v>
      </c>
      <c r="N125" s="9" t="s">
        <v>181</v>
      </c>
    </row>
    <row r="126" spans="1:14">
      <c r="A126" s="49"/>
      <c r="B126" s="104" t="s">
        <v>12</v>
      </c>
      <c r="C126" s="3">
        <v>0.1517</v>
      </c>
      <c r="D126" s="3">
        <v>0.15</v>
      </c>
      <c r="E126" s="1" t="s">
        <v>24</v>
      </c>
      <c r="F126" s="9" t="s">
        <v>52</v>
      </c>
      <c r="G126" s="9" t="s">
        <v>18</v>
      </c>
      <c r="H126" s="203"/>
      <c r="I126" s="104" t="s">
        <v>12</v>
      </c>
      <c r="J126" s="3">
        <v>0.14000000000000001</v>
      </c>
      <c r="K126" s="3">
        <v>0.1</v>
      </c>
      <c r="L126" s="1" t="s">
        <v>24</v>
      </c>
      <c r="M126" s="9" t="s">
        <v>49</v>
      </c>
      <c r="N126" s="9" t="s">
        <v>18</v>
      </c>
    </row>
    <row r="127" spans="1:14" ht="15">
      <c r="A127" s="49"/>
      <c r="B127" s="106" t="s">
        <v>5</v>
      </c>
      <c r="C127" s="27">
        <f>SUBTOTAL(109,C122:C126)</f>
        <v>0.88890000000000002</v>
      </c>
      <c r="D127" s="27">
        <f>SUBTOTAL(109,D122:D126)</f>
        <v>0.9</v>
      </c>
      <c r="E127" s="117" t="s">
        <v>187</v>
      </c>
      <c r="F127" s="118" t="s">
        <v>187</v>
      </c>
      <c r="G127" s="112" t="s">
        <v>187</v>
      </c>
      <c r="H127" s="203"/>
      <c r="I127" s="106" t="s">
        <v>5</v>
      </c>
      <c r="J127" s="27">
        <f>SUBTOTAL(109,J122:J126)</f>
        <v>1.1524000000000001</v>
      </c>
      <c r="K127" s="27">
        <f>SUBTOTAL(109,K122:K126)</f>
        <v>1.0900000000000001</v>
      </c>
      <c r="L127" s="118" t="s">
        <v>187</v>
      </c>
      <c r="M127" s="118" t="s">
        <v>187</v>
      </c>
      <c r="N127" s="112" t="s">
        <v>187</v>
      </c>
    </row>
    <row r="128" spans="1:14">
      <c r="A128" s="49"/>
      <c r="B128" s="104" t="s">
        <v>6</v>
      </c>
      <c r="C128" s="11">
        <v>0.69440000000000002</v>
      </c>
      <c r="D128" s="11">
        <v>0.64</v>
      </c>
      <c r="E128" s="1" t="s">
        <v>23</v>
      </c>
      <c r="F128" s="9" t="s">
        <v>182</v>
      </c>
      <c r="G128" s="9" t="s">
        <v>19</v>
      </c>
      <c r="H128" s="203"/>
      <c r="I128" s="104" t="s">
        <v>6</v>
      </c>
      <c r="J128" s="11">
        <v>0.99019999999999997</v>
      </c>
      <c r="K128" s="11">
        <v>0.94</v>
      </c>
      <c r="L128" s="1" t="s">
        <v>23</v>
      </c>
      <c r="M128" s="9" t="s">
        <v>98</v>
      </c>
      <c r="N128" s="9" t="s">
        <v>19</v>
      </c>
    </row>
    <row r="129" spans="1:14" ht="30">
      <c r="A129" s="49"/>
      <c r="B129" s="106" t="s">
        <v>225</v>
      </c>
      <c r="C129" s="12">
        <v>4.0000000000000001E-3</v>
      </c>
      <c r="D129" s="138" t="s">
        <v>187</v>
      </c>
      <c r="E129" s="139" t="s">
        <v>187</v>
      </c>
      <c r="F129" s="140" t="s">
        <v>187</v>
      </c>
      <c r="G129" s="171" t="s">
        <v>187</v>
      </c>
      <c r="H129" s="203"/>
      <c r="I129" s="106" t="s">
        <v>225</v>
      </c>
      <c r="J129" s="12">
        <v>4.0000000000000001E-3</v>
      </c>
      <c r="K129" s="138" t="s">
        <v>187</v>
      </c>
      <c r="L129" s="140" t="s">
        <v>187</v>
      </c>
      <c r="M129" s="140" t="s">
        <v>187</v>
      </c>
      <c r="N129" s="171" t="s">
        <v>187</v>
      </c>
    </row>
    <row r="130" spans="1:14" ht="21" customHeight="1">
      <c r="A130" s="70"/>
      <c r="B130" s="72"/>
      <c r="C130" s="73"/>
      <c r="D130" s="74"/>
      <c r="E130" s="73"/>
      <c r="F130" s="73"/>
      <c r="G130" s="173"/>
      <c r="H130" s="197"/>
      <c r="I130" s="76"/>
      <c r="J130" s="77"/>
      <c r="K130" s="78"/>
      <c r="L130" s="77"/>
      <c r="M130" s="77"/>
      <c r="N130" s="174"/>
    </row>
    <row r="131" spans="1:14" ht="51.75" customHeight="1">
      <c r="A131" s="46" t="s">
        <v>100</v>
      </c>
      <c r="B131" s="36" t="s">
        <v>158</v>
      </c>
      <c r="C131" s="37"/>
      <c r="D131" s="38"/>
      <c r="E131" s="82"/>
      <c r="F131" s="37"/>
      <c r="G131" s="170"/>
      <c r="H131" s="202" t="s">
        <v>100</v>
      </c>
      <c r="I131" s="36" t="s">
        <v>159</v>
      </c>
      <c r="J131" s="37"/>
      <c r="K131" s="38"/>
      <c r="L131" s="39"/>
      <c r="M131" s="37"/>
      <c r="N131" s="170"/>
    </row>
    <row r="132" spans="1:14" ht="51.75" customHeight="1">
      <c r="A132" s="49"/>
      <c r="B132" s="119" t="s">
        <v>0</v>
      </c>
      <c r="C132" s="120" t="s">
        <v>220</v>
      </c>
      <c r="D132" s="120" t="s">
        <v>198</v>
      </c>
      <c r="E132" s="121" t="s">
        <v>22</v>
      </c>
      <c r="F132" s="121" t="s">
        <v>20</v>
      </c>
      <c r="G132" s="121" t="s">
        <v>35</v>
      </c>
      <c r="H132" s="203"/>
      <c r="I132" s="119" t="s">
        <v>0</v>
      </c>
      <c r="J132" s="120" t="s">
        <v>220</v>
      </c>
      <c r="K132" s="120" t="s">
        <v>198</v>
      </c>
      <c r="L132" s="121" t="s">
        <v>22</v>
      </c>
      <c r="M132" s="121" t="s">
        <v>20</v>
      </c>
      <c r="N132" s="121" t="s">
        <v>35</v>
      </c>
    </row>
    <row r="133" spans="1:14" ht="15.75">
      <c r="A133" s="49"/>
      <c r="B133" s="104" t="s">
        <v>169</v>
      </c>
      <c r="C133" s="5" t="s">
        <v>234</v>
      </c>
      <c r="D133" s="5" t="s">
        <v>195</v>
      </c>
      <c r="E133" s="143" t="s">
        <v>187</v>
      </c>
      <c r="F133" s="144" t="s">
        <v>188</v>
      </c>
      <c r="G133" s="144" t="s">
        <v>196</v>
      </c>
      <c r="H133" s="203"/>
      <c r="I133" s="154" t="s">
        <v>187</v>
      </c>
      <c r="J133" s="155" t="s">
        <v>187</v>
      </c>
      <c r="K133" s="155" t="s">
        <v>187</v>
      </c>
      <c r="L133" s="144" t="s">
        <v>187</v>
      </c>
      <c r="M133" s="144" t="s">
        <v>187</v>
      </c>
      <c r="N133" s="144" t="s">
        <v>187</v>
      </c>
    </row>
    <row r="134" spans="1:14" ht="28.5">
      <c r="A134" s="49"/>
      <c r="B134" s="104" t="s">
        <v>138</v>
      </c>
      <c r="C134" s="5">
        <v>0.69910000000000005</v>
      </c>
      <c r="D134" s="5">
        <v>0.64</v>
      </c>
      <c r="E134" s="6" t="s">
        <v>23</v>
      </c>
      <c r="F134" s="7" t="s">
        <v>182</v>
      </c>
      <c r="G134" s="52" t="s">
        <v>27</v>
      </c>
      <c r="H134" s="203"/>
      <c r="I134" s="104" t="s">
        <v>228</v>
      </c>
      <c r="J134" s="5">
        <v>0.99519999999999997</v>
      </c>
      <c r="K134" s="5">
        <v>0.94</v>
      </c>
      <c r="L134" s="6" t="s">
        <v>23</v>
      </c>
      <c r="M134" s="7" t="s">
        <v>98</v>
      </c>
      <c r="N134" s="52" t="s">
        <v>27</v>
      </c>
    </row>
    <row r="135" spans="1:14">
      <c r="A135" s="48"/>
      <c r="B135" s="104" t="s">
        <v>2</v>
      </c>
      <c r="C135" s="3">
        <v>0.2878</v>
      </c>
      <c r="D135" s="3">
        <v>0.25</v>
      </c>
      <c r="E135" s="1" t="s">
        <v>24</v>
      </c>
      <c r="F135" s="4" t="s">
        <v>189</v>
      </c>
      <c r="G135" s="9" t="s">
        <v>14</v>
      </c>
      <c r="H135" s="204"/>
      <c r="I135" s="104" t="s">
        <v>2</v>
      </c>
      <c r="J135" s="3">
        <v>0.218</v>
      </c>
      <c r="K135" s="3">
        <v>0.25</v>
      </c>
      <c r="L135" s="1" t="s">
        <v>24</v>
      </c>
      <c r="M135" s="4" t="s">
        <v>54</v>
      </c>
      <c r="N135" s="9" t="s">
        <v>14</v>
      </c>
    </row>
    <row r="136" spans="1:14" ht="28.5">
      <c r="A136" s="49"/>
      <c r="B136" s="105" t="s">
        <v>137</v>
      </c>
      <c r="C136" s="3">
        <v>0</v>
      </c>
      <c r="D136" s="113" t="s">
        <v>187</v>
      </c>
      <c r="E136" s="1" t="s">
        <v>23</v>
      </c>
      <c r="F136" s="113" t="s">
        <v>243</v>
      </c>
      <c r="G136" s="132" t="s">
        <v>187</v>
      </c>
      <c r="H136" s="203"/>
      <c r="I136" s="104" t="s">
        <v>137</v>
      </c>
      <c r="J136" s="3">
        <v>0</v>
      </c>
      <c r="K136" s="113" t="s">
        <v>187</v>
      </c>
      <c r="L136" s="1" t="s">
        <v>23</v>
      </c>
      <c r="M136" s="113" t="s">
        <v>243</v>
      </c>
      <c r="N136" s="132" t="s">
        <v>187</v>
      </c>
    </row>
    <row r="137" spans="1:14">
      <c r="A137" s="49"/>
      <c r="B137" s="104" t="s">
        <v>12</v>
      </c>
      <c r="C137" s="3">
        <v>0.1827</v>
      </c>
      <c r="D137" s="3">
        <v>0.15</v>
      </c>
      <c r="E137" s="1" t="s">
        <v>24</v>
      </c>
      <c r="F137" s="9" t="s">
        <v>52</v>
      </c>
      <c r="G137" s="9" t="s">
        <v>18</v>
      </c>
      <c r="H137" s="203"/>
      <c r="I137" s="104" t="s">
        <v>12</v>
      </c>
      <c r="J137" s="3">
        <v>0.14929999999999999</v>
      </c>
      <c r="K137" s="3">
        <v>0.15</v>
      </c>
      <c r="L137" s="1" t="s">
        <v>24</v>
      </c>
      <c r="M137" s="9" t="s">
        <v>52</v>
      </c>
      <c r="N137" s="9" t="s">
        <v>18</v>
      </c>
    </row>
    <row r="138" spans="1:14" ht="15">
      <c r="A138" s="49"/>
      <c r="B138" s="106" t="s">
        <v>5</v>
      </c>
      <c r="C138" s="27">
        <f>SUBTOTAL(109,C133:C137)</f>
        <v>1.1696000000000002</v>
      </c>
      <c r="D138" s="27">
        <f>SUBTOTAL(109,D133:D137)</f>
        <v>1.04</v>
      </c>
      <c r="E138" s="117" t="s">
        <v>187</v>
      </c>
      <c r="F138" s="118" t="s">
        <v>187</v>
      </c>
      <c r="G138" s="112" t="s">
        <v>187</v>
      </c>
      <c r="H138" s="203"/>
      <c r="I138" s="106" t="s">
        <v>5</v>
      </c>
      <c r="J138" s="27">
        <f>SUBTOTAL(109,J133:J137)</f>
        <v>1.3625</v>
      </c>
      <c r="K138" s="27">
        <f>SUBTOTAL(109,K133:K137)</f>
        <v>1.3399999999999999</v>
      </c>
      <c r="L138" s="118" t="s">
        <v>187</v>
      </c>
      <c r="M138" s="118" t="s">
        <v>187</v>
      </c>
      <c r="N138" s="112" t="s">
        <v>187</v>
      </c>
    </row>
    <row r="139" spans="1:14">
      <c r="A139" s="49"/>
      <c r="B139" s="104" t="s">
        <v>6</v>
      </c>
      <c r="C139" s="11">
        <v>0.69799999999999995</v>
      </c>
      <c r="D139" s="11">
        <v>0.64</v>
      </c>
      <c r="E139" s="1" t="s">
        <v>23</v>
      </c>
      <c r="F139" s="9" t="s">
        <v>182</v>
      </c>
      <c r="G139" s="9" t="s">
        <v>19</v>
      </c>
      <c r="H139" s="203"/>
      <c r="I139" s="104" t="s">
        <v>6</v>
      </c>
      <c r="J139" s="11">
        <v>0.996</v>
      </c>
      <c r="K139" s="11">
        <v>0.94</v>
      </c>
      <c r="L139" s="1" t="s">
        <v>23</v>
      </c>
      <c r="M139" s="9" t="s">
        <v>98</v>
      </c>
      <c r="N139" s="9" t="s">
        <v>19</v>
      </c>
    </row>
    <row r="140" spans="1:14" ht="30">
      <c r="A140" s="49"/>
      <c r="B140" s="106" t="s">
        <v>136</v>
      </c>
      <c r="C140" s="12">
        <v>2E-3</v>
      </c>
      <c r="D140" s="138" t="s">
        <v>187</v>
      </c>
      <c r="E140" s="139" t="s">
        <v>187</v>
      </c>
      <c r="F140" s="140" t="s">
        <v>187</v>
      </c>
      <c r="G140" s="171" t="s">
        <v>187</v>
      </c>
      <c r="H140" s="203"/>
      <c r="I140" s="106" t="s">
        <v>136</v>
      </c>
      <c r="J140" s="12">
        <v>2E-3</v>
      </c>
      <c r="K140" s="138" t="s">
        <v>187</v>
      </c>
      <c r="L140" s="140" t="s">
        <v>187</v>
      </c>
      <c r="M140" s="140" t="s">
        <v>187</v>
      </c>
      <c r="N140" s="171" t="s">
        <v>187</v>
      </c>
    </row>
    <row r="141" spans="1:14" ht="21" customHeight="1">
      <c r="A141" s="70"/>
      <c r="B141" s="72"/>
      <c r="C141" s="73"/>
      <c r="D141" s="74"/>
      <c r="E141" s="73"/>
      <c r="F141" s="73"/>
      <c r="G141" s="173"/>
      <c r="H141" s="197"/>
      <c r="I141" s="76"/>
      <c r="J141" s="77"/>
      <c r="K141" s="78"/>
      <c r="L141" s="77"/>
      <c r="M141" s="77"/>
      <c r="N141" s="174"/>
    </row>
    <row r="142" spans="1:14" ht="51.75" customHeight="1">
      <c r="A142" s="46" t="s">
        <v>104</v>
      </c>
      <c r="B142" s="36" t="s">
        <v>160</v>
      </c>
      <c r="C142" s="37"/>
      <c r="D142" s="38"/>
      <c r="E142" s="82"/>
      <c r="F142" s="37"/>
      <c r="G142" s="170"/>
      <c r="H142" s="202" t="s">
        <v>104</v>
      </c>
      <c r="I142" s="36" t="s">
        <v>161</v>
      </c>
      <c r="J142" s="37"/>
      <c r="K142" s="38"/>
      <c r="L142" s="39"/>
      <c r="M142" s="37"/>
      <c r="N142" s="170"/>
    </row>
    <row r="143" spans="1:14" ht="51.75" customHeight="1">
      <c r="A143" s="47"/>
      <c r="B143" s="119" t="s">
        <v>0</v>
      </c>
      <c r="C143" s="120" t="s">
        <v>220</v>
      </c>
      <c r="D143" s="120" t="s">
        <v>198</v>
      </c>
      <c r="E143" s="121" t="s">
        <v>22</v>
      </c>
      <c r="F143" s="121" t="s">
        <v>20</v>
      </c>
      <c r="G143" s="121" t="s">
        <v>35</v>
      </c>
      <c r="H143" s="203"/>
      <c r="I143" s="119" t="s">
        <v>0</v>
      </c>
      <c r="J143" s="120" t="s">
        <v>220</v>
      </c>
      <c r="K143" s="120" t="s">
        <v>198</v>
      </c>
      <c r="L143" s="121" t="s">
        <v>22</v>
      </c>
      <c r="M143" s="121" t="s">
        <v>20</v>
      </c>
      <c r="N143" s="121" t="s">
        <v>35</v>
      </c>
    </row>
    <row r="144" spans="1:14" ht="15.75">
      <c r="A144" s="47"/>
      <c r="B144" s="104" t="s">
        <v>169</v>
      </c>
      <c r="C144" s="3">
        <v>0.3085</v>
      </c>
      <c r="D144" s="3">
        <v>0.3</v>
      </c>
      <c r="E144" s="143" t="s">
        <v>187</v>
      </c>
      <c r="F144" s="144" t="s">
        <v>187</v>
      </c>
      <c r="G144" s="144" t="s">
        <v>187</v>
      </c>
      <c r="H144" s="203"/>
      <c r="I144" s="154" t="s">
        <v>187</v>
      </c>
      <c r="J144" s="155" t="s">
        <v>187</v>
      </c>
      <c r="K144" s="155" t="s">
        <v>187</v>
      </c>
      <c r="L144" s="144" t="s">
        <v>187</v>
      </c>
      <c r="M144" s="144" t="s">
        <v>187</v>
      </c>
      <c r="N144" s="144" t="s">
        <v>187</v>
      </c>
    </row>
    <row r="145" spans="1:14" ht="28.5">
      <c r="A145" s="47"/>
      <c r="B145" s="104" t="s">
        <v>138</v>
      </c>
      <c r="C145" s="157">
        <v>0</v>
      </c>
      <c r="D145" s="157" t="s">
        <v>187</v>
      </c>
      <c r="E145" s="6" t="s">
        <v>23</v>
      </c>
      <c r="F145" s="157" t="s">
        <v>187</v>
      </c>
      <c r="G145" s="147" t="s">
        <v>187</v>
      </c>
      <c r="H145" s="203"/>
      <c r="I145" s="104" t="s">
        <v>228</v>
      </c>
      <c r="J145" s="157" t="s">
        <v>187</v>
      </c>
      <c r="K145" s="157" t="s">
        <v>187</v>
      </c>
      <c r="L145" s="6" t="s">
        <v>23</v>
      </c>
      <c r="M145" s="157" t="s">
        <v>187</v>
      </c>
      <c r="N145" s="147" t="s">
        <v>187</v>
      </c>
    </row>
    <row r="146" spans="1:14">
      <c r="A146" s="47"/>
      <c r="B146" s="104" t="s">
        <v>2</v>
      </c>
      <c r="C146" s="3">
        <v>0.20760000000000001</v>
      </c>
      <c r="D146" s="3">
        <v>0.25</v>
      </c>
      <c r="E146" s="1" t="s">
        <v>24</v>
      </c>
      <c r="F146" s="4" t="s">
        <v>54</v>
      </c>
      <c r="G146" s="1" t="s">
        <v>28</v>
      </c>
      <c r="H146" s="204"/>
      <c r="I146" s="104" t="s">
        <v>2</v>
      </c>
      <c r="J146" s="3">
        <v>0.25409999999999999</v>
      </c>
      <c r="K146" s="5">
        <v>0.3</v>
      </c>
      <c r="L146" s="1" t="s">
        <v>24</v>
      </c>
      <c r="M146" s="4" t="s">
        <v>60</v>
      </c>
      <c r="N146" s="1" t="s">
        <v>28</v>
      </c>
    </row>
    <row r="147" spans="1:14" ht="28.5">
      <c r="A147" s="49"/>
      <c r="B147" s="105" t="s">
        <v>137</v>
      </c>
      <c r="C147" s="3">
        <v>0.47099999999999997</v>
      </c>
      <c r="D147" s="3">
        <v>0.5</v>
      </c>
      <c r="E147" s="1" t="s">
        <v>23</v>
      </c>
      <c r="F147" s="4" t="s">
        <v>91</v>
      </c>
      <c r="G147" s="9" t="s">
        <v>181</v>
      </c>
      <c r="H147" s="203"/>
      <c r="I147" s="158" t="s">
        <v>137</v>
      </c>
      <c r="J147" s="3">
        <v>0.65790000000000004</v>
      </c>
      <c r="K147" s="5">
        <v>0.7</v>
      </c>
      <c r="L147" s="103" t="s">
        <v>23</v>
      </c>
      <c r="M147" s="4" t="s">
        <v>86</v>
      </c>
      <c r="N147" s="4" t="s">
        <v>181</v>
      </c>
    </row>
    <row r="148" spans="1:14">
      <c r="A148" s="49"/>
      <c r="B148" s="104" t="s">
        <v>12</v>
      </c>
      <c r="C148" s="3">
        <v>6.3E-3</v>
      </c>
      <c r="D148" s="3">
        <v>0.3</v>
      </c>
      <c r="E148" s="1" t="s">
        <v>24</v>
      </c>
      <c r="F148" s="9" t="s">
        <v>230</v>
      </c>
      <c r="G148" s="1" t="s">
        <v>18</v>
      </c>
      <c r="H148" s="203"/>
      <c r="I148" s="158" t="s">
        <v>12</v>
      </c>
      <c r="J148" s="3">
        <v>8.8900000000000007E-2</v>
      </c>
      <c r="K148" s="5">
        <v>0.3</v>
      </c>
      <c r="L148" s="103" t="s">
        <v>24</v>
      </c>
      <c r="M148" s="9" t="s">
        <v>230</v>
      </c>
      <c r="N148" s="103" t="s">
        <v>18</v>
      </c>
    </row>
    <row r="149" spans="1:14" ht="15">
      <c r="A149" s="49"/>
      <c r="B149" s="106" t="s">
        <v>5</v>
      </c>
      <c r="C149" s="99">
        <f>SUBTOTAL(109,C144:C148)</f>
        <v>0.99339999999999995</v>
      </c>
      <c r="D149" s="99">
        <f>SUBTOTAL(109,D144:D148)</f>
        <v>1.35</v>
      </c>
      <c r="E149" s="117" t="s">
        <v>187</v>
      </c>
      <c r="F149" s="118" t="s">
        <v>187</v>
      </c>
      <c r="G149" s="111" t="s">
        <v>187</v>
      </c>
      <c r="H149" s="203"/>
      <c r="I149" s="106" t="s">
        <v>5</v>
      </c>
      <c r="J149" s="27">
        <f>SUBTOTAL(109,J144:J148)</f>
        <v>1.0009000000000001</v>
      </c>
      <c r="K149" s="27">
        <f>SUBTOTAL(109,K144:K148)</f>
        <v>1.3</v>
      </c>
      <c r="L149" s="118" t="s">
        <v>187</v>
      </c>
      <c r="M149" s="118" t="s">
        <v>187</v>
      </c>
      <c r="N149" s="111" t="s">
        <v>187</v>
      </c>
    </row>
    <row r="150" spans="1:14">
      <c r="A150" s="49"/>
      <c r="B150" s="104" t="s">
        <v>6</v>
      </c>
      <c r="C150" s="11">
        <v>0.69679999999999997</v>
      </c>
      <c r="D150" s="11">
        <v>0.64</v>
      </c>
      <c r="E150" s="1" t="s">
        <v>23</v>
      </c>
      <c r="F150" s="9" t="s">
        <v>182</v>
      </c>
      <c r="G150" s="1" t="s">
        <v>19</v>
      </c>
      <c r="H150" s="203"/>
      <c r="I150" s="104" t="s">
        <v>6</v>
      </c>
      <c r="J150" s="11">
        <v>0.98029999999999995</v>
      </c>
      <c r="K150" s="11">
        <v>0.94</v>
      </c>
      <c r="L150" s="1" t="s">
        <v>23</v>
      </c>
      <c r="M150" s="9" t="s">
        <v>98</v>
      </c>
      <c r="N150" s="1" t="s">
        <v>19</v>
      </c>
    </row>
    <row r="151" spans="1:14" ht="30">
      <c r="A151" s="49"/>
      <c r="B151" s="106" t="s">
        <v>225</v>
      </c>
      <c r="C151" s="12">
        <v>4.0000000000000001E-3</v>
      </c>
      <c r="D151" s="138" t="s">
        <v>187</v>
      </c>
      <c r="E151" s="139" t="s">
        <v>187</v>
      </c>
      <c r="F151" s="140" t="s">
        <v>187</v>
      </c>
      <c r="G151" s="171" t="s">
        <v>187</v>
      </c>
      <c r="H151" s="203"/>
      <c r="I151" s="106" t="s">
        <v>225</v>
      </c>
      <c r="J151" s="12">
        <v>4.0000000000000001E-3</v>
      </c>
      <c r="K151" s="138" t="s">
        <v>187</v>
      </c>
      <c r="L151" s="140" t="s">
        <v>187</v>
      </c>
      <c r="M151" s="140" t="s">
        <v>187</v>
      </c>
      <c r="N151" s="171" t="s">
        <v>187</v>
      </c>
    </row>
    <row r="152" spans="1:14" ht="21" customHeight="1">
      <c r="A152" s="70"/>
      <c r="B152" s="72"/>
      <c r="C152" s="73"/>
      <c r="D152" s="74"/>
      <c r="E152" s="73"/>
      <c r="F152" s="73"/>
      <c r="G152" s="173"/>
      <c r="H152" s="197"/>
      <c r="I152" s="76"/>
      <c r="J152" s="77"/>
      <c r="K152" s="78"/>
      <c r="L152" s="77"/>
      <c r="M152" s="77"/>
      <c r="N152" s="174"/>
    </row>
    <row r="153" spans="1:14" ht="51.75" customHeight="1">
      <c r="A153" s="46" t="s">
        <v>111</v>
      </c>
      <c r="B153" s="36" t="s">
        <v>162</v>
      </c>
      <c r="C153" s="37"/>
      <c r="D153" s="38"/>
      <c r="E153" s="82"/>
      <c r="F153" s="37"/>
      <c r="G153" s="170"/>
      <c r="H153" s="202" t="s">
        <v>111</v>
      </c>
      <c r="I153" s="36" t="s">
        <v>163</v>
      </c>
      <c r="J153" s="37"/>
      <c r="K153" s="38"/>
      <c r="L153" s="39"/>
      <c r="M153" s="37"/>
      <c r="N153" s="170"/>
    </row>
    <row r="154" spans="1:14" ht="51.75" customHeight="1">
      <c r="A154" s="47"/>
      <c r="B154" s="224" t="s">
        <v>0</v>
      </c>
      <c r="C154" s="120" t="s">
        <v>220</v>
      </c>
      <c r="D154" s="120" t="s">
        <v>198</v>
      </c>
      <c r="E154" s="121" t="s">
        <v>22</v>
      </c>
      <c r="F154" s="121" t="s">
        <v>20</v>
      </c>
      <c r="G154" s="121" t="s">
        <v>35</v>
      </c>
      <c r="H154" s="203"/>
      <c r="I154" s="119" t="s">
        <v>0</v>
      </c>
      <c r="J154" s="120" t="s">
        <v>220</v>
      </c>
      <c r="K154" s="120" t="s">
        <v>198</v>
      </c>
      <c r="L154" s="121" t="s">
        <v>22</v>
      </c>
      <c r="M154" s="121" t="s">
        <v>20</v>
      </c>
      <c r="N154" s="121" t="s">
        <v>35</v>
      </c>
    </row>
    <row r="155" spans="1:14" ht="15.75">
      <c r="A155" s="47"/>
      <c r="B155" s="221" t="s">
        <v>169</v>
      </c>
      <c r="C155" s="5">
        <v>0.39269999999999999</v>
      </c>
      <c r="D155" s="5">
        <v>0.3</v>
      </c>
      <c r="E155" s="143" t="s">
        <v>187</v>
      </c>
      <c r="F155" s="144" t="s">
        <v>187</v>
      </c>
      <c r="G155" s="147" t="s">
        <v>187</v>
      </c>
      <c r="H155" s="203"/>
      <c r="I155" s="154" t="s">
        <v>187</v>
      </c>
      <c r="J155" s="155" t="s">
        <v>187</v>
      </c>
      <c r="K155" s="155" t="s">
        <v>187</v>
      </c>
      <c r="L155" s="144" t="s">
        <v>187</v>
      </c>
      <c r="M155" s="144" t="s">
        <v>187</v>
      </c>
      <c r="N155" s="144" t="s">
        <v>187</v>
      </c>
    </row>
    <row r="156" spans="1:14" ht="28.5">
      <c r="A156" s="47"/>
      <c r="B156" s="221" t="s">
        <v>138</v>
      </c>
      <c r="C156" s="5">
        <v>0.69569999999999999</v>
      </c>
      <c r="D156" s="5">
        <v>0.64</v>
      </c>
      <c r="E156" s="6" t="s">
        <v>23</v>
      </c>
      <c r="F156" s="7" t="s">
        <v>182</v>
      </c>
      <c r="G156" s="6" t="s">
        <v>7</v>
      </c>
      <c r="H156" s="203"/>
      <c r="I156" s="104" t="s">
        <v>228</v>
      </c>
      <c r="J156" s="5">
        <v>0.99780000000000002</v>
      </c>
      <c r="K156" s="5">
        <v>0.94</v>
      </c>
      <c r="L156" s="6" t="s">
        <v>23</v>
      </c>
      <c r="M156" s="7" t="s">
        <v>98</v>
      </c>
      <c r="N156" s="6" t="s">
        <v>7</v>
      </c>
    </row>
    <row r="157" spans="1:14">
      <c r="A157" s="48"/>
      <c r="B157" s="221" t="s">
        <v>2</v>
      </c>
      <c r="C157" s="3">
        <v>0.24640000000000001</v>
      </c>
      <c r="D157" s="5">
        <v>0.05</v>
      </c>
      <c r="E157" s="103" t="s">
        <v>24</v>
      </c>
      <c r="F157" s="5" t="s">
        <v>51</v>
      </c>
      <c r="G157" s="1" t="s">
        <v>14</v>
      </c>
      <c r="H157" s="204"/>
      <c r="I157" s="104" t="s">
        <v>2</v>
      </c>
      <c r="J157" s="3">
        <v>0.2046</v>
      </c>
      <c r="K157" s="5">
        <v>0.05</v>
      </c>
      <c r="L157" s="103" t="s">
        <v>24</v>
      </c>
      <c r="M157" s="5" t="s">
        <v>51</v>
      </c>
      <c r="N157" s="1" t="s">
        <v>14</v>
      </c>
    </row>
    <row r="158" spans="1:14" ht="28.5">
      <c r="A158" s="49"/>
      <c r="B158" s="222" t="s">
        <v>137</v>
      </c>
      <c r="C158" s="113">
        <v>0</v>
      </c>
      <c r="D158" s="113" t="s">
        <v>187</v>
      </c>
      <c r="E158" s="1" t="s">
        <v>23</v>
      </c>
      <c r="F158" s="113" t="s">
        <v>243</v>
      </c>
      <c r="G158" s="132" t="s">
        <v>187</v>
      </c>
      <c r="H158" s="203"/>
      <c r="I158" s="104" t="s">
        <v>137</v>
      </c>
      <c r="J158" s="113">
        <v>0</v>
      </c>
      <c r="K158" s="113" t="s">
        <v>187</v>
      </c>
      <c r="L158" s="1" t="s">
        <v>23</v>
      </c>
      <c r="M158" s="113" t="s">
        <v>243</v>
      </c>
      <c r="N158" s="132" t="s">
        <v>187</v>
      </c>
    </row>
    <row r="159" spans="1:14">
      <c r="A159" s="49"/>
      <c r="B159" s="221" t="s">
        <v>12</v>
      </c>
      <c r="C159" s="3">
        <v>0.27179999999999999</v>
      </c>
      <c r="D159" s="239">
        <v>0.05</v>
      </c>
      <c r="E159" s="1" t="s">
        <v>24</v>
      </c>
      <c r="F159" s="238" t="s">
        <v>51</v>
      </c>
      <c r="G159" s="1" t="s">
        <v>18</v>
      </c>
      <c r="H159" s="203"/>
      <c r="I159" s="104" t="s">
        <v>12</v>
      </c>
      <c r="J159" s="3">
        <v>0.26569999999999999</v>
      </c>
      <c r="K159" s="239">
        <v>0.05</v>
      </c>
      <c r="L159" s="1" t="s">
        <v>24</v>
      </c>
      <c r="M159" s="238" t="s">
        <v>51</v>
      </c>
      <c r="N159" s="1" t="s">
        <v>18</v>
      </c>
    </row>
    <row r="160" spans="1:14" ht="15">
      <c r="A160" s="49"/>
      <c r="B160" s="223" t="s">
        <v>5</v>
      </c>
      <c r="C160" s="27">
        <f>SUBTOTAL(109,C155:C159)</f>
        <v>1.6066</v>
      </c>
      <c r="D160" s="27">
        <f>SUBTOTAL(109,D155:D159)</f>
        <v>1.04</v>
      </c>
      <c r="E160" s="117" t="s">
        <v>187</v>
      </c>
      <c r="F160" s="118" t="s">
        <v>187</v>
      </c>
      <c r="G160" s="111" t="s">
        <v>187</v>
      </c>
      <c r="H160" s="203"/>
      <c r="I160" s="106" t="s">
        <v>5</v>
      </c>
      <c r="J160" s="27">
        <f>SUBTOTAL(109,J155:J159)</f>
        <v>1.4681</v>
      </c>
      <c r="K160" s="27">
        <f>SUBTOTAL(109,K155:K159)</f>
        <v>1.04</v>
      </c>
      <c r="L160" s="118" t="s">
        <v>187</v>
      </c>
      <c r="M160" s="118" t="s">
        <v>187</v>
      </c>
      <c r="N160" s="111" t="s">
        <v>187</v>
      </c>
    </row>
    <row r="161" spans="1:14">
      <c r="A161" s="49"/>
      <c r="B161" s="221" t="s">
        <v>6</v>
      </c>
      <c r="C161" s="11">
        <v>0.69440000000000002</v>
      </c>
      <c r="D161" s="11">
        <v>0.64</v>
      </c>
      <c r="E161" s="1" t="s">
        <v>23</v>
      </c>
      <c r="F161" s="9" t="s">
        <v>182</v>
      </c>
      <c r="G161" s="1" t="s">
        <v>19</v>
      </c>
      <c r="H161" s="203"/>
      <c r="I161" s="104" t="s">
        <v>6</v>
      </c>
      <c r="J161" s="11">
        <v>0.99809999999999999</v>
      </c>
      <c r="K161" s="11">
        <v>0.94</v>
      </c>
      <c r="L161" s="1" t="s">
        <v>23</v>
      </c>
      <c r="M161" s="9" t="s">
        <v>98</v>
      </c>
      <c r="N161" s="1" t="s">
        <v>19</v>
      </c>
    </row>
    <row r="162" spans="1:14" ht="30">
      <c r="A162" s="49"/>
      <c r="B162" s="223" t="s">
        <v>225</v>
      </c>
      <c r="C162" s="12">
        <v>2E-3</v>
      </c>
      <c r="D162" s="138" t="s">
        <v>187</v>
      </c>
      <c r="E162" s="139" t="s">
        <v>187</v>
      </c>
      <c r="F162" s="140" t="s">
        <v>187</v>
      </c>
      <c r="G162" s="171" t="s">
        <v>187</v>
      </c>
      <c r="H162" s="203"/>
      <c r="I162" s="106" t="s">
        <v>225</v>
      </c>
      <c r="J162" s="66">
        <v>2E-3</v>
      </c>
      <c r="K162" s="138" t="s">
        <v>187</v>
      </c>
      <c r="L162" s="140" t="s">
        <v>187</v>
      </c>
      <c r="M162" s="140" t="s">
        <v>187</v>
      </c>
      <c r="N162" s="171" t="s">
        <v>187</v>
      </c>
    </row>
    <row r="163" spans="1:14" ht="21" customHeight="1">
      <c r="A163" s="70"/>
      <c r="B163" s="72"/>
      <c r="C163" s="73"/>
      <c r="D163" s="74"/>
      <c r="E163" s="73"/>
      <c r="F163" s="73"/>
      <c r="G163" s="173"/>
      <c r="H163" s="197"/>
      <c r="I163" s="76"/>
      <c r="J163" s="77"/>
      <c r="K163" s="78"/>
      <c r="L163" s="77"/>
      <c r="M163" s="77"/>
      <c r="N163" s="174"/>
    </row>
    <row r="164" spans="1:14" ht="51.75" customHeight="1">
      <c r="A164" s="79" t="s">
        <v>164</v>
      </c>
      <c r="B164" s="32" t="s">
        <v>165</v>
      </c>
      <c r="C164" s="33"/>
      <c r="D164" s="34"/>
      <c r="E164" s="81"/>
      <c r="F164" s="33"/>
      <c r="G164" s="170"/>
      <c r="H164" s="205" t="s">
        <v>164</v>
      </c>
      <c r="I164" s="32" t="s">
        <v>167</v>
      </c>
      <c r="J164" s="33"/>
      <c r="K164" s="34"/>
      <c r="L164" s="35"/>
      <c r="M164" s="39"/>
      <c r="N164" s="170"/>
    </row>
    <row r="165" spans="1:14" ht="40.35" customHeight="1">
      <c r="A165" s="80"/>
      <c r="B165" s="119" t="s">
        <v>0</v>
      </c>
      <c r="C165" s="120" t="s">
        <v>220</v>
      </c>
      <c r="D165" s="120" t="s">
        <v>198</v>
      </c>
      <c r="E165" s="121" t="s">
        <v>30</v>
      </c>
      <c r="F165" s="121" t="s">
        <v>20</v>
      </c>
      <c r="G165" s="122" t="s">
        <v>35</v>
      </c>
      <c r="H165" s="206"/>
      <c r="I165" s="119" t="s">
        <v>0</v>
      </c>
      <c r="J165" s="120" t="s">
        <v>220</v>
      </c>
      <c r="K165" s="120" t="s">
        <v>198</v>
      </c>
      <c r="L165" s="121" t="s">
        <v>30</v>
      </c>
      <c r="M165" s="121" t="s">
        <v>20</v>
      </c>
      <c r="N165" s="122" t="s">
        <v>35</v>
      </c>
    </row>
    <row r="166" spans="1:14" ht="15.75">
      <c r="A166" s="80"/>
      <c r="B166" s="104" t="s">
        <v>169</v>
      </c>
      <c r="C166" s="251"/>
      <c r="D166" s="63">
        <v>0.3</v>
      </c>
      <c r="E166" s="143" t="s">
        <v>187</v>
      </c>
      <c r="F166" s="144" t="s">
        <v>187</v>
      </c>
      <c r="G166" s="149" t="s">
        <v>187</v>
      </c>
      <c r="H166" s="206"/>
      <c r="I166" s="154" t="s">
        <v>187</v>
      </c>
      <c r="J166" s="251"/>
      <c r="K166" s="155" t="s">
        <v>187</v>
      </c>
      <c r="L166" s="144" t="s">
        <v>187</v>
      </c>
      <c r="M166" s="144" t="s">
        <v>187</v>
      </c>
      <c r="N166" s="149" t="s">
        <v>187</v>
      </c>
    </row>
    <row r="167" spans="1:14" ht="42" customHeight="1">
      <c r="A167" s="80"/>
      <c r="B167" s="104" t="s">
        <v>138</v>
      </c>
      <c r="C167" s="251"/>
      <c r="D167" s="63">
        <v>0.7</v>
      </c>
      <c r="E167" s="1" t="s">
        <v>4</v>
      </c>
      <c r="F167" s="4" t="s">
        <v>133</v>
      </c>
      <c r="G167" s="218" t="s">
        <v>218</v>
      </c>
      <c r="H167" s="206"/>
      <c r="I167" s="104" t="s">
        <v>228</v>
      </c>
      <c r="J167" s="251"/>
      <c r="K167" s="5">
        <v>0.95</v>
      </c>
      <c r="L167" s="6" t="s">
        <v>4</v>
      </c>
      <c r="M167" s="7" t="s">
        <v>64</v>
      </c>
      <c r="N167" s="218" t="s">
        <v>218</v>
      </c>
    </row>
    <row r="168" spans="1:14" ht="21.75" customHeight="1">
      <c r="A168" s="80"/>
      <c r="B168" s="104" t="s">
        <v>2</v>
      </c>
      <c r="C168" s="252"/>
      <c r="D168" s="64">
        <v>0.19</v>
      </c>
      <c r="E168" s="1" t="s">
        <v>3</v>
      </c>
      <c r="F168" s="4" t="s">
        <v>51</v>
      </c>
      <c r="G168" s="114" t="s">
        <v>14</v>
      </c>
      <c r="H168" s="206"/>
      <c r="I168" s="104" t="s">
        <v>2</v>
      </c>
      <c r="J168" s="252"/>
      <c r="K168" s="3">
        <v>0.28000000000000003</v>
      </c>
      <c r="L168" s="1" t="s">
        <v>3</v>
      </c>
      <c r="M168" s="4" t="s">
        <v>174</v>
      </c>
      <c r="N168" s="114" t="s">
        <v>14</v>
      </c>
    </row>
    <row r="169" spans="1:14" ht="28.5">
      <c r="A169" s="80"/>
      <c r="B169" s="105" t="s">
        <v>137</v>
      </c>
      <c r="C169" s="252"/>
      <c r="D169" s="64">
        <v>0.06</v>
      </c>
      <c r="E169" s="1" t="s">
        <v>4</v>
      </c>
      <c r="F169" s="4" t="s">
        <v>58</v>
      </c>
      <c r="G169" s="114" t="s">
        <v>183</v>
      </c>
      <c r="H169" s="206"/>
      <c r="I169" s="104" t="s">
        <v>137</v>
      </c>
      <c r="J169" s="252"/>
      <c r="K169" s="3">
        <v>0.06</v>
      </c>
      <c r="L169" s="1" t="s">
        <v>4</v>
      </c>
      <c r="M169" s="4" t="s">
        <v>61</v>
      </c>
      <c r="N169" s="114" t="s">
        <v>15</v>
      </c>
    </row>
    <row r="170" spans="1:14" ht="32.25" customHeight="1">
      <c r="A170" s="80"/>
      <c r="B170" s="104" t="s">
        <v>170</v>
      </c>
      <c r="C170" s="252"/>
      <c r="D170" s="64">
        <v>0.05</v>
      </c>
      <c r="E170" s="8" t="s">
        <v>3</v>
      </c>
      <c r="F170" s="9" t="s">
        <v>51</v>
      </c>
      <c r="G170" s="136" t="s">
        <v>187</v>
      </c>
      <c r="H170" s="206"/>
      <c r="I170" s="104" t="s">
        <v>170</v>
      </c>
      <c r="J170" s="252"/>
      <c r="K170" s="3">
        <v>0.05</v>
      </c>
      <c r="L170" s="8" t="s">
        <v>3</v>
      </c>
      <c r="M170" s="9" t="s">
        <v>51</v>
      </c>
      <c r="N170" s="136" t="s">
        <v>187</v>
      </c>
    </row>
    <row r="171" spans="1:14">
      <c r="A171" s="80"/>
      <c r="B171" s="104" t="s">
        <v>10</v>
      </c>
      <c r="C171" s="252"/>
      <c r="D171" s="64">
        <v>0.05</v>
      </c>
      <c r="E171" s="8" t="s">
        <v>3</v>
      </c>
      <c r="F171" s="9" t="s">
        <v>51</v>
      </c>
      <c r="G171" s="136" t="s">
        <v>187</v>
      </c>
      <c r="H171" s="206"/>
      <c r="I171" s="104" t="s">
        <v>10</v>
      </c>
      <c r="J171" s="252"/>
      <c r="K171" s="3">
        <v>0.05</v>
      </c>
      <c r="L171" s="8" t="s">
        <v>3</v>
      </c>
      <c r="M171" s="9" t="s">
        <v>51</v>
      </c>
      <c r="N171" s="136" t="s">
        <v>187</v>
      </c>
    </row>
    <row r="172" spans="1:14">
      <c r="A172" s="80"/>
      <c r="B172" s="104" t="s">
        <v>12</v>
      </c>
      <c r="C172" s="252"/>
      <c r="D172" s="64">
        <v>0.15</v>
      </c>
      <c r="E172" s="8" t="s">
        <v>3</v>
      </c>
      <c r="F172" s="9" t="s">
        <v>52</v>
      </c>
      <c r="G172" s="136" t="s">
        <v>187</v>
      </c>
      <c r="H172" s="206"/>
      <c r="I172" s="104" t="s">
        <v>12</v>
      </c>
      <c r="J172" s="252"/>
      <c r="K172" s="3">
        <v>0.15</v>
      </c>
      <c r="L172" s="8" t="s">
        <v>3</v>
      </c>
      <c r="M172" s="9" t="s">
        <v>52</v>
      </c>
      <c r="N172" s="136" t="s">
        <v>187</v>
      </c>
    </row>
    <row r="173" spans="1:14">
      <c r="A173" s="80"/>
      <c r="B173" s="104" t="s">
        <v>171</v>
      </c>
      <c r="C173" s="252"/>
      <c r="D173" s="64">
        <v>0.05</v>
      </c>
      <c r="E173" s="8" t="s">
        <v>3</v>
      </c>
      <c r="F173" s="9" t="s">
        <v>51</v>
      </c>
      <c r="G173" s="136" t="s">
        <v>187</v>
      </c>
      <c r="H173" s="206"/>
      <c r="I173" s="104" t="s">
        <v>171</v>
      </c>
      <c r="J173" s="252"/>
      <c r="K173" s="3">
        <v>0.05</v>
      </c>
      <c r="L173" s="8" t="s">
        <v>3</v>
      </c>
      <c r="M173" s="9" t="s">
        <v>51</v>
      </c>
      <c r="N173" s="136" t="s">
        <v>187</v>
      </c>
    </row>
    <row r="174" spans="1:14" ht="15">
      <c r="A174" s="80"/>
      <c r="B174" s="106" t="s">
        <v>5</v>
      </c>
      <c r="C174" s="253"/>
      <c r="D174" s="99">
        <f>SUBTOTAL(109,D166:D173)</f>
        <v>1.55</v>
      </c>
      <c r="E174" s="145" t="s">
        <v>187</v>
      </c>
      <c r="F174" s="132" t="s">
        <v>187</v>
      </c>
      <c r="G174" s="116" t="s">
        <v>187</v>
      </c>
      <c r="H174" s="206"/>
      <c r="I174" s="106" t="s">
        <v>5</v>
      </c>
      <c r="J174" s="253"/>
      <c r="K174" s="101">
        <f>SUBTOTAL(109,K166:K173)</f>
        <v>1.59</v>
      </c>
      <c r="L174" s="145" t="s">
        <v>187</v>
      </c>
      <c r="M174" s="132" t="s">
        <v>187</v>
      </c>
      <c r="N174" s="116" t="s">
        <v>187</v>
      </c>
    </row>
    <row r="175" spans="1:14">
      <c r="A175" s="80"/>
      <c r="B175" s="104" t="s">
        <v>6</v>
      </c>
      <c r="C175" s="252"/>
      <c r="D175" s="64">
        <v>0.06</v>
      </c>
      <c r="E175" s="1" t="s">
        <v>23</v>
      </c>
      <c r="F175" s="10" t="s">
        <v>58</v>
      </c>
      <c r="G175" s="115" t="s">
        <v>19</v>
      </c>
      <c r="H175" s="206"/>
      <c r="I175" s="104" t="s">
        <v>6</v>
      </c>
      <c r="J175" s="252"/>
      <c r="K175" s="3">
        <v>0.06</v>
      </c>
      <c r="L175" s="1" t="s">
        <v>23</v>
      </c>
      <c r="M175" s="10" t="s">
        <v>133</v>
      </c>
      <c r="N175" s="115" t="s">
        <v>19</v>
      </c>
    </row>
    <row r="176" spans="1:14" ht="30">
      <c r="A176" s="80"/>
      <c r="B176" s="219" t="s">
        <v>225</v>
      </c>
      <c r="C176" s="254"/>
      <c r="D176" s="148">
        <v>3.0000000000000001E-3</v>
      </c>
      <c r="E176" s="151" t="s">
        <v>187</v>
      </c>
      <c r="F176" s="152" t="s">
        <v>187</v>
      </c>
      <c r="G176" s="153" t="s">
        <v>187</v>
      </c>
      <c r="H176" s="206"/>
      <c r="I176" s="219" t="s">
        <v>225</v>
      </c>
      <c r="J176" s="254"/>
      <c r="K176" s="150">
        <v>3.0000000000000001E-3</v>
      </c>
      <c r="L176" s="152" t="s">
        <v>187</v>
      </c>
      <c r="M176" s="152" t="s">
        <v>187</v>
      </c>
      <c r="N176" s="153" t="s">
        <v>187</v>
      </c>
    </row>
    <row r="177" spans="1:14" ht="21" customHeight="1">
      <c r="A177" s="70"/>
      <c r="B177" s="161" t="s">
        <v>187</v>
      </c>
      <c r="C177" s="162" t="s">
        <v>187</v>
      </c>
      <c r="D177" s="162" t="s">
        <v>187</v>
      </c>
      <c r="E177" s="162" t="s">
        <v>187</v>
      </c>
      <c r="F177" s="162" t="s">
        <v>187</v>
      </c>
      <c r="G177" s="172" t="s">
        <v>187</v>
      </c>
      <c r="H177" s="197"/>
      <c r="I177" s="76"/>
      <c r="J177" s="77"/>
      <c r="K177" s="78"/>
      <c r="L177" s="77"/>
      <c r="M177" s="77"/>
      <c r="N177" s="174"/>
    </row>
    <row r="178" spans="1:14" ht="51.75" customHeight="1">
      <c r="A178" s="79" t="s">
        <v>164</v>
      </c>
      <c r="B178" s="32" t="s">
        <v>166</v>
      </c>
      <c r="C178" s="33"/>
      <c r="D178" s="34"/>
      <c r="E178" s="81"/>
      <c r="F178" s="33"/>
      <c r="G178" s="170"/>
      <c r="H178" s="205" t="s">
        <v>164</v>
      </c>
      <c r="I178" s="32" t="s">
        <v>168</v>
      </c>
      <c r="J178" s="33"/>
      <c r="K178" s="34"/>
      <c r="L178" s="35"/>
      <c r="M178" s="33"/>
      <c r="N178" s="170"/>
    </row>
    <row r="179" spans="1:14" ht="40.35" customHeight="1">
      <c r="A179" s="80"/>
      <c r="B179" s="119" t="s">
        <v>0</v>
      </c>
      <c r="C179" s="120" t="s">
        <v>220</v>
      </c>
      <c r="D179" s="120" t="s">
        <v>198</v>
      </c>
      <c r="E179" s="121" t="s">
        <v>30</v>
      </c>
      <c r="F179" s="121" t="s">
        <v>20</v>
      </c>
      <c r="G179" s="122" t="s">
        <v>35</v>
      </c>
      <c r="H179" s="206"/>
      <c r="I179" s="119" t="s">
        <v>0</v>
      </c>
      <c r="J179" s="120" t="s">
        <v>220</v>
      </c>
      <c r="K179" s="120" t="s">
        <v>198</v>
      </c>
      <c r="L179" s="121" t="s">
        <v>30</v>
      </c>
      <c r="M179" s="121" t="s">
        <v>20</v>
      </c>
      <c r="N179" s="122" t="s">
        <v>35</v>
      </c>
    </row>
    <row r="180" spans="1:14" ht="15.75">
      <c r="A180" s="80"/>
      <c r="B180" s="104" t="s">
        <v>169</v>
      </c>
      <c r="C180" s="3">
        <v>0.4904</v>
      </c>
      <c r="D180" s="3">
        <v>0.85</v>
      </c>
      <c r="E180" s="156" t="s">
        <v>187</v>
      </c>
      <c r="F180" s="246" t="s">
        <v>187</v>
      </c>
      <c r="G180" s="247" t="s">
        <v>187</v>
      </c>
      <c r="H180" s="206"/>
      <c r="I180" s="154" t="s">
        <v>187</v>
      </c>
      <c r="J180" s="250" t="s">
        <v>187</v>
      </c>
      <c r="K180" s="250" t="s">
        <v>187</v>
      </c>
      <c r="L180" s="246" t="s">
        <v>187</v>
      </c>
      <c r="M180" s="246" t="s">
        <v>187</v>
      </c>
      <c r="N180" s="247" t="s">
        <v>187</v>
      </c>
    </row>
    <row r="181" spans="1:14" ht="33.75" customHeight="1">
      <c r="A181" s="80"/>
      <c r="B181" s="104" t="s">
        <v>138</v>
      </c>
      <c r="C181" s="3">
        <v>0.1099</v>
      </c>
      <c r="D181" s="3">
        <v>0.16</v>
      </c>
      <c r="E181" s="1" t="s">
        <v>4</v>
      </c>
      <c r="F181" s="4" t="s">
        <v>133</v>
      </c>
      <c r="G181" s="114" t="s">
        <v>218</v>
      </c>
      <c r="H181" s="206"/>
      <c r="I181" s="104" t="s">
        <v>228</v>
      </c>
      <c r="J181" s="3">
        <v>0.1507</v>
      </c>
      <c r="K181" s="3">
        <v>0.2</v>
      </c>
      <c r="L181" s="1" t="s">
        <v>4</v>
      </c>
      <c r="M181" s="4" t="s">
        <v>64</v>
      </c>
      <c r="N181" s="114" t="s">
        <v>218</v>
      </c>
    </row>
    <row r="182" spans="1:14">
      <c r="A182" s="80"/>
      <c r="B182" s="104" t="s">
        <v>2</v>
      </c>
      <c r="C182" s="3">
        <v>5.9700000000000003E-2</v>
      </c>
      <c r="D182" s="3">
        <v>0.05</v>
      </c>
      <c r="E182" s="1" t="s">
        <v>3</v>
      </c>
      <c r="F182" s="4" t="s">
        <v>51</v>
      </c>
      <c r="G182" s="114" t="s">
        <v>14</v>
      </c>
      <c r="H182" s="206"/>
      <c r="I182" s="104" t="s">
        <v>2</v>
      </c>
      <c r="J182" s="3">
        <v>0.45140000000000002</v>
      </c>
      <c r="K182" s="3">
        <v>0.45</v>
      </c>
      <c r="L182" s="1" t="s">
        <v>3</v>
      </c>
      <c r="M182" s="4" t="s">
        <v>174</v>
      </c>
      <c r="N182" s="114" t="s">
        <v>14</v>
      </c>
    </row>
    <row r="183" spans="1:14" ht="28.5">
      <c r="A183" s="80"/>
      <c r="B183" s="105" t="s">
        <v>137</v>
      </c>
      <c r="C183" s="3">
        <v>7.1099999999999997E-2</v>
      </c>
      <c r="D183" s="3">
        <v>0.06</v>
      </c>
      <c r="E183" s="1" t="s">
        <v>4</v>
      </c>
      <c r="F183" s="4" t="s">
        <v>58</v>
      </c>
      <c r="G183" s="114" t="s">
        <v>183</v>
      </c>
      <c r="H183" s="206"/>
      <c r="I183" s="104" t="s">
        <v>137</v>
      </c>
      <c r="J183" s="3">
        <v>0.2954</v>
      </c>
      <c r="K183" s="3">
        <v>0.3</v>
      </c>
      <c r="L183" s="1" t="s">
        <v>4</v>
      </c>
      <c r="M183" s="4" t="s">
        <v>61</v>
      </c>
      <c r="N183" s="114" t="s">
        <v>183</v>
      </c>
    </row>
    <row r="184" spans="1:14">
      <c r="A184" s="80"/>
      <c r="B184" s="104" t="s">
        <v>12</v>
      </c>
      <c r="C184" s="3">
        <v>0.26889999999999997</v>
      </c>
      <c r="D184" s="3">
        <v>0.15</v>
      </c>
      <c r="E184" s="1" t="s">
        <v>3</v>
      </c>
      <c r="F184" s="9" t="s">
        <v>52</v>
      </c>
      <c r="G184" s="116" t="s">
        <v>187</v>
      </c>
      <c r="H184" s="206"/>
      <c r="I184" s="104" t="s">
        <v>12</v>
      </c>
      <c r="J184" s="3">
        <v>0.10249999999999999</v>
      </c>
      <c r="K184" s="3">
        <v>0.15</v>
      </c>
      <c r="L184" s="1" t="s">
        <v>3</v>
      </c>
      <c r="M184" s="9" t="s">
        <v>52</v>
      </c>
      <c r="N184" s="116" t="s">
        <v>187</v>
      </c>
    </row>
    <row r="185" spans="1:14" ht="15">
      <c r="A185" s="80"/>
      <c r="B185" s="106" t="s">
        <v>5</v>
      </c>
      <c r="C185" s="27">
        <f>SUBTOTAL(109,C180:C184)</f>
        <v>1</v>
      </c>
      <c r="D185" s="27">
        <f>SUBTOTAL(109,D180:D184)</f>
        <v>1.27</v>
      </c>
      <c r="E185" s="117" t="s">
        <v>187</v>
      </c>
      <c r="F185" s="118" t="s">
        <v>187</v>
      </c>
      <c r="G185" s="228" t="s">
        <v>187</v>
      </c>
      <c r="H185" s="206"/>
      <c r="I185" s="106" t="s">
        <v>5</v>
      </c>
      <c r="J185" s="27">
        <f>SUBTOTAL(109,J180:J184)</f>
        <v>1</v>
      </c>
      <c r="K185" s="27">
        <f>SUBTOTAL(109,K180:K184)</f>
        <v>1.0999999999999999</v>
      </c>
      <c r="L185" s="118" t="s">
        <v>187</v>
      </c>
      <c r="M185" s="118" t="s">
        <v>187</v>
      </c>
      <c r="N185" s="228" t="s">
        <v>187</v>
      </c>
    </row>
    <row r="186" spans="1:14">
      <c r="A186" s="80"/>
      <c r="B186" s="104" t="s">
        <v>6</v>
      </c>
      <c r="C186" s="11">
        <v>6.6699999999999995E-2</v>
      </c>
      <c r="D186" s="11">
        <v>0.06</v>
      </c>
      <c r="E186" s="1" t="s">
        <v>4</v>
      </c>
      <c r="F186" s="9" t="s">
        <v>58</v>
      </c>
      <c r="G186" s="114" t="s">
        <v>19</v>
      </c>
      <c r="H186" s="206"/>
      <c r="I186" s="104" t="s">
        <v>6</v>
      </c>
      <c r="J186" s="3">
        <v>0</v>
      </c>
      <c r="K186" s="11">
        <v>0.16</v>
      </c>
      <c r="L186" s="1" t="s">
        <v>4</v>
      </c>
      <c r="M186" s="9" t="s">
        <v>133</v>
      </c>
      <c r="N186" s="114" t="s">
        <v>19</v>
      </c>
    </row>
    <row r="187" spans="1:14" ht="30">
      <c r="A187" s="80"/>
      <c r="B187" s="219" t="s">
        <v>225</v>
      </c>
      <c r="C187" s="248">
        <v>2E-3</v>
      </c>
      <c r="D187" s="241" t="s">
        <v>187</v>
      </c>
      <c r="E187" s="241" t="s">
        <v>187</v>
      </c>
      <c r="F187" s="241" t="s">
        <v>187</v>
      </c>
      <c r="G187" s="249" t="s">
        <v>187</v>
      </c>
      <c r="H187" s="206"/>
      <c r="I187" s="219" t="s">
        <v>225</v>
      </c>
      <c r="J187" s="248">
        <v>2E-3</v>
      </c>
      <c r="K187" s="241" t="s">
        <v>187</v>
      </c>
      <c r="L187" s="241" t="s">
        <v>187</v>
      </c>
      <c r="M187" s="241" t="s">
        <v>187</v>
      </c>
      <c r="N187" s="249" t="s">
        <v>187</v>
      </c>
    </row>
    <row r="188" spans="1:14" ht="15">
      <c r="A188" s="70"/>
      <c r="B188" s="161" t="s">
        <v>187</v>
      </c>
      <c r="C188" s="162" t="s">
        <v>187</v>
      </c>
      <c r="D188" s="162" t="s">
        <v>187</v>
      </c>
      <c r="E188" s="162" t="s">
        <v>187</v>
      </c>
      <c r="F188" s="162" t="s">
        <v>187</v>
      </c>
      <c r="G188" s="172" t="s">
        <v>187</v>
      </c>
      <c r="H188" s="197"/>
      <c r="I188" s="76"/>
      <c r="J188" s="77"/>
      <c r="K188" s="78"/>
      <c r="L188" s="77"/>
      <c r="M188" s="77"/>
      <c r="N188" s="174"/>
    </row>
    <row r="189" spans="1:14" ht="51" customHeight="1">
      <c r="A189" s="255" t="s">
        <v>261</v>
      </c>
      <c r="B189" s="36" t="s">
        <v>259</v>
      </c>
      <c r="C189" s="37"/>
      <c r="D189" s="38"/>
      <c r="E189" s="82"/>
      <c r="F189" s="37"/>
      <c r="G189" s="170"/>
      <c r="H189" s="255" t="s">
        <v>261</v>
      </c>
      <c r="I189" s="36" t="s">
        <v>260</v>
      </c>
      <c r="J189" s="37"/>
      <c r="K189" s="38"/>
      <c r="L189" s="39"/>
      <c r="M189" s="37"/>
      <c r="N189" s="170"/>
    </row>
    <row r="190" spans="1:14" ht="15.75">
      <c r="A190" s="256"/>
      <c r="B190" s="119" t="s">
        <v>0</v>
      </c>
      <c r="C190" s="120" t="s">
        <v>220</v>
      </c>
      <c r="D190" s="120" t="s">
        <v>198</v>
      </c>
      <c r="E190" s="121" t="s">
        <v>30</v>
      </c>
      <c r="F190" s="121" t="s">
        <v>20</v>
      </c>
      <c r="G190" s="122" t="s">
        <v>35</v>
      </c>
      <c r="H190" s="256"/>
      <c r="I190" s="119" t="s">
        <v>0</v>
      </c>
      <c r="J190" s="120" t="s">
        <v>220</v>
      </c>
      <c r="K190" s="120" t="s">
        <v>198</v>
      </c>
      <c r="L190" s="121" t="s">
        <v>30</v>
      </c>
      <c r="M190" s="121" t="s">
        <v>20</v>
      </c>
      <c r="N190" s="122" t="s">
        <v>35</v>
      </c>
    </row>
    <row r="191" spans="1:14" ht="15.75">
      <c r="A191" s="256"/>
      <c r="B191" s="104" t="s">
        <v>169</v>
      </c>
      <c r="C191" s="251"/>
      <c r="D191" s="5">
        <v>0.3</v>
      </c>
      <c r="E191" s="143" t="s">
        <v>187</v>
      </c>
      <c r="F191" s="144" t="s">
        <v>187</v>
      </c>
      <c r="G191" s="149" t="s">
        <v>187</v>
      </c>
      <c r="H191" s="256"/>
      <c r="I191" s="154" t="s">
        <v>187</v>
      </c>
      <c r="J191" s="251"/>
      <c r="K191" s="5"/>
      <c r="L191" s="144" t="s">
        <v>187</v>
      </c>
      <c r="M191" s="144" t="s">
        <v>187</v>
      </c>
      <c r="N191" s="149" t="s">
        <v>187</v>
      </c>
    </row>
    <row r="192" spans="1:14" ht="28.5">
      <c r="A192" s="256"/>
      <c r="B192" s="104" t="s">
        <v>138</v>
      </c>
      <c r="C192" s="251"/>
      <c r="D192" s="3">
        <v>0.7</v>
      </c>
      <c r="E192" s="1" t="s">
        <v>4</v>
      </c>
      <c r="F192" s="4" t="s">
        <v>86</v>
      </c>
      <c r="G192" s="52" t="s">
        <v>249</v>
      </c>
      <c r="H192" s="256"/>
      <c r="I192" s="104" t="s">
        <v>138</v>
      </c>
      <c r="J192" s="251"/>
      <c r="K192" s="3">
        <v>0.95</v>
      </c>
      <c r="L192" s="1" t="s">
        <v>4</v>
      </c>
      <c r="M192" s="4" t="s">
        <v>122</v>
      </c>
      <c r="N192" s="52" t="s">
        <v>249</v>
      </c>
    </row>
    <row r="193" spans="1:14">
      <c r="A193" s="256"/>
      <c r="B193" s="104" t="s">
        <v>2</v>
      </c>
      <c r="C193" s="252"/>
      <c r="D193" s="3">
        <v>0.19</v>
      </c>
      <c r="E193" s="1" t="s">
        <v>3</v>
      </c>
      <c r="F193" s="4" t="s">
        <v>258</v>
      </c>
      <c r="G193" s="114" t="s">
        <v>14</v>
      </c>
      <c r="H193" s="256"/>
      <c r="I193" s="104" t="s">
        <v>2</v>
      </c>
      <c r="J193" s="252"/>
      <c r="K193" s="3">
        <v>0.28000000000000003</v>
      </c>
      <c r="L193" s="1" t="s">
        <v>3</v>
      </c>
      <c r="M193" s="4" t="s">
        <v>212</v>
      </c>
      <c r="N193" s="114" t="s">
        <v>14</v>
      </c>
    </row>
    <row r="194" spans="1:14" ht="28.5">
      <c r="A194" s="256"/>
      <c r="B194" s="105" t="s">
        <v>137</v>
      </c>
      <c r="C194" s="252"/>
      <c r="D194" s="3">
        <v>0.06</v>
      </c>
      <c r="E194" s="1" t="s">
        <v>4</v>
      </c>
      <c r="F194" s="4" t="s">
        <v>58</v>
      </c>
      <c r="G194" s="1" t="s">
        <v>15</v>
      </c>
      <c r="H194" s="256"/>
      <c r="I194" s="105" t="s">
        <v>137</v>
      </c>
      <c r="J194" s="252"/>
      <c r="K194" s="3">
        <v>0.06</v>
      </c>
      <c r="L194" s="1" t="s">
        <v>4</v>
      </c>
      <c r="M194" s="4" t="s">
        <v>58</v>
      </c>
      <c r="N194" s="1" t="s">
        <v>15</v>
      </c>
    </row>
    <row r="195" spans="1:14" ht="42.75">
      <c r="A195" s="256"/>
      <c r="B195" s="104" t="s">
        <v>170</v>
      </c>
      <c r="C195" s="252"/>
      <c r="D195" s="3">
        <v>0.05</v>
      </c>
      <c r="E195" s="8" t="s">
        <v>3</v>
      </c>
      <c r="F195" s="9" t="s">
        <v>51</v>
      </c>
      <c r="G195" s="136"/>
      <c r="H195" s="256"/>
      <c r="I195" s="104" t="s">
        <v>170</v>
      </c>
      <c r="J195" s="252"/>
      <c r="K195" s="3">
        <v>0.05</v>
      </c>
      <c r="L195" s="8" t="s">
        <v>3</v>
      </c>
      <c r="M195" s="9" t="s">
        <v>51</v>
      </c>
      <c r="N195" s="136"/>
    </row>
    <row r="196" spans="1:14">
      <c r="A196" s="256"/>
      <c r="B196" s="104" t="s">
        <v>10</v>
      </c>
      <c r="C196" s="252"/>
      <c r="D196" s="3">
        <v>0.05</v>
      </c>
      <c r="E196" s="8" t="s">
        <v>3</v>
      </c>
      <c r="F196" s="9" t="s">
        <v>51</v>
      </c>
      <c r="G196" s="136" t="s">
        <v>187</v>
      </c>
      <c r="H196" s="256"/>
      <c r="I196" s="104" t="s">
        <v>10</v>
      </c>
      <c r="J196" s="252"/>
      <c r="K196" s="3">
        <v>0.05</v>
      </c>
      <c r="L196" s="8" t="s">
        <v>3</v>
      </c>
      <c r="M196" s="9" t="s">
        <v>51</v>
      </c>
      <c r="N196" s="136"/>
    </row>
    <row r="197" spans="1:14">
      <c r="A197" s="256"/>
      <c r="B197" s="104" t="s">
        <v>12</v>
      </c>
      <c r="C197" s="252"/>
      <c r="D197" s="3">
        <v>0.15</v>
      </c>
      <c r="E197" s="8" t="s">
        <v>3</v>
      </c>
      <c r="F197" s="9" t="s">
        <v>52</v>
      </c>
      <c r="G197" s="1" t="s">
        <v>18</v>
      </c>
      <c r="H197" s="256"/>
      <c r="I197" s="104" t="s">
        <v>12</v>
      </c>
      <c r="J197" s="252"/>
      <c r="K197" s="3">
        <v>0.15</v>
      </c>
      <c r="L197" s="8" t="s">
        <v>3</v>
      </c>
      <c r="M197" s="9" t="s">
        <v>52</v>
      </c>
      <c r="N197" s="1" t="s">
        <v>18</v>
      </c>
    </row>
    <row r="198" spans="1:14">
      <c r="A198" s="256"/>
      <c r="B198" s="104" t="s">
        <v>171</v>
      </c>
      <c r="C198" s="252"/>
      <c r="D198" s="3">
        <v>0.05</v>
      </c>
      <c r="E198" s="8" t="s">
        <v>3</v>
      </c>
      <c r="F198" s="9" t="s">
        <v>51</v>
      </c>
      <c r="G198" s="136" t="s">
        <v>187</v>
      </c>
      <c r="H198" s="256"/>
      <c r="I198" s="104" t="s">
        <v>171</v>
      </c>
      <c r="J198" s="252"/>
      <c r="K198" s="3">
        <v>0.05</v>
      </c>
      <c r="L198" s="8" t="s">
        <v>3</v>
      </c>
      <c r="M198" s="9" t="s">
        <v>51</v>
      </c>
      <c r="N198" s="136"/>
    </row>
    <row r="199" spans="1:14" ht="15">
      <c r="A199" s="256"/>
      <c r="B199" s="106" t="s">
        <v>5</v>
      </c>
      <c r="C199" s="253"/>
      <c r="D199" s="99">
        <f>SUBTOTAL(109,D191:D198)</f>
        <v>1.55</v>
      </c>
      <c r="E199" s="145" t="s">
        <v>187</v>
      </c>
      <c r="F199" s="132" t="s">
        <v>187</v>
      </c>
      <c r="G199" s="116" t="s">
        <v>187</v>
      </c>
      <c r="H199" s="256"/>
      <c r="I199" s="106" t="s">
        <v>5</v>
      </c>
      <c r="J199" s="253"/>
      <c r="K199" s="99">
        <f>SUBTOTAL(109,K191:K198)</f>
        <v>1.59</v>
      </c>
      <c r="L199" s="145" t="s">
        <v>187</v>
      </c>
      <c r="M199" s="132" t="s">
        <v>187</v>
      </c>
      <c r="N199" s="116"/>
    </row>
    <row r="200" spans="1:14">
      <c r="A200" s="256"/>
      <c r="B200" s="104" t="s">
        <v>6</v>
      </c>
      <c r="C200" s="252"/>
      <c r="D200" s="3">
        <v>0.06</v>
      </c>
      <c r="E200" s="1" t="s">
        <v>23</v>
      </c>
      <c r="F200" s="10" t="s">
        <v>58</v>
      </c>
      <c r="G200" s="115" t="s">
        <v>19</v>
      </c>
      <c r="H200" s="256"/>
      <c r="I200" s="104" t="s">
        <v>6</v>
      </c>
      <c r="J200" s="252"/>
      <c r="K200" s="3">
        <v>0.06</v>
      </c>
      <c r="L200" s="1" t="s">
        <v>23</v>
      </c>
      <c r="M200" s="10" t="s">
        <v>58</v>
      </c>
      <c r="N200" s="115" t="s">
        <v>19</v>
      </c>
    </row>
    <row r="201" spans="1:14" ht="30">
      <c r="A201" s="256"/>
      <c r="B201" s="219" t="s">
        <v>225</v>
      </c>
      <c r="C201" s="254"/>
      <c r="D201" s="248">
        <v>3.0000000000000001E-3</v>
      </c>
      <c r="E201" s="151" t="s">
        <v>187</v>
      </c>
      <c r="F201" s="152" t="s">
        <v>187</v>
      </c>
      <c r="G201" s="153" t="s">
        <v>187</v>
      </c>
      <c r="H201" s="256"/>
      <c r="I201" s="219" t="s">
        <v>225</v>
      </c>
      <c r="J201" s="254"/>
      <c r="K201" s="248">
        <v>3.0000000000000001E-3</v>
      </c>
      <c r="L201" s="151" t="s">
        <v>187</v>
      </c>
      <c r="M201" s="152" t="s">
        <v>187</v>
      </c>
      <c r="N201" s="153" t="s">
        <v>187</v>
      </c>
    </row>
    <row r="202" spans="1:14" ht="21" customHeight="1">
      <c r="A202" s="71" t="s">
        <v>8</v>
      </c>
      <c r="B202" s="72"/>
      <c r="C202" s="73"/>
      <c r="D202" s="74"/>
      <c r="E202" s="73"/>
      <c r="F202" s="73"/>
      <c r="G202" s="173"/>
      <c r="H202" s="207" t="s">
        <v>8</v>
      </c>
      <c r="I202" s="163" t="s">
        <v>187</v>
      </c>
      <c r="J202" s="164" t="s">
        <v>187</v>
      </c>
      <c r="K202" s="164" t="s">
        <v>187</v>
      </c>
      <c r="L202" s="164" t="s">
        <v>187</v>
      </c>
      <c r="M202" s="164" t="s">
        <v>187</v>
      </c>
      <c r="N202" s="175" t="s">
        <v>187</v>
      </c>
    </row>
    <row r="203" spans="1:14" s="95" customFormat="1" ht="18.75" customHeight="1">
      <c r="A203" s="59" t="s">
        <v>135</v>
      </c>
      <c r="B203" s="60"/>
      <c r="C203" s="187"/>
      <c r="D203" s="187"/>
      <c r="E203" s="208"/>
      <c r="F203" s="187"/>
      <c r="G203" s="209"/>
      <c r="H203" s="210" t="s">
        <v>135</v>
      </c>
      <c r="I203" s="211"/>
      <c r="J203" s="187"/>
      <c r="K203" s="187"/>
      <c r="L203" s="187"/>
      <c r="M203" s="187"/>
      <c r="N203" s="209"/>
    </row>
    <row r="204" spans="1:14" ht="18.75" customHeight="1">
      <c r="A204" s="57" t="s">
        <v>134</v>
      </c>
      <c r="B204" s="61"/>
      <c r="C204" s="188"/>
      <c r="D204" s="188"/>
      <c r="E204" s="212"/>
      <c r="F204" s="188"/>
      <c r="G204" s="209"/>
      <c r="H204" s="213" t="s">
        <v>134</v>
      </c>
      <c r="I204" s="214"/>
      <c r="J204" s="188"/>
      <c r="K204" s="188"/>
      <c r="L204" s="188"/>
      <c r="M204" s="188"/>
      <c r="N204" s="209"/>
    </row>
    <row r="205" spans="1:14" ht="18" customHeight="1">
      <c r="A205" s="75"/>
      <c r="B205" s="72"/>
      <c r="C205" s="73"/>
      <c r="D205" s="74"/>
      <c r="E205" s="73"/>
      <c r="F205" s="73"/>
      <c r="G205" s="173"/>
      <c r="H205" s="76"/>
      <c r="I205" s="76"/>
      <c r="J205" s="77"/>
      <c r="K205" s="78"/>
      <c r="L205" s="77"/>
      <c r="M205" s="77"/>
      <c r="N205" s="174"/>
    </row>
    <row r="10014" spans="15:16">
      <c r="P10014" s="94">
        <v>3</v>
      </c>
    </row>
    <row r="10015" spans="15:16">
      <c r="O10015" s="94">
        <v>61</v>
      </c>
    </row>
  </sheetData>
  <mergeCells count="2">
    <mergeCell ref="A2:E2"/>
    <mergeCell ref="H2:K2"/>
  </mergeCells>
  <hyperlinks>
    <hyperlink ref="A204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204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2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השקעה מוצהרת לשנת 2026</dc:title>
  <dc:creator>Adi Cohen</dc:creator>
  <cp:lastModifiedBy>Chen Rosenstein</cp:lastModifiedBy>
  <cp:lastPrinted>2025-12-02T12:20:37Z</cp:lastPrinted>
  <dcterms:created xsi:type="dcterms:W3CDTF">2019-11-21T10:57:46Z</dcterms:created>
  <dcterms:modified xsi:type="dcterms:W3CDTF">2026-10-26T13:50:57Z</dcterms:modified>
  <dc:language>עברית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