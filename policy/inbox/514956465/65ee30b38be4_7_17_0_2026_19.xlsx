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drawings/drawing2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G:\.shortcut-targets-by-id\1nExi9hsx3qzG2PhXupxl_rGrxifX19wI\CHEN\לקוחות\תיק לקוחות\הנגשת מסמכים\מור\מור גמל ופנסיה\2026\10.26\26.10\מונגש\"/>
    </mc:Choice>
  </mc:AlternateContent>
  <xr:revisionPtr revIDLastSave="0" documentId="13_ncr:1_{A80FB18E-30CB-4C87-9262-0008C2683E6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'!$A$4:$N$207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1" i="21" l="1"/>
  <c r="D201" i="21"/>
  <c r="D150" i="22"/>
  <c r="E150" i="22"/>
  <c r="F150" i="22"/>
  <c r="D138" i="22"/>
  <c r="E138" i="22"/>
  <c r="F138" i="22"/>
  <c r="E126" i="22"/>
  <c r="F126" i="22"/>
  <c r="D110" i="22"/>
  <c r="E110" i="22"/>
  <c r="F110" i="22"/>
  <c r="D93" i="22"/>
  <c r="E93" i="22"/>
  <c r="F93" i="22"/>
  <c r="F16" i="22"/>
  <c r="K187" i="21"/>
  <c r="D187" i="21"/>
  <c r="K176" i="21"/>
  <c r="D176" i="21"/>
  <c r="K162" i="21"/>
  <c r="D162" i="21"/>
  <c r="K151" i="21"/>
  <c r="D151" i="21"/>
  <c r="K140" i="21"/>
  <c r="D140" i="21"/>
  <c r="K129" i="21"/>
  <c r="D129" i="21"/>
  <c r="K118" i="21"/>
  <c r="D118" i="21"/>
  <c r="K107" i="21"/>
  <c r="D107" i="21"/>
  <c r="K96" i="21"/>
  <c r="D96" i="21"/>
  <c r="K85" i="21"/>
  <c r="D85" i="21"/>
  <c r="K71" i="21"/>
  <c r="D71" i="21"/>
  <c r="K57" i="21"/>
  <c r="D57" i="21"/>
  <c r="K43" i="21"/>
  <c r="D43" i="21"/>
  <c r="K29" i="21"/>
  <c r="D29" i="21"/>
  <c r="K15" i="21"/>
  <c r="D15" i="21"/>
  <c r="F309" i="22"/>
  <c r="F299" i="22"/>
  <c r="F289" i="22"/>
  <c r="F274" i="22"/>
  <c r="F259" i="22"/>
  <c r="F244" i="22"/>
  <c r="F232" i="22"/>
  <c r="F221" i="22"/>
  <c r="F209" i="22"/>
  <c r="F197" i="22"/>
  <c r="F185" i="22"/>
  <c r="E185" i="22"/>
  <c r="F174" i="22"/>
  <c r="E174" i="22"/>
  <c r="F162" i="22"/>
  <c r="F76" i="22"/>
  <c r="F61" i="22"/>
  <c r="F46" i="22"/>
  <c r="F31" i="22"/>
  <c r="E16" i="22"/>
  <c r="J187" i="21"/>
  <c r="J162" i="21"/>
  <c r="J151" i="21"/>
  <c r="J140" i="21"/>
  <c r="J129" i="21"/>
  <c r="J118" i="21"/>
  <c r="J107" i="21"/>
  <c r="J96" i="21"/>
  <c r="J85" i="21"/>
  <c r="J71" i="21"/>
  <c r="J43" i="21"/>
  <c r="J29" i="21"/>
  <c r="C187" i="21"/>
  <c r="C162" i="21"/>
  <c r="C151" i="21"/>
  <c r="C140" i="21"/>
  <c r="C129" i="21"/>
  <c r="C118" i="21"/>
  <c r="C107" i="21"/>
  <c r="C96" i="21"/>
  <c r="C85" i="21"/>
  <c r="C71" i="21" l="1"/>
  <c r="C29" i="21"/>
  <c r="J57" i="21"/>
  <c r="C15" i="21"/>
  <c r="J15" i="21"/>
  <c r="C57" i="21"/>
  <c r="C43" i="21"/>
  <c r="E309" i="22"/>
  <c r="E299" i="22"/>
  <c r="E289" i="22"/>
  <c r="E274" i="22"/>
  <c r="E259" i="22"/>
  <c r="E244" i="22"/>
  <c r="D244" i="22"/>
  <c r="C244" i="22"/>
  <c r="E232" i="22"/>
  <c r="D232" i="22"/>
  <c r="D221" i="22"/>
  <c r="C221" i="22"/>
  <c r="E221" i="22"/>
  <c r="E209" i="22"/>
  <c r="D209" i="22"/>
  <c r="C209" i="22"/>
  <c r="E197" i="22"/>
  <c r="D197" i="22"/>
  <c r="C197" i="22"/>
  <c r="D185" i="22"/>
  <c r="D174" i="22"/>
  <c r="C174" i="22"/>
  <c r="E162" i="22"/>
  <c r="D162" i="22"/>
  <c r="C162" i="22"/>
  <c r="C150" i="22" l="1"/>
  <c r="C138" i="22"/>
  <c r="C110" i="22"/>
  <c r="E76" i="22" l="1"/>
  <c r="D126" i="22"/>
  <c r="E61" i="22"/>
  <c r="C93" i="22"/>
  <c r="E46" i="22"/>
  <c r="E31" i="22"/>
</calcChain>
</file>

<file path=xl/sharedStrings.xml><?xml version="1.0" encoding="utf-8"?>
<sst xmlns="http://schemas.openxmlformats.org/spreadsheetml/2006/main" count="3119" uniqueCount="268">
  <si>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</si>
  <si>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</si>
  <si>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</si>
  <si>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</si>
  <si>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</si>
  <si>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</si>
  <si>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</si>
  <si>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</si>
  <si>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</si>
  <si>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</si>
  <si>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</si>
  <si>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</si>
  <si>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</si>
  <si>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</si>
  <si>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</si>
  <si>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</si>
  <si>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</si>
  <si>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</si>
  <si>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</si>
  <si>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</si>
  <si>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</si>
  <si>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</si>
  <si>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</si>
  <si>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</si>
  <si>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</si>
  <si>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</si>
  <si>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</si>
  <si>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</si>
  <si>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</si>
  <si>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</si>
  <si>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</si>
  <si>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</si>
  <si>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</si>
  <si>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</si>
  <si>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</si>
  <si>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</si>
  <si>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</si>
  <si>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</si>
  <si>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</si>
  <si>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</si>
  <si>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</si>
  <si>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</si>
  <si>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</si>
  <si>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</si>
  <si>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</si>
  <si>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</si>
  <si>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</si>
  <si>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</si>
  <si>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</si>
  <si>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</si>
  <si>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</si>
  <si>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</si>
  <si>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</si>
  <si>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</si>
  <si>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</si>
  <si>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</si>
  <si>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</si>
  <si>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</si>
  <si>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</si>
  <si>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</si>
  <si>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</si>
  <si>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</si>
  <si>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</si>
  <si>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</si>
  <si>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</si>
  <si>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</si>
  <si>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</si>
  <si>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</si>
  <si>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</si>
  <si>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</si>
  <si>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</si>
  <si>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</si>
  <si>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</si>
  <si>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</si>
  <si>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</si>
  <si>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</si>
  <si>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</si>
  <si>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</si>
  <si>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</si>
  <si>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</si>
  <si>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</si>
  <si>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</si>
  <si>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</si>
  <si>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</si>
  <si>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</si>
  <si>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</si>
  <si>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</si>
  <si>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</si>
  <si>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</si>
  <si>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</si>
  <si>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</si>
  <si>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</si>
  <si>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</si>
  <si>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</si>
  <si>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</si>
  <si>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</si>
  <si>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</si>
  <si>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</si>
  <si>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</si>
  <si>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</si>
  <si>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</si>
  <si>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</si>
  <si>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</si>
  <si>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</si>
  <si>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</si>
  <si>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</si>
  <si>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</si>
  <si>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</si>
  <si>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</si>
  <si>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</si>
  <si>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</si>
  <si>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</si>
  <si>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</si>
  <si>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</si>
  <si>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</si>
  <si>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</si>
  <si>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</si>
  <si>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</si>
  <si>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</si>
  <si>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</si>
  <si>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</si>
  <si>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</si>
  <si>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</si>
  <si>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</si>
  <si>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</si>
  <si>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</si>
  <si>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</si>
  <si>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</si>
  <si>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</si>
  <si>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</si>
  <si>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</si>
  <si>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</si>
  <si>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</si>
  <si>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</si>
  <si>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</si>
  <si>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</si>
  <si>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</si>
  <si>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</si>
  <si>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</si>
  <si>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</si>
  <si>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</si>
  <si>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</si>
  <si>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</si>
  <si>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</si>
  <si>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</si>
  <si>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</si>
  <si>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</si>
  <si>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</si>
  <si>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</si>
  <si>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</si>
  <si>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</si>
  <si>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</si>
  <si>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</si>
  <si>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</si>
  <si>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</si>
  <si>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</si>
  <si>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</si>
  <si>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</si>
  <si>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</si>
  <si>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</si>
  <si>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</si>
  <si>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</si>
  <si>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</si>
  <si>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</si>
  <si>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</si>
  <si>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</si>
  <si>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</si>
  <si>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</si>
  <si>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</si>
  <si>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</si>
  <si>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</si>
  <si>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</si>
  <si>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</si>
  <si>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</si>
  <si>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</si>
  <si>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</si>
  <si>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</si>
  <si>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</si>
  <si>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</si>
  <si>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</si>
  <si>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</si>
  <si>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</si>
  <si>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</si>
  <si>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</si>
  <si>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</si>
  <si>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</si>
  <si>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</si>
  <si>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</si>
  <si>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</si>
  <si>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</si>
  <si>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</si>
  <si>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</si>
  <si>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</si>
  <si>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</si>
  <si>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</si>
  <si>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</si>
  <si>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</si>
  <si>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</si>
  <si>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</si>
  <si>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</si>
  <si>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</si>
  <si>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</si>
  <si>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</si>
  <si>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</si>
  <si>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</si>
  <si>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</si>
  <si>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</si>
  <si>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</si>
  <si>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</si>
  <si>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</si>
  <si>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</si>
  <si>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</si>
  <si>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</si>
  <si>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</si>
  <si>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</si>
  <si>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</si>
  <si>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</si>
  <si>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</si>
  <si>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</si>
  <si>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</si>
  <si>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</si>
  <si>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</si>
  <si>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</si>
  <si>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</si>
  <si>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</si>
  <si>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</si>
  <si>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</si>
  <si>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</si>
  <si>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</si>
  <si>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</si>
  <si>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</si>
  <si>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</si>
  <si>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</si>
  <si>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</si>
  <si>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</si>
  <si>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</si>
  <si>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</si>
  <si>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</si>
  <si>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</si>
  <si>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</si>
  <si>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</si>
  <si>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</si>
  <si>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</si>
  <si>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</si>
  <si>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</si>
  <si>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</si>
  <si>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</si>
  <si>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</si>
  <si>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</si>
  <si>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</si>
  <si>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</si>
  <si>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</si>
  <si>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</si>
  <si>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</si>
  <si>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</si>
  <si>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</si>
  <si>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</si>
  <si>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</si>
  <si>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12% - 14%</t>
  </si>
  <si>
    <t>מ"ה: 15892 - מור פנסיה מקיפה - הלכה</t>
  </si>
  <si>
    <t>מ"ה: 15893 - מור פנסיה כללית - הלכה</t>
  </si>
  <si>
    <t>מסלולי הלכה</t>
  </si>
  <si>
    <t>גמל- מדיניות מוצהרת לשנת 2026</t>
  </si>
  <si>
    <t>ריק במקור4</t>
  </si>
  <si>
    <t>ריק במקור5</t>
  </si>
  <si>
    <t>פנסיה מקיפה ופנסיה כללית- מדיניות מוצהרת 2026</t>
  </si>
  <si>
    <t>גמל- מדיניות מוצהרת</t>
  </si>
  <si>
    <t>פנסיה מקיפה ופנסיה כללית- מדיניות מוצהרת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</si>
</sst>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3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  <font>
      <b/>
      <sz val="15"/>
      <color theme="3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15" applyNumberFormat="0" applyFill="0" applyAlignment="0" applyProtection="0"/>
  </cellStyleXfs>
  <cellXfs count="271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0" fontId="5" fillId="0" borderId="13" xfId="0" applyFont="1" applyBorder="1" applyAlignment="1">
      <alignment horizontal="right" vertical="center" wrapText="1" readingOrder="2"/>
    </xf>
    <xf numFmtId="165" fontId="7" fillId="2" borderId="4" xfId="0" applyNumberFormat="1" applyFont="1" applyFill="1" applyBorder="1" applyAlignment="1">
      <alignment horizontal="center" vertical="center" wrapText="1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165" fontId="5" fillId="12" borderId="2" xfId="0" applyNumberFormat="1" applyFont="1" applyFill="1" applyBorder="1" applyAlignment="1">
      <alignment horizontal="center" vertical="center" wrapText="1"/>
    </xf>
    <xf numFmtId="165" fontId="13" fillId="2" borderId="2" xfId="0" applyNumberFormat="1" applyFont="1" applyFill="1" applyBorder="1" applyAlignment="1">
      <alignment horizontal="center" vertical="center" wrapText="1" readingOrder="2"/>
    </xf>
    <xf numFmtId="165" fontId="13" fillId="2" borderId="4" xfId="0" applyNumberFormat="1" applyFont="1" applyFill="1" applyBorder="1" applyAlignment="1">
      <alignment horizontal="center" vertical="center" wrapText="1" readingOrder="2"/>
    </xf>
    <xf numFmtId="10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9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wrapText="1" readingOrder="2"/>
    </xf>
    <xf numFmtId="10" fontId="5" fillId="11" borderId="11" xfId="0" applyNumberFormat="1" applyFont="1" applyFill="1" applyBorder="1" applyAlignment="1">
      <alignment horizontal="center" vertical="center" wrapText="1"/>
    </xf>
    <xf numFmtId="10" fontId="5" fillId="11" borderId="5" xfId="0" applyNumberFormat="1" applyFont="1" applyFill="1" applyBorder="1" applyAlignment="1">
      <alignment horizontal="center" vertical="center" wrapText="1"/>
    </xf>
    <xf numFmtId="10" fontId="7" fillId="11" borderId="2" xfId="1" applyNumberFormat="1" applyFont="1" applyFill="1" applyBorder="1" applyAlignment="1">
      <alignment horizontal="center" vertical="center" wrapText="1"/>
    </xf>
    <xf numFmtId="10" fontId="7" fillId="11" borderId="3" xfId="1" applyNumberFormat="1" applyFont="1" applyFill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22" fillId="11" borderId="15" xfId="5" applyFill="1"/>
    <xf numFmtId="10" fontId="5" fillId="0" borderId="2" xfId="1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 readingOrder="2"/>
    </xf>
    <xf numFmtId="0" fontId="13" fillId="2" borderId="13" xfId="0" applyFont="1" applyFill="1" applyBorder="1" applyAlignment="1">
      <alignment horizontal="center" vertical="center" wrapText="1" readingOrder="2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0" fontId="13" fillId="0" borderId="5" xfId="0" applyFont="1" applyBorder="1" applyAlignment="1">
      <alignment horizontal="center" vertical="center" wrapText="1" readingOrder="2"/>
    </xf>
    <xf numFmtId="0" fontId="5" fillId="2" borderId="10" xfId="0" applyFont="1" applyFill="1" applyBorder="1" applyAlignment="1">
      <alignment horizontal="right" vertical="center" wrapText="1" readingOrder="2"/>
    </xf>
    <xf numFmtId="165" fontId="14" fillId="0" borderId="16" xfId="0" applyNumberFormat="1" applyFont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 readingOrder="2"/>
    </xf>
    <xf numFmtId="165" fontId="5" fillId="0" borderId="16" xfId="0" applyNumberFormat="1" applyFont="1" applyBorder="1" applyAlignment="1">
      <alignment horizontal="center" vertical="center" wrapText="1"/>
    </xf>
    <xf numFmtId="165" fontId="5" fillId="2" borderId="16" xfId="0" applyNumberFormat="1" applyFont="1" applyFill="1" applyBorder="1" applyAlignment="1">
      <alignment horizontal="center" vertical="center" wrapText="1" readingOrder="2"/>
    </xf>
    <xf numFmtId="0" fontId="5" fillId="2" borderId="9" xfId="0" applyFont="1" applyFill="1" applyBorder="1" applyAlignment="1">
      <alignment horizontal="center" vertical="center" wrapText="1"/>
    </xf>
    <xf numFmtId="165" fontId="5" fillId="2" borderId="9" xfId="0" applyNumberFormat="1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</cellXfs>
  <cellStyles count="6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  <cellStyle name="כותרת 1" xfId="5" builtinId="16"/>
  </cellStyles>
  <dxfs count="2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3</xdr:row>
      <xdr:rowOff>0</xdr:rowOff>
    </xdr:from>
    <xdr:ext cx="2679246" cy="806366"/>
    <xdr:pic>
      <xdr:nvPicPr>
        <xdr:cNvPr id="3" name="תמונה 2" descr="לוגו מור גמל ופנסיה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3</xdr:row>
      <xdr:rowOff>269669</xdr:rowOff>
    </xdr:from>
    <xdr:to>
      <xdr:col>6</xdr:col>
      <xdr:colOff>1176167</xdr:colOff>
      <xdr:row>3</xdr:row>
      <xdr:rowOff>603044</xdr:rowOff>
    </xdr:to>
    <xdr:pic>
      <xdr:nvPicPr>
        <xdr:cNvPr id="2" name="Picture 1" descr="סמל נגישות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3</xdr:row>
      <xdr:rowOff>41131</xdr:rowOff>
    </xdr:from>
    <xdr:ext cx="3190299" cy="960176"/>
    <xdr:pic>
      <xdr:nvPicPr>
        <xdr:cNvPr id="6" name="תמונה 5" descr="לוגו מור גמל ופנסיה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3</xdr:row>
      <xdr:rowOff>41132</xdr:rowOff>
    </xdr:from>
    <xdr:ext cx="3190299" cy="960176"/>
    <xdr:pic>
      <xdr:nvPicPr>
        <xdr:cNvPr id="7" name="תמונה 6" descr="לוגו מור גמל ופנסיה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3</xdr:row>
      <xdr:rowOff>519544</xdr:rowOff>
    </xdr:from>
    <xdr:to>
      <xdr:col>11</xdr:col>
      <xdr:colOff>419966</xdr:colOff>
      <xdr:row>3</xdr:row>
      <xdr:rowOff>852919</xdr:rowOff>
    </xdr:to>
    <xdr:pic>
      <xdr:nvPicPr>
        <xdr:cNvPr id="5" name="Picture 4" descr="סמל נגישות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8:E329" totalsRowShown="0" headerRowDxfId="273" dataDxfId="272">
  <autoFilter ref="A328:E329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271" dataCellStyle="היפר-קישור"/>
    <tableColumn id="2" xr3:uid="{CBF90846-E2F6-4A91-AAB5-F031328D3A8E}" name="תא ריק במקור" dataDxfId="270"/>
    <tableColumn id="3" xr3:uid="{BE5D57AB-6227-434B-9DA4-5955FE1F5EC7}" name="תא ריק במקור2" dataDxfId="269"/>
    <tableColumn id="4" xr3:uid="{CF7BE9ED-9360-4DB8-BCE2-E6D115030C78}" name="תא ריק במקור3" dataDxfId="268"/>
    <tableColumn id="5" xr3:uid="{42DFA518-0A4C-4EDC-87B6-9C3D9414F840}" name="תא ריק במקור4" dataDxfId="26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7A008-F64A-4D6B-8BAB-0F39F24D2E9C}" name="TitleRegion1.b5.i17.1" displayName="TitleRegion1.b5.i17.1" ref="B6:I18" totalsRowShown="0" headerRowDxfId="266">
  <autoFilter ref="B6:I18" xr:uid="{E177A008-F64A-4D6B-8BAB-0F39F24D2E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3612B06-4410-40E1-9790-9A0FF0CB705F}" name="אפיק השקעה " dataDxfId="265"/>
    <tableColumn id="2" xr3:uid="{00904903-F926-4214-BE30-48719382B0C6}" name="ריק במקור" dataDxfId="264"/>
    <tableColumn id="3" xr3:uid="{2C0953E9-502B-4DF9-B77D-E00193576EBF}" name="ריק במקור2" dataDxfId="263"/>
    <tableColumn id="4" xr3:uid="{A02D653A-0B82-46C5-9B56-310D0B74931D}" name="שיעור החשיפה ליום 31/12/2025"/>
    <tableColumn id="5" xr3:uid="{DED4B801-C42A-4D59-AEA3-7F990675063E}" name="שיעור חשיפה צפוי לשנת 2026"/>
    <tableColumn id="6" xr3:uid="{6835AE12-ABF7-45F9-9C73-5CF1E2467644}" name="טווח סטיה מותר" dataDxfId="262"/>
    <tableColumn id="7" xr3:uid="{23303954-0F65-4862-B5F5-220E7E3D5C43}" name="גבולות שיעור החשיפה הצפויה"/>
    <tableColumn id="8" xr3:uid="{A3D7E5B9-81B7-4E66-A960-6B83908AC10B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CAF2A2-12C2-46FC-B040-1CA8D6F726AB}" name="TitleRegion1.b20.i32.2" displayName="TitleRegion1.b20.i32.2" ref="B21:I33" totalsRowShown="0" headerRowDxfId="261">
  <autoFilter ref="B21:I33" xr:uid="{0CCAF2A2-12C2-46FC-B040-1CA8D6F726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322DA0E-274D-4126-BF88-32A43F5CB827}" name="אפיק השקעה "/>
    <tableColumn id="2" xr3:uid="{DF1EF289-4D9D-49B0-B534-00C00821C903}" name="ריק במקור" dataDxfId="260"/>
    <tableColumn id="3" xr3:uid="{ABF4DE35-4C7A-4793-BEE4-1058B8E9D646}" name="ריק במקור2" dataDxfId="259"/>
    <tableColumn id="4" xr3:uid="{3C0468D8-1E10-4C17-B0E8-792E25F336CB}" name="שיעור החשיפה ליום 31/12/2025"/>
    <tableColumn id="5" xr3:uid="{C0DA30A4-E955-47EC-A3AE-1A351BEF2274}" name="שיעור חשיפה צפוי לשנת 2026"/>
    <tableColumn id="6" xr3:uid="{635BA311-59CD-44BA-9979-7098542CB1DB}" name="טווח סטיה מותר" dataDxfId="258"/>
    <tableColumn id="7" xr3:uid="{C5AD181C-786E-456D-87B1-1813B682EE2C}" name="גבולות שיעור החשיפה הצפויה"/>
    <tableColumn id="8" xr3:uid="{F695FE5F-A713-4621-A365-7CCBD477480D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2421E3-BC55-4042-83B2-B940E54D6533}" name="TitleRegion1.b35.i47.3" displayName="TitleRegion1.b35.i47.3" ref="B36:I48" totalsRowShown="0">
  <autoFilter ref="B36:I48" xr:uid="{FA2421E3-BC55-4042-83B2-B940E54D65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377A72F-F565-4C54-87AC-3FAA9A45A59A}" name="אפיק השקעה " dataDxfId="257"/>
    <tableColumn id="2" xr3:uid="{015FEC4E-389B-460B-8FD8-FBB6595D156F}" name="ריק במקור" dataDxfId="256"/>
    <tableColumn id="3" xr3:uid="{CC0200EB-BE20-4FA9-B7B9-470D884585A6}" name="ריק במקור2" dataDxfId="255"/>
    <tableColumn id="4" xr3:uid="{3D94E15D-5FF9-4DA7-BA0C-5E0137E469B9}" name="שיעור החשיפה ליום 31/12/2025"/>
    <tableColumn id="5" xr3:uid="{A16F9030-1BEF-4F93-8056-22EA34359566}" name="שיעור חשיפה צפוי לשנת 2026"/>
    <tableColumn id="6" xr3:uid="{D8A755CA-035D-47A6-9AB5-0B53A5868D26}" name="טווח סטיה מותר"/>
    <tableColumn id="7" xr3:uid="{6B0DD0BA-0E92-48FD-9363-6D8E7A3E1521}" name="גבולות שיעור החשיפה הצפויה"/>
    <tableColumn id="8" xr3:uid="{18F708D8-C339-4E38-AE19-B08564CC06CA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B0340F-4AAE-4E2E-A175-179CE92FFB4E}" name="TitleRegion1.b50.i62.4" displayName="TitleRegion1.b50.i62.4" ref="B51:I63" totalsRowShown="0" headerRowDxfId="254">
  <autoFilter ref="B51:I63" xr:uid="{D1B0340F-4AAE-4E2E-A175-179CE92FF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F7EC65B-BAD9-4B03-94E6-D601899AE5E6}" name="אפיק השקעה " dataDxfId="253"/>
    <tableColumn id="2" xr3:uid="{E02C2CF8-8936-491F-A153-2C04E4481821}" name="ריק במקור" dataDxfId="252"/>
    <tableColumn id="3" xr3:uid="{FDAE60AF-5E7B-460C-BC47-069CA9ECDB56}" name="ריק במקור2" dataDxfId="251"/>
    <tableColumn id="4" xr3:uid="{6474CEF6-D70D-44C2-85CD-CD7829A1D252}" name="שיעור החשיפה ליום 31/12/2025"/>
    <tableColumn id="5" xr3:uid="{DB864C76-834E-48F1-ABC6-C3ECAC31ACAF}" name="שיעור חשיפה צפוי לשנת 2026"/>
    <tableColumn id="6" xr3:uid="{AAC4B27D-2F6E-48BE-AE65-65DABB497C15}" name="טווח סטיה מותר" dataDxfId="250"/>
    <tableColumn id="7" xr3:uid="{AC546463-EEB2-433F-8067-217AB0AF8F69}" name="גבולות שיעור החשיפה הצפויה"/>
    <tableColumn id="8" xr3:uid="{43EAAF01-9CDB-4551-9703-A14068289AE4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C33C679-EBD6-412A-818D-B6DA8519197F}" name="TitleRegion1.b65.i77.5" displayName="TitleRegion1.b65.i77.5" ref="B66:I78" totalsRowShown="0" headerRowDxfId="249">
  <autoFilter ref="B66:I78" xr:uid="{CC33C679-EBD6-412A-818D-B6DA851919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B510BCA-FA4B-4B5A-9A22-6B59FFD637E5}" name="אפיק השקעה " dataDxfId="248"/>
    <tableColumn id="2" xr3:uid="{08526D0F-CB12-4EDF-9DA5-1E09F2A6532B}" name="ריק במקור" dataDxfId="247"/>
    <tableColumn id="3" xr3:uid="{6A0AD038-7AB5-4A10-8216-E8829BCB578D}" name="ריק במקור2" dataDxfId="246"/>
    <tableColumn id="4" xr3:uid="{A8FD4A46-251F-40E5-9E84-55C86B899E95}" name="שיעור החשיפה ליום 31/12/2025" dataDxfId="245"/>
    <tableColumn id="5" xr3:uid="{788D5877-B760-45B9-A84A-41E6D909B104}" name="שיעור חשיפה צפוי לשנת 2026" dataDxfId="244"/>
    <tableColumn id="6" xr3:uid="{1E2BF706-A219-4180-AFB5-E9952845FCE2}" name="טווח סטיה מותר" dataDxfId="243"/>
    <tableColumn id="7" xr3:uid="{C1745FC9-3241-42C4-8B73-62AC7F891772}" name="גבולות שיעור החשיפה הצפויה"/>
    <tableColumn id="8" xr3:uid="{A40EEF3C-B837-4EE2-9A03-566CCDCF9EE6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4032613-E740-42BB-AD72-700F2E0AFD68}" name="TitleRegion1.b82.i94.6" displayName="TitleRegion1.b82.i94.6" ref="B83:I95" totalsRowShown="0" headerRowDxfId="242" headerRowBorderDxfId="241" tableBorderDxfId="240">
  <autoFilter ref="B83:I95" xr:uid="{B4032613-E740-42BB-AD72-700F2E0AFD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340E6C-8387-4652-A6EF-8122E7CFA0A9}" name="אפיק השקעה " dataDxfId="239"/>
    <tableColumn id="2" xr3:uid="{188E9558-F993-4A97-8FC7-8EA714E5D79D}" name="תגמולים שיעור החשיפה ליום 31/12/2025 "/>
    <tableColumn id="3" xr3:uid="{B379DB06-131E-48DA-9FBA-FF8B6625DD4D}" name="השתלמות שיעור החשיפה ליום 31/12/2025"/>
    <tableColumn id="4" xr3:uid="{8ED81F82-6380-4B55-B6C8-5927CB2C7D71}" name=" השקעה שיעור החשיפה ליום 31/12/2025"/>
    <tableColumn id="5" xr3:uid="{8F140CA2-1133-48DE-B5E9-E63876C0C749}" name="שיעור חשיפה צפוי לשנת 2026"/>
    <tableColumn id="6" xr3:uid="{D1644094-3DC6-4566-81BD-405F3E2F5AA2}" name="טווח סטיה מותר" dataDxfId="238"/>
    <tableColumn id="7" xr3:uid="{225AE577-1283-4474-9A51-1CB665B9BC78}" name="גבולות שיעור החשיפה הצפויה"/>
    <tableColumn id="8" xr3:uid="{C382FB84-E141-4F8A-9C74-947C7C20F279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1B69B4E-9FCE-49F8-96EC-9A359E8FE7F4}" name="TitleRegion1.b99.i111.7" displayName="TitleRegion1.b99.i111.7" ref="B100:I112" totalsRowShown="0" headerRowDxfId="237" headerRowBorderDxfId="236" tableBorderDxfId="235">
  <autoFilter ref="B100:I112" xr:uid="{91B69B4E-9FCE-49F8-96EC-9A359E8FE7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734B7B-5835-43F4-A7FA-BD6F1D01FEAF}" name="אפיק השקעה " dataDxfId="234"/>
    <tableColumn id="2" xr3:uid="{5001E742-C691-4C2D-9CA4-8938DDBED03A}" name="תגמולים שיעור החשיפה ליום 31/12/2025 "/>
    <tableColumn id="3" xr3:uid="{43330F70-CFEE-44CD-AF04-F6468162D911}" name="השתלמות שיעור החשיפה ליום 31/12/2025"/>
    <tableColumn id="4" xr3:uid="{4E9B780A-AB29-47FD-BC0A-8BC6B160759F}" name=" השקעה שיעור החשיפה ליום 31/12/2025"/>
    <tableColumn id="5" xr3:uid="{3DFA8EEE-5116-483C-99E1-97B07EEC3D09}" name="שיעור חשיפה צפוי לשנת 2026"/>
    <tableColumn id="6" xr3:uid="{A7FB1F7A-2E07-41FF-A54F-28DD2D89EBAA}" name="טווח סטיה מותר" dataDxfId="233"/>
    <tableColumn id="7" xr3:uid="{2A63836E-8BC5-48A0-A62B-46CF5523FCEE}" name="גבולות שיעור החשיפה הצפויה"/>
    <tableColumn id="8" xr3:uid="{0F8B0B2D-4EE7-4B73-80FA-3A1BCAA85C62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2E017A-E487-4D88-B78B-02033E5240CE}" name="TitleRegion1.b115.i127.8" displayName="TitleRegion1.b115.i127.8" ref="B116:I128" totalsRowShown="0" headerRowDxfId="232">
  <autoFilter ref="B116:I128" xr:uid="{0A2E017A-E487-4D88-B78B-02033E5240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4521420-25BE-4B50-AD66-C2DDCA06B4EE}" name="אפיק השקעה "/>
    <tableColumn id="2" xr3:uid="{6EDCCA23-0927-444E-94A1-E664EFBDC570}" name="ריק במקור" dataDxfId="231"/>
    <tableColumn id="3" xr3:uid="{7530B89F-5831-4BC0-9C18-44586F471E19}" name="השתלמות שיעור החשיפה ליום 31/12/2025 "/>
    <tableColumn id="4" xr3:uid="{D68E873C-90A4-4E6E-8F9E-3F79743DD4C9}" name=" השקעה שיעור החשיפה ליום 31/12/2025"/>
    <tableColumn id="5" xr3:uid="{353B4BE9-5A59-4608-9D77-3DED180FB98F}" name="שיעור חשיפה צפוי לשנת 2026"/>
    <tableColumn id="6" xr3:uid="{4E7AC6AB-FBE5-4011-94D5-4D9D048A8249}" name="טווח סטיה מותר" dataDxfId="230"/>
    <tableColumn id="7" xr3:uid="{616DF1B9-92EC-4688-B8FA-2D22FE153BD5}" name="גבולות שיעור החשיפה הצפויה"/>
    <tableColumn id="8" xr3:uid="{D6BDADE4-330D-4CBD-B35C-E64935560011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2966D02-B16B-498A-A97F-7ADA3F8CD4E0}" name="TitleRegion1.b133.i139.9" displayName="TitleRegion1.b133.i139.9" ref="B134:I140" totalsRowShown="0" tableBorderDxfId="229">
  <autoFilter ref="B134:I140" xr:uid="{72966D02-B16B-498A-A97F-7ADA3F8CD4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8495469-4613-4F1E-A409-416A35E56047}" name="מניות (קרנות סל, אופציות, קרנות נאמנות)"/>
    <tableColumn id="2" xr3:uid="{67892DBA-7806-45A6-9DBF-E8F72B5B4F44}" name="ריק במקור"/>
    <tableColumn id="3" xr3:uid="{4F2DF871-279C-4EE5-B9B8-4CD5A7D55FA5}" name="ריק במקור2"/>
    <tableColumn id="4" xr3:uid="{A3CEBD3A-2E2B-4A39-85F7-6A4B1893D41D}" name="ריק במקור3"/>
    <tableColumn id="5" xr3:uid="{41891632-CB00-4BC0-9561-5DC498E22A37}" name="ריק במקור4"/>
    <tableColumn id="6" xr3:uid="{60746CAC-B908-4E83-BF7C-00B48EF2EFEF}" name="_x0009_6%-/+" dataDxfId="228"/>
    <tableColumn id="7" xr3:uid="{965ED35C-41F7-4CC8-95BB-B59EC831CC6F}" name="תא ריק במקור"/>
    <tableColumn id="8" xr3:uid="{0C18784E-D97C-4FF6-8D16-626CC3D591A4}" name="ריק במקור5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93770E4-FADD-4D23-BD79-60FA5466DFFB}" name="TitleRegion1.b144.i151.10" displayName="TitleRegion1.b144.i151.10" ref="B145:I152" totalsRowShown="0" headerRowDxfId="227" headerRowBorderDxfId="226" tableBorderDxfId="225">
  <autoFilter ref="B145:I152" xr:uid="{D93770E4-FADD-4D23-BD79-60FA5466DF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3FA2F2B-B644-427F-82CB-5CA8FBF97E7E}" name="אפיק השקעה "/>
    <tableColumn id="2" xr3:uid="{076C4E1D-00F1-495E-B07E-F361417F4206}" name="תגמולים שיעור החשיפה ליום 31/12/2025 "/>
    <tableColumn id="3" xr3:uid="{A94D92B3-B0CD-494B-8FA5-9D659C2F8653}" name="השתלמות שיעור החשיפה ליום 31/12/2025"/>
    <tableColumn id="4" xr3:uid="{37C56641-7C08-4120-A226-C06BD4A92325}" name=" השקעה שיעור החשיפה ליום 31/12/2025"/>
    <tableColumn id="5" xr3:uid="{1763DB3F-EFFD-4672-9ADB-998D6DBCF684}" name="שיעור חשיפה צפוי לשנת 2026"/>
    <tableColumn id="6" xr3:uid="{102BBFB4-1999-4036-8AC1-AF0C2982209E}" name="טווח סטיה מותר" dataDxfId="224"/>
    <tableColumn id="7" xr3:uid="{05A2C015-4932-4113-947B-3B5B1A2F7D81}" name="גבולות שיעור החשיפה הצפויה"/>
    <tableColumn id="8" xr3:uid="{AB1ADD8E-BBA4-4479-A01A-5172DD46DA0A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239E035-8599-46B2-8272-C40616EA6ADB}" name="TitleRegion1.b156.i163.11" displayName="TitleRegion1.b156.i163.11" ref="B157:I164" totalsRowShown="0" headerRowDxfId="223" headerRowBorderDxfId="222" tableBorderDxfId="221">
  <autoFilter ref="B157:I164" xr:uid="{E239E035-8599-46B2-8272-C40616EA6A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9C021B6-EF82-4534-804E-9F254CDB39A9}" name="אפיק השקעה "/>
    <tableColumn id="2" xr3:uid="{BEFF0956-D962-4AAD-A12B-07180FCFA08C}" name="תגמולים שיעור החשיפה ליום 31/12/2025 "/>
    <tableColumn id="3" xr3:uid="{D884EE12-E7D7-4F45-94E3-1F665EBF5EB4}" name="השתלמות שיעור החשיפה ליום 31/12/2025"/>
    <tableColumn id="4" xr3:uid="{1747508B-6EFD-4E86-B0A6-F21633B59831}" name=" השקעה שיעור החשיפה ליום 31/12/2025"/>
    <tableColumn id="5" xr3:uid="{8CE7F42B-3325-4E2A-8133-EAF7E19BE961}" name="שיעור חשיפה צפוי לשנת 2026"/>
    <tableColumn id="6" xr3:uid="{325833E8-B01E-4D7B-8E37-FD4C68F1FBEA}" name="טווח סטיה מותר" dataDxfId="220"/>
    <tableColumn id="7" xr3:uid="{E167912C-830D-4614-8C0E-E6B70AA9DA44}" name="גבולות שיעור החשיפה הצפויה"/>
    <tableColumn id="8" xr3:uid="{17E71E05-EE36-4BCE-8F5E-8B670AB2BF44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3CEDF69-67E4-4AD9-BF2C-E6402C494830}" name="TitleRegion1.b168.i175.12" displayName="TitleRegion1.b168.i175.12" ref="B169:I176" totalsRowShown="0" headerRowDxfId="219" headerRowBorderDxfId="218" tableBorderDxfId="217">
  <autoFilter ref="B169:I176" xr:uid="{83CEDF69-67E4-4AD9-BF2C-E6402C4948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1F9FAD1-978B-41B3-8BB2-DD4C4CB215CA}" name="אפיק השקעה "/>
    <tableColumn id="2" xr3:uid="{185F5514-641D-491E-8005-9700E5A63840}" name="תגמולים שיעור החשיפה ליום 31/12/2025 "/>
    <tableColumn id="3" xr3:uid="{4FEF0F49-D4B0-4781-B8E5-7AE55022B2B0}" name="השתלמות שיעור החשיפה ליום 31/12/2025"/>
    <tableColumn id="4" xr3:uid="{86A8EFBD-8DEA-4DC1-AF61-BD682B98AAB0}" name=" השקעה שיעור החשיפה ליום 31/12/2025"/>
    <tableColumn id="5" xr3:uid="{C37C8F11-1164-41DD-850B-D4F5673C5DCC}" name="שיעור חשיפה צפוי לשנת 2026"/>
    <tableColumn id="6" xr3:uid="{7A25ED2E-F4AE-40C1-B8CA-F81B50D672D2}" name="טווח סטיה מותר" dataDxfId="216"/>
    <tableColumn id="7" xr3:uid="{2244EE21-0E2D-4C85-89AB-FC0D8F9ECB14}" name="גבולות שיעור החשיפה הצפויה"/>
    <tableColumn id="8" xr3:uid="{B6D90621-2C3C-419E-AC74-399EF4F11D99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EEA88EC-AD9B-4928-97A8-AA5696F809D4}" name="TitleRegion1.b179.i186.13" displayName="TitleRegion1.b179.i186.13" ref="B180:I187" totalsRowShown="0" headerRowDxfId="215">
  <autoFilter ref="B180:I187" xr:uid="{7EEA88EC-AD9B-4928-97A8-AA5696F809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4890912-7856-441F-87A6-E39200688B83}" name="אפיק השקעה "/>
    <tableColumn id="2" xr3:uid="{875DE429-A09F-4F91-9784-717ACFBFA951}" name="ריק במקור" dataDxfId="214"/>
    <tableColumn id="3" xr3:uid="{B9609B67-08DD-4079-B2BE-571B0D4F01A4}" name="השתלמות שיעור החשיפה ליום 31/12/2025"/>
    <tableColumn id="4" xr3:uid="{6D01326D-BAE8-4B34-B309-390BDCAA2581}" name=" השקעה שיעור החשיפה ליום 31/12/2025"/>
    <tableColumn id="5" xr3:uid="{A80A500A-E8C9-4B00-8A98-01E06FA60025}" name="שיעור חשיפה צפוי לשנת 2026"/>
    <tableColumn id="6" xr3:uid="{7DF5457A-9126-43A1-920D-AD9A4ED8257A}" name="טווח סטיה מותר" dataDxfId="213"/>
    <tableColumn id="7" xr3:uid="{C8280A90-A848-41DA-8119-35ED230F53C5}" name="גבולות שיעור החשיפה הצפויה"/>
    <tableColumn id="8" xr3:uid="{E6A81582-DEE4-4DBF-AF2B-B59E5DF1D83F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C6099AE-D419-44E3-ACBC-2BDF8373ADB0}" name="TitleRegion1.b191.i198.14" displayName="TitleRegion1.b191.i198.14" ref="B192:I199" totalsRowShown="0" headerRowDxfId="212" headerRowBorderDxfId="211" tableBorderDxfId="210">
  <autoFilter ref="B192:I199" xr:uid="{4C6099AE-D419-44E3-ACBC-2BDF8373AD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67E6C25-70FB-49DA-8CA4-E6979A96CA08}" name="אפיק השקעה "/>
    <tableColumn id="2" xr3:uid="{839DF8D3-6ABB-4E8D-94A4-551242AEBD5D}" name="תגמולים שיעור החשיפה ליום 31/12/2025 "/>
    <tableColumn id="3" xr3:uid="{E45AC502-6390-40B6-93FC-7F547FE89988}" name="השתלמות שיעור החשיפה ליום 31/12/2025"/>
    <tableColumn id="4" xr3:uid="{33EABCF1-1C47-41D2-8C50-DEF0C430A55E}" name=" השקעה שיעור החשיפה ליום 31/12/2025"/>
    <tableColumn id="5" xr3:uid="{0E8C4E23-B762-42BD-A0A8-B2060FD07E56}" name="שיעור חשיפה צפוי לשנת 2026"/>
    <tableColumn id="6" xr3:uid="{84AD1629-E968-46B5-9910-63A4B6A93A7A}" name="טווח סטיה מותר" dataDxfId="209"/>
    <tableColumn id="7" xr3:uid="{EDA097E8-D388-4709-81EC-76EC92B7EBB3}" name="גבולות שיעור החשיפה הצפויה"/>
    <tableColumn id="8" xr3:uid="{D5DBFA6F-1571-4901-8C72-240281605668}" name="מדד ייחוס*" dataDxfId="208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C79864A-351F-4513-9C87-711C733EF924}" name="TitleRegion1.b203.i210.15" displayName="TitleRegion1.b203.i210.15" ref="B204:I211" totalsRowShown="0" headerRowDxfId="207" headerRowBorderDxfId="206" tableBorderDxfId="205">
  <autoFilter ref="B204:I211" xr:uid="{AC79864A-351F-4513-9C87-711C733EF9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CA6EA8C-E4B9-4966-BA8B-B87104FE96BC}" name="אפיק השקעה "/>
    <tableColumn id="2" xr3:uid="{396DFD18-7978-4C7F-B40B-D0D8A5D5C6F2}" name="תגמולים שיעור החשיפה ליום 31/12/2025 "/>
    <tableColumn id="3" xr3:uid="{9A957BC9-8793-4BE2-AF37-F1907750E586}" name="השתלמות שיעור החשיפה ליום 31/12/2025"/>
    <tableColumn id="4" xr3:uid="{9F9A34EB-61C3-4FB4-903D-59FFF3ADAF55}" name=" השקעה שיעור החשיפה ליום 31/12/2025"/>
    <tableColumn id="5" xr3:uid="{65FFE2D9-7346-4F2E-A457-0CDF321EDFD0}" name="שיעור חשיפה צפוי לשנת 2026"/>
    <tableColumn id="6" xr3:uid="{48EC4EEA-1B11-4897-9A5C-C58B21A0F3F0}" name="טווח סטיה מותר" dataDxfId="204"/>
    <tableColumn id="7" xr3:uid="{11252CC3-EC0D-481B-A288-8A0EB321BCE6}" name="גבולות שיעור החשיפה הצפויה"/>
    <tableColumn id="8" xr3:uid="{38E544DA-80CA-48B9-B815-EF75EEF26B87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E280BAE-5401-49BB-8945-3B616B4E6686}" name="TitleRegion1.b215.i222.16" displayName="TitleRegion1.b215.i222.16" ref="B216:I223" totalsRowShown="0" headerRowDxfId="203" headerRowBorderDxfId="202" tableBorderDxfId="201">
  <autoFilter ref="B216:I223" xr:uid="{1E280BAE-5401-49BB-8945-3B616B4E66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573449E-757A-475A-B66B-820E77E75055}" name="אפיק השקעה "/>
    <tableColumn id="2" xr3:uid="{A31B0314-8D31-4C8C-8752-7C04FB058A5A}" name="תגמולים שיעור החשיפה ליום 31/12/2025 "/>
    <tableColumn id="3" xr3:uid="{0DF50675-BB8E-471E-9C7F-A57F721F6DDA}" name="השתלמות שיעור החשיפה ליום 31/12/2025"/>
    <tableColumn id="4" xr3:uid="{FF07081C-1A5B-45AA-87A1-C278BE4A73B1}" name=" השקעה שיעור החשיפה ליום 31/12/2025"/>
    <tableColumn id="5" xr3:uid="{B067FFC9-ED74-4F5D-BEC2-4D030281C448}" name="שיעור חשיפה צפוי לשנת 2026"/>
    <tableColumn id="6" xr3:uid="{93868D3F-67D4-43B7-846E-F72434F1465A}" name="טווח סטיה מותר" dataDxfId="200"/>
    <tableColumn id="7" xr3:uid="{6168830E-5C20-42CD-87AD-0DB5460FDBCC}" name="גבולות שיעור החשיפה הצפויה"/>
    <tableColumn id="8" xr3:uid="{22A65692-B4F5-4946-89D5-FAAF096D8F99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6DD127B-83EF-43F0-9A7C-883D66229DC3}" name="TitleRegion1.b226.i233.17" displayName="TitleRegion1.b226.i233.17" ref="B227:I234" totalsRowShown="0" headerRowDxfId="199" tableBorderDxfId="198">
  <autoFilter ref="B227:I234" xr:uid="{F6DD127B-83EF-43F0-9A7C-883D66229D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52F725E-0994-47DA-B9E6-32E556C5938C}" name="אפיק השקעה "/>
    <tableColumn id="2" xr3:uid="{4E19FEED-8AD0-46FF-B967-CEDBE9AC8452}" name="ריק במקור" dataDxfId="197"/>
    <tableColumn id="3" xr3:uid="{4DC0C9A0-60C6-4DF7-9C1F-A53BA2884B5C}" name="השתלמות שיעור החשיפה ליום 31/12/2025"/>
    <tableColumn id="4" xr3:uid="{F781B0E3-4053-41BB-84BF-07A26715FDE7}" name=" השקעה שיעור החשיפה ליום 31/12/2025"/>
    <tableColumn id="5" xr3:uid="{FEA71BBB-3A20-4C75-9870-42F513359C72}" name="שיעור חשיפה צפוי לשנת 2026"/>
    <tableColumn id="6" xr3:uid="{61D58CF6-E632-47B2-9388-16F5017B8AEF}" name="טווח סטיה מותר" dataDxfId="196"/>
    <tableColumn id="7" xr3:uid="{F65CE1A7-E6E9-454D-AD8D-C595D4EDAAA2}" name="גבולות שיעור החשיפה הצפויה"/>
    <tableColumn id="8" xr3:uid="{CEA2E9F3-1193-477A-A259-FBDDF3DFB065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C665C26-0AFB-46C9-BD0F-6A20FC76473B}" name="TitleRegion1.b238.i245.18" displayName="TitleRegion1.b238.i245.18" ref="B239:I246" totalsRowShown="0" headerRowDxfId="195" headerRowBorderDxfId="194" tableBorderDxfId="193">
  <autoFilter ref="B239:I246" xr:uid="{9C665C26-0AFB-46C9-BD0F-6A20FC7647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21D4639-D197-43A5-A584-2808647C5D34}" name="אפיק השקעה "/>
    <tableColumn id="2" xr3:uid="{B74126CF-869D-4B20-8033-7438F8948253}" name="תגמולים שיעור החשיפה ליום 31/12/2025 "/>
    <tableColumn id="3" xr3:uid="{CAF32868-DA2F-4976-AC2B-9158E0018EE4}" name="השתלמות שיעור החשיפה ליום 31/12/2025"/>
    <tableColumn id="4" xr3:uid="{443A28E3-4C92-42A9-899D-329FD5F43F9F}" name=" השקעה שיעור החשיפה ליום 31/12/2025"/>
    <tableColumn id="5" xr3:uid="{B5627906-2E37-428F-BA24-1672B51F16A6}" name="שיעור חשיפה צפוי לשנת 2026"/>
    <tableColumn id="6" xr3:uid="{98544A0F-2180-4E1B-BC82-8BE5EE6B49F8}" name="טווח סטיה מותר"/>
    <tableColumn id="7" xr3:uid="{2C03751D-B53F-437C-84E2-9B29B1A7361B}" name="גבולות שיעור החשיפה הצפויה"/>
    <tableColumn id="8" xr3:uid="{91DC95D6-32DE-4BED-BEEB-5DC8D1AD20F5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091C9FD-6F12-4483-8518-6849E2C3A383}" name="TitleRegion1.b248.i260.19" displayName="TitleRegion1.b248.i260.19" ref="B249:I261" totalsRowShown="0" tableBorderDxfId="192">
  <autoFilter ref="B249:I261" xr:uid="{7091C9FD-6F12-4483-8518-6849E2C3A3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021613E-122F-4A07-8C47-ECE5B199719F}" name="אפיק השקעה "/>
    <tableColumn id="2" xr3:uid="{DBFAB60C-40C4-4C64-B637-DA79BCF4056C}" name="ריק במקור"/>
    <tableColumn id="3" xr3:uid="{D2EC227D-4AAA-4A9E-91CD-27D4BBBA66E1}" name="ריק במקור2"/>
    <tableColumn id="4" xr3:uid="{C115BD5D-971A-472F-B528-8CC0EF8686D0}" name="שיעור החשיפה ליום 31/12/2025"/>
    <tableColumn id="5" xr3:uid="{48017448-B2D3-4B11-9BA6-A830CD33215F}" name="שיעור חשיפה צפוי לשנת 2026"/>
    <tableColumn id="6" xr3:uid="{8FE03BBF-677C-4AF6-BEAD-5AA0A49656CE}" name="טווח סטיה מותר" dataDxfId="191"/>
    <tableColumn id="7" xr3:uid="{12558CEE-5D8C-4D23-9000-BC078E7D191B}" name="גבולות שיעור החשיפה הצפויה"/>
    <tableColumn id="8" xr3:uid="{E8150626-EC0B-4DE0-A539-1C01BE7E6957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C00F83F-D681-44BB-A7B7-39E9D6029EE4}" name="TitleRegion1.b263.i275.20" displayName="TitleRegion1.b263.i275.20" ref="B264:I276" totalsRowShown="0" tableBorderDxfId="190">
  <autoFilter ref="B264:I276" xr:uid="{4C00F83F-D681-44BB-A7B7-39E9D6029E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855160D-0110-4213-BD67-93C47DCA38D4}" name="אפיק השקעה "/>
    <tableColumn id="2" xr3:uid="{6F67592F-5EC3-4B01-A4F6-F8425017EDE5}" name="ריק במקור"/>
    <tableColumn id="3" xr3:uid="{657DC212-9C42-4D3C-AE0D-3DCA949B77A7}" name="ריק במקור2"/>
    <tableColumn id="4" xr3:uid="{8BCEF168-F958-490B-8B29-1A9BFC5E6DC0}" name="שיעור החשיפה ליום 31/12/2025"/>
    <tableColumn id="5" xr3:uid="{C8F6379C-B916-4BB5-9B85-71CC5CEB8B5B}" name="שיעור חשיפה צפוי לשנת 2026" dataDxfId="189"/>
    <tableColumn id="6" xr3:uid="{3DE94A3C-4DA8-4DEF-800A-FAFFC1EA160E}" name="טווח סטיה מותר" dataDxfId="188" dataCellStyle="Percent"/>
    <tableColumn id="7" xr3:uid="{527985CE-EC0D-4FA2-886D-4DB6DFF0C425}" name="גבולות שיעור החשיפה הצפויה"/>
    <tableColumn id="8" xr3:uid="{FFA4E520-954D-4D19-9C19-C5D7E31221CD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196D85D-46F6-4957-8823-1E4916819F02}" name="TitleRegion1.b278.i290.21" displayName="TitleRegion1.b278.i290.21" ref="B279:I291" totalsRowShown="0" tableBorderDxfId="187">
  <autoFilter ref="B279:I291" xr:uid="{9196D85D-46F6-4957-8823-1E4916819F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DFB99C8-FA28-41C1-AFE4-88A918AC7060}" name="אפיק השקעה " dataDxfId="186"/>
    <tableColumn id="2" xr3:uid="{E06480FA-27A4-49F4-B0F1-678ED9B80868}" name="ריק במקור"/>
    <tableColumn id="3" xr3:uid="{88E39733-DD0B-4B40-8F8A-16A0840159F5}" name="ריק במקור2"/>
    <tableColumn id="4" xr3:uid="{E65A8E39-0D83-45E0-845C-94693D5ED933}" name="שיעור החשיפה ליום 31/12/2025"/>
    <tableColumn id="5" xr3:uid="{83851E60-630D-4EB1-B90D-113668E85E3D}" name="שיעור חשיפה צפוי לשנת 2026" dataDxfId="185"/>
    <tableColumn id="6" xr3:uid="{E27B43FC-B841-45E9-BE66-94A0CCF51CB4}" name="טווח סטיה מותר" dataDxfId="184" dataCellStyle="Percent"/>
    <tableColumn id="7" xr3:uid="{609B0F78-CA98-4730-A593-FB9A3DD640CE}" name="גבולות שיעור החשיפה הצפויה"/>
    <tableColumn id="8" xr3:uid="{B887E0FE-9DD9-40F3-A1CC-9A056FBB757D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E0DBC86-2094-4CD5-B3D1-E8E64426A363}" name="TitleRegion1.b293.i300.22" displayName="TitleRegion1.b293.i300.22" ref="B294:I301" totalsRowShown="0" tableBorderDxfId="183">
  <autoFilter ref="B294:I301" xr:uid="{AE0DBC86-2094-4CD5-B3D1-E8E64426A3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2DB2A85-559E-42E0-AE6C-ABCB3DB275DE}" name="אפיק השקעה "/>
    <tableColumn id="2" xr3:uid="{9879C2A1-98B0-4813-A54B-0E2FA7B110FE}" name="ריק במקור" dataDxfId="182"/>
    <tableColumn id="3" xr3:uid="{E31D6563-FF98-49DC-AD3F-FFD36C5202BF}" name="ריק במקור2" dataDxfId="181"/>
    <tableColumn id="4" xr3:uid="{ACD248B9-660D-46C0-BF28-9EBA3204CEB6}" name="שיעור החשיפה ליום 31/12/2025"/>
    <tableColumn id="5" xr3:uid="{BAB67C8E-3E31-4332-8B4E-DCE7F553BB89}" name="שיעור חשיפה צפוי לשנת 2026"/>
    <tableColumn id="6" xr3:uid="{5BB60D13-938C-4187-8096-5466DF3299A1}" name="טווח סטיה מותר" dataDxfId="180"/>
    <tableColumn id="7" xr3:uid="{0B52068C-316E-448E-87C1-8962B8AEF4B4}" name="גבולות שיעור החשיפה הצפויה"/>
    <tableColumn id="8" xr3:uid="{C42B7690-0909-43F4-8C1F-B61C10AEE170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4B0D719-AF07-43D9-9B5E-5D751D282802}" name="TitleRegion1.b303.i310.23" displayName="TitleRegion1.b303.i310.23" ref="B304:I311" totalsRowShown="0" tableBorderDxfId="179">
  <autoFilter ref="B304:I311" xr:uid="{64B0D719-AF07-43D9-9B5E-5D751D2828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F949CC2-83D1-4A6E-A044-19AD8E206774}" name="אפיק השקעה "/>
    <tableColumn id="2" xr3:uid="{72EF85AB-07AA-4117-8679-8DEE678577B8}" name="ריק במקור" dataDxfId="178"/>
    <tableColumn id="3" xr3:uid="{BF85187D-11EF-4F65-B798-905E8520A727}" name="ריק במקור2" dataDxfId="177"/>
    <tableColumn id="4" xr3:uid="{A67A0821-C1DB-4ABD-855B-2EC328C93A97}" name="שיעור החשיפה ליום 31/12/2025"/>
    <tableColumn id="5" xr3:uid="{E2FD5907-C930-48C9-97CB-DD00729600C5}" name="שיעור חשיפה צפוי לשנת 2026"/>
    <tableColumn id="6" xr3:uid="{3A4E0881-53C1-4CA4-89D7-86E3F2AB16EF}" name="טווח סטיה מותר" dataDxfId="176"/>
    <tableColumn id="7" xr3:uid="{22496E87-67E9-4F9F-B0D0-87DBF8416634}" name="גבולות שיעור החשיפה הצפויה"/>
    <tableColumn id="8" xr3:uid="{48F6BBB7-74F6-4D5E-AC29-086F6755FA70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5A9176A-425A-4A45-B620-199A005DB0FA}" name="TitleRegion1.b315.i325.24" displayName="TitleRegion1.b315.i325.24" ref="B316:I326" totalsRowShown="0" tableBorderDxfId="175">
  <autoFilter ref="B316:I326" xr:uid="{95A9176A-425A-4A45-B620-199A005DB0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B134B61-45C1-4495-8830-ACD1B4AF8701}" name="אפיק השקעה " dataDxfId="174"/>
    <tableColumn id="2" xr3:uid="{30B3262B-3F33-4A1A-8016-CAEEF9D6DA2B}" name="ריק במקור" dataDxfId="173"/>
    <tableColumn id="3" xr3:uid="{19FCEDA8-31F3-47F2-BFEF-E664E2861B40}" name="ריק במקור2" dataDxfId="172"/>
    <tableColumn id="4" xr3:uid="{E8523243-6F36-4060-AAD7-990F3C9BCC3C}" name="שיעור החשיפה ליום 31/12/2025" dataDxfId="171"/>
    <tableColumn id="5" xr3:uid="{66D9AB95-8BB2-4A6D-BFA9-6959055FEF3A}" name="שיעור חשיפה צפוי לשנת 2026" dataDxfId="170"/>
    <tableColumn id="6" xr3:uid="{3E13CFA2-22F2-4BDA-A076-E56639B42704}" name="טווח סטיה מותר" dataDxfId="169"/>
    <tableColumn id="7" xr3:uid="{94A70C1F-5BAD-4126-987E-AB1AAB2CD034}" name="גבולות שיעור החשיפה הצפויה" dataDxfId="168"/>
    <tableColumn id="8" xr3:uid="{3C4EA9EE-AAAC-497F-8FD9-0C480F1F9B3A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20:G31" totalsRowShown="0" headerRowDxfId="167" headerRowBorderDxfId="166" tableBorderDxfId="165">
  <autoFilter ref="B20:G31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164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163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20:N31" totalsRowShown="0" headerRowDxfId="162" headerRowBorderDxfId="161" tableBorderDxfId="160">
  <autoFilter ref="I20:N31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159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158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4:G45" totalsRowShown="0" headerRowDxfId="157" headerRowBorderDxfId="156" tableBorderDxfId="155">
  <autoFilter ref="B34:G45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154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153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4:N45" totalsRowShown="0" headerRowDxfId="152" headerRowBorderDxfId="151" tableBorderDxfId="150">
  <autoFilter ref="I34:N45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149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148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8:G59" totalsRowShown="0" headerRowDxfId="147" headerRowBorderDxfId="146" tableBorderDxfId="145">
  <autoFilter ref="B48:G59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144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43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8:N59" totalsRowShown="0" headerRowDxfId="142" headerRowBorderDxfId="141" tableBorderDxfId="140">
  <autoFilter ref="I48:N59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39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38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2:G73" totalsRowShown="0" headerRowDxfId="137" headerRowBorderDxfId="136" tableBorderDxfId="135">
  <autoFilter ref="B62:G73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34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33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2:N73" totalsRowShown="0" headerRowDxfId="132" headerRowBorderDxfId="131" tableBorderDxfId="130">
  <autoFilter ref="I62:N73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29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28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6:G87" totalsRowShown="0" headerRowDxfId="127" headerRowBorderDxfId="126" tableBorderDxfId="125">
  <autoFilter ref="B76:G87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24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23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6:N87" totalsRowShown="0" headerRowDxfId="122" headerRowBorderDxfId="121" tableBorderDxfId="120">
  <autoFilter ref="I76:N87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119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118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90:G98" totalsRowShown="0" headerRowDxfId="117" headerRowBorderDxfId="116" tableBorderDxfId="115">
  <autoFilter ref="B90:G98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114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90:N98" totalsRowShown="0" headerRowDxfId="113" headerRowBorderDxfId="112" tableBorderDxfId="111">
  <autoFilter ref="I90:N98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110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109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101:G109" totalsRowShown="0" headerRowDxfId="108" headerRowBorderDxfId="107" tableBorderDxfId="106">
  <autoFilter ref="B101:G109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105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101:N109" totalsRowShown="0" headerRowDxfId="104" headerRowBorderDxfId="103" tableBorderDxfId="102">
  <autoFilter ref="I101:N109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101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100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2:G120" totalsRowShown="0" headerRowDxfId="99" headerRowBorderDxfId="98" tableBorderDxfId="97">
  <autoFilter ref="B112:G120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96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2:N120" totalsRowShown="0" headerRowDxfId="95" headerRowBorderDxfId="94" tableBorderDxfId="93">
  <autoFilter ref="I112:N120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92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91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3:G131" totalsRowShown="0" headerRowDxfId="90" headerRowBorderDxfId="89" tableBorderDxfId="88">
  <autoFilter ref="B123:G131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87"/>
    <tableColumn id="5" xr3:uid="{1339351B-DD5A-4308-82B2-D850AAFAE2C9}" name="גבולות שיעור החשיפה הצפויה"/>
    <tableColumn id="6" xr3:uid="{663DBC65-0304-4BCE-9AA9-F069A210115B}" name="מדד ייחוס*" dataDxfId="86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3:N131" totalsRowShown="0" headerRowDxfId="85" headerRowBorderDxfId="84" tableBorderDxfId="83">
  <autoFilter ref="I123:N131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82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81"/>
    <tableColumn id="5" xr3:uid="{743CEBDC-D1FA-496C-A1A5-E986580A6A0A}" name="גבולות שיעור החשיפה הצפויה"/>
    <tableColumn id="6" xr3:uid="{787AD9A6-02EB-423D-B65D-E4FA1089A054}" name="מדד ייחוס*" dataDxfId="80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4:G142" totalsRowShown="0" headerRowDxfId="79" headerRowBorderDxfId="78" tableBorderDxfId="77">
  <autoFilter ref="B134:G142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76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4:N142" totalsRowShown="0" headerRowDxfId="75" headerRowBorderDxfId="74" tableBorderDxfId="73">
  <autoFilter ref="I134:N142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72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71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5:G153" totalsRowShown="0" headerRowDxfId="70" headerRowBorderDxfId="69" tableBorderDxfId="68">
  <autoFilter ref="B145:G153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67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5:N153" totalsRowShown="0" headerRowDxfId="66" headerRowBorderDxfId="65" tableBorderDxfId="64">
  <autoFilter ref="I145:N153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6:N164" totalsRowShown="0" headerRowDxfId="63" headerRowBorderDxfId="62" tableBorderDxfId="61">
  <autoFilter ref="I156:N164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60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59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7:G178" totalsRowShown="0" headerRowDxfId="58" headerRowBorderDxfId="57" tableBorderDxfId="56" totalsRowBorderDxfId="55">
  <autoFilter ref="B167:G178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54"/>
    <tableColumn id="2" xr3:uid="{B4627521-E489-4019-8185-F63363F0CF09}" name="שיעור החשיפה ליום 31/12/2025" dataDxfId="53"/>
    <tableColumn id="3" xr3:uid="{2B9FF3A1-7ABE-43ED-A18E-9979B286747C}" name="שיעור חשיפה צפוי לשנת 2026" dataDxfId="52"/>
    <tableColumn id="4" xr3:uid="{AC239917-97CE-4854-8165-1BF695035943}" name="טווח סטיה מותר" dataDxfId="51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7:N178" totalsRowShown="0" headerRowDxfId="50" headerRowBorderDxfId="49" tableBorderDxfId="48" totalsRowBorderDxfId="47">
  <autoFilter ref="I167:N178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46"/>
    <tableColumn id="2" xr3:uid="{6AF2A5DB-E06B-4C46-9523-05B590A4FD6C}" name="שיעור החשיפה ליום 31/12/2025" dataDxfId="45"/>
    <tableColumn id="3" xr3:uid="{644F59B8-E1C2-467A-A52F-0762F99C20CD}" name="שיעור חשיפה צפוי לשנת 2026" dataDxfId="44"/>
    <tableColumn id="4" xr3:uid="{942882A3-26E4-4882-AB61-65C762601C8E}" name="טווח סטיה מותר" dataDxfId="43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81:N189" totalsRowShown="0" headerRowDxfId="42" headerRowBorderDxfId="41" tableBorderDxfId="40" totalsRowBorderDxfId="39">
  <autoFilter ref="I181:N189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38"/>
    <tableColumn id="2" xr3:uid="{47F3D90D-348C-4F33-95CC-EB89E027B9C7}" name="שיעור החשיפה ליום 31/12/2025" dataDxfId="37"/>
    <tableColumn id="3" xr3:uid="{E251B1A9-513F-4AA6-8C71-49DDA1EF3CBF}" name="שיעור חשיפה צפוי לשנת 2026" dataDxfId="36"/>
    <tableColumn id="4" xr3:uid="{E240F933-B4EE-4CE8-92C2-33DEA13D244B}" name="טווח סטיה מותר" dataDxfId="35"/>
    <tableColumn id="5" xr3:uid="{8A2F6CE4-CC0E-42CB-A50C-D6977B929F51}" name="גבולות שיעור החשיפה הצפויה" dataDxfId="34"/>
    <tableColumn id="6" xr3:uid="{0430E9AC-7E0A-40D3-997A-41F5B09D758D}" name="מדד ייחוס*" dataDxfId="33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6:G164" totalsRowShown="0" headerRowDxfId="32" headerRowBorderDxfId="31" tableBorderDxfId="30">
  <autoFilter ref="B156:G164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29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81:G189" totalsRowShown="0" headerRowDxfId="28" tableBorderDxfId="27">
  <autoFilter ref="B181:G189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26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7EB4F0-A292-4888-9725-EF5E2DD9C529}" name="TitleRegion1.b164.g175.5814" displayName="TitleRegion1.b164.g175.5814" ref="B192:G203" totalsRowShown="0" headerRowDxfId="25" headerRowBorderDxfId="24" tableBorderDxfId="23" totalsRowBorderDxfId="22">
  <autoFilter ref="B192:G203" xr:uid="{1C7EB4F0-A292-4888-9725-EF5E2DD9C529}"/>
  <tableColumns count="6">
    <tableColumn id="1" xr3:uid="{8FBD8197-FE87-4784-939C-1B4F1E880157}" name="אפיק השקעה " dataDxfId="21"/>
    <tableColumn id="2" xr3:uid="{5353B4F3-CF5C-4176-AB76-F35BD9AED12A}" name="שיעור החשיפה ליום 31/12/2025" dataDxfId="20"/>
    <tableColumn id="3" xr3:uid="{BF61A437-D382-4839-9CC2-56990335A8BD}" name="שיעור חשיפה צפוי לשנת 2026" dataDxfId="19"/>
    <tableColumn id="4" xr3:uid="{28D5E387-CF42-4DF2-8213-B77A57E0D245}" name="טווח סטיה מותר" dataDxfId="18"/>
    <tableColumn id="5" xr3:uid="{60ACFDAD-52D8-46E7-94DF-5788D16BD7B7}" name="גבולות שיעור החשיפה הצפויה"/>
    <tableColumn id="6" xr3:uid="{16E707F8-FFFB-4211-9D20-5A0D6696B17B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FC650F-984F-4FB6-B735-962546466D9B}" name="TitleRegion1.b164.g175.5815" displayName="TitleRegion1.b164.g175.5815" ref="I192:N203" totalsRowShown="0" headerRowDxfId="17" headerRowBorderDxfId="16" tableBorderDxfId="15" totalsRowBorderDxfId="14">
  <autoFilter ref="I192:N203" xr:uid="{C9FC650F-984F-4FB6-B735-962546466D9B}"/>
  <tableColumns count="6">
    <tableColumn id="1" xr3:uid="{59CB8A5D-1015-4ECF-AEF5-A9F2C4EDB13B}" name="אפיק השקעה " dataDxfId="13"/>
    <tableColumn id="2" xr3:uid="{499BC9BB-D64C-4B00-A578-B0A3F96FCAD6}" name="שיעור החשיפה ליום 31/12/2025" dataDxfId="12"/>
    <tableColumn id="3" xr3:uid="{6BF65D2A-648A-4CD7-BCDF-E1816878D9AB}" name="שיעור חשיפה צפוי לשנת 2026" dataDxfId="11"/>
    <tableColumn id="4" xr3:uid="{979719AA-D09F-42E7-AC59-D906E39C0F5B}" name="טווח סטיה מותר" dataDxfId="10"/>
    <tableColumn id="5" xr3:uid="{7B50EF99-1A60-4E15-9EDB-1B8A5071C7A0}" name="גבולות שיעור החשיפה הצפויה"/>
    <tableColumn id="6" xr3:uid="{6EF6D52D-890D-441A-9E8B-00E3C0AA5021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F16576-E47D-439E-B759-5489B2BC27CE}" name="TitleRegion1.b5.g16.1" displayName="TitleRegion1.b5.g16.1" ref="B6:G17" totalsRowShown="0" headerRowDxfId="9" headerRowBorderDxfId="8" tableBorderDxfId="7">
  <autoFilter ref="B6:G17" xr:uid="{BAF16576-E47D-439E-B759-5489B2BC27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3CA6A74-E04D-444E-9E39-24346DA605C3}" name="אפיק השקעה " dataDxfId="6"/>
    <tableColumn id="2" xr3:uid="{08BAACED-AD2D-43DB-A21C-DB7E9EEBAE70}" name="שיעור החשיפה ליום 31/12/2025"/>
    <tableColumn id="3" xr3:uid="{E274CA5D-2AE0-4441-BF39-E19E28B3D1D3}" name="שיעור חשיפה צפוי לשנת 2026"/>
    <tableColumn id="4" xr3:uid="{ADD63D6B-49F6-4C51-BC3A-3F30788E80EA}" name="טווח סטיה מותר" dataDxfId="5"/>
    <tableColumn id="5" xr3:uid="{307FB717-E21A-48FB-8EF2-C9E2C07FE04B}" name="גבולות שיעור החשיפה הצפויה"/>
    <tableColumn id="6" xr3:uid="{94EAE256-2A3D-4A09-A865-7A4DBB13FA6C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2B3EAB5-F360-4A9E-A676-6006C0B14A1A}" name="TitleRegion1.i5.n16.2" displayName="TitleRegion1.i5.n16.2" ref="I6:N17" totalsRowShown="0" headerRowDxfId="4" headerRowBorderDxfId="3" tableBorderDxfId="2">
  <autoFilter ref="I6:N17" xr:uid="{22B3EAB5-F360-4A9E-A676-6006C0B14A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EB8C085-CE43-482D-9A47-BBEA59816EC0}" name="אפיק השקעה " dataDxfId="1"/>
    <tableColumn id="2" xr3:uid="{E53EDA84-9AC8-46DF-9669-F5FA9BB28D8C}" name="שיעור החשיפה ליום 31/12/2025"/>
    <tableColumn id="3" xr3:uid="{B803C644-B482-4D55-A52E-169235F7B023}" name="שיעור חשיפה צפוי לשנת 2026"/>
    <tableColumn id="4" xr3:uid="{5BDCEBDE-7119-43F6-A718-164AA2AE983B}" name="טווח סטיה מותר" dataDxfId="0"/>
    <tableColumn id="5" xr3:uid="{25DA6517-7B95-4349-A08A-A1E6E036FC46}" name="גבולות שיעור החשיפה הצפויה"/>
    <tableColumn id="6" xr3:uid="{E5A24179-E502-4830-9F41-4792B0116C98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4.xml"/><Relationship Id="rId18" Type="http://schemas.openxmlformats.org/officeDocument/2006/relationships/table" Target="../tables/table39.xml"/><Relationship Id="rId26" Type="http://schemas.openxmlformats.org/officeDocument/2006/relationships/table" Target="../tables/table47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2.xml"/><Relationship Id="rId34" Type="http://schemas.openxmlformats.org/officeDocument/2006/relationships/table" Target="../tables/table55.xml"/><Relationship Id="rId7" Type="http://schemas.openxmlformats.org/officeDocument/2006/relationships/table" Target="../tables/table28.xml"/><Relationship Id="rId12" Type="http://schemas.openxmlformats.org/officeDocument/2006/relationships/table" Target="../tables/table33.xml"/><Relationship Id="rId17" Type="http://schemas.openxmlformats.org/officeDocument/2006/relationships/table" Target="../tables/table38.xml"/><Relationship Id="rId25" Type="http://schemas.openxmlformats.org/officeDocument/2006/relationships/table" Target="../tables/table46.xml"/><Relationship Id="rId33" Type="http://schemas.openxmlformats.org/officeDocument/2006/relationships/table" Target="../tables/table54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7.xml"/><Relationship Id="rId20" Type="http://schemas.openxmlformats.org/officeDocument/2006/relationships/table" Target="../tables/table41.xml"/><Relationship Id="rId29" Type="http://schemas.openxmlformats.org/officeDocument/2006/relationships/table" Target="../tables/table50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7.xml"/><Relationship Id="rId11" Type="http://schemas.openxmlformats.org/officeDocument/2006/relationships/table" Target="../tables/table32.xml"/><Relationship Id="rId24" Type="http://schemas.openxmlformats.org/officeDocument/2006/relationships/table" Target="../tables/table45.xml"/><Relationship Id="rId32" Type="http://schemas.openxmlformats.org/officeDocument/2006/relationships/table" Target="../tables/table53.xml"/><Relationship Id="rId5" Type="http://schemas.openxmlformats.org/officeDocument/2006/relationships/table" Target="../tables/table26.xml"/><Relationship Id="rId15" Type="http://schemas.openxmlformats.org/officeDocument/2006/relationships/table" Target="../tables/table36.xml"/><Relationship Id="rId23" Type="http://schemas.openxmlformats.org/officeDocument/2006/relationships/table" Target="../tables/table44.xml"/><Relationship Id="rId28" Type="http://schemas.openxmlformats.org/officeDocument/2006/relationships/table" Target="../tables/table49.xml"/><Relationship Id="rId36" Type="http://schemas.openxmlformats.org/officeDocument/2006/relationships/table" Target="../tables/table57.xml"/><Relationship Id="rId10" Type="http://schemas.openxmlformats.org/officeDocument/2006/relationships/table" Target="../tables/table31.xml"/><Relationship Id="rId19" Type="http://schemas.openxmlformats.org/officeDocument/2006/relationships/table" Target="../tables/table40.xml"/><Relationship Id="rId31" Type="http://schemas.openxmlformats.org/officeDocument/2006/relationships/table" Target="../tables/table52.xml"/><Relationship Id="rId4" Type="http://schemas.openxmlformats.org/officeDocument/2006/relationships/drawing" Target="../drawings/drawing2.xml"/><Relationship Id="rId9" Type="http://schemas.openxmlformats.org/officeDocument/2006/relationships/table" Target="../tables/table30.xml"/><Relationship Id="rId14" Type="http://schemas.openxmlformats.org/officeDocument/2006/relationships/table" Target="../tables/table35.xml"/><Relationship Id="rId22" Type="http://schemas.openxmlformats.org/officeDocument/2006/relationships/table" Target="../tables/table43.xml"/><Relationship Id="rId27" Type="http://schemas.openxmlformats.org/officeDocument/2006/relationships/table" Target="../tables/table48.xml"/><Relationship Id="rId30" Type="http://schemas.openxmlformats.org/officeDocument/2006/relationships/table" Target="../tables/table51.xml"/><Relationship Id="rId35" Type="http://schemas.openxmlformats.org/officeDocument/2006/relationships/table" Target="../tables/table56.xml"/><Relationship Id="rId8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Q10012"/>
  <sheetViews>
    <sheetView rightToLeft="1" topLeftCell="G4" zoomScale="55" zoomScaleNormal="55" workbookViewId="0"/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 ht="20.25" thickBot="1">
      <c r="A1" s="255" t="s">
        <v>266</v>
      </c>
    </row>
    <row r="2" spans="1:9" ht="21" thickTop="1" thickBot="1">
      <c r="A2" s="255" t="s">
        <v>262</v>
      </c>
    </row>
    <row r="3" spans="1:9" ht="15" thickTop="1">
      <c r="A3" s="235" t="s">
        <v>247</v>
      </c>
    </row>
    <row r="4" spans="1:9" ht="62.85" customHeight="1">
      <c r="A4" s="268" t="s">
        <v>226</v>
      </c>
      <c r="B4" s="268"/>
      <c r="C4" s="268"/>
      <c r="D4" s="268"/>
      <c r="E4" s="268"/>
      <c r="F4" s="268"/>
      <c r="G4" s="89"/>
      <c r="H4" s="14"/>
      <c r="I4" s="165"/>
    </row>
    <row r="5" spans="1:9" ht="23.25">
      <c r="A5" s="22" t="s">
        <v>37</v>
      </c>
      <c r="B5" s="32" t="s">
        <v>33</v>
      </c>
      <c r="C5" s="36"/>
      <c r="D5" s="36"/>
      <c r="E5" s="33"/>
      <c r="F5" s="34"/>
      <c r="G5" s="90"/>
      <c r="H5" s="33"/>
      <c r="I5" s="39"/>
    </row>
    <row r="6" spans="1:9" ht="15.75">
      <c r="A6" s="23"/>
      <c r="B6" s="258" t="s">
        <v>0</v>
      </c>
      <c r="C6" s="107" t="s">
        <v>187</v>
      </c>
      <c r="D6" s="107" t="s">
        <v>188</v>
      </c>
      <c r="E6" s="257" t="s">
        <v>220</v>
      </c>
      <c r="F6" s="257" t="s">
        <v>198</v>
      </c>
      <c r="G6" s="13" t="s">
        <v>30</v>
      </c>
      <c r="H6" s="13" t="s">
        <v>20</v>
      </c>
      <c r="I6" s="13" t="s">
        <v>35</v>
      </c>
    </row>
    <row r="7" spans="1:9" ht="57">
      <c r="A7" s="25"/>
      <c r="B7" s="221" t="s">
        <v>138</v>
      </c>
      <c r="C7" s="108" t="s">
        <v>187</v>
      </c>
      <c r="D7" s="108" t="s">
        <v>187</v>
      </c>
      <c r="E7" s="3">
        <v>0.50090000000000001</v>
      </c>
      <c r="F7" s="5">
        <v>0.49</v>
      </c>
      <c r="G7" s="177" t="s">
        <v>4</v>
      </c>
      <c r="H7" s="7" t="s">
        <v>241</v>
      </c>
      <c r="I7" s="178" t="s">
        <v>218</v>
      </c>
    </row>
    <row r="8" spans="1:9">
      <c r="A8" s="24"/>
      <c r="B8" s="221" t="s">
        <v>2</v>
      </c>
      <c r="C8" s="109" t="s">
        <v>187</v>
      </c>
      <c r="D8" s="109" t="s">
        <v>187</v>
      </c>
      <c r="E8" s="3">
        <v>0.2044</v>
      </c>
      <c r="F8" s="3">
        <v>0.22</v>
      </c>
      <c r="G8" s="179" t="s">
        <v>3</v>
      </c>
      <c r="H8" s="4" t="s">
        <v>201</v>
      </c>
      <c r="I8" s="103" t="s">
        <v>14</v>
      </c>
    </row>
    <row r="9" spans="1:9">
      <c r="A9" s="25"/>
      <c r="B9" s="222" t="s">
        <v>137</v>
      </c>
      <c r="C9" s="108" t="s">
        <v>187</v>
      </c>
      <c r="D9" s="108" t="s">
        <v>187</v>
      </c>
      <c r="E9" s="3">
        <v>0.20710000000000001</v>
      </c>
      <c r="F9" s="3">
        <v>0.22</v>
      </c>
      <c r="G9" s="179" t="s">
        <v>4</v>
      </c>
      <c r="H9" s="4" t="s">
        <v>53</v>
      </c>
      <c r="I9" s="103" t="s">
        <v>15</v>
      </c>
    </row>
    <row r="10" spans="1:9" ht="28.5">
      <c r="A10" s="25"/>
      <c r="B10" s="221" t="s">
        <v>9</v>
      </c>
      <c r="C10" s="109" t="s">
        <v>187</v>
      </c>
      <c r="D10" s="109" t="s">
        <v>187</v>
      </c>
      <c r="E10" s="3">
        <v>9.9900000000000003E-2</v>
      </c>
      <c r="F10" s="3">
        <v>0.1</v>
      </c>
      <c r="G10" s="180" t="s">
        <v>3</v>
      </c>
      <c r="H10" s="4" t="s">
        <v>49</v>
      </c>
      <c r="I10" s="103" t="s">
        <v>16</v>
      </c>
    </row>
    <row r="11" spans="1:9">
      <c r="A11" s="25"/>
      <c r="B11" s="221" t="s">
        <v>10</v>
      </c>
      <c r="C11" s="109" t="s">
        <v>187</v>
      </c>
      <c r="D11" s="109" t="s">
        <v>187</v>
      </c>
      <c r="E11" s="3">
        <v>3.2800000000000003E-2</v>
      </c>
      <c r="F11" s="3">
        <v>7.0000000000000007E-2</v>
      </c>
      <c r="G11" s="180" t="s">
        <v>3</v>
      </c>
      <c r="H11" s="4" t="s">
        <v>50</v>
      </c>
      <c r="I11" s="103" t="s">
        <v>17</v>
      </c>
    </row>
    <row r="12" spans="1:9">
      <c r="A12" s="25"/>
      <c r="B12" s="221" t="s">
        <v>11</v>
      </c>
      <c r="C12" s="109" t="s">
        <v>187</v>
      </c>
      <c r="D12" s="109" t="s">
        <v>187</v>
      </c>
      <c r="E12" s="3">
        <v>7.0699999999999999E-2</v>
      </c>
      <c r="F12" s="3">
        <v>0.05</v>
      </c>
      <c r="G12" s="180" t="s">
        <v>3</v>
      </c>
      <c r="H12" s="4" t="s">
        <v>51</v>
      </c>
      <c r="I12" s="103" t="s">
        <v>18</v>
      </c>
    </row>
    <row r="13" spans="1:9">
      <c r="A13" s="25"/>
      <c r="B13" s="221" t="s">
        <v>21</v>
      </c>
      <c r="C13" s="109" t="s">
        <v>187</v>
      </c>
      <c r="D13" s="109" t="s">
        <v>187</v>
      </c>
      <c r="E13" s="3">
        <v>0</v>
      </c>
      <c r="F13" s="3">
        <v>0.05</v>
      </c>
      <c r="G13" s="180" t="s">
        <v>3</v>
      </c>
      <c r="H13" s="4" t="s">
        <v>51</v>
      </c>
      <c r="I13" s="103" t="s">
        <v>18</v>
      </c>
    </row>
    <row r="14" spans="1:9">
      <c r="A14" s="25"/>
      <c r="B14" s="221" t="s">
        <v>12</v>
      </c>
      <c r="C14" s="109" t="s">
        <v>187</v>
      </c>
      <c r="D14" s="109" t="s">
        <v>187</v>
      </c>
      <c r="E14" s="256">
        <v>0.17960000000000001</v>
      </c>
      <c r="F14" s="3">
        <v>0.15</v>
      </c>
      <c r="G14" s="179" t="s">
        <v>3</v>
      </c>
      <c r="H14" s="4" t="s">
        <v>52</v>
      </c>
      <c r="I14" s="4" t="s">
        <v>18</v>
      </c>
    </row>
    <row r="15" spans="1:9">
      <c r="A15" s="25"/>
      <c r="B15" s="221" t="s">
        <v>13</v>
      </c>
      <c r="C15" s="109" t="s">
        <v>187</v>
      </c>
      <c r="D15" s="109" t="s">
        <v>187</v>
      </c>
      <c r="E15" s="3">
        <v>2.12E-2</v>
      </c>
      <c r="F15" s="3">
        <v>0.05</v>
      </c>
      <c r="G15" s="179" t="s">
        <v>3</v>
      </c>
      <c r="H15" s="181" t="s">
        <v>51</v>
      </c>
      <c r="I15" s="113" t="s">
        <v>187</v>
      </c>
    </row>
    <row r="16" spans="1:9" ht="15">
      <c r="A16" s="25"/>
      <c r="B16" s="223" t="s">
        <v>5</v>
      </c>
      <c r="C16" s="110" t="s">
        <v>187</v>
      </c>
      <c r="D16" s="110" t="s">
        <v>187</v>
      </c>
      <c r="E16" s="99">
        <f>SUM(E7:E15)</f>
        <v>1.3166000000000002</v>
      </c>
      <c r="F16" s="99">
        <f>SUM(F7:F15)</f>
        <v>1.4000000000000001</v>
      </c>
      <c r="G16" s="220" t="s">
        <v>187</v>
      </c>
      <c r="H16" s="182" t="s">
        <v>187</v>
      </c>
      <c r="I16" s="182" t="s">
        <v>187</v>
      </c>
    </row>
    <row r="17" spans="1:9">
      <c r="A17" s="25"/>
      <c r="B17" s="221" t="s">
        <v>6</v>
      </c>
      <c r="C17" s="109" t="s">
        <v>187</v>
      </c>
      <c r="D17" s="109" t="s">
        <v>187</v>
      </c>
      <c r="E17" s="11">
        <v>0.1918</v>
      </c>
      <c r="F17" s="11">
        <v>0.18</v>
      </c>
      <c r="G17" s="179" t="s">
        <v>4</v>
      </c>
      <c r="H17" s="4" t="s">
        <v>203</v>
      </c>
      <c r="I17" s="103" t="s">
        <v>19</v>
      </c>
    </row>
    <row r="18" spans="1:9" ht="15">
      <c r="A18" s="25"/>
      <c r="B18" s="223" t="s">
        <v>225</v>
      </c>
      <c r="C18" s="110" t="s">
        <v>187</v>
      </c>
      <c r="D18" s="110" t="s">
        <v>187</v>
      </c>
      <c r="E18" s="12">
        <v>2.5999999999999999E-3</v>
      </c>
      <c r="F18" s="142" t="s">
        <v>187</v>
      </c>
      <c r="G18" s="131" t="s">
        <v>187</v>
      </c>
      <c r="H18" s="131" t="s">
        <v>187</v>
      </c>
      <c r="I18" s="166" t="s">
        <v>187</v>
      </c>
    </row>
    <row r="19" spans="1:9" ht="15">
      <c r="A19" s="18"/>
      <c r="B19" s="15"/>
      <c r="C19" s="15"/>
      <c r="D19" s="15"/>
      <c r="E19" s="17"/>
      <c r="F19" s="16"/>
      <c r="G19" s="88"/>
      <c r="H19" s="17"/>
      <c r="I19" s="167"/>
    </row>
    <row r="20" spans="1:9" ht="23.25">
      <c r="A20" s="22" t="s">
        <v>37</v>
      </c>
      <c r="B20" s="32" t="s">
        <v>34</v>
      </c>
      <c r="C20" s="32"/>
      <c r="D20" s="32"/>
      <c r="E20" s="33"/>
      <c r="F20" s="34"/>
      <c r="G20" s="90"/>
      <c r="H20" s="33"/>
      <c r="I20" s="39"/>
    </row>
    <row r="21" spans="1:9" ht="15.75">
      <c r="A21" s="23"/>
      <c r="B21" s="13" t="s">
        <v>0</v>
      </c>
      <c r="C21" s="107" t="s">
        <v>187</v>
      </c>
      <c r="D21" s="107" t="s">
        <v>188</v>
      </c>
      <c r="E21" s="257" t="s">
        <v>220</v>
      </c>
      <c r="F21" s="257" t="s">
        <v>198</v>
      </c>
      <c r="G21" s="13" t="s">
        <v>30</v>
      </c>
      <c r="H21" s="13" t="s">
        <v>20</v>
      </c>
      <c r="I21" s="13" t="s">
        <v>35</v>
      </c>
    </row>
    <row r="22" spans="1:9" ht="57">
      <c r="A22" s="25"/>
      <c r="B22" s="221" t="s">
        <v>138</v>
      </c>
      <c r="C22" s="109" t="s">
        <v>187</v>
      </c>
      <c r="D22" s="109" t="s">
        <v>188</v>
      </c>
      <c r="E22" s="5" t="s">
        <v>229</v>
      </c>
      <c r="F22" s="5">
        <v>0.48</v>
      </c>
      <c r="G22" s="177" t="s">
        <v>4</v>
      </c>
      <c r="H22" s="7" t="s">
        <v>242</v>
      </c>
      <c r="I22" s="6" t="s">
        <v>218</v>
      </c>
    </row>
    <row r="23" spans="1:9">
      <c r="A23" s="24"/>
      <c r="B23" s="221" t="s">
        <v>2</v>
      </c>
      <c r="C23" s="109" t="s">
        <v>187</v>
      </c>
      <c r="D23" s="109" t="s">
        <v>187</v>
      </c>
      <c r="E23" s="3">
        <v>0.24310000000000001</v>
      </c>
      <c r="F23" s="3">
        <v>0.24</v>
      </c>
      <c r="G23" s="179" t="s">
        <v>3</v>
      </c>
      <c r="H23" s="4" t="s">
        <v>46</v>
      </c>
      <c r="I23" s="1" t="s">
        <v>14</v>
      </c>
    </row>
    <row r="24" spans="1:9">
      <c r="A24" s="25"/>
      <c r="B24" s="222" t="s">
        <v>137</v>
      </c>
      <c r="C24" s="109" t="s">
        <v>187</v>
      </c>
      <c r="D24" s="109" t="s">
        <v>187</v>
      </c>
      <c r="E24" s="3">
        <v>0.2155</v>
      </c>
      <c r="F24" s="3">
        <v>0.22</v>
      </c>
      <c r="G24" s="179" t="s">
        <v>4</v>
      </c>
      <c r="H24" s="4" t="s">
        <v>53</v>
      </c>
      <c r="I24" s="1" t="s">
        <v>15</v>
      </c>
    </row>
    <row r="25" spans="1:9" ht="28.5">
      <c r="A25" s="25"/>
      <c r="B25" s="221" t="s">
        <v>9</v>
      </c>
      <c r="C25" s="109" t="s">
        <v>187</v>
      </c>
      <c r="D25" s="109" t="s">
        <v>187</v>
      </c>
      <c r="E25" s="3">
        <v>6.2600000000000003E-2</v>
      </c>
      <c r="F25" s="3">
        <v>0.06</v>
      </c>
      <c r="G25" s="180" t="s">
        <v>3</v>
      </c>
      <c r="H25" s="4" t="s">
        <v>172</v>
      </c>
      <c r="I25" s="1" t="s">
        <v>16</v>
      </c>
    </row>
    <row r="26" spans="1:9">
      <c r="A26" s="25"/>
      <c r="B26" s="226" t="s">
        <v>10</v>
      </c>
      <c r="C26" s="109" t="s">
        <v>187</v>
      </c>
      <c r="D26" s="109" t="s">
        <v>187</v>
      </c>
      <c r="E26" s="3">
        <v>3.4000000000000002E-2</v>
      </c>
      <c r="F26" s="3">
        <v>7.0000000000000007E-2</v>
      </c>
      <c r="G26" s="180" t="s">
        <v>3</v>
      </c>
      <c r="H26" s="4" t="s">
        <v>50</v>
      </c>
      <c r="I26" s="1" t="s">
        <v>17</v>
      </c>
    </row>
    <row r="27" spans="1:9">
      <c r="A27" s="25"/>
      <c r="B27" s="221" t="s">
        <v>11</v>
      </c>
      <c r="C27" s="109" t="s">
        <v>187</v>
      </c>
      <c r="D27" s="109" t="s">
        <v>187</v>
      </c>
      <c r="E27" s="3">
        <v>5.2499999999999998E-2</v>
      </c>
      <c r="F27" s="3">
        <v>0.05</v>
      </c>
      <c r="G27" s="180" t="s">
        <v>3</v>
      </c>
      <c r="H27" s="4" t="s">
        <v>51</v>
      </c>
      <c r="I27" s="1" t="s">
        <v>18</v>
      </c>
    </row>
    <row r="28" spans="1:9">
      <c r="A28" s="25"/>
      <c r="B28" s="221" t="s">
        <v>21</v>
      </c>
      <c r="C28" s="109" t="s">
        <v>187</v>
      </c>
      <c r="D28" s="109" t="s">
        <v>187</v>
      </c>
      <c r="E28" s="3">
        <v>0</v>
      </c>
      <c r="F28" s="3">
        <v>0.05</v>
      </c>
      <c r="G28" s="180" t="s">
        <v>3</v>
      </c>
      <c r="H28" s="4" t="s">
        <v>51</v>
      </c>
      <c r="I28" s="1" t="s">
        <v>18</v>
      </c>
    </row>
    <row r="29" spans="1:9">
      <c r="A29" s="25"/>
      <c r="B29" s="221" t="s">
        <v>12</v>
      </c>
      <c r="C29" s="109" t="s">
        <v>187</v>
      </c>
      <c r="D29" s="109" t="s">
        <v>187</v>
      </c>
      <c r="E29" s="3">
        <v>0.18920000000000001</v>
      </c>
      <c r="F29" s="3">
        <v>0.15</v>
      </c>
      <c r="G29" s="179" t="s">
        <v>3</v>
      </c>
      <c r="H29" s="4" t="s">
        <v>52</v>
      </c>
      <c r="I29" s="9" t="s">
        <v>18</v>
      </c>
    </row>
    <row r="30" spans="1:9">
      <c r="A30" s="25"/>
      <c r="B30" s="226" t="s">
        <v>13</v>
      </c>
      <c r="C30" s="109" t="s">
        <v>187</v>
      </c>
      <c r="D30" s="109" t="s">
        <v>187</v>
      </c>
      <c r="E30" s="3">
        <v>1.6500000000000001E-2</v>
      </c>
      <c r="F30" s="3">
        <v>0.05</v>
      </c>
      <c r="G30" s="179" t="s">
        <v>3</v>
      </c>
      <c r="H30" s="181" t="s">
        <v>51</v>
      </c>
      <c r="I30" s="132" t="s">
        <v>187</v>
      </c>
    </row>
    <row r="31" spans="1:9" ht="15">
      <c r="A31" s="25"/>
      <c r="B31" s="223" t="s">
        <v>5</v>
      </c>
      <c r="C31" s="109" t="s">
        <v>187</v>
      </c>
      <c r="D31" s="109" t="s">
        <v>187</v>
      </c>
      <c r="E31" s="99">
        <f>SUM(E22:E30)</f>
        <v>0.81340000000000001</v>
      </c>
      <c r="F31" s="99">
        <f>SUM(F22:F30)</f>
        <v>1.37</v>
      </c>
      <c r="G31" s="220" t="s">
        <v>187</v>
      </c>
      <c r="H31" s="182" t="s">
        <v>187</v>
      </c>
      <c r="I31" s="112" t="s">
        <v>187</v>
      </c>
    </row>
    <row r="32" spans="1:9">
      <c r="A32" s="25"/>
      <c r="B32" s="221" t="s">
        <v>6</v>
      </c>
      <c r="C32" s="109" t="s">
        <v>187</v>
      </c>
      <c r="D32" s="109" t="s">
        <v>187</v>
      </c>
      <c r="E32" s="11">
        <v>0.188</v>
      </c>
      <c r="F32" s="11">
        <v>0.18</v>
      </c>
      <c r="G32" s="179" t="s">
        <v>4</v>
      </c>
      <c r="H32" s="4" t="s">
        <v>203</v>
      </c>
      <c r="I32" s="1" t="s">
        <v>19</v>
      </c>
    </row>
    <row r="33" spans="1:9" ht="15">
      <c r="A33" s="25"/>
      <c r="B33" s="223" t="s">
        <v>225</v>
      </c>
      <c r="C33" s="110" t="s">
        <v>187</v>
      </c>
      <c r="D33" s="110" t="s">
        <v>187</v>
      </c>
      <c r="E33" s="12">
        <v>1.9E-3</v>
      </c>
      <c r="F33" s="142" t="s">
        <v>187</v>
      </c>
      <c r="G33" s="131" t="s">
        <v>187</v>
      </c>
      <c r="H33" s="131" t="s">
        <v>187</v>
      </c>
      <c r="I33" s="166" t="s">
        <v>187</v>
      </c>
    </row>
    <row r="34" spans="1:9" ht="15">
      <c r="A34" s="18"/>
      <c r="B34" s="15"/>
      <c r="C34" s="15"/>
      <c r="D34" s="15"/>
      <c r="E34" s="160" t="s">
        <v>243</v>
      </c>
      <c r="F34" s="160" t="s">
        <v>243</v>
      </c>
      <c r="G34" s="160" t="s">
        <v>243</v>
      </c>
      <c r="H34" s="160" t="s">
        <v>243</v>
      </c>
      <c r="I34" s="169" t="s">
        <v>243</v>
      </c>
    </row>
    <row r="35" spans="1:9" ht="23.25">
      <c r="A35" s="19" t="s">
        <v>36</v>
      </c>
      <c r="B35" s="32" t="s">
        <v>29</v>
      </c>
      <c r="C35" s="32"/>
      <c r="D35" s="32"/>
      <c r="E35" s="33"/>
      <c r="F35" s="34"/>
      <c r="G35" s="90"/>
      <c r="H35" s="33"/>
      <c r="I35" s="39"/>
    </row>
    <row r="36" spans="1:9" ht="15.75">
      <c r="A36" s="20"/>
      <c r="B36" s="258" t="s">
        <v>0</v>
      </c>
      <c r="C36" s="107" t="s">
        <v>187</v>
      </c>
      <c r="D36" s="107" t="s">
        <v>188</v>
      </c>
      <c r="E36" s="257" t="s">
        <v>220</v>
      </c>
      <c r="F36" s="257" t="s">
        <v>198</v>
      </c>
      <c r="G36" s="259" t="s">
        <v>30</v>
      </c>
      <c r="H36" s="13" t="s">
        <v>20</v>
      </c>
      <c r="I36" s="13" t="s">
        <v>35</v>
      </c>
    </row>
    <row r="37" spans="1:9" ht="57">
      <c r="A37" s="20"/>
      <c r="B37" s="221" t="s">
        <v>138</v>
      </c>
      <c r="C37" s="108" t="s">
        <v>187</v>
      </c>
      <c r="D37" s="108" t="s">
        <v>187</v>
      </c>
      <c r="E37" s="5">
        <v>0.58220000000000005</v>
      </c>
      <c r="F37" s="5">
        <v>0.59499999999999997</v>
      </c>
      <c r="G37" s="177" t="s">
        <v>4</v>
      </c>
      <c r="H37" s="7" t="s">
        <v>65</v>
      </c>
      <c r="I37" s="178" t="s">
        <v>218</v>
      </c>
    </row>
    <row r="38" spans="1:9">
      <c r="A38" s="20"/>
      <c r="B38" s="221" t="s">
        <v>2</v>
      </c>
      <c r="C38" s="109" t="s">
        <v>187</v>
      </c>
      <c r="D38" s="109" t="s">
        <v>187</v>
      </c>
      <c r="E38" s="3">
        <v>0.24129999999999999</v>
      </c>
      <c r="F38" s="3">
        <v>0.25</v>
      </c>
      <c r="G38" s="179" t="s">
        <v>3</v>
      </c>
      <c r="H38" s="4" t="s">
        <v>54</v>
      </c>
      <c r="I38" s="103" t="s">
        <v>14</v>
      </c>
    </row>
    <row r="39" spans="1:9">
      <c r="A39" s="20"/>
      <c r="B39" s="222" t="s">
        <v>137</v>
      </c>
      <c r="C39" s="108" t="s">
        <v>187</v>
      </c>
      <c r="D39" s="108" t="s">
        <v>187</v>
      </c>
      <c r="E39" s="3">
        <v>0.18959999999999999</v>
      </c>
      <c r="F39" s="3">
        <v>0.2</v>
      </c>
      <c r="G39" s="179" t="s">
        <v>4</v>
      </c>
      <c r="H39" s="4" t="s">
        <v>64</v>
      </c>
      <c r="I39" s="103" t="s">
        <v>15</v>
      </c>
    </row>
    <row r="40" spans="1:9" ht="28.5">
      <c r="A40" s="20"/>
      <c r="B40" s="221" t="s">
        <v>9</v>
      </c>
      <c r="C40" s="109" t="s">
        <v>187</v>
      </c>
      <c r="D40" s="109" t="s">
        <v>187</v>
      </c>
      <c r="E40" s="3">
        <v>7.9600000000000004E-2</v>
      </c>
      <c r="F40" s="3">
        <v>0.08</v>
      </c>
      <c r="G40" s="180" t="s">
        <v>3</v>
      </c>
      <c r="H40" s="4" t="s">
        <v>204</v>
      </c>
      <c r="I40" s="103" t="s">
        <v>16</v>
      </c>
    </row>
    <row r="41" spans="1:9">
      <c r="A41" s="20"/>
      <c r="B41" s="221" t="s">
        <v>10</v>
      </c>
      <c r="C41" s="109" t="s">
        <v>187</v>
      </c>
      <c r="D41" s="109" t="s">
        <v>187</v>
      </c>
      <c r="E41" s="3">
        <v>3.2300000000000002E-2</v>
      </c>
      <c r="F41" s="3">
        <v>7.0000000000000007E-2</v>
      </c>
      <c r="G41" s="180" t="s">
        <v>3</v>
      </c>
      <c r="H41" s="4" t="s">
        <v>50</v>
      </c>
      <c r="I41" s="103" t="s">
        <v>17</v>
      </c>
    </row>
    <row r="42" spans="1:9">
      <c r="A42" s="20"/>
      <c r="B42" s="221" t="s">
        <v>11</v>
      </c>
      <c r="C42" s="109" t="s">
        <v>187</v>
      </c>
      <c r="D42" s="109" t="s">
        <v>187</v>
      </c>
      <c r="E42" s="3">
        <v>2.2000000000000001E-3</v>
      </c>
      <c r="F42" s="3">
        <v>0.05</v>
      </c>
      <c r="G42" s="180" t="s">
        <v>3</v>
      </c>
      <c r="H42" s="4" t="s">
        <v>51</v>
      </c>
      <c r="I42" s="103" t="s">
        <v>18</v>
      </c>
    </row>
    <row r="43" spans="1:9">
      <c r="A43" s="20"/>
      <c r="B43" s="221" t="s">
        <v>21</v>
      </c>
      <c r="C43" s="109" t="s">
        <v>187</v>
      </c>
      <c r="D43" s="109" t="s">
        <v>187</v>
      </c>
      <c r="E43" s="3">
        <v>0</v>
      </c>
      <c r="F43" s="3">
        <v>0.05</v>
      </c>
      <c r="G43" s="180" t="s">
        <v>3</v>
      </c>
      <c r="H43" s="4" t="s">
        <v>51</v>
      </c>
      <c r="I43" s="103" t="s">
        <v>18</v>
      </c>
    </row>
    <row r="44" spans="1:9">
      <c r="A44" s="20"/>
      <c r="B44" s="221" t="s">
        <v>12</v>
      </c>
      <c r="C44" s="109" t="s">
        <v>187</v>
      </c>
      <c r="D44" s="109" t="s">
        <v>187</v>
      </c>
      <c r="E44" s="3">
        <v>0.19139999999999999</v>
      </c>
      <c r="F44" s="3">
        <v>0.15</v>
      </c>
      <c r="G44" s="179" t="s">
        <v>3</v>
      </c>
      <c r="H44" s="4" t="s">
        <v>52</v>
      </c>
      <c r="I44" s="4" t="s">
        <v>18</v>
      </c>
    </row>
    <row r="45" spans="1:9">
      <c r="A45" s="20"/>
      <c r="B45" s="221" t="s">
        <v>13</v>
      </c>
      <c r="C45" s="109" t="s">
        <v>187</v>
      </c>
      <c r="D45" s="109" t="s">
        <v>187</v>
      </c>
      <c r="E45" s="3">
        <v>2.0400000000000001E-2</v>
      </c>
      <c r="F45" s="3">
        <v>0.05</v>
      </c>
      <c r="G45" s="179" t="s">
        <v>3</v>
      </c>
      <c r="H45" s="181" t="s">
        <v>51</v>
      </c>
      <c r="I45" s="113" t="s">
        <v>187</v>
      </c>
    </row>
    <row r="46" spans="1:9" ht="15">
      <c r="A46" s="20"/>
      <c r="B46" s="223" t="s">
        <v>5</v>
      </c>
      <c r="C46" s="110" t="s">
        <v>187</v>
      </c>
      <c r="D46" s="110" t="s">
        <v>187</v>
      </c>
      <c r="E46" s="27">
        <f>SUBTOTAL(109,E37:E45)</f>
        <v>1.3390000000000002</v>
      </c>
      <c r="F46" s="27">
        <f>SUBTOTAL(109,F37:F45)</f>
        <v>1.4950000000000001</v>
      </c>
      <c r="G46" s="117" t="s">
        <v>187</v>
      </c>
      <c r="H46" s="118" t="s">
        <v>187</v>
      </c>
      <c r="I46" s="112" t="s">
        <v>187</v>
      </c>
    </row>
    <row r="47" spans="1:9">
      <c r="A47" s="20"/>
      <c r="B47" s="221" t="s">
        <v>6</v>
      </c>
      <c r="C47" s="109" t="s">
        <v>187</v>
      </c>
      <c r="D47" s="109" t="s">
        <v>187</v>
      </c>
      <c r="E47" s="11">
        <v>0.21179999999999999</v>
      </c>
      <c r="F47" s="11">
        <v>0.2</v>
      </c>
      <c r="G47" s="86" t="s">
        <v>4</v>
      </c>
      <c r="H47" s="9" t="s">
        <v>64</v>
      </c>
      <c r="I47" s="1" t="s">
        <v>19</v>
      </c>
    </row>
    <row r="48" spans="1:9" ht="15">
      <c r="A48" s="21"/>
      <c r="B48" s="223" t="s">
        <v>225</v>
      </c>
      <c r="C48" s="110" t="s">
        <v>187</v>
      </c>
      <c r="D48" s="110" t="s">
        <v>187</v>
      </c>
      <c r="E48" s="12">
        <v>2.3999999999999998E-3</v>
      </c>
      <c r="F48" s="142" t="s">
        <v>187</v>
      </c>
      <c r="G48" s="131" t="s">
        <v>187</v>
      </c>
      <c r="H48" s="131" t="s">
        <v>187</v>
      </c>
      <c r="I48" s="146" t="s">
        <v>187</v>
      </c>
    </row>
    <row r="49" spans="1:9" ht="15">
      <c r="A49" s="18"/>
      <c r="B49" s="15"/>
      <c r="C49" s="15"/>
      <c r="D49" s="15"/>
      <c r="E49" s="17"/>
      <c r="F49" s="16"/>
      <c r="G49" s="88"/>
      <c r="H49" s="17"/>
      <c r="I49" s="167"/>
    </row>
    <row r="50" spans="1:9" ht="23.25">
      <c r="A50" s="19" t="s">
        <v>36</v>
      </c>
      <c r="B50" s="32" t="s">
        <v>31</v>
      </c>
      <c r="C50" s="32"/>
      <c r="D50" s="32"/>
      <c r="E50" s="33"/>
      <c r="F50" s="34"/>
      <c r="G50" s="90"/>
      <c r="H50" s="33"/>
      <c r="I50" s="39"/>
    </row>
    <row r="51" spans="1:9" ht="15.75">
      <c r="A51" s="20"/>
      <c r="B51" s="258" t="s">
        <v>0</v>
      </c>
      <c r="C51" s="107" t="s">
        <v>187</v>
      </c>
      <c r="D51" s="107" t="s">
        <v>188</v>
      </c>
      <c r="E51" s="257" t="s">
        <v>220</v>
      </c>
      <c r="F51" s="257" t="s">
        <v>198</v>
      </c>
      <c r="G51" s="13" t="s">
        <v>30</v>
      </c>
      <c r="H51" s="13" t="s">
        <v>20</v>
      </c>
      <c r="I51" s="13" t="s">
        <v>35</v>
      </c>
    </row>
    <row r="52" spans="1:9" ht="57">
      <c r="A52" s="20"/>
      <c r="B52" s="221" t="s">
        <v>138</v>
      </c>
      <c r="C52" s="108" t="s">
        <v>187</v>
      </c>
      <c r="D52" s="108" t="s">
        <v>188</v>
      </c>
      <c r="E52" s="5">
        <v>0.48320000000000002</v>
      </c>
      <c r="F52" s="5">
        <v>0.49</v>
      </c>
      <c r="G52" s="177" t="s">
        <v>4</v>
      </c>
      <c r="H52" s="7" t="s">
        <v>241</v>
      </c>
      <c r="I52" s="6" t="s">
        <v>218</v>
      </c>
    </row>
    <row r="53" spans="1:9">
      <c r="A53" s="20"/>
      <c r="B53" s="221" t="s">
        <v>2</v>
      </c>
      <c r="C53" s="109" t="s">
        <v>187</v>
      </c>
      <c r="D53" s="109" t="s">
        <v>187</v>
      </c>
      <c r="E53" s="3">
        <v>0.20169999999999999</v>
      </c>
      <c r="F53" s="3">
        <v>0.22</v>
      </c>
      <c r="G53" s="179" t="s">
        <v>3</v>
      </c>
      <c r="H53" s="4" t="s">
        <v>201</v>
      </c>
      <c r="I53" s="1" t="s">
        <v>14</v>
      </c>
    </row>
    <row r="54" spans="1:9">
      <c r="A54" s="20"/>
      <c r="B54" s="222" t="s">
        <v>137</v>
      </c>
      <c r="C54" s="108" t="s">
        <v>187</v>
      </c>
      <c r="D54" s="108" t="s">
        <v>187</v>
      </c>
      <c r="E54" s="3">
        <v>0.21379999999999999</v>
      </c>
      <c r="F54" s="3">
        <v>0.22</v>
      </c>
      <c r="G54" s="179" t="s">
        <v>4</v>
      </c>
      <c r="H54" s="4" t="s">
        <v>53</v>
      </c>
      <c r="I54" s="1" t="s">
        <v>15</v>
      </c>
    </row>
    <row r="55" spans="1:9" ht="28.5">
      <c r="A55" s="20"/>
      <c r="B55" s="221" t="s">
        <v>9</v>
      </c>
      <c r="C55" s="109" t="s">
        <v>187</v>
      </c>
      <c r="D55" s="109" t="s">
        <v>187</v>
      </c>
      <c r="E55" s="3">
        <v>8.6999999999999994E-2</v>
      </c>
      <c r="F55" s="3">
        <v>0.09</v>
      </c>
      <c r="G55" s="180" t="s">
        <v>3</v>
      </c>
      <c r="H55" s="4" t="s">
        <v>205</v>
      </c>
      <c r="I55" s="1" t="s">
        <v>16</v>
      </c>
    </row>
    <row r="56" spans="1:9">
      <c r="A56" s="20"/>
      <c r="B56" s="221" t="s">
        <v>10</v>
      </c>
      <c r="C56" s="109" t="s">
        <v>187</v>
      </c>
      <c r="D56" s="109" t="s">
        <v>187</v>
      </c>
      <c r="E56" s="3">
        <v>3.8600000000000002E-2</v>
      </c>
      <c r="F56" s="3">
        <v>7.0000000000000007E-2</v>
      </c>
      <c r="G56" s="180" t="s">
        <v>3</v>
      </c>
      <c r="H56" s="4" t="s">
        <v>50</v>
      </c>
      <c r="I56" s="1" t="s">
        <v>17</v>
      </c>
    </row>
    <row r="57" spans="1:9">
      <c r="A57" s="20"/>
      <c r="B57" s="221" t="s">
        <v>11</v>
      </c>
      <c r="C57" s="109" t="s">
        <v>187</v>
      </c>
      <c r="D57" s="109" t="s">
        <v>187</v>
      </c>
      <c r="E57" s="55">
        <v>5.3800000000000001E-2</v>
      </c>
      <c r="F57" s="3">
        <v>0.05</v>
      </c>
      <c r="G57" s="180" t="s">
        <v>3</v>
      </c>
      <c r="H57" s="4" t="s">
        <v>51</v>
      </c>
      <c r="I57" s="1" t="s">
        <v>18</v>
      </c>
    </row>
    <row r="58" spans="1:9">
      <c r="A58" s="20"/>
      <c r="B58" s="221" t="s">
        <v>21</v>
      </c>
      <c r="C58" s="109" t="s">
        <v>187</v>
      </c>
      <c r="D58" s="109" t="s">
        <v>187</v>
      </c>
      <c r="E58" s="3">
        <v>0</v>
      </c>
      <c r="F58" s="3">
        <v>0.05</v>
      </c>
      <c r="G58" s="180" t="s">
        <v>3</v>
      </c>
      <c r="H58" s="4" t="s">
        <v>51</v>
      </c>
      <c r="I58" s="1" t="s">
        <v>18</v>
      </c>
    </row>
    <row r="59" spans="1:9">
      <c r="A59" s="20"/>
      <c r="B59" s="221" t="s">
        <v>12</v>
      </c>
      <c r="C59" s="109" t="s">
        <v>187</v>
      </c>
      <c r="D59" s="109" t="s">
        <v>187</v>
      </c>
      <c r="E59" s="3">
        <v>0.19070000000000001</v>
      </c>
      <c r="F59" s="3">
        <v>0.15</v>
      </c>
      <c r="G59" s="179" t="s">
        <v>3</v>
      </c>
      <c r="H59" s="4" t="s">
        <v>52</v>
      </c>
      <c r="I59" s="9" t="s">
        <v>18</v>
      </c>
    </row>
    <row r="60" spans="1:9">
      <c r="A60" s="20"/>
      <c r="B60" s="221" t="s">
        <v>13</v>
      </c>
      <c r="C60" s="109" t="s">
        <v>187</v>
      </c>
      <c r="D60" s="109" t="s">
        <v>187</v>
      </c>
      <c r="E60" s="3">
        <v>2.3699999999999999E-2</v>
      </c>
      <c r="F60" s="3">
        <v>0.05</v>
      </c>
      <c r="G60" s="179" t="s">
        <v>3</v>
      </c>
      <c r="H60" s="181" t="s">
        <v>51</v>
      </c>
      <c r="I60" s="132" t="s">
        <v>187</v>
      </c>
    </row>
    <row r="61" spans="1:9" ht="15">
      <c r="A61" s="20"/>
      <c r="B61" s="223" t="s">
        <v>5</v>
      </c>
      <c r="C61" s="110" t="s">
        <v>187</v>
      </c>
      <c r="D61" s="110" t="s">
        <v>187</v>
      </c>
      <c r="E61" s="99">
        <f>SUBTOTAL(109,E52:E60)</f>
        <v>1.2925000000000002</v>
      </c>
      <c r="F61" s="99">
        <f>SUBTOTAL(109,F52:F60)</f>
        <v>1.3900000000000001</v>
      </c>
      <c r="G61" s="183" t="s">
        <v>187</v>
      </c>
      <c r="H61" s="184" t="s">
        <v>187</v>
      </c>
      <c r="I61" s="112" t="s">
        <v>187</v>
      </c>
    </row>
    <row r="62" spans="1:9">
      <c r="A62" s="20"/>
      <c r="B62" s="221" t="s">
        <v>6</v>
      </c>
      <c r="C62" s="109" t="s">
        <v>187</v>
      </c>
      <c r="D62" s="109" t="s">
        <v>187</v>
      </c>
      <c r="E62" s="11">
        <v>0.18940000000000001</v>
      </c>
      <c r="F62" s="11">
        <v>0.18</v>
      </c>
      <c r="G62" s="179" t="s">
        <v>4</v>
      </c>
      <c r="H62" s="4" t="s">
        <v>203</v>
      </c>
      <c r="I62" s="1" t="s">
        <v>19</v>
      </c>
    </row>
    <row r="63" spans="1:9" ht="15">
      <c r="A63" s="21"/>
      <c r="B63" s="223" t="s">
        <v>225</v>
      </c>
      <c r="C63" s="110" t="s">
        <v>187</v>
      </c>
      <c r="D63" s="110" t="s">
        <v>187</v>
      </c>
      <c r="E63" s="12">
        <v>2.3999999999999998E-3</v>
      </c>
      <c r="F63" s="142" t="s">
        <v>187</v>
      </c>
      <c r="G63" s="131" t="s">
        <v>187</v>
      </c>
      <c r="H63" s="131" t="s">
        <v>187</v>
      </c>
      <c r="I63" s="166" t="s">
        <v>187</v>
      </c>
    </row>
    <row r="64" spans="1:9" ht="15">
      <c r="A64" s="18"/>
      <c r="B64" s="15"/>
      <c r="C64" s="15"/>
      <c r="D64" s="15"/>
      <c r="E64" s="17"/>
      <c r="F64" s="16"/>
      <c r="G64" s="88"/>
      <c r="H64" s="17"/>
      <c r="I64" s="167"/>
    </row>
    <row r="65" spans="1:9" ht="23.25">
      <c r="A65" s="19" t="s">
        <v>36</v>
      </c>
      <c r="B65" s="32" t="s">
        <v>32</v>
      </c>
      <c r="C65" s="32"/>
      <c r="D65" s="32"/>
      <c r="E65" s="33"/>
      <c r="F65" s="34"/>
      <c r="G65" s="90"/>
      <c r="H65" s="33"/>
      <c r="I65" s="39"/>
    </row>
    <row r="66" spans="1:9" ht="15.75">
      <c r="A66" s="20"/>
      <c r="B66" s="13" t="s">
        <v>0</v>
      </c>
      <c r="C66" s="107" t="s">
        <v>187</v>
      </c>
      <c r="D66" s="107" t="s">
        <v>188</v>
      </c>
      <c r="E66" s="257" t="s">
        <v>220</v>
      </c>
      <c r="F66" s="257" t="s">
        <v>198</v>
      </c>
      <c r="G66" s="13" t="s">
        <v>30</v>
      </c>
      <c r="H66" s="13" t="s">
        <v>20</v>
      </c>
      <c r="I66" s="13" t="s">
        <v>35</v>
      </c>
    </row>
    <row r="67" spans="1:9" ht="57">
      <c r="A67" s="20"/>
      <c r="B67" s="221" t="s">
        <v>138</v>
      </c>
      <c r="C67" s="108" t="s">
        <v>187</v>
      </c>
      <c r="D67" s="108" t="s">
        <v>188</v>
      </c>
      <c r="E67" s="5">
        <v>0.30099999999999999</v>
      </c>
      <c r="F67" s="5">
        <v>0.3</v>
      </c>
      <c r="G67" s="177" t="s">
        <v>4</v>
      </c>
      <c r="H67" s="7" t="s">
        <v>61</v>
      </c>
      <c r="I67" s="6" t="s">
        <v>218</v>
      </c>
    </row>
    <row r="68" spans="1:9">
      <c r="A68" s="20"/>
      <c r="B68" s="221" t="s">
        <v>2</v>
      </c>
      <c r="C68" s="109" t="s">
        <v>187</v>
      </c>
      <c r="D68" s="109" t="s">
        <v>187</v>
      </c>
      <c r="E68" s="3">
        <v>0.2843</v>
      </c>
      <c r="F68" s="3">
        <v>0.26</v>
      </c>
      <c r="G68" s="86" t="s">
        <v>3</v>
      </c>
      <c r="H68" s="4" t="s">
        <v>202</v>
      </c>
      <c r="I68" s="1" t="s">
        <v>14</v>
      </c>
    </row>
    <row r="69" spans="1:9">
      <c r="A69" s="20"/>
      <c r="B69" s="222" t="s">
        <v>137</v>
      </c>
      <c r="C69" s="108" t="s">
        <v>187</v>
      </c>
      <c r="D69" s="108" t="s">
        <v>187</v>
      </c>
      <c r="E69" s="3">
        <v>0.27910000000000001</v>
      </c>
      <c r="F69" s="3">
        <v>0.28000000000000003</v>
      </c>
      <c r="G69" s="86" t="s">
        <v>4</v>
      </c>
      <c r="H69" s="4" t="s">
        <v>62</v>
      </c>
      <c r="I69" s="1" t="s">
        <v>15</v>
      </c>
    </row>
    <row r="70" spans="1:9" ht="28.5">
      <c r="A70" s="20"/>
      <c r="B70" s="221" t="s">
        <v>9</v>
      </c>
      <c r="C70" s="109" t="s">
        <v>187</v>
      </c>
      <c r="D70" s="109" t="s">
        <v>187</v>
      </c>
      <c r="E70" s="3">
        <v>9.7299999999999998E-2</v>
      </c>
      <c r="F70" s="3">
        <v>0.1</v>
      </c>
      <c r="G70" s="87" t="s">
        <v>3</v>
      </c>
      <c r="H70" s="9" t="s">
        <v>49</v>
      </c>
      <c r="I70" s="1" t="s">
        <v>16</v>
      </c>
    </row>
    <row r="71" spans="1:9">
      <c r="A71" s="20"/>
      <c r="B71" s="221" t="s">
        <v>10</v>
      </c>
      <c r="C71" s="109" t="s">
        <v>187</v>
      </c>
      <c r="D71" s="109" t="s">
        <v>187</v>
      </c>
      <c r="E71" s="3">
        <v>4.3799999999999999E-2</v>
      </c>
      <c r="F71" s="3">
        <v>7.0000000000000007E-2</v>
      </c>
      <c r="G71" s="87" t="s">
        <v>3</v>
      </c>
      <c r="H71" s="9" t="s">
        <v>50</v>
      </c>
      <c r="I71" s="1" t="s">
        <v>17</v>
      </c>
    </row>
    <row r="72" spans="1:9">
      <c r="A72" s="20"/>
      <c r="B72" s="221" t="s">
        <v>11</v>
      </c>
      <c r="C72" s="109" t="s">
        <v>187</v>
      </c>
      <c r="D72" s="109" t="s">
        <v>187</v>
      </c>
      <c r="E72" s="3">
        <v>1.1999999999999999E-3</v>
      </c>
      <c r="F72" s="3">
        <v>0.05</v>
      </c>
      <c r="G72" s="87" t="s">
        <v>3</v>
      </c>
      <c r="H72" s="9" t="s">
        <v>51</v>
      </c>
      <c r="I72" s="1" t="s">
        <v>18</v>
      </c>
    </row>
    <row r="73" spans="1:9">
      <c r="A73" s="20"/>
      <c r="B73" s="221" t="s">
        <v>21</v>
      </c>
      <c r="C73" s="109" t="s">
        <v>187</v>
      </c>
      <c r="D73" s="109" t="s">
        <v>187</v>
      </c>
      <c r="E73" s="3">
        <v>3.9300000000000002E-2</v>
      </c>
      <c r="F73" s="3">
        <v>0.05</v>
      </c>
      <c r="G73" s="87" t="s">
        <v>3</v>
      </c>
      <c r="H73" s="9" t="s">
        <v>51</v>
      </c>
      <c r="I73" s="1" t="s">
        <v>18</v>
      </c>
    </row>
    <row r="74" spans="1:9">
      <c r="A74" s="20"/>
      <c r="B74" s="221" t="s">
        <v>12</v>
      </c>
      <c r="C74" s="109" t="s">
        <v>187</v>
      </c>
      <c r="D74" s="109" t="s">
        <v>187</v>
      </c>
      <c r="E74" s="3">
        <v>0.16139999999999999</v>
      </c>
      <c r="F74" s="3">
        <v>0.15</v>
      </c>
      <c r="G74" s="86" t="s">
        <v>3</v>
      </c>
      <c r="H74" s="9" t="s">
        <v>52</v>
      </c>
      <c r="I74" s="9" t="s">
        <v>18</v>
      </c>
    </row>
    <row r="75" spans="1:9">
      <c r="A75" s="20"/>
      <c r="B75" s="221" t="s">
        <v>13</v>
      </c>
      <c r="C75" s="109" t="s">
        <v>187</v>
      </c>
      <c r="D75" s="109" t="s">
        <v>187</v>
      </c>
      <c r="E75" s="3">
        <v>3.1800000000000002E-2</v>
      </c>
      <c r="F75" s="3">
        <v>0.05</v>
      </c>
      <c r="G75" s="86" t="s">
        <v>3</v>
      </c>
      <c r="H75" s="10" t="s">
        <v>51</v>
      </c>
      <c r="I75" s="132" t="s">
        <v>187</v>
      </c>
    </row>
    <row r="76" spans="1:9" ht="15">
      <c r="A76" s="20"/>
      <c r="B76" s="223" t="s">
        <v>5</v>
      </c>
      <c r="C76" s="110" t="s">
        <v>187</v>
      </c>
      <c r="D76" s="110" t="s">
        <v>187</v>
      </c>
      <c r="E76" s="99">
        <f>SUBTOTAL(109,E67:E75)</f>
        <v>1.2392000000000003</v>
      </c>
      <c r="F76" s="99">
        <f>SUBTOTAL(109,F67:F75)</f>
        <v>1.31</v>
      </c>
      <c r="G76" s="117" t="s">
        <v>187</v>
      </c>
      <c r="H76" s="118" t="s">
        <v>187</v>
      </c>
      <c r="I76" s="112" t="s">
        <v>187</v>
      </c>
    </row>
    <row r="77" spans="1:9">
      <c r="A77" s="20"/>
      <c r="B77" s="221" t="s">
        <v>6</v>
      </c>
      <c r="C77" s="109" t="s">
        <v>187</v>
      </c>
      <c r="D77" s="109" t="s">
        <v>187</v>
      </c>
      <c r="E77" s="3">
        <v>0.17269999999999999</v>
      </c>
      <c r="F77" s="3">
        <v>0.18</v>
      </c>
      <c r="G77" s="86" t="s">
        <v>4</v>
      </c>
      <c r="H77" s="9" t="s">
        <v>203</v>
      </c>
      <c r="I77" s="1" t="s">
        <v>19</v>
      </c>
    </row>
    <row r="78" spans="1:9" ht="15">
      <c r="A78" s="21"/>
      <c r="B78" s="223" t="s">
        <v>225</v>
      </c>
      <c r="C78" s="110" t="s">
        <v>187</v>
      </c>
      <c r="D78" s="110" t="s">
        <v>187</v>
      </c>
      <c r="E78" s="12">
        <v>2.5000000000000001E-3</v>
      </c>
      <c r="F78" s="142" t="s">
        <v>187</v>
      </c>
      <c r="G78" s="131" t="s">
        <v>187</v>
      </c>
      <c r="H78" s="131" t="s">
        <v>187</v>
      </c>
      <c r="I78" s="168" t="s">
        <v>187</v>
      </c>
    </row>
    <row r="79" spans="1:9" ht="15">
      <c r="A79" s="18"/>
      <c r="B79" s="159" t="s">
        <v>187</v>
      </c>
      <c r="C79" s="159" t="s">
        <v>187</v>
      </c>
      <c r="D79" s="159" t="s">
        <v>187</v>
      </c>
      <c r="E79" s="160" t="s">
        <v>187</v>
      </c>
      <c r="F79" s="160" t="s">
        <v>187</v>
      </c>
      <c r="G79" s="160" t="s">
        <v>187</v>
      </c>
      <c r="H79" s="160" t="s">
        <v>187</v>
      </c>
      <c r="I79" s="169" t="s">
        <v>187</v>
      </c>
    </row>
    <row r="80" spans="1:9" ht="30">
      <c r="A80" s="28" t="s">
        <v>67</v>
      </c>
      <c r="B80" s="36" t="s">
        <v>38</v>
      </c>
      <c r="C80" s="36"/>
      <c r="D80" s="36"/>
      <c r="E80" s="37"/>
      <c r="F80" s="38"/>
      <c r="G80" s="91"/>
      <c r="H80" s="37"/>
      <c r="I80" s="39"/>
    </row>
    <row r="81" spans="1:9" ht="23.25">
      <c r="A81" s="28"/>
      <c r="B81" s="41" t="s">
        <v>42</v>
      </c>
      <c r="C81" s="41"/>
      <c r="D81" s="41"/>
      <c r="E81" s="37"/>
      <c r="F81" s="38"/>
      <c r="G81" s="91"/>
      <c r="H81" s="37"/>
      <c r="I81" s="39"/>
    </row>
    <row r="82" spans="1:9" ht="23.25">
      <c r="A82" s="28"/>
      <c r="B82" s="41" t="s">
        <v>43</v>
      </c>
      <c r="C82" s="41"/>
      <c r="D82" s="41"/>
      <c r="E82" s="37"/>
      <c r="F82" s="38"/>
      <c r="G82" s="91"/>
      <c r="H82" s="37"/>
      <c r="I82" s="39"/>
    </row>
    <row r="83" spans="1:9" ht="15.75">
      <c r="A83" s="29"/>
      <c r="B83" s="121" t="s">
        <v>0</v>
      </c>
      <c r="C83" s="120" t="s">
        <v>223</v>
      </c>
      <c r="D83" s="120" t="s">
        <v>222</v>
      </c>
      <c r="E83" s="120" t="s">
        <v>221</v>
      </c>
      <c r="F83" s="120" t="s">
        <v>198</v>
      </c>
      <c r="G83" s="121" t="s">
        <v>30</v>
      </c>
      <c r="H83" s="121" t="s">
        <v>20</v>
      </c>
      <c r="I83" s="121" t="s">
        <v>35</v>
      </c>
    </row>
    <row r="84" spans="1:9" ht="57">
      <c r="A84" s="31"/>
      <c r="B84" s="104" t="s">
        <v>138</v>
      </c>
      <c r="C84" s="5">
        <v>1.0145</v>
      </c>
      <c r="D84" s="5">
        <v>0.99490000000000001</v>
      </c>
      <c r="E84" s="5">
        <v>0.99309999999999998</v>
      </c>
      <c r="F84" s="5">
        <v>0.99</v>
      </c>
      <c r="G84" s="85" t="s">
        <v>23</v>
      </c>
      <c r="H84" s="7" t="s">
        <v>239</v>
      </c>
      <c r="I84" s="6" t="s">
        <v>218</v>
      </c>
    </row>
    <row r="85" spans="1:9">
      <c r="A85" s="30"/>
      <c r="B85" s="2" t="s">
        <v>2</v>
      </c>
      <c r="C85" s="3">
        <v>0.28270000000000001</v>
      </c>
      <c r="D85" s="3">
        <v>0.28960000000000002</v>
      </c>
      <c r="E85" s="3">
        <v>0.2969</v>
      </c>
      <c r="F85" s="3">
        <v>0.3</v>
      </c>
      <c r="G85" s="86" t="s">
        <v>24</v>
      </c>
      <c r="H85" s="4" t="s">
        <v>60</v>
      </c>
      <c r="I85" s="1" t="s">
        <v>14</v>
      </c>
    </row>
    <row r="86" spans="1:9">
      <c r="A86" s="31"/>
      <c r="B86" s="69" t="s">
        <v>137</v>
      </c>
      <c r="C86" s="3">
        <v>3.8600000000000002E-2</v>
      </c>
      <c r="D86" s="3">
        <v>3.9199999999999999E-2</v>
      </c>
      <c r="E86" s="3">
        <v>4.3900000000000002E-2</v>
      </c>
      <c r="F86" s="3">
        <v>0.06</v>
      </c>
      <c r="G86" s="86" t="s">
        <v>23</v>
      </c>
      <c r="H86" s="4" t="s">
        <v>58</v>
      </c>
      <c r="I86" s="1" t="s">
        <v>15</v>
      </c>
    </row>
    <row r="87" spans="1:9" ht="28.5">
      <c r="A87" s="31"/>
      <c r="B87" s="2" t="s">
        <v>9</v>
      </c>
      <c r="C87" s="3">
        <v>4.6199999999999998E-2</v>
      </c>
      <c r="D87" s="3">
        <v>3.5799999999999998E-2</v>
      </c>
      <c r="E87" s="3">
        <v>3.5000000000000003E-2</v>
      </c>
      <c r="F87" s="3">
        <v>0.05</v>
      </c>
      <c r="G87" s="87" t="s">
        <v>24</v>
      </c>
      <c r="H87" s="9" t="s">
        <v>51</v>
      </c>
      <c r="I87" s="1" t="s">
        <v>16</v>
      </c>
    </row>
    <row r="88" spans="1:9">
      <c r="A88" s="31"/>
      <c r="B88" s="2" t="s">
        <v>10</v>
      </c>
      <c r="C88" s="3">
        <v>1.6000000000000001E-3</v>
      </c>
      <c r="D88" s="3">
        <v>1.6000000000000001E-3</v>
      </c>
      <c r="E88" s="3">
        <v>1.4E-3</v>
      </c>
      <c r="F88" s="3">
        <v>0.05</v>
      </c>
      <c r="G88" s="87" t="s">
        <v>24</v>
      </c>
      <c r="H88" s="9" t="s">
        <v>51</v>
      </c>
      <c r="I88" s="1" t="s">
        <v>17</v>
      </c>
    </row>
    <row r="89" spans="1:9">
      <c r="A89" s="31"/>
      <c r="B89" s="2" t="s">
        <v>11</v>
      </c>
      <c r="C89" s="3">
        <v>0</v>
      </c>
      <c r="D89" s="3">
        <v>8.9999999999999998E-4</v>
      </c>
      <c r="E89" s="3">
        <v>5.9999999999999995E-4</v>
      </c>
      <c r="F89" s="3">
        <v>0.05</v>
      </c>
      <c r="G89" s="87" t="s">
        <v>24</v>
      </c>
      <c r="H89" s="9" t="s">
        <v>51</v>
      </c>
      <c r="I89" s="1" t="s">
        <v>18</v>
      </c>
    </row>
    <row r="90" spans="1:9">
      <c r="A90" s="31"/>
      <c r="B90" s="2" t="s">
        <v>21</v>
      </c>
      <c r="C90" s="3">
        <v>0</v>
      </c>
      <c r="D90" s="3">
        <v>0</v>
      </c>
      <c r="E90" s="3">
        <v>0</v>
      </c>
      <c r="F90" s="3">
        <v>0.05</v>
      </c>
      <c r="G90" s="87" t="s">
        <v>24</v>
      </c>
      <c r="H90" s="9" t="s">
        <v>51</v>
      </c>
      <c r="I90" s="1" t="s">
        <v>18</v>
      </c>
    </row>
    <row r="91" spans="1:9">
      <c r="A91" s="31"/>
      <c r="B91" s="2" t="s">
        <v>12</v>
      </c>
      <c r="C91" s="3">
        <v>0.19520000000000001</v>
      </c>
      <c r="D91" s="3">
        <v>0.20150000000000001</v>
      </c>
      <c r="E91" s="3">
        <v>0.1908</v>
      </c>
      <c r="F91" s="3">
        <v>0.15</v>
      </c>
      <c r="G91" s="86" t="s">
        <v>24</v>
      </c>
      <c r="H91" s="9" t="s">
        <v>52</v>
      </c>
      <c r="I91" s="9" t="s">
        <v>18</v>
      </c>
    </row>
    <row r="92" spans="1:9">
      <c r="A92" s="31"/>
      <c r="B92" s="2" t="s">
        <v>13</v>
      </c>
      <c r="C92" s="3">
        <v>9.1999999999999998E-3</v>
      </c>
      <c r="D92" s="3">
        <v>8.8000000000000005E-3</v>
      </c>
      <c r="E92" s="3">
        <v>2.58E-2</v>
      </c>
      <c r="F92" s="3">
        <v>0.05</v>
      </c>
      <c r="G92" s="86" t="s">
        <v>24</v>
      </c>
      <c r="H92" s="10" t="s">
        <v>51</v>
      </c>
      <c r="I92" s="132" t="s">
        <v>187</v>
      </c>
    </row>
    <row r="93" spans="1:9" ht="15">
      <c r="A93" s="31"/>
      <c r="B93" s="26" t="s">
        <v>5</v>
      </c>
      <c r="C93" s="99">
        <f>SUBTOTAL(109,C84:C92)</f>
        <v>1.5880000000000001</v>
      </c>
      <c r="D93" s="99">
        <f t="shared" ref="D93:F93" si="0">SUBTOTAL(109,D84:D92)</f>
        <v>1.5722999999999998</v>
      </c>
      <c r="E93" s="99">
        <f t="shared" si="0"/>
        <v>1.5875000000000001</v>
      </c>
      <c r="F93" s="99">
        <f t="shared" si="0"/>
        <v>1.7500000000000002</v>
      </c>
      <c r="G93" s="117" t="s">
        <v>187</v>
      </c>
      <c r="H93" s="112" t="s">
        <v>187</v>
      </c>
      <c r="I93" s="112" t="s">
        <v>187</v>
      </c>
    </row>
    <row r="94" spans="1:9">
      <c r="A94" s="31"/>
      <c r="B94" s="2" t="s">
        <v>6</v>
      </c>
      <c r="C94" s="11">
        <v>0.2351</v>
      </c>
      <c r="D94" s="11">
        <v>0.22620000000000001</v>
      </c>
      <c r="E94" s="11">
        <v>0.2379</v>
      </c>
      <c r="F94" s="11">
        <v>0.22</v>
      </c>
      <c r="G94" s="86" t="s">
        <v>23</v>
      </c>
      <c r="H94" s="9" t="s">
        <v>53</v>
      </c>
      <c r="I94" s="1" t="s">
        <v>19</v>
      </c>
    </row>
    <row r="95" spans="1:9" ht="15">
      <c r="A95" s="31"/>
      <c r="B95" s="26" t="s">
        <v>225</v>
      </c>
      <c r="C95" s="12">
        <v>1.4E-3</v>
      </c>
      <c r="D95" s="12">
        <v>1.4E-3</v>
      </c>
      <c r="E95" s="12">
        <v>1.1999999999999999E-3</v>
      </c>
      <c r="F95" s="142" t="s">
        <v>187</v>
      </c>
      <c r="G95" s="139" t="s">
        <v>187</v>
      </c>
      <c r="H95" s="140" t="s">
        <v>187</v>
      </c>
      <c r="I95" s="146" t="s">
        <v>187</v>
      </c>
    </row>
    <row r="96" spans="1:9" ht="15">
      <c r="A96" s="18"/>
      <c r="B96" s="15"/>
      <c r="C96" s="15"/>
      <c r="D96" s="15"/>
      <c r="E96" s="17"/>
      <c r="F96" s="16"/>
      <c r="G96" s="88"/>
      <c r="H96" s="17"/>
      <c r="I96" s="167"/>
    </row>
    <row r="97" spans="1:9" ht="30">
      <c r="A97" s="28" t="s">
        <v>68</v>
      </c>
      <c r="B97" s="36" t="s">
        <v>39</v>
      </c>
      <c r="C97" s="36"/>
      <c r="D97" s="36"/>
      <c r="E97" s="37"/>
      <c r="F97" s="38"/>
      <c r="G97" s="91"/>
      <c r="H97" s="37"/>
      <c r="I97" s="39"/>
    </row>
    <row r="98" spans="1:9" ht="23.25">
      <c r="A98" s="28"/>
      <c r="B98" s="41" t="s">
        <v>40</v>
      </c>
      <c r="C98" s="41"/>
      <c r="D98" s="41"/>
      <c r="E98" s="37"/>
      <c r="F98" s="38"/>
      <c r="G98" s="91"/>
      <c r="H98" s="37"/>
      <c r="I98" s="39"/>
    </row>
    <row r="99" spans="1:9" ht="23.25">
      <c r="A99" s="28"/>
      <c r="B99" s="41" t="s">
        <v>41</v>
      </c>
      <c r="C99" s="41"/>
      <c r="D99" s="41"/>
      <c r="E99" s="37"/>
      <c r="F99" s="38"/>
      <c r="G99" s="91"/>
      <c r="H99" s="37"/>
      <c r="I99" s="39"/>
    </row>
    <row r="100" spans="1:9" ht="15.75">
      <c r="A100" s="29"/>
      <c r="B100" s="119" t="s">
        <v>0</v>
      </c>
      <c r="C100" s="120" t="s">
        <v>223</v>
      </c>
      <c r="D100" s="120" t="s">
        <v>222</v>
      </c>
      <c r="E100" s="120" t="s">
        <v>221</v>
      </c>
      <c r="F100" s="120" t="s">
        <v>198</v>
      </c>
      <c r="G100" s="121" t="s">
        <v>30</v>
      </c>
      <c r="H100" s="121" t="s">
        <v>20</v>
      </c>
      <c r="I100" s="121" t="s">
        <v>35</v>
      </c>
    </row>
    <row r="101" spans="1:9" ht="57">
      <c r="A101" s="31"/>
      <c r="B101" s="2" t="s">
        <v>138</v>
      </c>
      <c r="C101" s="5">
        <v>4.7699999999999999E-2</v>
      </c>
      <c r="D101" s="5">
        <v>5.1700000000000003E-2</v>
      </c>
      <c r="E101" s="5">
        <v>4.7199999999999999E-2</v>
      </c>
      <c r="F101" s="5" t="s">
        <v>240</v>
      </c>
      <c r="G101" s="85" t="s">
        <v>23</v>
      </c>
      <c r="H101" s="7" t="s">
        <v>58</v>
      </c>
      <c r="I101" s="6" t="s">
        <v>218</v>
      </c>
    </row>
    <row r="102" spans="1:9">
      <c r="A102" s="30"/>
      <c r="B102" s="2" t="s">
        <v>2</v>
      </c>
      <c r="C102" s="5">
        <v>9.7600000000000006E-2</v>
      </c>
      <c r="D102" s="5">
        <v>8.9200000000000002E-2</v>
      </c>
      <c r="E102" s="5">
        <v>9.6100000000000005E-2</v>
      </c>
      <c r="F102" s="5">
        <v>0.1</v>
      </c>
      <c r="G102" s="86" t="s">
        <v>24</v>
      </c>
      <c r="H102" s="4" t="s">
        <v>49</v>
      </c>
      <c r="I102" s="1" t="s">
        <v>14</v>
      </c>
    </row>
    <row r="103" spans="1:9">
      <c r="A103" s="31"/>
      <c r="B103" s="69" t="s">
        <v>137</v>
      </c>
      <c r="C103" s="5">
        <v>0.76659999999999995</v>
      </c>
      <c r="D103" s="5">
        <v>0.78290000000000004</v>
      </c>
      <c r="E103" s="5">
        <v>0.77100000000000002</v>
      </c>
      <c r="F103" s="5">
        <v>0.8</v>
      </c>
      <c r="G103" s="86" t="s">
        <v>23</v>
      </c>
      <c r="H103" s="4" t="s">
        <v>129</v>
      </c>
      <c r="I103" s="1" t="s">
        <v>15</v>
      </c>
    </row>
    <row r="104" spans="1:9" ht="28.5">
      <c r="A104" s="31"/>
      <c r="B104" s="176" t="s">
        <v>9</v>
      </c>
      <c r="C104" s="5">
        <v>1.2E-2</v>
      </c>
      <c r="D104" s="5">
        <v>1.52E-2</v>
      </c>
      <c r="E104" s="5">
        <v>1.2200000000000001E-2</v>
      </c>
      <c r="F104" s="5">
        <v>0.05</v>
      </c>
      <c r="G104" s="87" t="s">
        <v>24</v>
      </c>
      <c r="H104" s="9" t="s">
        <v>51</v>
      </c>
      <c r="I104" s="1" t="s">
        <v>16</v>
      </c>
    </row>
    <row r="105" spans="1:9">
      <c r="A105" s="31"/>
      <c r="B105" s="176" t="s">
        <v>10</v>
      </c>
      <c r="C105" s="5">
        <v>1.6400000000000001E-2</v>
      </c>
      <c r="D105" s="5">
        <v>1.8800000000000001E-2</v>
      </c>
      <c r="E105" s="5">
        <v>1.4E-2</v>
      </c>
      <c r="F105" s="5">
        <v>0.05</v>
      </c>
      <c r="G105" s="87" t="s">
        <v>24</v>
      </c>
      <c r="H105" s="9" t="s">
        <v>51</v>
      </c>
      <c r="I105" s="1" t="s">
        <v>17</v>
      </c>
    </row>
    <row r="106" spans="1:9">
      <c r="A106" s="31"/>
      <c r="B106" s="176" t="s">
        <v>11</v>
      </c>
      <c r="C106" s="5">
        <v>0</v>
      </c>
      <c r="D106" s="5">
        <v>0</v>
      </c>
      <c r="E106" s="5">
        <v>0</v>
      </c>
      <c r="F106" s="5">
        <v>0.05</v>
      </c>
      <c r="G106" s="87" t="s">
        <v>24</v>
      </c>
      <c r="H106" s="9" t="s">
        <v>51</v>
      </c>
      <c r="I106" s="1" t="s">
        <v>18</v>
      </c>
    </row>
    <row r="107" spans="1:9">
      <c r="A107" s="31"/>
      <c r="B107" s="176" t="s">
        <v>21</v>
      </c>
      <c r="C107" s="3">
        <v>0</v>
      </c>
      <c r="D107" s="5">
        <v>0</v>
      </c>
      <c r="E107" s="3">
        <v>0</v>
      </c>
      <c r="F107" s="5">
        <v>0.05</v>
      </c>
      <c r="G107" s="87" t="s">
        <v>24</v>
      </c>
      <c r="H107" s="9" t="s">
        <v>51</v>
      </c>
      <c r="I107" s="1" t="s">
        <v>18</v>
      </c>
    </row>
    <row r="108" spans="1:9">
      <c r="A108" s="31"/>
      <c r="B108" s="2" t="s">
        <v>12</v>
      </c>
      <c r="C108" s="5">
        <v>6.4600000000000005E-2</v>
      </c>
      <c r="D108" s="5">
        <v>4.8500000000000001E-2</v>
      </c>
      <c r="E108" s="5">
        <v>6.5500000000000003E-2</v>
      </c>
      <c r="F108" s="5">
        <v>0.05</v>
      </c>
      <c r="G108" s="86" t="s">
        <v>24</v>
      </c>
      <c r="H108" s="9" t="s">
        <v>51</v>
      </c>
      <c r="I108" s="9" t="s">
        <v>18</v>
      </c>
    </row>
    <row r="109" spans="1:9">
      <c r="A109" s="31"/>
      <c r="B109" s="2" t="s">
        <v>13</v>
      </c>
      <c r="C109" s="3">
        <v>3.0000000000000001E-3</v>
      </c>
      <c r="D109" s="5">
        <v>2.0999999999999999E-3</v>
      </c>
      <c r="E109" s="3">
        <v>1.4E-3</v>
      </c>
      <c r="F109" s="3">
        <v>0.05</v>
      </c>
      <c r="G109" s="86" t="s">
        <v>24</v>
      </c>
      <c r="H109" s="10" t="s">
        <v>51</v>
      </c>
      <c r="I109" s="132" t="s">
        <v>187</v>
      </c>
    </row>
    <row r="110" spans="1:9" ht="15">
      <c r="A110" s="31"/>
      <c r="B110" s="26" t="s">
        <v>5</v>
      </c>
      <c r="C110" s="99">
        <f>SUBTOTAL(109,C101:C109)</f>
        <v>1.0078999999999998</v>
      </c>
      <c r="D110" s="99">
        <f t="shared" ref="D110:F110" si="1">SUBTOTAL(109,D101:D109)</f>
        <v>1.0084000000000002</v>
      </c>
      <c r="E110" s="99">
        <f t="shared" si="1"/>
        <v>1.0074000000000001</v>
      </c>
      <c r="F110" s="99">
        <f t="shared" si="1"/>
        <v>1.2000000000000002</v>
      </c>
      <c r="G110" s="117" t="s">
        <v>187</v>
      </c>
      <c r="H110" s="118" t="s">
        <v>187</v>
      </c>
      <c r="I110" s="112" t="s">
        <v>187</v>
      </c>
    </row>
    <row r="111" spans="1:9">
      <c r="A111" s="31"/>
      <c r="B111" s="2" t="s">
        <v>6</v>
      </c>
      <c r="C111" s="11">
        <v>5.6899999999999999E-2</v>
      </c>
      <c r="D111" s="11">
        <v>5.5399999999999998E-2</v>
      </c>
      <c r="E111" s="11">
        <v>5.0500000000000003E-2</v>
      </c>
      <c r="F111" s="11">
        <v>0.08</v>
      </c>
      <c r="G111" s="86" t="s">
        <v>23</v>
      </c>
      <c r="H111" s="9" t="s">
        <v>59</v>
      </c>
      <c r="I111" s="1" t="s">
        <v>19</v>
      </c>
    </row>
    <row r="112" spans="1:9" ht="15">
      <c r="A112" s="31"/>
      <c r="B112" s="106" t="s">
        <v>225</v>
      </c>
      <c r="C112" s="12">
        <v>1E-3</v>
      </c>
      <c r="D112" s="12">
        <v>1E-3</v>
      </c>
      <c r="E112" s="12">
        <v>1E-3</v>
      </c>
      <c r="F112" s="142" t="s">
        <v>187</v>
      </c>
      <c r="G112" s="139" t="s">
        <v>187</v>
      </c>
      <c r="H112" s="140" t="s">
        <v>187</v>
      </c>
      <c r="I112" s="146" t="s">
        <v>187</v>
      </c>
    </row>
    <row r="113" spans="1:9" ht="15">
      <c r="A113" s="18"/>
      <c r="B113" s="15"/>
      <c r="C113" s="15"/>
      <c r="D113" s="15"/>
      <c r="E113" s="17"/>
      <c r="F113" s="16"/>
      <c r="G113" s="88"/>
      <c r="H113" s="17"/>
      <c r="I113" s="167"/>
    </row>
    <row r="114" spans="1:9" ht="30">
      <c r="A114" s="28" t="s">
        <v>69</v>
      </c>
      <c r="B114" s="36" t="s">
        <v>44</v>
      </c>
      <c r="C114" s="36"/>
      <c r="D114" s="36"/>
      <c r="E114" s="37"/>
      <c r="F114" s="38"/>
      <c r="G114" s="91"/>
      <c r="H114" s="37"/>
      <c r="I114" s="39"/>
    </row>
    <row r="115" spans="1:9" ht="23.25">
      <c r="A115" s="28"/>
      <c r="B115" s="41" t="s">
        <v>45</v>
      </c>
      <c r="C115" s="41"/>
      <c r="D115" s="41"/>
      <c r="E115" s="37"/>
      <c r="F115" s="38"/>
      <c r="G115" s="91"/>
      <c r="H115" s="37"/>
      <c r="I115" s="39"/>
    </row>
    <row r="116" spans="1:9" ht="15.75">
      <c r="A116" s="29"/>
      <c r="B116" s="258" t="s">
        <v>0</v>
      </c>
      <c r="C116" s="107" t="s">
        <v>187</v>
      </c>
      <c r="D116" s="260" t="s">
        <v>224</v>
      </c>
      <c r="E116" s="257" t="s">
        <v>221</v>
      </c>
      <c r="F116" s="257" t="s">
        <v>198</v>
      </c>
      <c r="G116" s="13" t="s">
        <v>30</v>
      </c>
      <c r="H116" s="13" t="s">
        <v>20</v>
      </c>
      <c r="I116" s="13" t="s">
        <v>35</v>
      </c>
    </row>
    <row r="117" spans="1:9" ht="57">
      <c r="A117" s="31"/>
      <c r="B117" s="221" t="s">
        <v>138</v>
      </c>
      <c r="C117" s="108" t="s">
        <v>187</v>
      </c>
      <c r="D117" s="5">
        <v>0.24879999999999999</v>
      </c>
      <c r="E117" s="5">
        <v>0.23849999999999999</v>
      </c>
      <c r="F117" s="5">
        <v>0.24</v>
      </c>
      <c r="G117" s="177" t="s">
        <v>23</v>
      </c>
      <c r="H117" s="7" t="s">
        <v>63</v>
      </c>
      <c r="I117" s="6" t="s">
        <v>218</v>
      </c>
    </row>
    <row r="118" spans="1:9">
      <c r="A118" s="30"/>
      <c r="B118" s="221" t="s">
        <v>2</v>
      </c>
      <c r="C118" s="109" t="s">
        <v>187</v>
      </c>
      <c r="D118" s="3">
        <v>0.27939999999999998</v>
      </c>
      <c r="E118" s="3">
        <v>0.28810000000000002</v>
      </c>
      <c r="F118" s="3">
        <v>0.27</v>
      </c>
      <c r="G118" s="179" t="s">
        <v>24</v>
      </c>
      <c r="H118" s="4" t="s">
        <v>177</v>
      </c>
      <c r="I118" s="1" t="s">
        <v>14</v>
      </c>
    </row>
    <row r="119" spans="1:9">
      <c r="A119" s="31"/>
      <c r="B119" s="222" t="s">
        <v>137</v>
      </c>
      <c r="C119" s="108" t="s">
        <v>187</v>
      </c>
      <c r="D119" s="3">
        <v>0.33810000000000001</v>
      </c>
      <c r="E119" s="3">
        <v>0.33660000000000001</v>
      </c>
      <c r="F119" s="3">
        <v>0.35</v>
      </c>
      <c r="G119" s="179" t="s">
        <v>23</v>
      </c>
      <c r="H119" s="4" t="s">
        <v>118</v>
      </c>
      <c r="I119" s="1" t="s">
        <v>15</v>
      </c>
    </row>
    <row r="120" spans="1:9" ht="28.5">
      <c r="A120" s="31"/>
      <c r="B120" s="226" t="s">
        <v>9</v>
      </c>
      <c r="C120" s="109" t="s">
        <v>187</v>
      </c>
      <c r="D120" s="3">
        <v>8.1000000000000003E-2</v>
      </c>
      <c r="E120" s="3">
        <v>5.8099999999999999E-2</v>
      </c>
      <c r="F120" s="3">
        <v>7.0000000000000007E-2</v>
      </c>
      <c r="G120" s="180" t="s">
        <v>24</v>
      </c>
      <c r="H120" s="4" t="s">
        <v>50</v>
      </c>
      <c r="I120" s="1" t="s">
        <v>16</v>
      </c>
    </row>
    <row r="121" spans="1:9">
      <c r="A121" s="31"/>
      <c r="B121" s="226" t="s">
        <v>10</v>
      </c>
      <c r="C121" s="109" t="s">
        <v>187</v>
      </c>
      <c r="D121" s="3">
        <v>3.95E-2</v>
      </c>
      <c r="E121" s="3">
        <v>4.4400000000000002E-2</v>
      </c>
      <c r="F121" s="3">
        <v>0.05</v>
      </c>
      <c r="G121" s="180" t="s">
        <v>24</v>
      </c>
      <c r="H121" s="4" t="s">
        <v>51</v>
      </c>
      <c r="I121" s="1" t="s">
        <v>17</v>
      </c>
    </row>
    <row r="122" spans="1:9">
      <c r="A122" s="31"/>
      <c r="B122" s="226" t="s">
        <v>11</v>
      </c>
      <c r="C122" s="109" t="s">
        <v>187</v>
      </c>
      <c r="D122" s="3">
        <v>0</v>
      </c>
      <c r="E122" s="3">
        <v>0</v>
      </c>
      <c r="F122" s="3">
        <v>0.05</v>
      </c>
      <c r="G122" s="180" t="s">
        <v>24</v>
      </c>
      <c r="H122" s="4" t="s">
        <v>51</v>
      </c>
      <c r="I122" s="1" t="s">
        <v>18</v>
      </c>
    </row>
    <row r="123" spans="1:9">
      <c r="A123" s="31"/>
      <c r="B123" s="226" t="s">
        <v>21</v>
      </c>
      <c r="C123" s="109" t="s">
        <v>187</v>
      </c>
      <c r="D123" s="3">
        <v>0</v>
      </c>
      <c r="E123" s="3">
        <v>0</v>
      </c>
      <c r="F123" s="3">
        <v>0.05</v>
      </c>
      <c r="G123" s="180" t="s">
        <v>24</v>
      </c>
      <c r="H123" s="4" t="s">
        <v>51</v>
      </c>
      <c r="I123" s="1" t="s">
        <v>18</v>
      </c>
    </row>
    <row r="124" spans="1:9">
      <c r="A124" s="31"/>
      <c r="B124" s="226" t="s">
        <v>12</v>
      </c>
      <c r="C124" s="109" t="s">
        <v>187</v>
      </c>
      <c r="D124" s="3">
        <v>0.16520000000000001</v>
      </c>
      <c r="E124" s="3">
        <v>0.16619999999999999</v>
      </c>
      <c r="F124" s="3">
        <v>0.12</v>
      </c>
      <c r="G124" s="179" t="s">
        <v>24</v>
      </c>
      <c r="H124" s="4" t="s">
        <v>56</v>
      </c>
      <c r="I124" s="9" t="s">
        <v>18</v>
      </c>
    </row>
    <row r="125" spans="1:9">
      <c r="A125" s="31"/>
      <c r="B125" s="226" t="s">
        <v>13</v>
      </c>
      <c r="C125" s="109" t="s">
        <v>187</v>
      </c>
      <c r="D125" s="3">
        <v>2.06E-2</v>
      </c>
      <c r="E125" s="3">
        <v>2.1499999999999998E-2</v>
      </c>
      <c r="F125" s="3">
        <v>0.05</v>
      </c>
      <c r="G125" s="179" t="s">
        <v>24</v>
      </c>
      <c r="H125" s="181" t="s">
        <v>51</v>
      </c>
      <c r="I125" s="132" t="s">
        <v>187</v>
      </c>
    </row>
    <row r="126" spans="1:9" ht="15">
      <c r="A126" s="31"/>
      <c r="B126" s="223" t="s">
        <v>5</v>
      </c>
      <c r="C126" s="110" t="s">
        <v>187</v>
      </c>
      <c r="D126" s="99">
        <f>SUBTOTAL(109,D117:D125)</f>
        <v>1.1726000000000001</v>
      </c>
      <c r="E126" s="99">
        <f>SUBTOTAL(109,E117:E125)</f>
        <v>1.1534</v>
      </c>
      <c r="F126" s="99">
        <f>SUBTOTAL(109,F117:F125)</f>
        <v>1.2500000000000002</v>
      </c>
      <c r="G126" s="183" t="s">
        <v>187</v>
      </c>
      <c r="H126" s="184" t="s">
        <v>187</v>
      </c>
      <c r="I126" s="112" t="s">
        <v>187</v>
      </c>
    </row>
    <row r="127" spans="1:9">
      <c r="A127" s="31"/>
      <c r="B127" s="221" t="s">
        <v>6</v>
      </c>
      <c r="C127" s="109" t="s">
        <v>187</v>
      </c>
      <c r="D127" s="11">
        <v>0.17860000000000001</v>
      </c>
      <c r="E127" s="11">
        <v>0.17680000000000001</v>
      </c>
      <c r="F127" s="11">
        <v>0.18</v>
      </c>
      <c r="G127" s="179" t="s">
        <v>23</v>
      </c>
      <c r="H127" s="4" t="s">
        <v>203</v>
      </c>
      <c r="I127" s="1" t="s">
        <v>19</v>
      </c>
    </row>
    <row r="128" spans="1:9" ht="15">
      <c r="A128" s="31"/>
      <c r="B128" s="223" t="s">
        <v>225</v>
      </c>
      <c r="C128" s="110" t="s">
        <v>187</v>
      </c>
      <c r="D128" s="12">
        <v>2.2000000000000001E-3</v>
      </c>
      <c r="E128" s="12">
        <v>1.6999999999999999E-3</v>
      </c>
      <c r="F128" s="142" t="s">
        <v>187</v>
      </c>
      <c r="G128" s="139" t="s">
        <v>187</v>
      </c>
      <c r="H128" s="140" t="s">
        <v>187</v>
      </c>
      <c r="I128" s="146" t="s">
        <v>187</v>
      </c>
    </row>
    <row r="129" spans="1:9" ht="15">
      <c r="A129" s="18"/>
      <c r="B129" s="15"/>
      <c r="C129" s="15"/>
      <c r="D129" s="15"/>
      <c r="E129" s="17"/>
      <c r="F129" s="16"/>
      <c r="G129" s="88"/>
      <c r="H129" s="17"/>
      <c r="I129" s="167"/>
    </row>
    <row r="130" spans="1:9" ht="30">
      <c r="A130" s="28" t="s">
        <v>70</v>
      </c>
      <c r="B130" s="36" t="s">
        <v>71</v>
      </c>
      <c r="C130" s="36"/>
      <c r="D130" s="36"/>
      <c r="E130" s="37"/>
      <c r="F130" s="38"/>
      <c r="G130" s="91"/>
      <c r="H130" s="37"/>
      <c r="I130" s="39"/>
    </row>
    <row r="131" spans="1:9" ht="23.25">
      <c r="A131" s="28"/>
      <c r="B131" s="41" t="s">
        <v>72</v>
      </c>
      <c r="C131" s="41"/>
      <c r="D131" s="41"/>
      <c r="E131" s="37"/>
      <c r="F131" s="38"/>
      <c r="G131" s="91"/>
      <c r="H131" s="37"/>
      <c r="I131" s="39"/>
    </row>
    <row r="132" spans="1:9" ht="23.25">
      <c r="A132" s="28"/>
      <c r="B132" s="41" t="s">
        <v>73</v>
      </c>
      <c r="C132" s="41"/>
      <c r="D132" s="41"/>
      <c r="E132" s="37"/>
      <c r="F132" s="38"/>
      <c r="G132" s="91"/>
      <c r="H132" s="37"/>
      <c r="I132" s="39"/>
    </row>
    <row r="133" spans="1:9" ht="15.75">
      <c r="A133" s="29"/>
      <c r="B133" s="13" t="s">
        <v>0</v>
      </c>
      <c r="C133" s="257" t="s">
        <v>223</v>
      </c>
      <c r="D133" s="257" t="s">
        <v>222</v>
      </c>
      <c r="E133" s="257" t="s">
        <v>221</v>
      </c>
      <c r="F133" s="257" t="s">
        <v>198</v>
      </c>
      <c r="G133" s="13" t="s">
        <v>30</v>
      </c>
      <c r="H133" s="13" t="s">
        <v>20</v>
      </c>
      <c r="I133" s="13" t="s">
        <v>35</v>
      </c>
    </row>
    <row r="134" spans="1:9">
      <c r="A134" s="31"/>
      <c r="B134" s="261" t="s">
        <v>138</v>
      </c>
      <c r="C134" s="262" t="s">
        <v>187</v>
      </c>
      <c r="D134" s="262" t="s">
        <v>188</v>
      </c>
      <c r="E134" s="262" t="s">
        <v>196</v>
      </c>
      <c r="F134" s="262" t="s">
        <v>263</v>
      </c>
      <c r="G134" s="263" t="s">
        <v>23</v>
      </c>
      <c r="H134" s="264" t="s">
        <v>243</v>
      </c>
      <c r="I134" s="265" t="s">
        <v>264</v>
      </c>
    </row>
    <row r="135" spans="1:9">
      <c r="A135" s="30"/>
      <c r="B135" s="104" t="s">
        <v>2</v>
      </c>
      <c r="C135" s="55">
        <v>0.9486</v>
      </c>
      <c r="D135" s="55">
        <v>0.9325</v>
      </c>
      <c r="E135" s="55">
        <v>0.96250000000000002</v>
      </c>
      <c r="F135" s="55">
        <v>0.95</v>
      </c>
      <c r="G135" s="86" t="s">
        <v>24</v>
      </c>
      <c r="H135" s="4" t="s">
        <v>130</v>
      </c>
      <c r="I135" s="1" t="s">
        <v>14</v>
      </c>
    </row>
    <row r="136" spans="1:9">
      <c r="A136" s="31"/>
      <c r="B136" s="105" t="s">
        <v>137</v>
      </c>
      <c r="C136" s="55">
        <v>1.7999999999999999E-2</v>
      </c>
      <c r="D136" s="55">
        <v>2.35E-2</v>
      </c>
      <c r="E136" s="55">
        <v>2.2800000000000001E-2</v>
      </c>
      <c r="F136" s="55">
        <v>0.06</v>
      </c>
      <c r="G136" s="86" t="s">
        <v>23</v>
      </c>
      <c r="H136" s="4" t="s">
        <v>58</v>
      </c>
      <c r="I136" s="145" t="s">
        <v>187</v>
      </c>
    </row>
    <row r="137" spans="1:9">
      <c r="A137" s="31"/>
      <c r="B137" s="158" t="s">
        <v>12</v>
      </c>
      <c r="C137" s="55">
        <v>3.3300000000000003E-2</v>
      </c>
      <c r="D137" s="55">
        <v>4.3900000000000002E-2</v>
      </c>
      <c r="E137" s="55">
        <v>1.47E-2</v>
      </c>
      <c r="F137" s="55">
        <v>0.05</v>
      </c>
      <c r="G137" s="86" t="s">
        <v>24</v>
      </c>
      <c r="H137" s="9" t="s">
        <v>51</v>
      </c>
      <c r="I137" s="9" t="s">
        <v>18</v>
      </c>
    </row>
    <row r="138" spans="1:9" ht="15">
      <c r="A138" s="31"/>
      <c r="B138" s="106" t="s">
        <v>5</v>
      </c>
      <c r="C138" s="27">
        <f>SUBTOTAL(109,C134:C137)</f>
        <v>0.99990000000000001</v>
      </c>
      <c r="D138" s="27">
        <f t="shared" ref="D138:F138" si="2">SUBTOTAL(109,D134:D137)</f>
        <v>0.99990000000000001</v>
      </c>
      <c r="E138" s="27">
        <f t="shared" si="2"/>
        <v>1</v>
      </c>
      <c r="F138" s="27">
        <f t="shared" si="2"/>
        <v>1.06</v>
      </c>
      <c r="G138" s="117" t="s">
        <v>187</v>
      </c>
      <c r="H138" s="118" t="s">
        <v>243</v>
      </c>
      <c r="I138" s="112" t="s">
        <v>187</v>
      </c>
    </row>
    <row r="139" spans="1:9">
      <c r="A139" s="31"/>
      <c r="B139" s="104" t="s">
        <v>6</v>
      </c>
      <c r="C139" s="141" t="s">
        <v>187</v>
      </c>
      <c r="D139" s="141" t="s">
        <v>187</v>
      </c>
      <c r="E139" s="141">
        <v>0</v>
      </c>
      <c r="F139" s="141" t="s">
        <v>187</v>
      </c>
      <c r="G139" s="86" t="s">
        <v>23</v>
      </c>
      <c r="H139" s="132" t="s">
        <v>243</v>
      </c>
      <c r="I139" s="145" t="s">
        <v>187</v>
      </c>
    </row>
    <row r="140" spans="1:9" ht="15">
      <c r="A140" s="31"/>
      <c r="B140" s="106" t="s">
        <v>225</v>
      </c>
      <c r="C140" s="12">
        <v>1E-3</v>
      </c>
      <c r="D140" s="12">
        <v>1E-3</v>
      </c>
      <c r="E140" s="12">
        <v>1E-3</v>
      </c>
      <c r="F140" s="142" t="s">
        <v>187</v>
      </c>
      <c r="G140" s="139" t="s">
        <v>187</v>
      </c>
      <c r="H140" s="140" t="s">
        <v>187</v>
      </c>
      <c r="I140" s="146" t="s">
        <v>187</v>
      </c>
    </row>
    <row r="141" spans="1:9" ht="15">
      <c r="A141" s="18"/>
      <c r="B141" s="15"/>
      <c r="C141" s="15"/>
      <c r="D141" s="15"/>
      <c r="E141" s="17"/>
      <c r="F141" s="16"/>
      <c r="G141" s="88"/>
      <c r="H141" s="17"/>
      <c r="I141" s="167"/>
    </row>
    <row r="142" spans="1:9" ht="30">
      <c r="A142" s="42" t="s">
        <v>92</v>
      </c>
      <c r="B142" s="36" t="s">
        <v>74</v>
      </c>
      <c r="C142" s="36"/>
      <c r="D142" s="36"/>
      <c r="E142" s="37"/>
      <c r="F142" s="38"/>
      <c r="G142" s="91"/>
      <c r="H142" s="37"/>
      <c r="I142" s="39"/>
    </row>
    <row r="143" spans="1:9" ht="23.25">
      <c r="A143" s="42"/>
      <c r="B143" s="41" t="s">
        <v>75</v>
      </c>
      <c r="C143" s="41"/>
      <c r="D143" s="41"/>
      <c r="E143" s="37"/>
      <c r="F143" s="38"/>
      <c r="G143" s="91"/>
      <c r="H143" s="37"/>
      <c r="I143" s="39"/>
    </row>
    <row r="144" spans="1:9" ht="23.25">
      <c r="A144" s="42"/>
      <c r="B144" s="41" t="s">
        <v>76</v>
      </c>
      <c r="C144" s="41"/>
      <c r="D144" s="41"/>
      <c r="E144" s="37"/>
      <c r="F144" s="38"/>
      <c r="G144" s="91"/>
      <c r="H144" s="37"/>
      <c r="I144" s="39"/>
    </row>
    <row r="145" spans="1:9" ht="15.75">
      <c r="A145" s="43"/>
      <c r="B145" s="119" t="s">
        <v>0</v>
      </c>
      <c r="C145" s="120" t="s">
        <v>223</v>
      </c>
      <c r="D145" s="120" t="s">
        <v>222</v>
      </c>
      <c r="E145" s="120" t="s">
        <v>221</v>
      </c>
      <c r="F145" s="120" t="s">
        <v>198</v>
      </c>
      <c r="G145" s="121" t="s">
        <v>30</v>
      </c>
      <c r="H145" s="121" t="s">
        <v>20</v>
      </c>
      <c r="I145" s="121" t="s">
        <v>35</v>
      </c>
    </row>
    <row r="146" spans="1:9" ht="28.5">
      <c r="A146" s="45"/>
      <c r="B146" s="104" t="s">
        <v>138</v>
      </c>
      <c r="C146" s="62">
        <v>0.44180000000000003</v>
      </c>
      <c r="D146" s="62">
        <v>0.44169999999999998</v>
      </c>
      <c r="E146" s="62">
        <v>0.44290000000000002</v>
      </c>
      <c r="F146" s="62">
        <v>0.46</v>
      </c>
      <c r="G146" s="85" t="s">
        <v>23</v>
      </c>
      <c r="H146" s="7" t="s">
        <v>48</v>
      </c>
      <c r="I146" s="6" t="s">
        <v>227</v>
      </c>
    </row>
    <row r="147" spans="1:9">
      <c r="A147" s="44"/>
      <c r="B147" s="104" t="s">
        <v>2</v>
      </c>
      <c r="C147" s="55">
        <v>0.24099999999999999</v>
      </c>
      <c r="D147" s="55">
        <v>0.22370000000000001</v>
      </c>
      <c r="E147" s="55">
        <v>0.22009999999999999</v>
      </c>
      <c r="F147" s="55">
        <v>0.2</v>
      </c>
      <c r="G147" s="86" t="s">
        <v>24</v>
      </c>
      <c r="H147" s="4" t="s">
        <v>131</v>
      </c>
      <c r="I147" s="1" t="s">
        <v>14</v>
      </c>
    </row>
    <row r="148" spans="1:9">
      <c r="A148" s="45"/>
      <c r="B148" s="105" t="s">
        <v>137</v>
      </c>
      <c r="C148" s="55">
        <v>0.38790000000000002</v>
      </c>
      <c r="D148" s="55">
        <v>0.36909999999999998</v>
      </c>
      <c r="E148" s="55">
        <v>0.36720000000000003</v>
      </c>
      <c r="F148" s="55">
        <v>0.34</v>
      </c>
      <c r="G148" s="86" t="s">
        <v>23</v>
      </c>
      <c r="H148" s="4" t="s">
        <v>125</v>
      </c>
      <c r="I148" s="1" t="s">
        <v>15</v>
      </c>
    </row>
    <row r="149" spans="1:9">
      <c r="A149" s="45"/>
      <c r="B149" s="104" t="s">
        <v>12</v>
      </c>
      <c r="C149" s="55">
        <v>0.19309999999999999</v>
      </c>
      <c r="D149" s="55">
        <v>0.18629999999999999</v>
      </c>
      <c r="E149" s="55">
        <v>0.1875</v>
      </c>
      <c r="F149" s="55">
        <v>0.15</v>
      </c>
      <c r="G149" s="86" t="s">
        <v>24</v>
      </c>
      <c r="H149" s="9" t="s">
        <v>52</v>
      </c>
      <c r="I149" s="9" t="s">
        <v>18</v>
      </c>
    </row>
    <row r="150" spans="1:9" ht="15">
      <c r="A150" s="45"/>
      <c r="B150" s="106" t="s">
        <v>5</v>
      </c>
      <c r="C150" s="102">
        <f>SUBTOTAL(109,C146:C149)</f>
        <v>1.2638</v>
      </c>
      <c r="D150" s="102">
        <f t="shared" ref="D150:F150" si="3">SUBTOTAL(109,D146:D149)</f>
        <v>1.2207999999999999</v>
      </c>
      <c r="E150" s="102">
        <f t="shared" si="3"/>
        <v>1.2177</v>
      </c>
      <c r="F150" s="102">
        <f t="shared" si="3"/>
        <v>1.1499999999999999</v>
      </c>
      <c r="G150" s="117" t="s">
        <v>187</v>
      </c>
      <c r="H150" s="118" t="s">
        <v>187</v>
      </c>
      <c r="I150" s="112" t="s">
        <v>187</v>
      </c>
    </row>
    <row r="151" spans="1:9">
      <c r="A151" s="45"/>
      <c r="B151" s="104" t="s">
        <v>6</v>
      </c>
      <c r="C151" s="68">
        <v>0.15659999999999999</v>
      </c>
      <c r="D151" s="68">
        <v>0.1535</v>
      </c>
      <c r="E151" s="68">
        <v>0.15229999999999999</v>
      </c>
      <c r="F151" s="68">
        <v>0.18</v>
      </c>
      <c r="G151" s="86" t="s">
        <v>23</v>
      </c>
      <c r="H151" s="9" t="s">
        <v>203</v>
      </c>
      <c r="I151" s="1" t="s">
        <v>19</v>
      </c>
    </row>
    <row r="152" spans="1:9" ht="15">
      <c r="A152" s="45"/>
      <c r="B152" s="106" t="s">
        <v>225</v>
      </c>
      <c r="C152" s="12">
        <v>5.9999999999999995E-4</v>
      </c>
      <c r="D152" s="12">
        <v>5.9999999999999995E-4</v>
      </c>
      <c r="E152" s="12">
        <v>5.9999999999999995E-4</v>
      </c>
      <c r="F152" s="138" t="s">
        <v>187</v>
      </c>
      <c r="G152" s="139" t="s">
        <v>187</v>
      </c>
      <c r="H152" s="140" t="s">
        <v>187</v>
      </c>
      <c r="I152" s="146" t="s">
        <v>187</v>
      </c>
    </row>
    <row r="153" spans="1:9" ht="15">
      <c r="A153" s="18"/>
      <c r="B153" s="15"/>
      <c r="C153" s="15"/>
      <c r="D153" s="15"/>
      <c r="E153" s="17"/>
      <c r="F153" s="16"/>
      <c r="G153" s="88"/>
      <c r="H153" s="17"/>
      <c r="I153" s="167"/>
    </row>
    <row r="154" spans="1:9" ht="30">
      <c r="A154" s="42" t="s">
        <v>82</v>
      </c>
      <c r="B154" s="36" t="s">
        <v>79</v>
      </c>
      <c r="C154" s="36"/>
      <c r="D154" s="36"/>
      <c r="E154" s="37"/>
      <c r="F154" s="38"/>
      <c r="G154" s="91"/>
      <c r="H154" s="37"/>
      <c r="I154" s="39"/>
    </row>
    <row r="155" spans="1:9" ht="23.25">
      <c r="A155" s="42"/>
      <c r="B155" s="41" t="s">
        <v>80</v>
      </c>
      <c r="C155" s="41"/>
      <c r="D155" s="41"/>
      <c r="E155" s="37"/>
      <c r="F155" s="38"/>
      <c r="G155" s="91"/>
      <c r="H155" s="37"/>
      <c r="I155" s="39"/>
    </row>
    <row r="156" spans="1:9" ht="23.25">
      <c r="A156" s="42"/>
      <c r="B156" s="41" t="s">
        <v>81</v>
      </c>
      <c r="C156" s="41"/>
      <c r="D156" s="41"/>
      <c r="E156" s="37"/>
      <c r="F156" s="38"/>
      <c r="G156" s="91"/>
      <c r="H156" s="37"/>
      <c r="I156" s="39"/>
    </row>
    <row r="157" spans="1:9" ht="15.75">
      <c r="A157" s="43"/>
      <c r="B157" s="133" t="s">
        <v>0</v>
      </c>
      <c r="C157" s="120" t="s">
        <v>223</v>
      </c>
      <c r="D157" s="120" t="s">
        <v>222</v>
      </c>
      <c r="E157" s="120" t="s">
        <v>221</v>
      </c>
      <c r="F157" s="120" t="s">
        <v>198</v>
      </c>
      <c r="G157" s="121" t="s">
        <v>30</v>
      </c>
      <c r="H157" s="121" t="s">
        <v>20</v>
      </c>
      <c r="I157" s="121" t="s">
        <v>35</v>
      </c>
    </row>
    <row r="158" spans="1:9" ht="28.5">
      <c r="A158" s="45"/>
      <c r="B158" s="176" t="s">
        <v>138</v>
      </c>
      <c r="C158" s="62">
        <v>0.96960000000000002</v>
      </c>
      <c r="D158" s="62">
        <v>0.96309999999999996</v>
      </c>
      <c r="E158" s="62">
        <v>0.96389999999999998</v>
      </c>
      <c r="F158" s="62">
        <v>0.94</v>
      </c>
      <c r="G158" s="85" t="s">
        <v>23</v>
      </c>
      <c r="H158" s="7" t="s">
        <v>98</v>
      </c>
      <c r="I158" s="6" t="s">
        <v>227</v>
      </c>
    </row>
    <row r="159" spans="1:9">
      <c r="A159" s="44"/>
      <c r="B159" s="176" t="s">
        <v>2</v>
      </c>
      <c r="C159" s="55">
        <v>0.41870000000000002</v>
      </c>
      <c r="D159" s="55">
        <v>0.4289</v>
      </c>
      <c r="E159" s="55">
        <v>0.4284</v>
      </c>
      <c r="F159" s="55">
        <v>0.47</v>
      </c>
      <c r="G159" s="86" t="s">
        <v>24</v>
      </c>
      <c r="H159" s="4" t="s">
        <v>132</v>
      </c>
      <c r="I159" s="1" t="s">
        <v>14</v>
      </c>
    </row>
    <row r="160" spans="1:9">
      <c r="A160" s="45"/>
      <c r="B160" s="185" t="s">
        <v>137</v>
      </c>
      <c r="C160" s="55">
        <v>2.53E-2</v>
      </c>
      <c r="D160" s="55">
        <v>2.4500000000000001E-2</v>
      </c>
      <c r="E160" s="55">
        <v>2.3900000000000001E-2</v>
      </c>
      <c r="F160" s="55">
        <v>0.06</v>
      </c>
      <c r="G160" s="86" t="s">
        <v>23</v>
      </c>
      <c r="H160" s="4" t="s">
        <v>58</v>
      </c>
      <c r="I160" s="1" t="s">
        <v>15</v>
      </c>
    </row>
    <row r="161" spans="1:9">
      <c r="A161" s="45"/>
      <c r="B161" s="176" t="s">
        <v>12</v>
      </c>
      <c r="C161" s="3">
        <v>0.16120000000000001</v>
      </c>
      <c r="D161" s="3">
        <v>0.16370000000000001</v>
      </c>
      <c r="E161" s="3">
        <v>0.15340000000000001</v>
      </c>
      <c r="F161" s="3">
        <v>0.15</v>
      </c>
      <c r="G161" s="86" t="s">
        <v>24</v>
      </c>
      <c r="H161" s="9" t="s">
        <v>52</v>
      </c>
      <c r="I161" s="9" t="s">
        <v>18</v>
      </c>
    </row>
    <row r="162" spans="1:9" ht="15">
      <c r="A162" s="45"/>
      <c r="B162" s="186" t="s">
        <v>5</v>
      </c>
      <c r="C162" s="99">
        <f>SUBTOTAL(109,C158:C161)</f>
        <v>1.5748000000000002</v>
      </c>
      <c r="D162" s="99">
        <f>SUBTOTAL(109,D158:D161)</f>
        <v>1.5801999999999998</v>
      </c>
      <c r="E162" s="99">
        <f>SUBTOTAL(109,E158:E161)</f>
        <v>1.5696000000000001</v>
      </c>
      <c r="F162" s="99">
        <f>SUBTOTAL(109,F158:F161)</f>
        <v>1.6199999999999999</v>
      </c>
      <c r="G162" s="117" t="s">
        <v>187</v>
      </c>
      <c r="H162" s="118" t="s">
        <v>187</v>
      </c>
      <c r="I162" s="112" t="s">
        <v>187</v>
      </c>
    </row>
    <row r="163" spans="1:9">
      <c r="A163" s="45"/>
      <c r="B163" s="176" t="s">
        <v>6</v>
      </c>
      <c r="C163" s="11">
        <v>0.17899999999999999</v>
      </c>
      <c r="D163" s="11">
        <v>0.1681</v>
      </c>
      <c r="E163" s="11">
        <v>0.17780000000000001</v>
      </c>
      <c r="F163" s="11">
        <v>0.18</v>
      </c>
      <c r="G163" s="86" t="s">
        <v>23</v>
      </c>
      <c r="H163" s="9" t="s">
        <v>203</v>
      </c>
      <c r="I163" s="1" t="s">
        <v>19</v>
      </c>
    </row>
    <row r="164" spans="1:9" ht="15">
      <c r="A164" s="45"/>
      <c r="B164" s="106" t="s">
        <v>225</v>
      </c>
      <c r="C164" s="12">
        <v>5.9999999999999995E-4</v>
      </c>
      <c r="D164" s="12">
        <v>5.9999999999999995E-4</v>
      </c>
      <c r="E164" s="100">
        <v>5.9999999999999995E-4</v>
      </c>
      <c r="F164" s="138" t="s">
        <v>187</v>
      </c>
      <c r="G164" s="139" t="s">
        <v>187</v>
      </c>
      <c r="H164" s="140" t="s">
        <v>187</v>
      </c>
      <c r="I164" s="146" t="s">
        <v>187</v>
      </c>
    </row>
    <row r="165" spans="1:9" ht="15">
      <c r="A165" s="18"/>
      <c r="B165" s="15"/>
      <c r="C165" s="15"/>
      <c r="D165" s="15"/>
      <c r="E165" s="17"/>
      <c r="F165" s="16"/>
      <c r="G165" s="88"/>
      <c r="H165" s="17"/>
      <c r="I165" s="167"/>
    </row>
    <row r="166" spans="1:9" ht="30">
      <c r="A166" s="42" t="s">
        <v>83</v>
      </c>
      <c r="B166" s="36" t="s">
        <v>84</v>
      </c>
      <c r="C166" s="36"/>
      <c r="D166" s="36"/>
      <c r="E166" s="37"/>
      <c r="F166" s="38"/>
      <c r="G166" s="91"/>
      <c r="H166" s="37"/>
      <c r="I166" s="39"/>
    </row>
    <row r="167" spans="1:9" ht="23.25">
      <c r="A167" s="42"/>
      <c r="B167" s="41" t="s">
        <v>85</v>
      </c>
      <c r="C167" s="41"/>
      <c r="D167" s="41"/>
      <c r="E167" s="37"/>
      <c r="F167" s="38"/>
      <c r="G167" s="91"/>
      <c r="H167" s="37"/>
      <c r="I167" s="39"/>
    </row>
    <row r="168" spans="1:9" ht="23.25">
      <c r="A168" s="42"/>
      <c r="B168" s="41" t="s">
        <v>89</v>
      </c>
      <c r="C168" s="41"/>
      <c r="D168" s="41"/>
      <c r="E168" s="37"/>
      <c r="F168" s="38"/>
      <c r="G168" s="91"/>
      <c r="H168" s="37"/>
      <c r="I168" s="39"/>
    </row>
    <row r="169" spans="1:9" ht="15.75">
      <c r="A169" s="43"/>
      <c r="B169" s="133" t="s">
        <v>0</v>
      </c>
      <c r="C169" s="120" t="s">
        <v>223</v>
      </c>
      <c r="D169" s="120" t="s">
        <v>222</v>
      </c>
      <c r="E169" s="120" t="s">
        <v>221</v>
      </c>
      <c r="F169" s="120" t="s">
        <v>198</v>
      </c>
      <c r="G169" s="121" t="s">
        <v>30</v>
      </c>
      <c r="H169" s="121" t="s">
        <v>20</v>
      </c>
      <c r="I169" s="121" t="s">
        <v>35</v>
      </c>
    </row>
    <row r="170" spans="1:9" ht="28.5">
      <c r="A170" s="45"/>
      <c r="B170" s="176" t="s">
        <v>138</v>
      </c>
      <c r="C170" s="5">
        <v>3.4299999999999997E-2</v>
      </c>
      <c r="D170" s="5">
        <v>2.76E-2</v>
      </c>
      <c r="E170" s="5">
        <v>2.69E-2</v>
      </c>
      <c r="F170" s="5">
        <v>0.06</v>
      </c>
      <c r="G170" s="85" t="s">
        <v>23</v>
      </c>
      <c r="H170" s="7" t="s">
        <v>58</v>
      </c>
      <c r="I170" s="6" t="s">
        <v>227</v>
      </c>
    </row>
    <row r="171" spans="1:9">
      <c r="A171" s="44"/>
      <c r="B171" s="176" t="s">
        <v>2</v>
      </c>
      <c r="C171" s="3">
        <v>0.1047</v>
      </c>
      <c r="D171" s="3">
        <v>0.10580000000000001</v>
      </c>
      <c r="E171" s="3">
        <v>0.1124</v>
      </c>
      <c r="F171" s="3">
        <v>0.1</v>
      </c>
      <c r="G171" s="86" t="s">
        <v>24</v>
      </c>
      <c r="H171" s="4" t="s">
        <v>49</v>
      </c>
      <c r="I171" s="1" t="s">
        <v>14</v>
      </c>
    </row>
    <row r="172" spans="1:9">
      <c r="A172" s="45"/>
      <c r="B172" s="185" t="s">
        <v>137</v>
      </c>
      <c r="C172" s="3">
        <v>0.82169999999999999</v>
      </c>
      <c r="D172" s="3">
        <v>0.82040000000000002</v>
      </c>
      <c r="E172" s="3">
        <v>0.78590000000000004</v>
      </c>
      <c r="F172" s="3">
        <v>0.85</v>
      </c>
      <c r="G172" s="86" t="s">
        <v>23</v>
      </c>
      <c r="H172" s="4" t="s">
        <v>235</v>
      </c>
      <c r="I172" s="1" t="s">
        <v>15</v>
      </c>
    </row>
    <row r="173" spans="1:9">
      <c r="A173" s="45"/>
      <c r="B173" s="176" t="s">
        <v>12</v>
      </c>
      <c r="C173" s="55">
        <v>4.1700000000000001E-2</v>
      </c>
      <c r="D173" s="55">
        <v>4.8099999999999997E-2</v>
      </c>
      <c r="E173" s="55">
        <v>7.6899999999999996E-2</v>
      </c>
      <c r="F173" s="55">
        <v>0.05</v>
      </c>
      <c r="G173" s="86" t="s">
        <v>24</v>
      </c>
      <c r="H173" s="9" t="s">
        <v>51</v>
      </c>
      <c r="I173" s="9" t="s">
        <v>18</v>
      </c>
    </row>
    <row r="174" spans="1:9" ht="15">
      <c r="A174" s="45"/>
      <c r="B174" s="186" t="s">
        <v>5</v>
      </c>
      <c r="C174" s="99">
        <f>SUBTOTAL(109,C170:C173)</f>
        <v>1.0024</v>
      </c>
      <c r="D174" s="99">
        <f>SUBTOTAL(109,D170:D173)</f>
        <v>1.0019</v>
      </c>
      <c r="E174" s="99">
        <f>SUBTOTAL(109,E170:E173)</f>
        <v>1.0021</v>
      </c>
      <c r="F174" s="99">
        <f>SUBTOTAL(109,F170:F173)</f>
        <v>1.06</v>
      </c>
      <c r="G174" s="117" t="s">
        <v>187</v>
      </c>
      <c r="H174" s="118" t="s">
        <v>243</v>
      </c>
      <c r="I174" s="112" t="s">
        <v>187</v>
      </c>
    </row>
    <row r="175" spans="1:9">
      <c r="A175" s="45"/>
      <c r="B175" s="176" t="s">
        <v>6</v>
      </c>
      <c r="C175" s="11">
        <v>5.3999999999999999E-2</v>
      </c>
      <c r="D175" s="11">
        <v>4.5999999999999999E-2</v>
      </c>
      <c r="E175" s="11">
        <v>4.19E-2</v>
      </c>
      <c r="F175" s="11">
        <v>0.08</v>
      </c>
      <c r="G175" s="86" t="s">
        <v>23</v>
      </c>
      <c r="H175" s="9" t="s">
        <v>59</v>
      </c>
      <c r="I175" s="1" t="s">
        <v>19</v>
      </c>
    </row>
    <row r="176" spans="1:9" ht="15">
      <c r="A176" s="45"/>
      <c r="B176" s="106" t="s">
        <v>225</v>
      </c>
      <c r="C176" s="12">
        <v>5.9999999999999995E-4</v>
      </c>
      <c r="D176" s="12">
        <v>5.9999999999999995E-4</v>
      </c>
      <c r="E176" s="12">
        <v>5.9999999999999995E-4</v>
      </c>
      <c r="F176" s="138" t="s">
        <v>187</v>
      </c>
      <c r="G176" s="139" t="s">
        <v>187</v>
      </c>
      <c r="H176" s="140" t="s">
        <v>187</v>
      </c>
      <c r="I176" s="146" t="s">
        <v>187</v>
      </c>
    </row>
    <row r="177" spans="1:9" ht="15">
      <c r="A177" s="18"/>
      <c r="B177" s="15"/>
      <c r="C177" s="15"/>
      <c r="D177" s="15"/>
      <c r="E177" s="17"/>
      <c r="F177" s="16"/>
      <c r="G177" s="88"/>
      <c r="H177" s="17"/>
      <c r="I177" s="167"/>
    </row>
    <row r="178" spans="1:9" ht="30">
      <c r="A178" s="42" t="s">
        <v>90</v>
      </c>
      <c r="B178" s="36" t="s">
        <v>88</v>
      </c>
      <c r="C178" s="36"/>
      <c r="D178" s="36"/>
      <c r="E178" s="37"/>
      <c r="F178" s="38"/>
      <c r="G178" s="91"/>
      <c r="H178" s="37"/>
      <c r="I178" s="39"/>
    </row>
    <row r="179" spans="1:9" ht="23.25">
      <c r="A179" s="42"/>
      <c r="B179" s="41" t="s">
        <v>87</v>
      </c>
      <c r="C179" s="41"/>
      <c r="D179" s="41"/>
      <c r="E179" s="37"/>
      <c r="F179" s="38"/>
      <c r="G179" s="91"/>
      <c r="H179" s="37"/>
      <c r="I179" s="39"/>
    </row>
    <row r="180" spans="1:9" ht="15.75">
      <c r="A180" s="43"/>
      <c r="B180" s="258" t="s">
        <v>0</v>
      </c>
      <c r="C180" s="107" t="s">
        <v>187</v>
      </c>
      <c r="D180" s="257" t="s">
        <v>222</v>
      </c>
      <c r="E180" s="257" t="s">
        <v>221</v>
      </c>
      <c r="F180" s="257" t="s">
        <v>198</v>
      </c>
      <c r="G180" s="13" t="s">
        <v>30</v>
      </c>
      <c r="H180" s="13" t="s">
        <v>20</v>
      </c>
      <c r="I180" s="13" t="s">
        <v>35</v>
      </c>
    </row>
    <row r="181" spans="1:9" ht="28.5">
      <c r="A181" s="45"/>
      <c r="B181" s="221" t="s">
        <v>138</v>
      </c>
      <c r="C181" s="108" t="s">
        <v>187</v>
      </c>
      <c r="D181" s="5">
        <v>0.20569999999999999</v>
      </c>
      <c r="E181" s="5">
        <v>0.20519999999999999</v>
      </c>
      <c r="F181" s="5">
        <v>0.19</v>
      </c>
      <c r="G181" s="85" t="s">
        <v>23</v>
      </c>
      <c r="H181" s="7" t="s">
        <v>55</v>
      </c>
      <c r="I181" s="6" t="s">
        <v>227</v>
      </c>
    </row>
    <row r="182" spans="1:9">
      <c r="A182" s="44"/>
      <c r="B182" s="221" t="s">
        <v>2</v>
      </c>
      <c r="C182" s="109" t="s">
        <v>187</v>
      </c>
      <c r="D182" s="3">
        <v>0.25119999999999998</v>
      </c>
      <c r="E182" s="3">
        <v>0.25729999999999997</v>
      </c>
      <c r="F182" s="3">
        <v>0.25</v>
      </c>
      <c r="G182" s="86" t="s">
        <v>24</v>
      </c>
      <c r="H182" s="4" t="s">
        <v>54</v>
      </c>
      <c r="I182" s="1" t="s">
        <v>14</v>
      </c>
    </row>
    <row r="183" spans="1:9">
      <c r="A183" s="45"/>
      <c r="B183" s="222" t="s">
        <v>137</v>
      </c>
      <c r="C183" s="108" t="s">
        <v>187</v>
      </c>
      <c r="D183" s="3">
        <v>0.44259999999999999</v>
      </c>
      <c r="E183" s="3">
        <v>0.4415</v>
      </c>
      <c r="F183" s="3">
        <v>0.45</v>
      </c>
      <c r="G183" s="86" t="s">
        <v>23</v>
      </c>
      <c r="H183" s="4" t="s">
        <v>66</v>
      </c>
      <c r="I183" s="1" t="s">
        <v>15</v>
      </c>
    </row>
    <row r="184" spans="1:9">
      <c r="A184" s="45"/>
      <c r="B184" s="221" t="s">
        <v>12</v>
      </c>
      <c r="C184" s="109" t="s">
        <v>187</v>
      </c>
      <c r="D184" s="3">
        <v>0.16739999999999999</v>
      </c>
      <c r="E184" s="3">
        <v>0.1661</v>
      </c>
      <c r="F184" s="3">
        <v>0.15</v>
      </c>
      <c r="G184" s="86" t="s">
        <v>24</v>
      </c>
      <c r="H184" s="9" t="s">
        <v>52</v>
      </c>
      <c r="I184" s="9" t="s">
        <v>18</v>
      </c>
    </row>
    <row r="185" spans="1:9" ht="15">
      <c r="A185" s="45"/>
      <c r="B185" s="223" t="s">
        <v>5</v>
      </c>
      <c r="C185" s="109" t="s">
        <v>187</v>
      </c>
      <c r="D185" s="99">
        <f>SUBTOTAL(109,D181:D184)</f>
        <v>1.0669</v>
      </c>
      <c r="E185" s="99">
        <f>SUBTOTAL(109,E181:E184)</f>
        <v>1.0700999999999998</v>
      </c>
      <c r="F185" s="99">
        <f>SUBTOTAL(109,F181:F184)</f>
        <v>1.04</v>
      </c>
      <c r="G185" s="117" t="s">
        <v>187</v>
      </c>
      <c r="H185" s="118" t="s">
        <v>243</v>
      </c>
      <c r="I185" s="112" t="s">
        <v>187</v>
      </c>
    </row>
    <row r="186" spans="1:9">
      <c r="A186" s="45"/>
      <c r="B186" s="221" t="s">
        <v>6</v>
      </c>
      <c r="C186" s="109" t="s">
        <v>187</v>
      </c>
      <c r="D186" s="11">
        <v>0.16170000000000001</v>
      </c>
      <c r="E186" s="11">
        <v>0.15620000000000001</v>
      </c>
      <c r="F186" s="11">
        <v>0.16</v>
      </c>
      <c r="G186" s="86" t="s">
        <v>23</v>
      </c>
      <c r="H186" s="9" t="s">
        <v>133</v>
      </c>
      <c r="I186" s="1" t="s">
        <v>19</v>
      </c>
    </row>
    <row r="187" spans="1:9" ht="15">
      <c r="A187" s="45"/>
      <c r="B187" s="223" t="s">
        <v>225</v>
      </c>
      <c r="C187" s="109" t="s">
        <v>187</v>
      </c>
      <c r="D187" s="100">
        <v>5.9999999999999995E-4</v>
      </c>
      <c r="E187" s="100">
        <v>5.9999999999999995E-4</v>
      </c>
      <c r="F187" s="138" t="s">
        <v>187</v>
      </c>
      <c r="G187" s="139" t="s">
        <v>187</v>
      </c>
      <c r="H187" s="140" t="s">
        <v>187</v>
      </c>
      <c r="I187" s="146" t="s">
        <v>187</v>
      </c>
    </row>
    <row r="188" spans="1:9" ht="15">
      <c r="A188" s="18"/>
      <c r="B188" s="15"/>
      <c r="C188" s="15"/>
      <c r="D188" s="15"/>
      <c r="E188" s="17"/>
      <c r="F188" s="16"/>
      <c r="G188" s="88"/>
      <c r="H188" s="17"/>
      <c r="I188" s="167"/>
    </row>
    <row r="189" spans="1:9" ht="30">
      <c r="A189" s="46" t="s">
        <v>93</v>
      </c>
      <c r="B189" s="36" t="s">
        <v>94</v>
      </c>
      <c r="C189" s="36"/>
      <c r="D189" s="36"/>
      <c r="E189" s="37"/>
      <c r="F189" s="38"/>
      <c r="G189" s="91"/>
      <c r="H189" s="37"/>
      <c r="I189" s="39"/>
    </row>
    <row r="190" spans="1:9" ht="23.25">
      <c r="A190" s="46"/>
      <c r="B190" s="41" t="s">
        <v>95</v>
      </c>
      <c r="C190" s="41"/>
      <c r="D190" s="41"/>
      <c r="E190" s="37"/>
      <c r="F190" s="38"/>
      <c r="G190" s="91"/>
      <c r="H190" s="37"/>
      <c r="I190" s="39"/>
    </row>
    <row r="191" spans="1:9" ht="23.25">
      <c r="A191" s="46"/>
      <c r="B191" s="41" t="s">
        <v>96</v>
      </c>
      <c r="C191" s="41"/>
      <c r="D191" s="41"/>
      <c r="E191" s="37"/>
      <c r="F191" s="38"/>
      <c r="G191" s="91"/>
      <c r="H191" s="37"/>
      <c r="I191" s="39"/>
    </row>
    <row r="192" spans="1:9" ht="15.75">
      <c r="A192" s="47"/>
      <c r="B192" s="119" t="s">
        <v>0</v>
      </c>
      <c r="C192" s="120" t="s">
        <v>223</v>
      </c>
      <c r="D192" s="120" t="s">
        <v>222</v>
      </c>
      <c r="E192" s="120" t="s">
        <v>221</v>
      </c>
      <c r="F192" s="120" t="s">
        <v>198</v>
      </c>
      <c r="G192" s="121" t="s">
        <v>30</v>
      </c>
      <c r="H192" s="121" t="s">
        <v>20</v>
      </c>
      <c r="I192" s="121" t="s">
        <v>35</v>
      </c>
    </row>
    <row r="193" spans="1:9">
      <c r="A193" s="49"/>
      <c r="B193" s="104" t="s">
        <v>138</v>
      </c>
      <c r="C193" s="62">
        <v>0.43340000000000001</v>
      </c>
      <c r="D193" s="62">
        <v>0.47099999999999997</v>
      </c>
      <c r="E193" s="62">
        <v>0.43809999999999999</v>
      </c>
      <c r="F193" s="62">
        <v>0.43</v>
      </c>
      <c r="G193" s="85" t="s">
        <v>23</v>
      </c>
      <c r="H193" s="7" t="s">
        <v>97</v>
      </c>
      <c r="I193" s="52" t="s">
        <v>27</v>
      </c>
    </row>
    <row r="194" spans="1:9">
      <c r="A194" s="48"/>
      <c r="B194" s="104" t="s">
        <v>2</v>
      </c>
      <c r="C194" s="55">
        <v>0.62229999999999996</v>
      </c>
      <c r="D194" s="55">
        <v>0.62350000000000005</v>
      </c>
      <c r="E194" s="55">
        <v>0.56140000000000001</v>
      </c>
      <c r="F194" s="55">
        <v>0.57999999999999996</v>
      </c>
      <c r="G194" s="86" t="s">
        <v>24</v>
      </c>
      <c r="H194" s="4" t="s">
        <v>200</v>
      </c>
      <c r="I194" s="9" t="s">
        <v>28</v>
      </c>
    </row>
    <row r="195" spans="1:9" ht="28.5">
      <c r="A195" s="49"/>
      <c r="B195" s="105" t="s">
        <v>137</v>
      </c>
      <c r="C195" s="55">
        <v>0.34699999999999998</v>
      </c>
      <c r="D195" s="55">
        <v>0.34289999999999998</v>
      </c>
      <c r="E195" s="55">
        <v>0.34360000000000002</v>
      </c>
      <c r="F195" s="55">
        <v>0.33</v>
      </c>
      <c r="G195" s="86" t="s">
        <v>23</v>
      </c>
      <c r="H195" s="4" t="s">
        <v>78</v>
      </c>
      <c r="I195" s="9" t="s">
        <v>99</v>
      </c>
    </row>
    <row r="196" spans="1:9">
      <c r="A196" s="49"/>
      <c r="B196" s="104" t="s">
        <v>12</v>
      </c>
      <c r="C196" s="55">
        <v>0.2596</v>
      </c>
      <c r="D196" s="55">
        <v>0.25900000000000001</v>
      </c>
      <c r="E196" s="55">
        <v>0.24149999999999999</v>
      </c>
      <c r="F196" s="55">
        <v>0.25</v>
      </c>
      <c r="G196" s="86" t="s">
        <v>24</v>
      </c>
      <c r="H196" s="9" t="s">
        <v>54</v>
      </c>
      <c r="I196" s="9" t="s">
        <v>18</v>
      </c>
    </row>
    <row r="197" spans="1:9" ht="15">
      <c r="A197" s="49"/>
      <c r="B197" s="106" t="s">
        <v>5</v>
      </c>
      <c r="C197" s="102">
        <f>SUBTOTAL(109,C193:C196)</f>
        <v>1.6622999999999999</v>
      </c>
      <c r="D197" s="102">
        <f>SUBTOTAL(109,D193:D196)</f>
        <v>1.6964000000000001</v>
      </c>
      <c r="E197" s="67">
        <f>SUBTOTAL(109,E193:E196)</f>
        <v>1.5846000000000002</v>
      </c>
      <c r="F197" s="67">
        <f>SUBTOTAL(109,F193:F196)</f>
        <v>1.59</v>
      </c>
      <c r="G197" s="117" t="s">
        <v>187</v>
      </c>
      <c r="H197" s="118" t="s">
        <v>243</v>
      </c>
      <c r="I197" s="112" t="s">
        <v>187</v>
      </c>
    </row>
    <row r="198" spans="1:9">
      <c r="A198" s="49"/>
      <c r="B198" s="104" t="s">
        <v>6</v>
      </c>
      <c r="C198" s="68">
        <v>0.99885000000000002</v>
      </c>
      <c r="D198" s="68">
        <v>0.99729999999999996</v>
      </c>
      <c r="E198" s="68">
        <v>0.99560000000000004</v>
      </c>
      <c r="F198" s="68">
        <v>0.94</v>
      </c>
      <c r="G198" s="86" t="s">
        <v>23</v>
      </c>
      <c r="H198" s="9" t="s">
        <v>98</v>
      </c>
      <c r="I198" s="9" t="s">
        <v>19</v>
      </c>
    </row>
    <row r="199" spans="1:9" ht="15">
      <c r="A199" s="49"/>
      <c r="B199" s="106" t="s">
        <v>225</v>
      </c>
      <c r="C199" s="100">
        <v>2E-3</v>
      </c>
      <c r="D199" s="100">
        <v>2E-3</v>
      </c>
      <c r="E199" s="12">
        <v>2.5000000000000001E-3</v>
      </c>
      <c r="F199" s="138" t="s">
        <v>187</v>
      </c>
      <c r="G199" s="139" t="s">
        <v>187</v>
      </c>
      <c r="H199" s="140" t="s">
        <v>187</v>
      </c>
      <c r="I199" s="146" t="s">
        <v>187</v>
      </c>
    </row>
    <row r="200" spans="1:9" ht="15">
      <c r="A200" s="18"/>
      <c r="B200" s="159" t="s">
        <v>243</v>
      </c>
      <c r="C200" s="159" t="s">
        <v>243</v>
      </c>
      <c r="D200" s="159" t="s">
        <v>243</v>
      </c>
      <c r="E200" s="160" t="s">
        <v>243</v>
      </c>
      <c r="F200" s="160" t="s">
        <v>243</v>
      </c>
      <c r="G200" s="160" t="s">
        <v>243</v>
      </c>
      <c r="H200" s="160" t="s">
        <v>243</v>
      </c>
      <c r="I200" s="169" t="s">
        <v>243</v>
      </c>
    </row>
    <row r="201" spans="1:9" ht="30">
      <c r="A201" s="46" t="s">
        <v>100</v>
      </c>
      <c r="B201" s="36" t="s">
        <v>101</v>
      </c>
      <c r="C201" s="36"/>
      <c r="D201" s="36"/>
      <c r="E201" s="37"/>
      <c r="F201" s="38"/>
      <c r="G201" s="91"/>
      <c r="H201" s="37"/>
      <c r="I201" s="39"/>
    </row>
    <row r="202" spans="1:9" ht="23.25">
      <c r="A202" s="46"/>
      <c r="B202" s="41" t="s">
        <v>102</v>
      </c>
      <c r="C202" s="41"/>
      <c r="D202" s="41"/>
      <c r="E202" s="37"/>
      <c r="F202" s="38"/>
      <c r="G202" s="91"/>
      <c r="H202" s="37"/>
      <c r="I202" s="39"/>
    </row>
    <row r="203" spans="1:9" ht="23.25">
      <c r="A203" s="46"/>
      <c r="B203" s="41" t="s">
        <v>103</v>
      </c>
      <c r="C203" s="41"/>
      <c r="D203" s="41"/>
      <c r="E203" s="37"/>
      <c r="F203" s="38"/>
      <c r="G203" s="91"/>
      <c r="H203" s="37"/>
      <c r="I203" s="39"/>
    </row>
    <row r="204" spans="1:9" ht="15.75">
      <c r="A204" s="47"/>
      <c r="B204" s="119" t="s">
        <v>0</v>
      </c>
      <c r="C204" s="120" t="s">
        <v>223</v>
      </c>
      <c r="D204" s="120" t="s">
        <v>222</v>
      </c>
      <c r="E204" s="120" t="s">
        <v>221</v>
      </c>
      <c r="F204" s="120" t="s">
        <v>198</v>
      </c>
      <c r="G204" s="121" t="s">
        <v>30</v>
      </c>
      <c r="H204" s="121" t="s">
        <v>20</v>
      </c>
      <c r="I204" s="121" t="s">
        <v>35</v>
      </c>
    </row>
    <row r="205" spans="1:9">
      <c r="A205" s="49"/>
      <c r="B205" s="104" t="s">
        <v>138</v>
      </c>
      <c r="C205" s="5">
        <v>0.99980000000000002</v>
      </c>
      <c r="D205" s="5">
        <v>0.99850000000000005</v>
      </c>
      <c r="E205" s="5">
        <v>0.99660000000000004</v>
      </c>
      <c r="F205" s="5">
        <v>0.94</v>
      </c>
      <c r="G205" s="85" t="s">
        <v>23</v>
      </c>
      <c r="H205" s="7" t="s">
        <v>98</v>
      </c>
      <c r="I205" s="52" t="s">
        <v>27</v>
      </c>
    </row>
    <row r="206" spans="1:9">
      <c r="A206" s="48"/>
      <c r="B206" s="104" t="s">
        <v>2</v>
      </c>
      <c r="C206" s="55">
        <v>0.56220000000000003</v>
      </c>
      <c r="D206" s="55">
        <v>0.54849999999999999</v>
      </c>
      <c r="E206" s="55">
        <v>0.55520000000000003</v>
      </c>
      <c r="F206" s="55">
        <v>0.56999999999999995</v>
      </c>
      <c r="G206" s="86" t="s">
        <v>24</v>
      </c>
      <c r="H206" s="4" t="s">
        <v>190</v>
      </c>
      <c r="I206" s="9" t="s">
        <v>14</v>
      </c>
    </row>
    <row r="207" spans="1:9">
      <c r="A207" s="49"/>
      <c r="B207" s="105" t="s">
        <v>137</v>
      </c>
      <c r="C207" s="113">
        <v>0</v>
      </c>
      <c r="D207" s="113">
        <v>0</v>
      </c>
      <c r="E207" s="113">
        <v>0</v>
      </c>
      <c r="F207" s="113" t="s">
        <v>187</v>
      </c>
      <c r="G207" s="86" t="s">
        <v>23</v>
      </c>
      <c r="H207" s="113" t="s">
        <v>243</v>
      </c>
      <c r="I207" s="132" t="s">
        <v>187</v>
      </c>
    </row>
    <row r="208" spans="1:9">
      <c r="A208" s="49"/>
      <c r="B208" s="104" t="s">
        <v>12</v>
      </c>
      <c r="C208" s="3">
        <v>0.22650000000000001</v>
      </c>
      <c r="D208" s="3">
        <v>0.22639999999999999</v>
      </c>
      <c r="E208" s="3">
        <v>0.2402</v>
      </c>
      <c r="F208" s="3">
        <v>0.2</v>
      </c>
      <c r="G208" s="86" t="s">
        <v>24</v>
      </c>
      <c r="H208" s="9" t="s">
        <v>131</v>
      </c>
      <c r="I208" s="9" t="s">
        <v>18</v>
      </c>
    </row>
    <row r="209" spans="1:9" ht="15">
      <c r="A209" s="49"/>
      <c r="B209" s="106" t="s">
        <v>5</v>
      </c>
      <c r="C209" s="99">
        <f>SUBTOTAL(109,C205:C208)</f>
        <v>1.7885</v>
      </c>
      <c r="D209" s="99">
        <f>SUBTOTAL(109,D205:D208)</f>
        <v>1.7734000000000001</v>
      </c>
      <c r="E209" s="99">
        <f>SUBTOTAL(109,E205:E208)</f>
        <v>1.792</v>
      </c>
      <c r="F209" s="99">
        <f>SUBTOTAL(109,F205:F208)</f>
        <v>1.7099999999999997</v>
      </c>
      <c r="G209" s="117" t="s">
        <v>187</v>
      </c>
      <c r="H209" s="118" t="s">
        <v>243</v>
      </c>
      <c r="I209" s="112" t="s">
        <v>187</v>
      </c>
    </row>
    <row r="210" spans="1:9">
      <c r="A210" s="49"/>
      <c r="B210" s="104" t="s">
        <v>6</v>
      </c>
      <c r="C210" s="11">
        <v>0.99404800000000004</v>
      </c>
      <c r="D210" s="11">
        <v>0.99870000000000003</v>
      </c>
      <c r="E210" s="11">
        <v>0.99760000000000004</v>
      </c>
      <c r="F210" s="11">
        <v>0.94</v>
      </c>
      <c r="G210" s="86" t="s">
        <v>23</v>
      </c>
      <c r="H210" s="9" t="s">
        <v>98</v>
      </c>
      <c r="I210" s="9" t="s">
        <v>19</v>
      </c>
    </row>
    <row r="211" spans="1:9" ht="15">
      <c r="A211" s="49"/>
      <c r="B211" s="106" t="s">
        <v>225</v>
      </c>
      <c r="C211" s="12">
        <v>8.9999999999999998E-4</v>
      </c>
      <c r="D211" s="12">
        <v>8.9999999999999998E-4</v>
      </c>
      <c r="E211" s="12">
        <v>8.9999999999999998E-4</v>
      </c>
      <c r="F211" s="138" t="s">
        <v>187</v>
      </c>
      <c r="G211" s="139" t="s">
        <v>187</v>
      </c>
      <c r="H211" s="140" t="s">
        <v>187</v>
      </c>
      <c r="I211" s="146" t="s">
        <v>187</v>
      </c>
    </row>
    <row r="212" spans="1:9" ht="15">
      <c r="A212" s="18"/>
      <c r="B212" s="15"/>
      <c r="C212" s="15"/>
      <c r="D212" s="15"/>
      <c r="E212" s="17"/>
      <c r="F212" s="16"/>
      <c r="G212" s="88"/>
      <c r="H212" s="17"/>
      <c r="I212" s="167"/>
    </row>
    <row r="213" spans="1:9" ht="30">
      <c r="A213" s="46" t="s">
        <v>104</v>
      </c>
      <c r="B213" s="36" t="s">
        <v>105</v>
      </c>
      <c r="C213" s="36"/>
      <c r="D213" s="36"/>
      <c r="E213" s="37"/>
      <c r="F213" s="38"/>
      <c r="G213" s="91"/>
      <c r="H213" s="37"/>
      <c r="I213" s="39"/>
    </row>
    <row r="214" spans="1:9" ht="23.25">
      <c r="A214" s="46"/>
      <c r="B214" s="41" t="s">
        <v>106</v>
      </c>
      <c r="C214" s="41"/>
      <c r="D214" s="41"/>
      <c r="E214" s="37"/>
      <c r="F214" s="38"/>
      <c r="G214" s="91"/>
      <c r="H214" s="37"/>
      <c r="I214" s="39"/>
    </row>
    <row r="215" spans="1:9" ht="23.25">
      <c r="A215" s="46"/>
      <c r="B215" s="41" t="s">
        <v>107</v>
      </c>
      <c r="C215" s="41"/>
      <c r="D215" s="41"/>
      <c r="E215" s="37"/>
      <c r="F215" s="38"/>
      <c r="G215" s="91"/>
      <c r="H215" s="37"/>
      <c r="I215" s="39"/>
    </row>
    <row r="216" spans="1:9" ht="15.75">
      <c r="A216" s="47"/>
      <c r="B216" s="119" t="s">
        <v>0</v>
      </c>
      <c r="C216" s="120" t="s">
        <v>223</v>
      </c>
      <c r="D216" s="120" t="s">
        <v>222</v>
      </c>
      <c r="E216" s="120" t="s">
        <v>221</v>
      </c>
      <c r="F216" s="120" t="s">
        <v>198</v>
      </c>
      <c r="G216" s="121" t="s">
        <v>30</v>
      </c>
      <c r="H216" s="121" t="s">
        <v>20</v>
      </c>
      <c r="I216" s="122" t="s">
        <v>35</v>
      </c>
    </row>
    <row r="217" spans="1:9">
      <c r="A217" s="49"/>
      <c r="B217" s="104" t="s">
        <v>138</v>
      </c>
      <c r="C217" s="123">
        <v>0</v>
      </c>
      <c r="D217" s="123" t="s">
        <v>187</v>
      </c>
      <c r="E217" s="123" t="s">
        <v>187</v>
      </c>
      <c r="F217" s="123" t="s">
        <v>187</v>
      </c>
      <c r="G217" s="85" t="s">
        <v>23</v>
      </c>
      <c r="H217" s="157" t="s">
        <v>243</v>
      </c>
      <c r="I217" s="147" t="s">
        <v>187</v>
      </c>
    </row>
    <row r="218" spans="1:9">
      <c r="A218" s="48"/>
      <c r="B218" s="104" t="s">
        <v>2</v>
      </c>
      <c r="C218" s="55">
        <v>0.62970000000000004</v>
      </c>
      <c r="D218" s="55">
        <v>0.59279999999999999</v>
      </c>
      <c r="E218" s="55">
        <v>0.59560000000000002</v>
      </c>
      <c r="F218" s="55">
        <v>0.6</v>
      </c>
      <c r="G218" s="86" t="s">
        <v>24</v>
      </c>
      <c r="H218" s="4" t="s">
        <v>199</v>
      </c>
      <c r="I218" s="1" t="s">
        <v>28</v>
      </c>
    </row>
    <row r="219" spans="1:9" ht="28.5">
      <c r="A219" s="49"/>
      <c r="B219" s="105" t="s">
        <v>137</v>
      </c>
      <c r="C219" s="55">
        <v>0.74639999999999995</v>
      </c>
      <c r="D219" s="55">
        <v>0.72660000000000002</v>
      </c>
      <c r="E219" s="55">
        <v>0.72199999999999998</v>
      </c>
      <c r="F219" s="55">
        <v>0.7</v>
      </c>
      <c r="G219" s="86" t="s">
        <v>23</v>
      </c>
      <c r="H219" s="4" t="s">
        <v>86</v>
      </c>
      <c r="I219" s="9" t="s">
        <v>99</v>
      </c>
    </row>
    <row r="220" spans="1:9">
      <c r="A220" s="49"/>
      <c r="B220" s="105" t="s">
        <v>12</v>
      </c>
      <c r="C220" s="55">
        <v>0.2354</v>
      </c>
      <c r="D220" s="55">
        <v>0.21609999999999999</v>
      </c>
      <c r="E220" s="55">
        <v>0.22020000000000001</v>
      </c>
      <c r="F220" s="55">
        <v>0.25</v>
      </c>
      <c r="G220" s="86" t="s">
        <v>24</v>
      </c>
      <c r="H220" s="4" t="s">
        <v>189</v>
      </c>
      <c r="I220" s="9" t="s">
        <v>18</v>
      </c>
    </row>
    <row r="221" spans="1:9" ht="15">
      <c r="A221" s="49"/>
      <c r="B221" s="106" t="s">
        <v>5</v>
      </c>
      <c r="C221" s="102">
        <f>SUBTOTAL(109,C217:C220)</f>
        <v>1.6115000000000002</v>
      </c>
      <c r="D221" s="102">
        <f>SUBTOTAL(109,D217:D220)</f>
        <v>1.5354999999999999</v>
      </c>
      <c r="E221" s="102">
        <f>SUBTOTAL(109,E217:E220)</f>
        <v>1.5378000000000001</v>
      </c>
      <c r="F221" s="102">
        <f>SUBTOTAL(109,F217:F220)</f>
        <v>1.5499999999999998</v>
      </c>
      <c r="G221" s="117" t="s">
        <v>187</v>
      </c>
      <c r="H221" s="118" t="s">
        <v>243</v>
      </c>
      <c r="I221" s="111" t="s">
        <v>187</v>
      </c>
    </row>
    <row r="222" spans="1:9">
      <c r="A222" s="49"/>
      <c r="B222" s="104" t="s">
        <v>6</v>
      </c>
      <c r="C222" s="68">
        <v>0.99670000000000003</v>
      </c>
      <c r="D222" s="68">
        <v>0.99409999999999998</v>
      </c>
      <c r="E222" s="68">
        <v>0.99650000000000005</v>
      </c>
      <c r="F222" s="68">
        <v>0.94</v>
      </c>
      <c r="G222" s="86" t="s">
        <v>23</v>
      </c>
      <c r="H222" s="9" t="s">
        <v>98</v>
      </c>
      <c r="I222" s="1" t="s">
        <v>19</v>
      </c>
    </row>
    <row r="223" spans="1:9" ht="15">
      <c r="A223" s="49"/>
      <c r="B223" s="106" t="s">
        <v>225</v>
      </c>
      <c r="C223" s="12">
        <v>2E-3</v>
      </c>
      <c r="D223" s="12">
        <v>2E-3</v>
      </c>
      <c r="E223" s="12">
        <v>2.5000000000000001E-3</v>
      </c>
      <c r="F223" s="138" t="s">
        <v>187</v>
      </c>
      <c r="G223" s="139" t="s">
        <v>187</v>
      </c>
      <c r="H223" s="140" t="s">
        <v>187</v>
      </c>
      <c r="I223" s="146" t="s">
        <v>187</v>
      </c>
    </row>
    <row r="224" spans="1:9" ht="15">
      <c r="A224" s="18"/>
      <c r="B224" s="15"/>
      <c r="C224" s="15"/>
      <c r="D224" s="15"/>
      <c r="E224" s="17"/>
      <c r="F224" s="16"/>
      <c r="G224" s="88"/>
      <c r="H224" s="17"/>
      <c r="I224" s="167"/>
    </row>
    <row r="225" spans="1:9" ht="30">
      <c r="A225" s="46" t="s">
        <v>108</v>
      </c>
      <c r="B225" s="36" t="s">
        <v>109</v>
      </c>
      <c r="C225" s="36"/>
      <c r="D225" s="36"/>
      <c r="E225" s="37"/>
      <c r="F225" s="38"/>
      <c r="G225" s="91"/>
      <c r="H225" s="37"/>
      <c r="I225" s="39"/>
    </row>
    <row r="226" spans="1:9" ht="23.25">
      <c r="A226" s="46"/>
      <c r="B226" s="41" t="s">
        <v>110</v>
      </c>
      <c r="C226" s="41"/>
      <c r="D226" s="41"/>
      <c r="E226" s="37"/>
      <c r="F226" s="38"/>
      <c r="G226" s="91"/>
      <c r="H226" s="37"/>
      <c r="I226" s="39"/>
    </row>
    <row r="227" spans="1:9" ht="15.75">
      <c r="A227" s="47"/>
      <c r="B227" s="224" t="s">
        <v>0</v>
      </c>
      <c r="C227" s="125" t="s">
        <v>187</v>
      </c>
      <c r="D227" s="120" t="s">
        <v>222</v>
      </c>
      <c r="E227" s="120" t="s">
        <v>221</v>
      </c>
      <c r="F227" s="120" t="s">
        <v>198</v>
      </c>
      <c r="G227" s="121" t="s">
        <v>30</v>
      </c>
      <c r="H227" s="121" t="s">
        <v>20</v>
      </c>
      <c r="I227" s="121" t="s">
        <v>35</v>
      </c>
    </row>
    <row r="228" spans="1:9">
      <c r="A228" s="49"/>
      <c r="B228" s="221" t="s">
        <v>138</v>
      </c>
      <c r="C228" s="127" t="s">
        <v>187</v>
      </c>
      <c r="D228" s="5">
        <v>0.15790000000000001</v>
      </c>
      <c r="E228" s="5">
        <v>0.17799999999999999</v>
      </c>
      <c r="F228" s="5">
        <v>0.19</v>
      </c>
      <c r="G228" s="85" t="s">
        <v>23</v>
      </c>
      <c r="H228" s="7" t="s">
        <v>55</v>
      </c>
      <c r="I228" s="6" t="s">
        <v>27</v>
      </c>
    </row>
    <row r="229" spans="1:9">
      <c r="A229" s="48"/>
      <c r="B229" s="221" t="s">
        <v>2</v>
      </c>
      <c r="C229" s="129" t="s">
        <v>187</v>
      </c>
      <c r="D229" s="3">
        <v>0.5524</v>
      </c>
      <c r="E229" s="3">
        <v>0.54559999999999997</v>
      </c>
      <c r="F229" s="3">
        <v>0.52</v>
      </c>
      <c r="G229" s="86" t="s">
        <v>24</v>
      </c>
      <c r="H229" s="4" t="s">
        <v>191</v>
      </c>
      <c r="I229" s="1" t="s">
        <v>28</v>
      </c>
    </row>
    <row r="230" spans="1:9" ht="28.5">
      <c r="A230" s="49"/>
      <c r="B230" s="222" t="s">
        <v>137</v>
      </c>
      <c r="C230" s="127" t="s">
        <v>187</v>
      </c>
      <c r="D230" s="3">
        <v>0.46339999999999998</v>
      </c>
      <c r="E230" s="3">
        <v>0.46160000000000001</v>
      </c>
      <c r="F230" s="3">
        <v>0.5</v>
      </c>
      <c r="G230" s="86" t="s">
        <v>23</v>
      </c>
      <c r="H230" s="4" t="s">
        <v>91</v>
      </c>
      <c r="I230" s="9" t="s">
        <v>99</v>
      </c>
    </row>
    <row r="231" spans="1:9">
      <c r="A231" s="49"/>
      <c r="B231" s="221" t="s">
        <v>12</v>
      </c>
      <c r="C231" s="129" t="s">
        <v>187</v>
      </c>
      <c r="D231" s="3">
        <v>0.27550000000000002</v>
      </c>
      <c r="E231" s="3">
        <v>0.29170000000000001</v>
      </c>
      <c r="F231" s="3">
        <v>0.25</v>
      </c>
      <c r="G231" s="86" t="s">
        <v>24</v>
      </c>
      <c r="H231" s="9" t="s">
        <v>54</v>
      </c>
      <c r="I231" s="1" t="s">
        <v>18</v>
      </c>
    </row>
    <row r="232" spans="1:9" ht="15">
      <c r="A232" s="49"/>
      <c r="B232" s="223" t="s">
        <v>5</v>
      </c>
      <c r="C232" s="129" t="s">
        <v>187</v>
      </c>
      <c r="D232" s="27">
        <f>SUBTOTAL(109,D228:D231)</f>
        <v>1.4492</v>
      </c>
      <c r="E232" s="27">
        <f>SUBTOTAL(109,E228:E231)</f>
        <v>1.4769000000000001</v>
      </c>
      <c r="F232" s="27">
        <f>SUBTOTAL(109,F228:F231)</f>
        <v>1.46</v>
      </c>
      <c r="G232" s="117" t="s">
        <v>187</v>
      </c>
      <c r="H232" s="118" t="s">
        <v>243</v>
      </c>
      <c r="I232" s="111" t="s">
        <v>187</v>
      </c>
    </row>
    <row r="233" spans="1:9">
      <c r="A233" s="49"/>
      <c r="B233" s="221" t="s">
        <v>6</v>
      </c>
      <c r="C233" s="129" t="s">
        <v>187</v>
      </c>
      <c r="D233" s="11">
        <v>0.99707000000000001</v>
      </c>
      <c r="E233" s="11">
        <v>0.99619999999999997</v>
      </c>
      <c r="F233" s="11">
        <v>0.94</v>
      </c>
      <c r="G233" s="86" t="s">
        <v>23</v>
      </c>
      <c r="H233" s="9" t="s">
        <v>98</v>
      </c>
      <c r="I233" s="1" t="s">
        <v>19</v>
      </c>
    </row>
    <row r="234" spans="1:9" ht="15">
      <c r="A234" s="49"/>
      <c r="B234" s="223" t="s">
        <v>225</v>
      </c>
      <c r="C234" s="134" t="s">
        <v>187</v>
      </c>
      <c r="D234" s="12">
        <v>2.5000000000000001E-3</v>
      </c>
      <c r="E234" s="12">
        <v>2.5000000000000001E-3</v>
      </c>
      <c r="F234" s="138" t="s">
        <v>187</v>
      </c>
      <c r="G234" s="139" t="s">
        <v>187</v>
      </c>
      <c r="H234" s="140" t="s">
        <v>187</v>
      </c>
      <c r="I234" s="146" t="s">
        <v>187</v>
      </c>
    </row>
    <row r="235" spans="1:9" ht="15">
      <c r="A235" s="18"/>
      <c r="B235" s="159" t="s">
        <v>194</v>
      </c>
      <c r="C235" s="159" t="s">
        <v>194</v>
      </c>
      <c r="D235" s="159" t="s">
        <v>194</v>
      </c>
      <c r="E235" s="160" t="s">
        <v>194</v>
      </c>
      <c r="F235" s="160" t="s">
        <v>194</v>
      </c>
      <c r="G235" s="160" t="s">
        <v>194</v>
      </c>
      <c r="H235" s="160" t="s">
        <v>194</v>
      </c>
      <c r="I235" s="169" t="s">
        <v>194</v>
      </c>
    </row>
    <row r="236" spans="1:9" ht="30">
      <c r="A236" s="46" t="s">
        <v>111</v>
      </c>
      <c r="B236" s="36" t="s">
        <v>112</v>
      </c>
      <c r="C236" s="36"/>
      <c r="D236" s="36"/>
      <c r="E236" s="37"/>
      <c r="F236" s="38"/>
      <c r="G236" s="91"/>
      <c r="H236" s="37"/>
      <c r="I236" s="39"/>
    </row>
    <row r="237" spans="1:9" ht="23.25">
      <c r="A237" s="46"/>
      <c r="B237" s="41" t="s">
        <v>113</v>
      </c>
      <c r="C237" s="41"/>
      <c r="D237" s="41"/>
      <c r="E237" s="37"/>
      <c r="F237" s="38"/>
      <c r="G237" s="91"/>
      <c r="H237" s="37"/>
      <c r="I237" s="39"/>
    </row>
    <row r="238" spans="1:9" ht="23.25">
      <c r="A238" s="46"/>
      <c r="B238" s="41" t="s">
        <v>114</v>
      </c>
      <c r="C238" s="41"/>
      <c r="D238" s="41"/>
      <c r="E238" s="37"/>
      <c r="F238" s="38"/>
      <c r="G238" s="91"/>
      <c r="H238" s="37"/>
      <c r="I238" s="39"/>
    </row>
    <row r="239" spans="1:9" ht="15.75">
      <c r="A239" s="47"/>
      <c r="B239" s="119" t="s">
        <v>0</v>
      </c>
      <c r="C239" s="120" t="s">
        <v>223</v>
      </c>
      <c r="D239" s="120" t="s">
        <v>222</v>
      </c>
      <c r="E239" s="120" t="s">
        <v>221</v>
      </c>
      <c r="F239" s="120" t="s">
        <v>198</v>
      </c>
      <c r="G239" s="121" t="s">
        <v>30</v>
      </c>
      <c r="H239" s="121" t="s">
        <v>20</v>
      </c>
      <c r="I239" s="121" t="s">
        <v>35</v>
      </c>
    </row>
    <row r="240" spans="1:9">
      <c r="A240" s="49"/>
      <c r="B240" s="104" t="s">
        <v>138</v>
      </c>
      <c r="C240" s="5">
        <v>0.99850000000000005</v>
      </c>
      <c r="D240" s="5">
        <v>0.99839999999999995</v>
      </c>
      <c r="E240" s="5">
        <v>0.99850000000000005</v>
      </c>
      <c r="F240" s="5">
        <v>0.94</v>
      </c>
      <c r="G240" s="85" t="s">
        <v>23</v>
      </c>
      <c r="H240" s="7" t="s">
        <v>98</v>
      </c>
      <c r="I240" s="6" t="s">
        <v>7</v>
      </c>
    </row>
    <row r="241" spans="1:9">
      <c r="A241" s="48"/>
      <c r="B241" s="104" t="s">
        <v>2</v>
      </c>
      <c r="C241" s="3">
        <v>0.25309999999999999</v>
      </c>
      <c r="D241" s="3">
        <v>0.2361</v>
      </c>
      <c r="E241" s="3">
        <v>0.26840000000000003</v>
      </c>
      <c r="F241" s="3">
        <v>0.05</v>
      </c>
      <c r="G241" s="3" t="s">
        <v>24</v>
      </c>
      <c r="H241" s="3" t="s">
        <v>51</v>
      </c>
      <c r="I241" s="1" t="s">
        <v>14</v>
      </c>
    </row>
    <row r="242" spans="1:9">
      <c r="A242" s="49"/>
      <c r="B242" s="105" t="s">
        <v>137</v>
      </c>
      <c r="C242" s="113">
        <v>0</v>
      </c>
      <c r="D242" s="113">
        <v>0</v>
      </c>
      <c r="E242" s="113">
        <v>0</v>
      </c>
      <c r="F242" s="132" t="s">
        <v>187</v>
      </c>
      <c r="G242" s="3" t="s">
        <v>23</v>
      </c>
      <c r="H242" s="132" t="s">
        <v>187</v>
      </c>
      <c r="I242" s="132" t="s">
        <v>187</v>
      </c>
    </row>
    <row r="243" spans="1:9">
      <c r="A243" s="49"/>
      <c r="B243" s="104" t="s">
        <v>12</v>
      </c>
      <c r="C243" s="3">
        <v>0.2959</v>
      </c>
      <c r="D243" s="3">
        <v>0.26269999999999999</v>
      </c>
      <c r="E243" s="3">
        <v>0.29260000000000003</v>
      </c>
      <c r="F243" s="237">
        <v>0.05</v>
      </c>
      <c r="G243" s="3" t="s">
        <v>24</v>
      </c>
      <c r="H243" s="237" t="s">
        <v>51</v>
      </c>
      <c r="I243" s="1" t="s">
        <v>18</v>
      </c>
    </row>
    <row r="244" spans="1:9" ht="15">
      <c r="A244" s="49"/>
      <c r="B244" s="106" t="s">
        <v>5</v>
      </c>
      <c r="C244" s="27">
        <f>SUBTOTAL(109,C240:C243)</f>
        <v>1.5475000000000001</v>
      </c>
      <c r="D244" s="27">
        <f>SUBTOTAL(109,D240:D243)</f>
        <v>1.4971999999999999</v>
      </c>
      <c r="E244" s="27">
        <f>SUBTOTAL(109,E240:E243)</f>
        <v>1.5595000000000001</v>
      </c>
      <c r="F244" s="27">
        <f>SUBTOTAL(109,F240:F243)</f>
        <v>1.04</v>
      </c>
      <c r="G244" s="117" t="s">
        <v>187</v>
      </c>
      <c r="H244" s="118" t="s">
        <v>243</v>
      </c>
      <c r="I244" s="111" t="s">
        <v>187</v>
      </c>
    </row>
    <row r="245" spans="1:9">
      <c r="A245" s="49"/>
      <c r="B245" s="104" t="s">
        <v>6</v>
      </c>
      <c r="C245" s="5">
        <v>0.99729999999999996</v>
      </c>
      <c r="D245" s="5">
        <v>0.99829999999999997</v>
      </c>
      <c r="E245" s="5">
        <v>0.99809999999999999</v>
      </c>
      <c r="F245" s="11">
        <v>0.94</v>
      </c>
      <c r="G245" s="86" t="s">
        <v>23</v>
      </c>
      <c r="H245" s="9" t="s">
        <v>98</v>
      </c>
      <c r="I245" s="1" t="s">
        <v>19</v>
      </c>
    </row>
    <row r="246" spans="1:9" ht="15">
      <c r="A246" s="49"/>
      <c r="B246" s="106" t="s">
        <v>225</v>
      </c>
      <c r="C246" s="66">
        <v>8.9999999999999998E-4</v>
      </c>
      <c r="D246" s="66">
        <v>8.9999999999999998E-4</v>
      </c>
      <c r="E246" s="66">
        <v>8.9999999999999998E-4</v>
      </c>
      <c r="F246" s="138" t="s">
        <v>187</v>
      </c>
      <c r="G246" s="139" t="s">
        <v>187</v>
      </c>
      <c r="H246" s="140" t="s">
        <v>187</v>
      </c>
      <c r="I246" s="146" t="s">
        <v>187</v>
      </c>
    </row>
    <row r="247" spans="1:9" ht="15">
      <c r="A247" s="18"/>
      <c r="B247" s="159" t="s">
        <v>187</v>
      </c>
      <c r="C247" s="159" t="s">
        <v>187</v>
      </c>
      <c r="D247" s="159" t="s">
        <v>187</v>
      </c>
      <c r="E247" s="160" t="s">
        <v>187</v>
      </c>
      <c r="F247" s="160" t="s">
        <v>187</v>
      </c>
      <c r="G247" s="160" t="s">
        <v>187</v>
      </c>
      <c r="H247" s="160" t="s">
        <v>187</v>
      </c>
      <c r="I247" s="169" t="s">
        <v>187</v>
      </c>
    </row>
    <row r="248" spans="1:9" ht="23.25">
      <c r="A248" s="51" t="s">
        <v>115</v>
      </c>
      <c r="B248" s="32" t="s">
        <v>116</v>
      </c>
      <c r="C248" s="36"/>
      <c r="D248" s="36"/>
      <c r="E248" s="33"/>
      <c r="F248" s="34"/>
      <c r="G248" s="90"/>
      <c r="H248" s="33"/>
      <c r="I248" s="39"/>
    </row>
    <row r="249" spans="1:9" ht="15.75">
      <c r="A249" s="50"/>
      <c r="B249" s="121" t="s">
        <v>0</v>
      </c>
      <c r="C249" s="125" t="s">
        <v>187</v>
      </c>
      <c r="D249" s="126" t="s">
        <v>188</v>
      </c>
      <c r="E249" s="120" t="s">
        <v>220</v>
      </c>
      <c r="F249" s="120" t="s">
        <v>198</v>
      </c>
      <c r="G249" s="124" t="s">
        <v>30</v>
      </c>
      <c r="H249" s="121" t="s">
        <v>20</v>
      </c>
      <c r="I249" s="121" t="s">
        <v>35</v>
      </c>
    </row>
    <row r="250" spans="1:9" ht="57">
      <c r="A250" s="50"/>
      <c r="B250" s="221" t="s">
        <v>138</v>
      </c>
      <c r="C250" s="127" t="s">
        <v>187</v>
      </c>
      <c r="D250" s="128" t="s">
        <v>187</v>
      </c>
      <c r="E250" s="63">
        <v>0.28160000000000002</v>
      </c>
      <c r="F250" s="5">
        <v>0.24</v>
      </c>
      <c r="G250" s="85" t="s">
        <v>4</v>
      </c>
      <c r="H250" s="7" t="s">
        <v>63</v>
      </c>
      <c r="I250" s="6" t="s">
        <v>218</v>
      </c>
    </row>
    <row r="251" spans="1:9">
      <c r="A251" s="50"/>
      <c r="B251" s="221" t="s">
        <v>2</v>
      </c>
      <c r="C251" s="129" t="s">
        <v>187</v>
      </c>
      <c r="D251" s="130" t="s">
        <v>187</v>
      </c>
      <c r="E251" s="64">
        <v>0.30370000000000003</v>
      </c>
      <c r="F251" s="3">
        <v>0.35</v>
      </c>
      <c r="G251" s="86" t="s">
        <v>3</v>
      </c>
      <c r="H251" s="4" t="s">
        <v>117</v>
      </c>
      <c r="I251" s="1" t="s">
        <v>14</v>
      </c>
    </row>
    <row r="252" spans="1:9">
      <c r="A252" s="50"/>
      <c r="B252" s="222" t="s">
        <v>137</v>
      </c>
      <c r="C252" s="127" t="s">
        <v>187</v>
      </c>
      <c r="D252" s="128" t="s">
        <v>187</v>
      </c>
      <c r="E252" s="64">
        <v>0.32650000000000001</v>
      </c>
      <c r="F252" s="3">
        <v>0.35</v>
      </c>
      <c r="G252" s="86" t="s">
        <v>4</v>
      </c>
      <c r="H252" s="4" t="s">
        <v>118</v>
      </c>
      <c r="I252" s="1" t="s">
        <v>15</v>
      </c>
    </row>
    <row r="253" spans="1:9" ht="28.5">
      <c r="A253" s="50"/>
      <c r="B253" s="226" t="s">
        <v>9</v>
      </c>
      <c r="C253" s="129" t="s">
        <v>187</v>
      </c>
      <c r="D253" s="130" t="s">
        <v>187</v>
      </c>
      <c r="E253" s="64">
        <v>6.8999999999999999E-3</v>
      </c>
      <c r="F253" s="3">
        <v>0.05</v>
      </c>
      <c r="G253" s="87" t="s">
        <v>3</v>
      </c>
      <c r="H253" s="9" t="s">
        <v>51</v>
      </c>
      <c r="I253" s="1" t="s">
        <v>16</v>
      </c>
    </row>
    <row r="254" spans="1:9">
      <c r="A254" s="50"/>
      <c r="B254" s="226" t="s">
        <v>10</v>
      </c>
      <c r="C254" s="129" t="s">
        <v>187</v>
      </c>
      <c r="D254" s="130" t="s">
        <v>187</v>
      </c>
      <c r="E254" s="64">
        <v>1.4E-2</v>
      </c>
      <c r="F254" s="3">
        <v>0.05</v>
      </c>
      <c r="G254" s="87" t="s">
        <v>3</v>
      </c>
      <c r="H254" s="9" t="s">
        <v>51</v>
      </c>
      <c r="I254" s="1" t="s">
        <v>17</v>
      </c>
    </row>
    <row r="255" spans="1:9">
      <c r="A255" s="50"/>
      <c r="B255" s="226" t="s">
        <v>11</v>
      </c>
      <c r="C255" s="129" t="s">
        <v>187</v>
      </c>
      <c r="D255" s="130" t="s">
        <v>187</v>
      </c>
      <c r="E255" s="64">
        <v>0</v>
      </c>
      <c r="F255" s="3">
        <v>0.05</v>
      </c>
      <c r="G255" s="87" t="s">
        <v>3</v>
      </c>
      <c r="H255" s="9" t="s">
        <v>51</v>
      </c>
      <c r="I255" s="1" t="s">
        <v>18</v>
      </c>
    </row>
    <row r="256" spans="1:9">
      <c r="A256" s="50"/>
      <c r="B256" s="226" t="s">
        <v>21</v>
      </c>
      <c r="C256" s="129" t="s">
        <v>187</v>
      </c>
      <c r="D256" s="130" t="s">
        <v>187</v>
      </c>
      <c r="E256" s="137">
        <v>0</v>
      </c>
      <c r="F256" s="113" t="s">
        <v>187</v>
      </c>
      <c r="G256" s="87" t="s">
        <v>3</v>
      </c>
      <c r="H256" s="132" t="s">
        <v>187</v>
      </c>
      <c r="I256" s="145" t="s">
        <v>187</v>
      </c>
    </row>
    <row r="257" spans="1:9" ht="15.75">
      <c r="A257" s="50"/>
      <c r="B257" s="226" t="s">
        <v>12</v>
      </c>
      <c r="C257" s="125" t="s">
        <v>187</v>
      </c>
      <c r="D257" s="126" t="s">
        <v>187</v>
      </c>
      <c r="E257" s="64">
        <v>0.10920000000000001</v>
      </c>
      <c r="F257" s="3">
        <v>0.15</v>
      </c>
      <c r="G257" s="86" t="s">
        <v>3</v>
      </c>
      <c r="H257" s="9" t="s">
        <v>52</v>
      </c>
      <c r="I257" s="9" t="s">
        <v>18</v>
      </c>
    </row>
    <row r="258" spans="1:9">
      <c r="A258" s="50"/>
      <c r="B258" s="221" t="s">
        <v>13</v>
      </c>
      <c r="C258" s="127" t="s">
        <v>187</v>
      </c>
      <c r="D258" s="128" t="s">
        <v>187</v>
      </c>
      <c r="E258" s="64">
        <v>1.1000000000000001E-3</v>
      </c>
      <c r="F258" s="3">
        <v>0.05</v>
      </c>
      <c r="G258" s="86" t="s">
        <v>3</v>
      </c>
      <c r="H258" s="10" t="s">
        <v>51</v>
      </c>
      <c r="I258" s="132" t="s">
        <v>187</v>
      </c>
    </row>
    <row r="259" spans="1:9" ht="15">
      <c r="A259" s="50"/>
      <c r="B259" s="223" t="s">
        <v>5</v>
      </c>
      <c r="C259" s="129" t="s">
        <v>187</v>
      </c>
      <c r="D259" s="130" t="s">
        <v>187</v>
      </c>
      <c r="E259" s="27">
        <f>SUBTOTAL(109,E250:E258)</f>
        <v>1.0430000000000001</v>
      </c>
      <c r="F259" s="27">
        <f>SUBTOTAL(109,F250:F258)</f>
        <v>1.29</v>
      </c>
      <c r="G259" s="117" t="s">
        <v>187</v>
      </c>
      <c r="H259" s="118" t="s">
        <v>187</v>
      </c>
      <c r="I259" s="112" t="s">
        <v>187</v>
      </c>
    </row>
    <row r="260" spans="1:9">
      <c r="A260" s="50"/>
      <c r="B260" s="221" t="s">
        <v>6</v>
      </c>
      <c r="C260" s="127" t="s">
        <v>187</v>
      </c>
      <c r="D260" s="128" t="s">
        <v>187</v>
      </c>
      <c r="E260" s="65">
        <v>0.14530000000000001</v>
      </c>
      <c r="F260" s="11">
        <v>0.15</v>
      </c>
      <c r="G260" s="86" t="s">
        <v>4</v>
      </c>
      <c r="H260" s="9" t="s">
        <v>119</v>
      </c>
      <c r="I260" s="1" t="s">
        <v>19</v>
      </c>
    </row>
    <row r="261" spans="1:9" ht="15">
      <c r="A261" s="50"/>
      <c r="B261" s="223" t="s">
        <v>225</v>
      </c>
      <c r="C261" s="134" t="s">
        <v>187</v>
      </c>
      <c r="D261" s="135" t="s">
        <v>187</v>
      </c>
      <c r="E261" s="66">
        <v>1.9E-3</v>
      </c>
      <c r="F261" s="111" t="s">
        <v>187</v>
      </c>
      <c r="G261" s="131" t="s">
        <v>187</v>
      </c>
      <c r="H261" s="131" t="s">
        <v>187</v>
      </c>
      <c r="I261" s="146" t="s">
        <v>187</v>
      </c>
    </row>
    <row r="262" spans="1:9" ht="15">
      <c r="A262" s="18"/>
      <c r="B262" s="15"/>
      <c r="C262" s="15"/>
      <c r="D262" s="15"/>
      <c r="E262" s="160" t="s">
        <v>243</v>
      </c>
      <c r="F262" s="160" t="s">
        <v>243</v>
      </c>
      <c r="G262" s="160" t="s">
        <v>243</v>
      </c>
      <c r="H262" s="160" t="s">
        <v>243</v>
      </c>
      <c r="I262" s="169" t="s">
        <v>243</v>
      </c>
    </row>
    <row r="263" spans="1:9" ht="23.25">
      <c r="A263" s="51" t="s">
        <v>115</v>
      </c>
      <c r="B263" s="32" t="s">
        <v>120</v>
      </c>
      <c r="C263" s="32"/>
      <c r="D263" s="32"/>
      <c r="E263" s="33"/>
      <c r="F263" s="34"/>
      <c r="G263" s="90"/>
      <c r="H263" s="33"/>
      <c r="I263" s="39"/>
    </row>
    <row r="264" spans="1:9" ht="15.75">
      <c r="A264" s="50"/>
      <c r="B264" s="224" t="s">
        <v>0</v>
      </c>
      <c r="C264" s="125" t="s">
        <v>187</v>
      </c>
      <c r="D264" s="107" t="s">
        <v>188</v>
      </c>
      <c r="E264" s="120" t="s">
        <v>220</v>
      </c>
      <c r="F264" s="120" t="s">
        <v>198</v>
      </c>
      <c r="G264" s="124" t="s">
        <v>30</v>
      </c>
      <c r="H264" s="121" t="s">
        <v>20</v>
      </c>
      <c r="I264" s="121" t="s">
        <v>35</v>
      </c>
    </row>
    <row r="265" spans="1:9" ht="28.5">
      <c r="A265" s="50"/>
      <c r="B265" s="221" t="s">
        <v>138</v>
      </c>
      <c r="C265" s="127" t="s">
        <v>187</v>
      </c>
      <c r="D265" s="108" t="s">
        <v>188</v>
      </c>
      <c r="E265" s="5" t="s">
        <v>236</v>
      </c>
      <c r="F265" s="5" t="s">
        <v>237</v>
      </c>
      <c r="G265" s="85" t="s">
        <v>4</v>
      </c>
      <c r="H265" s="7" t="s">
        <v>66</v>
      </c>
      <c r="I265" s="6" t="s">
        <v>227</v>
      </c>
    </row>
    <row r="266" spans="1:9">
      <c r="A266" s="50"/>
      <c r="B266" s="221" t="s">
        <v>2</v>
      </c>
      <c r="C266" s="129" t="s">
        <v>187</v>
      </c>
      <c r="D266" s="109" t="s">
        <v>187</v>
      </c>
      <c r="E266" s="3">
        <v>0.26590000000000003</v>
      </c>
      <c r="F266" s="3">
        <v>0.3</v>
      </c>
      <c r="G266" s="86" t="s">
        <v>3</v>
      </c>
      <c r="H266" s="4" t="s">
        <v>60</v>
      </c>
      <c r="I266" s="1" t="s">
        <v>14</v>
      </c>
    </row>
    <row r="267" spans="1:9">
      <c r="A267" s="50"/>
      <c r="B267" s="222" t="s">
        <v>137</v>
      </c>
      <c r="C267" s="127" t="s">
        <v>187</v>
      </c>
      <c r="D267" s="108" t="s">
        <v>187</v>
      </c>
      <c r="E267" s="3">
        <v>0.27239999999999998</v>
      </c>
      <c r="F267" s="3">
        <v>0.25</v>
      </c>
      <c r="G267" s="86" t="s">
        <v>4</v>
      </c>
      <c r="H267" s="4" t="s">
        <v>57</v>
      </c>
      <c r="I267" s="1" t="s">
        <v>15</v>
      </c>
    </row>
    <row r="268" spans="1:9" ht="28.5">
      <c r="A268" s="50"/>
      <c r="B268" s="226" t="s">
        <v>9</v>
      </c>
      <c r="C268" s="129" t="s">
        <v>187</v>
      </c>
      <c r="D268" s="109" t="s">
        <v>187</v>
      </c>
      <c r="E268" s="3">
        <v>1.6999999999999999E-3</v>
      </c>
      <c r="F268" s="3">
        <v>0.05</v>
      </c>
      <c r="G268" s="87" t="s">
        <v>3</v>
      </c>
      <c r="H268" s="9" t="s">
        <v>51</v>
      </c>
      <c r="I268" s="1" t="s">
        <v>16</v>
      </c>
    </row>
    <row r="269" spans="1:9">
      <c r="A269" s="50"/>
      <c r="B269" s="226" t="s">
        <v>10</v>
      </c>
      <c r="C269" s="129" t="s">
        <v>187</v>
      </c>
      <c r="D269" s="109" t="s">
        <v>187</v>
      </c>
      <c r="E269" s="3">
        <v>4.4999999999999997E-3</v>
      </c>
      <c r="F269" s="3">
        <v>0.05</v>
      </c>
      <c r="G269" s="87" t="s">
        <v>3</v>
      </c>
      <c r="H269" s="9" t="s">
        <v>51</v>
      </c>
      <c r="I269" s="1" t="s">
        <v>17</v>
      </c>
    </row>
    <row r="270" spans="1:9">
      <c r="A270" s="50"/>
      <c r="B270" s="226" t="s">
        <v>11</v>
      </c>
      <c r="C270" s="129" t="s">
        <v>187</v>
      </c>
      <c r="D270" s="109" t="s">
        <v>187</v>
      </c>
      <c r="E270" s="113">
        <v>0</v>
      </c>
      <c r="F270" s="3">
        <v>0.05</v>
      </c>
      <c r="G270" s="87" t="s">
        <v>3</v>
      </c>
      <c r="H270" s="9" t="s">
        <v>51</v>
      </c>
      <c r="I270" s="1" t="s">
        <v>18</v>
      </c>
    </row>
    <row r="271" spans="1:9">
      <c r="A271" s="50"/>
      <c r="B271" s="226" t="s">
        <v>21</v>
      </c>
      <c r="C271" s="129" t="s">
        <v>187</v>
      </c>
      <c r="D271" s="109" t="s">
        <v>187</v>
      </c>
      <c r="E271" s="113">
        <v>0</v>
      </c>
      <c r="F271" s="113" t="s">
        <v>187</v>
      </c>
      <c r="G271" s="87" t="s">
        <v>3</v>
      </c>
      <c r="H271" s="132" t="s">
        <v>243</v>
      </c>
      <c r="I271" s="145" t="s">
        <v>187</v>
      </c>
    </row>
    <row r="272" spans="1:9" ht="15.75">
      <c r="A272" s="50"/>
      <c r="B272" s="226" t="s">
        <v>12</v>
      </c>
      <c r="C272" s="125" t="s">
        <v>187</v>
      </c>
      <c r="D272" s="107" t="s">
        <v>187</v>
      </c>
      <c r="E272" s="3">
        <v>0.1081</v>
      </c>
      <c r="F272" s="3">
        <v>0.15</v>
      </c>
      <c r="G272" s="86" t="s">
        <v>3</v>
      </c>
      <c r="H272" s="9" t="s">
        <v>52</v>
      </c>
      <c r="I272" s="9" t="s">
        <v>18</v>
      </c>
    </row>
    <row r="273" spans="1:9">
      <c r="A273" s="50"/>
      <c r="B273" s="221" t="s">
        <v>13</v>
      </c>
      <c r="C273" s="127" t="s">
        <v>187</v>
      </c>
      <c r="D273" s="108" t="s">
        <v>187</v>
      </c>
      <c r="E273" s="3">
        <v>0</v>
      </c>
      <c r="F273" s="3">
        <v>0.05</v>
      </c>
      <c r="G273" s="86" t="s">
        <v>3</v>
      </c>
      <c r="H273" s="10" t="s">
        <v>51</v>
      </c>
      <c r="I273" s="132" t="s">
        <v>187</v>
      </c>
    </row>
    <row r="274" spans="1:9" ht="15">
      <c r="A274" s="50"/>
      <c r="B274" s="223" t="s">
        <v>5</v>
      </c>
      <c r="C274" s="129" t="s">
        <v>187</v>
      </c>
      <c r="D274" s="109" t="s">
        <v>187</v>
      </c>
      <c r="E274" s="27">
        <f>SUBTOTAL(109,E265:E273)</f>
        <v>0.65259999999999996</v>
      </c>
      <c r="F274" s="27">
        <f>SUBTOTAL(109,F265:F273)</f>
        <v>0.90000000000000024</v>
      </c>
      <c r="G274" s="117" t="s">
        <v>187</v>
      </c>
      <c r="H274" s="118" t="s">
        <v>243</v>
      </c>
      <c r="I274" s="112" t="s">
        <v>187</v>
      </c>
    </row>
    <row r="275" spans="1:9">
      <c r="A275" s="50"/>
      <c r="B275" s="221" t="s">
        <v>6</v>
      </c>
      <c r="C275" s="127" t="s">
        <v>187</v>
      </c>
      <c r="D275" s="108" t="s">
        <v>187</v>
      </c>
      <c r="E275" s="11">
        <v>0.2248</v>
      </c>
      <c r="F275" s="3">
        <v>0.2</v>
      </c>
      <c r="G275" s="87" t="s">
        <v>4</v>
      </c>
      <c r="H275" s="9" t="s">
        <v>64</v>
      </c>
      <c r="I275" s="1" t="s">
        <v>19</v>
      </c>
    </row>
    <row r="276" spans="1:9" ht="15">
      <c r="A276" s="50"/>
      <c r="B276" s="223" t="s">
        <v>225</v>
      </c>
      <c r="C276" s="134" t="s">
        <v>187</v>
      </c>
      <c r="D276" s="228" t="s">
        <v>187</v>
      </c>
      <c r="E276" s="12">
        <v>1.9E-3</v>
      </c>
      <c r="F276" s="111" t="s">
        <v>187</v>
      </c>
      <c r="G276" s="131" t="s">
        <v>187</v>
      </c>
      <c r="H276" s="131" t="s">
        <v>187</v>
      </c>
      <c r="I276" s="146" t="s">
        <v>187</v>
      </c>
    </row>
    <row r="277" spans="1:9" ht="15">
      <c r="A277" s="18"/>
      <c r="B277" s="15"/>
      <c r="C277" s="15"/>
      <c r="D277" s="15"/>
      <c r="E277" s="17"/>
      <c r="F277" s="16"/>
      <c r="G277" s="88"/>
      <c r="H277" s="17"/>
      <c r="I277" s="167"/>
    </row>
    <row r="278" spans="1:9" ht="23.25">
      <c r="A278" s="51" t="s">
        <v>115</v>
      </c>
      <c r="B278" s="32" t="s">
        <v>121</v>
      </c>
      <c r="C278" s="32"/>
      <c r="D278" s="32"/>
      <c r="E278" s="33"/>
      <c r="F278" s="34"/>
      <c r="G278" s="90"/>
      <c r="H278" s="33"/>
      <c r="I278" s="39"/>
    </row>
    <row r="279" spans="1:9" ht="15.75">
      <c r="A279" s="50"/>
      <c r="B279" s="229" t="s">
        <v>0</v>
      </c>
      <c r="C279" s="125" t="s">
        <v>187</v>
      </c>
      <c r="D279" s="107" t="s">
        <v>188</v>
      </c>
      <c r="E279" s="120" t="s">
        <v>220</v>
      </c>
      <c r="F279" s="120" t="s">
        <v>198</v>
      </c>
      <c r="G279" s="124" t="s">
        <v>30</v>
      </c>
      <c r="H279" s="121" t="s">
        <v>20</v>
      </c>
      <c r="I279" s="121" t="s">
        <v>35</v>
      </c>
    </row>
    <row r="280" spans="1:9" ht="28.5">
      <c r="A280" s="50"/>
      <c r="B280" s="221" t="s">
        <v>138</v>
      </c>
      <c r="C280" s="127" t="s">
        <v>187</v>
      </c>
      <c r="D280" s="108" t="s">
        <v>187</v>
      </c>
      <c r="E280" s="5">
        <v>0.97670000000000001</v>
      </c>
      <c r="F280" s="5">
        <v>0.95</v>
      </c>
      <c r="G280" s="85" t="s">
        <v>4</v>
      </c>
      <c r="H280" s="7" t="s">
        <v>122</v>
      </c>
      <c r="I280" s="6" t="s">
        <v>227</v>
      </c>
    </row>
    <row r="281" spans="1:9">
      <c r="A281" s="50"/>
      <c r="B281" s="221" t="s">
        <v>2</v>
      </c>
      <c r="C281" s="129" t="s">
        <v>187</v>
      </c>
      <c r="D281" s="109" t="s">
        <v>187</v>
      </c>
      <c r="E281" s="3">
        <v>0.27710000000000001</v>
      </c>
      <c r="F281" s="3">
        <v>0.3</v>
      </c>
      <c r="G281" s="86" t="s">
        <v>3</v>
      </c>
      <c r="H281" s="4" t="s">
        <v>60</v>
      </c>
      <c r="I281" s="1" t="s">
        <v>14</v>
      </c>
    </row>
    <row r="282" spans="1:9">
      <c r="A282" s="50"/>
      <c r="B282" s="222" t="s">
        <v>137</v>
      </c>
      <c r="C282" s="127" t="s">
        <v>187</v>
      </c>
      <c r="D282" s="108" t="s">
        <v>187</v>
      </c>
      <c r="E282" s="3">
        <v>3.0599999999999999E-2</v>
      </c>
      <c r="F282" s="3">
        <v>0.06</v>
      </c>
      <c r="G282" s="86" t="s">
        <v>4</v>
      </c>
      <c r="H282" s="4" t="s">
        <v>58</v>
      </c>
      <c r="I282" s="1" t="s">
        <v>15</v>
      </c>
    </row>
    <row r="283" spans="1:9" ht="28.5">
      <c r="A283" s="50"/>
      <c r="B283" s="226" t="s">
        <v>9</v>
      </c>
      <c r="C283" s="129" t="s">
        <v>187</v>
      </c>
      <c r="D283" s="109" t="s">
        <v>187</v>
      </c>
      <c r="E283" s="3">
        <v>2.2200000000000001E-2</v>
      </c>
      <c r="F283" s="3">
        <v>0.05</v>
      </c>
      <c r="G283" s="87" t="s">
        <v>3</v>
      </c>
      <c r="H283" s="9" t="s">
        <v>51</v>
      </c>
      <c r="I283" s="1" t="s">
        <v>16</v>
      </c>
    </row>
    <row r="284" spans="1:9">
      <c r="A284" s="50"/>
      <c r="B284" s="226" t="s">
        <v>10</v>
      </c>
      <c r="C284" s="129" t="s">
        <v>187</v>
      </c>
      <c r="D284" s="109" t="s">
        <v>187</v>
      </c>
      <c r="E284" s="3">
        <v>2.3E-3</v>
      </c>
      <c r="F284" s="3">
        <v>0.05</v>
      </c>
      <c r="G284" s="87" t="s">
        <v>3</v>
      </c>
      <c r="H284" s="9" t="s">
        <v>51</v>
      </c>
      <c r="I284" s="1" t="s">
        <v>17</v>
      </c>
    </row>
    <row r="285" spans="1:9">
      <c r="A285" s="50"/>
      <c r="B285" s="226" t="s">
        <v>11</v>
      </c>
      <c r="C285" s="129" t="s">
        <v>187</v>
      </c>
      <c r="D285" s="109" t="s">
        <v>187</v>
      </c>
      <c r="E285" s="3">
        <v>0</v>
      </c>
      <c r="F285" s="3">
        <v>0.05</v>
      </c>
      <c r="G285" s="87" t="s">
        <v>3</v>
      </c>
      <c r="H285" s="9" t="s">
        <v>51</v>
      </c>
      <c r="I285" s="1" t="s">
        <v>18</v>
      </c>
    </row>
    <row r="286" spans="1:9">
      <c r="A286" s="50"/>
      <c r="B286" s="226" t="s">
        <v>21</v>
      </c>
      <c r="C286" s="129" t="s">
        <v>187</v>
      </c>
      <c r="D286" s="109" t="s">
        <v>187</v>
      </c>
      <c r="E286" s="3">
        <v>0</v>
      </c>
      <c r="F286" s="3">
        <v>0.05</v>
      </c>
      <c r="G286" s="87" t="s">
        <v>3</v>
      </c>
      <c r="H286" s="9" t="s">
        <v>51</v>
      </c>
      <c r="I286" s="1" t="s">
        <v>18</v>
      </c>
    </row>
    <row r="287" spans="1:9" ht="15.75">
      <c r="A287" s="50"/>
      <c r="B287" s="221" t="s">
        <v>12</v>
      </c>
      <c r="C287" s="125" t="s">
        <v>187</v>
      </c>
      <c r="D287" s="107" t="s">
        <v>187</v>
      </c>
      <c r="E287" s="3">
        <v>0.15720000000000001</v>
      </c>
      <c r="F287" s="3">
        <v>0.12</v>
      </c>
      <c r="G287" s="86" t="s">
        <v>3</v>
      </c>
      <c r="H287" s="9" t="s">
        <v>56</v>
      </c>
      <c r="I287" s="9" t="s">
        <v>18</v>
      </c>
    </row>
    <row r="288" spans="1:9">
      <c r="A288" s="50"/>
      <c r="B288" s="221" t="s">
        <v>13</v>
      </c>
      <c r="C288" s="127" t="s">
        <v>187</v>
      </c>
      <c r="D288" s="108" t="s">
        <v>187</v>
      </c>
      <c r="E288" s="3">
        <v>2E-3</v>
      </c>
      <c r="F288" s="3">
        <v>0.05</v>
      </c>
      <c r="G288" s="86" t="s">
        <v>3</v>
      </c>
      <c r="H288" s="10" t="s">
        <v>51</v>
      </c>
      <c r="I288" s="132" t="s">
        <v>187</v>
      </c>
    </row>
    <row r="289" spans="1:9" ht="15">
      <c r="A289" s="50"/>
      <c r="B289" s="223" t="s">
        <v>5</v>
      </c>
      <c r="C289" s="129" t="s">
        <v>187</v>
      </c>
      <c r="D289" s="109" t="s">
        <v>187</v>
      </c>
      <c r="E289" s="99">
        <f>SUBTOTAL(109,E280:E288)</f>
        <v>1.4681</v>
      </c>
      <c r="F289" s="99">
        <f>SUBTOTAL(109,F280:F288)</f>
        <v>1.6800000000000004</v>
      </c>
      <c r="G289" s="117" t="s">
        <v>187</v>
      </c>
      <c r="H289" s="118" t="s">
        <v>187</v>
      </c>
      <c r="I289" s="112" t="s">
        <v>187</v>
      </c>
    </row>
    <row r="290" spans="1:9">
      <c r="A290" s="50"/>
      <c r="B290" s="221" t="s">
        <v>6</v>
      </c>
      <c r="C290" s="127" t="s">
        <v>187</v>
      </c>
      <c r="D290" s="108" t="s">
        <v>187</v>
      </c>
      <c r="E290" s="11">
        <v>0.2243</v>
      </c>
      <c r="F290" s="3">
        <v>0.22</v>
      </c>
      <c r="G290" s="87" t="s">
        <v>4</v>
      </c>
      <c r="H290" s="9" t="s">
        <v>53</v>
      </c>
      <c r="I290" s="1" t="s">
        <v>19</v>
      </c>
    </row>
    <row r="291" spans="1:9" ht="15">
      <c r="A291" s="50"/>
      <c r="B291" s="223" t="s">
        <v>225</v>
      </c>
      <c r="C291" s="134" t="s">
        <v>187</v>
      </c>
      <c r="D291" s="228" t="s">
        <v>187</v>
      </c>
      <c r="E291" s="12">
        <v>1.9E-3</v>
      </c>
      <c r="F291" s="111" t="s">
        <v>187</v>
      </c>
      <c r="G291" s="131" t="s">
        <v>187</v>
      </c>
      <c r="H291" s="131" t="s">
        <v>187</v>
      </c>
      <c r="I291" s="146" t="s">
        <v>187</v>
      </c>
    </row>
    <row r="292" spans="1:9" ht="15">
      <c r="A292" s="18"/>
      <c r="B292" s="15"/>
      <c r="C292" s="15"/>
      <c r="D292" s="15"/>
      <c r="E292" s="17"/>
      <c r="F292" s="16"/>
      <c r="G292" s="88"/>
      <c r="H292" s="17"/>
      <c r="I292" s="167"/>
    </row>
    <row r="293" spans="1:9" ht="23.25">
      <c r="A293" s="51" t="s">
        <v>115</v>
      </c>
      <c r="B293" s="32" t="s">
        <v>123</v>
      </c>
      <c r="C293" s="32"/>
      <c r="D293" s="32"/>
      <c r="E293" s="33"/>
      <c r="F293" s="34"/>
      <c r="G293" s="90"/>
      <c r="H293" s="33"/>
      <c r="I293" s="39"/>
    </row>
    <row r="294" spans="1:9" ht="15.75">
      <c r="A294" s="50"/>
      <c r="B294" s="224" t="s">
        <v>0</v>
      </c>
      <c r="C294" s="125" t="s">
        <v>187</v>
      </c>
      <c r="D294" s="107" t="s">
        <v>188</v>
      </c>
      <c r="E294" s="120" t="s">
        <v>220</v>
      </c>
      <c r="F294" s="120" t="s">
        <v>198</v>
      </c>
      <c r="G294" s="124" t="s">
        <v>30</v>
      </c>
      <c r="H294" s="121" t="s">
        <v>20</v>
      </c>
      <c r="I294" s="121" t="s">
        <v>35</v>
      </c>
    </row>
    <row r="295" spans="1:9" ht="28.5">
      <c r="A295" s="50"/>
      <c r="B295" s="221" t="s">
        <v>138</v>
      </c>
      <c r="C295" s="127" t="s">
        <v>187</v>
      </c>
      <c r="D295" s="108" t="s">
        <v>188</v>
      </c>
      <c r="E295" s="5">
        <v>0.96450000000000002</v>
      </c>
      <c r="F295" s="5">
        <v>0.94</v>
      </c>
      <c r="G295" s="86" t="s">
        <v>4</v>
      </c>
      <c r="H295" s="7" t="s">
        <v>98</v>
      </c>
      <c r="I295" s="6" t="s">
        <v>227</v>
      </c>
    </row>
    <row r="296" spans="1:9">
      <c r="A296" s="50"/>
      <c r="B296" s="221" t="s">
        <v>2</v>
      </c>
      <c r="C296" s="129" t="s">
        <v>187</v>
      </c>
      <c r="D296" s="109" t="s">
        <v>187</v>
      </c>
      <c r="E296" s="3">
        <v>0.2339</v>
      </c>
      <c r="F296" s="3">
        <v>0.25</v>
      </c>
      <c r="G296" s="86" t="s">
        <v>3</v>
      </c>
      <c r="H296" s="4" t="s">
        <v>54</v>
      </c>
      <c r="I296" s="1" t="s">
        <v>14</v>
      </c>
    </row>
    <row r="297" spans="1:9">
      <c r="A297" s="50"/>
      <c r="B297" s="222" t="s">
        <v>137</v>
      </c>
      <c r="C297" s="127" t="s">
        <v>187</v>
      </c>
      <c r="D297" s="108" t="s">
        <v>187</v>
      </c>
      <c r="E297" s="3">
        <v>9.3100000000000002E-2</v>
      </c>
      <c r="F297" s="3">
        <v>0.06</v>
      </c>
      <c r="G297" s="86" t="s">
        <v>4</v>
      </c>
      <c r="H297" s="3" t="s">
        <v>58</v>
      </c>
      <c r="I297" s="1" t="s">
        <v>15</v>
      </c>
    </row>
    <row r="298" spans="1:9">
      <c r="A298" s="50"/>
      <c r="B298" s="221" t="s">
        <v>12</v>
      </c>
      <c r="C298" s="129" t="s">
        <v>187</v>
      </c>
      <c r="D298" s="109" t="s">
        <v>187</v>
      </c>
      <c r="E298" s="3">
        <v>0.1628</v>
      </c>
      <c r="F298" s="3">
        <v>0.15</v>
      </c>
      <c r="G298" s="86" t="s">
        <v>3</v>
      </c>
      <c r="H298" s="9" t="s">
        <v>52</v>
      </c>
      <c r="I298" s="9" t="s">
        <v>18</v>
      </c>
    </row>
    <row r="299" spans="1:9" ht="15">
      <c r="A299" s="50"/>
      <c r="B299" s="223" t="s">
        <v>5</v>
      </c>
      <c r="C299" s="129" t="s">
        <v>187</v>
      </c>
      <c r="D299" s="109" t="s">
        <v>187</v>
      </c>
      <c r="E299" s="27">
        <f>SUBTOTAL(109,E295:E298)</f>
        <v>1.4542999999999999</v>
      </c>
      <c r="F299" s="27">
        <f>SUBTOTAL(109,F295:F298)</f>
        <v>1.4</v>
      </c>
      <c r="G299" s="117" t="s">
        <v>187</v>
      </c>
      <c r="H299" s="118" t="s">
        <v>243</v>
      </c>
      <c r="I299" s="112" t="s">
        <v>187</v>
      </c>
    </row>
    <row r="300" spans="1:9">
      <c r="A300" s="50"/>
      <c r="B300" s="221" t="s">
        <v>6</v>
      </c>
      <c r="C300" s="129" t="s">
        <v>187</v>
      </c>
      <c r="D300" s="109" t="s">
        <v>187</v>
      </c>
      <c r="E300" s="11">
        <v>0.27339999999999998</v>
      </c>
      <c r="F300" s="11">
        <v>0.24</v>
      </c>
      <c r="G300" s="86" t="s">
        <v>4</v>
      </c>
      <c r="H300" s="9" t="s">
        <v>63</v>
      </c>
      <c r="I300" s="1" t="s">
        <v>19</v>
      </c>
    </row>
    <row r="301" spans="1:9" ht="15">
      <c r="A301" s="50"/>
      <c r="B301" s="223" t="s">
        <v>225</v>
      </c>
      <c r="C301" s="129" t="s">
        <v>187</v>
      </c>
      <c r="D301" s="109" t="s">
        <v>187</v>
      </c>
      <c r="E301" s="12">
        <v>1.5E-3</v>
      </c>
      <c r="F301" s="111" t="s">
        <v>187</v>
      </c>
      <c r="G301" s="131" t="s">
        <v>187</v>
      </c>
      <c r="H301" s="131" t="s">
        <v>187</v>
      </c>
      <c r="I301" s="146" t="s">
        <v>187</v>
      </c>
    </row>
    <row r="302" spans="1:9" ht="15">
      <c r="A302" s="18"/>
      <c r="B302" s="15"/>
      <c r="C302" s="15"/>
      <c r="D302" s="15"/>
      <c r="E302" s="17"/>
      <c r="F302" s="16"/>
      <c r="G302" s="88"/>
      <c r="H302" s="17"/>
      <c r="I302" s="167"/>
    </row>
    <row r="303" spans="1:9" ht="23.25">
      <c r="A303" s="51" t="s">
        <v>115</v>
      </c>
      <c r="B303" s="32" t="s">
        <v>124</v>
      </c>
      <c r="C303" s="32"/>
      <c r="D303" s="32"/>
      <c r="E303" s="33"/>
      <c r="F303" s="34"/>
      <c r="G303" s="90"/>
      <c r="H303" s="33"/>
      <c r="I303" s="39"/>
    </row>
    <row r="304" spans="1:9" ht="15.75">
      <c r="A304" s="50"/>
      <c r="B304" s="224" t="s">
        <v>0</v>
      </c>
      <c r="C304" s="125" t="s">
        <v>187</v>
      </c>
      <c r="D304" s="107" t="s">
        <v>188</v>
      </c>
      <c r="E304" s="120" t="s">
        <v>220</v>
      </c>
      <c r="F304" s="120" t="s">
        <v>198</v>
      </c>
      <c r="G304" s="124" t="s">
        <v>30</v>
      </c>
      <c r="H304" s="121" t="s">
        <v>20</v>
      </c>
      <c r="I304" s="121" t="s">
        <v>35</v>
      </c>
    </row>
    <row r="305" spans="1:9">
      <c r="A305" s="50"/>
      <c r="B305" s="221" t="s">
        <v>138</v>
      </c>
      <c r="C305" s="127" t="s">
        <v>187</v>
      </c>
      <c r="D305" s="108" t="s">
        <v>188</v>
      </c>
      <c r="E305" s="5" t="s">
        <v>231</v>
      </c>
      <c r="F305" s="5" t="s">
        <v>232</v>
      </c>
      <c r="G305" s="85" t="s">
        <v>4</v>
      </c>
      <c r="H305" s="7" t="s">
        <v>64</v>
      </c>
      <c r="I305" s="52" t="s">
        <v>25</v>
      </c>
    </row>
    <row r="306" spans="1:9">
      <c r="A306" s="50"/>
      <c r="B306" s="221" t="s">
        <v>2</v>
      </c>
      <c r="C306" s="129" t="s">
        <v>187</v>
      </c>
      <c r="D306" s="109" t="s">
        <v>187</v>
      </c>
      <c r="E306" s="3">
        <v>0.23200000000000001</v>
      </c>
      <c r="F306" s="3">
        <v>0.25</v>
      </c>
      <c r="G306" s="86" t="s">
        <v>3</v>
      </c>
      <c r="H306" s="4" t="s">
        <v>54</v>
      </c>
      <c r="I306" s="1" t="s">
        <v>26</v>
      </c>
    </row>
    <row r="307" spans="1:9">
      <c r="A307" s="50"/>
      <c r="B307" s="222" t="s">
        <v>137</v>
      </c>
      <c r="C307" s="127" t="s">
        <v>187</v>
      </c>
      <c r="D307" s="108" t="s">
        <v>187</v>
      </c>
      <c r="E307" s="3">
        <v>0.28149999999999997</v>
      </c>
      <c r="F307" s="3">
        <v>0.34</v>
      </c>
      <c r="G307" s="86" t="s">
        <v>4</v>
      </c>
      <c r="H307" s="4" t="s">
        <v>125</v>
      </c>
      <c r="I307" s="1" t="s">
        <v>26</v>
      </c>
    </row>
    <row r="308" spans="1:9">
      <c r="A308" s="50"/>
      <c r="B308" s="221" t="s">
        <v>12</v>
      </c>
      <c r="C308" s="129" t="s">
        <v>187</v>
      </c>
      <c r="D308" s="109" t="s">
        <v>187</v>
      </c>
      <c r="E308" s="3">
        <v>0.23449999999999999</v>
      </c>
      <c r="F308" s="3">
        <v>0.21</v>
      </c>
      <c r="G308" s="86" t="s">
        <v>3</v>
      </c>
      <c r="H308" s="9" t="s">
        <v>126</v>
      </c>
      <c r="I308" s="9" t="s">
        <v>18</v>
      </c>
    </row>
    <row r="309" spans="1:9" ht="15">
      <c r="A309" s="50"/>
      <c r="B309" s="223" t="s">
        <v>5</v>
      </c>
      <c r="C309" s="129" t="s">
        <v>187</v>
      </c>
      <c r="D309" s="109" t="s">
        <v>187</v>
      </c>
      <c r="E309" s="27">
        <f>SUBTOTAL(109,E305:E308)</f>
        <v>0.748</v>
      </c>
      <c r="F309" s="27">
        <f>SUBTOTAL(109,F305:F308)</f>
        <v>0.8</v>
      </c>
      <c r="G309" s="117" t="s">
        <v>187</v>
      </c>
      <c r="H309" s="118" t="s">
        <v>243</v>
      </c>
      <c r="I309" s="112" t="s">
        <v>187</v>
      </c>
    </row>
    <row r="310" spans="1:9">
      <c r="A310" s="50"/>
      <c r="B310" s="221" t="s">
        <v>6</v>
      </c>
      <c r="C310" s="129" t="s">
        <v>187</v>
      </c>
      <c r="D310" s="109" t="s">
        <v>187</v>
      </c>
      <c r="E310" s="11">
        <v>0.83679999999999999</v>
      </c>
      <c r="F310" s="11">
        <v>0.81</v>
      </c>
      <c r="G310" s="86" t="s">
        <v>4</v>
      </c>
      <c r="H310" s="9" t="s">
        <v>127</v>
      </c>
      <c r="I310" s="1" t="s">
        <v>19</v>
      </c>
    </row>
    <row r="311" spans="1:9" ht="15">
      <c r="A311" s="50"/>
      <c r="B311" s="223" t="s">
        <v>225</v>
      </c>
      <c r="C311" s="129" t="s">
        <v>187</v>
      </c>
      <c r="D311" s="109" t="s">
        <v>187</v>
      </c>
      <c r="E311" s="12">
        <v>3.0000000000000001E-3</v>
      </c>
      <c r="F311" s="111" t="s">
        <v>187</v>
      </c>
      <c r="G311" s="131" t="s">
        <v>187</v>
      </c>
      <c r="H311" s="131" t="s">
        <v>187</v>
      </c>
      <c r="I311" s="146" t="s">
        <v>187</v>
      </c>
    </row>
    <row r="312" spans="1:9" ht="15">
      <c r="A312" s="18"/>
      <c r="B312" s="15"/>
      <c r="C312" s="15"/>
      <c r="D312" s="15"/>
      <c r="E312" s="17"/>
      <c r="F312" s="16"/>
      <c r="G312" s="88"/>
      <c r="H312" s="17"/>
      <c r="I312" s="167"/>
    </row>
    <row r="313" spans="1:9" ht="23.25">
      <c r="A313" s="240"/>
      <c r="B313" s="36" t="s">
        <v>255</v>
      </c>
      <c r="C313" s="36"/>
      <c r="D313" s="36"/>
      <c r="E313" s="37"/>
      <c r="F313" s="38"/>
      <c r="G313" s="91"/>
      <c r="H313" s="37"/>
      <c r="I313" s="39"/>
    </row>
    <row r="314" spans="1:9" ht="23.25">
      <c r="A314" s="240"/>
      <c r="B314" s="41" t="s">
        <v>256</v>
      </c>
      <c r="C314" s="41"/>
      <c r="D314" s="41"/>
      <c r="E314" s="37"/>
      <c r="F314" s="38"/>
      <c r="G314" s="91"/>
      <c r="H314" s="37"/>
      <c r="I314" s="39"/>
    </row>
    <row r="315" spans="1:9" ht="23.25">
      <c r="A315" s="240"/>
      <c r="B315" s="41" t="s">
        <v>257</v>
      </c>
      <c r="C315" s="41"/>
      <c r="D315" s="41"/>
      <c r="E315" s="37"/>
      <c r="F315" s="38"/>
      <c r="G315" s="91"/>
      <c r="H315" s="37"/>
      <c r="I315" s="39"/>
    </row>
    <row r="316" spans="1:9" ht="15.75">
      <c r="A316" s="240"/>
      <c r="B316" s="224" t="s">
        <v>0</v>
      </c>
      <c r="C316" s="125" t="s">
        <v>187</v>
      </c>
      <c r="D316" s="107" t="s">
        <v>188</v>
      </c>
      <c r="E316" s="120" t="s">
        <v>220</v>
      </c>
      <c r="F316" s="133" t="s">
        <v>198</v>
      </c>
      <c r="G316" s="124" t="s">
        <v>30</v>
      </c>
      <c r="H316" s="121" t="s">
        <v>20</v>
      </c>
      <c r="I316" s="122" t="s">
        <v>35</v>
      </c>
    </row>
    <row r="317" spans="1:9">
      <c r="A317" s="240"/>
      <c r="B317" s="221" t="s">
        <v>138</v>
      </c>
      <c r="C317" s="127" t="s">
        <v>187</v>
      </c>
      <c r="D317" s="108" t="s">
        <v>188</v>
      </c>
      <c r="E317" s="243">
        <v>0</v>
      </c>
      <c r="F317" s="63">
        <v>0.99</v>
      </c>
      <c r="G317" s="85" t="s">
        <v>4</v>
      </c>
      <c r="H317" s="7" t="s">
        <v>250</v>
      </c>
      <c r="I317" s="266" t="s">
        <v>249</v>
      </c>
    </row>
    <row r="318" spans="1:9">
      <c r="A318" s="240"/>
      <c r="B318" s="221" t="s">
        <v>2</v>
      </c>
      <c r="C318" s="129" t="s">
        <v>187</v>
      </c>
      <c r="D318" s="109" t="s">
        <v>187</v>
      </c>
      <c r="E318" s="243">
        <v>0</v>
      </c>
      <c r="F318" s="64">
        <v>0.3</v>
      </c>
      <c r="G318" s="86" t="s">
        <v>3</v>
      </c>
      <c r="H318" s="4" t="s">
        <v>251</v>
      </c>
      <c r="I318" s="114" t="s">
        <v>14</v>
      </c>
    </row>
    <row r="319" spans="1:9">
      <c r="A319" s="240"/>
      <c r="B319" s="222" t="s">
        <v>137</v>
      </c>
      <c r="C319" s="127" t="s">
        <v>187</v>
      </c>
      <c r="D319" s="108" t="s">
        <v>187</v>
      </c>
      <c r="E319" s="243">
        <v>0</v>
      </c>
      <c r="F319" s="64">
        <v>0.06</v>
      </c>
      <c r="G319" s="85" t="s">
        <v>4</v>
      </c>
      <c r="H319" s="4" t="s">
        <v>252</v>
      </c>
      <c r="I319" s="114" t="s">
        <v>15</v>
      </c>
    </row>
    <row r="320" spans="1:9">
      <c r="A320" s="240"/>
      <c r="B320" s="226" t="s">
        <v>10</v>
      </c>
      <c r="C320" s="129" t="s">
        <v>187</v>
      </c>
      <c r="D320" s="109" t="s">
        <v>187</v>
      </c>
      <c r="E320" s="243">
        <v>0</v>
      </c>
      <c r="F320" s="64">
        <v>0.05</v>
      </c>
      <c r="G320" s="86" t="s">
        <v>3</v>
      </c>
      <c r="H320" s="9" t="s">
        <v>253</v>
      </c>
      <c r="I320" s="114" t="s">
        <v>17</v>
      </c>
    </row>
    <row r="321" spans="1:9">
      <c r="A321" s="240"/>
      <c r="B321" s="226" t="s">
        <v>21</v>
      </c>
      <c r="C321" s="129" t="s">
        <v>187</v>
      </c>
      <c r="D321" s="109" t="s">
        <v>187</v>
      </c>
      <c r="E321" s="243">
        <v>0</v>
      </c>
      <c r="F321" s="64">
        <v>0.05</v>
      </c>
      <c r="G321" s="86" t="s">
        <v>3</v>
      </c>
      <c r="H321" s="9" t="s">
        <v>253</v>
      </c>
      <c r="I321" s="115" t="s">
        <v>18</v>
      </c>
    </row>
    <row r="322" spans="1:9">
      <c r="A322" s="240"/>
      <c r="B322" s="221" t="s">
        <v>12</v>
      </c>
      <c r="C322" s="129" t="s">
        <v>187</v>
      </c>
      <c r="D322" s="109" t="s">
        <v>187</v>
      </c>
      <c r="E322" s="243">
        <v>0</v>
      </c>
      <c r="F322" s="65">
        <v>0.15</v>
      </c>
      <c r="G322" s="86" t="s">
        <v>3</v>
      </c>
      <c r="H322" s="9" t="s">
        <v>254</v>
      </c>
      <c r="I322" s="115" t="s">
        <v>18</v>
      </c>
    </row>
    <row r="323" spans="1:9">
      <c r="A323" s="240"/>
      <c r="B323" s="221" t="s">
        <v>13</v>
      </c>
      <c r="C323" s="129" t="s">
        <v>187</v>
      </c>
      <c r="D323" s="109" t="s">
        <v>187</v>
      </c>
      <c r="E323" s="243">
        <v>0</v>
      </c>
      <c r="F323" s="64">
        <v>0.05</v>
      </c>
      <c r="G323" s="86" t="s">
        <v>3</v>
      </c>
      <c r="H323" s="9" t="s">
        <v>253</v>
      </c>
      <c r="I323" s="136" t="s">
        <v>187</v>
      </c>
    </row>
    <row r="324" spans="1:9" ht="15">
      <c r="A324" s="241"/>
      <c r="B324" s="225" t="s">
        <v>5</v>
      </c>
      <c r="C324" s="129" t="s">
        <v>187</v>
      </c>
      <c r="D324" s="109" t="s">
        <v>187</v>
      </c>
      <c r="E324" s="243">
        <v>0</v>
      </c>
      <c r="F324" s="238">
        <v>1.65</v>
      </c>
      <c r="G324" s="147" t="s">
        <v>187</v>
      </c>
      <c r="H324" s="239" t="s">
        <v>187</v>
      </c>
      <c r="I324" s="267" t="s">
        <v>187</v>
      </c>
    </row>
    <row r="325" spans="1:9" s="95" customFormat="1">
      <c r="A325" s="242"/>
      <c r="B325" s="221" t="s">
        <v>6</v>
      </c>
      <c r="C325" s="129" t="s">
        <v>187</v>
      </c>
      <c r="D325" s="109" t="s">
        <v>187</v>
      </c>
      <c r="E325" s="243">
        <v>0</v>
      </c>
      <c r="F325" s="64">
        <v>0.06</v>
      </c>
      <c r="G325" s="85" t="s">
        <v>4</v>
      </c>
      <c r="H325" s="9" t="s">
        <v>252</v>
      </c>
      <c r="I325" s="114" t="s">
        <v>19</v>
      </c>
    </row>
    <row r="326" spans="1:9" ht="15">
      <c r="A326" s="241"/>
      <c r="B326" s="223" t="s">
        <v>225</v>
      </c>
      <c r="C326" s="129" t="s">
        <v>187</v>
      </c>
      <c r="D326" s="109" t="s">
        <v>187</v>
      </c>
      <c r="E326" s="243">
        <v>0</v>
      </c>
      <c r="F326" s="64">
        <v>3.0000000000000001E-3</v>
      </c>
      <c r="G326" s="147" t="s">
        <v>187</v>
      </c>
      <c r="H326" s="239" t="s">
        <v>187</v>
      </c>
      <c r="I326" s="267" t="s">
        <v>187</v>
      </c>
    </row>
    <row r="327" spans="1:9" ht="15.75">
      <c r="A327" s="54" t="s">
        <v>8</v>
      </c>
      <c r="B327" s="15"/>
      <c r="C327" s="15"/>
      <c r="D327" s="15"/>
      <c r="E327" s="17"/>
      <c r="F327" s="16"/>
      <c r="G327" s="88"/>
      <c r="H327" s="17"/>
      <c r="I327" s="167"/>
    </row>
    <row r="328" spans="1:9">
      <c r="A328" s="59" t="s">
        <v>135</v>
      </c>
      <c r="B328" s="230" t="s">
        <v>243</v>
      </c>
      <c r="C328" s="230" t="s">
        <v>244</v>
      </c>
      <c r="D328" s="230" t="s">
        <v>245</v>
      </c>
      <c r="E328" s="231" t="s">
        <v>246</v>
      </c>
      <c r="F328" s="58"/>
      <c r="G328" s="92"/>
      <c r="H328" s="58"/>
      <c r="I328" s="83"/>
    </row>
    <row r="329" spans="1:9">
      <c r="A329" s="57" t="s">
        <v>134</v>
      </c>
      <c r="B329" s="232" t="s">
        <v>243</v>
      </c>
      <c r="C329" s="232" t="s">
        <v>243</v>
      </c>
      <c r="D329" s="232" t="s">
        <v>243</v>
      </c>
      <c r="E329" s="233" t="s">
        <v>243</v>
      </c>
      <c r="F329" s="56"/>
      <c r="G329" s="93"/>
      <c r="H329" s="56"/>
      <c r="I329" s="84"/>
    </row>
    <row r="330" spans="1:9" ht="15">
      <c r="A330" s="53"/>
      <c r="B330" s="15"/>
      <c r="C330" s="15"/>
      <c r="D330" s="15"/>
      <c r="E330" s="17"/>
      <c r="F330" s="16"/>
      <c r="G330" s="88"/>
      <c r="H330" s="17"/>
      <c r="I330" s="167"/>
    </row>
    <row r="10001" spans="10:17">
      <c r="Q10001" s="94">
        <v>24</v>
      </c>
    </row>
    <row r="10011" spans="10:17">
      <c r="P10011" s="94">
        <v>2</v>
      </c>
    </row>
    <row r="10012" spans="10:17">
      <c r="J10012" s="94">
        <v>46</v>
      </c>
      <c r="K10012" s="94">
        <v>24</v>
      </c>
      <c r="L10012" s="94">
        <v>24</v>
      </c>
      <c r="M10012" s="94">
        <v>23</v>
      </c>
      <c r="N10012" s="94">
        <v>23</v>
      </c>
      <c r="O10012" s="94">
        <v>37</v>
      </c>
    </row>
  </sheetData>
  <mergeCells count="1">
    <mergeCell ref="A4:F4"/>
  </mergeCells>
  <hyperlinks>
    <hyperlink ref="A329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Q10017"/>
  <sheetViews>
    <sheetView rightToLeft="1" tabSelected="1" zoomScale="40" zoomScaleNormal="40" workbookViewId="0"/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 ht="20.25" thickBot="1">
      <c r="A1" s="255" t="s">
        <v>267</v>
      </c>
    </row>
    <row r="2" spans="1:14" ht="21" thickTop="1" thickBot="1">
      <c r="A2" s="255" t="s">
        <v>265</v>
      </c>
    </row>
    <row r="3" spans="1:14" ht="15" thickTop="1">
      <c r="A3" s="235" t="s">
        <v>248</v>
      </c>
    </row>
    <row r="4" spans="1:14" ht="94.35" customHeight="1">
      <c r="A4" s="269" t="s">
        <v>197</v>
      </c>
      <c r="B4" s="269"/>
      <c r="C4" s="269"/>
      <c r="D4" s="269"/>
      <c r="E4" s="269"/>
      <c r="F4" s="190"/>
      <c r="G4" s="191"/>
      <c r="H4" s="270" t="s">
        <v>219</v>
      </c>
      <c r="I4" s="270"/>
      <c r="J4" s="270"/>
      <c r="K4" s="270"/>
      <c r="L4" s="192"/>
      <c r="M4" s="192"/>
      <c r="N4" s="193"/>
    </row>
    <row r="5" spans="1:14" ht="51.75" customHeight="1">
      <c r="A5" s="19" t="s">
        <v>36</v>
      </c>
      <c r="B5" s="32" t="s">
        <v>128</v>
      </c>
      <c r="C5" s="33"/>
      <c r="D5" s="34"/>
      <c r="E5" s="81"/>
      <c r="F5" s="33"/>
      <c r="G5" s="170"/>
      <c r="H5" s="194" t="s">
        <v>36</v>
      </c>
      <c r="I5" s="32" t="s">
        <v>141</v>
      </c>
      <c r="J5" s="33"/>
      <c r="K5" s="34"/>
      <c r="L5" s="35"/>
      <c r="M5" s="33"/>
      <c r="N5" s="170"/>
    </row>
    <row r="6" spans="1:14" ht="40.35" customHeight="1">
      <c r="A6" s="20"/>
      <c r="B6" s="119" t="s">
        <v>0</v>
      </c>
      <c r="C6" s="120" t="s">
        <v>220</v>
      </c>
      <c r="D6" s="120" t="s">
        <v>198</v>
      </c>
      <c r="E6" s="121" t="s">
        <v>30</v>
      </c>
      <c r="F6" s="121" t="s">
        <v>20</v>
      </c>
      <c r="G6" s="121" t="s">
        <v>35</v>
      </c>
      <c r="H6" s="195"/>
      <c r="I6" s="119" t="s">
        <v>0</v>
      </c>
      <c r="J6" s="120" t="s">
        <v>220</v>
      </c>
      <c r="K6" s="120" t="s">
        <v>198</v>
      </c>
      <c r="L6" s="121" t="s">
        <v>30</v>
      </c>
      <c r="M6" s="121" t="s">
        <v>20</v>
      </c>
      <c r="N6" s="121" t="s">
        <v>35</v>
      </c>
    </row>
    <row r="7" spans="1:14" ht="15.75">
      <c r="A7" s="20"/>
      <c r="B7" s="104" t="s">
        <v>169</v>
      </c>
      <c r="C7" s="5">
        <v>0.2792</v>
      </c>
      <c r="D7" s="5">
        <v>0.3</v>
      </c>
      <c r="E7" s="143" t="s">
        <v>187</v>
      </c>
      <c r="F7" s="144" t="s">
        <v>187</v>
      </c>
      <c r="G7" s="144" t="s">
        <v>187</v>
      </c>
      <c r="H7" s="195"/>
      <c r="I7" s="154" t="s">
        <v>187</v>
      </c>
      <c r="J7" s="155" t="s">
        <v>187</v>
      </c>
      <c r="K7" s="155" t="s">
        <v>187</v>
      </c>
      <c r="L7" s="144" t="s">
        <v>187</v>
      </c>
      <c r="M7" s="144" t="s">
        <v>187</v>
      </c>
      <c r="N7" s="144" t="s">
        <v>187</v>
      </c>
    </row>
    <row r="8" spans="1:14" ht="34.5" customHeight="1">
      <c r="A8" s="20"/>
      <c r="B8" s="104" t="s">
        <v>138</v>
      </c>
      <c r="C8" s="5">
        <v>0.58360000000000001</v>
      </c>
      <c r="D8" s="5">
        <v>0.57999999999999996</v>
      </c>
      <c r="E8" s="6" t="s">
        <v>4</v>
      </c>
      <c r="F8" s="7" t="s">
        <v>206</v>
      </c>
      <c r="G8" s="6" t="s">
        <v>218</v>
      </c>
      <c r="H8" s="195"/>
      <c r="I8" s="104" t="s">
        <v>228</v>
      </c>
      <c r="J8" s="5">
        <v>0.56100000000000005</v>
      </c>
      <c r="K8" s="5">
        <v>0.57999999999999996</v>
      </c>
      <c r="L8" s="178" t="s">
        <v>4</v>
      </c>
      <c r="M8" s="7" t="s">
        <v>206</v>
      </c>
      <c r="N8" s="6" t="s">
        <v>218</v>
      </c>
    </row>
    <row r="9" spans="1:14">
      <c r="A9" s="20"/>
      <c r="B9" s="104" t="s">
        <v>2</v>
      </c>
      <c r="C9" s="3">
        <v>9.0700000000000003E-2</v>
      </c>
      <c r="D9" s="3">
        <v>0.09</v>
      </c>
      <c r="E9" s="1" t="s">
        <v>3</v>
      </c>
      <c r="F9" s="4" t="s">
        <v>205</v>
      </c>
      <c r="G9" s="1" t="s">
        <v>14</v>
      </c>
      <c r="H9" s="195"/>
      <c r="I9" s="104" t="s">
        <v>2</v>
      </c>
      <c r="J9" s="3">
        <v>0.27579999999999999</v>
      </c>
      <c r="K9" s="3">
        <v>0.28000000000000003</v>
      </c>
      <c r="L9" s="1" t="s">
        <v>3</v>
      </c>
      <c r="M9" s="4" t="s">
        <v>46</v>
      </c>
      <c r="N9" s="1" t="s">
        <v>14</v>
      </c>
    </row>
    <row r="10" spans="1:14" ht="28.5">
      <c r="A10" s="20"/>
      <c r="B10" s="105" t="s">
        <v>137</v>
      </c>
      <c r="C10" s="3">
        <v>0.14419999999999999</v>
      </c>
      <c r="D10" s="3">
        <v>0.15</v>
      </c>
      <c r="E10" s="1" t="s">
        <v>4</v>
      </c>
      <c r="F10" s="4" t="s">
        <v>119</v>
      </c>
      <c r="G10" s="1" t="s">
        <v>173</v>
      </c>
      <c r="H10" s="195"/>
      <c r="I10" s="104" t="s">
        <v>137</v>
      </c>
      <c r="J10" s="3">
        <v>0.26300000000000001</v>
      </c>
      <c r="K10" s="3">
        <v>0.3</v>
      </c>
      <c r="L10" s="1" t="s">
        <v>4</v>
      </c>
      <c r="M10" s="4" t="s">
        <v>61</v>
      </c>
      <c r="N10" s="1" t="s">
        <v>15</v>
      </c>
    </row>
    <row r="11" spans="1:14" ht="42.75">
      <c r="A11" s="20"/>
      <c r="B11" s="104" t="s">
        <v>170</v>
      </c>
      <c r="C11" s="3">
        <v>1.0699999999999999E-2</v>
      </c>
      <c r="D11" s="3">
        <v>0.05</v>
      </c>
      <c r="E11" s="8" t="s">
        <v>3</v>
      </c>
      <c r="F11" s="9" t="s">
        <v>51</v>
      </c>
      <c r="G11" s="145" t="s">
        <v>187</v>
      </c>
      <c r="H11" s="195"/>
      <c r="I11" s="104" t="s">
        <v>170</v>
      </c>
      <c r="J11" s="3">
        <v>1.0800000000000001E-2</v>
      </c>
      <c r="K11" s="3">
        <v>0.05</v>
      </c>
      <c r="L11" s="8" t="s">
        <v>3</v>
      </c>
      <c r="M11" s="9" t="s">
        <v>51</v>
      </c>
      <c r="N11" s="145" t="s">
        <v>187</v>
      </c>
    </row>
    <row r="12" spans="1:14">
      <c r="A12" s="20"/>
      <c r="B12" s="104" t="s">
        <v>10</v>
      </c>
      <c r="C12" s="3">
        <v>1.38E-2</v>
      </c>
      <c r="D12" s="3">
        <v>0.05</v>
      </c>
      <c r="E12" s="8" t="s">
        <v>3</v>
      </c>
      <c r="F12" s="9" t="s">
        <v>51</v>
      </c>
      <c r="G12" s="145" t="s">
        <v>187</v>
      </c>
      <c r="H12" s="195"/>
      <c r="I12" s="104" t="s">
        <v>10</v>
      </c>
      <c r="J12" s="3">
        <v>9.4000000000000004E-3</v>
      </c>
      <c r="K12" s="3">
        <v>0.05</v>
      </c>
      <c r="L12" s="8" t="s">
        <v>3</v>
      </c>
      <c r="M12" s="9" t="s">
        <v>51</v>
      </c>
      <c r="N12" s="145" t="s">
        <v>187</v>
      </c>
    </row>
    <row r="13" spans="1:14">
      <c r="A13" s="20"/>
      <c r="B13" s="104" t="s">
        <v>12</v>
      </c>
      <c r="C13" s="3">
        <v>0.14019999999999999</v>
      </c>
      <c r="D13" s="3">
        <v>0.15</v>
      </c>
      <c r="E13" s="1" t="s">
        <v>3</v>
      </c>
      <c r="F13" s="9" t="s">
        <v>52</v>
      </c>
      <c r="G13" s="132" t="s">
        <v>187</v>
      </c>
      <c r="H13" s="195"/>
      <c r="I13" s="104" t="s">
        <v>12</v>
      </c>
      <c r="J13" s="3">
        <v>0.18379999999999999</v>
      </c>
      <c r="K13" s="3">
        <v>0.15</v>
      </c>
      <c r="L13" s="1" t="s">
        <v>3</v>
      </c>
      <c r="M13" s="9" t="s">
        <v>52</v>
      </c>
      <c r="N13" s="132" t="s">
        <v>187</v>
      </c>
    </row>
    <row r="14" spans="1:14">
      <c r="A14" s="20"/>
      <c r="B14" s="104" t="s">
        <v>171</v>
      </c>
      <c r="C14" s="3">
        <v>7.0000000000000001E-3</v>
      </c>
      <c r="D14" s="3">
        <v>0.05</v>
      </c>
      <c r="E14" s="1" t="s">
        <v>3</v>
      </c>
      <c r="F14" s="10" t="s">
        <v>51</v>
      </c>
      <c r="G14" s="132" t="s">
        <v>187</v>
      </c>
      <c r="H14" s="195"/>
      <c r="I14" s="104" t="s">
        <v>171</v>
      </c>
      <c r="J14" s="3">
        <v>5.3E-3</v>
      </c>
      <c r="K14" s="3">
        <v>0.05</v>
      </c>
      <c r="L14" s="1" t="s">
        <v>3</v>
      </c>
      <c r="M14" s="10" t="s">
        <v>51</v>
      </c>
      <c r="N14" s="132" t="s">
        <v>187</v>
      </c>
    </row>
    <row r="15" spans="1:14" ht="15">
      <c r="A15" s="20"/>
      <c r="B15" s="106" t="s">
        <v>5</v>
      </c>
      <c r="C15" s="27">
        <f>SUBTOTAL(109,C7:C14)</f>
        <v>1.2693999999999999</v>
      </c>
      <c r="D15" s="99">
        <f>SUBTOTAL(109,D7:D14)</f>
        <v>1.42</v>
      </c>
      <c r="E15" s="117" t="s">
        <v>187</v>
      </c>
      <c r="F15" s="118" t="s">
        <v>243</v>
      </c>
      <c r="G15" s="112" t="s">
        <v>187</v>
      </c>
      <c r="H15" s="195"/>
      <c r="I15" s="106" t="s">
        <v>5</v>
      </c>
      <c r="J15" s="27">
        <f>SUBTOTAL(109,J7:J14)</f>
        <v>1.3091000000000002</v>
      </c>
      <c r="K15" s="99">
        <f>SUBTOTAL(109,K7:K14)</f>
        <v>1.46</v>
      </c>
      <c r="L15" s="118" t="s">
        <v>187</v>
      </c>
      <c r="M15" s="118" t="s">
        <v>187</v>
      </c>
      <c r="N15" s="112" t="s">
        <v>187</v>
      </c>
    </row>
    <row r="16" spans="1:14">
      <c r="A16" s="20"/>
      <c r="B16" s="104" t="s">
        <v>6</v>
      </c>
      <c r="C16" s="11">
        <v>0.19939999999999999</v>
      </c>
      <c r="D16" s="11">
        <v>0.2</v>
      </c>
      <c r="E16" s="1" t="s">
        <v>4</v>
      </c>
      <c r="F16" s="9" t="s">
        <v>64</v>
      </c>
      <c r="G16" s="1" t="s">
        <v>19</v>
      </c>
      <c r="H16" s="195"/>
      <c r="I16" s="104" t="s">
        <v>6</v>
      </c>
      <c r="J16" s="11">
        <v>0.1971</v>
      </c>
      <c r="K16" s="11">
        <v>0.2</v>
      </c>
      <c r="L16" s="1" t="s">
        <v>4</v>
      </c>
      <c r="M16" s="9" t="s">
        <v>64</v>
      </c>
      <c r="N16" s="1" t="s">
        <v>19</v>
      </c>
    </row>
    <row r="17" spans="1:14" ht="30">
      <c r="A17" s="21"/>
      <c r="B17" s="106" t="s">
        <v>225</v>
      </c>
      <c r="C17" s="12">
        <v>2.7000000000000001E-3</v>
      </c>
      <c r="D17" s="196" t="s">
        <v>187</v>
      </c>
      <c r="E17" s="131" t="s">
        <v>187</v>
      </c>
      <c r="F17" s="131" t="s">
        <v>187</v>
      </c>
      <c r="G17" s="171" t="s">
        <v>187</v>
      </c>
      <c r="H17" s="195"/>
      <c r="I17" s="106" t="s">
        <v>225</v>
      </c>
      <c r="J17" s="12">
        <v>2.3999999999999998E-3</v>
      </c>
      <c r="K17" s="196" t="s">
        <v>187</v>
      </c>
      <c r="L17" s="131" t="s">
        <v>187</v>
      </c>
      <c r="M17" s="131" t="s">
        <v>187</v>
      </c>
      <c r="N17" s="171" t="s">
        <v>187</v>
      </c>
    </row>
    <row r="18" spans="1:14" ht="21" customHeight="1">
      <c r="A18" s="70"/>
      <c r="B18" s="161" t="s">
        <v>194</v>
      </c>
      <c r="C18" s="162" t="s">
        <v>194</v>
      </c>
      <c r="D18" s="162" t="s">
        <v>194</v>
      </c>
      <c r="E18" s="162" t="s">
        <v>194</v>
      </c>
      <c r="F18" s="162" t="s">
        <v>194</v>
      </c>
      <c r="G18" s="172" t="s">
        <v>194</v>
      </c>
      <c r="H18" s="197"/>
      <c r="I18" s="76"/>
      <c r="J18" s="77"/>
      <c r="K18" s="78"/>
      <c r="L18" s="77"/>
      <c r="M18" s="77"/>
      <c r="N18" s="174"/>
    </row>
    <row r="19" spans="1:14" ht="51.75" customHeight="1">
      <c r="A19" s="19" t="s">
        <v>36</v>
      </c>
      <c r="B19" s="32" t="s">
        <v>139</v>
      </c>
      <c r="C19" s="33"/>
      <c r="D19" s="34"/>
      <c r="E19" s="81"/>
      <c r="F19" s="33"/>
      <c r="G19" s="170"/>
      <c r="H19" s="194" t="s">
        <v>36</v>
      </c>
      <c r="I19" s="32" t="s">
        <v>142</v>
      </c>
      <c r="J19" s="33"/>
      <c r="K19" s="34"/>
      <c r="L19" s="35"/>
      <c r="M19" s="33"/>
      <c r="N19" s="170"/>
    </row>
    <row r="20" spans="1:14" ht="37.5" customHeight="1">
      <c r="A20" s="20"/>
      <c r="B20" s="119" t="s">
        <v>0</v>
      </c>
      <c r="C20" s="120" t="s">
        <v>220</v>
      </c>
      <c r="D20" s="120" t="s">
        <v>198</v>
      </c>
      <c r="E20" s="121" t="s">
        <v>1</v>
      </c>
      <c r="F20" s="121" t="s">
        <v>20</v>
      </c>
      <c r="G20" s="121" t="s">
        <v>35</v>
      </c>
      <c r="H20" s="195"/>
      <c r="I20" s="119" t="s">
        <v>0</v>
      </c>
      <c r="J20" s="120" t="s">
        <v>220</v>
      </c>
      <c r="K20" s="120" t="s">
        <v>198</v>
      </c>
      <c r="L20" s="121" t="s">
        <v>1</v>
      </c>
      <c r="M20" s="121" t="s">
        <v>20</v>
      </c>
      <c r="N20" s="121" t="s">
        <v>35</v>
      </c>
    </row>
    <row r="21" spans="1:14" ht="15.75">
      <c r="A21" s="20"/>
      <c r="B21" s="104" t="s">
        <v>169</v>
      </c>
      <c r="C21" s="5">
        <v>0.28210000000000002</v>
      </c>
      <c r="D21" s="5">
        <v>0.3</v>
      </c>
      <c r="E21" s="143" t="s">
        <v>187</v>
      </c>
      <c r="F21" s="144" t="s">
        <v>187</v>
      </c>
      <c r="G21" s="144" t="s">
        <v>187</v>
      </c>
      <c r="H21" s="195"/>
      <c r="I21" s="154" t="s">
        <v>187</v>
      </c>
      <c r="J21" s="155" t="s">
        <v>187</v>
      </c>
      <c r="K21" s="155" t="s">
        <v>187</v>
      </c>
      <c r="L21" s="144" t="s">
        <v>187</v>
      </c>
      <c r="M21" s="144" t="s">
        <v>187</v>
      </c>
      <c r="N21" s="144" t="s">
        <v>187</v>
      </c>
    </row>
    <row r="22" spans="1:14" ht="41.25" customHeight="1">
      <c r="A22" s="20"/>
      <c r="B22" s="104" t="s">
        <v>138</v>
      </c>
      <c r="C22" s="5">
        <v>0.4849</v>
      </c>
      <c r="D22" s="5">
        <v>0.5</v>
      </c>
      <c r="E22" s="178" t="s">
        <v>4</v>
      </c>
      <c r="F22" s="7" t="s">
        <v>91</v>
      </c>
      <c r="G22" s="6" t="s">
        <v>218</v>
      </c>
      <c r="H22" s="195"/>
      <c r="I22" s="104" t="s">
        <v>228</v>
      </c>
      <c r="J22" s="5">
        <v>0.46200000000000002</v>
      </c>
      <c r="K22" s="5">
        <v>0.45</v>
      </c>
      <c r="L22" s="6" t="s">
        <v>4</v>
      </c>
      <c r="M22" s="7" t="s">
        <v>66</v>
      </c>
      <c r="N22" s="6" t="s">
        <v>218</v>
      </c>
    </row>
    <row r="23" spans="1:14" ht="25.5" customHeight="1">
      <c r="A23" s="20"/>
      <c r="B23" s="104" t="s">
        <v>2</v>
      </c>
      <c r="C23" s="3">
        <v>0.12520000000000001</v>
      </c>
      <c r="D23" s="3">
        <v>0.13</v>
      </c>
      <c r="E23" s="1" t="s">
        <v>3</v>
      </c>
      <c r="F23" s="4" t="s">
        <v>207</v>
      </c>
      <c r="G23" s="1" t="s">
        <v>14</v>
      </c>
      <c r="H23" s="195"/>
      <c r="I23" s="104" t="s">
        <v>2</v>
      </c>
      <c r="J23" s="3">
        <v>0.28939999999999999</v>
      </c>
      <c r="K23" s="3">
        <v>0.28999999999999998</v>
      </c>
      <c r="L23" s="1" t="s">
        <v>3</v>
      </c>
      <c r="M23" s="4" t="s">
        <v>208</v>
      </c>
      <c r="N23" s="1" t="s">
        <v>14</v>
      </c>
    </row>
    <row r="24" spans="1:14" ht="33" customHeight="1">
      <c r="A24" s="20"/>
      <c r="B24" s="105" t="s">
        <v>137</v>
      </c>
      <c r="C24" s="3">
        <v>0.17899999999999999</v>
      </c>
      <c r="D24" s="3">
        <v>0.2</v>
      </c>
      <c r="E24" s="1" t="s">
        <v>4</v>
      </c>
      <c r="F24" s="4" t="s">
        <v>64</v>
      </c>
      <c r="G24" s="1" t="s">
        <v>173</v>
      </c>
      <c r="H24" s="195"/>
      <c r="I24" s="104" t="s">
        <v>137</v>
      </c>
      <c r="J24" s="3">
        <v>0.32419999999999999</v>
      </c>
      <c r="K24" s="3">
        <v>0.35</v>
      </c>
      <c r="L24" s="1" t="s">
        <v>4</v>
      </c>
      <c r="M24" s="4" t="s">
        <v>118</v>
      </c>
      <c r="N24" s="1" t="s">
        <v>15</v>
      </c>
    </row>
    <row r="25" spans="1:14" ht="42.75">
      <c r="A25" s="20"/>
      <c r="B25" s="104" t="s">
        <v>170</v>
      </c>
      <c r="C25" s="3">
        <v>7.4000000000000003E-3</v>
      </c>
      <c r="D25" s="3">
        <v>0.05</v>
      </c>
      <c r="E25" s="8" t="s">
        <v>3</v>
      </c>
      <c r="F25" s="9" t="s">
        <v>51</v>
      </c>
      <c r="G25" s="145" t="s">
        <v>187</v>
      </c>
      <c r="H25" s="195"/>
      <c r="I25" s="104" t="s">
        <v>170</v>
      </c>
      <c r="J25" s="3">
        <v>4.8999999999999998E-3</v>
      </c>
      <c r="K25" s="3">
        <v>0.05</v>
      </c>
      <c r="L25" s="8" t="s">
        <v>3</v>
      </c>
      <c r="M25" s="9" t="s">
        <v>51</v>
      </c>
      <c r="N25" s="145" t="s">
        <v>187</v>
      </c>
    </row>
    <row r="26" spans="1:14">
      <c r="A26" s="20"/>
      <c r="B26" s="104" t="s">
        <v>10</v>
      </c>
      <c r="C26" s="3">
        <v>1.2500000000000001E-2</v>
      </c>
      <c r="D26" s="3">
        <v>0.05</v>
      </c>
      <c r="E26" s="8" t="s">
        <v>3</v>
      </c>
      <c r="F26" s="9" t="s">
        <v>51</v>
      </c>
      <c r="G26" s="145" t="s">
        <v>187</v>
      </c>
      <c r="H26" s="195"/>
      <c r="I26" s="104" t="s">
        <v>10</v>
      </c>
      <c r="J26" s="3">
        <v>7.9000000000000008E-3</v>
      </c>
      <c r="K26" s="3">
        <v>0.05</v>
      </c>
      <c r="L26" s="8" t="s">
        <v>3</v>
      </c>
      <c r="M26" s="9" t="s">
        <v>51</v>
      </c>
      <c r="N26" s="145" t="s">
        <v>187</v>
      </c>
    </row>
    <row r="27" spans="1:14">
      <c r="A27" s="20"/>
      <c r="B27" s="104" t="s">
        <v>12</v>
      </c>
      <c r="C27" s="3">
        <v>0.14580000000000001</v>
      </c>
      <c r="D27" s="3">
        <v>0.15</v>
      </c>
      <c r="E27" s="1" t="s">
        <v>3</v>
      </c>
      <c r="F27" s="9" t="s">
        <v>52</v>
      </c>
      <c r="G27" s="132" t="s">
        <v>187</v>
      </c>
      <c r="H27" s="195"/>
      <c r="I27" s="104" t="s">
        <v>12</v>
      </c>
      <c r="J27" s="3">
        <v>0.16750000000000001</v>
      </c>
      <c r="K27" s="3">
        <v>0.15</v>
      </c>
      <c r="L27" s="1" t="s">
        <v>3</v>
      </c>
      <c r="M27" s="9" t="s">
        <v>52</v>
      </c>
      <c r="N27" s="132" t="s">
        <v>187</v>
      </c>
    </row>
    <row r="28" spans="1:14">
      <c r="A28" s="20"/>
      <c r="B28" s="104" t="s">
        <v>171</v>
      </c>
      <c r="C28" s="3">
        <v>5.3E-3</v>
      </c>
      <c r="D28" s="3">
        <v>0.05</v>
      </c>
      <c r="E28" s="1" t="s">
        <v>3</v>
      </c>
      <c r="F28" s="10" t="s">
        <v>51</v>
      </c>
      <c r="G28" s="132" t="s">
        <v>187</v>
      </c>
      <c r="H28" s="195"/>
      <c r="I28" s="104" t="s">
        <v>171</v>
      </c>
      <c r="J28" s="3">
        <v>4.3E-3</v>
      </c>
      <c r="K28" s="3">
        <v>0.05</v>
      </c>
      <c r="L28" s="1" t="s">
        <v>3</v>
      </c>
      <c r="M28" s="10" t="s">
        <v>51</v>
      </c>
      <c r="N28" s="132" t="s">
        <v>187</v>
      </c>
    </row>
    <row r="29" spans="1:14" ht="15">
      <c r="A29" s="20"/>
      <c r="B29" s="106" t="s">
        <v>5</v>
      </c>
      <c r="C29" s="27">
        <f>SUBTOTAL(109,C21:C28)</f>
        <v>1.2422</v>
      </c>
      <c r="D29" s="99">
        <f>SUBTOTAL(109,D21:D28)</f>
        <v>1.4300000000000002</v>
      </c>
      <c r="E29" s="117" t="s">
        <v>187</v>
      </c>
      <c r="F29" s="118" t="s">
        <v>187</v>
      </c>
      <c r="G29" s="112" t="s">
        <v>187</v>
      </c>
      <c r="H29" s="195"/>
      <c r="I29" s="106" t="s">
        <v>5</v>
      </c>
      <c r="J29" s="27">
        <f>SUBTOTAL(109,J21:J28)</f>
        <v>1.2602</v>
      </c>
      <c r="K29" s="99">
        <f>SUBTOTAL(109,K21:K28)</f>
        <v>1.39</v>
      </c>
      <c r="L29" s="118" t="s">
        <v>187</v>
      </c>
      <c r="M29" s="118" t="s">
        <v>187</v>
      </c>
      <c r="N29" s="112" t="s">
        <v>187</v>
      </c>
    </row>
    <row r="30" spans="1:14">
      <c r="A30" s="20"/>
      <c r="B30" s="104" t="s">
        <v>6</v>
      </c>
      <c r="C30" s="11">
        <v>0.1835</v>
      </c>
      <c r="D30" s="11">
        <v>0.2</v>
      </c>
      <c r="E30" s="1" t="s">
        <v>4</v>
      </c>
      <c r="F30" s="9" t="s">
        <v>64</v>
      </c>
      <c r="G30" s="1" t="s">
        <v>19</v>
      </c>
      <c r="H30" s="195"/>
      <c r="I30" s="104" t="s">
        <v>6</v>
      </c>
      <c r="J30" s="11">
        <v>0.16669999999999999</v>
      </c>
      <c r="K30" s="11">
        <v>0.2</v>
      </c>
      <c r="L30" s="1" t="s">
        <v>4</v>
      </c>
      <c r="M30" s="9" t="s">
        <v>64</v>
      </c>
      <c r="N30" s="1" t="s">
        <v>19</v>
      </c>
    </row>
    <row r="31" spans="1:14" ht="30">
      <c r="A31" s="21"/>
      <c r="B31" s="106" t="s">
        <v>225</v>
      </c>
      <c r="C31" s="12">
        <v>2.3999999999999998E-3</v>
      </c>
      <c r="D31" s="196" t="s">
        <v>187</v>
      </c>
      <c r="E31" s="131" t="s">
        <v>187</v>
      </c>
      <c r="F31" s="131" t="s">
        <v>187</v>
      </c>
      <c r="G31" s="171" t="s">
        <v>187</v>
      </c>
      <c r="H31" s="195"/>
      <c r="I31" s="106" t="s">
        <v>225</v>
      </c>
      <c r="J31" s="12">
        <v>2.3999999999999998E-3</v>
      </c>
      <c r="K31" s="196" t="s">
        <v>187</v>
      </c>
      <c r="L31" s="131" t="s">
        <v>187</v>
      </c>
      <c r="M31" s="131" t="s">
        <v>187</v>
      </c>
      <c r="N31" s="171" t="s">
        <v>187</v>
      </c>
    </row>
    <row r="32" spans="1:14" ht="21" customHeight="1">
      <c r="A32" s="70"/>
      <c r="B32" s="72"/>
      <c r="C32" s="73"/>
      <c r="D32" s="74"/>
      <c r="E32" s="73"/>
      <c r="F32" s="73"/>
      <c r="G32" s="173"/>
      <c r="H32" s="197"/>
      <c r="I32" s="76"/>
      <c r="J32" s="77"/>
      <c r="K32" s="78"/>
      <c r="L32" s="77"/>
      <c r="M32" s="77"/>
      <c r="N32" s="174"/>
    </row>
    <row r="33" spans="1:14" ht="51.75" customHeight="1">
      <c r="A33" s="19" t="s">
        <v>36</v>
      </c>
      <c r="B33" s="32" t="s">
        <v>140</v>
      </c>
      <c r="C33" s="33"/>
      <c r="D33" s="34"/>
      <c r="E33" s="81"/>
      <c r="F33" s="33"/>
      <c r="G33" s="170"/>
      <c r="H33" s="194" t="s">
        <v>36</v>
      </c>
      <c r="I33" s="32" t="s">
        <v>143</v>
      </c>
      <c r="J33" s="33"/>
      <c r="K33" s="34"/>
      <c r="L33" s="35"/>
      <c r="M33" s="33"/>
      <c r="N33" s="170"/>
    </row>
    <row r="34" spans="1:14" ht="34.5" customHeight="1">
      <c r="A34" s="20"/>
      <c r="B34" s="119" t="s">
        <v>0</v>
      </c>
      <c r="C34" s="120" t="s">
        <v>220</v>
      </c>
      <c r="D34" s="120" t="s">
        <v>198</v>
      </c>
      <c r="E34" s="121" t="s">
        <v>1</v>
      </c>
      <c r="F34" s="121" t="s">
        <v>20</v>
      </c>
      <c r="G34" s="121" t="s">
        <v>35</v>
      </c>
      <c r="H34" s="195"/>
      <c r="I34" s="119" t="s">
        <v>0</v>
      </c>
      <c r="J34" s="120" t="s">
        <v>220</v>
      </c>
      <c r="K34" s="120" t="s">
        <v>198</v>
      </c>
      <c r="L34" s="121" t="s">
        <v>1</v>
      </c>
      <c r="M34" s="121" t="s">
        <v>20</v>
      </c>
      <c r="N34" s="121" t="s">
        <v>35</v>
      </c>
    </row>
    <row r="35" spans="1:14" ht="15.75">
      <c r="A35" s="20"/>
      <c r="B35" s="104" t="s">
        <v>169</v>
      </c>
      <c r="C35" s="3" t="s">
        <v>238</v>
      </c>
      <c r="D35" s="5" t="s">
        <v>195</v>
      </c>
      <c r="E35" s="143" t="s">
        <v>187</v>
      </c>
      <c r="F35" s="144" t="s">
        <v>188</v>
      </c>
      <c r="G35" s="144" t="s">
        <v>196</v>
      </c>
      <c r="H35" s="195"/>
      <c r="I35" s="154" t="s">
        <v>187</v>
      </c>
      <c r="J35" s="155" t="s">
        <v>187</v>
      </c>
      <c r="K35" s="155" t="s">
        <v>187</v>
      </c>
      <c r="L35" s="144" t="s">
        <v>187</v>
      </c>
      <c r="M35" s="144" t="s">
        <v>187</v>
      </c>
      <c r="N35" s="144" t="s">
        <v>187</v>
      </c>
    </row>
    <row r="36" spans="1:14" ht="38.25" customHeight="1">
      <c r="A36" s="20"/>
      <c r="B36" s="104" t="s">
        <v>138</v>
      </c>
      <c r="C36" s="5">
        <v>0.27360000000000001</v>
      </c>
      <c r="D36" s="5">
        <v>0.3</v>
      </c>
      <c r="E36" s="178" t="s">
        <v>4</v>
      </c>
      <c r="F36" s="7" t="s">
        <v>61</v>
      </c>
      <c r="G36" s="6" t="s">
        <v>218</v>
      </c>
      <c r="H36" s="195"/>
      <c r="I36" s="104" t="s">
        <v>228</v>
      </c>
      <c r="J36" s="5">
        <v>0.25459999999999999</v>
      </c>
      <c r="K36" s="5">
        <v>0.27</v>
      </c>
      <c r="L36" s="6" t="s">
        <v>4</v>
      </c>
      <c r="M36" s="7" t="s">
        <v>209</v>
      </c>
      <c r="N36" s="6" t="s">
        <v>218</v>
      </c>
    </row>
    <row r="37" spans="1:14">
      <c r="A37" s="20"/>
      <c r="B37" s="104" t="s">
        <v>2</v>
      </c>
      <c r="C37" s="3">
        <v>0.23019999999999999</v>
      </c>
      <c r="D37" s="3">
        <v>0.23</v>
      </c>
      <c r="E37" s="1" t="s">
        <v>3</v>
      </c>
      <c r="F37" s="4" t="s">
        <v>210</v>
      </c>
      <c r="G37" s="1" t="s">
        <v>14</v>
      </c>
      <c r="H37" s="195"/>
      <c r="I37" s="104" t="s">
        <v>2</v>
      </c>
      <c r="J37" s="3">
        <v>0.34439999999999998</v>
      </c>
      <c r="K37" s="3">
        <v>0.38</v>
      </c>
      <c r="L37" s="1" t="s">
        <v>3</v>
      </c>
      <c r="M37" s="4" t="s">
        <v>77</v>
      </c>
      <c r="N37" s="1" t="s">
        <v>14</v>
      </c>
    </row>
    <row r="38" spans="1:14" ht="28.5">
      <c r="A38" s="20"/>
      <c r="B38" s="105" t="s">
        <v>137</v>
      </c>
      <c r="C38" s="3">
        <v>0.2031</v>
      </c>
      <c r="D38" s="3">
        <v>0.21</v>
      </c>
      <c r="E38" s="1" t="s">
        <v>4</v>
      </c>
      <c r="F38" s="4" t="s">
        <v>176</v>
      </c>
      <c r="G38" s="1" t="s">
        <v>173</v>
      </c>
      <c r="H38" s="195"/>
      <c r="I38" s="104" t="s">
        <v>137</v>
      </c>
      <c r="J38" s="3">
        <v>0.32029999999999997</v>
      </c>
      <c r="K38" s="3">
        <v>0.35</v>
      </c>
      <c r="L38" s="1" t="s">
        <v>4</v>
      </c>
      <c r="M38" s="4" t="s">
        <v>118</v>
      </c>
      <c r="N38" s="1" t="s">
        <v>15</v>
      </c>
    </row>
    <row r="39" spans="1:14" ht="42.75">
      <c r="A39" s="20"/>
      <c r="B39" s="104" t="s">
        <v>170</v>
      </c>
      <c r="C39" s="3">
        <v>5.4999999999999997E-3</v>
      </c>
      <c r="D39" s="3">
        <v>0.05</v>
      </c>
      <c r="E39" s="8" t="s">
        <v>3</v>
      </c>
      <c r="F39" s="9" t="s">
        <v>51</v>
      </c>
      <c r="G39" s="145" t="s">
        <v>187</v>
      </c>
      <c r="H39" s="195"/>
      <c r="I39" s="104" t="s">
        <v>170</v>
      </c>
      <c r="J39" s="3">
        <v>4.5999999999999999E-3</v>
      </c>
      <c r="K39" s="3">
        <v>0.05</v>
      </c>
      <c r="L39" s="8" t="s">
        <v>3</v>
      </c>
      <c r="M39" s="9" t="s">
        <v>51</v>
      </c>
      <c r="N39" s="145" t="s">
        <v>187</v>
      </c>
    </row>
    <row r="40" spans="1:14">
      <c r="A40" s="20"/>
      <c r="B40" s="104" t="s">
        <v>10</v>
      </c>
      <c r="C40" s="3">
        <v>1.55E-2</v>
      </c>
      <c r="D40" s="3">
        <v>0.05</v>
      </c>
      <c r="E40" s="8" t="s">
        <v>3</v>
      </c>
      <c r="F40" s="9" t="s">
        <v>51</v>
      </c>
      <c r="G40" s="145" t="s">
        <v>187</v>
      </c>
      <c r="H40" s="195"/>
      <c r="I40" s="104" t="s">
        <v>10</v>
      </c>
      <c r="J40" s="3">
        <v>1.0699999999999999E-2</v>
      </c>
      <c r="K40" s="3">
        <v>0.05</v>
      </c>
      <c r="L40" s="8" t="s">
        <v>3</v>
      </c>
      <c r="M40" s="9" t="s">
        <v>51</v>
      </c>
      <c r="N40" s="145" t="s">
        <v>187</v>
      </c>
    </row>
    <row r="41" spans="1:14">
      <c r="A41" s="20"/>
      <c r="B41" s="104" t="s">
        <v>12</v>
      </c>
      <c r="C41" s="3">
        <v>0.14069999999999999</v>
      </c>
      <c r="D41" s="3">
        <v>0.15</v>
      </c>
      <c r="E41" s="1" t="s">
        <v>3</v>
      </c>
      <c r="F41" s="9" t="s">
        <v>52</v>
      </c>
      <c r="G41" s="132" t="s">
        <v>187</v>
      </c>
      <c r="H41" s="195"/>
      <c r="I41" s="104" t="s">
        <v>12</v>
      </c>
      <c r="J41" s="3">
        <v>0.19409999999999999</v>
      </c>
      <c r="K41" s="3">
        <v>0.15</v>
      </c>
      <c r="L41" s="1" t="s">
        <v>3</v>
      </c>
      <c r="M41" s="9" t="s">
        <v>52</v>
      </c>
      <c r="N41" s="132" t="s">
        <v>187</v>
      </c>
    </row>
    <row r="42" spans="1:14">
      <c r="A42" s="20"/>
      <c r="B42" s="104" t="s">
        <v>171</v>
      </c>
      <c r="C42" s="3">
        <v>4.3E-3</v>
      </c>
      <c r="D42" s="3">
        <v>0.05</v>
      </c>
      <c r="E42" s="1" t="s">
        <v>3</v>
      </c>
      <c r="F42" s="10" t="s">
        <v>51</v>
      </c>
      <c r="G42" s="132" t="s">
        <v>187</v>
      </c>
      <c r="H42" s="195"/>
      <c r="I42" s="104" t="s">
        <v>171</v>
      </c>
      <c r="J42" s="3">
        <v>3.8999999999999998E-3</v>
      </c>
      <c r="K42" s="3">
        <v>0.05</v>
      </c>
      <c r="L42" s="1" t="s">
        <v>3</v>
      </c>
      <c r="M42" s="10" t="s">
        <v>51</v>
      </c>
      <c r="N42" s="132" t="s">
        <v>187</v>
      </c>
    </row>
    <row r="43" spans="1:14" ht="15">
      <c r="A43" s="20"/>
      <c r="B43" s="106" t="s">
        <v>5</v>
      </c>
      <c r="C43" s="27">
        <f>SUBTOTAL(109,C35:C42)</f>
        <v>0.87290000000000001</v>
      </c>
      <c r="D43" s="27">
        <f>SUBTOTAL(109,D35:D42)</f>
        <v>1.04</v>
      </c>
      <c r="E43" s="117" t="s">
        <v>187</v>
      </c>
      <c r="F43" s="118" t="s">
        <v>243</v>
      </c>
      <c r="G43" s="112" t="s">
        <v>187</v>
      </c>
      <c r="H43" s="195"/>
      <c r="I43" s="106" t="s">
        <v>5</v>
      </c>
      <c r="J43" s="27">
        <f>SUBTOTAL(109,J35:J42)</f>
        <v>1.1326000000000001</v>
      </c>
      <c r="K43" s="27">
        <f>SUBTOTAL(109,K35:K42)</f>
        <v>1.3</v>
      </c>
      <c r="L43" s="118" t="s">
        <v>187</v>
      </c>
      <c r="M43" s="118" t="s">
        <v>187</v>
      </c>
      <c r="N43" s="112" t="s">
        <v>187</v>
      </c>
    </row>
    <row r="44" spans="1:14">
      <c r="A44" s="20"/>
      <c r="B44" s="104" t="s">
        <v>6</v>
      </c>
      <c r="C44" s="11">
        <v>0.14460000000000001</v>
      </c>
      <c r="D44" s="11">
        <v>0.2</v>
      </c>
      <c r="E44" s="1" t="s">
        <v>4</v>
      </c>
      <c r="F44" s="9" t="s">
        <v>64</v>
      </c>
      <c r="G44" s="1" t="s">
        <v>19</v>
      </c>
      <c r="H44" s="195"/>
      <c r="I44" s="104" t="s">
        <v>6</v>
      </c>
      <c r="J44" s="11">
        <v>0.1416</v>
      </c>
      <c r="K44" s="11">
        <v>0.16</v>
      </c>
      <c r="L44" s="1" t="s">
        <v>4</v>
      </c>
      <c r="M44" s="9" t="s">
        <v>133</v>
      </c>
      <c r="N44" s="1" t="s">
        <v>19</v>
      </c>
    </row>
    <row r="45" spans="1:14" ht="30">
      <c r="A45" s="21"/>
      <c r="B45" s="106" t="s">
        <v>225</v>
      </c>
      <c r="C45" s="12">
        <v>2.2000000000000001E-3</v>
      </c>
      <c r="D45" s="196" t="s">
        <v>187</v>
      </c>
      <c r="E45" s="131" t="s">
        <v>187</v>
      </c>
      <c r="F45" s="131" t="s">
        <v>187</v>
      </c>
      <c r="G45" s="171" t="s">
        <v>187</v>
      </c>
      <c r="H45" s="195"/>
      <c r="I45" s="106" t="s">
        <v>225</v>
      </c>
      <c r="J45" s="12">
        <v>2.3999999999999998E-3</v>
      </c>
      <c r="K45" s="196" t="s">
        <v>187</v>
      </c>
      <c r="L45" s="131" t="s">
        <v>187</v>
      </c>
      <c r="M45" s="131" t="s">
        <v>187</v>
      </c>
      <c r="N45" s="171" t="s">
        <v>187</v>
      </c>
    </row>
    <row r="46" spans="1:14" ht="21" customHeight="1">
      <c r="A46" s="70"/>
      <c r="B46" s="72"/>
      <c r="C46" s="73"/>
      <c r="D46" s="74"/>
      <c r="E46" s="73"/>
      <c r="F46" s="73"/>
      <c r="G46" s="173"/>
      <c r="H46" s="197"/>
      <c r="I46" s="76"/>
      <c r="J46" s="77"/>
      <c r="K46" s="78"/>
      <c r="L46" s="77"/>
      <c r="M46" s="77"/>
      <c r="N46" s="174"/>
    </row>
    <row r="47" spans="1:14" ht="51.75" customHeight="1">
      <c r="A47" s="28" t="s">
        <v>67</v>
      </c>
      <c r="B47" s="36" t="s">
        <v>144</v>
      </c>
      <c r="C47" s="37"/>
      <c r="D47" s="38"/>
      <c r="E47" s="82"/>
      <c r="F47" s="37"/>
      <c r="G47" s="170"/>
      <c r="H47" s="198" t="s">
        <v>67</v>
      </c>
      <c r="I47" s="36" t="s">
        <v>145</v>
      </c>
      <c r="J47" s="37"/>
      <c r="K47" s="38"/>
      <c r="L47" s="39"/>
      <c r="M47" s="37"/>
      <c r="N47" s="170"/>
    </row>
    <row r="48" spans="1:14" ht="51.75" customHeight="1">
      <c r="A48" s="29"/>
      <c r="B48" s="119" t="s">
        <v>0</v>
      </c>
      <c r="C48" s="120" t="s">
        <v>220</v>
      </c>
      <c r="D48" s="120" t="s">
        <v>198</v>
      </c>
      <c r="E48" s="121" t="s">
        <v>1</v>
      </c>
      <c r="F48" s="121" t="s">
        <v>20</v>
      </c>
      <c r="G48" s="121" t="s">
        <v>35</v>
      </c>
      <c r="H48" s="199"/>
      <c r="I48" s="119" t="s">
        <v>0</v>
      </c>
      <c r="J48" s="120" t="s">
        <v>220</v>
      </c>
      <c r="K48" s="120" t="s">
        <v>198</v>
      </c>
      <c r="L48" s="121" t="s">
        <v>1</v>
      </c>
      <c r="M48" s="121" t="s">
        <v>20</v>
      </c>
      <c r="N48" s="121" t="s">
        <v>35</v>
      </c>
    </row>
    <row r="49" spans="1:14" ht="15.75">
      <c r="A49" s="29"/>
      <c r="B49" s="104" t="s">
        <v>169</v>
      </c>
      <c r="C49" s="3">
        <v>0.2757</v>
      </c>
      <c r="D49" s="5" t="s">
        <v>195</v>
      </c>
      <c r="E49" s="143" t="s">
        <v>187</v>
      </c>
      <c r="F49" s="144" t="s">
        <v>188</v>
      </c>
      <c r="G49" s="144" t="s">
        <v>196</v>
      </c>
      <c r="H49" s="199"/>
      <c r="I49" s="154" t="s">
        <v>187</v>
      </c>
      <c r="J49" s="155" t="s">
        <v>187</v>
      </c>
      <c r="K49" s="155" t="s">
        <v>187</v>
      </c>
      <c r="L49" s="144" t="s">
        <v>187</v>
      </c>
      <c r="M49" s="144" t="s">
        <v>187</v>
      </c>
      <c r="N49" s="144" t="s">
        <v>187</v>
      </c>
    </row>
    <row r="50" spans="1:14" ht="71.25">
      <c r="A50" s="29"/>
      <c r="B50" s="104" t="s">
        <v>138</v>
      </c>
      <c r="C50" s="5">
        <v>0.72640000000000005</v>
      </c>
      <c r="D50" s="5">
        <v>0.7</v>
      </c>
      <c r="E50" s="6" t="s">
        <v>4</v>
      </c>
      <c r="F50" s="7" t="s">
        <v>86</v>
      </c>
      <c r="G50" s="6" t="s">
        <v>218</v>
      </c>
      <c r="H50" s="199"/>
      <c r="I50" s="104" t="s">
        <v>228</v>
      </c>
      <c r="J50" s="5">
        <v>0.97</v>
      </c>
      <c r="K50" s="5">
        <v>0.95</v>
      </c>
      <c r="L50" s="6" t="s">
        <v>4</v>
      </c>
      <c r="M50" s="7" t="s">
        <v>122</v>
      </c>
      <c r="N50" s="6" t="s">
        <v>218</v>
      </c>
    </row>
    <row r="51" spans="1:14">
      <c r="A51" s="29"/>
      <c r="B51" s="104" t="s">
        <v>2</v>
      </c>
      <c r="C51" s="3">
        <v>0.189</v>
      </c>
      <c r="D51" s="3">
        <v>0.19</v>
      </c>
      <c r="E51" s="1" t="s">
        <v>3</v>
      </c>
      <c r="F51" s="4" t="s">
        <v>211</v>
      </c>
      <c r="G51" s="1" t="s">
        <v>14</v>
      </c>
      <c r="H51" s="199"/>
      <c r="I51" s="104" t="s">
        <v>2</v>
      </c>
      <c r="J51" s="3">
        <v>0.28410000000000002</v>
      </c>
      <c r="K51" s="3">
        <v>0.28000000000000003</v>
      </c>
      <c r="L51" s="1" t="s">
        <v>3</v>
      </c>
      <c r="M51" s="4" t="s">
        <v>212</v>
      </c>
      <c r="N51" s="1" t="s">
        <v>14</v>
      </c>
    </row>
    <row r="52" spans="1:14" ht="28.5">
      <c r="A52" s="29"/>
      <c r="B52" s="105" t="s">
        <v>137</v>
      </c>
      <c r="C52" s="3">
        <v>2.5499999999999998E-2</v>
      </c>
      <c r="D52" s="3">
        <v>0.06</v>
      </c>
      <c r="E52" s="1" t="s">
        <v>4</v>
      </c>
      <c r="F52" s="4" t="s">
        <v>58</v>
      </c>
      <c r="G52" s="1" t="s">
        <v>15</v>
      </c>
      <c r="H52" s="199"/>
      <c r="I52" s="104" t="s">
        <v>137</v>
      </c>
      <c r="J52" s="3">
        <v>4.2099999999999999E-2</v>
      </c>
      <c r="K52" s="3">
        <v>0.06</v>
      </c>
      <c r="L52" s="1" t="s">
        <v>4</v>
      </c>
      <c r="M52" s="4" t="s">
        <v>58</v>
      </c>
      <c r="N52" s="1" t="s">
        <v>15</v>
      </c>
    </row>
    <row r="53" spans="1:14" ht="42.75">
      <c r="A53" s="29"/>
      <c r="B53" s="104" t="s">
        <v>170</v>
      </c>
      <c r="C53" s="3">
        <v>2.8999999999999998E-3</v>
      </c>
      <c r="D53" s="3">
        <v>0.05</v>
      </c>
      <c r="E53" s="8" t="s">
        <v>3</v>
      </c>
      <c r="F53" s="9" t="s">
        <v>51</v>
      </c>
      <c r="G53" s="145" t="s">
        <v>187</v>
      </c>
      <c r="H53" s="199"/>
      <c r="I53" s="104" t="s">
        <v>170</v>
      </c>
      <c r="J53" s="3">
        <v>2E-3</v>
      </c>
      <c r="K53" s="3">
        <v>0.05</v>
      </c>
      <c r="L53" s="8" t="s">
        <v>3</v>
      </c>
      <c r="M53" s="9" t="s">
        <v>51</v>
      </c>
      <c r="N53" s="145" t="s">
        <v>187</v>
      </c>
    </row>
    <row r="54" spans="1:14">
      <c r="A54" s="29"/>
      <c r="B54" s="104" t="s">
        <v>10</v>
      </c>
      <c r="C54" s="3">
        <v>5.9999999999999995E-4</v>
      </c>
      <c r="D54" s="3">
        <v>0.05</v>
      </c>
      <c r="E54" s="8" t="s">
        <v>3</v>
      </c>
      <c r="F54" s="9" t="s">
        <v>51</v>
      </c>
      <c r="G54" s="145" t="s">
        <v>187</v>
      </c>
      <c r="H54" s="199"/>
      <c r="I54" s="104" t="s">
        <v>10</v>
      </c>
      <c r="J54" s="3">
        <v>5.0000000000000001E-4</v>
      </c>
      <c r="K54" s="3">
        <v>0.05</v>
      </c>
      <c r="L54" s="8" t="s">
        <v>3</v>
      </c>
      <c r="M54" s="9" t="s">
        <v>51</v>
      </c>
      <c r="N54" s="145" t="s">
        <v>187</v>
      </c>
    </row>
    <row r="55" spans="1:14">
      <c r="A55" s="29"/>
      <c r="B55" s="104" t="s">
        <v>12</v>
      </c>
      <c r="C55" s="3">
        <v>0.1608</v>
      </c>
      <c r="D55" s="3">
        <v>0.15</v>
      </c>
      <c r="E55" s="1" t="s">
        <v>3</v>
      </c>
      <c r="F55" s="9" t="s">
        <v>52</v>
      </c>
      <c r="G55" s="9" t="s">
        <v>18</v>
      </c>
      <c r="H55" s="199"/>
      <c r="I55" s="104" t="s">
        <v>12</v>
      </c>
      <c r="J55" s="3">
        <v>0.14480000000000001</v>
      </c>
      <c r="K55" s="3">
        <v>0.15</v>
      </c>
      <c r="L55" s="1" t="s">
        <v>3</v>
      </c>
      <c r="M55" s="9" t="s">
        <v>52</v>
      </c>
      <c r="N55" s="9" t="s">
        <v>18</v>
      </c>
    </row>
    <row r="56" spans="1:14">
      <c r="A56" s="29"/>
      <c r="B56" s="104" t="s">
        <v>171</v>
      </c>
      <c r="C56" s="3">
        <v>0</v>
      </c>
      <c r="D56" s="3">
        <v>0.05</v>
      </c>
      <c r="E56" s="1" t="s">
        <v>3</v>
      </c>
      <c r="F56" s="10" t="s">
        <v>51</v>
      </c>
      <c r="G56" s="132" t="s">
        <v>187</v>
      </c>
      <c r="H56" s="199"/>
      <c r="I56" s="104" t="s">
        <v>171</v>
      </c>
      <c r="J56" s="3">
        <v>0</v>
      </c>
      <c r="K56" s="3">
        <v>0.05</v>
      </c>
      <c r="L56" s="1" t="s">
        <v>3</v>
      </c>
      <c r="M56" s="10" t="s">
        <v>51</v>
      </c>
      <c r="N56" s="132" t="s">
        <v>187</v>
      </c>
    </row>
    <row r="57" spans="1:14" ht="15">
      <c r="A57" s="29"/>
      <c r="B57" s="106" t="s">
        <v>5</v>
      </c>
      <c r="C57" s="27">
        <f>SUBTOTAL(109,C49:C56)</f>
        <v>1.3809</v>
      </c>
      <c r="D57" s="99">
        <f>SUBTOTAL(109,D49:D56)</f>
        <v>1.25</v>
      </c>
      <c r="E57" s="117" t="s">
        <v>187</v>
      </c>
      <c r="F57" s="118" t="s">
        <v>243</v>
      </c>
      <c r="G57" s="112" t="s">
        <v>187</v>
      </c>
      <c r="H57" s="199"/>
      <c r="I57" s="106" t="s">
        <v>5</v>
      </c>
      <c r="J57" s="27">
        <f>SUBTOTAL(109,J49:J56)</f>
        <v>1.4435</v>
      </c>
      <c r="K57" s="99">
        <f>SUBTOTAL(109,K49:K56)</f>
        <v>1.59</v>
      </c>
      <c r="L57" s="118" t="s">
        <v>187</v>
      </c>
      <c r="M57" s="118" t="s">
        <v>187</v>
      </c>
      <c r="N57" s="112" t="s">
        <v>187</v>
      </c>
    </row>
    <row r="58" spans="1:14">
      <c r="A58" s="29"/>
      <c r="B58" s="104" t="s">
        <v>6</v>
      </c>
      <c r="C58" s="11">
        <v>0.20200000000000001</v>
      </c>
      <c r="D58" s="11">
        <v>0.2</v>
      </c>
      <c r="E58" s="1" t="s">
        <v>4</v>
      </c>
      <c r="F58" s="9" t="s">
        <v>64</v>
      </c>
      <c r="G58" s="1" t="s">
        <v>19</v>
      </c>
      <c r="H58" s="199"/>
      <c r="I58" s="104" t="s">
        <v>6</v>
      </c>
      <c r="J58" s="11">
        <v>0.20330000000000001</v>
      </c>
      <c r="K58" s="11">
        <v>0.2</v>
      </c>
      <c r="L58" s="1" t="s">
        <v>4</v>
      </c>
      <c r="M58" s="9" t="s">
        <v>64</v>
      </c>
      <c r="N58" s="1" t="s">
        <v>19</v>
      </c>
    </row>
    <row r="59" spans="1:14" ht="30">
      <c r="A59" s="29"/>
      <c r="B59" s="106" t="s">
        <v>225</v>
      </c>
      <c r="C59" s="12">
        <v>1.4E-3</v>
      </c>
      <c r="D59" s="196" t="s">
        <v>187</v>
      </c>
      <c r="E59" s="131" t="s">
        <v>187</v>
      </c>
      <c r="F59" s="131" t="s">
        <v>187</v>
      </c>
      <c r="G59" s="171" t="s">
        <v>187</v>
      </c>
      <c r="H59" s="199"/>
      <c r="I59" s="106" t="s">
        <v>225</v>
      </c>
      <c r="J59" s="12">
        <v>1.4E-3</v>
      </c>
      <c r="K59" s="196" t="s">
        <v>187</v>
      </c>
      <c r="L59" s="131" t="s">
        <v>187</v>
      </c>
      <c r="M59" s="131" t="s">
        <v>187</v>
      </c>
      <c r="N59" s="171" t="s">
        <v>187</v>
      </c>
    </row>
    <row r="60" spans="1:14" ht="21" customHeight="1">
      <c r="A60" s="70"/>
      <c r="B60" s="72"/>
      <c r="C60" s="73"/>
      <c r="D60" s="74"/>
      <c r="E60" s="73"/>
      <c r="F60" s="73"/>
      <c r="G60" s="173"/>
      <c r="H60" s="197"/>
      <c r="I60" s="76"/>
      <c r="J60" s="77"/>
      <c r="K60" s="78"/>
      <c r="L60" s="77"/>
      <c r="M60" s="77"/>
      <c r="N60" s="174"/>
    </row>
    <row r="61" spans="1:14" ht="51.75" customHeight="1">
      <c r="A61" s="28" t="s">
        <v>68</v>
      </c>
      <c r="B61" s="36" t="s">
        <v>146</v>
      </c>
      <c r="C61" s="37"/>
      <c r="D61" s="38"/>
      <c r="E61" s="82"/>
      <c r="F61" s="37"/>
      <c r="G61" s="170"/>
      <c r="H61" s="198" t="s">
        <v>68</v>
      </c>
      <c r="I61" s="36" t="s">
        <v>147</v>
      </c>
      <c r="J61" s="37"/>
      <c r="K61" s="38"/>
      <c r="L61" s="39"/>
      <c r="M61" s="37"/>
      <c r="N61" s="170"/>
    </row>
    <row r="62" spans="1:14" ht="51.75" customHeight="1">
      <c r="A62" s="29"/>
      <c r="B62" s="119" t="s">
        <v>0</v>
      </c>
      <c r="C62" s="120" t="s">
        <v>220</v>
      </c>
      <c r="D62" s="120" t="s">
        <v>198</v>
      </c>
      <c r="E62" s="121" t="s">
        <v>22</v>
      </c>
      <c r="F62" s="121" t="s">
        <v>20</v>
      </c>
      <c r="G62" s="121" t="s">
        <v>35</v>
      </c>
      <c r="H62" s="199"/>
      <c r="I62" s="119" t="s">
        <v>0</v>
      </c>
      <c r="J62" s="120" t="s">
        <v>220</v>
      </c>
      <c r="K62" s="120" t="s">
        <v>198</v>
      </c>
      <c r="L62" s="121" t="s">
        <v>22</v>
      </c>
      <c r="M62" s="121" t="s">
        <v>20</v>
      </c>
      <c r="N62" s="121" t="s">
        <v>35</v>
      </c>
    </row>
    <row r="63" spans="1:14" ht="15.75">
      <c r="A63" s="29"/>
      <c r="B63" s="2" t="s">
        <v>169</v>
      </c>
      <c r="C63" s="5">
        <v>0.27400000000000002</v>
      </c>
      <c r="D63" s="5">
        <v>0.3</v>
      </c>
      <c r="E63" s="143" t="s">
        <v>187</v>
      </c>
      <c r="F63" s="144" t="s">
        <v>187</v>
      </c>
      <c r="G63" s="144" t="s">
        <v>187</v>
      </c>
      <c r="H63" s="199"/>
      <c r="I63" s="156" t="s">
        <v>187</v>
      </c>
      <c r="J63" s="155" t="s">
        <v>187</v>
      </c>
      <c r="K63" s="155" t="s">
        <v>187</v>
      </c>
      <c r="L63" s="144" t="s">
        <v>187</v>
      </c>
      <c r="M63" s="144" t="s">
        <v>187</v>
      </c>
      <c r="N63" s="144" t="s">
        <v>187</v>
      </c>
    </row>
    <row r="64" spans="1:14" ht="71.25">
      <c r="A64" s="29"/>
      <c r="B64" s="2" t="s">
        <v>138</v>
      </c>
      <c r="C64" s="5">
        <v>4.3700000000000003E-2</v>
      </c>
      <c r="D64" s="5">
        <v>0.06</v>
      </c>
      <c r="E64" s="6" t="s">
        <v>4</v>
      </c>
      <c r="F64" s="7" t="s">
        <v>58</v>
      </c>
      <c r="G64" s="6" t="s">
        <v>218</v>
      </c>
      <c r="H64" s="199"/>
      <c r="I64" s="2" t="s">
        <v>228</v>
      </c>
      <c r="J64" s="5">
        <v>2.87E-2</v>
      </c>
      <c r="K64" s="5">
        <v>0.06</v>
      </c>
      <c r="L64" s="6" t="s">
        <v>4</v>
      </c>
      <c r="M64" s="7" t="s">
        <v>58</v>
      </c>
      <c r="N64" s="6" t="s">
        <v>218</v>
      </c>
    </row>
    <row r="65" spans="1:14">
      <c r="A65" s="29"/>
      <c r="B65" s="2" t="s">
        <v>2</v>
      </c>
      <c r="C65" s="3">
        <v>0.12970000000000001</v>
      </c>
      <c r="D65" s="3">
        <v>0.11</v>
      </c>
      <c r="E65" s="1" t="s">
        <v>3</v>
      </c>
      <c r="F65" s="4" t="s">
        <v>213</v>
      </c>
      <c r="G65" s="1" t="s">
        <v>14</v>
      </c>
      <c r="H65" s="199"/>
      <c r="I65" s="2" t="s">
        <v>2</v>
      </c>
      <c r="J65" s="3">
        <v>0.34100000000000003</v>
      </c>
      <c r="K65" s="3">
        <v>0.35</v>
      </c>
      <c r="L65" s="1" t="s">
        <v>3</v>
      </c>
      <c r="M65" s="4" t="s">
        <v>117</v>
      </c>
      <c r="N65" s="1" t="s">
        <v>14</v>
      </c>
    </row>
    <row r="66" spans="1:14" ht="28.5">
      <c r="A66" s="29"/>
      <c r="B66" s="69" t="s">
        <v>137</v>
      </c>
      <c r="C66" s="3">
        <v>0.46379999999999999</v>
      </c>
      <c r="D66" s="3">
        <v>0.5</v>
      </c>
      <c r="E66" s="1" t="s">
        <v>4</v>
      </c>
      <c r="F66" s="4" t="s">
        <v>91</v>
      </c>
      <c r="G66" s="1" t="s">
        <v>15</v>
      </c>
      <c r="H66" s="199"/>
      <c r="I66" s="2" t="s">
        <v>137</v>
      </c>
      <c r="J66" s="3">
        <v>0.58160000000000001</v>
      </c>
      <c r="K66" s="3">
        <v>0.6</v>
      </c>
      <c r="L66" s="1" t="s">
        <v>4</v>
      </c>
      <c r="M66" s="4" t="s">
        <v>214</v>
      </c>
      <c r="N66" s="1" t="s">
        <v>15</v>
      </c>
    </row>
    <row r="67" spans="1:14" ht="42.75">
      <c r="A67" s="29"/>
      <c r="B67" s="2" t="s">
        <v>170</v>
      </c>
      <c r="C67" s="3">
        <v>1.6000000000000001E-3</v>
      </c>
      <c r="D67" s="3">
        <v>0.05</v>
      </c>
      <c r="E67" s="8" t="s">
        <v>3</v>
      </c>
      <c r="F67" s="9" t="s">
        <v>51</v>
      </c>
      <c r="G67" s="145" t="s">
        <v>187</v>
      </c>
      <c r="H67" s="199"/>
      <c r="I67" s="2" t="s">
        <v>170</v>
      </c>
      <c r="J67" s="3">
        <v>2.0000000000000001E-4</v>
      </c>
      <c r="K67" s="3">
        <v>0.05</v>
      </c>
      <c r="L67" s="8" t="s">
        <v>3</v>
      </c>
      <c r="M67" s="9" t="s">
        <v>51</v>
      </c>
      <c r="N67" s="145" t="s">
        <v>187</v>
      </c>
    </row>
    <row r="68" spans="1:14">
      <c r="A68" s="29"/>
      <c r="B68" s="2" t="s">
        <v>10</v>
      </c>
      <c r="C68" s="3">
        <v>1.5699999999999999E-2</v>
      </c>
      <c r="D68" s="3">
        <v>0.05</v>
      </c>
      <c r="E68" s="8" t="s">
        <v>3</v>
      </c>
      <c r="F68" s="9" t="s">
        <v>51</v>
      </c>
      <c r="G68" s="145" t="s">
        <v>187</v>
      </c>
      <c r="H68" s="199"/>
      <c r="I68" s="2" t="s">
        <v>10</v>
      </c>
      <c r="J68" s="3">
        <v>0</v>
      </c>
      <c r="K68" s="3">
        <v>0.05</v>
      </c>
      <c r="L68" s="8" t="s">
        <v>3</v>
      </c>
      <c r="M68" s="9" t="s">
        <v>51</v>
      </c>
      <c r="N68" s="145" t="s">
        <v>187</v>
      </c>
    </row>
    <row r="69" spans="1:14">
      <c r="A69" s="29"/>
      <c r="B69" s="2" t="s">
        <v>12</v>
      </c>
      <c r="C69" s="3">
        <v>7.1400000000000005E-2</v>
      </c>
      <c r="D69" s="3">
        <v>0.05</v>
      </c>
      <c r="E69" s="1" t="s">
        <v>3</v>
      </c>
      <c r="F69" s="9" t="s">
        <v>51</v>
      </c>
      <c r="G69" s="9" t="s">
        <v>18</v>
      </c>
      <c r="H69" s="199"/>
      <c r="I69" s="2" t="s">
        <v>12</v>
      </c>
      <c r="J69" s="3">
        <v>5.0099999999999999E-2</v>
      </c>
      <c r="K69" s="3">
        <v>0.05</v>
      </c>
      <c r="L69" s="1" t="s">
        <v>3</v>
      </c>
      <c r="M69" s="9" t="s">
        <v>51</v>
      </c>
      <c r="N69" s="9" t="s">
        <v>18</v>
      </c>
    </row>
    <row r="70" spans="1:14">
      <c r="A70" s="29"/>
      <c r="B70" s="2" t="s">
        <v>171</v>
      </c>
      <c r="C70" s="3">
        <v>0</v>
      </c>
      <c r="D70" s="3">
        <v>0.05</v>
      </c>
      <c r="E70" s="1" t="s">
        <v>3</v>
      </c>
      <c r="F70" s="10" t="s">
        <v>51</v>
      </c>
      <c r="G70" s="132" t="s">
        <v>187</v>
      </c>
      <c r="H70" s="199"/>
      <c r="I70" s="2" t="s">
        <v>171</v>
      </c>
      <c r="J70" s="3">
        <v>0</v>
      </c>
      <c r="K70" s="3">
        <v>0.05</v>
      </c>
      <c r="L70" s="1" t="s">
        <v>3</v>
      </c>
      <c r="M70" s="10" t="s">
        <v>51</v>
      </c>
      <c r="N70" s="132" t="s">
        <v>187</v>
      </c>
    </row>
    <row r="71" spans="1:14" ht="15">
      <c r="A71" s="29"/>
      <c r="B71" s="26" t="s">
        <v>5</v>
      </c>
      <c r="C71" s="99">
        <f>SUBTOTAL(109,C63:C70)</f>
        <v>0.99990000000000012</v>
      </c>
      <c r="D71" s="99">
        <f>SUBTOTAL(109,D63:D70)</f>
        <v>1.1700000000000002</v>
      </c>
      <c r="E71" s="117" t="s">
        <v>187</v>
      </c>
      <c r="F71" s="118" t="s">
        <v>187</v>
      </c>
      <c r="G71" s="112" t="s">
        <v>187</v>
      </c>
      <c r="H71" s="199"/>
      <c r="I71" s="26" t="s">
        <v>5</v>
      </c>
      <c r="J71" s="27">
        <f>SUBTOTAL(109,J63:J70)</f>
        <v>1.0016</v>
      </c>
      <c r="K71" s="27">
        <f>SUBTOTAL(109,K63:K70)</f>
        <v>1.2100000000000002</v>
      </c>
      <c r="L71" s="118" t="s">
        <v>187</v>
      </c>
      <c r="M71" s="118" t="s">
        <v>187</v>
      </c>
      <c r="N71" s="112" t="s">
        <v>187</v>
      </c>
    </row>
    <row r="72" spans="1:14">
      <c r="A72" s="29"/>
      <c r="B72" s="2" t="s">
        <v>6</v>
      </c>
      <c r="C72" s="11">
        <v>5.5100000000000003E-2</v>
      </c>
      <c r="D72" s="11">
        <v>0.06</v>
      </c>
      <c r="E72" s="1" t="s">
        <v>4</v>
      </c>
      <c r="F72" s="9" t="s">
        <v>58</v>
      </c>
      <c r="G72" s="1" t="s">
        <v>19</v>
      </c>
      <c r="H72" s="199"/>
      <c r="I72" s="2" t="s">
        <v>6</v>
      </c>
      <c r="J72" s="11">
        <v>5.28E-2</v>
      </c>
      <c r="K72" s="11">
        <v>0.06</v>
      </c>
      <c r="L72" s="1" t="s">
        <v>4</v>
      </c>
      <c r="M72" s="9" t="s">
        <v>58</v>
      </c>
      <c r="N72" s="1" t="s">
        <v>19</v>
      </c>
    </row>
    <row r="73" spans="1:14" ht="30">
      <c r="A73" s="29"/>
      <c r="B73" s="106" t="s">
        <v>225</v>
      </c>
      <c r="C73" s="12">
        <v>1.4E-3</v>
      </c>
      <c r="D73" s="196" t="s">
        <v>187</v>
      </c>
      <c r="E73" s="131" t="s">
        <v>187</v>
      </c>
      <c r="F73" s="131" t="s">
        <v>187</v>
      </c>
      <c r="G73" s="171" t="s">
        <v>187</v>
      </c>
      <c r="H73" s="199"/>
      <c r="I73" s="106" t="s">
        <v>225</v>
      </c>
      <c r="J73" s="12">
        <v>2E-3</v>
      </c>
      <c r="K73" s="196" t="s">
        <v>187</v>
      </c>
      <c r="L73" s="131" t="s">
        <v>187</v>
      </c>
      <c r="M73" s="131" t="s">
        <v>187</v>
      </c>
      <c r="N73" s="171" t="s">
        <v>187</v>
      </c>
    </row>
    <row r="74" spans="1:14" ht="21" customHeight="1">
      <c r="A74" s="70"/>
      <c r="B74" s="72"/>
      <c r="C74" s="73"/>
      <c r="D74" s="74"/>
      <c r="E74" s="73"/>
      <c r="F74" s="73"/>
      <c r="G74" s="173"/>
      <c r="H74" s="197"/>
      <c r="I74" s="76"/>
      <c r="J74" s="77"/>
      <c r="K74" s="78"/>
      <c r="L74" s="77"/>
      <c r="M74" s="77"/>
      <c r="N74" s="174"/>
    </row>
    <row r="75" spans="1:14" ht="51.75" customHeight="1">
      <c r="A75" s="28" t="s">
        <v>70</v>
      </c>
      <c r="B75" s="36" t="s">
        <v>148</v>
      </c>
      <c r="C75" s="37"/>
      <c r="D75" s="38"/>
      <c r="E75" s="82"/>
      <c r="F75" s="37"/>
      <c r="G75" s="170"/>
      <c r="H75" s="198" t="s">
        <v>70</v>
      </c>
      <c r="I75" s="36" t="s">
        <v>149</v>
      </c>
      <c r="J75" s="37"/>
      <c r="K75" s="38"/>
      <c r="L75" s="39"/>
      <c r="M75" s="37"/>
      <c r="N75" s="170"/>
    </row>
    <row r="76" spans="1:14" ht="51.75" customHeight="1">
      <c r="A76" s="29"/>
      <c r="B76" s="119" t="s">
        <v>0</v>
      </c>
      <c r="C76" s="120" t="s">
        <v>220</v>
      </c>
      <c r="D76" s="120" t="s">
        <v>198</v>
      </c>
      <c r="E76" s="121" t="s">
        <v>22</v>
      </c>
      <c r="F76" s="121" t="s">
        <v>20</v>
      </c>
      <c r="G76" s="121" t="s">
        <v>35</v>
      </c>
      <c r="H76" s="199"/>
      <c r="I76" s="119" t="s">
        <v>0</v>
      </c>
      <c r="J76" s="120" t="s">
        <v>220</v>
      </c>
      <c r="K76" s="120" t="s">
        <v>198</v>
      </c>
      <c r="L76" s="121" t="s">
        <v>22</v>
      </c>
      <c r="M76" s="121" t="s">
        <v>20</v>
      </c>
      <c r="N76" s="121" t="s">
        <v>35</v>
      </c>
    </row>
    <row r="77" spans="1:14" ht="15.75">
      <c r="A77" s="29"/>
      <c r="B77" s="104" t="s">
        <v>169</v>
      </c>
      <c r="C77" s="3">
        <v>0.2329</v>
      </c>
      <c r="D77" s="5">
        <v>0.3</v>
      </c>
      <c r="E77" s="143" t="s">
        <v>187</v>
      </c>
      <c r="F77" s="144" t="s">
        <v>187</v>
      </c>
      <c r="G77" s="144" t="s">
        <v>187</v>
      </c>
      <c r="H77" s="199"/>
      <c r="I77" s="154" t="s">
        <v>187</v>
      </c>
      <c r="J77" s="155" t="s">
        <v>187</v>
      </c>
      <c r="K77" s="155" t="s">
        <v>187</v>
      </c>
      <c r="L77" s="144" t="s">
        <v>187</v>
      </c>
      <c r="M77" s="144" t="s">
        <v>187</v>
      </c>
      <c r="N77" s="144" t="s">
        <v>187</v>
      </c>
    </row>
    <row r="78" spans="1:14" ht="28.5">
      <c r="A78" s="29"/>
      <c r="B78" s="104" t="s">
        <v>138</v>
      </c>
      <c r="C78" s="113">
        <v>0</v>
      </c>
      <c r="D78" s="5">
        <v>0</v>
      </c>
      <c r="E78" s="6" t="s">
        <v>4</v>
      </c>
      <c r="F78" s="157" t="s">
        <v>243</v>
      </c>
      <c r="G78" s="147" t="s">
        <v>187</v>
      </c>
      <c r="H78" s="199"/>
      <c r="I78" s="104" t="s">
        <v>228</v>
      </c>
      <c r="J78" s="157">
        <v>0</v>
      </c>
      <c r="K78" s="157" t="s">
        <v>187</v>
      </c>
      <c r="L78" s="6" t="s">
        <v>4</v>
      </c>
      <c r="M78" s="157" t="s">
        <v>243</v>
      </c>
      <c r="N78" s="147" t="s">
        <v>187</v>
      </c>
    </row>
    <row r="79" spans="1:14">
      <c r="A79" s="29"/>
      <c r="B79" s="104" t="s">
        <v>2</v>
      </c>
      <c r="C79" s="3">
        <v>0.68799999999999994</v>
      </c>
      <c r="D79" s="3">
        <v>0.65</v>
      </c>
      <c r="E79" s="1" t="s">
        <v>3</v>
      </c>
      <c r="F79" s="4" t="s">
        <v>193</v>
      </c>
      <c r="G79" s="1" t="s">
        <v>14</v>
      </c>
      <c r="H79" s="199"/>
      <c r="I79" s="104" t="s">
        <v>2</v>
      </c>
      <c r="J79" s="3">
        <v>0.96209999999999996</v>
      </c>
      <c r="K79" s="3">
        <v>0.98</v>
      </c>
      <c r="L79" s="1" t="s">
        <v>3</v>
      </c>
      <c r="M79" s="4" t="s">
        <v>179</v>
      </c>
      <c r="N79" s="1" t="s">
        <v>14</v>
      </c>
    </row>
    <row r="80" spans="1:14" ht="42.75">
      <c r="A80" s="29"/>
      <c r="B80" s="105" t="s">
        <v>185</v>
      </c>
      <c r="C80" s="3">
        <v>2.0000000000000001E-4</v>
      </c>
      <c r="D80" s="3">
        <v>0</v>
      </c>
      <c r="E80" s="1" t="s">
        <v>4</v>
      </c>
      <c r="F80" s="113" t="s">
        <v>243</v>
      </c>
      <c r="G80" s="145" t="s">
        <v>187</v>
      </c>
      <c r="H80" s="199"/>
      <c r="I80" s="104" t="s">
        <v>186</v>
      </c>
      <c r="J80" s="113" t="s">
        <v>187</v>
      </c>
      <c r="K80" s="113" t="s">
        <v>187</v>
      </c>
      <c r="L80" s="1" t="s">
        <v>4</v>
      </c>
      <c r="M80" s="113" t="s">
        <v>243</v>
      </c>
      <c r="N80" s="145" t="s">
        <v>187</v>
      </c>
    </row>
    <row r="81" spans="1:14" ht="42.75">
      <c r="A81" s="29"/>
      <c r="B81" s="104" t="s">
        <v>170</v>
      </c>
      <c r="C81" s="113">
        <v>0</v>
      </c>
      <c r="D81" s="3">
        <v>0</v>
      </c>
      <c r="E81" s="8" t="s">
        <v>3</v>
      </c>
      <c r="F81" s="132" t="s">
        <v>243</v>
      </c>
      <c r="G81" s="145" t="s">
        <v>187</v>
      </c>
      <c r="H81" s="199"/>
      <c r="I81" s="104" t="s">
        <v>170</v>
      </c>
      <c r="J81" s="113" t="s">
        <v>187</v>
      </c>
      <c r="K81" s="113" t="s">
        <v>187</v>
      </c>
      <c r="L81" s="8" t="s">
        <v>3</v>
      </c>
      <c r="M81" s="132" t="s">
        <v>243</v>
      </c>
      <c r="N81" s="145" t="s">
        <v>187</v>
      </c>
    </row>
    <row r="82" spans="1:14">
      <c r="A82" s="29"/>
      <c r="B82" s="104" t="s">
        <v>10</v>
      </c>
      <c r="C82" s="113">
        <v>0</v>
      </c>
      <c r="D82" s="3">
        <v>0</v>
      </c>
      <c r="E82" s="8" t="s">
        <v>3</v>
      </c>
      <c r="F82" s="132" t="s">
        <v>243</v>
      </c>
      <c r="G82" s="145" t="s">
        <v>187</v>
      </c>
      <c r="H82" s="199"/>
      <c r="I82" s="104" t="s">
        <v>10</v>
      </c>
      <c r="J82" s="113" t="s">
        <v>187</v>
      </c>
      <c r="K82" s="113" t="s">
        <v>187</v>
      </c>
      <c r="L82" s="8" t="s">
        <v>3</v>
      </c>
      <c r="M82" s="132" t="s">
        <v>243</v>
      </c>
      <c r="N82" s="145" t="s">
        <v>187</v>
      </c>
    </row>
    <row r="83" spans="1:14">
      <c r="A83" s="29"/>
      <c r="B83" s="104" t="s">
        <v>12</v>
      </c>
      <c r="C83" s="3">
        <v>7.4899999999999994E-2</v>
      </c>
      <c r="D83" s="3">
        <v>0.05</v>
      </c>
      <c r="E83" s="1" t="s">
        <v>3</v>
      </c>
      <c r="F83" s="9" t="s">
        <v>51</v>
      </c>
      <c r="G83" s="9" t="s">
        <v>18</v>
      </c>
      <c r="H83" s="199"/>
      <c r="I83" s="104" t="s">
        <v>12</v>
      </c>
      <c r="J83" s="3">
        <v>3.6600000000000001E-2</v>
      </c>
      <c r="K83" s="3">
        <v>0.05</v>
      </c>
      <c r="L83" s="1" t="s">
        <v>3</v>
      </c>
      <c r="M83" s="9" t="s">
        <v>51</v>
      </c>
      <c r="N83" s="9" t="s">
        <v>18</v>
      </c>
    </row>
    <row r="84" spans="1:14">
      <c r="A84" s="29"/>
      <c r="B84" s="104" t="s">
        <v>171</v>
      </c>
      <c r="C84" s="113">
        <v>0</v>
      </c>
      <c r="D84" s="3">
        <v>0</v>
      </c>
      <c r="E84" s="1" t="s">
        <v>3</v>
      </c>
      <c r="F84" s="234" t="s">
        <v>243</v>
      </c>
      <c r="G84" s="132" t="s">
        <v>187</v>
      </c>
      <c r="H84" s="199"/>
      <c r="I84" s="104" t="s">
        <v>171</v>
      </c>
      <c r="J84" s="113" t="s">
        <v>187</v>
      </c>
      <c r="K84" s="113" t="s">
        <v>187</v>
      </c>
      <c r="L84" s="1" t="s">
        <v>3</v>
      </c>
      <c r="M84" s="234" t="s">
        <v>243</v>
      </c>
      <c r="N84" s="132" t="s">
        <v>187</v>
      </c>
    </row>
    <row r="85" spans="1:14" ht="15">
      <c r="A85" s="29"/>
      <c r="B85" s="106" t="s">
        <v>5</v>
      </c>
      <c r="C85" s="99">
        <f>SUBTOTAL(109,C77:C84)</f>
        <v>0.99599999999999989</v>
      </c>
      <c r="D85" s="99">
        <f>SUBTOTAL(109,D77:D84)</f>
        <v>1</v>
      </c>
      <c r="E85" s="117" t="s">
        <v>187</v>
      </c>
      <c r="F85" s="118" t="s">
        <v>187</v>
      </c>
      <c r="G85" s="112" t="s">
        <v>187</v>
      </c>
      <c r="H85" s="199"/>
      <c r="I85" s="106" t="s">
        <v>5</v>
      </c>
      <c r="J85" s="99">
        <f>SUBTOTAL(109,J77:J84)</f>
        <v>0.99869999999999992</v>
      </c>
      <c r="K85" s="99">
        <f>SUBTOTAL(109,K77:K84)</f>
        <v>1.03</v>
      </c>
      <c r="L85" s="118" t="s">
        <v>187</v>
      </c>
      <c r="M85" s="118" t="s">
        <v>187</v>
      </c>
      <c r="N85" s="112" t="s">
        <v>187</v>
      </c>
    </row>
    <row r="86" spans="1:14">
      <c r="A86" s="29"/>
      <c r="B86" s="104" t="s">
        <v>6</v>
      </c>
      <c r="C86" s="141">
        <v>0</v>
      </c>
      <c r="D86" s="11">
        <v>0</v>
      </c>
      <c r="E86" s="1" t="s">
        <v>4</v>
      </c>
      <c r="F86" s="132" t="s">
        <v>243</v>
      </c>
      <c r="G86" s="145" t="s">
        <v>187</v>
      </c>
      <c r="H86" s="199"/>
      <c r="I86" s="104" t="s">
        <v>6</v>
      </c>
      <c r="J86" s="141" t="s">
        <v>187</v>
      </c>
      <c r="K86" s="141" t="s">
        <v>187</v>
      </c>
      <c r="L86" s="1" t="s">
        <v>4</v>
      </c>
      <c r="M86" s="132" t="s">
        <v>243</v>
      </c>
      <c r="N86" s="145" t="s">
        <v>187</v>
      </c>
    </row>
    <row r="87" spans="1:14" ht="30">
      <c r="A87" s="29"/>
      <c r="B87" s="106" t="s">
        <v>225</v>
      </c>
      <c r="C87" s="12">
        <v>2E-3</v>
      </c>
      <c r="D87" s="196" t="s">
        <v>187</v>
      </c>
      <c r="E87" s="131" t="s">
        <v>187</v>
      </c>
      <c r="F87" s="131" t="s">
        <v>187</v>
      </c>
      <c r="G87" s="171" t="s">
        <v>187</v>
      </c>
      <c r="H87" s="199"/>
      <c r="I87" s="106" t="s">
        <v>225</v>
      </c>
      <c r="J87" s="12">
        <v>2E-3</v>
      </c>
      <c r="K87" s="196" t="s">
        <v>187</v>
      </c>
      <c r="L87" s="131" t="s">
        <v>187</v>
      </c>
      <c r="M87" s="131" t="s">
        <v>187</v>
      </c>
      <c r="N87" s="171" t="s">
        <v>187</v>
      </c>
    </row>
    <row r="88" spans="1:14" ht="21" customHeight="1">
      <c r="A88" s="70"/>
      <c r="B88" s="72"/>
      <c r="C88" s="73"/>
      <c r="D88" s="74"/>
      <c r="E88" s="73"/>
      <c r="F88" s="73"/>
      <c r="G88" s="173"/>
      <c r="H88" s="197"/>
      <c r="I88" s="76"/>
      <c r="J88" s="77"/>
      <c r="K88" s="78"/>
      <c r="L88" s="77"/>
      <c r="M88" s="77"/>
      <c r="N88" s="174"/>
    </row>
    <row r="89" spans="1:14" ht="64.5" customHeight="1">
      <c r="A89" s="42" t="s">
        <v>92</v>
      </c>
      <c r="B89" s="36" t="s">
        <v>150</v>
      </c>
      <c r="C89" s="37"/>
      <c r="D89" s="38"/>
      <c r="E89" s="82"/>
      <c r="F89" s="82"/>
      <c r="G89" s="170"/>
      <c r="H89" s="200" t="s">
        <v>92</v>
      </c>
      <c r="I89" s="36" t="s">
        <v>151</v>
      </c>
      <c r="J89" s="37"/>
      <c r="K89" s="38"/>
      <c r="L89" s="39"/>
      <c r="M89" s="39"/>
      <c r="N89" s="170"/>
    </row>
    <row r="90" spans="1:14" ht="51.75" customHeight="1">
      <c r="A90" s="43"/>
      <c r="B90" s="119" t="s">
        <v>0</v>
      </c>
      <c r="C90" s="120" t="s">
        <v>220</v>
      </c>
      <c r="D90" s="120" t="s">
        <v>198</v>
      </c>
      <c r="E90" s="121" t="s">
        <v>22</v>
      </c>
      <c r="F90" s="121" t="s">
        <v>20</v>
      </c>
      <c r="G90" s="121" t="s">
        <v>35</v>
      </c>
      <c r="H90" s="201"/>
      <c r="I90" s="119" t="s">
        <v>0</v>
      </c>
      <c r="J90" s="120" t="s">
        <v>220</v>
      </c>
      <c r="K90" s="120" t="s">
        <v>198</v>
      </c>
      <c r="L90" s="121" t="s">
        <v>22</v>
      </c>
      <c r="M90" s="121" t="s">
        <v>20</v>
      </c>
      <c r="N90" s="121" t="s">
        <v>35</v>
      </c>
    </row>
    <row r="91" spans="1:14" ht="15.75">
      <c r="A91" s="43"/>
      <c r="B91" s="104" t="s">
        <v>169</v>
      </c>
      <c r="C91" s="5">
        <v>0.28060000000000002</v>
      </c>
      <c r="D91" s="5">
        <v>0.3</v>
      </c>
      <c r="E91" s="143" t="s">
        <v>187</v>
      </c>
      <c r="F91" s="144" t="s">
        <v>187</v>
      </c>
      <c r="G91" s="144" t="s">
        <v>187</v>
      </c>
      <c r="H91" s="201"/>
      <c r="I91" s="154" t="s">
        <v>187</v>
      </c>
      <c r="J91" s="155" t="s">
        <v>187</v>
      </c>
      <c r="K91" s="155" t="s">
        <v>187</v>
      </c>
      <c r="L91" s="144" t="s">
        <v>187</v>
      </c>
      <c r="M91" s="144" t="s">
        <v>187</v>
      </c>
      <c r="N91" s="144" t="s">
        <v>187</v>
      </c>
    </row>
    <row r="92" spans="1:14" ht="71.25">
      <c r="A92" s="43"/>
      <c r="B92" s="104" t="s">
        <v>138</v>
      </c>
      <c r="C92" s="5">
        <v>0.42370000000000002</v>
      </c>
      <c r="D92" s="5">
        <v>0.42</v>
      </c>
      <c r="E92" s="6" t="s">
        <v>23</v>
      </c>
      <c r="F92" s="7" t="s">
        <v>215</v>
      </c>
      <c r="G92" s="6" t="s">
        <v>218</v>
      </c>
      <c r="H92" s="201"/>
      <c r="I92" s="104" t="s">
        <v>228</v>
      </c>
      <c r="J92" s="5">
        <v>0.4521</v>
      </c>
      <c r="K92" s="5">
        <v>0.46</v>
      </c>
      <c r="L92" s="6" t="s">
        <v>23</v>
      </c>
      <c r="M92" s="7" t="s">
        <v>48</v>
      </c>
      <c r="N92" s="6" t="s">
        <v>218</v>
      </c>
    </row>
    <row r="93" spans="1:14">
      <c r="A93" s="43"/>
      <c r="B93" s="104" t="s">
        <v>2</v>
      </c>
      <c r="C93" s="3">
        <v>0.11990000000000001</v>
      </c>
      <c r="D93" s="3">
        <v>0.12</v>
      </c>
      <c r="E93" s="1" t="s">
        <v>24</v>
      </c>
      <c r="F93" s="4" t="s">
        <v>216</v>
      </c>
      <c r="G93" s="1" t="s">
        <v>14</v>
      </c>
      <c r="H93" s="201"/>
      <c r="I93" s="104" t="s">
        <v>2</v>
      </c>
      <c r="J93" s="3">
        <v>0.29709999999999998</v>
      </c>
      <c r="K93" s="3">
        <v>0.3</v>
      </c>
      <c r="L93" s="1" t="s">
        <v>24</v>
      </c>
      <c r="M93" s="4" t="s">
        <v>60</v>
      </c>
      <c r="N93" s="1" t="s">
        <v>14</v>
      </c>
    </row>
    <row r="94" spans="1:14" ht="28.5">
      <c r="A94" s="45"/>
      <c r="B94" s="105" t="s">
        <v>137</v>
      </c>
      <c r="C94" s="3">
        <v>0.23080000000000001</v>
      </c>
      <c r="D94" s="3">
        <v>0.23</v>
      </c>
      <c r="E94" s="1" t="s">
        <v>23</v>
      </c>
      <c r="F94" s="4" t="s">
        <v>47</v>
      </c>
      <c r="G94" s="1" t="s">
        <v>15</v>
      </c>
      <c r="H94" s="201"/>
      <c r="I94" s="104" t="s">
        <v>137</v>
      </c>
      <c r="J94" s="3">
        <v>0.2959</v>
      </c>
      <c r="K94" s="3">
        <v>0.31</v>
      </c>
      <c r="L94" s="1" t="s">
        <v>23</v>
      </c>
      <c r="M94" s="4" t="s">
        <v>180</v>
      </c>
      <c r="N94" s="1" t="s">
        <v>15</v>
      </c>
    </row>
    <row r="95" spans="1:14">
      <c r="A95" s="45"/>
      <c r="B95" s="104" t="s">
        <v>12</v>
      </c>
      <c r="C95" s="3">
        <v>0.16589999999999999</v>
      </c>
      <c r="D95" s="3">
        <v>0.15</v>
      </c>
      <c r="E95" s="1" t="s">
        <v>24</v>
      </c>
      <c r="F95" s="9" t="s">
        <v>52</v>
      </c>
      <c r="G95" s="9" t="s">
        <v>18</v>
      </c>
      <c r="H95" s="201"/>
      <c r="I95" s="104" t="s">
        <v>12</v>
      </c>
      <c r="J95" s="3">
        <v>8.8400000000000006E-2</v>
      </c>
      <c r="K95" s="3">
        <v>0.05</v>
      </c>
      <c r="L95" s="1" t="s">
        <v>24</v>
      </c>
      <c r="M95" s="9" t="s">
        <v>51</v>
      </c>
      <c r="N95" s="9" t="s">
        <v>18</v>
      </c>
    </row>
    <row r="96" spans="1:14" ht="15">
      <c r="A96" s="45"/>
      <c r="B96" s="106" t="s">
        <v>5</v>
      </c>
      <c r="C96" s="27">
        <f>SUBTOTAL(109,C91:C95)</f>
        <v>1.2209000000000001</v>
      </c>
      <c r="D96" s="99">
        <f>SUBTOTAL(109,D91:D95)</f>
        <v>1.22</v>
      </c>
      <c r="E96" s="117" t="s">
        <v>187</v>
      </c>
      <c r="F96" s="118" t="s">
        <v>187</v>
      </c>
      <c r="G96" s="112" t="s">
        <v>187</v>
      </c>
      <c r="H96" s="201"/>
      <c r="I96" s="106" t="s">
        <v>5</v>
      </c>
      <c r="J96" s="27">
        <f>SUBTOTAL(109,J91:J95)</f>
        <v>1.1335</v>
      </c>
      <c r="K96" s="27">
        <f>SUBTOTAL(109,K91:K95)</f>
        <v>1.1200000000000001</v>
      </c>
      <c r="L96" s="118" t="s">
        <v>187</v>
      </c>
      <c r="M96" s="40" t="s">
        <v>175</v>
      </c>
      <c r="N96" s="112" t="s">
        <v>187</v>
      </c>
    </row>
    <row r="97" spans="1:14">
      <c r="A97" s="45"/>
      <c r="B97" s="104" t="s">
        <v>6</v>
      </c>
      <c r="C97" s="11">
        <v>0.16209999999999999</v>
      </c>
      <c r="D97" s="11">
        <v>0.18</v>
      </c>
      <c r="E97" s="1" t="s">
        <v>23</v>
      </c>
      <c r="F97" s="9" t="s">
        <v>203</v>
      </c>
      <c r="G97" s="1" t="s">
        <v>19</v>
      </c>
      <c r="H97" s="201"/>
      <c r="I97" s="104" t="s">
        <v>6</v>
      </c>
      <c r="J97" s="11">
        <v>0.1678</v>
      </c>
      <c r="K97" s="11">
        <v>0.18</v>
      </c>
      <c r="L97" s="1" t="s">
        <v>23</v>
      </c>
      <c r="M97" s="9" t="s">
        <v>203</v>
      </c>
      <c r="N97" s="1" t="s">
        <v>19</v>
      </c>
    </row>
    <row r="98" spans="1:14" ht="30">
      <c r="A98" s="45"/>
      <c r="B98" s="106" t="s">
        <v>225</v>
      </c>
      <c r="C98" s="12">
        <v>1.5E-3</v>
      </c>
      <c r="D98" s="138" t="s">
        <v>187</v>
      </c>
      <c r="E98" s="139" t="s">
        <v>187</v>
      </c>
      <c r="F98" s="140" t="s">
        <v>187</v>
      </c>
      <c r="G98" s="171" t="s">
        <v>187</v>
      </c>
      <c r="H98" s="201"/>
      <c r="I98" s="106" t="s">
        <v>225</v>
      </c>
      <c r="J98" s="12">
        <v>1.5E-3</v>
      </c>
      <c r="K98" s="138" t="s">
        <v>187</v>
      </c>
      <c r="L98" s="140" t="s">
        <v>187</v>
      </c>
      <c r="M98" s="140" t="s">
        <v>187</v>
      </c>
      <c r="N98" s="171" t="s">
        <v>187</v>
      </c>
    </row>
    <row r="99" spans="1:14" ht="21" customHeight="1">
      <c r="A99" s="70"/>
      <c r="B99" s="72"/>
      <c r="C99" s="73"/>
      <c r="D99" s="74"/>
      <c r="E99" s="73"/>
      <c r="F99" s="73"/>
      <c r="G99" s="173"/>
      <c r="H99" s="197"/>
      <c r="I99" s="76"/>
      <c r="J99" s="77"/>
      <c r="K99" s="78"/>
      <c r="L99" s="77"/>
      <c r="M99" s="77"/>
      <c r="N99" s="174"/>
    </row>
    <row r="100" spans="1:14" ht="64.5" customHeight="1">
      <c r="A100" s="42" t="s">
        <v>82</v>
      </c>
      <c r="B100" s="36" t="s">
        <v>152</v>
      </c>
      <c r="C100" s="37"/>
      <c r="D100" s="38"/>
      <c r="E100" s="37"/>
      <c r="F100" s="37"/>
      <c r="G100" s="170"/>
      <c r="H100" s="200" t="s">
        <v>82</v>
      </c>
      <c r="I100" s="36" t="s">
        <v>153</v>
      </c>
      <c r="J100" s="37"/>
      <c r="K100" s="38"/>
      <c r="L100" s="39" t="s">
        <v>184</v>
      </c>
      <c r="M100" s="37"/>
      <c r="N100" s="170"/>
    </row>
    <row r="101" spans="1:14" ht="51.75" customHeight="1">
      <c r="A101" s="43"/>
      <c r="B101" s="119" t="s">
        <v>0</v>
      </c>
      <c r="C101" s="120" t="s">
        <v>220</v>
      </c>
      <c r="D101" s="120" t="s">
        <v>198</v>
      </c>
      <c r="E101" s="121" t="s">
        <v>22</v>
      </c>
      <c r="F101" s="121" t="s">
        <v>20</v>
      </c>
      <c r="G101" s="121" t="s">
        <v>35</v>
      </c>
      <c r="H101" s="201"/>
      <c r="I101" s="119" t="s">
        <v>0</v>
      </c>
      <c r="J101" s="120" t="s">
        <v>220</v>
      </c>
      <c r="K101" s="120" t="s">
        <v>198</v>
      </c>
      <c r="L101" s="121" t="s">
        <v>22</v>
      </c>
      <c r="M101" s="121" t="s">
        <v>20</v>
      </c>
      <c r="N101" s="121" t="s">
        <v>35</v>
      </c>
    </row>
    <row r="102" spans="1:14" ht="15.75">
      <c r="A102" s="43"/>
      <c r="B102" s="2" t="s">
        <v>169</v>
      </c>
      <c r="C102" s="5">
        <v>0.2757</v>
      </c>
      <c r="D102" s="5">
        <v>0.3</v>
      </c>
      <c r="E102" s="143" t="s">
        <v>187</v>
      </c>
      <c r="F102" s="144" t="s">
        <v>187</v>
      </c>
      <c r="G102" s="144" t="s">
        <v>187</v>
      </c>
      <c r="H102" s="201"/>
      <c r="I102" s="156" t="s">
        <v>187</v>
      </c>
      <c r="J102" s="155" t="s">
        <v>187</v>
      </c>
      <c r="K102" s="155" t="s">
        <v>187</v>
      </c>
      <c r="L102" s="144" t="s">
        <v>187</v>
      </c>
      <c r="M102" s="144" t="s">
        <v>187</v>
      </c>
      <c r="N102" s="144" t="s">
        <v>187</v>
      </c>
    </row>
    <row r="103" spans="1:14" ht="71.25">
      <c r="A103" s="43"/>
      <c r="B103" s="2" t="s">
        <v>138</v>
      </c>
      <c r="C103" s="5">
        <v>0.70889999999999997</v>
      </c>
      <c r="D103" s="5">
        <v>0.7</v>
      </c>
      <c r="E103" s="6" t="s">
        <v>23</v>
      </c>
      <c r="F103" s="7" t="s">
        <v>192</v>
      </c>
      <c r="G103" s="6" t="s">
        <v>218</v>
      </c>
      <c r="H103" s="201"/>
      <c r="I103" s="2" t="s">
        <v>228</v>
      </c>
      <c r="J103" s="5">
        <v>0.96550000000000002</v>
      </c>
      <c r="K103" s="5">
        <v>0.94</v>
      </c>
      <c r="L103" s="6" t="s">
        <v>23</v>
      </c>
      <c r="M103" s="7" t="s">
        <v>98</v>
      </c>
      <c r="N103" s="6" t="s">
        <v>218</v>
      </c>
    </row>
    <row r="104" spans="1:14">
      <c r="A104" s="44"/>
      <c r="B104" s="2" t="s">
        <v>2</v>
      </c>
      <c r="C104" s="3">
        <v>0.17580000000000001</v>
      </c>
      <c r="D104" s="3">
        <v>0.17</v>
      </c>
      <c r="E104" s="1" t="s">
        <v>24</v>
      </c>
      <c r="F104" s="4" t="s">
        <v>178</v>
      </c>
      <c r="G104" s="1" t="s">
        <v>14</v>
      </c>
      <c r="H104" s="201"/>
      <c r="I104" s="2" t="s">
        <v>2</v>
      </c>
      <c r="J104" s="3">
        <v>0.32119999999999999</v>
      </c>
      <c r="K104" s="3">
        <v>0.32</v>
      </c>
      <c r="L104" s="1" t="s">
        <v>24</v>
      </c>
      <c r="M104" s="4" t="s">
        <v>217</v>
      </c>
      <c r="N104" s="1" t="s">
        <v>14</v>
      </c>
    </row>
    <row r="105" spans="1:14" ht="28.5">
      <c r="A105" s="45"/>
      <c r="B105" s="69" t="s">
        <v>137</v>
      </c>
      <c r="C105" s="3">
        <v>2.6700000000000002E-2</v>
      </c>
      <c r="D105" s="3">
        <v>0.06</v>
      </c>
      <c r="E105" s="1" t="s">
        <v>23</v>
      </c>
      <c r="F105" s="4" t="s">
        <v>58</v>
      </c>
      <c r="G105" s="1" t="s">
        <v>15</v>
      </c>
      <c r="H105" s="201"/>
      <c r="I105" s="2" t="s">
        <v>137</v>
      </c>
      <c r="J105" s="3">
        <v>5.6000000000000001E-2</v>
      </c>
      <c r="K105" s="3">
        <v>0.06</v>
      </c>
      <c r="L105" s="1" t="s">
        <v>23</v>
      </c>
      <c r="M105" s="4" t="s">
        <v>58</v>
      </c>
      <c r="N105" s="1" t="s">
        <v>15</v>
      </c>
    </row>
    <row r="106" spans="1:14">
      <c r="A106" s="45"/>
      <c r="B106" s="2" t="s">
        <v>12</v>
      </c>
      <c r="C106" s="3">
        <v>0.18049999999999999</v>
      </c>
      <c r="D106" s="3">
        <v>0.15</v>
      </c>
      <c r="E106" s="1" t="s">
        <v>24</v>
      </c>
      <c r="F106" s="9" t="s">
        <v>52</v>
      </c>
      <c r="G106" s="9" t="s">
        <v>18</v>
      </c>
      <c r="H106" s="201"/>
      <c r="I106" s="2" t="s">
        <v>12</v>
      </c>
      <c r="J106" s="3">
        <v>0.19209999999999999</v>
      </c>
      <c r="K106" s="3">
        <v>0.15</v>
      </c>
      <c r="L106" s="1" t="s">
        <v>24</v>
      </c>
      <c r="M106" s="9" t="s">
        <v>52</v>
      </c>
      <c r="N106" s="9" t="s">
        <v>18</v>
      </c>
    </row>
    <row r="107" spans="1:14" ht="15">
      <c r="A107" s="45"/>
      <c r="B107" s="26" t="s">
        <v>5</v>
      </c>
      <c r="C107" s="27">
        <f>SUBTOTAL(109,C102:C106)</f>
        <v>1.3675999999999999</v>
      </c>
      <c r="D107" s="27">
        <f>SUBTOTAL(109,D102:D106)</f>
        <v>1.38</v>
      </c>
      <c r="E107" s="117" t="s">
        <v>187</v>
      </c>
      <c r="F107" s="40" t="s">
        <v>175</v>
      </c>
      <c r="G107" s="112" t="s">
        <v>187</v>
      </c>
      <c r="H107" s="201"/>
      <c r="I107" s="26" t="s">
        <v>5</v>
      </c>
      <c r="J107" s="27">
        <f>SUBTOTAL(109,J102:J106)</f>
        <v>1.5347999999999999</v>
      </c>
      <c r="K107" s="99">
        <f>SUBTOTAL(109,K102:K106)</f>
        <v>1.47</v>
      </c>
      <c r="L107" s="118" t="s">
        <v>187</v>
      </c>
      <c r="M107" s="118" t="s">
        <v>187</v>
      </c>
      <c r="N107" s="112" t="s">
        <v>187</v>
      </c>
    </row>
    <row r="108" spans="1:14">
      <c r="A108" s="45"/>
      <c r="B108" s="2" t="s">
        <v>6</v>
      </c>
      <c r="C108" s="11">
        <v>0.18990000000000001</v>
      </c>
      <c r="D108" s="11">
        <v>0.18</v>
      </c>
      <c r="E108" s="1" t="s">
        <v>23</v>
      </c>
      <c r="F108" s="9" t="s">
        <v>203</v>
      </c>
      <c r="G108" s="1" t="s">
        <v>19</v>
      </c>
      <c r="H108" s="201"/>
      <c r="I108" s="2" t="s">
        <v>6</v>
      </c>
      <c r="J108" s="11">
        <v>0.20599999999999999</v>
      </c>
      <c r="K108" s="11">
        <v>0.18</v>
      </c>
      <c r="L108" s="1" t="s">
        <v>23</v>
      </c>
      <c r="M108" s="9" t="s">
        <v>203</v>
      </c>
      <c r="N108" s="1" t="s">
        <v>19</v>
      </c>
    </row>
    <row r="109" spans="1:14" ht="30">
      <c r="A109" s="45"/>
      <c r="B109" s="106" t="s">
        <v>225</v>
      </c>
      <c r="C109" s="12">
        <v>1.5E-3</v>
      </c>
      <c r="D109" s="138" t="s">
        <v>187</v>
      </c>
      <c r="E109" s="139" t="s">
        <v>187</v>
      </c>
      <c r="F109" s="140" t="s">
        <v>187</v>
      </c>
      <c r="G109" s="171" t="s">
        <v>187</v>
      </c>
      <c r="H109" s="201"/>
      <c r="I109" s="106" t="s">
        <v>225</v>
      </c>
      <c r="J109" s="12">
        <v>1.5E-3</v>
      </c>
      <c r="K109" s="138" t="s">
        <v>187</v>
      </c>
      <c r="L109" s="140" t="s">
        <v>187</v>
      </c>
      <c r="M109" s="140" t="s">
        <v>187</v>
      </c>
      <c r="N109" s="171" t="s">
        <v>187</v>
      </c>
    </row>
    <row r="110" spans="1:14" ht="21" customHeight="1">
      <c r="A110" s="70"/>
      <c r="B110" s="72"/>
      <c r="C110" s="73"/>
      <c r="D110" s="74"/>
      <c r="E110" s="73"/>
      <c r="F110" s="73"/>
      <c r="G110" s="173"/>
      <c r="H110" s="197"/>
      <c r="I110" s="76"/>
      <c r="J110" s="77"/>
      <c r="K110" s="78"/>
      <c r="L110" s="77"/>
      <c r="M110" s="77"/>
      <c r="N110" s="174"/>
    </row>
    <row r="111" spans="1:14" ht="64.5" customHeight="1">
      <c r="A111" s="42" t="s">
        <v>83</v>
      </c>
      <c r="B111" s="36" t="s">
        <v>154</v>
      </c>
      <c r="C111" s="37"/>
      <c r="D111" s="38"/>
      <c r="E111" s="82"/>
      <c r="F111" s="37"/>
      <c r="G111" s="170"/>
      <c r="H111" s="200" t="s">
        <v>83</v>
      </c>
      <c r="I111" s="36" t="s">
        <v>155</v>
      </c>
      <c r="J111" s="37"/>
      <c r="K111" s="38"/>
      <c r="L111" s="39"/>
      <c r="M111" s="37"/>
      <c r="N111" s="170"/>
    </row>
    <row r="112" spans="1:14" ht="51.75" customHeight="1">
      <c r="A112" s="43"/>
      <c r="B112" s="119" t="s">
        <v>0</v>
      </c>
      <c r="C112" s="120" t="s">
        <v>220</v>
      </c>
      <c r="D112" s="120" t="s">
        <v>198</v>
      </c>
      <c r="E112" s="121" t="s">
        <v>22</v>
      </c>
      <c r="F112" s="121" t="s">
        <v>20</v>
      </c>
      <c r="G112" s="121" t="s">
        <v>35</v>
      </c>
      <c r="H112" s="201"/>
      <c r="I112" s="119" t="s">
        <v>0</v>
      </c>
      <c r="J112" s="120" t="s">
        <v>220</v>
      </c>
      <c r="K112" s="120" t="s">
        <v>198</v>
      </c>
      <c r="L112" s="121" t="s">
        <v>22</v>
      </c>
      <c r="M112" s="121" t="s">
        <v>20</v>
      </c>
      <c r="N112" s="121" t="s">
        <v>35</v>
      </c>
    </row>
    <row r="113" spans="1:14" ht="15.75">
      <c r="A113" s="43"/>
      <c r="B113" s="2" t="s">
        <v>169</v>
      </c>
      <c r="C113" s="5">
        <v>0.28270000000000001</v>
      </c>
      <c r="D113" s="5">
        <v>0.3</v>
      </c>
      <c r="E113" s="143" t="s">
        <v>187</v>
      </c>
      <c r="F113" s="144" t="s">
        <v>187</v>
      </c>
      <c r="G113" s="144" t="s">
        <v>187</v>
      </c>
      <c r="H113" s="201"/>
      <c r="I113" s="156" t="s">
        <v>187</v>
      </c>
      <c r="J113" s="155" t="s">
        <v>187</v>
      </c>
      <c r="K113" s="155" t="s">
        <v>187</v>
      </c>
      <c r="L113" s="144" t="s">
        <v>187</v>
      </c>
      <c r="M113" s="144" t="s">
        <v>187</v>
      </c>
      <c r="N113" s="144" t="s">
        <v>187</v>
      </c>
    </row>
    <row r="114" spans="1:14" ht="71.25">
      <c r="A114" s="43"/>
      <c r="B114" s="2" t="s">
        <v>138</v>
      </c>
      <c r="C114" s="5">
        <v>3.2599999999999997E-2</v>
      </c>
      <c r="D114" s="5">
        <v>0.06</v>
      </c>
      <c r="E114" s="6" t="s">
        <v>23</v>
      </c>
      <c r="F114" s="7" t="s">
        <v>58</v>
      </c>
      <c r="G114" s="6" t="s">
        <v>218</v>
      </c>
      <c r="H114" s="201"/>
      <c r="I114" s="2" t="s">
        <v>228</v>
      </c>
      <c r="J114" s="5">
        <v>2.5999999999999999E-2</v>
      </c>
      <c r="K114" s="5">
        <v>0.06</v>
      </c>
      <c r="L114" s="6" t="s">
        <v>23</v>
      </c>
      <c r="M114" s="7" t="s">
        <v>58</v>
      </c>
      <c r="N114" s="6" t="s">
        <v>218</v>
      </c>
    </row>
    <row r="115" spans="1:14">
      <c r="A115" s="44"/>
      <c r="B115" s="2" t="s">
        <v>2</v>
      </c>
      <c r="C115" s="3">
        <v>0.152</v>
      </c>
      <c r="D115" s="3">
        <v>0.15</v>
      </c>
      <c r="E115" s="1" t="s">
        <v>24</v>
      </c>
      <c r="F115" s="4" t="s">
        <v>52</v>
      </c>
      <c r="G115" s="1" t="s">
        <v>14</v>
      </c>
      <c r="H115" s="201"/>
      <c r="I115" s="2" t="s">
        <v>2</v>
      </c>
      <c r="J115" s="3">
        <v>0.25390000000000001</v>
      </c>
      <c r="K115" s="3">
        <v>0.25</v>
      </c>
      <c r="L115" s="1" t="s">
        <v>24</v>
      </c>
      <c r="M115" s="4" t="s">
        <v>54</v>
      </c>
      <c r="N115" s="1" t="s">
        <v>14</v>
      </c>
    </row>
    <row r="116" spans="1:14" ht="28.5">
      <c r="A116" s="45"/>
      <c r="B116" s="69" t="s">
        <v>137</v>
      </c>
      <c r="C116" s="3">
        <v>0.47239999999999999</v>
      </c>
      <c r="D116" s="3">
        <v>0.5</v>
      </c>
      <c r="E116" s="1" t="s">
        <v>23</v>
      </c>
      <c r="F116" s="4" t="s">
        <v>91</v>
      </c>
      <c r="G116" s="1" t="s">
        <v>15</v>
      </c>
      <c r="H116" s="201"/>
      <c r="I116" s="2" t="s">
        <v>137</v>
      </c>
      <c r="J116" s="3">
        <v>0.66200000000000003</v>
      </c>
      <c r="K116" s="3">
        <v>0.7</v>
      </c>
      <c r="L116" s="1" t="s">
        <v>23</v>
      </c>
      <c r="M116" s="4" t="s">
        <v>86</v>
      </c>
      <c r="N116" s="1" t="s">
        <v>15</v>
      </c>
    </row>
    <row r="117" spans="1:14">
      <c r="A117" s="45"/>
      <c r="B117" s="2" t="s">
        <v>12</v>
      </c>
      <c r="C117" s="3">
        <v>6.3299999999999995E-2</v>
      </c>
      <c r="D117" s="3">
        <v>0.1</v>
      </c>
      <c r="E117" s="1" t="s">
        <v>24</v>
      </c>
      <c r="F117" s="9" t="s">
        <v>49</v>
      </c>
      <c r="G117" s="9" t="s">
        <v>18</v>
      </c>
      <c r="H117" s="201"/>
      <c r="I117" s="2" t="s">
        <v>12</v>
      </c>
      <c r="J117" s="3">
        <v>5.8099999999999999E-2</v>
      </c>
      <c r="K117" s="3">
        <v>0.05</v>
      </c>
      <c r="L117" s="1" t="s">
        <v>24</v>
      </c>
      <c r="M117" s="9" t="s">
        <v>51</v>
      </c>
      <c r="N117" s="9" t="s">
        <v>18</v>
      </c>
    </row>
    <row r="118" spans="1:14" ht="15">
      <c r="A118" s="45"/>
      <c r="B118" s="26" t="s">
        <v>5</v>
      </c>
      <c r="C118" s="27">
        <f>SUBTOTAL(109,C113:C117)</f>
        <v>1.0029999999999999</v>
      </c>
      <c r="D118" s="27">
        <f>SUBTOTAL(109,D113:D117)</f>
        <v>1.1100000000000001</v>
      </c>
      <c r="E118" s="117" t="s">
        <v>187</v>
      </c>
      <c r="F118" s="118" t="s">
        <v>187</v>
      </c>
      <c r="G118" s="112" t="s">
        <v>187</v>
      </c>
      <c r="H118" s="201"/>
      <c r="I118" s="26" t="s">
        <v>5</v>
      </c>
      <c r="J118" s="27">
        <f>SUBTOTAL(109,J113:J117)</f>
        <v>1</v>
      </c>
      <c r="K118" s="27">
        <f>SUBTOTAL(109,K113:K117)</f>
        <v>1.06</v>
      </c>
      <c r="L118" s="118" t="s">
        <v>187</v>
      </c>
      <c r="M118" s="118" t="s">
        <v>187</v>
      </c>
      <c r="N118" s="112" t="s">
        <v>187</v>
      </c>
    </row>
    <row r="119" spans="1:14">
      <c r="A119" s="45"/>
      <c r="B119" s="2" t="s">
        <v>6</v>
      </c>
      <c r="C119" s="11">
        <v>3.3700000000000001E-2</v>
      </c>
      <c r="D119" s="11">
        <v>0.06</v>
      </c>
      <c r="E119" s="1" t="s">
        <v>23</v>
      </c>
      <c r="F119" s="9" t="s">
        <v>58</v>
      </c>
      <c r="G119" s="1" t="s">
        <v>19</v>
      </c>
      <c r="H119" s="201"/>
      <c r="I119" s="2" t="s">
        <v>6</v>
      </c>
      <c r="J119" s="11">
        <v>3.73E-2</v>
      </c>
      <c r="K119" s="11">
        <v>0.08</v>
      </c>
      <c r="L119" s="1" t="s">
        <v>23</v>
      </c>
      <c r="M119" s="9" t="s">
        <v>59</v>
      </c>
      <c r="N119" s="1" t="s">
        <v>19</v>
      </c>
    </row>
    <row r="120" spans="1:14" ht="30">
      <c r="A120" s="45"/>
      <c r="B120" s="106" t="s">
        <v>225</v>
      </c>
      <c r="C120" s="12">
        <v>1.5E-3</v>
      </c>
      <c r="D120" s="138" t="s">
        <v>187</v>
      </c>
      <c r="E120" s="139" t="s">
        <v>187</v>
      </c>
      <c r="F120" s="140" t="s">
        <v>187</v>
      </c>
      <c r="G120" s="171" t="s">
        <v>187</v>
      </c>
      <c r="H120" s="201"/>
      <c r="I120" s="106" t="s">
        <v>225</v>
      </c>
      <c r="J120" s="12">
        <v>1.5E-3</v>
      </c>
      <c r="K120" s="138" t="s">
        <v>187</v>
      </c>
      <c r="L120" s="140" t="s">
        <v>187</v>
      </c>
      <c r="M120" s="140" t="s">
        <v>187</v>
      </c>
      <c r="N120" s="171" t="s">
        <v>187</v>
      </c>
    </row>
    <row r="121" spans="1:14" ht="21" customHeight="1">
      <c r="A121" s="70"/>
      <c r="B121" s="72"/>
      <c r="C121" s="73"/>
      <c r="D121" s="74"/>
      <c r="E121" s="73"/>
      <c r="F121" s="73"/>
      <c r="G121" s="173"/>
      <c r="H121" s="197"/>
      <c r="I121" s="76"/>
      <c r="J121" s="77"/>
      <c r="K121" s="78"/>
      <c r="L121" s="77"/>
      <c r="M121" s="77"/>
      <c r="N121" s="174"/>
    </row>
    <row r="122" spans="1:14" ht="51.75" customHeight="1">
      <c r="A122" s="46" t="s">
        <v>93</v>
      </c>
      <c r="B122" s="36" t="s">
        <v>156</v>
      </c>
      <c r="C122" s="37"/>
      <c r="D122" s="38"/>
      <c r="E122" s="82"/>
      <c r="F122" s="37"/>
      <c r="G122" s="170"/>
      <c r="H122" s="202" t="s">
        <v>93</v>
      </c>
      <c r="I122" s="36" t="s">
        <v>157</v>
      </c>
      <c r="J122" s="37"/>
      <c r="K122" s="38"/>
      <c r="L122" s="39"/>
      <c r="M122" s="37"/>
      <c r="N122" s="170"/>
    </row>
    <row r="123" spans="1:14" ht="51.75" customHeight="1">
      <c r="A123" s="47"/>
      <c r="B123" s="119" t="s">
        <v>0</v>
      </c>
      <c r="C123" s="120" t="s">
        <v>220</v>
      </c>
      <c r="D123" s="120" t="s">
        <v>198</v>
      </c>
      <c r="E123" s="121" t="s">
        <v>22</v>
      </c>
      <c r="F123" s="121" t="s">
        <v>20</v>
      </c>
      <c r="G123" s="121" t="s">
        <v>35</v>
      </c>
      <c r="H123" s="203"/>
      <c r="I123" s="119" t="s">
        <v>0</v>
      </c>
      <c r="J123" s="120" t="s">
        <v>220</v>
      </c>
      <c r="K123" s="120" t="s">
        <v>198</v>
      </c>
      <c r="L123" s="121" t="s">
        <v>22</v>
      </c>
      <c r="M123" s="121" t="s">
        <v>20</v>
      </c>
      <c r="N123" s="121" t="s">
        <v>35</v>
      </c>
    </row>
    <row r="124" spans="1:14" ht="15.75">
      <c r="A124" s="47"/>
      <c r="B124" s="104" t="s">
        <v>169</v>
      </c>
      <c r="C124" s="5" t="s">
        <v>233</v>
      </c>
      <c r="D124" s="5" t="s">
        <v>195</v>
      </c>
      <c r="E124" s="143" t="s">
        <v>187</v>
      </c>
      <c r="F124" s="144" t="s">
        <v>188</v>
      </c>
      <c r="G124" s="144" t="s">
        <v>196</v>
      </c>
      <c r="H124" s="203"/>
      <c r="I124" s="154" t="s">
        <v>187</v>
      </c>
      <c r="J124" s="155" t="s">
        <v>187</v>
      </c>
      <c r="K124" s="155" t="s">
        <v>187</v>
      </c>
      <c r="L124" s="144" t="s">
        <v>187</v>
      </c>
      <c r="M124" s="144" t="s">
        <v>187</v>
      </c>
      <c r="N124" s="144" t="s">
        <v>187</v>
      </c>
    </row>
    <row r="125" spans="1:14" ht="28.5">
      <c r="A125" s="47"/>
      <c r="B125" s="104" t="s">
        <v>138</v>
      </c>
      <c r="C125" s="5">
        <v>0.35039999999999999</v>
      </c>
      <c r="D125" s="5">
        <v>0.35</v>
      </c>
      <c r="E125" s="6" t="s">
        <v>23</v>
      </c>
      <c r="F125" s="7" t="s">
        <v>118</v>
      </c>
      <c r="G125" s="52" t="s">
        <v>27</v>
      </c>
      <c r="H125" s="203"/>
      <c r="I125" s="104" t="s">
        <v>228</v>
      </c>
      <c r="J125" s="5">
        <v>0.48180000000000001</v>
      </c>
      <c r="K125" s="5">
        <v>0.46</v>
      </c>
      <c r="L125" s="6" t="s">
        <v>23</v>
      </c>
      <c r="M125" s="7" t="s">
        <v>48</v>
      </c>
      <c r="N125" s="52" t="s">
        <v>27</v>
      </c>
    </row>
    <row r="126" spans="1:14">
      <c r="A126" s="47"/>
      <c r="B126" s="104" t="s">
        <v>2</v>
      </c>
      <c r="C126" s="3">
        <v>0.1638</v>
      </c>
      <c r="D126" s="3">
        <v>0.2</v>
      </c>
      <c r="E126" s="1" t="s">
        <v>24</v>
      </c>
      <c r="F126" s="4" t="s">
        <v>131</v>
      </c>
      <c r="G126" s="9" t="s">
        <v>28</v>
      </c>
      <c r="H126" s="204"/>
      <c r="I126" s="104" t="s">
        <v>2</v>
      </c>
      <c r="J126" s="3">
        <v>0.23130000000000001</v>
      </c>
      <c r="K126" s="3">
        <v>0.2</v>
      </c>
      <c r="L126" s="1" t="s">
        <v>24</v>
      </c>
      <c r="M126" s="4" t="s">
        <v>131</v>
      </c>
      <c r="N126" s="9" t="s">
        <v>28</v>
      </c>
    </row>
    <row r="127" spans="1:14" ht="28.5">
      <c r="A127" s="47"/>
      <c r="B127" s="105" t="s">
        <v>137</v>
      </c>
      <c r="C127" s="3">
        <v>0.223</v>
      </c>
      <c r="D127" s="3">
        <v>0.2</v>
      </c>
      <c r="E127" s="1" t="s">
        <v>23</v>
      </c>
      <c r="F127" s="4" t="s">
        <v>64</v>
      </c>
      <c r="G127" s="9" t="s">
        <v>181</v>
      </c>
      <c r="H127" s="203"/>
      <c r="I127" s="104" t="s">
        <v>137</v>
      </c>
      <c r="J127" s="3">
        <v>0.29930000000000001</v>
      </c>
      <c r="K127" s="3">
        <v>0.33</v>
      </c>
      <c r="L127" s="1" t="s">
        <v>23</v>
      </c>
      <c r="M127" s="4" t="s">
        <v>78</v>
      </c>
      <c r="N127" s="9" t="s">
        <v>181</v>
      </c>
    </row>
    <row r="128" spans="1:14">
      <c r="A128" s="49"/>
      <c r="B128" s="104" t="s">
        <v>12</v>
      </c>
      <c r="C128" s="3">
        <v>0.1517</v>
      </c>
      <c r="D128" s="3">
        <v>0.15</v>
      </c>
      <c r="E128" s="1" t="s">
        <v>24</v>
      </c>
      <c r="F128" s="9" t="s">
        <v>52</v>
      </c>
      <c r="G128" s="9" t="s">
        <v>18</v>
      </c>
      <c r="H128" s="203"/>
      <c r="I128" s="104" t="s">
        <v>12</v>
      </c>
      <c r="J128" s="3">
        <v>0.14000000000000001</v>
      </c>
      <c r="K128" s="3">
        <v>0.1</v>
      </c>
      <c r="L128" s="1" t="s">
        <v>24</v>
      </c>
      <c r="M128" s="9" t="s">
        <v>49</v>
      </c>
      <c r="N128" s="9" t="s">
        <v>18</v>
      </c>
    </row>
    <row r="129" spans="1:14" ht="15">
      <c r="A129" s="49"/>
      <c r="B129" s="106" t="s">
        <v>5</v>
      </c>
      <c r="C129" s="27">
        <f>SUBTOTAL(109,C124:C128)</f>
        <v>0.88890000000000002</v>
      </c>
      <c r="D129" s="27">
        <f>SUBTOTAL(109,D124:D128)</f>
        <v>0.9</v>
      </c>
      <c r="E129" s="117" t="s">
        <v>187</v>
      </c>
      <c r="F129" s="118" t="s">
        <v>187</v>
      </c>
      <c r="G129" s="112" t="s">
        <v>187</v>
      </c>
      <c r="H129" s="203"/>
      <c r="I129" s="106" t="s">
        <v>5</v>
      </c>
      <c r="J129" s="27">
        <f>SUBTOTAL(109,J124:J128)</f>
        <v>1.1524000000000001</v>
      </c>
      <c r="K129" s="27">
        <f>SUBTOTAL(109,K124:K128)</f>
        <v>1.0900000000000001</v>
      </c>
      <c r="L129" s="118" t="s">
        <v>187</v>
      </c>
      <c r="M129" s="118" t="s">
        <v>187</v>
      </c>
      <c r="N129" s="112" t="s">
        <v>187</v>
      </c>
    </row>
    <row r="130" spans="1:14">
      <c r="A130" s="49"/>
      <c r="B130" s="104" t="s">
        <v>6</v>
      </c>
      <c r="C130" s="11">
        <v>0.69440000000000002</v>
      </c>
      <c r="D130" s="11">
        <v>0.64</v>
      </c>
      <c r="E130" s="1" t="s">
        <v>23</v>
      </c>
      <c r="F130" s="9" t="s">
        <v>182</v>
      </c>
      <c r="G130" s="9" t="s">
        <v>19</v>
      </c>
      <c r="H130" s="203"/>
      <c r="I130" s="104" t="s">
        <v>6</v>
      </c>
      <c r="J130" s="11">
        <v>0.99019999999999997</v>
      </c>
      <c r="K130" s="11">
        <v>0.94</v>
      </c>
      <c r="L130" s="1" t="s">
        <v>23</v>
      </c>
      <c r="M130" s="9" t="s">
        <v>98</v>
      </c>
      <c r="N130" s="9" t="s">
        <v>19</v>
      </c>
    </row>
    <row r="131" spans="1:14" ht="30">
      <c r="A131" s="49"/>
      <c r="B131" s="106" t="s">
        <v>225</v>
      </c>
      <c r="C131" s="12">
        <v>4.0000000000000001E-3</v>
      </c>
      <c r="D131" s="138" t="s">
        <v>187</v>
      </c>
      <c r="E131" s="139" t="s">
        <v>187</v>
      </c>
      <c r="F131" s="140" t="s">
        <v>187</v>
      </c>
      <c r="G131" s="171" t="s">
        <v>187</v>
      </c>
      <c r="H131" s="203"/>
      <c r="I131" s="106" t="s">
        <v>225</v>
      </c>
      <c r="J131" s="12">
        <v>4.0000000000000001E-3</v>
      </c>
      <c r="K131" s="138" t="s">
        <v>187</v>
      </c>
      <c r="L131" s="140" t="s">
        <v>187</v>
      </c>
      <c r="M131" s="140" t="s">
        <v>187</v>
      </c>
      <c r="N131" s="171" t="s">
        <v>187</v>
      </c>
    </row>
    <row r="132" spans="1:14" ht="21" customHeight="1">
      <c r="A132" s="70"/>
      <c r="B132" s="72"/>
      <c r="C132" s="73"/>
      <c r="D132" s="74"/>
      <c r="E132" s="73"/>
      <c r="F132" s="73"/>
      <c r="G132" s="173"/>
      <c r="H132" s="197"/>
      <c r="I132" s="76"/>
      <c r="J132" s="77"/>
      <c r="K132" s="78"/>
      <c r="L132" s="77"/>
      <c r="M132" s="77"/>
      <c r="N132" s="174"/>
    </row>
    <row r="133" spans="1:14" ht="51.75" customHeight="1">
      <c r="A133" s="46" t="s">
        <v>100</v>
      </c>
      <c r="B133" s="36" t="s">
        <v>158</v>
      </c>
      <c r="C133" s="37"/>
      <c r="D133" s="38"/>
      <c r="E133" s="82"/>
      <c r="F133" s="37"/>
      <c r="G133" s="170"/>
      <c r="H133" s="202" t="s">
        <v>100</v>
      </c>
      <c r="I133" s="36" t="s">
        <v>159</v>
      </c>
      <c r="J133" s="37"/>
      <c r="K133" s="38"/>
      <c r="L133" s="39"/>
      <c r="M133" s="37"/>
      <c r="N133" s="170"/>
    </row>
    <row r="134" spans="1:14" ht="51.75" customHeight="1">
      <c r="A134" s="49"/>
      <c r="B134" s="119" t="s">
        <v>0</v>
      </c>
      <c r="C134" s="120" t="s">
        <v>220</v>
      </c>
      <c r="D134" s="120" t="s">
        <v>198</v>
      </c>
      <c r="E134" s="121" t="s">
        <v>22</v>
      </c>
      <c r="F134" s="121" t="s">
        <v>20</v>
      </c>
      <c r="G134" s="121" t="s">
        <v>35</v>
      </c>
      <c r="H134" s="203"/>
      <c r="I134" s="119" t="s">
        <v>0</v>
      </c>
      <c r="J134" s="120" t="s">
        <v>220</v>
      </c>
      <c r="K134" s="120" t="s">
        <v>198</v>
      </c>
      <c r="L134" s="121" t="s">
        <v>22</v>
      </c>
      <c r="M134" s="121" t="s">
        <v>20</v>
      </c>
      <c r="N134" s="121" t="s">
        <v>35</v>
      </c>
    </row>
    <row r="135" spans="1:14" ht="15.75">
      <c r="A135" s="49"/>
      <c r="B135" s="104" t="s">
        <v>169</v>
      </c>
      <c r="C135" s="5" t="s">
        <v>234</v>
      </c>
      <c r="D135" s="5" t="s">
        <v>195</v>
      </c>
      <c r="E135" s="143" t="s">
        <v>187</v>
      </c>
      <c r="F135" s="144" t="s">
        <v>188</v>
      </c>
      <c r="G135" s="144" t="s">
        <v>196</v>
      </c>
      <c r="H135" s="203"/>
      <c r="I135" s="154" t="s">
        <v>187</v>
      </c>
      <c r="J135" s="155" t="s">
        <v>187</v>
      </c>
      <c r="K135" s="155" t="s">
        <v>187</v>
      </c>
      <c r="L135" s="144" t="s">
        <v>187</v>
      </c>
      <c r="M135" s="144" t="s">
        <v>187</v>
      </c>
      <c r="N135" s="144" t="s">
        <v>187</v>
      </c>
    </row>
    <row r="136" spans="1:14" ht="28.5">
      <c r="A136" s="49"/>
      <c r="B136" s="104" t="s">
        <v>138</v>
      </c>
      <c r="C136" s="5">
        <v>0.69910000000000005</v>
      </c>
      <c r="D136" s="5">
        <v>0.64</v>
      </c>
      <c r="E136" s="6" t="s">
        <v>23</v>
      </c>
      <c r="F136" s="7" t="s">
        <v>182</v>
      </c>
      <c r="G136" s="52" t="s">
        <v>27</v>
      </c>
      <c r="H136" s="203"/>
      <c r="I136" s="104" t="s">
        <v>228</v>
      </c>
      <c r="J136" s="5">
        <v>0.99519999999999997</v>
      </c>
      <c r="K136" s="5">
        <v>0.94</v>
      </c>
      <c r="L136" s="6" t="s">
        <v>23</v>
      </c>
      <c r="M136" s="7" t="s">
        <v>98</v>
      </c>
      <c r="N136" s="52" t="s">
        <v>27</v>
      </c>
    </row>
    <row r="137" spans="1:14">
      <c r="A137" s="48"/>
      <c r="B137" s="104" t="s">
        <v>2</v>
      </c>
      <c r="C137" s="3">
        <v>0.2878</v>
      </c>
      <c r="D137" s="3">
        <v>0.25</v>
      </c>
      <c r="E137" s="1" t="s">
        <v>24</v>
      </c>
      <c r="F137" s="4" t="s">
        <v>189</v>
      </c>
      <c r="G137" s="9" t="s">
        <v>14</v>
      </c>
      <c r="H137" s="204"/>
      <c r="I137" s="104" t="s">
        <v>2</v>
      </c>
      <c r="J137" s="3">
        <v>0.218</v>
      </c>
      <c r="K137" s="3">
        <v>0.25</v>
      </c>
      <c r="L137" s="1" t="s">
        <v>24</v>
      </c>
      <c r="M137" s="4" t="s">
        <v>54</v>
      </c>
      <c r="N137" s="9" t="s">
        <v>14</v>
      </c>
    </row>
    <row r="138" spans="1:14" ht="28.5">
      <c r="A138" s="49"/>
      <c r="B138" s="105" t="s">
        <v>137</v>
      </c>
      <c r="C138" s="3">
        <v>0</v>
      </c>
      <c r="D138" s="113" t="s">
        <v>187</v>
      </c>
      <c r="E138" s="1" t="s">
        <v>23</v>
      </c>
      <c r="F138" s="113" t="s">
        <v>243</v>
      </c>
      <c r="G138" s="132" t="s">
        <v>187</v>
      </c>
      <c r="H138" s="203"/>
      <c r="I138" s="104" t="s">
        <v>137</v>
      </c>
      <c r="J138" s="3">
        <v>0</v>
      </c>
      <c r="K138" s="113" t="s">
        <v>187</v>
      </c>
      <c r="L138" s="1" t="s">
        <v>23</v>
      </c>
      <c r="M138" s="113" t="s">
        <v>243</v>
      </c>
      <c r="N138" s="132" t="s">
        <v>187</v>
      </c>
    </row>
    <row r="139" spans="1:14">
      <c r="A139" s="49"/>
      <c r="B139" s="104" t="s">
        <v>12</v>
      </c>
      <c r="C139" s="3">
        <v>0.1827</v>
      </c>
      <c r="D139" s="3">
        <v>0.15</v>
      </c>
      <c r="E139" s="1" t="s">
        <v>24</v>
      </c>
      <c r="F139" s="9" t="s">
        <v>52</v>
      </c>
      <c r="G139" s="9" t="s">
        <v>18</v>
      </c>
      <c r="H139" s="203"/>
      <c r="I139" s="104" t="s">
        <v>12</v>
      </c>
      <c r="J139" s="3">
        <v>0.14929999999999999</v>
      </c>
      <c r="K139" s="3">
        <v>0.15</v>
      </c>
      <c r="L139" s="1" t="s">
        <v>24</v>
      </c>
      <c r="M139" s="9" t="s">
        <v>52</v>
      </c>
      <c r="N139" s="9" t="s">
        <v>18</v>
      </c>
    </row>
    <row r="140" spans="1:14" ht="15">
      <c r="A140" s="49"/>
      <c r="B140" s="106" t="s">
        <v>5</v>
      </c>
      <c r="C140" s="27">
        <f>SUBTOTAL(109,C135:C139)</f>
        <v>1.1696000000000002</v>
      </c>
      <c r="D140" s="27">
        <f>SUBTOTAL(109,D135:D139)</f>
        <v>1.04</v>
      </c>
      <c r="E140" s="117" t="s">
        <v>187</v>
      </c>
      <c r="F140" s="118" t="s">
        <v>187</v>
      </c>
      <c r="G140" s="112" t="s">
        <v>187</v>
      </c>
      <c r="H140" s="203"/>
      <c r="I140" s="106" t="s">
        <v>5</v>
      </c>
      <c r="J140" s="27">
        <f>SUBTOTAL(109,J135:J139)</f>
        <v>1.3625</v>
      </c>
      <c r="K140" s="27">
        <f>SUBTOTAL(109,K135:K139)</f>
        <v>1.3399999999999999</v>
      </c>
      <c r="L140" s="118" t="s">
        <v>187</v>
      </c>
      <c r="M140" s="118" t="s">
        <v>187</v>
      </c>
      <c r="N140" s="112" t="s">
        <v>187</v>
      </c>
    </row>
    <row r="141" spans="1:14">
      <c r="A141" s="49"/>
      <c r="B141" s="104" t="s">
        <v>6</v>
      </c>
      <c r="C141" s="11">
        <v>0.69799999999999995</v>
      </c>
      <c r="D141" s="11">
        <v>0.64</v>
      </c>
      <c r="E141" s="1" t="s">
        <v>23</v>
      </c>
      <c r="F141" s="9" t="s">
        <v>182</v>
      </c>
      <c r="G141" s="9" t="s">
        <v>19</v>
      </c>
      <c r="H141" s="203"/>
      <c r="I141" s="104" t="s">
        <v>6</v>
      </c>
      <c r="J141" s="11">
        <v>0.996</v>
      </c>
      <c r="K141" s="11">
        <v>0.94</v>
      </c>
      <c r="L141" s="1" t="s">
        <v>23</v>
      </c>
      <c r="M141" s="9" t="s">
        <v>98</v>
      </c>
      <c r="N141" s="9" t="s">
        <v>19</v>
      </c>
    </row>
    <row r="142" spans="1:14" ht="30">
      <c r="A142" s="49"/>
      <c r="B142" s="106" t="s">
        <v>136</v>
      </c>
      <c r="C142" s="12">
        <v>2E-3</v>
      </c>
      <c r="D142" s="138" t="s">
        <v>187</v>
      </c>
      <c r="E142" s="139" t="s">
        <v>187</v>
      </c>
      <c r="F142" s="140" t="s">
        <v>187</v>
      </c>
      <c r="G142" s="171" t="s">
        <v>187</v>
      </c>
      <c r="H142" s="203"/>
      <c r="I142" s="106" t="s">
        <v>136</v>
      </c>
      <c r="J142" s="12">
        <v>2E-3</v>
      </c>
      <c r="K142" s="138" t="s">
        <v>187</v>
      </c>
      <c r="L142" s="140" t="s">
        <v>187</v>
      </c>
      <c r="M142" s="140" t="s">
        <v>187</v>
      </c>
      <c r="N142" s="171" t="s">
        <v>187</v>
      </c>
    </row>
    <row r="143" spans="1:14" ht="21" customHeight="1">
      <c r="A143" s="70"/>
      <c r="B143" s="72"/>
      <c r="C143" s="73"/>
      <c r="D143" s="74"/>
      <c r="E143" s="73"/>
      <c r="F143" s="73"/>
      <c r="G143" s="173"/>
      <c r="H143" s="197"/>
      <c r="I143" s="76"/>
      <c r="J143" s="77"/>
      <c r="K143" s="78"/>
      <c r="L143" s="77"/>
      <c r="M143" s="77"/>
      <c r="N143" s="174"/>
    </row>
    <row r="144" spans="1:14" ht="51.75" customHeight="1">
      <c r="A144" s="46" t="s">
        <v>104</v>
      </c>
      <c r="B144" s="36" t="s">
        <v>160</v>
      </c>
      <c r="C144" s="37"/>
      <c r="D144" s="38"/>
      <c r="E144" s="82"/>
      <c r="F144" s="37"/>
      <c r="G144" s="170"/>
      <c r="H144" s="202" t="s">
        <v>104</v>
      </c>
      <c r="I144" s="36" t="s">
        <v>161</v>
      </c>
      <c r="J144" s="37"/>
      <c r="K144" s="38"/>
      <c r="L144" s="39"/>
      <c r="M144" s="37"/>
      <c r="N144" s="170"/>
    </row>
    <row r="145" spans="1:14" ht="51.75" customHeight="1">
      <c r="A145" s="47"/>
      <c r="B145" s="119" t="s">
        <v>0</v>
      </c>
      <c r="C145" s="120" t="s">
        <v>220</v>
      </c>
      <c r="D145" s="120" t="s">
        <v>198</v>
      </c>
      <c r="E145" s="121" t="s">
        <v>22</v>
      </c>
      <c r="F145" s="121" t="s">
        <v>20</v>
      </c>
      <c r="G145" s="121" t="s">
        <v>35</v>
      </c>
      <c r="H145" s="203"/>
      <c r="I145" s="119" t="s">
        <v>0</v>
      </c>
      <c r="J145" s="120" t="s">
        <v>220</v>
      </c>
      <c r="K145" s="120" t="s">
        <v>198</v>
      </c>
      <c r="L145" s="121" t="s">
        <v>22</v>
      </c>
      <c r="M145" s="121" t="s">
        <v>20</v>
      </c>
      <c r="N145" s="121" t="s">
        <v>35</v>
      </c>
    </row>
    <row r="146" spans="1:14" ht="15.75">
      <c r="A146" s="47"/>
      <c r="B146" s="104" t="s">
        <v>169</v>
      </c>
      <c r="C146" s="3">
        <v>0.3085</v>
      </c>
      <c r="D146" s="3">
        <v>0.3</v>
      </c>
      <c r="E146" s="143" t="s">
        <v>187</v>
      </c>
      <c r="F146" s="144" t="s">
        <v>187</v>
      </c>
      <c r="G146" s="144" t="s">
        <v>187</v>
      </c>
      <c r="H146" s="203"/>
      <c r="I146" s="154" t="s">
        <v>187</v>
      </c>
      <c r="J146" s="155" t="s">
        <v>187</v>
      </c>
      <c r="K146" s="155" t="s">
        <v>187</v>
      </c>
      <c r="L146" s="144" t="s">
        <v>187</v>
      </c>
      <c r="M146" s="144" t="s">
        <v>187</v>
      </c>
      <c r="N146" s="144" t="s">
        <v>187</v>
      </c>
    </row>
    <row r="147" spans="1:14" ht="28.5">
      <c r="A147" s="47"/>
      <c r="B147" s="104" t="s">
        <v>138</v>
      </c>
      <c r="C147" s="157">
        <v>0</v>
      </c>
      <c r="D147" s="157" t="s">
        <v>187</v>
      </c>
      <c r="E147" s="6" t="s">
        <v>23</v>
      </c>
      <c r="F147" s="157" t="s">
        <v>187</v>
      </c>
      <c r="G147" s="147" t="s">
        <v>187</v>
      </c>
      <c r="H147" s="203"/>
      <c r="I147" s="104" t="s">
        <v>228</v>
      </c>
      <c r="J147" s="157" t="s">
        <v>187</v>
      </c>
      <c r="K147" s="157" t="s">
        <v>187</v>
      </c>
      <c r="L147" s="6" t="s">
        <v>23</v>
      </c>
      <c r="M147" s="157" t="s">
        <v>187</v>
      </c>
      <c r="N147" s="147" t="s">
        <v>187</v>
      </c>
    </row>
    <row r="148" spans="1:14">
      <c r="A148" s="47"/>
      <c r="B148" s="104" t="s">
        <v>2</v>
      </c>
      <c r="C148" s="3">
        <v>0.20760000000000001</v>
      </c>
      <c r="D148" s="3">
        <v>0.25</v>
      </c>
      <c r="E148" s="1" t="s">
        <v>24</v>
      </c>
      <c r="F148" s="4" t="s">
        <v>54</v>
      </c>
      <c r="G148" s="1" t="s">
        <v>28</v>
      </c>
      <c r="H148" s="204"/>
      <c r="I148" s="104" t="s">
        <v>2</v>
      </c>
      <c r="J148" s="3">
        <v>0.25409999999999999</v>
      </c>
      <c r="K148" s="5">
        <v>0.3</v>
      </c>
      <c r="L148" s="1" t="s">
        <v>24</v>
      </c>
      <c r="M148" s="4" t="s">
        <v>60</v>
      </c>
      <c r="N148" s="1" t="s">
        <v>28</v>
      </c>
    </row>
    <row r="149" spans="1:14" ht="28.5">
      <c r="A149" s="49"/>
      <c r="B149" s="105" t="s">
        <v>137</v>
      </c>
      <c r="C149" s="3">
        <v>0.47099999999999997</v>
      </c>
      <c r="D149" s="3">
        <v>0.5</v>
      </c>
      <c r="E149" s="1" t="s">
        <v>23</v>
      </c>
      <c r="F149" s="4" t="s">
        <v>91</v>
      </c>
      <c r="G149" s="9" t="s">
        <v>181</v>
      </c>
      <c r="H149" s="203"/>
      <c r="I149" s="158" t="s">
        <v>137</v>
      </c>
      <c r="J149" s="3">
        <v>0.65790000000000004</v>
      </c>
      <c r="K149" s="5">
        <v>0.7</v>
      </c>
      <c r="L149" s="103" t="s">
        <v>23</v>
      </c>
      <c r="M149" s="4" t="s">
        <v>86</v>
      </c>
      <c r="N149" s="4" t="s">
        <v>181</v>
      </c>
    </row>
    <row r="150" spans="1:14">
      <c r="A150" s="49"/>
      <c r="B150" s="104" t="s">
        <v>12</v>
      </c>
      <c r="C150" s="3">
        <v>6.3E-3</v>
      </c>
      <c r="D150" s="3">
        <v>0.3</v>
      </c>
      <c r="E150" s="1" t="s">
        <v>24</v>
      </c>
      <c r="F150" s="9" t="s">
        <v>230</v>
      </c>
      <c r="G150" s="1" t="s">
        <v>18</v>
      </c>
      <c r="H150" s="203"/>
      <c r="I150" s="158" t="s">
        <v>12</v>
      </c>
      <c r="J150" s="3">
        <v>8.8900000000000007E-2</v>
      </c>
      <c r="K150" s="5">
        <v>0.3</v>
      </c>
      <c r="L150" s="103" t="s">
        <v>24</v>
      </c>
      <c r="M150" s="9" t="s">
        <v>230</v>
      </c>
      <c r="N150" s="103" t="s">
        <v>18</v>
      </c>
    </row>
    <row r="151" spans="1:14" ht="15">
      <c r="A151" s="49"/>
      <c r="B151" s="106" t="s">
        <v>5</v>
      </c>
      <c r="C151" s="99">
        <f>SUBTOTAL(109,C146:C150)</f>
        <v>0.99339999999999995</v>
      </c>
      <c r="D151" s="99">
        <f>SUBTOTAL(109,D146:D150)</f>
        <v>1.35</v>
      </c>
      <c r="E151" s="117" t="s">
        <v>187</v>
      </c>
      <c r="F151" s="118" t="s">
        <v>187</v>
      </c>
      <c r="G151" s="111" t="s">
        <v>187</v>
      </c>
      <c r="H151" s="203"/>
      <c r="I151" s="106" t="s">
        <v>5</v>
      </c>
      <c r="J151" s="27">
        <f>SUBTOTAL(109,J146:J150)</f>
        <v>1.0009000000000001</v>
      </c>
      <c r="K151" s="27">
        <f>SUBTOTAL(109,K146:K150)</f>
        <v>1.3</v>
      </c>
      <c r="L151" s="118" t="s">
        <v>187</v>
      </c>
      <c r="M151" s="118" t="s">
        <v>187</v>
      </c>
      <c r="N151" s="111" t="s">
        <v>187</v>
      </c>
    </row>
    <row r="152" spans="1:14">
      <c r="A152" s="49"/>
      <c r="B152" s="104" t="s">
        <v>6</v>
      </c>
      <c r="C152" s="11">
        <v>0.69679999999999997</v>
      </c>
      <c r="D152" s="11">
        <v>0.64</v>
      </c>
      <c r="E152" s="1" t="s">
        <v>23</v>
      </c>
      <c r="F152" s="9" t="s">
        <v>182</v>
      </c>
      <c r="G152" s="1" t="s">
        <v>19</v>
      </c>
      <c r="H152" s="203"/>
      <c r="I152" s="104" t="s">
        <v>6</v>
      </c>
      <c r="J152" s="11">
        <v>0.98029999999999995</v>
      </c>
      <c r="K152" s="11">
        <v>0.94</v>
      </c>
      <c r="L152" s="1" t="s">
        <v>23</v>
      </c>
      <c r="M152" s="9" t="s">
        <v>98</v>
      </c>
      <c r="N152" s="1" t="s">
        <v>19</v>
      </c>
    </row>
    <row r="153" spans="1:14" ht="30">
      <c r="A153" s="49"/>
      <c r="B153" s="106" t="s">
        <v>225</v>
      </c>
      <c r="C153" s="12">
        <v>4.0000000000000001E-3</v>
      </c>
      <c r="D153" s="138" t="s">
        <v>187</v>
      </c>
      <c r="E153" s="139" t="s">
        <v>187</v>
      </c>
      <c r="F153" s="140" t="s">
        <v>187</v>
      </c>
      <c r="G153" s="171" t="s">
        <v>187</v>
      </c>
      <c r="H153" s="203"/>
      <c r="I153" s="106" t="s">
        <v>225</v>
      </c>
      <c r="J153" s="12">
        <v>4.0000000000000001E-3</v>
      </c>
      <c r="K153" s="138" t="s">
        <v>187</v>
      </c>
      <c r="L153" s="140" t="s">
        <v>187</v>
      </c>
      <c r="M153" s="140" t="s">
        <v>187</v>
      </c>
      <c r="N153" s="171" t="s">
        <v>187</v>
      </c>
    </row>
    <row r="154" spans="1:14" ht="21" customHeight="1">
      <c r="A154" s="70"/>
      <c r="B154" s="72"/>
      <c r="C154" s="73"/>
      <c r="D154" s="74"/>
      <c r="E154" s="73"/>
      <c r="F154" s="73"/>
      <c r="G154" s="173"/>
      <c r="H154" s="197"/>
      <c r="I154" s="76"/>
      <c r="J154" s="77"/>
      <c r="K154" s="78"/>
      <c r="L154" s="77"/>
      <c r="M154" s="77"/>
      <c r="N154" s="174"/>
    </row>
    <row r="155" spans="1:14" ht="51.75" customHeight="1">
      <c r="A155" s="46" t="s">
        <v>111</v>
      </c>
      <c r="B155" s="36" t="s">
        <v>162</v>
      </c>
      <c r="C155" s="37"/>
      <c r="D155" s="38"/>
      <c r="E155" s="82"/>
      <c r="F155" s="37"/>
      <c r="G155" s="170"/>
      <c r="H155" s="202" t="s">
        <v>111</v>
      </c>
      <c r="I155" s="36" t="s">
        <v>163</v>
      </c>
      <c r="J155" s="37"/>
      <c r="K155" s="38"/>
      <c r="L155" s="39"/>
      <c r="M155" s="37"/>
      <c r="N155" s="170"/>
    </row>
    <row r="156" spans="1:14" ht="51.75" customHeight="1">
      <c r="A156" s="47"/>
      <c r="B156" s="224" t="s">
        <v>0</v>
      </c>
      <c r="C156" s="120" t="s">
        <v>220</v>
      </c>
      <c r="D156" s="120" t="s">
        <v>198</v>
      </c>
      <c r="E156" s="121" t="s">
        <v>22</v>
      </c>
      <c r="F156" s="121" t="s">
        <v>20</v>
      </c>
      <c r="G156" s="121" t="s">
        <v>35</v>
      </c>
      <c r="H156" s="203"/>
      <c r="I156" s="119" t="s">
        <v>0</v>
      </c>
      <c r="J156" s="120" t="s">
        <v>220</v>
      </c>
      <c r="K156" s="120" t="s">
        <v>198</v>
      </c>
      <c r="L156" s="121" t="s">
        <v>22</v>
      </c>
      <c r="M156" s="121" t="s">
        <v>20</v>
      </c>
      <c r="N156" s="121" t="s">
        <v>35</v>
      </c>
    </row>
    <row r="157" spans="1:14" ht="15.75">
      <c r="A157" s="47"/>
      <c r="B157" s="221" t="s">
        <v>169</v>
      </c>
      <c r="C157" s="5">
        <v>0.39269999999999999</v>
      </c>
      <c r="D157" s="5">
        <v>0.3</v>
      </c>
      <c r="E157" s="143" t="s">
        <v>187</v>
      </c>
      <c r="F157" s="144" t="s">
        <v>187</v>
      </c>
      <c r="G157" s="147" t="s">
        <v>187</v>
      </c>
      <c r="H157" s="203"/>
      <c r="I157" s="154" t="s">
        <v>187</v>
      </c>
      <c r="J157" s="155" t="s">
        <v>187</v>
      </c>
      <c r="K157" s="155" t="s">
        <v>187</v>
      </c>
      <c r="L157" s="144" t="s">
        <v>187</v>
      </c>
      <c r="M157" s="144" t="s">
        <v>187</v>
      </c>
      <c r="N157" s="144" t="s">
        <v>187</v>
      </c>
    </row>
    <row r="158" spans="1:14" ht="28.5">
      <c r="A158" s="47"/>
      <c r="B158" s="221" t="s">
        <v>138</v>
      </c>
      <c r="C158" s="5">
        <v>0.69569999999999999</v>
      </c>
      <c r="D158" s="5">
        <v>0.64</v>
      </c>
      <c r="E158" s="6" t="s">
        <v>23</v>
      </c>
      <c r="F158" s="7" t="s">
        <v>182</v>
      </c>
      <c r="G158" s="6" t="s">
        <v>7</v>
      </c>
      <c r="H158" s="203"/>
      <c r="I158" s="104" t="s">
        <v>228</v>
      </c>
      <c r="J158" s="5">
        <v>0.99780000000000002</v>
      </c>
      <c r="K158" s="5">
        <v>0.94</v>
      </c>
      <c r="L158" s="6" t="s">
        <v>23</v>
      </c>
      <c r="M158" s="7" t="s">
        <v>98</v>
      </c>
      <c r="N158" s="6" t="s">
        <v>7</v>
      </c>
    </row>
    <row r="159" spans="1:14">
      <c r="A159" s="48"/>
      <c r="B159" s="221" t="s">
        <v>2</v>
      </c>
      <c r="C159" s="3">
        <v>0.24640000000000001</v>
      </c>
      <c r="D159" s="5">
        <v>0.05</v>
      </c>
      <c r="E159" s="103" t="s">
        <v>24</v>
      </c>
      <c r="F159" s="5" t="s">
        <v>51</v>
      </c>
      <c r="G159" s="1" t="s">
        <v>14</v>
      </c>
      <c r="H159" s="204"/>
      <c r="I159" s="104" t="s">
        <v>2</v>
      </c>
      <c r="J159" s="3">
        <v>0.2046</v>
      </c>
      <c r="K159" s="5">
        <v>0.05</v>
      </c>
      <c r="L159" s="103" t="s">
        <v>24</v>
      </c>
      <c r="M159" s="5" t="s">
        <v>51</v>
      </c>
      <c r="N159" s="1" t="s">
        <v>14</v>
      </c>
    </row>
    <row r="160" spans="1:14" ht="28.5">
      <c r="A160" s="49"/>
      <c r="B160" s="222" t="s">
        <v>137</v>
      </c>
      <c r="C160" s="113">
        <v>0</v>
      </c>
      <c r="D160" s="113" t="s">
        <v>187</v>
      </c>
      <c r="E160" s="1" t="s">
        <v>23</v>
      </c>
      <c r="F160" s="113" t="s">
        <v>243</v>
      </c>
      <c r="G160" s="132" t="s">
        <v>187</v>
      </c>
      <c r="H160" s="203"/>
      <c r="I160" s="104" t="s">
        <v>137</v>
      </c>
      <c r="J160" s="113">
        <v>0</v>
      </c>
      <c r="K160" s="113" t="s">
        <v>187</v>
      </c>
      <c r="L160" s="1" t="s">
        <v>23</v>
      </c>
      <c r="M160" s="113" t="s">
        <v>243</v>
      </c>
      <c r="N160" s="132" t="s">
        <v>187</v>
      </c>
    </row>
    <row r="161" spans="1:14">
      <c r="A161" s="49"/>
      <c r="B161" s="221" t="s">
        <v>12</v>
      </c>
      <c r="C161" s="3">
        <v>0.27179999999999999</v>
      </c>
      <c r="D161" s="237">
        <v>0.05</v>
      </c>
      <c r="E161" s="1" t="s">
        <v>24</v>
      </c>
      <c r="F161" s="236" t="s">
        <v>51</v>
      </c>
      <c r="G161" s="1" t="s">
        <v>18</v>
      </c>
      <c r="H161" s="203"/>
      <c r="I161" s="104" t="s">
        <v>12</v>
      </c>
      <c r="J161" s="3">
        <v>0.26569999999999999</v>
      </c>
      <c r="K161" s="237">
        <v>0.05</v>
      </c>
      <c r="L161" s="1" t="s">
        <v>24</v>
      </c>
      <c r="M161" s="236" t="s">
        <v>51</v>
      </c>
      <c r="N161" s="1" t="s">
        <v>18</v>
      </c>
    </row>
    <row r="162" spans="1:14" ht="15">
      <c r="A162" s="49"/>
      <c r="B162" s="223" t="s">
        <v>5</v>
      </c>
      <c r="C162" s="27">
        <f>SUBTOTAL(109,C157:C161)</f>
        <v>1.6066</v>
      </c>
      <c r="D162" s="27">
        <f>SUBTOTAL(109,D157:D161)</f>
        <v>1.04</v>
      </c>
      <c r="E162" s="117" t="s">
        <v>187</v>
      </c>
      <c r="F162" s="118" t="s">
        <v>187</v>
      </c>
      <c r="G162" s="111" t="s">
        <v>187</v>
      </c>
      <c r="H162" s="203"/>
      <c r="I162" s="106" t="s">
        <v>5</v>
      </c>
      <c r="J162" s="27">
        <f>SUBTOTAL(109,J157:J161)</f>
        <v>1.4681</v>
      </c>
      <c r="K162" s="27">
        <f>SUBTOTAL(109,K157:K161)</f>
        <v>1.04</v>
      </c>
      <c r="L162" s="118" t="s">
        <v>187</v>
      </c>
      <c r="M162" s="118" t="s">
        <v>187</v>
      </c>
      <c r="N162" s="111" t="s">
        <v>187</v>
      </c>
    </row>
    <row r="163" spans="1:14">
      <c r="A163" s="49"/>
      <c r="B163" s="221" t="s">
        <v>6</v>
      </c>
      <c r="C163" s="11">
        <v>0.69440000000000002</v>
      </c>
      <c r="D163" s="11">
        <v>0.64</v>
      </c>
      <c r="E163" s="1" t="s">
        <v>23</v>
      </c>
      <c r="F163" s="9" t="s">
        <v>182</v>
      </c>
      <c r="G163" s="1" t="s">
        <v>19</v>
      </c>
      <c r="H163" s="203"/>
      <c r="I163" s="104" t="s">
        <v>6</v>
      </c>
      <c r="J163" s="11">
        <v>0.99809999999999999</v>
      </c>
      <c r="K163" s="11">
        <v>0.94</v>
      </c>
      <c r="L163" s="1" t="s">
        <v>23</v>
      </c>
      <c r="M163" s="9" t="s">
        <v>98</v>
      </c>
      <c r="N163" s="1" t="s">
        <v>19</v>
      </c>
    </row>
    <row r="164" spans="1:14" ht="30">
      <c r="A164" s="49"/>
      <c r="B164" s="223" t="s">
        <v>225</v>
      </c>
      <c r="C164" s="12">
        <v>2E-3</v>
      </c>
      <c r="D164" s="138" t="s">
        <v>187</v>
      </c>
      <c r="E164" s="139" t="s">
        <v>187</v>
      </c>
      <c r="F164" s="140" t="s">
        <v>187</v>
      </c>
      <c r="G164" s="171" t="s">
        <v>187</v>
      </c>
      <c r="H164" s="203"/>
      <c r="I164" s="106" t="s">
        <v>225</v>
      </c>
      <c r="J164" s="66">
        <v>2E-3</v>
      </c>
      <c r="K164" s="138" t="s">
        <v>187</v>
      </c>
      <c r="L164" s="140" t="s">
        <v>187</v>
      </c>
      <c r="M164" s="140" t="s">
        <v>187</v>
      </c>
      <c r="N164" s="171" t="s">
        <v>187</v>
      </c>
    </row>
    <row r="165" spans="1:14" ht="21" customHeight="1">
      <c r="A165" s="70"/>
      <c r="B165" s="72"/>
      <c r="C165" s="73"/>
      <c r="D165" s="74"/>
      <c r="E165" s="73"/>
      <c r="F165" s="73"/>
      <c r="G165" s="173"/>
      <c r="H165" s="197"/>
      <c r="I165" s="76"/>
      <c r="J165" s="77"/>
      <c r="K165" s="78"/>
      <c r="L165" s="77"/>
      <c r="M165" s="77"/>
      <c r="N165" s="174"/>
    </row>
    <row r="166" spans="1:14" ht="51.75" customHeight="1">
      <c r="A166" s="79" t="s">
        <v>164</v>
      </c>
      <c r="B166" s="32" t="s">
        <v>165</v>
      </c>
      <c r="C166" s="33"/>
      <c r="D166" s="34"/>
      <c r="E166" s="81"/>
      <c r="F166" s="33"/>
      <c r="G166" s="170"/>
      <c r="H166" s="205" t="s">
        <v>164</v>
      </c>
      <c r="I166" s="32" t="s">
        <v>167</v>
      </c>
      <c r="J166" s="33"/>
      <c r="K166" s="34"/>
      <c r="L166" s="35"/>
      <c r="M166" s="39"/>
      <c r="N166" s="170"/>
    </row>
    <row r="167" spans="1:14" ht="40.35" customHeight="1">
      <c r="A167" s="80"/>
      <c r="B167" s="119" t="s">
        <v>0</v>
      </c>
      <c r="C167" s="120" t="s">
        <v>220</v>
      </c>
      <c r="D167" s="120" t="s">
        <v>198</v>
      </c>
      <c r="E167" s="121" t="s">
        <v>30</v>
      </c>
      <c r="F167" s="121" t="s">
        <v>20</v>
      </c>
      <c r="G167" s="122" t="s">
        <v>35</v>
      </c>
      <c r="H167" s="206"/>
      <c r="I167" s="119" t="s">
        <v>0</v>
      </c>
      <c r="J167" s="120" t="s">
        <v>220</v>
      </c>
      <c r="K167" s="120" t="s">
        <v>198</v>
      </c>
      <c r="L167" s="121" t="s">
        <v>30</v>
      </c>
      <c r="M167" s="121" t="s">
        <v>20</v>
      </c>
      <c r="N167" s="122" t="s">
        <v>35</v>
      </c>
    </row>
    <row r="168" spans="1:14" ht="15.75">
      <c r="A168" s="80"/>
      <c r="B168" s="104" t="s">
        <v>169</v>
      </c>
      <c r="C168" s="249"/>
      <c r="D168" s="63">
        <v>0.3</v>
      </c>
      <c r="E168" s="143" t="s">
        <v>187</v>
      </c>
      <c r="F168" s="144" t="s">
        <v>187</v>
      </c>
      <c r="G168" s="149" t="s">
        <v>187</v>
      </c>
      <c r="H168" s="206"/>
      <c r="I168" s="154" t="s">
        <v>187</v>
      </c>
      <c r="J168" s="249"/>
      <c r="K168" s="155" t="s">
        <v>187</v>
      </c>
      <c r="L168" s="144" t="s">
        <v>187</v>
      </c>
      <c r="M168" s="144" t="s">
        <v>187</v>
      </c>
      <c r="N168" s="149" t="s">
        <v>187</v>
      </c>
    </row>
    <row r="169" spans="1:14" ht="42" customHeight="1">
      <c r="A169" s="80"/>
      <c r="B169" s="104" t="s">
        <v>138</v>
      </c>
      <c r="C169" s="249"/>
      <c r="D169" s="63">
        <v>0.7</v>
      </c>
      <c r="E169" s="1" t="s">
        <v>4</v>
      </c>
      <c r="F169" s="4" t="s">
        <v>133</v>
      </c>
      <c r="G169" s="218" t="s">
        <v>218</v>
      </c>
      <c r="H169" s="206"/>
      <c r="I169" s="104" t="s">
        <v>228</v>
      </c>
      <c r="J169" s="249"/>
      <c r="K169" s="5">
        <v>0.95</v>
      </c>
      <c r="L169" s="6" t="s">
        <v>4</v>
      </c>
      <c r="M169" s="7" t="s">
        <v>64</v>
      </c>
      <c r="N169" s="218" t="s">
        <v>218</v>
      </c>
    </row>
    <row r="170" spans="1:14" ht="21.75" customHeight="1">
      <c r="A170" s="80"/>
      <c r="B170" s="104" t="s">
        <v>2</v>
      </c>
      <c r="C170" s="250"/>
      <c r="D170" s="64">
        <v>0.19</v>
      </c>
      <c r="E170" s="1" t="s">
        <v>3</v>
      </c>
      <c r="F170" s="4" t="s">
        <v>51</v>
      </c>
      <c r="G170" s="114" t="s">
        <v>14</v>
      </c>
      <c r="H170" s="206"/>
      <c r="I170" s="104" t="s">
        <v>2</v>
      </c>
      <c r="J170" s="250"/>
      <c r="K170" s="3">
        <v>0.28000000000000003</v>
      </c>
      <c r="L170" s="1" t="s">
        <v>3</v>
      </c>
      <c r="M170" s="4" t="s">
        <v>174</v>
      </c>
      <c r="N170" s="114" t="s">
        <v>14</v>
      </c>
    </row>
    <row r="171" spans="1:14" ht="28.5">
      <c r="A171" s="80"/>
      <c r="B171" s="105" t="s">
        <v>137</v>
      </c>
      <c r="C171" s="250"/>
      <c r="D171" s="64">
        <v>0.06</v>
      </c>
      <c r="E171" s="1" t="s">
        <v>4</v>
      </c>
      <c r="F171" s="4" t="s">
        <v>58</v>
      </c>
      <c r="G171" s="114" t="s">
        <v>183</v>
      </c>
      <c r="H171" s="206"/>
      <c r="I171" s="104" t="s">
        <v>137</v>
      </c>
      <c r="J171" s="250"/>
      <c r="K171" s="3">
        <v>0.06</v>
      </c>
      <c r="L171" s="1" t="s">
        <v>4</v>
      </c>
      <c r="M171" s="4" t="s">
        <v>61</v>
      </c>
      <c r="N171" s="114" t="s">
        <v>15</v>
      </c>
    </row>
    <row r="172" spans="1:14" ht="32.25" customHeight="1">
      <c r="A172" s="80"/>
      <c r="B172" s="104" t="s">
        <v>170</v>
      </c>
      <c r="C172" s="250"/>
      <c r="D172" s="64">
        <v>0.05</v>
      </c>
      <c r="E172" s="8" t="s">
        <v>3</v>
      </c>
      <c r="F172" s="9" t="s">
        <v>51</v>
      </c>
      <c r="G172" s="136" t="s">
        <v>187</v>
      </c>
      <c r="H172" s="206"/>
      <c r="I172" s="104" t="s">
        <v>170</v>
      </c>
      <c r="J172" s="250"/>
      <c r="K172" s="3">
        <v>0.05</v>
      </c>
      <c r="L172" s="8" t="s">
        <v>3</v>
      </c>
      <c r="M172" s="9" t="s">
        <v>51</v>
      </c>
      <c r="N172" s="136" t="s">
        <v>187</v>
      </c>
    </row>
    <row r="173" spans="1:14">
      <c r="A173" s="80"/>
      <c r="B173" s="104" t="s">
        <v>10</v>
      </c>
      <c r="C173" s="250"/>
      <c r="D173" s="64">
        <v>0.05</v>
      </c>
      <c r="E173" s="8" t="s">
        <v>3</v>
      </c>
      <c r="F173" s="9" t="s">
        <v>51</v>
      </c>
      <c r="G173" s="136" t="s">
        <v>187</v>
      </c>
      <c r="H173" s="206"/>
      <c r="I173" s="104" t="s">
        <v>10</v>
      </c>
      <c r="J173" s="250"/>
      <c r="K173" s="3">
        <v>0.05</v>
      </c>
      <c r="L173" s="8" t="s">
        <v>3</v>
      </c>
      <c r="M173" s="9" t="s">
        <v>51</v>
      </c>
      <c r="N173" s="136" t="s">
        <v>187</v>
      </c>
    </row>
    <row r="174" spans="1:14">
      <c r="A174" s="80"/>
      <c r="B174" s="104" t="s">
        <v>12</v>
      </c>
      <c r="C174" s="250"/>
      <c r="D174" s="64">
        <v>0.15</v>
      </c>
      <c r="E174" s="8" t="s">
        <v>3</v>
      </c>
      <c r="F174" s="9" t="s">
        <v>52</v>
      </c>
      <c r="G174" s="136" t="s">
        <v>187</v>
      </c>
      <c r="H174" s="206"/>
      <c r="I174" s="104" t="s">
        <v>12</v>
      </c>
      <c r="J174" s="250"/>
      <c r="K174" s="3">
        <v>0.15</v>
      </c>
      <c r="L174" s="8" t="s">
        <v>3</v>
      </c>
      <c r="M174" s="9" t="s">
        <v>52</v>
      </c>
      <c r="N174" s="136" t="s">
        <v>187</v>
      </c>
    </row>
    <row r="175" spans="1:14">
      <c r="A175" s="80"/>
      <c r="B175" s="104" t="s">
        <v>171</v>
      </c>
      <c r="C175" s="250"/>
      <c r="D175" s="64">
        <v>0.05</v>
      </c>
      <c r="E175" s="8" t="s">
        <v>3</v>
      </c>
      <c r="F175" s="9" t="s">
        <v>51</v>
      </c>
      <c r="G175" s="136" t="s">
        <v>187</v>
      </c>
      <c r="H175" s="206"/>
      <c r="I175" s="104" t="s">
        <v>171</v>
      </c>
      <c r="J175" s="250"/>
      <c r="K175" s="3">
        <v>0.05</v>
      </c>
      <c r="L175" s="8" t="s">
        <v>3</v>
      </c>
      <c r="M175" s="9" t="s">
        <v>51</v>
      </c>
      <c r="N175" s="136" t="s">
        <v>187</v>
      </c>
    </row>
    <row r="176" spans="1:14" ht="15">
      <c r="A176" s="80"/>
      <c r="B176" s="106" t="s">
        <v>5</v>
      </c>
      <c r="C176" s="251"/>
      <c r="D176" s="99">
        <f>SUBTOTAL(109,D168:D175)</f>
        <v>1.55</v>
      </c>
      <c r="E176" s="145" t="s">
        <v>187</v>
      </c>
      <c r="F176" s="132" t="s">
        <v>187</v>
      </c>
      <c r="G176" s="116" t="s">
        <v>187</v>
      </c>
      <c r="H176" s="206"/>
      <c r="I176" s="106" t="s">
        <v>5</v>
      </c>
      <c r="J176" s="251"/>
      <c r="K176" s="101">
        <f>SUBTOTAL(109,K168:K175)</f>
        <v>1.59</v>
      </c>
      <c r="L176" s="145" t="s">
        <v>187</v>
      </c>
      <c r="M176" s="132" t="s">
        <v>187</v>
      </c>
      <c r="N176" s="116" t="s">
        <v>187</v>
      </c>
    </row>
    <row r="177" spans="1:14">
      <c r="A177" s="80"/>
      <c r="B177" s="104" t="s">
        <v>6</v>
      </c>
      <c r="C177" s="250"/>
      <c r="D177" s="64">
        <v>0.06</v>
      </c>
      <c r="E177" s="1" t="s">
        <v>23</v>
      </c>
      <c r="F177" s="10" t="s">
        <v>58</v>
      </c>
      <c r="G177" s="115" t="s">
        <v>19</v>
      </c>
      <c r="H177" s="206"/>
      <c r="I177" s="104" t="s">
        <v>6</v>
      </c>
      <c r="J177" s="250"/>
      <c r="K177" s="3">
        <v>0.06</v>
      </c>
      <c r="L177" s="1" t="s">
        <v>23</v>
      </c>
      <c r="M177" s="10" t="s">
        <v>133</v>
      </c>
      <c r="N177" s="115" t="s">
        <v>19</v>
      </c>
    </row>
    <row r="178" spans="1:14" ht="30">
      <c r="A178" s="80"/>
      <c r="B178" s="219" t="s">
        <v>225</v>
      </c>
      <c r="C178" s="252"/>
      <c r="D178" s="148">
        <v>3.0000000000000001E-3</v>
      </c>
      <c r="E178" s="151" t="s">
        <v>187</v>
      </c>
      <c r="F178" s="152" t="s">
        <v>187</v>
      </c>
      <c r="G178" s="153" t="s">
        <v>187</v>
      </c>
      <c r="H178" s="206"/>
      <c r="I178" s="219" t="s">
        <v>225</v>
      </c>
      <c r="J178" s="252"/>
      <c r="K178" s="150">
        <v>3.0000000000000001E-3</v>
      </c>
      <c r="L178" s="152" t="s">
        <v>187</v>
      </c>
      <c r="M178" s="152" t="s">
        <v>187</v>
      </c>
      <c r="N178" s="153" t="s">
        <v>187</v>
      </c>
    </row>
    <row r="179" spans="1:14" ht="21" customHeight="1">
      <c r="A179" s="70"/>
      <c r="B179" s="161" t="s">
        <v>187</v>
      </c>
      <c r="C179" s="162" t="s">
        <v>187</v>
      </c>
      <c r="D179" s="162" t="s">
        <v>187</v>
      </c>
      <c r="E179" s="162" t="s">
        <v>187</v>
      </c>
      <c r="F179" s="162" t="s">
        <v>187</v>
      </c>
      <c r="G179" s="172" t="s">
        <v>187</v>
      </c>
      <c r="H179" s="197"/>
      <c r="I179" s="76"/>
      <c r="J179" s="77"/>
      <c r="K179" s="78"/>
      <c r="L179" s="77"/>
      <c r="M179" s="77"/>
      <c r="N179" s="174"/>
    </row>
    <row r="180" spans="1:14" ht="51.75" customHeight="1">
      <c r="A180" s="79" t="s">
        <v>164</v>
      </c>
      <c r="B180" s="32" t="s">
        <v>166</v>
      </c>
      <c r="C180" s="33"/>
      <c r="D180" s="34"/>
      <c r="E180" s="81"/>
      <c r="F180" s="33"/>
      <c r="G180" s="170"/>
      <c r="H180" s="205" t="s">
        <v>164</v>
      </c>
      <c r="I180" s="32" t="s">
        <v>168</v>
      </c>
      <c r="J180" s="33"/>
      <c r="K180" s="34"/>
      <c r="L180" s="35"/>
      <c r="M180" s="33"/>
      <c r="N180" s="170"/>
    </row>
    <row r="181" spans="1:14" ht="40.35" customHeight="1">
      <c r="A181" s="80"/>
      <c r="B181" s="119" t="s">
        <v>0</v>
      </c>
      <c r="C181" s="120" t="s">
        <v>220</v>
      </c>
      <c r="D181" s="120" t="s">
        <v>198</v>
      </c>
      <c r="E181" s="121" t="s">
        <v>30</v>
      </c>
      <c r="F181" s="121" t="s">
        <v>20</v>
      </c>
      <c r="G181" s="122" t="s">
        <v>35</v>
      </c>
      <c r="H181" s="206"/>
      <c r="I181" s="119" t="s">
        <v>0</v>
      </c>
      <c r="J181" s="120" t="s">
        <v>220</v>
      </c>
      <c r="K181" s="120" t="s">
        <v>198</v>
      </c>
      <c r="L181" s="121" t="s">
        <v>30</v>
      </c>
      <c r="M181" s="121" t="s">
        <v>20</v>
      </c>
      <c r="N181" s="122" t="s">
        <v>35</v>
      </c>
    </row>
    <row r="182" spans="1:14" ht="15.75">
      <c r="A182" s="80"/>
      <c r="B182" s="104" t="s">
        <v>169</v>
      </c>
      <c r="C182" s="3">
        <v>0.4904</v>
      </c>
      <c r="D182" s="3">
        <v>0.85</v>
      </c>
      <c r="E182" s="156" t="s">
        <v>187</v>
      </c>
      <c r="F182" s="244" t="s">
        <v>187</v>
      </c>
      <c r="G182" s="245" t="s">
        <v>187</v>
      </c>
      <c r="H182" s="206"/>
      <c r="I182" s="154" t="s">
        <v>187</v>
      </c>
      <c r="J182" s="248" t="s">
        <v>187</v>
      </c>
      <c r="K182" s="248" t="s">
        <v>187</v>
      </c>
      <c r="L182" s="244" t="s">
        <v>187</v>
      </c>
      <c r="M182" s="244" t="s">
        <v>187</v>
      </c>
      <c r="N182" s="245" t="s">
        <v>187</v>
      </c>
    </row>
    <row r="183" spans="1:14" ht="33.75" customHeight="1">
      <c r="A183" s="80"/>
      <c r="B183" s="104" t="s">
        <v>138</v>
      </c>
      <c r="C183" s="3">
        <v>0.1099</v>
      </c>
      <c r="D183" s="3">
        <v>0.16</v>
      </c>
      <c r="E183" s="1" t="s">
        <v>4</v>
      </c>
      <c r="F183" s="4" t="s">
        <v>133</v>
      </c>
      <c r="G183" s="114" t="s">
        <v>218</v>
      </c>
      <c r="H183" s="206"/>
      <c r="I183" s="104" t="s">
        <v>228</v>
      </c>
      <c r="J183" s="3">
        <v>0.1507</v>
      </c>
      <c r="K183" s="3">
        <v>0.2</v>
      </c>
      <c r="L183" s="1" t="s">
        <v>4</v>
      </c>
      <c r="M183" s="4" t="s">
        <v>64</v>
      </c>
      <c r="N183" s="114" t="s">
        <v>218</v>
      </c>
    </row>
    <row r="184" spans="1:14">
      <c r="A184" s="80"/>
      <c r="B184" s="104" t="s">
        <v>2</v>
      </c>
      <c r="C184" s="3">
        <v>5.9700000000000003E-2</v>
      </c>
      <c r="D184" s="3">
        <v>0.05</v>
      </c>
      <c r="E184" s="1" t="s">
        <v>3</v>
      </c>
      <c r="F184" s="4" t="s">
        <v>51</v>
      </c>
      <c r="G184" s="114" t="s">
        <v>14</v>
      </c>
      <c r="H184" s="206"/>
      <c r="I184" s="104" t="s">
        <v>2</v>
      </c>
      <c r="J184" s="3">
        <v>0.45140000000000002</v>
      </c>
      <c r="K184" s="3">
        <v>0.45</v>
      </c>
      <c r="L184" s="1" t="s">
        <v>3</v>
      </c>
      <c r="M184" s="4" t="s">
        <v>174</v>
      </c>
      <c r="N184" s="114" t="s">
        <v>14</v>
      </c>
    </row>
    <row r="185" spans="1:14" ht="28.5">
      <c r="A185" s="80"/>
      <c r="B185" s="105" t="s">
        <v>137</v>
      </c>
      <c r="C185" s="3">
        <v>7.1099999999999997E-2</v>
      </c>
      <c r="D185" s="3">
        <v>0.06</v>
      </c>
      <c r="E185" s="1" t="s">
        <v>4</v>
      </c>
      <c r="F185" s="4" t="s">
        <v>58</v>
      </c>
      <c r="G185" s="114" t="s">
        <v>183</v>
      </c>
      <c r="H185" s="206"/>
      <c r="I185" s="104" t="s">
        <v>137</v>
      </c>
      <c r="J185" s="3">
        <v>0.2954</v>
      </c>
      <c r="K185" s="3">
        <v>0.3</v>
      </c>
      <c r="L185" s="1" t="s">
        <v>4</v>
      </c>
      <c r="M185" s="4" t="s">
        <v>61</v>
      </c>
      <c r="N185" s="114" t="s">
        <v>183</v>
      </c>
    </row>
    <row r="186" spans="1:14">
      <c r="A186" s="80"/>
      <c r="B186" s="104" t="s">
        <v>12</v>
      </c>
      <c r="C186" s="3">
        <v>0.26889999999999997</v>
      </c>
      <c r="D186" s="3">
        <v>0.15</v>
      </c>
      <c r="E186" s="1" t="s">
        <v>3</v>
      </c>
      <c r="F186" s="9" t="s">
        <v>52</v>
      </c>
      <c r="G186" s="116" t="s">
        <v>187</v>
      </c>
      <c r="H186" s="206"/>
      <c r="I186" s="104" t="s">
        <v>12</v>
      </c>
      <c r="J186" s="3">
        <v>0.10249999999999999</v>
      </c>
      <c r="K186" s="3">
        <v>0.15</v>
      </c>
      <c r="L186" s="1" t="s">
        <v>3</v>
      </c>
      <c r="M186" s="9" t="s">
        <v>52</v>
      </c>
      <c r="N186" s="116" t="s">
        <v>187</v>
      </c>
    </row>
    <row r="187" spans="1:14" ht="15">
      <c r="A187" s="80"/>
      <c r="B187" s="106" t="s">
        <v>5</v>
      </c>
      <c r="C187" s="27">
        <f>SUBTOTAL(109,C182:C186)</f>
        <v>1</v>
      </c>
      <c r="D187" s="27">
        <f>SUBTOTAL(109,D182:D186)</f>
        <v>1.27</v>
      </c>
      <c r="E187" s="117" t="s">
        <v>187</v>
      </c>
      <c r="F187" s="118" t="s">
        <v>187</v>
      </c>
      <c r="G187" s="227" t="s">
        <v>187</v>
      </c>
      <c r="H187" s="206"/>
      <c r="I187" s="106" t="s">
        <v>5</v>
      </c>
      <c r="J187" s="27">
        <f>SUBTOTAL(109,J182:J186)</f>
        <v>1</v>
      </c>
      <c r="K187" s="27">
        <f>SUBTOTAL(109,K182:K186)</f>
        <v>1.0999999999999999</v>
      </c>
      <c r="L187" s="118" t="s">
        <v>187</v>
      </c>
      <c r="M187" s="118" t="s">
        <v>187</v>
      </c>
      <c r="N187" s="227" t="s">
        <v>187</v>
      </c>
    </row>
    <row r="188" spans="1:14">
      <c r="A188" s="80"/>
      <c r="B188" s="104" t="s">
        <v>6</v>
      </c>
      <c r="C188" s="11">
        <v>6.6699999999999995E-2</v>
      </c>
      <c r="D188" s="11">
        <v>0.06</v>
      </c>
      <c r="E188" s="1" t="s">
        <v>4</v>
      </c>
      <c r="F188" s="9" t="s">
        <v>58</v>
      </c>
      <c r="G188" s="114" t="s">
        <v>19</v>
      </c>
      <c r="H188" s="206"/>
      <c r="I188" s="104" t="s">
        <v>6</v>
      </c>
      <c r="J188" s="3">
        <v>0</v>
      </c>
      <c r="K188" s="11">
        <v>0.16</v>
      </c>
      <c r="L188" s="1" t="s">
        <v>4</v>
      </c>
      <c r="M188" s="9" t="s">
        <v>133</v>
      </c>
      <c r="N188" s="114" t="s">
        <v>19</v>
      </c>
    </row>
    <row r="189" spans="1:14" ht="30">
      <c r="A189" s="80"/>
      <c r="B189" s="219" t="s">
        <v>225</v>
      </c>
      <c r="C189" s="246">
        <v>2E-3</v>
      </c>
      <c r="D189" s="239" t="s">
        <v>187</v>
      </c>
      <c r="E189" s="239" t="s">
        <v>187</v>
      </c>
      <c r="F189" s="239" t="s">
        <v>187</v>
      </c>
      <c r="G189" s="247" t="s">
        <v>187</v>
      </c>
      <c r="H189" s="206"/>
      <c r="I189" s="219" t="s">
        <v>225</v>
      </c>
      <c r="J189" s="246">
        <v>2E-3</v>
      </c>
      <c r="K189" s="239" t="s">
        <v>187</v>
      </c>
      <c r="L189" s="239" t="s">
        <v>187</v>
      </c>
      <c r="M189" s="239" t="s">
        <v>187</v>
      </c>
      <c r="N189" s="247" t="s">
        <v>187</v>
      </c>
    </row>
    <row r="190" spans="1:14" ht="15">
      <c r="A190" s="70"/>
      <c r="B190" s="161" t="s">
        <v>187</v>
      </c>
      <c r="C190" s="162" t="s">
        <v>187</v>
      </c>
      <c r="D190" s="162" t="s">
        <v>187</v>
      </c>
      <c r="E190" s="162" t="s">
        <v>187</v>
      </c>
      <c r="F190" s="162" t="s">
        <v>187</v>
      </c>
      <c r="G190" s="172" t="s">
        <v>187</v>
      </c>
      <c r="H190" s="197"/>
      <c r="I190" s="76"/>
      <c r="J190" s="77"/>
      <c r="K190" s="78"/>
      <c r="L190" s="77"/>
      <c r="M190" s="77"/>
      <c r="N190" s="174"/>
    </row>
    <row r="191" spans="1:14" ht="51" customHeight="1">
      <c r="A191" s="253" t="s">
        <v>261</v>
      </c>
      <c r="B191" s="36" t="s">
        <v>259</v>
      </c>
      <c r="C191" s="37"/>
      <c r="D191" s="38"/>
      <c r="E191" s="82"/>
      <c r="F191" s="37"/>
      <c r="G191" s="170"/>
      <c r="H191" s="253" t="s">
        <v>261</v>
      </c>
      <c r="I191" s="36" t="s">
        <v>260</v>
      </c>
      <c r="J191" s="37"/>
      <c r="K191" s="38"/>
      <c r="L191" s="39"/>
      <c r="M191" s="37"/>
      <c r="N191" s="170"/>
    </row>
    <row r="192" spans="1:14" ht="15.75">
      <c r="A192" s="254"/>
      <c r="B192" s="119" t="s">
        <v>0</v>
      </c>
      <c r="C192" s="120" t="s">
        <v>220</v>
      </c>
      <c r="D192" s="120" t="s">
        <v>198</v>
      </c>
      <c r="E192" s="121" t="s">
        <v>30</v>
      </c>
      <c r="F192" s="121" t="s">
        <v>20</v>
      </c>
      <c r="G192" s="122" t="s">
        <v>35</v>
      </c>
      <c r="H192" s="254"/>
      <c r="I192" s="119" t="s">
        <v>0</v>
      </c>
      <c r="J192" s="120" t="s">
        <v>220</v>
      </c>
      <c r="K192" s="120" t="s">
        <v>198</v>
      </c>
      <c r="L192" s="121" t="s">
        <v>30</v>
      </c>
      <c r="M192" s="121" t="s">
        <v>20</v>
      </c>
      <c r="N192" s="122" t="s">
        <v>35</v>
      </c>
    </row>
    <row r="193" spans="1:14" ht="15.75">
      <c r="A193" s="254"/>
      <c r="B193" s="104" t="s">
        <v>169</v>
      </c>
      <c r="C193" s="249"/>
      <c r="D193" s="5">
        <v>0.3</v>
      </c>
      <c r="E193" s="143" t="s">
        <v>187</v>
      </c>
      <c r="F193" s="144" t="s">
        <v>187</v>
      </c>
      <c r="G193" s="149" t="s">
        <v>187</v>
      </c>
      <c r="H193" s="254"/>
      <c r="I193" s="154" t="s">
        <v>187</v>
      </c>
      <c r="J193" s="249"/>
      <c r="K193" s="5"/>
      <c r="L193" s="144" t="s">
        <v>187</v>
      </c>
      <c r="M193" s="144" t="s">
        <v>187</v>
      </c>
      <c r="N193" s="149" t="s">
        <v>187</v>
      </c>
    </row>
    <row r="194" spans="1:14" ht="28.5">
      <c r="A194" s="254"/>
      <c r="B194" s="104" t="s">
        <v>138</v>
      </c>
      <c r="C194" s="249"/>
      <c r="D194" s="3">
        <v>0.7</v>
      </c>
      <c r="E194" s="1" t="s">
        <v>4</v>
      </c>
      <c r="F194" s="4" t="s">
        <v>86</v>
      </c>
      <c r="G194" s="52" t="s">
        <v>249</v>
      </c>
      <c r="H194" s="254"/>
      <c r="I194" s="104" t="s">
        <v>138</v>
      </c>
      <c r="J194" s="249"/>
      <c r="K194" s="3">
        <v>0.95</v>
      </c>
      <c r="L194" s="1" t="s">
        <v>4</v>
      </c>
      <c r="M194" s="4" t="s">
        <v>122</v>
      </c>
      <c r="N194" s="52" t="s">
        <v>249</v>
      </c>
    </row>
    <row r="195" spans="1:14">
      <c r="A195" s="254"/>
      <c r="B195" s="104" t="s">
        <v>2</v>
      </c>
      <c r="C195" s="250"/>
      <c r="D195" s="3">
        <v>0.19</v>
      </c>
      <c r="E195" s="1" t="s">
        <v>3</v>
      </c>
      <c r="F195" s="4" t="s">
        <v>258</v>
      </c>
      <c r="G195" s="114" t="s">
        <v>14</v>
      </c>
      <c r="H195" s="254"/>
      <c r="I195" s="104" t="s">
        <v>2</v>
      </c>
      <c r="J195" s="250"/>
      <c r="K195" s="3">
        <v>0.28000000000000003</v>
      </c>
      <c r="L195" s="1" t="s">
        <v>3</v>
      </c>
      <c r="M195" s="4" t="s">
        <v>212</v>
      </c>
      <c r="N195" s="114" t="s">
        <v>14</v>
      </c>
    </row>
    <row r="196" spans="1:14" ht="28.5">
      <c r="A196" s="254"/>
      <c r="B196" s="105" t="s">
        <v>137</v>
      </c>
      <c r="C196" s="250"/>
      <c r="D196" s="3">
        <v>0.06</v>
      </c>
      <c r="E196" s="1" t="s">
        <v>4</v>
      </c>
      <c r="F196" s="4" t="s">
        <v>58</v>
      </c>
      <c r="G196" s="1" t="s">
        <v>15</v>
      </c>
      <c r="H196" s="254"/>
      <c r="I196" s="105" t="s">
        <v>137</v>
      </c>
      <c r="J196" s="250"/>
      <c r="K196" s="3">
        <v>0.06</v>
      </c>
      <c r="L196" s="1" t="s">
        <v>4</v>
      </c>
      <c r="M196" s="4" t="s">
        <v>58</v>
      </c>
      <c r="N196" s="1" t="s">
        <v>15</v>
      </c>
    </row>
    <row r="197" spans="1:14" ht="42.75">
      <c r="A197" s="254"/>
      <c r="B197" s="104" t="s">
        <v>170</v>
      </c>
      <c r="C197" s="250"/>
      <c r="D197" s="3">
        <v>0.05</v>
      </c>
      <c r="E197" s="8" t="s">
        <v>3</v>
      </c>
      <c r="F197" s="9" t="s">
        <v>51</v>
      </c>
      <c r="G197" s="136"/>
      <c r="H197" s="254"/>
      <c r="I197" s="104" t="s">
        <v>170</v>
      </c>
      <c r="J197" s="250"/>
      <c r="K197" s="3">
        <v>0.05</v>
      </c>
      <c r="L197" s="8" t="s">
        <v>3</v>
      </c>
      <c r="M197" s="9" t="s">
        <v>51</v>
      </c>
      <c r="N197" s="136"/>
    </row>
    <row r="198" spans="1:14">
      <c r="A198" s="254"/>
      <c r="B198" s="104" t="s">
        <v>10</v>
      </c>
      <c r="C198" s="250"/>
      <c r="D198" s="3">
        <v>0.05</v>
      </c>
      <c r="E198" s="8" t="s">
        <v>3</v>
      </c>
      <c r="F198" s="9" t="s">
        <v>51</v>
      </c>
      <c r="G198" s="136" t="s">
        <v>187</v>
      </c>
      <c r="H198" s="254"/>
      <c r="I198" s="104" t="s">
        <v>10</v>
      </c>
      <c r="J198" s="250"/>
      <c r="K198" s="3">
        <v>0.05</v>
      </c>
      <c r="L198" s="8" t="s">
        <v>3</v>
      </c>
      <c r="M198" s="9" t="s">
        <v>51</v>
      </c>
      <c r="N198" s="136"/>
    </row>
    <row r="199" spans="1:14">
      <c r="A199" s="254"/>
      <c r="B199" s="104" t="s">
        <v>12</v>
      </c>
      <c r="C199" s="250"/>
      <c r="D199" s="3">
        <v>0.15</v>
      </c>
      <c r="E199" s="8" t="s">
        <v>3</v>
      </c>
      <c r="F199" s="9" t="s">
        <v>52</v>
      </c>
      <c r="G199" s="1" t="s">
        <v>18</v>
      </c>
      <c r="H199" s="254"/>
      <c r="I199" s="104" t="s">
        <v>12</v>
      </c>
      <c r="J199" s="250"/>
      <c r="K199" s="3">
        <v>0.15</v>
      </c>
      <c r="L199" s="8" t="s">
        <v>3</v>
      </c>
      <c r="M199" s="9" t="s">
        <v>52</v>
      </c>
      <c r="N199" s="1" t="s">
        <v>18</v>
      </c>
    </row>
    <row r="200" spans="1:14">
      <c r="A200" s="254"/>
      <c r="B200" s="104" t="s">
        <v>171</v>
      </c>
      <c r="C200" s="250"/>
      <c r="D200" s="3">
        <v>0.05</v>
      </c>
      <c r="E200" s="8" t="s">
        <v>3</v>
      </c>
      <c r="F200" s="9" t="s">
        <v>51</v>
      </c>
      <c r="G200" s="136" t="s">
        <v>187</v>
      </c>
      <c r="H200" s="254"/>
      <c r="I200" s="104" t="s">
        <v>171</v>
      </c>
      <c r="J200" s="250"/>
      <c r="K200" s="3">
        <v>0.05</v>
      </c>
      <c r="L200" s="8" t="s">
        <v>3</v>
      </c>
      <c r="M200" s="9" t="s">
        <v>51</v>
      </c>
      <c r="N200" s="136"/>
    </row>
    <row r="201" spans="1:14" ht="15">
      <c r="A201" s="254"/>
      <c r="B201" s="106" t="s">
        <v>5</v>
      </c>
      <c r="C201" s="251"/>
      <c r="D201" s="99">
        <f>SUBTOTAL(109,D193:D200)</f>
        <v>1.55</v>
      </c>
      <c r="E201" s="145" t="s">
        <v>187</v>
      </c>
      <c r="F201" s="132" t="s">
        <v>187</v>
      </c>
      <c r="G201" s="116" t="s">
        <v>187</v>
      </c>
      <c r="H201" s="254"/>
      <c r="I201" s="106" t="s">
        <v>5</v>
      </c>
      <c r="J201" s="251"/>
      <c r="K201" s="99">
        <f>SUBTOTAL(109,K193:K200)</f>
        <v>1.59</v>
      </c>
      <c r="L201" s="145" t="s">
        <v>187</v>
      </c>
      <c r="M201" s="132" t="s">
        <v>187</v>
      </c>
      <c r="N201" s="116"/>
    </row>
    <row r="202" spans="1:14">
      <c r="A202" s="254"/>
      <c r="B202" s="104" t="s">
        <v>6</v>
      </c>
      <c r="C202" s="250"/>
      <c r="D202" s="3">
        <v>0.06</v>
      </c>
      <c r="E202" s="1" t="s">
        <v>23</v>
      </c>
      <c r="F202" s="10" t="s">
        <v>58</v>
      </c>
      <c r="G202" s="115" t="s">
        <v>19</v>
      </c>
      <c r="H202" s="254"/>
      <c r="I202" s="104" t="s">
        <v>6</v>
      </c>
      <c r="J202" s="250"/>
      <c r="K202" s="3">
        <v>0.06</v>
      </c>
      <c r="L202" s="1" t="s">
        <v>23</v>
      </c>
      <c r="M202" s="10" t="s">
        <v>58</v>
      </c>
      <c r="N202" s="115" t="s">
        <v>19</v>
      </c>
    </row>
    <row r="203" spans="1:14" ht="30">
      <c r="A203" s="254"/>
      <c r="B203" s="219" t="s">
        <v>225</v>
      </c>
      <c r="C203" s="252"/>
      <c r="D203" s="246">
        <v>3.0000000000000001E-3</v>
      </c>
      <c r="E203" s="151" t="s">
        <v>187</v>
      </c>
      <c r="F203" s="152" t="s">
        <v>187</v>
      </c>
      <c r="G203" s="153" t="s">
        <v>187</v>
      </c>
      <c r="H203" s="254"/>
      <c r="I203" s="219" t="s">
        <v>225</v>
      </c>
      <c r="J203" s="252"/>
      <c r="K203" s="246">
        <v>3.0000000000000001E-3</v>
      </c>
      <c r="L203" s="151" t="s">
        <v>187</v>
      </c>
      <c r="M203" s="152" t="s">
        <v>187</v>
      </c>
      <c r="N203" s="153" t="s">
        <v>187</v>
      </c>
    </row>
    <row r="204" spans="1:14" ht="21" customHeight="1">
      <c r="A204" s="71" t="s">
        <v>8</v>
      </c>
      <c r="B204" s="72"/>
      <c r="C204" s="73"/>
      <c r="D204" s="74"/>
      <c r="E204" s="73"/>
      <c r="F204" s="73"/>
      <c r="G204" s="173"/>
      <c r="H204" s="207" t="s">
        <v>8</v>
      </c>
      <c r="I204" s="163" t="s">
        <v>187</v>
      </c>
      <c r="J204" s="164" t="s">
        <v>187</v>
      </c>
      <c r="K204" s="164" t="s">
        <v>187</v>
      </c>
      <c r="L204" s="164" t="s">
        <v>187</v>
      </c>
      <c r="M204" s="164" t="s">
        <v>187</v>
      </c>
      <c r="N204" s="175" t="s">
        <v>187</v>
      </c>
    </row>
    <row r="205" spans="1:14" s="95" customFormat="1" ht="18.75" customHeight="1">
      <c r="A205" s="59" t="s">
        <v>135</v>
      </c>
      <c r="B205" s="60"/>
      <c r="C205" s="187"/>
      <c r="D205" s="187"/>
      <c r="E205" s="208"/>
      <c r="F205" s="187"/>
      <c r="G205" s="209"/>
      <c r="H205" s="210" t="s">
        <v>135</v>
      </c>
      <c r="I205" s="211"/>
      <c r="J205" s="187"/>
      <c r="K205" s="187"/>
      <c r="L205" s="187"/>
      <c r="M205" s="187"/>
      <c r="N205" s="209"/>
    </row>
    <row r="206" spans="1:14" ht="18.75" customHeight="1">
      <c r="A206" s="57" t="s">
        <v>134</v>
      </c>
      <c r="B206" s="61"/>
      <c r="C206" s="188"/>
      <c r="D206" s="188"/>
      <c r="E206" s="212"/>
      <c r="F206" s="188"/>
      <c r="G206" s="209"/>
      <c r="H206" s="213" t="s">
        <v>134</v>
      </c>
      <c r="I206" s="214"/>
      <c r="J206" s="188"/>
      <c r="K206" s="188"/>
      <c r="L206" s="188"/>
      <c r="M206" s="188"/>
      <c r="N206" s="209"/>
    </row>
    <row r="207" spans="1:14" ht="18" customHeight="1">
      <c r="A207" s="75"/>
      <c r="B207" s="72"/>
      <c r="C207" s="73"/>
      <c r="D207" s="74"/>
      <c r="E207" s="73"/>
      <c r="F207" s="73"/>
      <c r="G207" s="173"/>
      <c r="H207" s="76"/>
      <c r="I207" s="76"/>
      <c r="J207" s="77"/>
      <c r="K207" s="78"/>
      <c r="L207" s="77"/>
      <c r="M207" s="77"/>
      <c r="N207" s="174"/>
    </row>
    <row r="10001" spans="16:17">
      <c r="Q10001" s="94">
        <v>2</v>
      </c>
    </row>
    <row r="10016" spans="16:17">
      <c r="P10016" s="94">
        <v>3</v>
      </c>
    </row>
    <row r="10017" spans="15:15">
      <c r="O10017" s="94">
        <v>61</v>
      </c>
    </row>
  </sheetData>
  <mergeCells count="2">
    <mergeCell ref="A4:E4"/>
    <mergeCell ref="H4:K4"/>
  </mergeCells>
  <hyperlinks>
    <hyperlink ref="A206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206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גמל ופנסיה - מדיניות השקעה מוצהרת לשנת 2026</dc:title>
  <dc:creator>Adi Cohen</dc:creator>
  <cp:lastModifiedBy>Chen Rosenstein</cp:lastModifiedBy>
  <cp:lastPrinted>2025-12-02T12:20:37Z</cp:lastPrinted>
  <dcterms:created xsi:type="dcterms:W3CDTF">2019-11-21T10:57:46Z</dcterms:created>
  <dcterms:modified xsi:type="dcterms:W3CDTF">2026-10-26T13:45:20Z</dcterms:modified>
  <dc:language>עברית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