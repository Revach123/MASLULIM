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drawings/drawing2.xml" ContentType="application/vnd.openxmlformats-officedocument.drawing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G:\.shortcut-targets-by-id\1nExi9hsx3qzG2PhXupxl_rGrxifX19wI\CHEN\לקוחות\תיק לקוחות\הנגשת מסמכים\מור\מור גמל ופנסיה\2026\10.26\4.10\מונגש\"/>
    </mc:Choice>
  </mc:AlternateContent>
  <xr:revisionPtr revIDLastSave="0" documentId="13_ncr:1_{B88A059B-9250-4F3D-9D59-9A7629806E4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גמל- מדיניות מוצהרת " sheetId="22" r:id="rId1"/>
    <sheet name="פנסיה - מדיניות מוצהרת " sheetId="21" r:id="rId2"/>
  </sheets>
  <definedNames>
    <definedName name="_xlnm._FilterDatabase" localSheetId="1" hidden="1">'פנסיה - מדיניות מוצהרת '!$A$4:$N$207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1" i="21" l="1"/>
  <c r="D201" i="21"/>
  <c r="D150" i="22"/>
  <c r="E150" i="22"/>
  <c r="F150" i="22"/>
  <c r="D138" i="22"/>
  <c r="E138" i="22"/>
  <c r="F138" i="22"/>
  <c r="E126" i="22"/>
  <c r="F126" i="22"/>
  <c r="D110" i="22"/>
  <c r="E110" i="22"/>
  <c r="F110" i="22"/>
  <c r="D93" i="22"/>
  <c r="E93" i="22"/>
  <c r="F93" i="22"/>
  <c r="F16" i="22"/>
  <c r="K187" i="21"/>
  <c r="D187" i="21"/>
  <c r="K176" i="21"/>
  <c r="D176" i="21"/>
  <c r="K162" i="21"/>
  <c r="D162" i="21"/>
  <c r="K151" i="21"/>
  <c r="D151" i="21"/>
  <c r="K140" i="21"/>
  <c r="D140" i="21"/>
  <c r="K129" i="21"/>
  <c r="D129" i="21"/>
  <c r="K118" i="21"/>
  <c r="D118" i="21"/>
  <c r="K107" i="21"/>
  <c r="D107" i="21"/>
  <c r="K96" i="21"/>
  <c r="D96" i="21"/>
  <c r="K85" i="21"/>
  <c r="D85" i="21"/>
  <c r="K71" i="21"/>
  <c r="D71" i="21"/>
  <c r="K57" i="21"/>
  <c r="D57" i="21"/>
  <c r="K43" i="21"/>
  <c r="D43" i="21"/>
  <c r="K29" i="21"/>
  <c r="D29" i="21"/>
  <c r="K15" i="21"/>
  <c r="D15" i="21"/>
  <c r="F309" i="22"/>
  <c r="F299" i="22"/>
  <c r="F289" i="22"/>
  <c r="F274" i="22"/>
  <c r="F259" i="22"/>
  <c r="F244" i="22"/>
  <c r="F232" i="22"/>
  <c r="F221" i="22"/>
  <c r="F209" i="22"/>
  <c r="F197" i="22"/>
  <c r="F185" i="22"/>
  <c r="E185" i="22"/>
  <c r="F174" i="22"/>
  <c r="E174" i="22"/>
  <c r="F162" i="22"/>
  <c r="F76" i="22"/>
  <c r="F61" i="22"/>
  <c r="F46" i="22"/>
  <c r="F31" i="22"/>
  <c r="E16" i="22"/>
  <c r="J187" i="21"/>
  <c r="J162" i="21"/>
  <c r="J151" i="21"/>
  <c r="J140" i="21"/>
  <c r="J129" i="21"/>
  <c r="J118" i="21"/>
  <c r="J107" i="21"/>
  <c r="J96" i="21"/>
  <c r="J85" i="21"/>
  <c r="J71" i="21"/>
  <c r="J43" i="21"/>
  <c r="J29" i="21"/>
  <c r="C187" i="21"/>
  <c r="C162" i="21"/>
  <c r="C151" i="21"/>
  <c r="C140" i="21"/>
  <c r="C129" i="21"/>
  <c r="C118" i="21"/>
  <c r="C107" i="21"/>
  <c r="C96" i="21"/>
  <c r="C85" i="21"/>
  <c r="C71" i="21" l="1"/>
  <c r="C29" i="21"/>
  <c r="J57" i="21"/>
  <c r="C15" i="21"/>
  <c r="J15" i="21"/>
  <c r="C57" i="21"/>
  <c r="C43" i="21"/>
  <c r="E309" i="22"/>
  <c r="E299" i="22"/>
  <c r="E289" i="22"/>
  <c r="E274" i="22"/>
  <c r="E259" i="22"/>
  <c r="E244" i="22"/>
  <c r="D244" i="22"/>
  <c r="C244" i="22"/>
  <c r="E232" i="22"/>
  <c r="D232" i="22"/>
  <c r="D221" i="22"/>
  <c r="C221" i="22"/>
  <c r="E221" i="22"/>
  <c r="E209" i="22"/>
  <c r="D209" i="22"/>
  <c r="C209" i="22"/>
  <c r="E197" i="22"/>
  <c r="D197" i="22"/>
  <c r="C197" i="22"/>
  <c r="D185" i="22"/>
  <c r="D174" i="22"/>
  <c r="C174" i="22"/>
  <c r="E162" i="22"/>
  <c r="D162" i="22"/>
  <c r="C162" i="22"/>
  <c r="C150" i="22" l="1"/>
  <c r="C138" i="22"/>
  <c r="C110" i="22"/>
  <c r="E76" i="22" l="1"/>
  <c r="D126" i="22"/>
  <c r="E61" i="22"/>
  <c r="C93" i="22"/>
  <c r="E46" i="22"/>
  <c r="E31" i="22"/>
</calcChain>
</file>

<file path=xl/sharedStrings.xml><?xml version="1.0" encoding="utf-8"?>
<sst xmlns="http://schemas.openxmlformats.org/spreadsheetml/2006/main" count="3169" uniqueCount="265">
  <si>
    <t xml:space="preserve">אפיק השקעה </t>
  </si>
  <si>
    <t>טווח סטייה</t>
  </si>
  <si>
    <t xml:space="preserve">אג"ח ממשלתי </t>
  </si>
  <si>
    <t>5%+/-</t>
  </si>
  <si>
    <t>6%+/-</t>
  </si>
  <si>
    <t>סה"כ</t>
  </si>
  <si>
    <t>חשיפה למט"ח</t>
  </si>
  <si>
    <t>100% - מחקה מדד s&amp;p500</t>
  </si>
  <si>
    <t>הבהרות</t>
  </si>
  <si>
    <t>קרנות השקעה ושותפויות</t>
  </si>
  <si>
    <t>הלוואות וחוב אחר</t>
  </si>
  <si>
    <t>הלוואות עמיתים</t>
  </si>
  <si>
    <t>מזומן ופקדונות</t>
  </si>
  <si>
    <t>אחר (כולל נדל"ן)</t>
  </si>
  <si>
    <t>מדד אג"ח ממשלתי כללי</t>
  </si>
  <si>
    <t>מדד אג"ח קונצרני כללי</t>
  </si>
  <si>
    <t>50% - מדד קונצרני כללי
50% - מדד MSCI WORLD</t>
  </si>
  <si>
    <t>מדד תל בונד שקלי</t>
  </si>
  <si>
    <t>ריבית בנק ישראל</t>
  </si>
  <si>
    <t>סל מטבעות</t>
  </si>
  <si>
    <t>גבולות שיעור החשיפה הצפויה</t>
  </si>
  <si>
    <t>פקדונות  מעל 3 חודשים</t>
  </si>
  <si>
    <t xml:space="preserve">	טווח סטייה</t>
  </si>
  <si>
    <t xml:space="preserve">	6%-/+</t>
  </si>
  <si>
    <t xml:space="preserve">	5%-/+</t>
  </si>
  <si>
    <t>MSCI Islamic Index</t>
  </si>
  <si>
    <t>DJSUKUK Index</t>
  </si>
  <si>
    <t>מדד MSCI WORLD</t>
  </si>
  <si>
    <t>US treasury index</t>
  </si>
  <si>
    <t>מ"ה: 12532 - אלפא מור תגמולים - לבני 50 ומטה</t>
  </si>
  <si>
    <t>טווח סטיה מותר</t>
  </si>
  <si>
    <t>מ"ה: 12533 - אלפא מור תגמולים - לבני 50 עד 60</t>
  </si>
  <si>
    <t>מ"ה: 12534 - אלפא מור תגמולים - לבני 60 ומעלה</t>
  </si>
  <si>
    <t>מ"ה: 12535 - מור השתלמות - כללי</t>
  </si>
  <si>
    <t>מ"ה: 12538 - מור גמל להשקעה - כללי</t>
  </si>
  <si>
    <t>מדד ייחוס*</t>
  </si>
  <si>
    <t>מודל השקעות תלוי גיל</t>
  </si>
  <si>
    <t>מסלול כללי</t>
  </si>
  <si>
    <t>מ"ה: 12531 - אלפא מור תגמולים - מניות</t>
  </si>
  <si>
    <t>מ"ה: 14481 - אלפא מור תגמולים - אשראי ואג"ח</t>
  </si>
  <si>
    <t>מ"ה: 14483 - מור השתלמות - אשראי ואג"ח</t>
  </si>
  <si>
    <t>מ"ה: 14482 - מור גמל להשקעה - אשראי ואג"ח</t>
  </si>
  <si>
    <t>מ"ה: 12536 - מור השתלמות - מניות</t>
  </si>
  <si>
    <t>מ"ה: 12537 - מור גמל להשקעה - מניות</t>
  </si>
  <si>
    <t>מ"ה: 12956 -מור השתלמות - אשראי ואג"ח עם מניות (עד 25% מניות)</t>
  </si>
  <si>
    <t>מ"ה: 12955 - מור גמל להשקעה - אשראי ואג"ח עם מניות (עד 25% מניות)</t>
  </si>
  <si>
    <t>19% - 29%</t>
  </si>
  <si>
    <t>17% - 29%</t>
  </si>
  <si>
    <t>40% - 52%</t>
  </si>
  <si>
    <t>5% - 15%</t>
  </si>
  <si>
    <t>2% - 12%</t>
  </si>
  <si>
    <t>0% - 10%</t>
  </si>
  <si>
    <t>10% - 20%</t>
  </si>
  <si>
    <t>16% - 28%</t>
  </si>
  <si>
    <t>20% - 30%</t>
  </si>
  <si>
    <t>13% - 25%</t>
  </si>
  <si>
    <t>7% - 17%</t>
  </si>
  <si>
    <t>19% - 31%</t>
  </si>
  <si>
    <t>0% - 12%</t>
  </si>
  <si>
    <t>2% - 14%</t>
  </si>
  <si>
    <t>25% - 35%</t>
  </si>
  <si>
    <t>24% - 36%</t>
  </si>
  <si>
    <t>22% - 34%</t>
  </si>
  <si>
    <t>18% - 30%</t>
  </si>
  <si>
    <t>14% - 26%</t>
  </si>
  <si>
    <t>53.5% - 65.5%</t>
  </si>
  <si>
    <t>39% - 51%</t>
  </si>
  <si>
    <t>מסלולים מתמחים בניהול אקטיבי: 
מניות</t>
  </si>
  <si>
    <t>מסלולים מתמחים בניהול אקטיבי:
אשראי ואג"ח</t>
  </si>
  <si>
    <t>מסלולים מתמחים בניהול אקטיבי:
אשראי ואג"ח עם מניות (עד 25% מניות)</t>
  </si>
  <si>
    <t>מסלולים מתמחים בניהול אקטיבי:
כספי (שקלי)</t>
  </si>
  <si>
    <t>מ"ה: 8699 - אלפא מור תגמולים - כספי (שקלי)</t>
  </si>
  <si>
    <t>מ"ה: 8705 - מור השתלמות - כספי (שקלי)</t>
  </si>
  <si>
    <t>מ"ה: 7963 - מור גמל להשקעה -כספי (שקלי)</t>
  </si>
  <si>
    <t>מ"ה: 14342 - אלפא מור תגמולים - משולב סחיר</t>
  </si>
  <si>
    <t>מ"ה: 15235 - מור השתלמות - משולב סחיר</t>
  </si>
  <si>
    <t>מ"ה: 15253 - מור גמל להשקעה -משולב סחיר</t>
  </si>
  <si>
    <t>33% - 43%</t>
  </si>
  <si>
    <t>27% - 39%</t>
  </si>
  <si>
    <t>מ"ה: 15247 - אלפא מור תגמולים - מניות סחיר</t>
  </si>
  <si>
    <t>מ"ה: 15238 - מור השתלמות - מניות סחיר</t>
  </si>
  <si>
    <t>מ"ה: 15256 - מור גמל להשקעה -מניות סחיר</t>
  </si>
  <si>
    <t>מסלולים מתמחים באפיקי השקעה סחירים:
מניות סחיר</t>
  </si>
  <si>
    <t>מסלולים מתמחים באפיקי השקעה סחירים:
אג"ח סחיר</t>
  </si>
  <si>
    <t>מ"ה: 15248 - אלפא מור תגמולים - אג"ח סחיר</t>
  </si>
  <si>
    <t>מ"ה: 15237 - מור השתלמות - אג"ח סחיר</t>
  </si>
  <si>
    <t>64% - 76%</t>
  </si>
  <si>
    <t>מ"ה: 15254 - מור גמל להשקעה - אג"ח עם מניות (עד 25% מניות) סחיר</t>
  </si>
  <si>
    <t>מ"ה: 15236 - מור השתלמות -  אג"ח עם מניות (עד 25% מניות) סחיר</t>
  </si>
  <si>
    <t>מ"ה: 15255 - מור גמל להשקעה - אג"ח סחיר</t>
  </si>
  <si>
    <t>מסלולים מתמחים באפיקי השקעה סחירים:
אג"ח עם מניות (עד 25% מניות) סחיר</t>
  </si>
  <si>
    <t>44% - 56%</t>
  </si>
  <si>
    <t>מסלולים מתמחים באפיקי השקעה סחירים:
משולב סחיר</t>
  </si>
  <si>
    <t>מסלולים עוקבי מדדים:
עוקב מדדים גמיש</t>
  </si>
  <si>
    <t>מ"ה: 14394 - אלפא מור תגמולים - עוקב מדדים גמיש</t>
  </si>
  <si>
    <t>מ"ה: 15239 - מור השתלמות - עוקב מדדים גמיש</t>
  </si>
  <si>
    <t>מ"ה: 15257 - מור גמל להשקעה - עוקב מדדים גמיש</t>
  </si>
  <si>
    <t>37% - 49%</t>
  </si>
  <si>
    <t>88% - 100%</t>
  </si>
  <si>
    <t>IBOXIG 	-  70%
IBOXHY 	-  30%</t>
  </si>
  <si>
    <t>מסלולים עוקבי מדדים:
עוקב מדדי מניות</t>
  </si>
  <si>
    <t>מ"ה: 15249 - אלפא מור תגמולים - עוקב מדדי מניות</t>
  </si>
  <si>
    <t>מ"ה: 15241 - מור השתלמות - עוקב מדדי מניות</t>
  </si>
  <si>
    <t>מ"ה: 15259 - מור גמל להשקעה - עוקב מדדי מניות</t>
  </si>
  <si>
    <t>מסלולים עוקבי מדדים:
עוקב מדדי אג"ח</t>
  </si>
  <si>
    <t>מ"ה: 15250 - אלפא מור תגמולים - עוקב מדדי אג"ח</t>
  </si>
  <si>
    <t>מ"ה: 15242 - מור השתלמות - עוקב מדדי אג"ח</t>
  </si>
  <si>
    <t>מ"ה: 15260 - מור גמל להשקעה - עוקב מדדי אג"ח</t>
  </si>
  <si>
    <t>מסלולים עוקבי מדדים:
עוקב מדדים אג"ח עם מניות (עד 25% מניות)</t>
  </si>
  <si>
    <t>מ"ה: 15240 - מור השתלמות - עוקב מדדים אג"ח עם מניות (עד 25% מניות)</t>
  </si>
  <si>
    <t>מ"ה: 15258 - מור גמל להשקעה -עוקב מדדים אג"ח עם מניות (עד 25% מניות)</t>
  </si>
  <si>
    <t>מסלולים עוקבי מדדים:
עוקב מדד S&amp;P500</t>
  </si>
  <si>
    <t>מ"ה: 9452 - אלפא מור תגמולים - עוקב מדד S&amp;P500</t>
  </si>
  <si>
    <t>מ"ה: 9451 - מור השתלמות - עוקב מדד S&amp;P500</t>
  </si>
  <si>
    <t>מ"ה: 7958 - מור גמל להשקעה - עוקב מדד S&amp;P500</t>
  </si>
  <si>
    <t>חיסכון לכל ילד</t>
  </si>
  <si>
    <t>מ"ה: 9421 - מור חיסכון לכל ילד- חוסכים המעדיפים סיכון מועט</t>
  </si>
  <si>
    <t>30% - 40%</t>
  </si>
  <si>
    <t>29% - 41%</t>
  </si>
  <si>
    <t>9% - 21%</t>
  </si>
  <si>
    <t>מ"ה: 9414 - מור חיסכון לכל ילד- חוסכים המעדיפים סיכון בינוני</t>
  </si>
  <si>
    <t>מ"ה: 9420 - מור חיסכון לכל ילד- חוסכים המעדיפים סיכון מוגבר</t>
  </si>
  <si>
    <t>89% - 101%</t>
  </si>
  <si>
    <t>מ"ה: 9113 - מור חיסכון לכל ילד מסלול הלכה</t>
  </si>
  <si>
    <t>מ"ה: 9303 - מור חיסכון לכל ילד מסלול שריעה</t>
  </si>
  <si>
    <t>28% - 40%</t>
  </si>
  <si>
    <t>16% - 26%</t>
  </si>
  <si>
    <t>75% - 87%</t>
  </si>
  <si>
    <t>מ"ה: 13909 - מור פנסיה מקיפה- מסלול לבני 50 ומטה</t>
  </si>
  <si>
    <t>74% - 86%</t>
  </si>
  <si>
    <t>90% - 100%</t>
  </si>
  <si>
    <t>15% - 25%</t>
  </si>
  <si>
    <t>42% - 52%</t>
  </si>
  <si>
    <t>10% - 22%</t>
  </si>
  <si>
    <t>בעת בחינת השקעה נלקחים בחשבון שיקולי ESG. פירוט לעניין מדיניות ההשקעה של החברה ביחס לESG ניתן למצוא בקישור שלהלן – שיקולי ESG בהשקעות</t>
  </si>
  <si>
    <t>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</t>
  </si>
  <si>
    <t>מגבלת עמלת ניהול חיצוני לשנת 2025</t>
  </si>
  <si>
    <t>אג"ח קונצרני (קרנות נאמנות, קרנות סל)</t>
  </si>
  <si>
    <r>
      <t>מניות (קרנות</t>
    </r>
    <r>
      <rPr>
        <sz val="11"/>
        <color rgb="FF1A326B"/>
        <rFont val="Arial"/>
        <family val="2"/>
        <scheme val="minor"/>
      </rPr>
      <t xml:space="preserve"> </t>
    </r>
    <r>
      <rPr>
        <sz val="11"/>
        <rFont val="Arial"/>
        <family val="2"/>
        <scheme val="minor"/>
      </rPr>
      <t>סל, אופציות, קרנות נאמנות)</t>
    </r>
  </si>
  <si>
    <t>מ"ה: 13910 - מור פנסיה מקיפה - מסלול לבני 50 עד 60</t>
  </si>
  <si>
    <t>מ"ה: 13911 - מור פנסיה מקיפה - מסלול לבני 60 ומעלה</t>
  </si>
  <si>
    <t>מ"ה: 13919 - מור פנסיה כללית - מסלול לבני 50 ומטה</t>
  </si>
  <si>
    <t>מ"ה: 13920 - מור פנסיה כללית - מסלול לבני 50 עד 60</t>
  </si>
  <si>
    <t>מ"ה: 13921 - מור פנסיה כללית - מסלול לבני 60 ומעלה</t>
  </si>
  <si>
    <t>מ"ה: 13912 - מור פנסיה מקיפה - מסלול מניות</t>
  </si>
  <si>
    <t>מ"ה: 13922 - מור פנסיה כללית - מסלול מניות</t>
  </si>
  <si>
    <t>מ"ה: 13913 - מור פנסיה מקיפה - אשראי ואג"ח</t>
  </si>
  <si>
    <t>מ"ה: 13923 - מור פנסיה כללית - אשראי ואג"ח</t>
  </si>
  <si>
    <t>מ"ה: 13914 - מור פנסיה מקיפה - כספי (שקלי)</t>
  </si>
  <si>
    <t>מ"ה: 13926 - מור פנסיה כללית - כספי (שקלי)</t>
  </si>
  <si>
    <t>מ"ה: 14339 - מור פנסיה מקיפה - משולב סחיר</t>
  </si>
  <si>
    <t>מ"ה: 14337 - מור פנסיה כללית - משולב סחיר</t>
  </si>
  <si>
    <t>מ"ה: 15263 - מור פנסיה מקיפה - מניות סחיר</t>
  </si>
  <si>
    <t>מ"ה: 15270 - מור פנסיה כללית - מניות סחיר</t>
  </si>
  <si>
    <t>מ"ה: 15264 - מור פנסיה מקיפה - אג"ח סחיר</t>
  </si>
  <si>
    <t>מ"ה: 15271 - מור פנסיה כללית - אג"ח סחיר</t>
  </si>
  <si>
    <t>מ"ה: 14340 - מור פנסיה מקיפה - עוקב מדדים גמיש</t>
  </si>
  <si>
    <t>מ"ה: 14338 - מור פנסיה כללית - עוקב מדדים גמיש</t>
  </si>
  <si>
    <t>מ"ה: 13915 - מור פנסיה מקיפה - עוקב מדדי מניות</t>
  </si>
  <si>
    <t>מ"ה: 13925 - מור פנסיה כללית - עוקב מדדי מניות</t>
  </si>
  <si>
    <t>מ"ה: 15265 - מור פנסיה מקיפה - עוקב מדדי אג"ח</t>
  </si>
  <si>
    <t>מ"ה: 15272 - מור פנסיה כללית - עוקב מדדי אג"ח</t>
  </si>
  <si>
    <t>מ"ה: 15266 - מור פנסיה מקיפה - עוקב מדד S&amp;P 500</t>
  </si>
  <si>
    <t>מ"ה: 15273 - מור פנסיה כללית - עוקב מדד S&amp;P 500</t>
  </si>
  <si>
    <t>מסלולים למקבלי קצבה</t>
  </si>
  <si>
    <t>מ"ה: 13916 - מור פנסיה מקיפה - מסלול בסיסי למקבלי קצבה</t>
  </si>
  <si>
    <t>מ"ה: 15267 - מור פנסיה מקיפה - עוקב מדדים למקבלי קצבה</t>
  </si>
  <si>
    <t>מ"ה: 13927 - מור פנסיה כללית - מסלול בסיסי למקבלי קצבה</t>
  </si>
  <si>
    <t>מ"ה: 15274 - מור פנסיה כללית - עוקב מדדים למקבלי קצבה</t>
  </si>
  <si>
    <t>אג"ח מיועדות</t>
  </si>
  <si>
    <t>אחר (קרנות השקעה, Co Invest, תשתיות, גידור)</t>
  </si>
  <si>
    <t>אפיק נדל"ן (ישיר)</t>
  </si>
  <si>
    <t>1% - 11%</t>
  </si>
  <si>
    <t>מדד קונצרני כללי</t>
  </si>
  <si>
    <t>40% - 50%</t>
  </si>
  <si>
    <t>0% - 0%</t>
  </si>
  <si>
    <t>15% - 27%</t>
  </si>
  <si>
    <t>22% - 32%</t>
  </si>
  <si>
    <t>12% - 22%</t>
  </si>
  <si>
    <t>93% - 103%</t>
  </si>
  <si>
    <t>25% - 37%</t>
  </si>
  <si>
    <t>IBOXIG	- 70%
IBOXHY	- 30%</t>
  </si>
  <si>
    <t>58% - 70%</t>
  </si>
  <si>
    <t>100% - מדד קונצרני כללי</t>
  </si>
  <si>
    <t>חדש</t>
  </si>
  <si>
    <t>אג"ח קונצרני (נע"מ,קרנות נאמנות, קרנות סל)</t>
  </si>
  <si>
    <t>אג"ח קונצרני (נע"מ, קרנות נאמנות, קרנות סל)</t>
  </si>
  <si>
    <t>ריק במקור</t>
  </si>
  <si>
    <t>ריק במקור2</t>
  </si>
  <si>
    <t>20%-30%</t>
  </si>
  <si>
    <t>52% - 62%</t>
  </si>
  <si>
    <t>47% - 57%</t>
  </si>
  <si>
    <t>64% -76%</t>
  </si>
  <si>
    <t>60% - 70%</t>
  </si>
  <si>
    <t>øé÷ áî÷åø</t>
  </si>
  <si>
    <t>30.00%</t>
  </si>
  <si>
    <t>ריק במקור3</t>
  </si>
  <si>
    <t xml:space="preserve">פנסיה מקיפה - מדיניות השקעה מוצהרת לשנת 2026
</t>
  </si>
  <si>
    <t>שיעור חשיפה צפוי לשנת 2026</t>
  </si>
  <si>
    <t>55% - 65%</t>
  </si>
  <si>
    <t>53% - 63%</t>
  </si>
  <si>
    <t>17% - 27%</t>
  </si>
  <si>
    <t>21% - 31%</t>
  </si>
  <si>
    <t>12% - 24%</t>
  </si>
  <si>
    <t>3% - 13%</t>
  </si>
  <si>
    <t>4% - 14%</t>
  </si>
  <si>
    <t>52% - 64%</t>
  </si>
  <si>
    <t>8% - 18%</t>
  </si>
  <si>
    <t>24% - 34%</t>
  </si>
  <si>
    <t>21% - 33%</t>
  </si>
  <si>
    <t>18% - 28%</t>
  </si>
  <si>
    <t>14% - 24%</t>
  </si>
  <si>
    <t>23% - 33%</t>
  </si>
  <si>
    <t>6% - 16%</t>
  </si>
  <si>
    <t>54% - 66%</t>
  </si>
  <si>
    <t>36% - 48%</t>
  </si>
  <si>
    <t>7% - 19%</t>
  </si>
  <si>
    <t>27% - 37%</t>
  </si>
  <si>
    <t xml:space="preserve">
36% - מדד מניות כללי
64% - מדד MSCI WORLD
</t>
  </si>
  <si>
    <t xml:space="preserve">פנסיה כללית - מדיניות השקעה מוצהרת לשנת 2026
</t>
  </si>
  <si>
    <t>שיעור החשיפה ליום 31/12/2025</t>
  </si>
  <si>
    <t xml:space="preserve"> השקעה שיעור החשיפה ליום 31/12/2025</t>
  </si>
  <si>
    <t>השתלמות שיעור החשיפה ליום 31/12/2025</t>
  </si>
  <si>
    <t xml:space="preserve">תגמולים שיעור החשיפה ליום 31/12/2025 </t>
  </si>
  <si>
    <t xml:space="preserve">השתלמות שיעור החשיפה ליום 31/12/2025 </t>
  </si>
  <si>
    <t>מגבלת עמלת ניהול חיצוני לשנת 2026</t>
  </si>
  <si>
    <t>גמל - מדיניות השקעה מוצהרת לשנת 2026</t>
  </si>
  <si>
    <t>36% - מדד מניות כללי
64% - מדד MSCI WORLD</t>
  </si>
  <si>
    <t>מניות (קרנות סל, אופציות, קרנות נאמנות)</t>
  </si>
  <si>
    <t>48.21%</t>
  </si>
  <si>
    <t>25% -35%</t>
  </si>
  <si>
    <t>25.20%</t>
  </si>
  <si>
    <t>20.00%</t>
  </si>
  <si>
    <t>31.49%</t>
  </si>
  <si>
    <t>30.12%</t>
  </si>
  <si>
    <t>79% -91%</t>
  </si>
  <si>
    <t>48.18%</t>
  </si>
  <si>
    <t>45.00%</t>
  </si>
  <si>
    <t>28.10%</t>
  </si>
  <si>
    <t>93% - 105%</t>
  </si>
  <si>
    <t>6.00%</t>
  </si>
  <si>
    <t>43% - 55%</t>
  </si>
  <si>
    <t>42% - 54%</t>
  </si>
  <si>
    <t>תא ריק במקור</t>
  </si>
  <si>
    <t>תא ריק במקור2</t>
  </si>
  <si>
    <t>תא ריק במקור3</t>
  </si>
  <si>
    <t>תא ריק במקור4</t>
  </si>
  <si>
    <t xml:space="preserve">גמל- מדיניות מוצהרת </t>
  </si>
  <si>
    <t xml:space="preserve">פנסיה- מדיניות מוצהרת </t>
  </si>
  <si>
    <t>מדד ת"א 125- 100%</t>
  </si>
  <si>
    <t>93%-105%</t>
  </si>
  <si>
    <t>25%-35%</t>
  </si>
  <si>
    <t>0%-12%</t>
  </si>
  <si>
    <t>0%-10%</t>
  </si>
  <si>
    <t>10%-20%</t>
  </si>
  <si>
    <t>מ"ה: 15881 - אלפא מור גמל לחיסכון – הלכה</t>
  </si>
  <si>
    <t>מ"ה: 15882 - מור השתלמות - הלכה</t>
  </si>
  <si>
    <t>מ"ה: 15883 - מור גמל להשקעה – הלכה</t>
  </si>
  <si>
    <t>12% - 14%</t>
  </si>
  <si>
    <t>מ"ה: 15892 - מור פנסיה מקיפה - הלכה</t>
  </si>
  <si>
    <t>מ"ה: 15893 - מור פנסיה כללית - הלכה</t>
  </si>
  <si>
    <t>מסלולי הלכה</t>
  </si>
  <si>
    <t>פנסיה כללית ופנסיה מקיפה - מדיניות השקעה מוצהרת לשנת 2026</t>
  </si>
  <si>
    <t xml:space="preserve">גמל - מדיניות השקעה מוצהרת </t>
  </si>
  <si>
    <t>פנסיה כללית ופנסיה מקיפה - מדיניות השקעה מוצהרת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</si>
</sst>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_);_(* \(#,##0.00\);_(* &quot;-&quot;??_);_(@_)"/>
    <numFmt numFmtId="165" formatCode=";;;"/>
  </numFmts>
  <fonts count="23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rgb="FF1A326B"/>
      <name val="Arial"/>
      <family val="2"/>
      <scheme val="minor"/>
    </font>
    <font>
      <sz val="11"/>
      <name val="Arial"/>
      <family val="2"/>
      <scheme val="minor"/>
    </font>
    <font>
      <b/>
      <u/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1"/>
      <color rgb="FF1A326B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theme="0"/>
      <name val="Arial"/>
      <family val="2"/>
      <scheme val="minor"/>
    </font>
    <font>
      <b/>
      <u/>
      <sz val="1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Arial"/>
      <family val="2"/>
      <scheme val="minor"/>
    </font>
    <font>
      <sz val="11"/>
      <color theme="1"/>
      <name val="Arial"/>
      <family val="2"/>
      <scheme val="minor"/>
    </font>
    <font>
      <b/>
      <sz val="12"/>
      <color theme="0"/>
      <name val="Arial"/>
      <family val="2"/>
      <scheme val="minor"/>
    </font>
    <font>
      <b/>
      <sz val="36"/>
      <color theme="0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26"/>
      <name val="Arial"/>
      <family val="2"/>
      <scheme val="minor"/>
    </font>
    <font>
      <u/>
      <sz val="11"/>
      <name val="Arial"/>
      <family val="2"/>
      <scheme val="minor"/>
    </font>
    <font>
      <sz val="11"/>
      <color rgb="FFFFFFFF"/>
      <name val="SheetDescription"/>
      <charset val="177"/>
    </font>
    <font>
      <b/>
      <sz val="15"/>
      <color theme="3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7457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1DBE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D5B9D"/>
        <bgColor indexed="64"/>
      </patternFill>
    </fill>
    <fill>
      <patternFill patternType="solid">
        <fgColor rgb="FF5E2696"/>
        <bgColor indexed="64"/>
      </patternFill>
    </fill>
    <fill>
      <patternFill patternType="solid">
        <fgColor rgb="FF97EB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2" fillId="0" borderId="15" applyNumberFormat="0" applyFill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6">
    <xf numFmtId="0" fontId="0" fillId="0" borderId="0" xfId="0"/>
    <xf numFmtId="0" fontId="5" fillId="2" borderId="2" xfId="0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  <xf numFmtId="10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10" fontId="5" fillId="0" borderId="2" xfId="0" applyNumberFormat="1" applyFont="1" applyBorder="1" applyAlignment="1">
      <alignment horizontal="center" vertical="center" wrapText="1" readingOrder="2"/>
    </xf>
    <xf numFmtId="10" fontId="7" fillId="2" borderId="2" xfId="0" applyNumberFormat="1" applyFont="1" applyFill="1" applyBorder="1" applyAlignment="1">
      <alignment horizontal="center" vertical="center" wrapText="1" readingOrder="2"/>
    </xf>
    <xf numFmtId="0" fontId="13" fillId="2" borderId="2" xfId="0" applyFont="1" applyFill="1" applyBorder="1" applyAlignment="1">
      <alignment horizontal="center" vertical="center" wrapText="1" readingOrder="2"/>
    </xf>
    <xf numFmtId="0" fontId="10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right" vertical="center" wrapText="1" readingOrder="2"/>
    </xf>
    <xf numFmtId="10" fontId="7" fillId="4" borderId="0" xfId="0" applyNumberFormat="1" applyFont="1" applyFill="1" applyAlignment="1">
      <alignment horizontal="center" vertical="center" wrapText="1" readingOrder="2"/>
    </xf>
    <xf numFmtId="0" fontId="7" fillId="4" borderId="0" xfId="0" applyFont="1" applyFill="1" applyAlignment="1">
      <alignment horizontal="center" vertical="center" wrapText="1" readingOrder="2"/>
    </xf>
    <xf numFmtId="0" fontId="4" fillId="4" borderId="0" xfId="0" applyFont="1" applyFill="1"/>
    <xf numFmtId="0" fontId="8" fillId="3" borderId="0" xfId="0" applyFont="1" applyFill="1" applyAlignment="1">
      <alignment horizontal="center" vertical="center" wrapText="1"/>
    </xf>
    <xf numFmtId="0" fontId="14" fillId="3" borderId="0" xfId="0" applyFont="1" applyFill="1"/>
    <xf numFmtId="0" fontId="4" fillId="3" borderId="0" xfId="0" applyFont="1" applyFill="1"/>
    <xf numFmtId="0" fontId="8" fillId="5" borderId="0" xfId="0" applyFont="1" applyFill="1" applyAlignment="1">
      <alignment horizontal="center" vertical="center"/>
    </xf>
    <xf numFmtId="0" fontId="12" fillId="5" borderId="0" xfId="0" applyFont="1" applyFill="1"/>
    <xf numFmtId="9" fontId="12" fillId="5" borderId="0" xfId="0" applyNumberFormat="1" applyFont="1" applyFill="1"/>
    <xf numFmtId="0" fontId="4" fillId="5" borderId="0" xfId="0" applyFont="1" applyFill="1"/>
    <xf numFmtId="0" fontId="7" fillId="2" borderId="2" xfId="0" applyFont="1" applyFill="1" applyBorder="1" applyAlignment="1">
      <alignment horizontal="right" vertical="center" wrapText="1" readingOrder="2"/>
    </xf>
    <xf numFmtId="10" fontId="7" fillId="0" borderId="2" xfId="1" applyNumberFormat="1" applyFont="1" applyBorder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12" fillId="6" borderId="0" xfId="0" applyFont="1" applyFill="1"/>
    <xf numFmtId="9" fontId="12" fillId="6" borderId="0" xfId="0" applyNumberFormat="1" applyFont="1" applyFill="1"/>
    <xf numFmtId="0" fontId="4" fillId="6" borderId="0" xfId="0" applyFont="1" applyFill="1"/>
    <xf numFmtId="0" fontId="11" fillId="7" borderId="1" xfId="0" applyFont="1" applyFill="1" applyBorder="1" applyAlignment="1">
      <alignment horizontal="right" vertical="center" readingOrder="2"/>
    </xf>
    <xf numFmtId="0" fontId="5" fillId="7" borderId="1" xfId="0" applyFont="1" applyFill="1" applyBorder="1"/>
    <xf numFmtId="0" fontId="7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11" fillId="7" borderId="0" xfId="0" applyFont="1" applyFill="1" applyAlignment="1">
      <alignment horizontal="right" vertical="center" readingOrder="2"/>
    </xf>
    <xf numFmtId="0" fontId="5" fillId="7" borderId="0" xfId="0" applyFont="1" applyFill="1"/>
    <xf numFmtId="0" fontId="7" fillId="7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0" fontId="7" fillId="2" borderId="2" xfId="1" applyNumberFormat="1" applyFont="1" applyFill="1" applyBorder="1" applyAlignment="1">
      <alignment horizontal="center" vertical="center" wrapText="1"/>
    </xf>
    <xf numFmtId="0" fontId="11" fillId="7" borderId="0" xfId="0" applyFont="1" applyFill="1" applyAlignment="1">
      <alignment horizontal="right" vertical="top" readingOrder="2"/>
    </xf>
    <xf numFmtId="0" fontId="8" fillId="8" borderId="0" xfId="0" applyFont="1" applyFill="1" applyAlignment="1">
      <alignment horizontal="center" vertical="center" wrapText="1"/>
    </xf>
    <xf numFmtId="0" fontId="12" fillId="8" borderId="0" xfId="0" applyFont="1" applyFill="1"/>
    <xf numFmtId="9" fontId="12" fillId="8" borderId="0" xfId="0" applyNumberFormat="1" applyFont="1" applyFill="1"/>
    <xf numFmtId="0" fontId="4" fillId="8" borderId="0" xfId="0" applyFont="1" applyFill="1"/>
    <xf numFmtId="0" fontId="8" fillId="9" borderId="0" xfId="0" applyFont="1" applyFill="1" applyAlignment="1">
      <alignment horizontal="center" vertical="center" wrapText="1"/>
    </xf>
    <xf numFmtId="0" fontId="12" fillId="9" borderId="0" xfId="0" applyFont="1" applyFill="1"/>
    <xf numFmtId="9" fontId="12" fillId="9" borderId="0" xfId="0" applyNumberFormat="1" applyFont="1" applyFill="1"/>
    <xf numFmtId="0" fontId="4" fillId="9" borderId="0" xfId="0" applyFont="1" applyFill="1"/>
    <xf numFmtId="0" fontId="0" fillId="10" borderId="0" xfId="0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right" vertical="center" wrapText="1" readingOrder="2"/>
    </xf>
    <xf numFmtId="0" fontId="15" fillId="4" borderId="0" xfId="0" applyFont="1" applyFill="1" applyAlignment="1">
      <alignment horizontal="center" vertical="center" wrapText="1" readingOrder="2"/>
    </xf>
    <xf numFmtId="10" fontId="14" fillId="0" borderId="2" xfId="0" applyNumberFormat="1" applyFont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4" fillId="2" borderId="0" xfId="0" applyFont="1" applyFill="1"/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/>
    </xf>
    <xf numFmtId="10" fontId="14" fillId="0" borderId="3" xfId="0" applyNumberFormat="1" applyFont="1" applyBorder="1" applyAlignment="1">
      <alignment horizontal="center" vertical="center" wrapText="1"/>
    </xf>
    <xf numFmtId="10" fontId="5" fillId="0" borderId="11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 readingOrder="2"/>
    </xf>
    <xf numFmtId="10" fontId="7" fillId="2" borderId="5" xfId="0" applyNumberFormat="1" applyFont="1" applyFill="1" applyBorder="1" applyAlignment="1">
      <alignment horizontal="center" vertical="center" wrapText="1" readingOrder="2"/>
    </xf>
    <xf numFmtId="10" fontId="3" fillId="0" borderId="2" xfId="1" applyNumberFormat="1" applyFont="1" applyBorder="1" applyAlignment="1">
      <alignment horizontal="center" vertical="center" wrapText="1"/>
    </xf>
    <xf numFmtId="10" fontId="14" fillId="0" borderId="2" xfId="0" applyNumberFormat="1" applyFont="1" applyBorder="1" applyAlignment="1">
      <alignment horizontal="center" vertical="center" wrapText="1" readingOrder="2"/>
    </xf>
    <xf numFmtId="0" fontId="14" fillId="2" borderId="2" xfId="0" applyFont="1" applyFill="1" applyBorder="1" applyAlignment="1">
      <alignment horizontal="right" vertical="center" wrapText="1" readingOrder="2"/>
    </xf>
    <xf numFmtId="0" fontId="4" fillId="14" borderId="0" xfId="0" applyFont="1" applyFill="1"/>
    <xf numFmtId="0" fontId="15" fillId="14" borderId="0" xfId="0" applyFont="1" applyFill="1" applyAlignment="1">
      <alignment horizontal="center" vertical="center" wrapText="1" readingOrder="2"/>
    </xf>
    <xf numFmtId="0" fontId="7" fillId="14" borderId="0" xfId="0" applyFont="1" applyFill="1" applyAlignment="1">
      <alignment horizontal="right" vertical="center" wrapText="1" readingOrder="2"/>
    </xf>
    <xf numFmtId="0" fontId="7" fillId="14" borderId="0" xfId="0" applyFont="1" applyFill="1" applyAlignment="1">
      <alignment horizontal="center" vertical="center" wrapText="1" readingOrder="2"/>
    </xf>
    <xf numFmtId="10" fontId="7" fillId="14" borderId="0" xfId="0" applyNumberFormat="1" applyFont="1" applyFill="1" applyAlignment="1">
      <alignment horizontal="center" vertical="center" wrapText="1" readingOrder="2"/>
    </xf>
    <xf numFmtId="0" fontId="9" fillId="14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right" vertical="center" wrapText="1" readingOrder="2"/>
    </xf>
    <xf numFmtId="0" fontId="7" fillId="13" borderId="0" xfId="0" applyFont="1" applyFill="1" applyAlignment="1">
      <alignment horizontal="center" vertical="center" wrapText="1" readingOrder="2"/>
    </xf>
    <xf numFmtId="10" fontId="7" fillId="13" borderId="0" xfId="0" applyNumberFormat="1" applyFont="1" applyFill="1" applyAlignment="1">
      <alignment horizontal="center" vertical="center" wrapText="1" readingOrder="2"/>
    </xf>
    <xf numFmtId="0" fontId="3" fillId="15" borderId="0" xfId="0" applyFont="1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5" fillId="7" borderId="1" xfId="0" applyFont="1" applyFill="1" applyBorder="1" applyAlignment="1">
      <alignment horizontal="center" readingOrder="2"/>
    </xf>
    <xf numFmtId="0" fontId="5" fillId="7" borderId="0" xfId="0" applyFont="1" applyFill="1" applyAlignment="1">
      <alignment horizontal="center" readingOrder="2"/>
    </xf>
    <xf numFmtId="0" fontId="14" fillId="2" borderId="0" xfId="0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 wrapText="1" readingOrder="2"/>
    </xf>
    <xf numFmtId="49" fontId="5" fillId="2" borderId="2" xfId="0" applyNumberFormat="1" applyFont="1" applyFill="1" applyBorder="1" applyAlignment="1">
      <alignment horizontal="center" vertical="center" wrapText="1" readingOrder="2"/>
    </xf>
    <xf numFmtId="49" fontId="5" fillId="2" borderId="2" xfId="1" applyNumberFormat="1" applyFont="1" applyFill="1" applyBorder="1" applyAlignment="1">
      <alignment horizontal="center" vertical="center" wrapText="1" readingOrder="2"/>
    </xf>
    <xf numFmtId="49" fontId="7" fillId="4" borderId="0" xfId="0" applyNumberFormat="1" applyFont="1" applyFill="1" applyAlignment="1">
      <alignment horizontal="center" vertical="center" wrapText="1" readingOrder="2"/>
    </xf>
    <xf numFmtId="49" fontId="10" fillId="4" borderId="0" xfId="0" applyNumberFormat="1" applyFont="1" applyFill="1" applyAlignment="1">
      <alignment vertical="center" wrapText="1" readingOrder="2"/>
    </xf>
    <xf numFmtId="49" fontId="5" fillId="7" borderId="1" xfId="0" applyNumberFormat="1" applyFont="1" applyFill="1" applyBorder="1" applyAlignment="1">
      <alignment horizontal="center" readingOrder="2"/>
    </xf>
    <xf numFmtId="49" fontId="5" fillId="7" borderId="0" xfId="0" applyNumberFormat="1" applyFont="1" applyFill="1" applyAlignment="1">
      <alignment horizontal="center" readingOrder="2"/>
    </xf>
    <xf numFmtId="49" fontId="14" fillId="2" borderId="0" xfId="0" applyNumberFormat="1" applyFont="1" applyFill="1" applyAlignment="1">
      <alignment readingOrder="2"/>
    </xf>
    <xf numFmtId="49" fontId="0" fillId="2" borderId="0" xfId="0" applyNumberFormat="1" applyFill="1" applyAlignment="1">
      <alignment vertical="center" readingOrder="2"/>
    </xf>
    <xf numFmtId="0" fontId="0" fillId="11" borderId="0" xfId="0" applyFill="1"/>
    <xf numFmtId="0" fontId="14" fillId="11" borderId="0" xfId="0" applyFont="1" applyFill="1"/>
    <xf numFmtId="0" fontId="0" fillId="11" borderId="0" xfId="0" applyFill="1" applyAlignment="1">
      <alignment horizontal="right"/>
    </xf>
    <xf numFmtId="49" fontId="0" fillId="11" borderId="0" xfId="0" applyNumberFormat="1" applyFill="1" applyAlignment="1">
      <alignment readingOrder="2"/>
    </xf>
    <xf numFmtId="0" fontId="0" fillId="11" borderId="0" xfId="0" applyFill="1" applyAlignment="1">
      <alignment horizontal="center"/>
    </xf>
    <xf numFmtId="10" fontId="7" fillId="0" borderId="2" xfId="1" applyNumberFormat="1" applyFont="1" applyFill="1" applyBorder="1" applyAlignment="1">
      <alignment horizontal="center" vertical="center" wrapText="1"/>
    </xf>
    <xf numFmtId="10" fontId="7" fillId="0" borderId="2" xfId="0" applyNumberFormat="1" applyFont="1" applyBorder="1" applyAlignment="1">
      <alignment horizontal="center" vertical="center" wrapText="1" readingOrder="2"/>
    </xf>
    <xf numFmtId="10" fontId="7" fillId="0" borderId="5" xfId="0" applyNumberFormat="1" applyFont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 readingOrder="2"/>
    </xf>
    <xf numFmtId="0" fontId="5" fillId="2" borderId="5" xfId="0" applyFont="1" applyFill="1" applyBorder="1" applyAlignment="1">
      <alignment horizontal="right" vertical="center" wrapText="1" readingOrder="2"/>
    </xf>
    <xf numFmtId="0" fontId="14" fillId="2" borderId="5" xfId="0" applyFont="1" applyFill="1" applyBorder="1" applyAlignment="1">
      <alignment horizontal="right" vertical="center" wrapText="1" readingOrder="2"/>
    </xf>
    <xf numFmtId="0" fontId="7" fillId="2" borderId="5" xfId="0" applyFont="1" applyFill="1" applyBorder="1" applyAlignment="1">
      <alignment horizontal="right" vertical="center" wrapText="1" readingOrder="2"/>
    </xf>
    <xf numFmtId="165" fontId="13" fillId="12" borderId="0" xfId="0" applyNumberFormat="1" applyFont="1" applyFill="1" applyAlignment="1">
      <alignment horizontal="center" vertical="center" wrapText="1" readingOrder="2"/>
    </xf>
    <xf numFmtId="165" fontId="4" fillId="12" borderId="0" xfId="0" applyNumberFormat="1" applyFont="1" applyFill="1" applyAlignment="1">
      <alignment horizontal="right" vertical="center" wrapText="1" readingOrder="2"/>
    </xf>
    <xf numFmtId="165" fontId="5" fillId="12" borderId="0" xfId="0" applyNumberFormat="1" applyFont="1" applyFill="1" applyAlignment="1">
      <alignment horizontal="right" vertical="center" wrapText="1" readingOrder="2"/>
    </xf>
    <xf numFmtId="165" fontId="7" fillId="12" borderId="0" xfId="0" applyNumberFormat="1" applyFont="1" applyFill="1" applyAlignment="1">
      <alignment horizontal="right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 readingOrder="2"/>
    </xf>
    <xf numFmtId="165" fontId="7" fillId="2" borderId="2" xfId="0" applyNumberFormat="1" applyFont="1" applyFill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 readingOrder="2"/>
    </xf>
    <xf numFmtId="0" fontId="5" fillId="2" borderId="4" xfId="0" applyFont="1" applyFill="1" applyBorder="1" applyAlignment="1">
      <alignment horizontal="center" vertical="center" wrapText="1"/>
    </xf>
    <xf numFmtId="165" fontId="5" fillId="2" borderId="4" xfId="0" applyNumberFormat="1" applyFont="1" applyFill="1" applyBorder="1" applyAlignment="1">
      <alignment horizontal="center" vertical="center" wrapText="1"/>
    </xf>
    <xf numFmtId="165" fontId="7" fillId="2" borderId="2" xfId="1" applyNumberFormat="1" applyFont="1" applyFill="1" applyBorder="1" applyAlignment="1">
      <alignment horizontal="center" vertical="center" wrapText="1" readingOrder="2"/>
    </xf>
    <xf numFmtId="165" fontId="7" fillId="2" borderId="2" xfId="1" applyNumberFormat="1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 readingOrder="2"/>
    </xf>
    <xf numFmtId="0" fontId="13" fillId="0" borderId="8" xfId="0" applyFont="1" applyBorder="1" applyAlignment="1">
      <alignment horizontal="center" vertical="center" wrapText="1" readingOrder="2"/>
    </xf>
    <xf numFmtId="0" fontId="13" fillId="2" borderId="8" xfId="0" applyFont="1" applyFill="1" applyBorder="1" applyAlignment="1">
      <alignment horizontal="center" vertical="center" wrapText="1" readingOrder="2"/>
    </xf>
    <xf numFmtId="0" fontId="13" fillId="2" borderId="7" xfId="0" applyFont="1" applyFill="1" applyBorder="1" applyAlignment="1">
      <alignment horizontal="center" vertical="center" wrapText="1" readingOrder="2"/>
    </xf>
    <xf numFmtId="165" fontId="14" fillId="0" borderId="3" xfId="0" applyNumberFormat="1" applyFont="1" applyBorder="1" applyAlignment="1">
      <alignment horizontal="center" vertical="center" wrapText="1"/>
    </xf>
    <xf numFmtId="49" fontId="13" fillId="2" borderId="8" xfId="0" applyNumberFormat="1" applyFont="1" applyFill="1" applyBorder="1" applyAlignment="1">
      <alignment horizontal="center" vertical="center" wrapText="1" readingOrder="2"/>
    </xf>
    <xf numFmtId="165" fontId="13" fillId="12" borderId="6" xfId="0" applyNumberFormat="1" applyFont="1" applyFill="1" applyBorder="1" applyAlignment="1">
      <alignment horizontal="center" vertical="center" wrapText="1" readingOrder="2"/>
    </xf>
    <xf numFmtId="165" fontId="13" fillId="12" borderId="12" xfId="0" applyNumberFormat="1" applyFont="1" applyFill="1" applyBorder="1" applyAlignment="1">
      <alignment horizontal="center" vertical="center" wrapText="1" readingOrder="2"/>
    </xf>
    <xf numFmtId="165" fontId="4" fillId="12" borderId="6" xfId="0" applyNumberFormat="1" applyFont="1" applyFill="1" applyBorder="1" applyAlignment="1">
      <alignment horizontal="right" vertical="center" wrapText="1" readingOrder="2"/>
    </xf>
    <xf numFmtId="165" fontId="4" fillId="12" borderId="12" xfId="0" applyNumberFormat="1" applyFont="1" applyFill="1" applyBorder="1" applyAlignment="1">
      <alignment horizontal="right" vertical="center" wrapText="1" readingOrder="2"/>
    </xf>
    <xf numFmtId="165" fontId="5" fillId="12" borderId="6" xfId="0" applyNumberFormat="1" applyFont="1" applyFill="1" applyBorder="1" applyAlignment="1">
      <alignment horizontal="right" vertical="center" wrapText="1" readingOrder="2"/>
    </xf>
    <xf numFmtId="165" fontId="5" fillId="12" borderId="12" xfId="0" applyNumberFormat="1" applyFont="1" applyFill="1" applyBorder="1" applyAlignment="1">
      <alignment horizontal="right" vertical="center" wrapText="1" readingOrder="2"/>
    </xf>
    <xf numFmtId="165" fontId="7" fillId="2" borderId="0" xfId="0" applyNumberFormat="1" applyFont="1" applyFill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 readingOrder="2"/>
    </xf>
    <xf numFmtId="165" fontId="5" fillId="12" borderId="7" xfId="0" applyNumberFormat="1" applyFont="1" applyFill="1" applyBorder="1" applyAlignment="1">
      <alignment horizontal="right" vertical="center" wrapText="1" readingOrder="2"/>
    </xf>
    <xf numFmtId="165" fontId="5" fillId="12" borderId="10" xfId="0" applyNumberFormat="1" applyFont="1" applyFill="1" applyBorder="1" applyAlignment="1">
      <alignment horizontal="right" vertical="center" wrapText="1" readingOrder="2"/>
    </xf>
    <xf numFmtId="165" fontId="5" fillId="2" borderId="4" xfId="0" applyNumberFormat="1" applyFont="1" applyFill="1" applyBorder="1" applyAlignment="1">
      <alignment horizontal="center" vertical="center" wrapText="1" readingOrder="2"/>
    </xf>
    <xf numFmtId="165" fontId="5" fillId="0" borderId="5" xfId="0" applyNumberFormat="1" applyFont="1" applyBorder="1" applyAlignment="1">
      <alignment horizontal="center" vertical="center" wrapText="1"/>
    </xf>
    <xf numFmtId="165" fontId="7" fillId="2" borderId="0" xfId="0" applyNumberFormat="1" applyFont="1" applyFill="1" applyAlignment="1">
      <alignment vertical="center" wrapText="1" readingOrder="2"/>
    </xf>
    <xf numFmtId="165" fontId="5" fillId="2" borderId="0" xfId="0" applyNumberFormat="1" applyFont="1" applyFill="1" applyAlignment="1">
      <alignment readingOrder="2"/>
    </xf>
    <xf numFmtId="165" fontId="5" fillId="2" borderId="0" xfId="0" applyNumberFormat="1" applyFont="1" applyFill="1"/>
    <xf numFmtId="165" fontId="5" fillId="0" borderId="2" xfId="0" applyNumberFormat="1" applyFont="1" applyBorder="1" applyAlignment="1">
      <alignment horizontal="center" vertical="center" wrapText="1" readingOrder="2"/>
    </xf>
    <xf numFmtId="165" fontId="0" fillId="0" borderId="0" xfId="0" applyNumberFormat="1"/>
    <xf numFmtId="165" fontId="13" fillId="16" borderId="3" xfId="0" applyNumberFormat="1" applyFont="1" applyFill="1" applyBorder="1" applyAlignment="1">
      <alignment horizontal="center" vertical="center" wrapText="1" readingOrder="2"/>
    </xf>
    <xf numFmtId="165" fontId="13" fillId="2" borderId="3" xfId="0" applyNumberFormat="1" applyFont="1" applyFill="1" applyBorder="1" applyAlignment="1">
      <alignment horizontal="center" vertical="center" wrapText="1" readingOrder="2"/>
    </xf>
    <xf numFmtId="165" fontId="5" fillId="2" borderId="2" xfId="0" applyNumberFormat="1" applyFont="1" applyFill="1" applyBorder="1" applyAlignment="1">
      <alignment horizontal="center" vertical="center" wrapText="1" readingOrder="2"/>
    </xf>
    <xf numFmtId="165" fontId="5" fillId="2" borderId="0" xfId="0" applyNumberFormat="1" applyFont="1" applyFill="1" applyAlignment="1">
      <alignment horizontal="center"/>
    </xf>
    <xf numFmtId="165" fontId="5" fillId="2" borderId="3" xfId="0" applyNumberFormat="1" applyFont="1" applyFill="1" applyBorder="1" applyAlignment="1">
      <alignment horizontal="center" vertical="center" wrapText="1" readingOrder="2"/>
    </xf>
    <xf numFmtId="10" fontId="7" fillId="0" borderId="3" xfId="1" applyNumberFormat="1" applyFont="1" applyBorder="1" applyAlignment="1">
      <alignment horizontal="center" vertical="center" wrapText="1"/>
    </xf>
    <xf numFmtId="165" fontId="13" fillId="2" borderId="9" xfId="0" applyNumberFormat="1" applyFont="1" applyFill="1" applyBorder="1" applyAlignment="1">
      <alignment horizontal="center" vertical="center" wrapText="1" readingOrder="2"/>
    </xf>
    <xf numFmtId="165" fontId="7" fillId="0" borderId="3" xfId="1" applyNumberFormat="1" applyFont="1" applyBorder="1" applyAlignment="1">
      <alignment horizontal="center" vertical="center" wrapText="1"/>
    </xf>
    <xf numFmtId="165" fontId="7" fillId="2" borderId="3" xfId="1" applyNumberFormat="1" applyFont="1" applyFill="1" applyBorder="1" applyAlignment="1">
      <alignment horizontal="center" vertical="center" wrapText="1" readingOrder="2"/>
    </xf>
    <xf numFmtId="165" fontId="7" fillId="2" borderId="3" xfId="1" applyNumberFormat="1" applyFont="1" applyFill="1" applyBorder="1" applyAlignment="1">
      <alignment horizontal="center" vertical="center" wrapText="1"/>
    </xf>
    <xf numFmtId="165" fontId="7" fillId="2" borderId="9" xfId="0" applyNumberFormat="1" applyFont="1" applyFill="1" applyBorder="1" applyAlignment="1">
      <alignment horizontal="center" vertical="center" wrapText="1"/>
    </xf>
    <xf numFmtId="165" fontId="13" fillId="16" borderId="5" xfId="0" applyNumberFormat="1" applyFont="1" applyFill="1" applyBorder="1" applyAlignment="1">
      <alignment horizontal="center" vertical="center" wrapText="1" readingOrder="2"/>
    </xf>
    <xf numFmtId="165" fontId="13" fillId="0" borderId="3" xfId="0" applyNumberFormat="1" applyFont="1" applyBorder="1" applyAlignment="1">
      <alignment horizontal="center" vertical="center" wrapText="1" readingOrder="2"/>
    </xf>
    <xf numFmtId="165" fontId="13" fillId="16" borderId="2" xfId="0" applyNumberFormat="1" applyFont="1" applyFill="1" applyBorder="1" applyAlignment="1">
      <alignment horizontal="center" vertical="center" wrapText="1" readingOrder="2"/>
    </xf>
    <xf numFmtId="165" fontId="5" fillId="0" borderId="3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right" vertical="center" wrapText="1" readingOrder="2"/>
    </xf>
    <xf numFmtId="165" fontId="7" fillId="4" borderId="0" xfId="0" applyNumberFormat="1" applyFont="1" applyFill="1" applyAlignment="1">
      <alignment horizontal="center" vertical="center" wrapText="1" readingOrder="2"/>
    </xf>
    <xf numFmtId="165" fontId="7" fillId="14" borderId="0" xfId="0" applyNumberFormat="1" applyFont="1" applyFill="1" applyAlignment="1">
      <alignment horizontal="right" vertical="center" wrapText="1" readingOrder="2"/>
    </xf>
    <xf numFmtId="165" fontId="7" fillId="14" borderId="0" xfId="0" applyNumberFormat="1" applyFont="1" applyFill="1" applyAlignment="1">
      <alignment horizontal="center" vertical="center" wrapText="1" readingOrder="2"/>
    </xf>
    <xf numFmtId="165" fontId="7" fillId="13" borderId="0" xfId="0" applyNumberFormat="1" applyFont="1" applyFill="1" applyAlignment="1">
      <alignment horizontal="right" vertical="center" wrapText="1" readingOrder="2"/>
    </xf>
    <xf numFmtId="165" fontId="7" fillId="13" borderId="0" xfId="0" applyNumberFormat="1" applyFont="1" applyFill="1" applyAlignment="1">
      <alignment horizontal="center" vertical="center" wrapText="1" readingOrder="2"/>
    </xf>
    <xf numFmtId="0" fontId="10" fillId="4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165" fontId="6" fillId="14" borderId="0" xfId="0" applyNumberFormat="1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5" fontId="6" fillId="13" borderId="0" xfId="0" applyNumberFormat="1" applyFont="1" applyFill="1" applyAlignment="1">
      <alignment horizontal="center" vertical="center"/>
    </xf>
    <xf numFmtId="0" fontId="5" fillId="0" borderId="2" xfId="0" applyFont="1" applyBorder="1" applyAlignment="1">
      <alignment horizontal="right" vertical="center" wrapText="1" readingOrder="2"/>
    </xf>
    <xf numFmtId="49" fontId="5" fillId="0" borderId="3" xfId="0" applyNumberFormat="1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49" fontId="5" fillId="0" borderId="2" xfId="0" applyNumberFormat="1" applyFont="1" applyBorder="1" applyAlignment="1">
      <alignment horizontal="center" vertical="center" wrapText="1" readingOrder="2"/>
    </xf>
    <xf numFmtId="49" fontId="5" fillId="0" borderId="2" xfId="1" applyNumberFormat="1" applyFont="1" applyFill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 readingOrder="1"/>
    </xf>
    <xf numFmtId="165" fontId="7" fillId="0" borderId="2" xfId="0" applyNumberFormat="1" applyFont="1" applyBorder="1" applyAlignment="1">
      <alignment horizontal="center" vertical="center" wrapText="1"/>
    </xf>
    <xf numFmtId="165" fontId="7" fillId="0" borderId="2" xfId="1" applyNumberFormat="1" applyFont="1" applyFill="1" applyBorder="1" applyAlignment="1">
      <alignment horizontal="center" vertical="center" wrapText="1" readingOrder="2"/>
    </xf>
    <xf numFmtId="165" fontId="7" fillId="0" borderId="2" xfId="1" applyNumberFormat="1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5" fillId="2" borderId="0" xfId="0" applyFont="1" applyFill="1"/>
    <xf numFmtId="0" fontId="5" fillId="11" borderId="0" xfId="0" applyFont="1" applyFill="1"/>
    <xf numFmtId="0" fontId="18" fillId="14" borderId="0" xfId="0" applyFont="1" applyFill="1" applyAlignment="1">
      <alignment vertical="center" wrapText="1"/>
    </xf>
    <xf numFmtId="0" fontId="18" fillId="14" borderId="0" xfId="0" applyFont="1" applyFill="1" applyAlignment="1">
      <alignment horizontal="center" vertical="center"/>
    </xf>
    <xf numFmtId="0" fontId="18" fillId="13" borderId="0" xfId="0" applyFont="1" applyFill="1" applyAlignment="1">
      <alignment vertical="center" wrapText="1"/>
    </xf>
    <xf numFmtId="0" fontId="18" fillId="1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0" fontId="5" fillId="3" borderId="0" xfId="0" applyFont="1" applyFill="1"/>
    <xf numFmtId="165" fontId="5" fillId="0" borderId="0" xfId="0" applyNumberFormat="1" applyFont="1"/>
    <xf numFmtId="0" fontId="5" fillId="13" borderId="0" xfId="0" applyFont="1" applyFill="1"/>
    <xf numFmtId="0" fontId="7" fillId="6" borderId="0" xfId="0" applyFont="1" applyFill="1" applyAlignment="1">
      <alignment horizontal="center" vertical="center" wrapText="1"/>
    </xf>
    <xf numFmtId="0" fontId="5" fillId="6" borderId="0" xfId="0" applyFont="1" applyFill="1"/>
    <xf numFmtId="0" fontId="7" fillId="8" borderId="0" xfId="0" applyFont="1" applyFill="1" applyAlignment="1">
      <alignment horizontal="center" vertical="center" wrapText="1"/>
    </xf>
    <xf numFmtId="0" fontId="5" fillId="8" borderId="0" xfId="0" applyFont="1" applyFill="1"/>
    <xf numFmtId="0" fontId="7" fillId="9" borderId="0" xfId="0" applyFont="1" applyFill="1" applyAlignment="1">
      <alignment horizontal="center" vertical="center" wrapText="1"/>
    </xf>
    <xf numFmtId="0" fontId="5" fillId="9" borderId="0" xfId="0" applyFont="1" applyFill="1"/>
    <xf numFmtId="9" fontId="5" fillId="9" borderId="0" xfId="0" applyNumberFormat="1" applyFont="1" applyFill="1"/>
    <xf numFmtId="0" fontId="7" fillId="15" borderId="0" xfId="0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13" fillId="13" borderId="0" xfId="0" applyFont="1" applyFill="1" applyAlignment="1">
      <alignment horizontal="center" vertical="center" wrapText="1" readingOrder="2"/>
    </xf>
    <xf numFmtId="0" fontId="5" fillId="2" borderId="0" xfId="0" applyFont="1" applyFill="1" applyAlignment="1">
      <alignment readingOrder="2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right" vertical="center" readingOrder="2"/>
    </xf>
    <xf numFmtId="0" fontId="5" fillId="2" borderId="0" xfId="0" applyFont="1" applyFill="1" applyAlignment="1">
      <alignment horizontal="right"/>
    </xf>
    <xf numFmtId="0" fontId="5" fillId="11" borderId="0" xfId="0" applyFont="1" applyFill="1" applyAlignment="1">
      <alignment readingOrder="2"/>
    </xf>
    <xf numFmtId="0" fontId="5" fillId="11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right"/>
    </xf>
    <xf numFmtId="0" fontId="5" fillId="2" borderId="9" xfId="0" applyFont="1" applyFill="1" applyBorder="1" applyAlignment="1">
      <alignment horizontal="center" vertical="center" wrapText="1" readingOrder="2"/>
    </xf>
    <xf numFmtId="0" fontId="7" fillId="2" borderId="11" xfId="0" applyFont="1" applyFill="1" applyBorder="1" applyAlignment="1">
      <alignment horizontal="right" vertical="center" wrapText="1" readingOrder="2"/>
    </xf>
    <xf numFmtId="165" fontId="7" fillId="0" borderId="2" xfId="0" applyNumberFormat="1" applyFont="1" applyBorder="1" applyAlignment="1">
      <alignment horizontal="center" vertical="center" wrapText="1" readingOrder="2"/>
    </xf>
    <xf numFmtId="0" fontId="5" fillId="2" borderId="13" xfId="0" applyFont="1" applyFill="1" applyBorder="1" applyAlignment="1">
      <alignment horizontal="right" vertical="center" wrapText="1" readingOrder="2"/>
    </xf>
    <xf numFmtId="0" fontId="14" fillId="2" borderId="13" xfId="0" applyFont="1" applyFill="1" applyBorder="1" applyAlignment="1">
      <alignment horizontal="right" vertical="center" wrapText="1" readingOrder="2"/>
    </xf>
    <xf numFmtId="0" fontId="7" fillId="2" borderId="13" xfId="0" applyFont="1" applyFill="1" applyBorder="1" applyAlignment="1">
      <alignment horizontal="right" vertical="center" wrapText="1" readingOrder="2"/>
    </xf>
    <xf numFmtId="0" fontId="13" fillId="2" borderId="1" xfId="0" applyFont="1" applyFill="1" applyBorder="1" applyAlignment="1">
      <alignment horizontal="center" vertical="center" wrapText="1" readingOrder="2"/>
    </xf>
    <xf numFmtId="0" fontId="7" fillId="2" borderId="14" xfId="0" applyFont="1" applyFill="1" applyBorder="1" applyAlignment="1">
      <alignment horizontal="right" vertical="center" wrapText="1" readingOrder="2"/>
    </xf>
    <xf numFmtId="0" fontId="5" fillId="0" borderId="13" xfId="0" applyFont="1" applyBorder="1" applyAlignment="1">
      <alignment horizontal="right" vertical="center" wrapText="1" readingOrder="2"/>
    </xf>
    <xf numFmtId="165" fontId="7" fillId="2" borderId="4" xfId="0" applyNumberFormat="1" applyFont="1" applyFill="1" applyBorder="1" applyAlignment="1">
      <alignment horizontal="center" vertical="center" wrapText="1"/>
    </xf>
    <xf numFmtId="165" fontId="5" fillId="12" borderId="1" xfId="0" applyNumberFormat="1" applyFont="1" applyFill="1" applyBorder="1" applyAlignment="1">
      <alignment horizontal="right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14" fillId="2" borderId="0" xfId="0" applyNumberFormat="1" applyFont="1" applyFill="1" applyAlignment="1">
      <alignment horizontal="right"/>
    </xf>
    <xf numFmtId="165" fontId="14" fillId="2" borderId="0" xfId="0" applyNumberFormat="1" applyFont="1" applyFill="1"/>
    <xf numFmtId="165" fontId="0" fillId="2" borderId="0" xfId="0" applyNumberFormat="1" applyFill="1" applyAlignment="1">
      <alignment horizontal="right" vertical="center"/>
    </xf>
    <xf numFmtId="165" fontId="0" fillId="2" borderId="0" xfId="0" applyNumberFormat="1" applyFill="1" applyAlignment="1">
      <alignment vertical="center"/>
    </xf>
    <xf numFmtId="165" fontId="5" fillId="2" borderId="2" xfId="0" applyNumberFormat="1" applyFont="1" applyFill="1" applyBorder="1" applyAlignment="1">
      <alignment horizontal="center" vertical="center" wrapText="1" readingOrder="1"/>
    </xf>
    <xf numFmtId="0" fontId="21" fillId="18" borderId="0" xfId="0" applyFont="1" applyFill="1"/>
    <xf numFmtId="0" fontId="5" fillId="17" borderId="2" xfId="0" applyFont="1" applyFill="1" applyBorder="1" applyAlignment="1">
      <alignment horizontal="center" vertical="center" wrapText="1"/>
    </xf>
    <xf numFmtId="10" fontId="5" fillId="17" borderId="2" xfId="0" applyNumberFormat="1" applyFont="1" applyFill="1" applyBorder="1" applyAlignment="1">
      <alignment horizontal="center" vertical="center" wrapText="1"/>
    </xf>
    <xf numFmtId="10" fontId="7" fillId="2" borderId="11" xfId="0" applyNumberFormat="1" applyFont="1" applyFill="1" applyBorder="1" applyAlignment="1">
      <alignment horizontal="center" vertical="center" wrapText="1" readingOrder="2"/>
    </xf>
    <xf numFmtId="165" fontId="7" fillId="2" borderId="3" xfId="0" applyNumberFormat="1" applyFont="1" applyFill="1" applyBorder="1" applyAlignment="1">
      <alignment horizontal="center" vertical="center" wrapText="1" readingOrder="2"/>
    </xf>
    <xf numFmtId="0" fontId="0" fillId="19" borderId="0" xfId="0" applyFill="1" applyAlignment="1">
      <alignment horizontal="center" vertical="center" wrapText="1"/>
    </xf>
    <xf numFmtId="0" fontId="0" fillId="19" borderId="0" xfId="0" applyFill="1"/>
    <xf numFmtId="0" fontId="14" fillId="19" borderId="0" xfId="0" applyFont="1" applyFill="1"/>
    <xf numFmtId="165" fontId="5" fillId="12" borderId="2" xfId="0" applyNumberFormat="1" applyFont="1" applyFill="1" applyBorder="1" applyAlignment="1">
      <alignment horizontal="center" vertical="center" wrapText="1"/>
    </xf>
    <xf numFmtId="165" fontId="13" fillId="2" borderId="2" xfId="0" applyNumberFormat="1" applyFont="1" applyFill="1" applyBorder="1" applyAlignment="1">
      <alignment horizontal="center" vertical="center" wrapText="1" readingOrder="2"/>
    </xf>
    <xf numFmtId="165" fontId="13" fillId="2" borderId="4" xfId="0" applyNumberFormat="1" applyFont="1" applyFill="1" applyBorder="1" applyAlignment="1">
      <alignment horizontal="center" vertical="center" wrapText="1" readingOrder="2"/>
    </xf>
    <xf numFmtId="10" fontId="7" fillId="2" borderId="3" xfId="0" applyNumberFormat="1" applyFont="1" applyFill="1" applyBorder="1" applyAlignment="1">
      <alignment horizontal="center" vertical="center" wrapText="1" readingOrder="2"/>
    </xf>
    <xf numFmtId="165" fontId="5" fillId="2" borderId="9" xfId="0" applyNumberFormat="1" applyFont="1" applyFill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 wrapText="1" readingOrder="2"/>
    </xf>
    <xf numFmtId="0" fontId="7" fillId="19" borderId="0" xfId="0" applyFont="1" applyFill="1" applyAlignment="1">
      <alignment horizontal="center" vertical="center" wrapText="1"/>
    </xf>
    <xf numFmtId="0" fontId="5" fillId="19" borderId="0" xfId="0" applyFont="1" applyFill="1" applyAlignment="1">
      <alignment horizontal="center" vertical="center" wrapText="1"/>
    </xf>
    <xf numFmtId="0" fontId="22" fillId="11" borderId="15" xfId="5" applyFill="1"/>
    <xf numFmtId="10" fontId="5" fillId="0" borderId="2" xfId="1" applyNumberFormat="1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 readingOrder="2"/>
    </xf>
    <xf numFmtId="0" fontId="13" fillId="2" borderId="13" xfId="0" applyFont="1" applyFill="1" applyBorder="1" applyAlignment="1">
      <alignment horizontal="center" vertical="center" wrapText="1" readingOrder="2"/>
    </xf>
    <xf numFmtId="49" fontId="13" fillId="2" borderId="2" xfId="0" applyNumberFormat="1" applyFont="1" applyFill="1" applyBorder="1" applyAlignment="1">
      <alignment horizontal="center" vertical="center" wrapText="1" readingOrder="2"/>
    </xf>
    <xf numFmtId="0" fontId="13" fillId="0" borderId="5" xfId="0" applyFont="1" applyBorder="1" applyAlignment="1">
      <alignment horizontal="center" vertical="center" wrapText="1" readingOrder="2"/>
    </xf>
    <xf numFmtId="0" fontId="5" fillId="2" borderId="9" xfId="0" applyFont="1" applyFill="1" applyBorder="1" applyAlignment="1">
      <alignment horizontal="center" vertical="center" wrapText="1"/>
    </xf>
    <xf numFmtId="165" fontId="5" fillId="2" borderId="9" xfId="0" applyNumberFormat="1" applyFont="1" applyFill="1" applyBorder="1" applyAlignment="1">
      <alignment horizontal="center"/>
    </xf>
    <xf numFmtId="165" fontId="5" fillId="11" borderId="11" xfId="0" applyNumberFormat="1" applyFont="1" applyFill="1" applyBorder="1" applyAlignment="1">
      <alignment horizontal="center" vertical="center" wrapText="1"/>
    </xf>
    <xf numFmtId="165" fontId="5" fillId="11" borderId="5" xfId="0" applyNumberFormat="1" applyFont="1" applyFill="1" applyBorder="1" applyAlignment="1">
      <alignment horizontal="center" vertical="center" wrapText="1"/>
    </xf>
    <xf numFmtId="165" fontId="7" fillId="11" borderId="2" xfId="1" applyNumberFormat="1" applyFont="1" applyFill="1" applyBorder="1" applyAlignment="1">
      <alignment horizontal="center" vertical="center" wrapText="1"/>
    </xf>
    <xf numFmtId="165" fontId="7" fillId="11" borderId="3" xfId="1" applyNumberFormat="1" applyFont="1" applyFill="1" applyBorder="1" applyAlignment="1">
      <alignment horizontal="center" vertical="center" wrapText="1"/>
    </xf>
    <xf numFmtId="0" fontId="2" fillId="0" borderId="0" xfId="2" applyAlignment="1">
      <alignment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readingOrder="2"/>
    </xf>
    <xf numFmtId="0" fontId="20" fillId="0" borderId="0" xfId="2" applyFont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16" fillId="4" borderId="0" xfId="0" applyFont="1" applyFill="1" applyAlignment="1">
      <alignment horizontal="center" vertical="center" wrapText="1"/>
    </xf>
    <xf numFmtId="0" fontId="17" fillId="14" borderId="0" xfId="0" applyFont="1" applyFill="1" applyAlignment="1">
      <alignment horizontal="center" vertical="center" wrapText="1"/>
    </xf>
    <xf numFmtId="0" fontId="19" fillId="13" borderId="0" xfId="0" applyFont="1" applyFill="1" applyAlignment="1">
      <alignment horizontal="center" vertical="center" wrapText="1"/>
    </xf>
  </cellXfs>
  <cellStyles count="8">
    <cellStyle name="Comma 2" xfId="3" xr:uid="{798A546B-9DF4-49D8-A5C6-543A90EC0982}"/>
    <cellStyle name="Comma 2 2" xfId="6" xr:uid="{2B6F9B0F-6676-49B5-A4BE-C5AAD6D1A741}"/>
    <cellStyle name="Comma 3" xfId="4" xr:uid="{91ACC48A-0824-4EE2-A7AD-8C40F260338E}"/>
    <cellStyle name="Comma 3 2" xfId="7" xr:uid="{3DFB3A3E-D72B-4424-A4C6-D351D9DE6FD2}"/>
    <cellStyle name="Normal" xfId="0" builtinId="0"/>
    <cellStyle name="Percent" xfId="1" builtinId="5"/>
    <cellStyle name="היפר-קישור" xfId="2" builtinId="8"/>
    <cellStyle name="כותרת 1" xfId="5" builtinId="16"/>
  </cellStyles>
  <dxfs count="2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4" formatCode="0.00%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30" formatCode="@"/>
      <alignment horizontal="center" vertical="center" textRotation="0" wrapText="1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numFmt numFmtId="165" formatCode=";;;"/>
      <fill>
        <patternFill patternType="solid">
          <fgColor indexed="64"/>
          <bgColor theme="2" tint="-9.9978637043366805E-2"/>
        </patternFill>
      </fill>
      <alignment horizontal="right" vertical="center" textRotation="0" wrapText="1" indent="0" justifyLastLine="0" shrinkToFit="0" readingOrder="2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2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;;;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numFmt numFmtId="165" formatCode=";;;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05598"/>
      <color rgb="FF304A1E"/>
      <color rgb="FF0E4494"/>
      <color rgb="FFAD5B9D"/>
      <color rgb="FF5E2696"/>
      <color rgb="FFFFEBFF"/>
      <color rgb="FFFF99FF"/>
      <color rgb="FFFFF4D1"/>
      <color rgb="FF27457B"/>
      <color rgb="FF1A3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420959</xdr:colOff>
      <xdr:row>3</xdr:row>
      <xdr:rowOff>0</xdr:rowOff>
    </xdr:from>
    <xdr:ext cx="2679246" cy="806366"/>
    <xdr:pic>
      <xdr:nvPicPr>
        <xdr:cNvPr id="3" name="תמונה 2" descr="לוגו מור גמל ופנסיה">
          <a:extLst>
            <a:ext uri="{FF2B5EF4-FFF2-40B4-BE49-F238E27FC236}">
              <a16:creationId xmlns:a16="http://schemas.microsoft.com/office/drawing/2014/main" id="{82BEA0B1-C7C8-4166-9281-90DAC60C1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10503701" y="0"/>
          <a:ext cx="2679246" cy="80636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6</xdr:col>
      <xdr:colOff>842792</xdr:colOff>
      <xdr:row>3</xdr:row>
      <xdr:rowOff>269669</xdr:rowOff>
    </xdr:from>
    <xdr:to>
      <xdr:col>6</xdr:col>
      <xdr:colOff>1176167</xdr:colOff>
      <xdr:row>3</xdr:row>
      <xdr:rowOff>603044</xdr:rowOff>
    </xdr:to>
    <xdr:pic>
      <xdr:nvPicPr>
        <xdr:cNvPr id="2" name="Picture 1" descr="סמל נגישות">
          <a:extLst>
            <a:ext uri="{FF2B5EF4-FFF2-40B4-BE49-F238E27FC236}">
              <a16:creationId xmlns:a16="http://schemas.microsoft.com/office/drawing/2014/main" id="{5E141AEC-AE6B-669A-CEF6-0938951F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7566924" y="442851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847933</xdr:colOff>
      <xdr:row>3</xdr:row>
      <xdr:rowOff>41131</xdr:rowOff>
    </xdr:from>
    <xdr:ext cx="3190299" cy="960176"/>
    <xdr:pic>
      <xdr:nvPicPr>
        <xdr:cNvPr id="6" name="תמונה 5" descr="לוגו מור גמל ופנסיה">
          <a:extLst>
            <a:ext uri="{FF2B5EF4-FFF2-40B4-BE49-F238E27FC236}">
              <a16:creationId xmlns:a16="http://schemas.microsoft.com/office/drawing/2014/main" id="{574292A0-8C61-44BD-980B-9106D5EC7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56198161" y="41131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oneCellAnchor>
    <xdr:from>
      <xdr:col>11</xdr:col>
      <xdr:colOff>827113</xdr:colOff>
      <xdr:row>3</xdr:row>
      <xdr:rowOff>41132</xdr:rowOff>
    </xdr:from>
    <xdr:ext cx="3190299" cy="960176"/>
    <xdr:pic>
      <xdr:nvPicPr>
        <xdr:cNvPr id="7" name="תמונה 6" descr="לוגו מור גמל ופנסיה">
          <a:extLst>
            <a:ext uri="{FF2B5EF4-FFF2-40B4-BE49-F238E27FC236}">
              <a16:creationId xmlns:a16="http://schemas.microsoft.com/office/drawing/2014/main" id="{D807D121-A0C5-47AB-98C3-5F2B00404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47047916" y="41132"/>
          <a:ext cx="3190299" cy="960176"/>
        </a:xfrm>
        <a:prstGeom prst="rect">
          <a:avLst/>
        </a:prstGeom>
        <a:solidFill>
          <a:schemeClr val="bg1"/>
        </a:solidFill>
      </xdr:spPr>
    </xdr:pic>
    <xdr:clientData/>
  </xdr:oneCellAnchor>
  <xdr:twoCellAnchor editAs="oneCell">
    <xdr:from>
      <xdr:col>11</xdr:col>
      <xdr:colOff>86591</xdr:colOff>
      <xdr:row>3</xdr:row>
      <xdr:rowOff>519544</xdr:rowOff>
    </xdr:from>
    <xdr:to>
      <xdr:col>11</xdr:col>
      <xdr:colOff>419966</xdr:colOff>
      <xdr:row>3</xdr:row>
      <xdr:rowOff>852919</xdr:rowOff>
    </xdr:to>
    <xdr:pic>
      <xdr:nvPicPr>
        <xdr:cNvPr id="5" name="Picture 4" descr="סמל נגישות">
          <a:extLst>
            <a:ext uri="{FF2B5EF4-FFF2-40B4-BE49-F238E27FC236}">
              <a16:creationId xmlns:a16="http://schemas.microsoft.com/office/drawing/2014/main" id="{17D90BBD-61AA-AFF2-BE47-CD0F693E4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4703625" y="519544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5D99E01-605C-4658-B75F-8BA09718D061}" name="ColumnTitleRegion1.a310.e311.37" displayName="ColumnTitleRegion1.a310.e311.37" ref="A328:E329" totalsRowShown="0" headerRowDxfId="274" dataDxfId="273">
  <autoFilter ref="A328:E329" xr:uid="{05D99E01-605C-4658-B75F-8BA09718D061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DC49F2E1-6120-45E9-AD1D-47C6BF9D1D3E}" name="*מובהר כי תיק הנכסים אינו תואם בהכרח במלואו להרכב מדד הייחוס. אין בציון מדד הייחוס, תיאורו והרכבו בכדי להוות מצג, הצהרה או התחייבות כלשהי ביחס לתשואות המסלולים בפועל." dataDxfId="272" dataCellStyle="היפר-קישור"/>
    <tableColumn id="2" xr3:uid="{CBF90846-E2F6-4A91-AAB5-F031328D3A8E}" name="תא ריק במקור" dataDxfId="271"/>
    <tableColumn id="3" xr3:uid="{BE5D57AB-6227-434B-9DA4-5955FE1F5EC7}" name="תא ריק במקור2" dataDxfId="270"/>
    <tableColumn id="4" xr3:uid="{CF7BE9ED-9360-4DB8-BCE2-E6D115030C78}" name="תא ריק במקור3" dataDxfId="269"/>
    <tableColumn id="5" xr3:uid="{42DFA518-0A4C-4EDC-87B6-9C3D9414F840}" name="תא ריק במקור4" dataDxfId="26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798806-7F90-434B-A6BD-A8AABB0A4E19}" name="TitleRegion1.b5.i17.1" displayName="TitleRegion1.b5.i17.1" ref="B6:I18" totalsRowShown="0" headerRowDxfId="267">
  <autoFilter ref="B6:I18" xr:uid="{43798806-7F90-434B-A6BD-A8AABB0A4E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CA01B0A-AE16-4BEF-B509-984FD3E32FF0}" name="אפיק השקעה " dataDxfId="266"/>
    <tableColumn id="2" xr3:uid="{9FD972C1-194E-407D-97B8-D05E083F84E4}" name="ריק במקור" dataDxfId="265"/>
    <tableColumn id="3" xr3:uid="{33C70C9E-F476-4F7D-86F7-8741F6B66BD0}" name="ריק במקור2" dataDxfId="264"/>
    <tableColumn id="4" xr3:uid="{D354636C-270D-44F8-9BB5-4DF21E51F08D}" name="שיעור החשיפה ליום 31/12/2025"/>
    <tableColumn id="5" xr3:uid="{9C8F4254-1764-46F9-B15C-CEFAA7519CCF}" name="שיעור חשיפה צפוי לשנת 2026"/>
    <tableColumn id="6" xr3:uid="{73C1E236-9A22-4DDB-9325-B10F0B6601BE}" name="טווח סטיה מותר" dataDxfId="263"/>
    <tableColumn id="7" xr3:uid="{B89D8E58-D7B2-4C51-A53C-3A009ABAB99F}" name="גבולות שיעור החשיפה הצפויה"/>
    <tableColumn id="8" xr3:uid="{C9F5BE35-1C53-44AA-A7B9-711E1C8DD9F6}" name="מדד ייחוס*"/>
  </tableColumns>
  <tableStyleInfo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238FB9-151B-4AB7-BE93-59FB1C78B7D5}" name="TitleRegion1.b65.i77.2" displayName="TitleRegion1.b65.i77.2" ref="B66:I78" totalsRowShown="0" headerRowDxfId="262">
  <autoFilter ref="B66:I78" xr:uid="{FD238FB9-151B-4AB7-BE93-59FB1C78B7D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10D9DEEA-06D0-4565-B3F0-84BE5246ECBD}" name="אפיק השקעה " dataDxfId="261"/>
    <tableColumn id="2" xr3:uid="{748C47AA-3199-4B7D-B5C5-130FB3E6DE90}" name="ריק במקור" dataDxfId="260"/>
    <tableColumn id="3" xr3:uid="{6CDD51D7-C25A-4EE9-8428-510502192189}" name="ריק במקור2" dataDxfId="259"/>
    <tableColumn id="4" xr3:uid="{8C9DE405-2CF7-4F25-B534-38F3EFEE98C9}" name="שיעור החשיפה ליום 31/12/2025" dataDxfId="258"/>
    <tableColumn id="5" xr3:uid="{3B85592A-A1D4-45C5-BB6B-9632FF1481D0}" name="שיעור חשיפה צפוי לשנת 2026" dataDxfId="257"/>
    <tableColumn id="6" xr3:uid="{02F52B10-B91C-4AAB-8D3B-890B2443BAC9}" name="טווח סטיה מותר" dataDxfId="256"/>
    <tableColumn id="7" xr3:uid="{A93D110B-64A8-4B39-BFDC-F4DB4B541709}" name="גבולות שיעור החשיפה הצפויה"/>
    <tableColumn id="8" xr3:uid="{08EB3A53-D152-404B-B27D-2A97C085698F}" name="מדד ייחוס*"/>
  </tableColumns>
  <tableStyleInfo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DF006AA-8E59-4167-B791-CB3E5DAE39F2}" name="TitleRegion1.b50.i62.3" displayName="TitleRegion1.b50.i62.3" ref="B51:I63" totalsRowShown="0" headerRowDxfId="255">
  <autoFilter ref="B51:I63" xr:uid="{1DF006AA-8E59-4167-B791-CB3E5DAE39F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3F6AEF3-D618-4283-9B20-9A108FDF9B32}" name="אפיק השקעה " dataDxfId="254"/>
    <tableColumn id="2" xr3:uid="{4BDB5753-C598-43E7-B530-512E5703E0E7}" name="ריק במקור" dataDxfId="253"/>
    <tableColumn id="3" xr3:uid="{98C925D8-1E83-4921-8E84-AA2958CC0210}" name="ריק במקור2" dataDxfId="252"/>
    <tableColumn id="4" xr3:uid="{8FEC8A92-0660-4A9E-ABA8-0E9204975D37}" name="שיעור החשיפה ליום 31/12/2025"/>
    <tableColumn id="5" xr3:uid="{C84816E4-5ECB-4DBF-A1D9-75C0686830E9}" name="שיעור חשיפה צפוי לשנת 2026"/>
    <tableColumn id="6" xr3:uid="{D4749A63-9D87-4836-A5A7-5970BB26823A}" name="טווח סטיה מותר" dataDxfId="251"/>
    <tableColumn id="7" xr3:uid="{36D9B098-EC35-4662-BBE1-91C87E998456}" name="גבולות שיעור החשיפה הצפויה"/>
    <tableColumn id="8" xr3:uid="{57B25748-85B5-4234-809F-AEC6D8EB3ADC}" name="מדד ייחוס*"/>
  </tableColumns>
  <tableStyleInfo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F228AB-845D-4B09-AC10-3E0EBB1B02A8}" name="TitleRegion1.b35.i47.4" displayName="TitleRegion1.b35.i47.4" ref="B36:I48" totalsRowShown="0">
  <autoFilter ref="B36:I48" xr:uid="{8DF228AB-845D-4B09-AC10-3E0EBB1B02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E66B5A4-E3D4-44F1-8E23-79431B265777}" name="אפיק השקעה " dataDxfId="250"/>
    <tableColumn id="2" xr3:uid="{441E955A-D3D7-4CFD-A694-20D671AFEFA6}" name="ריק במקור" dataDxfId="249"/>
    <tableColumn id="3" xr3:uid="{053A299A-B448-4EE1-936A-FB1CE4A0410B}" name="ריק במקור2" dataDxfId="248"/>
    <tableColumn id="4" xr3:uid="{3729D942-3E79-48BF-9B4C-14A9A5D34F68}" name="שיעור החשיפה ליום 31/12/2025"/>
    <tableColumn id="5" xr3:uid="{864C435B-634A-4645-A97A-1FA9851B2D76}" name="שיעור חשיפה צפוי לשנת 2026"/>
    <tableColumn id="6" xr3:uid="{759C37A4-5D1C-458C-A266-F0A6D07817C8}" name="טווח סטיה מותר"/>
    <tableColumn id="7" xr3:uid="{EBF95724-009C-4823-BFFC-4BDA50AAEFCD}" name="גבולות שיעור החשיפה הצפויה"/>
    <tableColumn id="8" xr3:uid="{B2815588-F1F5-43F5-90F9-53BC7C0B21AC}" name="מדד ייחוס*"/>
  </tableColumns>
  <tableStyleInfo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0363B4E-E3A4-4366-9F47-3EECA7A66B4F}" name="TitleRegion1.b20.i32.5" displayName="TitleRegion1.b20.i32.5" ref="B21:I33" totalsRowShown="0" headerRowDxfId="247">
  <autoFilter ref="B21:I33" xr:uid="{90363B4E-E3A4-4366-9F47-3EECA7A66B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CC0C957-9296-4252-B7E8-8504020F01F6}" name="אפיק השקעה "/>
    <tableColumn id="2" xr3:uid="{ADAE6B15-D2ED-450A-A1EF-47A9DE7A59E3}" name="ריק במקור" dataDxfId="246"/>
    <tableColumn id="3" xr3:uid="{4EFD2817-C11B-4D5B-9179-BD264C452625}" name="ריק במקור2" dataDxfId="245"/>
    <tableColumn id="4" xr3:uid="{9CECB3C4-9076-4C17-AD9F-F315507D1B3B}" name="שיעור החשיפה ליום 31/12/2025"/>
    <tableColumn id="5" xr3:uid="{5E5B7924-C524-43BF-ABF3-1AB4C2490EF2}" name="שיעור חשיפה צפוי לשנת 2026"/>
    <tableColumn id="6" xr3:uid="{49D774EF-7D12-41B2-8482-12EB175E20ED}" name="טווח סטיה מותר" dataDxfId="244"/>
    <tableColumn id="7" xr3:uid="{96DB39D7-6249-4E4B-B7FF-81CE9B36F75F}" name="גבולות שיעור החשיפה הצפויה"/>
    <tableColumn id="8" xr3:uid="{75D64E58-7553-4E07-B86A-8306094F5849}" name="מדד ייחוס*"/>
  </tableColumns>
  <tableStyleInfo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245FFA2-716C-44DE-8A9F-D164A6A9E98E}" name="TitleRegion1.b82.i94.6" displayName="TitleRegion1.b82.i94.6" ref="B83:I95" totalsRowShown="0" headerRowDxfId="243" headerRowBorderDxfId="242" tableBorderDxfId="241">
  <autoFilter ref="B83:I95" xr:uid="{3245FFA2-716C-44DE-8A9F-D164A6A9E9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CD20A16-2E43-4D26-B5EB-36FE3F5D8CE1}" name="אפיק השקעה " dataDxfId="240"/>
    <tableColumn id="2" xr3:uid="{3A764B53-951E-4D16-B89D-7B4BDA0A86DB}" name="תגמולים שיעור החשיפה ליום 31/12/2025 "/>
    <tableColumn id="3" xr3:uid="{A32E0BC6-C516-4D98-9115-E29BA02194F0}" name="השתלמות שיעור החשיפה ליום 31/12/2025"/>
    <tableColumn id="4" xr3:uid="{9D8B6827-3B24-4D96-BFB5-4D034201196B}" name=" השקעה שיעור החשיפה ליום 31/12/2025"/>
    <tableColumn id="5" xr3:uid="{6E51C64B-372D-4C4B-BC7A-10BF30B1ABB0}" name="שיעור חשיפה צפוי לשנת 2026"/>
    <tableColumn id="6" xr3:uid="{089CFA8E-8DBF-4E2B-9DEA-D643B4375BD3}" name="טווח סטיה מותר" dataDxfId="239"/>
    <tableColumn id="7" xr3:uid="{3BDDCAFF-0EBD-4991-BB5B-37744B3FB544}" name="גבולות שיעור החשיפה הצפויה"/>
    <tableColumn id="8" xr3:uid="{3FE7E2DD-4162-4490-A85B-0CB47485A4EA}" name="מדד ייחוס*"/>
  </tableColumns>
  <tableStyleInfo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DC8AC9-03BA-415A-B81F-3480BA7E6A0F}" name="TitleRegion1.b99.i111.7" displayName="TitleRegion1.b99.i111.7" ref="B100:I112" totalsRowShown="0" headerRowDxfId="238" headerRowBorderDxfId="237" tableBorderDxfId="236">
  <autoFilter ref="B100:I112" xr:uid="{0ADC8AC9-03BA-415A-B81F-3480BA7E6A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D4F37F6C-FEBF-49A0-BE69-695BF2BDD350}" name="אפיק השקעה " dataDxfId="235"/>
    <tableColumn id="2" xr3:uid="{8EEB3B80-BC10-4B0D-8106-26B1BA418D51}" name="תגמולים שיעור החשיפה ליום 31/12/2025 "/>
    <tableColumn id="3" xr3:uid="{0093384D-C3AC-466E-92C1-9FF5FE4C76A1}" name="השתלמות שיעור החשיפה ליום 31/12/2025"/>
    <tableColumn id="4" xr3:uid="{3BD9F1CD-8D9C-41BC-8366-CB405330BF87}" name=" השקעה שיעור החשיפה ליום 31/12/2025"/>
    <tableColumn id="5" xr3:uid="{7172E85E-8A44-408E-9D9B-DBC90E36158F}" name="שיעור חשיפה צפוי לשנת 2026"/>
    <tableColumn id="6" xr3:uid="{09B3F818-F3CF-42AF-87CA-9BD715DCBAE1}" name="טווח סטיה מותר" dataDxfId="234"/>
    <tableColumn id="7" xr3:uid="{D614DE6C-98FE-4A23-B19E-7C2737684152}" name="גבולות שיעור החשיפה הצפויה"/>
    <tableColumn id="8" xr3:uid="{ABE5BF50-6758-4B7D-A75E-D6171D4CC841}" name="מדד ייחוס*"/>
  </tableColumns>
  <tableStyleInfo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5BD021-9255-49AE-B53F-038968FA74C4}" name="TitleRegion1.b115.i127.8" displayName="TitleRegion1.b115.i127.8" ref="B116:I128" totalsRowShown="0" headerRowDxfId="233">
  <autoFilter ref="B116:I128" xr:uid="{DE5BD021-9255-49AE-B53F-038968FA74C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14AD57F-02A1-4CFA-8478-9916154A115D}" name="אפיק השקעה "/>
    <tableColumn id="2" xr3:uid="{6253B99A-CA19-4330-969D-71C96A11B47D}" name="ריק במקור" dataDxfId="232"/>
    <tableColumn id="3" xr3:uid="{9D65E8BE-EB2E-4828-9F2C-8AB593A19EBF}" name="השתלמות שיעור החשיפה ליום 31/12/2025 "/>
    <tableColumn id="4" xr3:uid="{7255EC13-CE2F-49D4-AACE-DA79B50A9466}" name=" השקעה שיעור החשיפה ליום 31/12/2025"/>
    <tableColumn id="5" xr3:uid="{D7D3BBA7-062B-4F37-B565-9561D9CC492C}" name="שיעור חשיפה צפוי לשנת 2026"/>
    <tableColumn id="6" xr3:uid="{E0ED875F-755D-40A7-8501-628504E742F2}" name="טווח סטיה מותר" dataDxfId="231"/>
    <tableColumn id="7" xr3:uid="{EF6CECD8-136A-4C3D-A96B-667161A0712C}" name="גבולות שיעור החשיפה הצפויה"/>
    <tableColumn id="8" xr3:uid="{08D723E7-DB1E-4D5D-9C43-96C942FF80E7}" name="מדד ייחוס*"/>
  </tableColumns>
  <tableStyleInfo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C6861F8-7D2B-4FD1-B9CB-4E6EA1386E11}" name="TitleRegion1.b132.i139.9" displayName="TitleRegion1.b132.i139.9" ref="B133:I140" totalsRowShown="0" headerRowDxfId="230" headerRowBorderDxfId="229" tableBorderDxfId="228">
  <autoFilter ref="B133:I140" xr:uid="{EC6861F8-7D2B-4FD1-B9CB-4E6EA1386E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010540F-3E1B-4616-A21C-ECCFD5C54B10}" name="אפיק השקעה "/>
    <tableColumn id="2" xr3:uid="{1C8AF660-8E8C-4742-ADA3-B378F341667B}" name="תגמולים שיעור החשיפה ליום 31/12/2025 "/>
    <tableColumn id="3" xr3:uid="{5E43C5C5-90CD-487F-916D-2D4BA24395DC}" name="השתלמות שיעור החשיפה ליום 31/12/2025"/>
    <tableColumn id="4" xr3:uid="{16ADDEC2-2025-4E04-9A13-CE5EBF0019E7}" name=" השקעה שיעור החשיפה ליום 31/12/2025"/>
    <tableColumn id="5" xr3:uid="{FAB9A30E-0E8D-42D3-856E-7558282A274A}" name="שיעור חשיפה צפוי לשנת 2026"/>
    <tableColumn id="6" xr3:uid="{866AF045-CD42-4840-81B2-6B9930A026C4}" name="טווח סטיה מותר" dataDxfId="227"/>
    <tableColumn id="7" xr3:uid="{AA763574-0A00-4BAB-8B3C-46DCB8926A48}" name="גבולות שיעור החשיפה הצפויה"/>
    <tableColumn id="8" xr3:uid="{3CEA3842-D5E7-4290-B837-9586B5A9E38D}" name="מדד ייחוס*"/>
  </tableColumns>
  <tableStyleInfo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AD15ED3-C853-41BA-9087-CFD104ECDFF6}" name="TitleRegion1.b144.i151.10" displayName="TitleRegion1.b144.i151.10" ref="B145:I152" totalsRowShown="0" headerRowDxfId="226" headerRowBorderDxfId="225" tableBorderDxfId="224">
  <autoFilter ref="B145:I152" xr:uid="{9AD15ED3-C853-41BA-9087-CFD104ECDF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74837DA-198A-40AA-8A1D-42EEFD51684C}" name="אפיק השקעה "/>
    <tableColumn id="2" xr3:uid="{F3106B9A-2B00-4917-816B-77B783E6AC32}" name="תגמולים שיעור החשיפה ליום 31/12/2025 "/>
    <tableColumn id="3" xr3:uid="{CDA460F3-3677-42E2-8BAF-D759C256A469}" name="השתלמות שיעור החשיפה ליום 31/12/2025"/>
    <tableColumn id="4" xr3:uid="{2BDC4120-98BC-4DB9-BA79-CFE90583ADA7}" name=" השקעה שיעור החשיפה ליום 31/12/2025"/>
    <tableColumn id="5" xr3:uid="{B5F92CCD-F5A0-43F2-A48C-79F0093F8A0D}" name="שיעור חשיפה צפוי לשנת 2026"/>
    <tableColumn id="6" xr3:uid="{8BE7A60D-3008-4736-8711-029EFFE87BCA}" name="טווח סטיה מותר" dataDxfId="223"/>
    <tableColumn id="7" xr3:uid="{8F33F703-453B-44F8-BE52-0D801E37F724}" name="גבולות שיעור החשיפה הצפויה"/>
    <tableColumn id="8" xr3:uid="{2DB777FA-18F4-4E2B-AB95-64A1349B4E6D}" name="מדד ייחוס*"/>
  </tableColumns>
  <tableStyleInfo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5A6A3A7-1433-4FC7-BF35-9936426A218F}" name="TitleRegion1.b156.i163.11" displayName="TitleRegion1.b156.i163.11" ref="B157:I164" totalsRowShown="0" headerRowDxfId="222" headerRowBorderDxfId="221" tableBorderDxfId="220">
  <autoFilter ref="B157:I164" xr:uid="{55A6A3A7-1433-4FC7-BF35-9936426A21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A86F9A43-2A3B-4846-B96C-4252D295CBDA}" name="אפיק השקעה "/>
    <tableColumn id="2" xr3:uid="{6BA264E2-9AA4-436A-B559-97E6A3A2E174}" name="תגמולים שיעור החשיפה ליום 31/12/2025 "/>
    <tableColumn id="3" xr3:uid="{5BECC194-23A8-40FB-8D40-939FB3A33BB7}" name="השתלמות שיעור החשיפה ליום 31/12/2025"/>
    <tableColumn id="4" xr3:uid="{CEF778F5-40A9-4103-AF60-90CDA1165F7A}" name=" השקעה שיעור החשיפה ליום 31/12/2025"/>
    <tableColumn id="5" xr3:uid="{E5B474ED-A829-4938-9A08-9AB9FE7E3648}" name="שיעור חשיפה צפוי לשנת 2026"/>
    <tableColumn id="6" xr3:uid="{823043E5-1008-4A2E-AD75-8C176F3A0C2A}" name="טווח סטיה מותר" dataDxfId="219"/>
    <tableColumn id="7" xr3:uid="{D3F38217-9909-4A98-9BC8-F516C840D552}" name="גבולות שיעור החשיפה הצפויה"/>
    <tableColumn id="8" xr3:uid="{157501DF-DA2D-4F9E-9FEB-C35037C5CE0C}" name="מדד ייחוס*"/>
  </tableColumns>
  <tableStyleInfo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F721744-72CB-4954-A5D6-7105A22290F4}" name="TitleRegion1.b168.i175.12" displayName="TitleRegion1.b168.i175.12" ref="B169:I176" totalsRowShown="0" headerRowDxfId="218" headerRowBorderDxfId="217" tableBorderDxfId="216">
  <autoFilter ref="B169:I176" xr:uid="{5F721744-72CB-4954-A5D6-7105A22290F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05FE37A-20B8-4DCA-91A6-1F1D8F83DD24}" name="אפיק השקעה "/>
    <tableColumn id="2" xr3:uid="{818DBC4D-C791-4412-897B-5FA82AB44C8D}" name="תגמולים שיעור החשיפה ליום 31/12/2025 "/>
    <tableColumn id="3" xr3:uid="{27C89D17-9F35-460A-BD83-8ABF7641886E}" name="השתלמות שיעור החשיפה ליום 31/12/2025"/>
    <tableColumn id="4" xr3:uid="{AB2215F3-BB33-42DB-AE8F-341F456431EE}" name=" השקעה שיעור החשיפה ליום 31/12/2025"/>
    <tableColumn id="5" xr3:uid="{364D6C9E-1BC0-4D5A-8C0B-CBB9DAFB5640}" name="שיעור חשיפה צפוי לשנת 2026"/>
    <tableColumn id="6" xr3:uid="{39D7254E-C71B-43F0-9FCA-C4BB8CBF28FB}" name="טווח סטיה מותר" dataDxfId="215"/>
    <tableColumn id="7" xr3:uid="{7557706E-D185-4065-8DC3-08500796783B}" name="גבולות שיעור החשיפה הצפויה"/>
    <tableColumn id="8" xr3:uid="{27DCC495-4D6B-4B28-958B-ECBFEE4AC73D}" name="מדד ייחוס*"/>
  </tableColumns>
  <tableStyleInfo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B9D2D9A9-F4CD-4BC3-9E25-34C471371167}" name="TitleRegion1.b179.i186.13" displayName="TitleRegion1.b179.i186.13" ref="B180:I187" totalsRowShown="0" headerRowDxfId="214">
  <autoFilter ref="B180:I187" xr:uid="{B9D2D9A9-F4CD-4BC3-9E25-34C47137116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7987768C-67FB-411C-BAD7-A5D10027EC72}" name="אפיק השקעה "/>
    <tableColumn id="2" xr3:uid="{06F8A2B3-F9A3-456C-BC99-5A2E1616ABF5}" name="ריק במקור" dataDxfId="213"/>
    <tableColumn id="3" xr3:uid="{68251F98-E955-4141-9AB4-752F3E281064}" name="השתלמות שיעור החשיפה ליום 31/12/2025"/>
    <tableColumn id="4" xr3:uid="{728C03AD-5689-4042-9B46-53B65921C5EE}" name=" השקעה שיעור החשיפה ליום 31/12/2025"/>
    <tableColumn id="5" xr3:uid="{A396106F-762B-4EA8-B893-F9ED5047CD2D}" name="שיעור חשיפה צפוי לשנת 2026"/>
    <tableColumn id="6" xr3:uid="{F6AF5890-07BC-49DD-974C-F8D6F99BA987}" name="טווח סטיה מותר" dataDxfId="212"/>
    <tableColumn id="7" xr3:uid="{98C1E44F-D73E-4ECB-AF1A-3476E5AFE02D}" name="גבולות שיעור החשיפה הצפויה"/>
    <tableColumn id="8" xr3:uid="{B3143E19-8C1A-43FE-8C4B-A327703A4F47}" name="מדד ייחוס*"/>
  </tableColumns>
  <tableStyleInfo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0F9C98F-4BFB-4FBB-BC89-43D4E2D10303}" name="TitleRegion1.b191.i198.14" displayName="TitleRegion1.b191.i198.14" ref="B192:I199" totalsRowShown="0" headerRowDxfId="211" headerRowBorderDxfId="210" tableBorderDxfId="209">
  <autoFilter ref="B192:I199" xr:uid="{80F9C98F-4BFB-4FBB-BC89-43D4E2D103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48E30959-CE70-47FE-B80E-81CF2127D930}" name="אפיק השקעה "/>
    <tableColumn id="2" xr3:uid="{7592016A-2025-4A7A-8DB0-181E3BFA5F1D}" name="תגמולים שיעור החשיפה ליום 31/12/2025 "/>
    <tableColumn id="3" xr3:uid="{4A60ED4A-B74D-4E4F-A3A0-43033F4C8E03}" name="השתלמות שיעור החשיפה ליום 31/12/2025"/>
    <tableColumn id="4" xr3:uid="{6DB0E20C-EE46-4A82-A428-E71F13C361D5}" name=" השקעה שיעור החשיפה ליום 31/12/2025"/>
    <tableColumn id="5" xr3:uid="{06B05E18-7CD2-4FF7-8749-D0FD6B73C453}" name="שיעור חשיפה צפוי לשנת 2026"/>
    <tableColumn id="6" xr3:uid="{547F0B2F-47EC-435D-BD58-FDA8E6CD8313}" name="טווח סטיה מותר" dataDxfId="208"/>
    <tableColumn id="7" xr3:uid="{F54F5BE7-EE0E-4098-A2AF-D12695C4CBDD}" name="גבולות שיעור החשיפה הצפויה"/>
    <tableColumn id="8" xr3:uid="{66217E3F-FC5C-4706-864F-DEAC8B7E1843}" name="מדד ייחוס*" dataDxfId="207"/>
  </tableColumns>
  <tableStyleInfo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F10FE07-9FB2-4D2F-B4B2-03F7CCFF85C0}" name="TitleRegion1.b203.i210.15" displayName="TitleRegion1.b203.i210.15" ref="B204:I211" totalsRowShown="0" headerRowDxfId="206" headerRowBorderDxfId="205" tableBorderDxfId="204">
  <autoFilter ref="B204:I211" xr:uid="{AF10FE07-9FB2-4D2F-B4B2-03F7CCFF85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7B159E7-710B-4333-A87C-973F7972ADC6}" name="אפיק השקעה "/>
    <tableColumn id="2" xr3:uid="{C656606A-AA3A-445C-9C70-BDE7965AA4D9}" name="תגמולים שיעור החשיפה ליום 31/12/2025 "/>
    <tableColumn id="3" xr3:uid="{1B31A988-D49E-426D-B7F3-DD825B66D911}" name="השתלמות שיעור החשיפה ליום 31/12/2025"/>
    <tableColumn id="4" xr3:uid="{CE45298E-1B4F-434E-A278-99825938A548}" name=" השקעה שיעור החשיפה ליום 31/12/2025"/>
    <tableColumn id="5" xr3:uid="{3AFADAD9-B158-4A16-AC29-96CEC0031DD4}" name="שיעור חשיפה צפוי לשנת 2026"/>
    <tableColumn id="6" xr3:uid="{B82FDAE7-A049-4907-85D0-6DA233A1AF6E}" name="טווח סטיה מותר" dataDxfId="203"/>
    <tableColumn id="7" xr3:uid="{455D8C85-445B-4AB6-AB43-DDDA064C002A}" name="גבולות שיעור החשיפה הצפויה"/>
    <tableColumn id="8" xr3:uid="{0B737D70-6EC0-49E9-8D00-4C3126DED2C4}" name="מדד ייחוס*"/>
  </tableColumns>
  <tableStyleInfo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8F2176E-015D-46BA-A214-6B10750F83B2}" name="TitleRegion1.b215.i222.16" displayName="TitleRegion1.b215.i222.16" ref="B216:I223" totalsRowShown="0" headerRowDxfId="202" headerRowBorderDxfId="201" tableBorderDxfId="200">
  <autoFilter ref="B216:I223" xr:uid="{D8F2176E-015D-46BA-A214-6B10750F83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CC811FA-C3E0-4153-89E3-8B3E2769BC2F}" name="אפיק השקעה "/>
    <tableColumn id="2" xr3:uid="{41F4F1FD-3815-4722-A8BF-198B366918A0}" name="תגמולים שיעור החשיפה ליום 31/12/2025 "/>
    <tableColumn id="3" xr3:uid="{35800D38-8EF5-4F42-A281-D2308384F10C}" name="השתלמות שיעור החשיפה ליום 31/12/2025"/>
    <tableColumn id="4" xr3:uid="{7748A357-AE26-4A15-8653-9129E935D39D}" name=" השקעה שיעור החשיפה ליום 31/12/2025"/>
    <tableColumn id="5" xr3:uid="{7ADBCF54-A498-4246-8489-516BA471AA64}" name="שיעור חשיפה צפוי לשנת 2026"/>
    <tableColumn id="6" xr3:uid="{DC625B26-5D37-4436-A38D-607829700A3C}" name="טווח סטיה מותר" dataDxfId="199"/>
    <tableColumn id="7" xr3:uid="{91BBEC1A-5CB0-4F85-B2E4-A321EE419D69}" name="גבולות שיעור החשיפה הצפויה"/>
    <tableColumn id="8" xr3:uid="{5C9DFCAF-729E-483C-A0EE-0CD94A643947}" name="מדד ייחוס*"/>
  </tableColumns>
  <tableStyleInfo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30E1534-ABA1-4CB9-B9C2-D4B296E8427E}" name="TitleRegion1.b226.i233.17" displayName="TitleRegion1.b226.i233.17" ref="B227:I234" totalsRowShown="0" headerRowDxfId="198" tableBorderDxfId="197">
  <autoFilter ref="B227:I234" xr:uid="{930E1534-ABA1-4CB9-B9C2-D4B296E8427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BBF21862-F5D2-4A2C-9B0F-E42037D1BE7D}" name="אפיק השקעה "/>
    <tableColumn id="2" xr3:uid="{55E532F2-F327-4F5A-B903-E37EEDCCD82E}" name="ריק במקור" dataDxfId="196"/>
    <tableColumn id="3" xr3:uid="{9A69434F-5B51-413E-9F7F-1DE05FB9776B}" name="השתלמות שיעור החשיפה ליום 31/12/2025"/>
    <tableColumn id="4" xr3:uid="{17C34819-2A77-444A-B931-4D8A20A03A18}" name=" השקעה שיעור החשיפה ליום 31/12/2025"/>
    <tableColumn id="5" xr3:uid="{C3FA0727-B82A-4982-BAEB-7B82DFD6079D}" name="שיעור חשיפה צפוי לשנת 2026"/>
    <tableColumn id="6" xr3:uid="{196E3D5B-8609-4C1C-B01C-CBC756F83920}" name="טווח סטיה מותר" dataDxfId="195"/>
    <tableColumn id="7" xr3:uid="{76832415-7010-4DF3-A1DA-2B6B3D1FB980}" name="גבולות שיעור החשיפה הצפויה"/>
    <tableColumn id="8" xr3:uid="{2B3BB3CF-D7D8-4DE0-8E43-89B2C5FC1F32}" name="מדד ייחוס*"/>
  </tableColumns>
  <tableStyleInfo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AD9BA4F-ADE9-43A9-A00B-4A86C74AA7FB}" name="TitleRegion1.b238.i245.18" displayName="TitleRegion1.b238.i245.18" ref="B239:I246" totalsRowShown="0" headerRowDxfId="194" headerRowBorderDxfId="193" tableBorderDxfId="192">
  <autoFilter ref="B239:I246" xr:uid="{6AD9BA4F-ADE9-43A9-A00B-4A86C74AA7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B42958-7902-4C17-85D1-828C831C4C4D}" name="אפיק השקעה "/>
    <tableColumn id="2" xr3:uid="{440B4C42-9C12-4A44-9CF5-DAC817D9A2B1}" name="תגמולים שיעור החשיפה ליום 31/12/2025 "/>
    <tableColumn id="3" xr3:uid="{442CD48A-0A96-4519-BBF4-FBA526E3F6AD}" name="השתלמות שיעור החשיפה ליום 31/12/2025"/>
    <tableColumn id="4" xr3:uid="{3C6A9BC8-8125-4DF7-83CD-28F1B73A6D97}" name=" השקעה שיעור החשיפה ליום 31/12/2025"/>
    <tableColumn id="5" xr3:uid="{29DFC9A5-4A87-4D8D-BE25-39C9F6E6B89E}" name="שיעור חשיפה צפוי לשנת 2026"/>
    <tableColumn id="6" xr3:uid="{49F871FA-1E87-4A67-8CF3-FBBA01995EEF}" name="טווח סטיה מותר"/>
    <tableColumn id="7" xr3:uid="{1B9EB9D8-AFC0-404D-A0EA-35A45E8F29AB}" name="גבולות שיעור החשיפה הצפויה"/>
    <tableColumn id="8" xr3:uid="{D61EB6C2-491D-4F19-99F9-DD40600AF961}" name="מדד ייחוס*"/>
  </tableColumns>
  <tableStyleInfo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73C477C-7C36-4841-943E-89A763BEFBB1}" name="TitleRegion1.b248.i260.19" displayName="TitleRegion1.b248.i260.19" ref="B249:I261" totalsRowShown="0" tableBorderDxfId="191">
  <autoFilter ref="B249:I261" xr:uid="{273C477C-7C36-4841-943E-89A763BEFBB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54A026F5-2D30-48B3-B90F-FC9E956F3069}" name="אפיק השקעה "/>
    <tableColumn id="2" xr3:uid="{55008F08-6BD5-461D-9FA1-EF75078978FD}" name="ריק במקור"/>
    <tableColumn id="3" xr3:uid="{4E6EC5E7-778B-4821-8C2C-B59C056B5947}" name="ריק במקור2"/>
    <tableColumn id="4" xr3:uid="{E45B8015-FEF4-46EE-9BC9-6F91E79AEA3C}" name="שיעור החשיפה ליום 31/12/2025"/>
    <tableColumn id="5" xr3:uid="{B485FCBB-069E-4864-8150-FB995ED385DD}" name="שיעור חשיפה צפוי לשנת 2026"/>
    <tableColumn id="6" xr3:uid="{01AAAA4F-23D3-49E1-973E-37A423F22EE6}" name="טווח סטיה מותר" dataDxfId="190"/>
    <tableColumn id="7" xr3:uid="{B73DFDCA-0436-4861-96DE-4A5D689B5AD4}" name="גבולות שיעור החשיפה הצפויה"/>
    <tableColumn id="8" xr3:uid="{4AF9A7F6-B813-4BAC-A607-BDBBBC2B612B}" name="מדד ייחוס*"/>
  </tableColumns>
  <tableStyleInfo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554B724-EC15-4BE7-B00A-48EE2E4BF65B}" name="TitleRegion1.b263.i275.20" displayName="TitleRegion1.b263.i275.20" ref="B264:I276" totalsRowShown="0" tableBorderDxfId="189">
  <autoFilter ref="B264:I276" xr:uid="{E554B724-EC15-4BE7-B00A-48EE2E4BF65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8070EF3E-7367-4858-8440-F931DF0A4FA4}" name="אפיק השקעה "/>
    <tableColumn id="2" xr3:uid="{BEB1C5E1-77BC-4C59-BF2C-926E3EDD2A51}" name="ריק במקור"/>
    <tableColumn id="3" xr3:uid="{97CC5528-5061-46F7-AC5B-AAAAAE25CB76}" name="ריק במקור2"/>
    <tableColumn id="4" xr3:uid="{048C8FDA-2443-467B-A75A-216002FB29A4}" name="שיעור החשיפה ליום 31/12/2025"/>
    <tableColumn id="5" xr3:uid="{49540109-D72A-4037-94CD-DC96946E1667}" name="שיעור חשיפה צפוי לשנת 2026" dataDxfId="188"/>
    <tableColumn id="6" xr3:uid="{3E57ABC8-E90D-445D-8B48-3C47F4395FC1}" name="טווח סטיה מותר" dataDxfId="187" dataCellStyle="Percent"/>
    <tableColumn id="7" xr3:uid="{B5A922A6-5DF9-4633-B216-C99F45283C7E}" name="גבולות שיעור החשיפה הצפויה"/>
    <tableColumn id="8" xr3:uid="{67490BF0-615F-4078-9832-891335CC7E04}" name="מדד ייחוס*"/>
  </tableColumns>
  <tableStyleInfo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B5CB79B-E0A6-455F-93F1-75614A818286}" name="TitleRegion1.b278.i290.21" displayName="TitleRegion1.b278.i290.21" ref="B279:I291" totalsRowShown="0" tableBorderDxfId="186">
  <autoFilter ref="B279:I291" xr:uid="{2B5CB79B-E0A6-455F-93F1-75614A8182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224B355B-4D0D-4CA0-A373-5AF809FB927F}" name="אפיק השקעה " dataDxfId="185"/>
    <tableColumn id="2" xr3:uid="{682D8AA3-8C0A-4EC2-9C34-B59D8CBD459E}" name="ריק במקור"/>
    <tableColumn id="3" xr3:uid="{B323A620-377A-4D76-AC49-8A8343EE7C8F}" name="ריק במקור2"/>
    <tableColumn id="4" xr3:uid="{12336E8A-679F-4169-AD55-61ED0E358D22}" name="שיעור החשיפה ליום 31/12/2025"/>
    <tableColumn id="5" xr3:uid="{2BA635AF-037F-4B9A-9CD5-7D53380AA499}" name="שיעור חשיפה צפוי לשנת 2026" dataDxfId="184"/>
    <tableColumn id="6" xr3:uid="{0328CE32-43F5-41D1-9D78-E91756EAB919}" name="טווח סטיה מותר" dataDxfId="183" dataCellStyle="Percent"/>
    <tableColumn id="7" xr3:uid="{71A90C5C-526B-4F82-BE2D-513B0A6CE57A}" name="גבולות שיעור החשיפה הצפויה"/>
    <tableColumn id="8" xr3:uid="{AA9C0A3F-7AC6-4D66-8A74-A6AD4734954D}" name="מדד ייחוס*"/>
  </tableColumns>
  <tableStyleInfo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5ADECF1-2956-4231-B7AC-BD64787A9EB9}" name="TitleRegion1.b293.i300.22" displayName="TitleRegion1.b293.i300.22" ref="B294:I301" totalsRowShown="0" tableBorderDxfId="182">
  <autoFilter ref="B294:I301" xr:uid="{35ADECF1-2956-4231-B7AC-BD64787A9E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CDD46BD3-87C5-4BB3-B3AC-4A53E9444941}" name="אפיק השקעה "/>
    <tableColumn id="2" xr3:uid="{F481CCCE-A174-4A33-8979-C97187DC4EBE}" name="ריק במקור" dataDxfId="181"/>
    <tableColumn id="3" xr3:uid="{540E6D6D-C6C3-4DB3-A11F-B83E7E7E67F9}" name="ריק במקור2" dataDxfId="180"/>
    <tableColumn id="4" xr3:uid="{BBF58035-E1C2-4007-9717-4759614110F5}" name="שיעור החשיפה ליום 31/12/2025"/>
    <tableColumn id="5" xr3:uid="{9984298A-A523-4220-904C-4D560C3D5835}" name="שיעור חשיפה צפוי לשנת 2026"/>
    <tableColumn id="6" xr3:uid="{070C6350-C51F-4CFE-A018-7AB6BAFA36BA}" name="טווח סטיה מותר" dataDxfId="179"/>
    <tableColumn id="7" xr3:uid="{CA3EC2FE-D516-4EE6-89DA-49ACD03BA701}" name="גבולות שיעור החשיפה הצפויה"/>
    <tableColumn id="8" xr3:uid="{7FFDC62D-2A8E-4F32-9A21-048ED37C86B1}" name="מדד ייחוס*"/>
  </tableColumns>
  <tableStyleInfo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4468BAA-092A-449F-BDE5-E5A809294721}" name="TitleRegion1.b303.i310.23" displayName="TitleRegion1.b303.i310.23" ref="B304:I311" totalsRowShown="0" tableBorderDxfId="178">
  <autoFilter ref="B304:I311" xr:uid="{E4468BAA-092A-449F-BDE5-E5A8092947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386EA64E-E2A6-4F90-871A-2CE53D959449}" name="אפיק השקעה "/>
    <tableColumn id="2" xr3:uid="{11E2F80E-4653-4C6C-A508-6B668BBCBA3E}" name="ריק במקור" dataDxfId="177"/>
    <tableColumn id="3" xr3:uid="{59198A6F-E4E2-4F40-BDF9-0B7546964950}" name="ריק במקור2" dataDxfId="176"/>
    <tableColumn id="4" xr3:uid="{5D0FC79B-4722-4474-BF33-471180A86A97}" name="שיעור החשיפה ליום 31/12/2025"/>
    <tableColumn id="5" xr3:uid="{104B6853-4EA3-4900-94BF-2E0C2E02BB7A}" name="שיעור חשיפה צפוי לשנת 2026"/>
    <tableColumn id="6" xr3:uid="{FE7BE7CC-8FD3-4EE2-B38C-A248C8A35DCA}" name="טווח סטיה מותר" dataDxfId="175"/>
    <tableColumn id="7" xr3:uid="{8648DC14-BA13-4E5B-8A14-AAA5C9FCE6AF}" name="גבולות שיעור החשיפה הצפויה"/>
    <tableColumn id="8" xr3:uid="{2CC902FB-8FB3-4199-9967-D6878D72CFC1}" name="מדד ייחוס*"/>
  </tableColumns>
  <tableStyleInfo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1790DDB-D347-49CA-862C-7F23FCFC12DA}" name="TitleRegion1.b315.i325.24" displayName="TitleRegion1.b315.i325.24" ref="B316:I326" totalsRowShown="0" tableBorderDxfId="174">
  <autoFilter ref="B316:I326" xr:uid="{61790DDB-D347-49CA-862C-7F23FCFC12D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AE44234-2B54-4BBF-9622-02146B9E7894}" name="אפיק השקעה " dataDxfId="173"/>
    <tableColumn id="2" xr3:uid="{80CD8F33-DE85-4ABE-923E-273FE666B522}" name="ריק במקור" dataDxfId="172"/>
    <tableColumn id="3" xr3:uid="{4967854F-715F-44C5-8F3D-D81FE322A8B2}" name="ריק במקור2" dataDxfId="171"/>
    <tableColumn id="4" xr3:uid="{7320AA08-F2FD-410B-8D4B-6AEDBFD5FAAB}" name="שיעור החשיפה ליום 31/12/2025" dataDxfId="170"/>
    <tableColumn id="5" xr3:uid="{AD45ED95-CFC5-4689-B3A0-C4B1C59E2EC6}" name="שיעור חשיפה צפוי לשנת 2026" dataDxfId="169"/>
    <tableColumn id="6" xr3:uid="{1210D740-CAC6-48C5-AB7B-738BD8A49D9E}" name="טווח סטיה מותר" dataDxfId="168"/>
    <tableColumn id="7" xr3:uid="{C1CD28FD-4135-40FD-9097-3C0F2BD14929}" name="גבולות שיעור החשיפה הצפויה" dataDxfId="167"/>
    <tableColumn id="8" xr3:uid="{6D36340C-7BB1-463E-AD80-FD144FB84485}" name="מדד ייחוס*"/>
  </tableColumns>
  <tableStyleInfo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6B077903-B4AA-4D23-B1D9-C04347EB4B42}" name="TitleRegion1.b5.g16.1" displayName="TitleRegion1.b5.g16.1" ref="B6:G17" totalsRowShown="0" headerRowDxfId="166" headerRowBorderDxfId="165" tableBorderDxfId="164">
  <autoFilter ref="B6:G17" xr:uid="{6B077903-B4AA-4D23-B1D9-C04347EB4B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E2725C1-263A-4160-8CE1-E6F0E2D5A8FB}" name="אפיק השקעה " dataDxfId="163"/>
    <tableColumn id="2" xr3:uid="{75ED679D-2F4C-41F0-BF3D-AE5744223058}" name="שיעור החשיפה ליום 31/12/2025"/>
    <tableColumn id="3" xr3:uid="{2A85CD87-122A-4D39-9008-6C9E47A36F8A}" name="שיעור חשיפה צפוי לשנת 2026"/>
    <tableColumn id="4" xr3:uid="{9E665F6B-9D3D-4C8E-B645-84655829F08A}" name="טווח סטיה מותר" dataDxfId="162"/>
    <tableColumn id="5" xr3:uid="{31981DFA-F59A-49EE-993D-21224774DE0D}" name="גבולות שיעור החשיפה הצפויה"/>
    <tableColumn id="6" xr3:uid="{D558B587-5421-4C49-BCE1-0C76A29F740F}" name="מדד ייחוס*"/>
  </tableColumns>
  <tableStyleInfo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4DF5746D-EF5D-4D93-B742-8E0B8A9DC899}" name="TitleRegion1.b19.g30.2" displayName="TitleRegion1.b19.g30.2" ref="B20:G31" totalsRowShown="0" headerRowDxfId="161" headerRowBorderDxfId="160" tableBorderDxfId="159">
  <autoFilter ref="B20:G31" xr:uid="{4DF5746D-EF5D-4D93-B742-8E0B8A9DC89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5E854B4-A05E-4C7C-BB2D-E33A0AC165DD}" name="אפיק השקעה " dataDxfId="158"/>
    <tableColumn id="2" xr3:uid="{3B36B603-2662-4871-B6E8-27A616B77C59}" name="שיעור החשיפה ליום 31/12/2025"/>
    <tableColumn id="3" xr3:uid="{A3C7B91C-95CD-4288-9231-31EB1527D724}" name="שיעור חשיפה צפוי לשנת 2026"/>
    <tableColumn id="4" xr3:uid="{ADA203F1-760A-456F-84C3-F0FF42D24056}" name="טווח סטייה" dataDxfId="157"/>
    <tableColumn id="5" xr3:uid="{527586AD-A1DC-4FAB-BBCD-5B18725AE19D}" name="גבולות שיעור החשיפה הצפויה"/>
    <tableColumn id="6" xr3:uid="{4431C7E3-A59C-4503-AAFF-BF0E564C0AB0}" name="מדד ייחוס*"/>
  </tableColumns>
  <tableStyleInfo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7C96B36F-7EE2-4873-B61C-90673F6C3B9D}" name="TitleRegion1.b33.g44.3" displayName="TitleRegion1.b33.g44.3" ref="B34:G45" totalsRowShown="0" headerRowDxfId="156" headerRowBorderDxfId="155" tableBorderDxfId="154">
  <autoFilter ref="B34:G45" xr:uid="{7C96B36F-7EE2-4873-B61C-90673F6C3B9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B437F91-A8E6-4329-B170-87CBD707CD1D}" name="אפיק השקעה " dataDxfId="153"/>
    <tableColumn id="2" xr3:uid="{C2112D1A-ED96-4E45-9D9E-35811ADE1A9E}" name="שיעור החשיפה ליום 31/12/2025"/>
    <tableColumn id="3" xr3:uid="{B382EF7C-F24C-40FE-9A07-E9A718903318}" name="שיעור חשיפה צפוי לשנת 2026"/>
    <tableColumn id="4" xr3:uid="{AE25D36C-7A34-4A06-93FF-12180D7C409B}" name="טווח סטייה" dataDxfId="152"/>
    <tableColumn id="5" xr3:uid="{4160D298-666B-4366-A5EB-E5ADF3C949E0}" name="גבולות שיעור החשיפה הצפויה"/>
    <tableColumn id="6" xr3:uid="{62DCEB19-D3AC-4659-B2D2-9CAB1044F535}" name="מדד ייחוס*"/>
  </tableColumns>
  <tableStyleInfo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68C6F3A-3DEC-443F-9B7F-D5F8E19A3B7B}" name="TitleRegion1.b47.g58.4" displayName="TitleRegion1.b47.g58.4" ref="B48:G59" totalsRowShown="0" headerRowDxfId="151" headerRowBorderDxfId="150" tableBorderDxfId="149">
  <autoFilter ref="B48:G59" xr:uid="{068C6F3A-3DEC-443F-9B7F-D5F8E19A3B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3207D5A-34C5-4910-856C-877B77B74E59}" name="אפיק השקעה " dataDxfId="148"/>
    <tableColumn id="2" xr3:uid="{4FA6BDD2-26B9-48DC-836F-4A3B64A1C127}" name="שיעור החשיפה ליום 31/12/2025"/>
    <tableColumn id="3" xr3:uid="{6A8746CD-A70B-4233-9B90-44F3738F474B}" name="שיעור חשיפה צפוי לשנת 2026"/>
    <tableColumn id="4" xr3:uid="{80A4C0A9-2E41-4675-97E4-CC26C22CDB2C}" name="טווח סטייה" dataDxfId="147"/>
    <tableColumn id="5" xr3:uid="{8A553A10-77B9-4CA9-9102-43E0F384FAAD}" name="גבולות שיעור החשיפה הצפויה"/>
    <tableColumn id="6" xr3:uid="{A6956D20-6752-4464-8D44-994A4ABAA467}" name="מדד ייחוס*"/>
  </tableColumns>
  <tableStyleInfo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70B41AA-B1FC-4744-88AC-72258E3FFF42}" name="TitleRegion1.b61.g72.5" displayName="TitleRegion1.b61.g72.5" ref="B62:G73" totalsRowShown="0" headerRowDxfId="146" headerRowBorderDxfId="145" tableBorderDxfId="144">
  <autoFilter ref="B62:G73" xr:uid="{570B41AA-B1FC-4744-88AC-72258E3FFF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5ECA96E0-B728-4AF1-96E2-C104C9AC3386}" name="אפיק השקעה " dataDxfId="143"/>
    <tableColumn id="2" xr3:uid="{89C8D8F5-2D7A-42B3-99A8-D91CA5FDE48F}" name="שיעור החשיפה ליום 31/12/2025"/>
    <tableColumn id="3" xr3:uid="{FE48DFA0-D5EC-4907-9A88-6767FB332125}" name="שיעור חשיפה צפוי לשנת 2026"/>
    <tableColumn id="4" xr3:uid="{DA42FE34-47F0-4B70-8162-8E6B868265A7}" name="_x0009_טווח סטייה" dataDxfId="142"/>
    <tableColumn id="5" xr3:uid="{CB2F4A44-6F64-4441-81AD-D1B41283A8BB}" name="גבולות שיעור החשיפה הצפויה"/>
    <tableColumn id="6" xr3:uid="{77684CD7-5E6B-4E09-9986-C652E45C4C58}" name="מדד ייחוס*"/>
  </tableColumns>
  <tableStyleInfo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4C63594-39F5-42F9-8C8A-6FD8111ABE2A}" name="TitleRegion1.b75.g86.6" displayName="TitleRegion1.b75.g86.6" ref="B76:G87" totalsRowShown="0" headerRowDxfId="141" headerRowBorderDxfId="140" tableBorderDxfId="139">
  <autoFilter ref="B76:G87" xr:uid="{34C63594-39F5-42F9-8C8A-6FD8111ABE2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9DECE72-EE76-4FFE-A2A8-E5BA43B51BAF}" name="אפיק השקעה " dataDxfId="138"/>
    <tableColumn id="2" xr3:uid="{37A4AF87-C81E-481E-8523-B09C09A232F3}" name="שיעור החשיפה ליום 31/12/2025"/>
    <tableColumn id="3" xr3:uid="{30D45B18-1B1B-47E5-ACBF-7A4C50D66A43}" name="שיעור חשיפה צפוי לשנת 2026"/>
    <tableColumn id="4" xr3:uid="{781040FE-4C8F-43C8-8FCA-14C911A78D45}" name="_x0009_טווח סטייה" dataDxfId="137"/>
    <tableColumn id="5" xr3:uid="{BF49BDC4-A888-4BFB-871E-659E7B62E74D}" name="גבולות שיעור החשיפה הצפויה"/>
    <tableColumn id="6" xr3:uid="{6A0026FE-E38D-46DF-952D-DBC13D51244D}" name="מדד ייחוס*"/>
  </tableColumns>
  <tableStyleInfo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7ADEDF6-DCE3-427F-9B31-BAA9C5825F48}" name="TitleRegion1.b89.g97.7" displayName="TitleRegion1.b89.g97.7" ref="B90:G98" totalsRowShown="0" headerRowDxfId="136" headerRowBorderDxfId="135" tableBorderDxfId="134">
  <autoFilter ref="B90:G98" xr:uid="{47ADEDF6-DCE3-427F-9B31-BAA9C5825F4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859BA54-C31C-4684-8456-5EEBCC3EF5DD}" name="אפיק השקעה "/>
    <tableColumn id="2" xr3:uid="{CE0E3510-1102-48C3-BF45-FA9705309912}" name="שיעור החשיפה ליום 31/12/2025"/>
    <tableColumn id="3" xr3:uid="{A92ACBF2-3B4A-4041-8143-898A66D8054C}" name="שיעור חשיפה צפוי לשנת 2026"/>
    <tableColumn id="4" xr3:uid="{6E586BC9-D131-46C2-A040-FD837D5B5D99}" name="_x0009_טווח סטייה" dataDxfId="133"/>
    <tableColumn id="5" xr3:uid="{36411BA1-C703-4AFA-8BFF-F7CB7157089E}" name="גבולות שיעור החשיפה הצפויה"/>
    <tableColumn id="6" xr3:uid="{FA9C7888-96EA-41D4-ACCD-45CA393E691D}" name="מדד ייחוס*"/>
  </tableColumns>
  <tableStyleInfo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7E5F8E0-043F-44A1-8309-39C1495F57D0}" name="TitleRegion1.b100.g108.8" displayName="TitleRegion1.b100.g108.8" ref="B101:G109" totalsRowShown="0" headerRowDxfId="132" headerRowBorderDxfId="131" tableBorderDxfId="130">
  <autoFilter ref="B101:G109" xr:uid="{17E5F8E0-043F-44A1-8309-39C1495F57D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3A3578C-C076-4C28-8C3F-4E3776B90463}" name="אפיק השקעה "/>
    <tableColumn id="2" xr3:uid="{15121664-4E86-4969-9AEF-1EA8CBA3F2EC}" name="שיעור החשיפה ליום 31/12/2025"/>
    <tableColumn id="3" xr3:uid="{C613C707-4149-4615-BF91-CA42B891E9B6}" name="שיעור חשיפה צפוי לשנת 2026"/>
    <tableColumn id="4" xr3:uid="{FB1FAAC7-9E6C-419B-AD84-7CADF53F9D52}" name="_x0009_טווח סטייה" dataDxfId="129"/>
    <tableColumn id="5" xr3:uid="{B6A1F279-7FC0-48EC-886A-07628D9C8B09}" name="גבולות שיעור החשיפה הצפויה"/>
    <tableColumn id="6" xr3:uid="{9AA9B875-F673-4656-85B6-BD3F96FAA93F}" name="מדד ייחוס*"/>
  </tableColumns>
  <tableStyleInfo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A35E858-4B45-45AF-A57D-DAC21CB3A58E}" name="TitleRegion1.b111.g119.9" displayName="TitleRegion1.b111.g119.9" ref="B112:G120" totalsRowShown="0" headerRowDxfId="128" headerRowBorderDxfId="127" tableBorderDxfId="126">
  <autoFilter ref="B112:G120" xr:uid="{1A35E858-4B45-45AF-A57D-DAC21CB3A58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D05682B-9AA4-4D5A-B0D8-D3D3CFAA917B}" name="אפיק השקעה "/>
    <tableColumn id="2" xr3:uid="{B20F6D10-8025-487D-9067-BBBD62FAFD6B}" name="שיעור החשיפה ליום 31/12/2025"/>
    <tableColumn id="3" xr3:uid="{454CEAC7-7AA9-4D25-B1DB-9A13E555481F}" name="שיעור חשיפה צפוי לשנת 2026"/>
    <tableColumn id="4" xr3:uid="{6A46EEE8-E5AC-4AA0-8767-B43880B920A4}" name="_x0009_טווח סטייה" dataDxfId="125"/>
    <tableColumn id="5" xr3:uid="{DCFBE2C9-8F89-44E6-AB1C-79899F625CEF}" name="גבולות שיעור החשיפה הצפויה"/>
    <tableColumn id="6" xr3:uid="{15905C45-3075-45BD-83FB-D0F1DDBCEF1F}" name="מדד ייחוס*"/>
  </tableColumns>
  <tableStyleInfo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67A46578-A699-4F94-B319-1957369B063F}" name="TitleRegion1.b122.g130.10" displayName="TitleRegion1.b122.g130.10" ref="B123:G131" totalsRowShown="0" headerRowDxfId="124" headerRowBorderDxfId="123" tableBorderDxfId="122">
  <autoFilter ref="B123:G131" xr:uid="{67A46578-A699-4F94-B319-1957369B063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3D78798-C1B1-431B-8028-3DEC7E6F6C94}" name="אפיק השקעה "/>
    <tableColumn id="2" xr3:uid="{DCA49041-8142-48B3-B4FF-D7D454D15A96}" name="שיעור החשיפה ליום 31/12/2025"/>
    <tableColumn id="3" xr3:uid="{4EAED601-39EE-40A9-BAED-B245E3B9ABEC}" name="שיעור חשיפה צפוי לשנת 2026"/>
    <tableColumn id="4" xr3:uid="{D4E3C38C-7794-46B6-BF37-68387E9CE822}" name="_x0009_טווח סטייה" dataDxfId="121"/>
    <tableColumn id="5" xr3:uid="{A44FE9A8-A39B-4E02-939F-899CE8EE1C6B}" name="גבולות שיעור החשיפה הצפויה"/>
    <tableColumn id="6" xr3:uid="{E405B111-E84C-42FB-BD76-22728B75CDB8}" name="מדד ייחוס*" dataDxfId="120"/>
  </tableColumns>
  <tableStyleInfo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B1E1C44-0249-4318-8508-14F4EAE45DE0}" name="TitleRegion1.b133.g141.11" displayName="TitleRegion1.b133.g141.11" ref="B134:G142" totalsRowShown="0" headerRowDxfId="119" headerRowBorderDxfId="118" tableBorderDxfId="117">
  <autoFilter ref="B134:G142" xr:uid="{8B1E1C44-0249-4318-8508-14F4EAE45DE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6E8AC65-96CC-482E-827C-351282CD912B}" name="אפיק השקעה "/>
    <tableColumn id="2" xr3:uid="{B106FC2B-F070-42F6-872A-3253DBE158AD}" name="שיעור החשיפה ליום 31/12/2025"/>
    <tableColumn id="3" xr3:uid="{99D58A41-414C-4163-877F-DF1FDDE42309}" name="שיעור חשיפה צפוי לשנת 2026"/>
    <tableColumn id="4" xr3:uid="{60C1BB28-6A57-4465-AFD8-055B77827A94}" name="_x0009_טווח סטייה" dataDxfId="116"/>
    <tableColumn id="5" xr3:uid="{2C650B9B-4E30-48DF-BE3D-867174797B3B}" name="גבולות שיעור החשיפה הצפויה"/>
    <tableColumn id="6" xr3:uid="{41B19C35-69BF-4508-B144-877B0250C61E}" name="מדד ייחוס*"/>
  </tableColumns>
  <tableStyleInfo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F896117A-2A64-4845-9652-534E7B03ACCA}" name="TitleRegion1.b144.g152.12" displayName="TitleRegion1.b144.g152.12" ref="B145:G153" totalsRowShown="0" headerRowDxfId="115" headerRowBorderDxfId="114" tableBorderDxfId="113">
  <autoFilter ref="B145:G153" xr:uid="{F896117A-2A64-4845-9652-534E7B03ACC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81261C1-256E-4497-B3AE-460E26B1E50B}" name="אפיק השקעה "/>
    <tableColumn id="2" xr3:uid="{E71A22FF-6FC9-4D59-A81F-5DF3A06A2245}" name="שיעור החשיפה ליום 31/12/2025"/>
    <tableColumn id="3" xr3:uid="{15DF2AAC-4830-4A5B-95F3-5EBB70A68055}" name="שיעור חשיפה צפוי לשנת 2026"/>
    <tableColumn id="4" xr3:uid="{EFD05221-08B3-4DC2-8006-E29DA7191B33}" name="_x0009_טווח סטייה" dataDxfId="112"/>
    <tableColumn id="5" xr3:uid="{9A536AF5-519D-47F3-833D-805ED5A0B151}" name="גבולות שיעור החשיפה הצפויה"/>
    <tableColumn id="6" xr3:uid="{59627D0A-9865-4859-B1D2-78BA2591C19B}" name="מדד ייחוס*"/>
  </tableColumns>
  <tableStyleInfo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CDB9A67D-BFBE-4702-8E52-BD55BD6B705C}" name="TitleRegion1.b155.g163.13" displayName="TitleRegion1.b155.g163.13" ref="B156:G164" totalsRowShown="0" headerRowDxfId="111" headerRowBorderDxfId="110" tableBorderDxfId="109">
  <autoFilter ref="B156:G164" xr:uid="{CDB9A67D-BFBE-4702-8E52-BD55BD6B70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B0ED770-BEF2-4A55-BFAF-4BA2987CB120}" name="אפיק השקעה "/>
    <tableColumn id="2" xr3:uid="{1C251D76-CA58-40E2-A412-5BF77666D333}" name="שיעור החשיפה ליום 31/12/2025"/>
    <tableColumn id="3" xr3:uid="{EC992815-D05C-44AF-ACDE-0D5E05F503DB}" name="שיעור חשיפה צפוי לשנת 2026"/>
    <tableColumn id="4" xr3:uid="{12BFB336-6202-4C24-9BDA-3D256144199A}" name="_x0009_טווח סטייה" dataDxfId="108"/>
    <tableColumn id="5" xr3:uid="{5C96458A-4EAD-4DDC-92E4-273E65796081}" name="גבולות שיעור החשיפה הצפויה"/>
    <tableColumn id="6" xr3:uid="{D04F85FB-F92E-4688-8784-309B1B2CAEC6}" name="מדד ייחוס*"/>
  </tableColumns>
  <tableStyleInfo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49597DAA-5365-4212-884E-6754119A6B1A}" name="TitleRegion1.b166.g177.14" displayName="TitleRegion1.b166.g177.14" ref="B167:G178" totalsRowShown="0" headerRowDxfId="107" headerRowBorderDxfId="106" tableBorderDxfId="105" totalsRowBorderDxfId="104">
  <autoFilter ref="B167:G178" xr:uid="{49597DAA-5365-4212-884E-6754119A6B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FDEFE5B-CFBE-4871-8E8F-05EC4711AC38}" name="אפיק השקעה " dataDxfId="103"/>
    <tableColumn id="2" xr3:uid="{593225CF-1537-4B18-93E8-DFB27F2A5BEA}" name="שיעור החשיפה ליום 31/12/2025" dataDxfId="102"/>
    <tableColumn id="3" xr3:uid="{7FC602CF-E917-4C49-938D-58AA15D33561}" name="שיעור חשיפה צפוי לשנת 2026" dataDxfId="101"/>
    <tableColumn id="4" xr3:uid="{A3437416-6C3B-4083-9105-EE27581A5B39}" name="טווח סטיה מותר" dataDxfId="100"/>
    <tableColumn id="5" xr3:uid="{268244FA-FB57-480C-BC14-CEC1F32A6A5F}" name="גבולות שיעור החשיפה הצפויה"/>
    <tableColumn id="6" xr3:uid="{0E36A8B6-6D28-420C-BF28-9C8A571FB152}" name="מדד ייחוס*"/>
  </tableColumns>
  <tableStyleInfo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ECFD6E3-8E85-4770-B77E-7FA8EFF763DC}" name="TitleRegion1.b180.g188.15" displayName="TitleRegion1.b180.g188.15" ref="B181:G189" totalsRowShown="0" headerRowDxfId="99" headerRowBorderDxfId="98" tableBorderDxfId="97" totalsRowBorderDxfId="96">
  <autoFilter ref="B181:G189" xr:uid="{BECFD6E3-8E85-4770-B77E-7FA8EFF763D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1D6AD5F-31A2-4E50-9DEB-87DC7311EC78}" name="אפיק השקעה "/>
    <tableColumn id="2" xr3:uid="{8D33287D-7E08-4D85-80DB-2C75DB260959}" name="שיעור החשיפה ליום 31/12/2025"/>
    <tableColumn id="3" xr3:uid="{B7723A86-8A83-4AC9-A9D5-A18CB3AE38FF}" name="שיעור חשיפה צפוי לשנת 2026"/>
    <tableColumn id="4" xr3:uid="{2FD5497E-9A50-45E0-A14B-71BE030EB17D}" name="טווח סטיה מותר" dataDxfId="95"/>
    <tableColumn id="5" xr3:uid="{13BEC2E8-0BA0-4126-BC14-C0EB9DB61ECF}" name="גבולות שיעור החשיפה הצפויה"/>
    <tableColumn id="6" xr3:uid="{DF26260B-DB2B-4935-B861-90F1913CC56E}" name="מדד ייחוס*"/>
  </tableColumns>
  <tableStyleInfo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8B537C2D-1EAC-47C1-A7B2-2F89E05349FD}" name="TitleRegion1.b191.g202.16" displayName="TitleRegion1.b191.g202.16" ref="B192:G203" totalsRowShown="0" headerRowDxfId="94" headerRowBorderDxfId="93" tableBorderDxfId="92" totalsRowBorderDxfId="91">
  <autoFilter ref="B192:G203" xr:uid="{8B537C2D-1EAC-47C1-A7B2-2F89E05349F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515FAA3-34E2-437B-B411-499D8135EB01}" name="אפיק השקעה " dataDxfId="90"/>
    <tableColumn id="2" xr3:uid="{B484A428-832C-4E78-8433-9211D213D35B}" name="שיעור החשיפה ליום 31/12/2025" dataDxfId="89"/>
    <tableColumn id="3" xr3:uid="{3B7414BA-4A89-4FCF-AB27-D16B1FE2DBF4}" name="שיעור חשיפה צפוי לשנת 2026" dataDxfId="88"/>
    <tableColumn id="4" xr3:uid="{8682E55C-0093-40A4-8966-7FA1FE2E340F}" name="טווח סטיה מותר" dataDxfId="87"/>
    <tableColumn id="5" xr3:uid="{7035A2E2-E145-403A-BB97-1B82B1AC8BF1}" name="גבולות שיעור החשיפה הצפויה"/>
    <tableColumn id="6" xr3:uid="{35908752-BEE6-41A3-8695-4842490E4C9D}" name="מדד ייחוס*"/>
  </tableColumns>
  <tableStyleInfo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267C28D7-BB8B-432A-BD9B-DA5570435008}" name="TitleRegion1.i5.n16.17" displayName="TitleRegion1.i5.n16.17" ref="I6:N17" totalsRowShown="0" headerRowDxfId="86" headerRowBorderDxfId="85" tableBorderDxfId="84">
  <autoFilter ref="I6:N17" xr:uid="{267C28D7-BB8B-432A-BD9B-DA557043500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0FC8104-A5C8-4F6E-9738-2D3F7E418167}" name="אפיק השקעה " dataDxfId="83"/>
    <tableColumn id="2" xr3:uid="{26A4A51F-1B9C-494D-A543-926A72A27143}" name="שיעור החשיפה ליום 31/12/2025"/>
    <tableColumn id="3" xr3:uid="{876174EF-72F7-4D7C-84E2-B2479B06C9D8}" name="שיעור חשיפה צפוי לשנת 2026"/>
    <tableColumn id="4" xr3:uid="{E1E561F9-6602-479F-B639-AB6F12B6F2DB}" name="טווח סטיה מותר" dataDxfId="82"/>
    <tableColumn id="5" xr3:uid="{54B301DC-E84F-4407-81D3-4D848D2C86C8}" name="גבולות שיעור החשיפה הצפויה"/>
    <tableColumn id="6" xr3:uid="{B92AD694-ABEF-456A-B9FB-B6DE3CF60FD5}" name="מדד ייחוס*"/>
  </tableColumns>
  <tableStyleInfo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875C970-3DF6-4742-801C-976DF27A0714}" name="TitleRegion1.i19.n30.18" displayName="TitleRegion1.i19.n30.18" ref="I20:N31" totalsRowShown="0" headerRowDxfId="81" headerRowBorderDxfId="80" tableBorderDxfId="79">
  <autoFilter ref="I20:N31" xr:uid="{6875C970-3DF6-4742-801C-976DF27A07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148D204-E531-4075-AA57-2C3962C92C7B}" name="אפיק השקעה " dataDxfId="78"/>
    <tableColumn id="2" xr3:uid="{A2319CD8-1016-45E6-90FA-CC5D1ACB2198}" name="שיעור החשיפה ליום 31/12/2025"/>
    <tableColumn id="3" xr3:uid="{FEACF104-11DB-4BE0-AB83-B7A117716CE1}" name="שיעור חשיפה צפוי לשנת 2026"/>
    <tableColumn id="4" xr3:uid="{02DA4625-9FB6-41BB-9705-7B4EC075A60F}" name="טווח סטייה" dataDxfId="77"/>
    <tableColumn id="5" xr3:uid="{0990DFB7-FC40-4FBB-A4A2-D4A79E500D55}" name="גבולות שיעור החשיפה הצפויה"/>
    <tableColumn id="6" xr3:uid="{BC597F33-0293-4A9F-B7D3-55E1EABF8253}" name="מדד ייחוס*"/>
  </tableColumns>
  <tableStyleInfo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2DCA7DF7-4F4A-42CC-9BF3-F6BA9315A875}" name="TitleRegion1.i33.n44.19" displayName="TitleRegion1.i33.n44.19" ref="I34:N45" totalsRowShown="0" headerRowDxfId="76" headerRowBorderDxfId="75" tableBorderDxfId="74">
  <autoFilter ref="I34:N45" xr:uid="{2DCA7DF7-4F4A-42CC-9BF3-F6BA9315A87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D4B2D48-50EB-4528-8C85-C3BC181FA0A0}" name="אפיק השקעה " dataDxfId="73"/>
    <tableColumn id="2" xr3:uid="{D6872566-8E81-4FE8-91D6-7C0AC4E3E30F}" name="שיעור החשיפה ליום 31/12/2025"/>
    <tableColumn id="3" xr3:uid="{AA3A23E0-39AC-4DA6-B659-D79455003B71}" name="שיעור חשיפה צפוי לשנת 2026"/>
    <tableColumn id="4" xr3:uid="{686ED481-04E1-4D4D-B395-E057870D805E}" name="טווח סטייה" dataDxfId="72"/>
    <tableColumn id="5" xr3:uid="{AE57673D-522F-43E0-916E-12C7DB448B4A}" name="גבולות שיעור החשיפה הצפויה"/>
    <tableColumn id="6" xr3:uid="{040893C0-B82A-404D-87A2-6E0BC690F38D}" name="מדד ייחוס*"/>
  </tableColumns>
  <tableStyleInfo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35045678-7E1B-4076-B207-6E9D1F55C9B8}" name="TitleRegion1.i47.n58.20" displayName="TitleRegion1.i47.n58.20" ref="I48:N59" totalsRowShown="0" headerRowDxfId="71" headerRowBorderDxfId="70" tableBorderDxfId="69">
  <autoFilter ref="I48:N59" xr:uid="{35045678-7E1B-4076-B207-6E9D1F55C9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C0F2A8F-BB6C-425E-ABAE-04795FC1B9A7}" name="אפיק השקעה " dataDxfId="68"/>
    <tableColumn id="2" xr3:uid="{F43754F0-1C9B-458F-880A-0D15F9BC8436}" name="שיעור החשיפה ליום 31/12/2025"/>
    <tableColumn id="3" xr3:uid="{603B4671-F74E-4065-9A7C-CDB3639FA156}" name="שיעור חשיפה צפוי לשנת 2026"/>
    <tableColumn id="4" xr3:uid="{B8A1BC3C-7142-473C-A60C-ED60CBBFDA1D}" name="טווח סטייה" dataDxfId="67"/>
    <tableColumn id="5" xr3:uid="{66BD916D-297B-43FA-9491-63066E4776E3}" name="גבולות שיעור החשיפה הצפויה"/>
    <tableColumn id="6" xr3:uid="{CDB89B81-EAFF-4ECC-B4B7-97098698ACE5}" name="מדד ייחוס*"/>
  </tableColumns>
  <tableStyleInfo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97B4EDBB-68F3-4719-8F27-4539CE18A711}" name="TitleRegion1.i61.n72.21" displayName="TitleRegion1.i61.n72.21" ref="I62:N73" totalsRowShown="0" headerRowDxfId="66" headerRowBorderDxfId="65" tableBorderDxfId="64">
  <autoFilter ref="I62:N73" xr:uid="{97B4EDBB-68F3-4719-8F27-4539CE18A71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87C3D643-3D99-4197-8506-273F6A934517}" name="אפיק השקעה " dataDxfId="63"/>
    <tableColumn id="2" xr3:uid="{16B9232A-B59A-478F-8500-715E6A70A43C}" name="שיעור החשיפה ליום 31/12/2025"/>
    <tableColumn id="3" xr3:uid="{1BB791DD-8501-4D63-AC83-CB65D82B43D7}" name="שיעור חשיפה צפוי לשנת 2026"/>
    <tableColumn id="4" xr3:uid="{0C211D9B-1A7D-407A-A0BC-A2A812ED09B8}" name="_x0009_טווח סטייה" dataDxfId="62"/>
    <tableColumn id="5" xr3:uid="{D55A83F5-65FF-4597-85B2-1146A797DAE7}" name="גבולות שיעור החשיפה הצפויה"/>
    <tableColumn id="6" xr3:uid="{1E29842F-A14B-4535-AECD-261FBBEC317C}" name="מדד ייחוס*"/>
  </tableColumns>
  <tableStyleInfo showFirstColumn="1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D4E878AB-2A1E-45CB-84D2-2A7482E57D7A}" name="TitleRegion1.i75.n86.22" displayName="TitleRegion1.i75.n86.22" ref="I76:N87" totalsRowShown="0" headerRowDxfId="61" headerRowBorderDxfId="60" tableBorderDxfId="59">
  <autoFilter ref="I76:N87" xr:uid="{D4E878AB-2A1E-45CB-84D2-2A7482E57D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BD0002DA-C510-4400-A421-F375E20A761D}" name="אפיק השקעה " dataDxfId="58"/>
    <tableColumn id="2" xr3:uid="{1C289839-5594-4D01-A52C-876B6247F2CD}" name="שיעור החשיפה ליום 31/12/2025"/>
    <tableColumn id="3" xr3:uid="{6DDF164C-F63A-4B03-A41B-0C9166254FC9}" name="שיעור חשיפה צפוי לשנת 2026"/>
    <tableColumn id="4" xr3:uid="{F8128EC6-ED26-4603-9505-8BAA01DD9867}" name="_x0009_טווח סטייה" dataDxfId="57"/>
    <tableColumn id="5" xr3:uid="{10002968-6565-4B5A-8CA9-8F4C9CC83792}" name="גבולות שיעור החשיפה הצפויה"/>
    <tableColumn id="6" xr3:uid="{215B207A-2452-414F-8F17-B53D7832198A}" name="מדד ייחוס*"/>
  </tableColumns>
  <tableStyleInfo showFirstColumn="1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2932F37B-9A16-4F3C-8A6A-66A943A0AF4F}" name="TitleRegion1.i89.n97.23" displayName="TitleRegion1.i89.n97.23" ref="I90:N98" totalsRowShown="0" headerRowDxfId="56" headerRowBorderDxfId="55" tableBorderDxfId="54">
  <autoFilter ref="I90:N98" xr:uid="{2932F37B-9A16-4F3C-8A6A-66A943A0AF4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171C7E6C-88C7-49CC-AA0B-4D669679A251}" name="אפיק השקעה " dataDxfId="53"/>
    <tableColumn id="2" xr3:uid="{9A7E46E5-CF4E-42F5-AC51-704C4525A230}" name="שיעור החשיפה ליום 31/12/2025"/>
    <tableColumn id="3" xr3:uid="{038A432E-B37A-4A70-8C56-AEE5B80C6A1C}" name="שיעור חשיפה צפוי לשנת 2026"/>
    <tableColumn id="4" xr3:uid="{DF1DA4A0-DD01-4FEA-9DAA-F758C89D1D29}" name="_x0009_טווח סטייה" dataDxfId="52"/>
    <tableColumn id="5" xr3:uid="{82078928-BA9E-4980-B813-61147A931AC7}" name="גבולות שיעור החשיפה הצפויה"/>
    <tableColumn id="6" xr3:uid="{2FF1D490-398D-46E7-84A8-FD4AD9F69C50}" name="מדד ייחוס*"/>
  </tableColumns>
  <tableStyleInfo showFirstColumn="1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D8DBB4E7-76DB-40AA-86FA-D01589FC6992}" name="TitleRegion1.i100.n108.24" displayName="TitleRegion1.i100.n108.24" ref="I101:N109" totalsRowShown="0" headerRowDxfId="51" headerRowBorderDxfId="50" tableBorderDxfId="49">
  <autoFilter ref="I101:N109" xr:uid="{D8DBB4E7-76DB-40AA-86FA-D01589FC699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44DBFBD-A306-4023-9525-D7622ECE2371}" name="אפיק השקעה " dataDxfId="48"/>
    <tableColumn id="2" xr3:uid="{B1C06CC1-AF65-4401-A165-23902966C839}" name="שיעור החשיפה ליום 31/12/2025"/>
    <tableColumn id="3" xr3:uid="{177EA9C5-87B7-43BB-9C42-BCBD77C378D0}" name="שיעור חשיפה צפוי לשנת 2026"/>
    <tableColumn id="4" xr3:uid="{C8496EA5-97D4-43CF-885D-51A1CF8398CA}" name="_x0009_טווח סטייה" dataDxfId="47"/>
    <tableColumn id="5" xr3:uid="{7E6295B8-D8BE-4921-A0EC-40901F52A64E}" name="גבולות שיעור החשיפה הצפויה"/>
    <tableColumn id="6" xr3:uid="{6139FBEE-ACC7-495B-896F-E6089B31E3DD}" name="מדד ייחוס*"/>
  </tableColumns>
  <tableStyleInfo showFirstColumn="1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EE2D9505-717D-4E62-9D91-C41C0C8D3EC2}" name="TitleRegion1.i111.n119.25" displayName="TitleRegion1.i111.n119.25" ref="I112:N120" totalsRowShown="0" headerRowDxfId="46" headerRowBorderDxfId="45" tableBorderDxfId="44">
  <autoFilter ref="I112:N120" xr:uid="{EE2D9505-717D-4E62-9D91-C41C0C8D3E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6493A72E-F5B8-485C-BD2E-555ECE3F19B4}" name="אפיק השקעה " dataDxfId="43"/>
    <tableColumn id="2" xr3:uid="{C6001B74-6C61-48AE-8C05-D7E0C3F4411F}" name="שיעור החשיפה ליום 31/12/2025"/>
    <tableColumn id="3" xr3:uid="{46B12926-C5FF-4C80-A009-4616429A41FE}" name="שיעור חשיפה צפוי לשנת 2026"/>
    <tableColumn id="4" xr3:uid="{1BE22B71-0D18-4987-950B-876E23F84483}" name="_x0009_טווח סטייה" dataDxfId="42"/>
    <tableColumn id="5" xr3:uid="{B1B11074-7183-4CAF-93E0-129C77A6A663}" name="גבולות שיעור החשיפה הצפויה"/>
    <tableColumn id="6" xr3:uid="{8E69A0D9-0CFC-47F4-AE62-48C40393FE79}" name="מדד ייחוס*"/>
  </tableColumns>
  <tableStyleInfo showFirstColumn="1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5AAF4498-7FE0-4240-A8C6-05BAAAA8C1F9}" name="TitleRegion1.i122.n130.26" displayName="TitleRegion1.i122.n130.26" ref="I123:N131" totalsRowShown="0" headerRowDxfId="41" headerRowBorderDxfId="40" tableBorderDxfId="39">
  <autoFilter ref="I123:N131" xr:uid="{5AAF4498-7FE0-4240-A8C6-05BAAAA8C1F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98588FE9-A488-4F27-B9E5-9839ADFC20D7}" name="אפיק השקעה " dataDxfId="38"/>
    <tableColumn id="2" xr3:uid="{BBB563D8-02DD-4DC7-8563-34A77E9213C0}" name="שיעור החשיפה ליום 31/12/2025"/>
    <tableColumn id="3" xr3:uid="{1A050030-5EC9-4554-B6B5-7CFB89C4C35E}" name="שיעור חשיפה צפוי לשנת 2026"/>
    <tableColumn id="4" xr3:uid="{D145A693-B11E-43B4-9999-75E4D0A3AB7A}" name="_x0009_טווח סטייה" dataDxfId="37"/>
    <tableColumn id="5" xr3:uid="{266B2467-E4E1-4585-8378-22616D70DF68}" name="גבולות שיעור החשיפה הצפויה"/>
    <tableColumn id="6" xr3:uid="{DC408FEF-B502-464B-9264-3D9733C54E08}" name="מדד ייחוס*" dataDxfId="36"/>
  </tableColumns>
  <tableStyleInfo showFirstColumn="1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EED93187-09A9-4E20-ACE8-3A74120FA48F}" name="TitleRegion1.i133.n141.27" displayName="TitleRegion1.i133.n141.27" ref="I134:N142" totalsRowShown="0" headerRowDxfId="35" headerRowBorderDxfId="34" tableBorderDxfId="33">
  <autoFilter ref="I134:N142" xr:uid="{EED93187-09A9-4E20-ACE8-3A74120FA48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55DF8B7-0A74-4BD4-9213-91FCE1F11E04}" name="אפיק השקעה " dataDxfId="32"/>
    <tableColumn id="2" xr3:uid="{A024AE0B-5CDE-4036-897E-F210C7F19533}" name="שיעור החשיפה ליום 31/12/2025"/>
    <tableColumn id="3" xr3:uid="{8A693AAA-1446-45B1-B47C-CB38A3DE4A72}" name="שיעור חשיפה צפוי לשנת 2026"/>
    <tableColumn id="4" xr3:uid="{BFFAE53A-7AE8-4DDD-9177-09A7F5698538}" name="_x0009_טווח סטייה" dataDxfId="31"/>
    <tableColumn id="5" xr3:uid="{256EDE08-B785-4AF2-9AEE-3E70ABB202DD}" name="גבולות שיעור החשיפה הצפויה"/>
    <tableColumn id="6" xr3:uid="{DBA5548E-7E15-4B01-9680-711C4DFC8015}" name="מדד ייחוס*"/>
  </tableColumns>
  <tableStyleInfo showFirstColumn="1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3666A77-79C1-4790-9911-3B7415F3C76D}" name="TitleRegion1.i144.n152.28" displayName="TitleRegion1.i144.n152.28" ref="I145:N153" totalsRowShown="0" headerRowDxfId="30" headerRowBorderDxfId="29" tableBorderDxfId="28">
  <autoFilter ref="I145:N153" xr:uid="{C3666A77-79C1-4790-9911-3B7415F3C76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EC18169-56A7-40B1-8F71-125A95787C57}" name="אפיק השקעה "/>
    <tableColumn id="2" xr3:uid="{DAEE9B5A-A4AF-43FC-AEA9-25F6F9EC277D}" name="שיעור החשיפה ליום 31/12/2025"/>
    <tableColumn id="3" xr3:uid="{87165686-660D-4BDB-8873-D1354AF97D09}" name="שיעור חשיפה צפוי לשנת 2026"/>
    <tableColumn id="4" xr3:uid="{6E736483-5452-427D-AA99-5FE45C765F56}" name="_x0009_טווח סטייה"/>
    <tableColumn id="5" xr3:uid="{F580ABFB-689B-42B1-AFE7-264822A5BC60}" name="גבולות שיעור החשיפה הצפויה"/>
    <tableColumn id="6" xr3:uid="{C0C3505E-89FA-49F6-AF31-5A20A60BC44C}" name="מדד ייחוס*"/>
  </tableColumns>
  <tableStyleInfo showFirstColumn="1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A7561256-B6B5-4DB0-BB6C-D03A2831B514}" name="TitleRegion1.i155.n163.29" displayName="TitleRegion1.i155.n163.29" ref="I156:N164" totalsRowShown="0" headerRowDxfId="27" headerRowBorderDxfId="26" tableBorderDxfId="25">
  <autoFilter ref="I156:N164" xr:uid="{A7561256-B6B5-4DB0-BB6C-D03A2831B5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E905CDA6-24D7-4AC0-AD4C-C754E77C9ED3}" name="אפיק השקעה " dataDxfId="24"/>
    <tableColumn id="2" xr3:uid="{3C6E76ED-A807-4B08-8729-8E119D92B74C}" name="שיעור החשיפה ליום 31/12/2025"/>
    <tableColumn id="3" xr3:uid="{7E1BBBBD-9CDF-4554-8E4C-0F44C6839EBF}" name="שיעור חשיפה צפוי לשנת 2026"/>
    <tableColumn id="4" xr3:uid="{5981A980-3A2E-47D1-A353-B1DC06AB7BA2}" name="_x0009_טווח סטייה" dataDxfId="23"/>
    <tableColumn id="5" xr3:uid="{99D2560B-17A8-4836-907D-994672BCCCA7}" name="גבולות שיעור החשיפה הצפויה"/>
    <tableColumn id="6" xr3:uid="{01D6A590-57D6-4D25-9895-7CCA451C7FC3}" name="מדד ייחוס*"/>
  </tableColumns>
  <tableStyleInfo showFirstColumn="1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5962FDF-14ED-4C29-A37E-C1520C8E6920}" name="TitleRegion1.i166.n177.30" displayName="TitleRegion1.i166.n177.30" ref="I167:N178" totalsRowShown="0" headerRowDxfId="22" headerRowBorderDxfId="21" tableBorderDxfId="20" totalsRowBorderDxfId="19">
  <autoFilter ref="I167:N178" xr:uid="{05962FDF-14ED-4C29-A37E-C1520C8E69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D260C83-8831-46BE-BA50-64A95A7DA7D8}" name="אפיק השקעה " dataDxfId="18"/>
    <tableColumn id="2" xr3:uid="{0422052C-21B4-44BF-B0A8-629AC0F508B0}" name="שיעור החשיפה ליום 31/12/2025" dataDxfId="17"/>
    <tableColumn id="3" xr3:uid="{0933945C-59CD-434A-BBCC-4FDEE012504D}" name="שיעור חשיפה צפוי לשנת 2026" dataDxfId="16"/>
    <tableColumn id="4" xr3:uid="{7CB464F5-FA47-4823-8BC0-FA2BAB6C4595}" name="טווח סטיה מותר" dataDxfId="15"/>
    <tableColumn id="5" xr3:uid="{D6BC42E7-6633-4DC9-A846-414355E12310}" name="גבולות שיעור החשיפה הצפויה"/>
    <tableColumn id="6" xr3:uid="{45A133CC-7456-4A7E-9C73-D6E90EF3115D}" name="מדד ייחוס*"/>
  </tableColumns>
  <tableStyleInfo showFirstColumn="1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EFE51DD3-04B3-4108-91A3-19DA148BE809}" name="TitleRegion1.i180.n188.31" displayName="TitleRegion1.i180.n188.31" ref="I181:N189" totalsRowShown="0" headerRowDxfId="14" headerRowBorderDxfId="13" tableBorderDxfId="12" totalsRowBorderDxfId="11">
  <autoFilter ref="I181:N189" xr:uid="{EFE51DD3-04B3-4108-91A3-19DA148BE80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307C4673-769A-4514-B89A-E631580A4273}" name="אפיק השקעה " dataDxfId="10"/>
    <tableColumn id="2" xr3:uid="{D2B12EE6-863E-42C6-ADEB-AC03DC04D80A}" name="שיעור החשיפה ליום 31/12/2025" dataDxfId="9"/>
    <tableColumn id="3" xr3:uid="{E1B1EA8B-6E10-40B2-A8FB-CE9190B2F82F}" name="שיעור חשיפה צפוי לשנת 2026"/>
    <tableColumn id="4" xr3:uid="{7856F4EA-FA92-453D-9CD1-F934E4039B20}" name="טווח סטיה מותר" dataDxfId="8"/>
    <tableColumn id="5" xr3:uid="{65F42FFB-EA69-460B-B7DB-EBD9E7874B8C}" name="גבולות שיעור החשיפה הצפויה"/>
    <tableColumn id="6" xr3:uid="{3B82F6F8-A393-4E1A-A36C-D5E2CE3C2B0C}" name="מדד ייחוס*"/>
  </tableColumns>
  <tableStyleInfo showFirstColumn="1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227F48C-4BC9-4842-993B-DFAA08212CEA}" name="TitleRegion1.i191.n202.32" displayName="TitleRegion1.i191.n202.32" ref="I192:N203" totalsRowShown="0" headerRowDxfId="7" headerRowBorderDxfId="6" tableBorderDxfId="5" totalsRowBorderDxfId="4">
  <autoFilter ref="I192:N203" xr:uid="{A227F48C-4BC9-4842-993B-DFAA08212C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656591F-CBD4-4236-A2F0-07ED31FA1603}" name="אפיק השקעה " dataDxfId="3"/>
    <tableColumn id="2" xr3:uid="{3A0057BA-CCAE-46DD-AB68-448418ABB293}" name="שיעור החשיפה ליום 31/12/2025" dataDxfId="2"/>
    <tableColumn id="3" xr3:uid="{7A227BD1-53E5-4B76-BC51-07A46EC84205}" name="שיעור חשיפה צפוי לשנת 2026" dataDxfId="1"/>
    <tableColumn id="4" xr3:uid="{9C1DF566-AE10-428B-A4A1-295DF48D31D7}" name="טווח סטיה מותר" dataDxfId="0"/>
    <tableColumn id="5" xr3:uid="{F34979A5-950D-4A0E-8135-387159CB67D4}" name="גבולות שיעור החשיפה הצפויה"/>
    <tableColumn id="6" xr3:uid="{6E2D2FEF-6B0A-4EA8-A3EA-B226F5D95B23}" name="מדד ייחוס*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3" Type="http://schemas.openxmlformats.org/officeDocument/2006/relationships/table" Target="../tables/table1.xml"/><Relationship Id="rId21" Type="http://schemas.openxmlformats.org/officeDocument/2006/relationships/table" Target="../tables/table19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34.xml"/><Relationship Id="rId18" Type="http://schemas.openxmlformats.org/officeDocument/2006/relationships/table" Target="../tables/table39.xml"/><Relationship Id="rId26" Type="http://schemas.openxmlformats.org/officeDocument/2006/relationships/table" Target="../tables/table47.xml"/><Relationship Id="rId3" Type="http://schemas.openxmlformats.org/officeDocument/2006/relationships/printerSettings" Target="../printerSettings/printerSettings1.bin"/><Relationship Id="rId21" Type="http://schemas.openxmlformats.org/officeDocument/2006/relationships/table" Target="../tables/table42.xml"/><Relationship Id="rId34" Type="http://schemas.openxmlformats.org/officeDocument/2006/relationships/table" Target="../tables/table55.xml"/><Relationship Id="rId7" Type="http://schemas.openxmlformats.org/officeDocument/2006/relationships/table" Target="../tables/table28.xml"/><Relationship Id="rId12" Type="http://schemas.openxmlformats.org/officeDocument/2006/relationships/table" Target="../tables/table33.xml"/><Relationship Id="rId17" Type="http://schemas.openxmlformats.org/officeDocument/2006/relationships/table" Target="../tables/table38.xml"/><Relationship Id="rId25" Type="http://schemas.openxmlformats.org/officeDocument/2006/relationships/table" Target="../tables/table46.xml"/><Relationship Id="rId33" Type="http://schemas.openxmlformats.org/officeDocument/2006/relationships/table" Target="../tables/table54.xml"/><Relationship Id="rId2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16" Type="http://schemas.openxmlformats.org/officeDocument/2006/relationships/table" Target="../tables/table37.xml"/><Relationship Id="rId20" Type="http://schemas.openxmlformats.org/officeDocument/2006/relationships/table" Target="../tables/table41.xml"/><Relationship Id="rId29" Type="http://schemas.openxmlformats.org/officeDocument/2006/relationships/table" Target="../tables/table50.xml"/><Relationship Id="rId1" Type="http://schemas.openxmlformats.org/officeDocument/2006/relationships/hyperlink" Target="https://www.moreinvest.co.il/media/5jfhbei0/res_%D7%9E%D7%93%D7%99%D7%A0%D7%99%D7%95%D7%AA-%D7%94%D7%A9%D7%AA%D7%AA%D7%A4%D7%95%D7%AA-%D7%91%D7%90%D7%A1%D7%99%D7%A4%D7%95%D7%AA-%D7%9B%D7%9C%D7%9C%D7%99%D7%95%D7%AA-15-8-2023-1.pdf" TargetMode="External"/><Relationship Id="rId6" Type="http://schemas.openxmlformats.org/officeDocument/2006/relationships/table" Target="../tables/table27.xml"/><Relationship Id="rId11" Type="http://schemas.openxmlformats.org/officeDocument/2006/relationships/table" Target="../tables/table32.xml"/><Relationship Id="rId24" Type="http://schemas.openxmlformats.org/officeDocument/2006/relationships/table" Target="../tables/table45.xml"/><Relationship Id="rId32" Type="http://schemas.openxmlformats.org/officeDocument/2006/relationships/table" Target="../tables/table53.xml"/><Relationship Id="rId5" Type="http://schemas.openxmlformats.org/officeDocument/2006/relationships/table" Target="../tables/table26.xml"/><Relationship Id="rId15" Type="http://schemas.openxmlformats.org/officeDocument/2006/relationships/table" Target="../tables/table36.xml"/><Relationship Id="rId23" Type="http://schemas.openxmlformats.org/officeDocument/2006/relationships/table" Target="../tables/table44.xml"/><Relationship Id="rId28" Type="http://schemas.openxmlformats.org/officeDocument/2006/relationships/table" Target="../tables/table49.xml"/><Relationship Id="rId36" Type="http://schemas.openxmlformats.org/officeDocument/2006/relationships/table" Target="../tables/table57.xml"/><Relationship Id="rId10" Type="http://schemas.openxmlformats.org/officeDocument/2006/relationships/table" Target="../tables/table31.xml"/><Relationship Id="rId19" Type="http://schemas.openxmlformats.org/officeDocument/2006/relationships/table" Target="../tables/table40.xml"/><Relationship Id="rId31" Type="http://schemas.openxmlformats.org/officeDocument/2006/relationships/table" Target="../tables/table52.xml"/><Relationship Id="rId4" Type="http://schemas.openxmlformats.org/officeDocument/2006/relationships/drawing" Target="../drawings/drawing2.xml"/><Relationship Id="rId9" Type="http://schemas.openxmlformats.org/officeDocument/2006/relationships/table" Target="../tables/table30.xml"/><Relationship Id="rId14" Type="http://schemas.openxmlformats.org/officeDocument/2006/relationships/table" Target="../tables/table35.xml"/><Relationship Id="rId22" Type="http://schemas.openxmlformats.org/officeDocument/2006/relationships/table" Target="../tables/table43.xml"/><Relationship Id="rId27" Type="http://schemas.openxmlformats.org/officeDocument/2006/relationships/table" Target="../tables/table48.xml"/><Relationship Id="rId30" Type="http://schemas.openxmlformats.org/officeDocument/2006/relationships/table" Target="../tables/table51.xml"/><Relationship Id="rId35" Type="http://schemas.openxmlformats.org/officeDocument/2006/relationships/table" Target="../tables/table56.xml"/><Relationship Id="rId8" Type="http://schemas.openxmlformats.org/officeDocument/2006/relationships/table" Target="../tables/table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CDA-7915-4348-97BF-B3221B9E8115}">
  <sheetPr>
    <tabColor rgb="FF305598"/>
  </sheetPr>
  <dimension ref="A1:P10012"/>
  <sheetViews>
    <sheetView rightToLeft="1" zoomScale="55" zoomScaleNormal="55" workbookViewId="0"/>
  </sheetViews>
  <sheetFormatPr defaultColWidth="9" defaultRowHeight="14.25"/>
  <cols>
    <col min="1" max="1" width="107.125" style="92" customWidth="1"/>
    <col min="2" max="2" width="33.75" style="94" customWidth="1"/>
    <col min="3" max="3" width="38.875" style="94" customWidth="1"/>
    <col min="4" max="4" width="40.25" style="94" customWidth="1"/>
    <col min="5" max="5" width="38.375" style="92" customWidth="1"/>
    <col min="6" max="6" width="28.125" style="92" customWidth="1"/>
    <col min="7" max="7" width="16.875" style="95" customWidth="1"/>
    <col min="8" max="8" width="29" style="92" customWidth="1"/>
    <col min="9" max="9" width="24.125" style="96" customWidth="1"/>
    <col min="10" max="16384" width="9" style="92"/>
  </cols>
  <sheetData>
    <row r="1" spans="1:9" ht="20.25" thickBot="1">
      <c r="A1" s="245" t="s">
        <v>263</v>
      </c>
    </row>
    <row r="2" spans="1:9" ht="21" thickTop="1" thickBot="1">
      <c r="A2" s="245" t="s">
        <v>226</v>
      </c>
    </row>
    <row r="3" spans="1:9" ht="15" thickTop="1">
      <c r="A3" s="229" t="s">
        <v>247</v>
      </c>
    </row>
    <row r="4" spans="1:9" ht="62.85" customHeight="1">
      <c r="A4" s="263" t="s">
        <v>226</v>
      </c>
      <c r="B4" s="263"/>
      <c r="C4" s="263"/>
      <c r="D4" s="263"/>
      <c r="E4" s="263"/>
      <c r="F4" s="263"/>
      <c r="G4" s="87"/>
      <c r="H4" s="14"/>
      <c r="I4" s="163"/>
    </row>
    <row r="5" spans="1:9" ht="23.25">
      <c r="A5" s="22" t="s">
        <v>37</v>
      </c>
      <c r="B5" s="32" t="s">
        <v>33</v>
      </c>
      <c r="C5" s="36"/>
      <c r="D5" s="36"/>
      <c r="E5" s="33"/>
      <c r="F5" s="34"/>
      <c r="G5" s="88"/>
      <c r="H5" s="33"/>
      <c r="I5" s="39"/>
    </row>
    <row r="6" spans="1:9" ht="15.75">
      <c r="A6" s="23"/>
      <c r="B6" s="248" t="s">
        <v>0</v>
      </c>
      <c r="C6" s="105" t="s">
        <v>187</v>
      </c>
      <c r="D6" s="105" t="s">
        <v>188</v>
      </c>
      <c r="E6" s="247" t="s">
        <v>220</v>
      </c>
      <c r="F6" s="247" t="s">
        <v>198</v>
      </c>
      <c r="G6" s="13" t="s">
        <v>30</v>
      </c>
      <c r="H6" s="13" t="s">
        <v>20</v>
      </c>
      <c r="I6" s="13" t="s">
        <v>35</v>
      </c>
    </row>
    <row r="7" spans="1:9" ht="57">
      <c r="A7" s="25"/>
      <c r="B7" s="215" t="s">
        <v>138</v>
      </c>
      <c r="C7" s="106" t="s">
        <v>187</v>
      </c>
      <c r="D7" s="106" t="s">
        <v>187</v>
      </c>
      <c r="E7" s="3">
        <v>0.50090000000000001</v>
      </c>
      <c r="F7" s="5">
        <v>0.49</v>
      </c>
      <c r="G7" s="175" t="s">
        <v>4</v>
      </c>
      <c r="H7" s="7" t="s">
        <v>241</v>
      </c>
      <c r="I7" s="176" t="s">
        <v>218</v>
      </c>
    </row>
    <row r="8" spans="1:9">
      <c r="A8" s="24"/>
      <c r="B8" s="215" t="s">
        <v>2</v>
      </c>
      <c r="C8" s="107" t="s">
        <v>187</v>
      </c>
      <c r="D8" s="107" t="s">
        <v>187</v>
      </c>
      <c r="E8" s="3">
        <v>0.2044</v>
      </c>
      <c r="F8" s="3">
        <v>0.22</v>
      </c>
      <c r="G8" s="177" t="s">
        <v>3</v>
      </c>
      <c r="H8" s="4" t="s">
        <v>201</v>
      </c>
      <c r="I8" s="101" t="s">
        <v>14</v>
      </c>
    </row>
    <row r="9" spans="1:9">
      <c r="A9" s="25"/>
      <c r="B9" s="216" t="s">
        <v>137</v>
      </c>
      <c r="C9" s="106" t="s">
        <v>187</v>
      </c>
      <c r="D9" s="106" t="s">
        <v>187</v>
      </c>
      <c r="E9" s="3">
        <v>0.20710000000000001</v>
      </c>
      <c r="F9" s="3">
        <v>0.22</v>
      </c>
      <c r="G9" s="177" t="s">
        <v>4</v>
      </c>
      <c r="H9" s="4" t="s">
        <v>53</v>
      </c>
      <c r="I9" s="101" t="s">
        <v>15</v>
      </c>
    </row>
    <row r="10" spans="1:9" ht="28.5">
      <c r="A10" s="25"/>
      <c r="B10" s="215" t="s">
        <v>9</v>
      </c>
      <c r="C10" s="107" t="s">
        <v>187</v>
      </c>
      <c r="D10" s="107" t="s">
        <v>187</v>
      </c>
      <c r="E10" s="3">
        <v>9.9900000000000003E-2</v>
      </c>
      <c r="F10" s="3">
        <v>0.1</v>
      </c>
      <c r="G10" s="178" t="s">
        <v>3</v>
      </c>
      <c r="H10" s="4" t="s">
        <v>49</v>
      </c>
      <c r="I10" s="101" t="s">
        <v>16</v>
      </c>
    </row>
    <row r="11" spans="1:9">
      <c r="A11" s="25"/>
      <c r="B11" s="215" t="s">
        <v>10</v>
      </c>
      <c r="C11" s="107" t="s">
        <v>187</v>
      </c>
      <c r="D11" s="107" t="s">
        <v>187</v>
      </c>
      <c r="E11" s="3">
        <v>3.2800000000000003E-2</v>
      </c>
      <c r="F11" s="3">
        <v>7.0000000000000007E-2</v>
      </c>
      <c r="G11" s="178" t="s">
        <v>3</v>
      </c>
      <c r="H11" s="4" t="s">
        <v>50</v>
      </c>
      <c r="I11" s="101" t="s">
        <v>17</v>
      </c>
    </row>
    <row r="12" spans="1:9">
      <c r="A12" s="25"/>
      <c r="B12" s="215" t="s">
        <v>11</v>
      </c>
      <c r="C12" s="107" t="s">
        <v>187</v>
      </c>
      <c r="D12" s="107" t="s">
        <v>187</v>
      </c>
      <c r="E12" s="3">
        <v>7.0699999999999999E-2</v>
      </c>
      <c r="F12" s="3">
        <v>0.05</v>
      </c>
      <c r="G12" s="178" t="s">
        <v>3</v>
      </c>
      <c r="H12" s="4" t="s">
        <v>51</v>
      </c>
      <c r="I12" s="101" t="s">
        <v>18</v>
      </c>
    </row>
    <row r="13" spans="1:9">
      <c r="A13" s="25"/>
      <c r="B13" s="215" t="s">
        <v>21</v>
      </c>
      <c r="C13" s="107" t="s">
        <v>187</v>
      </c>
      <c r="D13" s="107" t="s">
        <v>187</v>
      </c>
      <c r="E13" s="3">
        <v>0</v>
      </c>
      <c r="F13" s="3">
        <v>0.05</v>
      </c>
      <c r="G13" s="178" t="s">
        <v>3</v>
      </c>
      <c r="H13" s="4" t="s">
        <v>51</v>
      </c>
      <c r="I13" s="101" t="s">
        <v>18</v>
      </c>
    </row>
    <row r="14" spans="1:9">
      <c r="A14" s="25"/>
      <c r="B14" s="215" t="s">
        <v>12</v>
      </c>
      <c r="C14" s="107" t="s">
        <v>187</v>
      </c>
      <c r="D14" s="107" t="s">
        <v>187</v>
      </c>
      <c r="E14" s="246">
        <v>0.17960000000000001</v>
      </c>
      <c r="F14" s="3">
        <v>0.15</v>
      </c>
      <c r="G14" s="177" t="s">
        <v>3</v>
      </c>
      <c r="H14" s="4" t="s">
        <v>52</v>
      </c>
      <c r="I14" s="4" t="s">
        <v>18</v>
      </c>
    </row>
    <row r="15" spans="1:9">
      <c r="A15" s="25"/>
      <c r="B15" s="215" t="s">
        <v>13</v>
      </c>
      <c r="C15" s="107" t="s">
        <v>187</v>
      </c>
      <c r="D15" s="107" t="s">
        <v>187</v>
      </c>
      <c r="E15" s="3">
        <v>2.12E-2</v>
      </c>
      <c r="F15" s="3">
        <v>0.05</v>
      </c>
      <c r="G15" s="177" t="s">
        <v>3</v>
      </c>
      <c r="H15" s="179" t="s">
        <v>51</v>
      </c>
      <c r="I15" s="111" t="s">
        <v>187</v>
      </c>
    </row>
    <row r="16" spans="1:9" ht="15">
      <c r="A16" s="25"/>
      <c r="B16" s="217" t="s">
        <v>5</v>
      </c>
      <c r="C16" s="108" t="s">
        <v>187</v>
      </c>
      <c r="D16" s="108" t="s">
        <v>187</v>
      </c>
      <c r="E16" s="97">
        <f>SUM(E7:E15)</f>
        <v>1.3166000000000002</v>
      </c>
      <c r="F16" s="97">
        <f>SUM(F7:F15)</f>
        <v>1.4000000000000001</v>
      </c>
      <c r="G16" s="214" t="s">
        <v>187</v>
      </c>
      <c r="H16" s="180" t="s">
        <v>187</v>
      </c>
      <c r="I16" s="180" t="s">
        <v>187</v>
      </c>
    </row>
    <row r="17" spans="1:9">
      <c r="A17" s="25"/>
      <c r="B17" s="215" t="s">
        <v>6</v>
      </c>
      <c r="C17" s="107" t="s">
        <v>187</v>
      </c>
      <c r="D17" s="107" t="s">
        <v>187</v>
      </c>
      <c r="E17" s="11">
        <v>0.1918</v>
      </c>
      <c r="F17" s="11">
        <v>0.18</v>
      </c>
      <c r="G17" s="177" t="s">
        <v>4</v>
      </c>
      <c r="H17" s="4" t="s">
        <v>203</v>
      </c>
      <c r="I17" s="101" t="s">
        <v>19</v>
      </c>
    </row>
    <row r="18" spans="1:9" ht="15">
      <c r="A18" s="25"/>
      <c r="B18" s="217" t="s">
        <v>225</v>
      </c>
      <c r="C18" s="108" t="s">
        <v>187</v>
      </c>
      <c r="D18" s="108" t="s">
        <v>187</v>
      </c>
      <c r="E18" s="12">
        <v>2.5999999999999999E-3</v>
      </c>
      <c r="F18" s="140" t="s">
        <v>187</v>
      </c>
      <c r="G18" s="129" t="s">
        <v>187</v>
      </c>
      <c r="H18" s="129" t="s">
        <v>187</v>
      </c>
      <c r="I18" s="164" t="s">
        <v>187</v>
      </c>
    </row>
    <row r="19" spans="1:9" ht="15">
      <c r="A19" s="18"/>
      <c r="B19" s="15"/>
      <c r="C19" s="15"/>
      <c r="D19" s="15"/>
      <c r="E19" s="17"/>
      <c r="F19" s="16"/>
      <c r="G19" s="86"/>
      <c r="H19" s="17"/>
      <c r="I19" s="165"/>
    </row>
    <row r="20" spans="1:9" ht="23.25">
      <c r="A20" s="22" t="s">
        <v>37</v>
      </c>
      <c r="B20" s="32" t="s">
        <v>34</v>
      </c>
      <c r="C20" s="32"/>
      <c r="D20" s="32"/>
      <c r="E20" s="33"/>
      <c r="F20" s="34"/>
      <c r="G20" s="88"/>
      <c r="H20" s="33"/>
      <c r="I20" s="39"/>
    </row>
    <row r="21" spans="1:9" ht="15.75">
      <c r="A21" s="23"/>
      <c r="B21" s="13" t="s">
        <v>0</v>
      </c>
      <c r="C21" s="105" t="s">
        <v>187</v>
      </c>
      <c r="D21" s="105" t="s">
        <v>188</v>
      </c>
      <c r="E21" s="247" t="s">
        <v>220</v>
      </c>
      <c r="F21" s="247" t="s">
        <v>198</v>
      </c>
      <c r="G21" s="13" t="s">
        <v>30</v>
      </c>
      <c r="H21" s="13" t="s">
        <v>20</v>
      </c>
      <c r="I21" s="13" t="s">
        <v>35</v>
      </c>
    </row>
    <row r="22" spans="1:9" ht="57">
      <c r="A22" s="25"/>
      <c r="B22" s="215" t="s">
        <v>138</v>
      </c>
      <c r="C22" s="107" t="s">
        <v>187</v>
      </c>
      <c r="D22" s="107" t="s">
        <v>188</v>
      </c>
      <c r="E22" s="5" t="s">
        <v>229</v>
      </c>
      <c r="F22" s="5">
        <v>0.48</v>
      </c>
      <c r="G22" s="175" t="s">
        <v>4</v>
      </c>
      <c r="H22" s="7" t="s">
        <v>242</v>
      </c>
      <c r="I22" s="6" t="s">
        <v>218</v>
      </c>
    </row>
    <row r="23" spans="1:9">
      <c r="A23" s="24"/>
      <c r="B23" s="215" t="s">
        <v>2</v>
      </c>
      <c r="C23" s="107" t="s">
        <v>187</v>
      </c>
      <c r="D23" s="107" t="s">
        <v>187</v>
      </c>
      <c r="E23" s="3">
        <v>0.24310000000000001</v>
      </c>
      <c r="F23" s="3">
        <v>0.24</v>
      </c>
      <c r="G23" s="177" t="s">
        <v>3</v>
      </c>
      <c r="H23" s="4" t="s">
        <v>46</v>
      </c>
      <c r="I23" s="1" t="s">
        <v>14</v>
      </c>
    </row>
    <row r="24" spans="1:9">
      <c r="A24" s="25"/>
      <c r="B24" s="216" t="s">
        <v>137</v>
      </c>
      <c r="C24" s="107" t="s">
        <v>187</v>
      </c>
      <c r="D24" s="107" t="s">
        <v>187</v>
      </c>
      <c r="E24" s="3">
        <v>0.2155</v>
      </c>
      <c r="F24" s="3">
        <v>0.22</v>
      </c>
      <c r="G24" s="177" t="s">
        <v>4</v>
      </c>
      <c r="H24" s="4" t="s">
        <v>53</v>
      </c>
      <c r="I24" s="1" t="s">
        <v>15</v>
      </c>
    </row>
    <row r="25" spans="1:9" ht="28.5">
      <c r="A25" s="25"/>
      <c r="B25" s="215" t="s">
        <v>9</v>
      </c>
      <c r="C25" s="107" t="s">
        <v>187</v>
      </c>
      <c r="D25" s="107" t="s">
        <v>187</v>
      </c>
      <c r="E25" s="3">
        <v>6.2600000000000003E-2</v>
      </c>
      <c r="F25" s="3">
        <v>0.06</v>
      </c>
      <c r="G25" s="178" t="s">
        <v>3</v>
      </c>
      <c r="H25" s="4" t="s">
        <v>172</v>
      </c>
      <c r="I25" s="1" t="s">
        <v>16</v>
      </c>
    </row>
    <row r="26" spans="1:9">
      <c r="A26" s="25"/>
      <c r="B26" s="220" t="s">
        <v>10</v>
      </c>
      <c r="C26" s="107" t="s">
        <v>187</v>
      </c>
      <c r="D26" s="107" t="s">
        <v>187</v>
      </c>
      <c r="E26" s="3">
        <v>3.4000000000000002E-2</v>
      </c>
      <c r="F26" s="3">
        <v>7.0000000000000007E-2</v>
      </c>
      <c r="G26" s="178" t="s">
        <v>3</v>
      </c>
      <c r="H26" s="4" t="s">
        <v>50</v>
      </c>
      <c r="I26" s="1" t="s">
        <v>17</v>
      </c>
    </row>
    <row r="27" spans="1:9">
      <c r="A27" s="25"/>
      <c r="B27" s="215" t="s">
        <v>11</v>
      </c>
      <c r="C27" s="107" t="s">
        <v>187</v>
      </c>
      <c r="D27" s="107" t="s">
        <v>187</v>
      </c>
      <c r="E27" s="3">
        <v>5.2499999999999998E-2</v>
      </c>
      <c r="F27" s="3">
        <v>0.05</v>
      </c>
      <c r="G27" s="178" t="s">
        <v>3</v>
      </c>
      <c r="H27" s="4" t="s">
        <v>51</v>
      </c>
      <c r="I27" s="1" t="s">
        <v>18</v>
      </c>
    </row>
    <row r="28" spans="1:9">
      <c r="A28" s="25"/>
      <c r="B28" s="215" t="s">
        <v>21</v>
      </c>
      <c r="C28" s="107" t="s">
        <v>187</v>
      </c>
      <c r="D28" s="107" t="s">
        <v>187</v>
      </c>
      <c r="E28" s="3">
        <v>0</v>
      </c>
      <c r="F28" s="3">
        <v>0.05</v>
      </c>
      <c r="G28" s="178" t="s">
        <v>3</v>
      </c>
      <c r="H28" s="4" t="s">
        <v>51</v>
      </c>
      <c r="I28" s="1" t="s">
        <v>18</v>
      </c>
    </row>
    <row r="29" spans="1:9">
      <c r="A29" s="25"/>
      <c r="B29" s="215" t="s">
        <v>12</v>
      </c>
      <c r="C29" s="107" t="s">
        <v>187</v>
      </c>
      <c r="D29" s="107" t="s">
        <v>187</v>
      </c>
      <c r="E29" s="3">
        <v>0.18920000000000001</v>
      </c>
      <c r="F29" s="3">
        <v>0.15</v>
      </c>
      <c r="G29" s="177" t="s">
        <v>3</v>
      </c>
      <c r="H29" s="4" t="s">
        <v>52</v>
      </c>
      <c r="I29" s="9" t="s">
        <v>18</v>
      </c>
    </row>
    <row r="30" spans="1:9">
      <c r="A30" s="25"/>
      <c r="B30" s="220" t="s">
        <v>13</v>
      </c>
      <c r="C30" s="107" t="s">
        <v>187</v>
      </c>
      <c r="D30" s="107" t="s">
        <v>187</v>
      </c>
      <c r="E30" s="3">
        <v>1.6500000000000001E-2</v>
      </c>
      <c r="F30" s="3">
        <v>0.05</v>
      </c>
      <c r="G30" s="177" t="s">
        <v>3</v>
      </c>
      <c r="H30" s="179" t="s">
        <v>51</v>
      </c>
      <c r="I30" s="130" t="s">
        <v>187</v>
      </c>
    </row>
    <row r="31" spans="1:9" ht="15">
      <c r="A31" s="25"/>
      <c r="B31" s="217" t="s">
        <v>5</v>
      </c>
      <c r="C31" s="107" t="s">
        <v>187</v>
      </c>
      <c r="D31" s="107" t="s">
        <v>187</v>
      </c>
      <c r="E31" s="97">
        <f>SUM(E22:E30)</f>
        <v>0.81340000000000001</v>
      </c>
      <c r="F31" s="97">
        <f>SUM(F22:F30)</f>
        <v>1.37</v>
      </c>
      <c r="G31" s="214" t="s">
        <v>187</v>
      </c>
      <c r="H31" s="180" t="s">
        <v>187</v>
      </c>
      <c r="I31" s="110" t="s">
        <v>187</v>
      </c>
    </row>
    <row r="32" spans="1:9">
      <c r="A32" s="25"/>
      <c r="B32" s="215" t="s">
        <v>6</v>
      </c>
      <c r="C32" s="107" t="s">
        <v>187</v>
      </c>
      <c r="D32" s="107" t="s">
        <v>187</v>
      </c>
      <c r="E32" s="11">
        <v>0.188</v>
      </c>
      <c r="F32" s="11">
        <v>0.18</v>
      </c>
      <c r="G32" s="177" t="s">
        <v>4</v>
      </c>
      <c r="H32" s="4" t="s">
        <v>203</v>
      </c>
      <c r="I32" s="1" t="s">
        <v>19</v>
      </c>
    </row>
    <row r="33" spans="1:9" ht="15">
      <c r="A33" s="25"/>
      <c r="B33" s="217" t="s">
        <v>225</v>
      </c>
      <c r="C33" s="108" t="s">
        <v>187</v>
      </c>
      <c r="D33" s="108" t="s">
        <v>187</v>
      </c>
      <c r="E33" s="12">
        <v>1.9E-3</v>
      </c>
      <c r="F33" s="140" t="s">
        <v>187</v>
      </c>
      <c r="G33" s="129" t="s">
        <v>187</v>
      </c>
      <c r="H33" s="129" t="s">
        <v>187</v>
      </c>
      <c r="I33" s="164" t="s">
        <v>187</v>
      </c>
    </row>
    <row r="34" spans="1:9" ht="15">
      <c r="A34" s="18"/>
      <c r="B34" s="15"/>
      <c r="C34" s="15"/>
      <c r="D34" s="15"/>
      <c r="E34" s="158" t="s">
        <v>243</v>
      </c>
      <c r="F34" s="158" t="s">
        <v>243</v>
      </c>
      <c r="G34" s="158" t="s">
        <v>243</v>
      </c>
      <c r="H34" s="158" t="s">
        <v>243</v>
      </c>
      <c r="I34" s="167" t="s">
        <v>243</v>
      </c>
    </row>
    <row r="35" spans="1:9" ht="23.25">
      <c r="A35" s="19" t="s">
        <v>36</v>
      </c>
      <c r="B35" s="32" t="s">
        <v>29</v>
      </c>
      <c r="C35" s="32"/>
      <c r="D35" s="32"/>
      <c r="E35" s="33"/>
      <c r="F35" s="34"/>
      <c r="G35" s="88"/>
      <c r="H35" s="33"/>
      <c r="I35" s="39"/>
    </row>
    <row r="36" spans="1:9" ht="15.75">
      <c r="A36" s="20"/>
      <c r="B36" s="248" t="s">
        <v>0</v>
      </c>
      <c r="C36" s="105" t="s">
        <v>187</v>
      </c>
      <c r="D36" s="105" t="s">
        <v>188</v>
      </c>
      <c r="E36" s="247" t="s">
        <v>220</v>
      </c>
      <c r="F36" s="247" t="s">
        <v>198</v>
      </c>
      <c r="G36" s="249" t="s">
        <v>30</v>
      </c>
      <c r="H36" s="13" t="s">
        <v>20</v>
      </c>
      <c r="I36" s="13" t="s">
        <v>35</v>
      </c>
    </row>
    <row r="37" spans="1:9" ht="57">
      <c r="A37" s="20"/>
      <c r="B37" s="215" t="s">
        <v>138</v>
      </c>
      <c r="C37" s="106" t="s">
        <v>187</v>
      </c>
      <c r="D37" s="106" t="s">
        <v>187</v>
      </c>
      <c r="E37" s="5">
        <v>0.58220000000000005</v>
      </c>
      <c r="F37" s="5">
        <v>0.59499999999999997</v>
      </c>
      <c r="G37" s="175" t="s">
        <v>4</v>
      </c>
      <c r="H37" s="7" t="s">
        <v>65</v>
      </c>
      <c r="I37" s="176" t="s">
        <v>218</v>
      </c>
    </row>
    <row r="38" spans="1:9">
      <c r="A38" s="20"/>
      <c r="B38" s="215" t="s">
        <v>2</v>
      </c>
      <c r="C38" s="107" t="s">
        <v>187</v>
      </c>
      <c r="D38" s="107" t="s">
        <v>187</v>
      </c>
      <c r="E38" s="3">
        <v>0.24129999999999999</v>
      </c>
      <c r="F38" s="3">
        <v>0.25</v>
      </c>
      <c r="G38" s="177" t="s">
        <v>3</v>
      </c>
      <c r="H38" s="4" t="s">
        <v>54</v>
      </c>
      <c r="I38" s="101" t="s">
        <v>14</v>
      </c>
    </row>
    <row r="39" spans="1:9">
      <c r="A39" s="20"/>
      <c r="B39" s="216" t="s">
        <v>137</v>
      </c>
      <c r="C39" s="106" t="s">
        <v>187</v>
      </c>
      <c r="D39" s="106" t="s">
        <v>187</v>
      </c>
      <c r="E39" s="3">
        <v>0.18959999999999999</v>
      </c>
      <c r="F39" s="3">
        <v>0.2</v>
      </c>
      <c r="G39" s="177" t="s">
        <v>4</v>
      </c>
      <c r="H39" s="4" t="s">
        <v>64</v>
      </c>
      <c r="I39" s="101" t="s">
        <v>15</v>
      </c>
    </row>
    <row r="40" spans="1:9" ht="28.5">
      <c r="A40" s="20"/>
      <c r="B40" s="215" t="s">
        <v>9</v>
      </c>
      <c r="C40" s="107" t="s">
        <v>187</v>
      </c>
      <c r="D40" s="107" t="s">
        <v>187</v>
      </c>
      <c r="E40" s="3">
        <v>7.9600000000000004E-2</v>
      </c>
      <c r="F40" s="3">
        <v>0.08</v>
      </c>
      <c r="G40" s="178" t="s">
        <v>3</v>
      </c>
      <c r="H40" s="4" t="s">
        <v>204</v>
      </c>
      <c r="I40" s="101" t="s">
        <v>16</v>
      </c>
    </row>
    <row r="41" spans="1:9">
      <c r="A41" s="20"/>
      <c r="B41" s="215" t="s">
        <v>10</v>
      </c>
      <c r="C41" s="107" t="s">
        <v>187</v>
      </c>
      <c r="D41" s="107" t="s">
        <v>187</v>
      </c>
      <c r="E41" s="3">
        <v>3.2300000000000002E-2</v>
      </c>
      <c r="F41" s="3">
        <v>7.0000000000000007E-2</v>
      </c>
      <c r="G41" s="178" t="s">
        <v>3</v>
      </c>
      <c r="H41" s="4" t="s">
        <v>50</v>
      </c>
      <c r="I41" s="101" t="s">
        <v>17</v>
      </c>
    </row>
    <row r="42" spans="1:9">
      <c r="A42" s="20"/>
      <c r="B42" s="215" t="s">
        <v>11</v>
      </c>
      <c r="C42" s="107" t="s">
        <v>187</v>
      </c>
      <c r="D42" s="107" t="s">
        <v>187</v>
      </c>
      <c r="E42" s="3">
        <v>2.2000000000000001E-3</v>
      </c>
      <c r="F42" s="3">
        <v>0.05</v>
      </c>
      <c r="G42" s="178" t="s">
        <v>3</v>
      </c>
      <c r="H42" s="4" t="s">
        <v>51</v>
      </c>
      <c r="I42" s="101" t="s">
        <v>18</v>
      </c>
    </row>
    <row r="43" spans="1:9">
      <c r="A43" s="20"/>
      <c r="B43" s="215" t="s">
        <v>21</v>
      </c>
      <c r="C43" s="107" t="s">
        <v>187</v>
      </c>
      <c r="D43" s="107" t="s">
        <v>187</v>
      </c>
      <c r="E43" s="3">
        <v>0</v>
      </c>
      <c r="F43" s="3">
        <v>0.05</v>
      </c>
      <c r="G43" s="178" t="s">
        <v>3</v>
      </c>
      <c r="H43" s="4" t="s">
        <v>51</v>
      </c>
      <c r="I43" s="101" t="s">
        <v>18</v>
      </c>
    </row>
    <row r="44" spans="1:9">
      <c r="A44" s="20"/>
      <c r="B44" s="215" t="s">
        <v>12</v>
      </c>
      <c r="C44" s="107" t="s">
        <v>187</v>
      </c>
      <c r="D44" s="107" t="s">
        <v>187</v>
      </c>
      <c r="E44" s="3">
        <v>0.19139999999999999</v>
      </c>
      <c r="F44" s="3">
        <v>0.15</v>
      </c>
      <c r="G44" s="177" t="s">
        <v>3</v>
      </c>
      <c r="H44" s="4" t="s">
        <v>52</v>
      </c>
      <c r="I44" s="4" t="s">
        <v>18</v>
      </c>
    </row>
    <row r="45" spans="1:9">
      <c r="A45" s="20"/>
      <c r="B45" s="215" t="s">
        <v>13</v>
      </c>
      <c r="C45" s="107" t="s">
        <v>187</v>
      </c>
      <c r="D45" s="107" t="s">
        <v>187</v>
      </c>
      <c r="E45" s="3">
        <v>2.0400000000000001E-2</v>
      </c>
      <c r="F45" s="3">
        <v>0.05</v>
      </c>
      <c r="G45" s="177" t="s">
        <v>3</v>
      </c>
      <c r="H45" s="179" t="s">
        <v>51</v>
      </c>
      <c r="I45" s="111" t="s">
        <v>187</v>
      </c>
    </row>
    <row r="46" spans="1:9" ht="15">
      <c r="A46" s="20"/>
      <c r="B46" s="217" t="s">
        <v>5</v>
      </c>
      <c r="C46" s="108" t="s">
        <v>187</v>
      </c>
      <c r="D46" s="108" t="s">
        <v>187</v>
      </c>
      <c r="E46" s="27">
        <f>SUBTOTAL(109,E37:E45)</f>
        <v>1.3390000000000002</v>
      </c>
      <c r="F46" s="27">
        <f>SUBTOTAL(109,F37:F45)</f>
        <v>1.4950000000000001</v>
      </c>
      <c r="G46" s="115" t="s">
        <v>187</v>
      </c>
      <c r="H46" s="116" t="s">
        <v>187</v>
      </c>
      <c r="I46" s="110" t="s">
        <v>187</v>
      </c>
    </row>
    <row r="47" spans="1:9">
      <c r="A47" s="20"/>
      <c r="B47" s="215" t="s">
        <v>6</v>
      </c>
      <c r="C47" s="107" t="s">
        <v>187</v>
      </c>
      <c r="D47" s="107" t="s">
        <v>187</v>
      </c>
      <c r="E47" s="11">
        <v>0.21179999999999999</v>
      </c>
      <c r="F47" s="11">
        <v>0.2</v>
      </c>
      <c r="G47" s="84" t="s">
        <v>4</v>
      </c>
      <c r="H47" s="9" t="s">
        <v>64</v>
      </c>
      <c r="I47" s="1" t="s">
        <v>19</v>
      </c>
    </row>
    <row r="48" spans="1:9" ht="15">
      <c r="A48" s="21"/>
      <c r="B48" s="217" t="s">
        <v>225</v>
      </c>
      <c r="C48" s="108" t="s">
        <v>187</v>
      </c>
      <c r="D48" s="108" t="s">
        <v>187</v>
      </c>
      <c r="E48" s="12">
        <v>2.3999999999999998E-3</v>
      </c>
      <c r="F48" s="140" t="s">
        <v>187</v>
      </c>
      <c r="G48" s="129" t="s">
        <v>187</v>
      </c>
      <c r="H48" s="129" t="s">
        <v>187</v>
      </c>
      <c r="I48" s="144" t="s">
        <v>187</v>
      </c>
    </row>
    <row r="49" spans="1:9" ht="15">
      <c r="A49" s="18"/>
      <c r="B49" s="15"/>
      <c r="C49" s="15"/>
      <c r="D49" s="15"/>
      <c r="E49" s="17"/>
      <c r="F49" s="16"/>
      <c r="G49" s="86"/>
      <c r="H49" s="17"/>
      <c r="I49" s="165"/>
    </row>
    <row r="50" spans="1:9" ht="23.25">
      <c r="A50" s="19" t="s">
        <v>36</v>
      </c>
      <c r="B50" s="32" t="s">
        <v>31</v>
      </c>
      <c r="C50" s="32"/>
      <c r="D50" s="32"/>
      <c r="E50" s="33"/>
      <c r="F50" s="34"/>
      <c r="G50" s="88"/>
      <c r="H50" s="33"/>
      <c r="I50" s="39"/>
    </row>
    <row r="51" spans="1:9" ht="15.75">
      <c r="A51" s="20"/>
      <c r="B51" s="248" t="s">
        <v>0</v>
      </c>
      <c r="C51" s="105" t="s">
        <v>187</v>
      </c>
      <c r="D51" s="105" t="s">
        <v>188</v>
      </c>
      <c r="E51" s="247" t="s">
        <v>220</v>
      </c>
      <c r="F51" s="247" t="s">
        <v>198</v>
      </c>
      <c r="G51" s="13" t="s">
        <v>30</v>
      </c>
      <c r="H51" s="13" t="s">
        <v>20</v>
      </c>
      <c r="I51" s="13" t="s">
        <v>35</v>
      </c>
    </row>
    <row r="52" spans="1:9" ht="57">
      <c r="A52" s="20"/>
      <c r="B52" s="215" t="s">
        <v>138</v>
      </c>
      <c r="C52" s="106" t="s">
        <v>187</v>
      </c>
      <c r="D52" s="106" t="s">
        <v>188</v>
      </c>
      <c r="E52" s="5">
        <v>0.48320000000000002</v>
      </c>
      <c r="F52" s="5">
        <v>0.49</v>
      </c>
      <c r="G52" s="175" t="s">
        <v>4</v>
      </c>
      <c r="H52" s="7" t="s">
        <v>241</v>
      </c>
      <c r="I52" s="6" t="s">
        <v>218</v>
      </c>
    </row>
    <row r="53" spans="1:9">
      <c r="A53" s="20"/>
      <c r="B53" s="215" t="s">
        <v>2</v>
      </c>
      <c r="C53" s="107" t="s">
        <v>187</v>
      </c>
      <c r="D53" s="107" t="s">
        <v>187</v>
      </c>
      <c r="E53" s="3">
        <v>0.20169999999999999</v>
      </c>
      <c r="F53" s="3">
        <v>0.22</v>
      </c>
      <c r="G53" s="177" t="s">
        <v>3</v>
      </c>
      <c r="H53" s="4" t="s">
        <v>201</v>
      </c>
      <c r="I53" s="1" t="s">
        <v>14</v>
      </c>
    </row>
    <row r="54" spans="1:9">
      <c r="A54" s="20"/>
      <c r="B54" s="216" t="s">
        <v>137</v>
      </c>
      <c r="C54" s="106" t="s">
        <v>187</v>
      </c>
      <c r="D54" s="106" t="s">
        <v>187</v>
      </c>
      <c r="E54" s="3">
        <v>0.21379999999999999</v>
      </c>
      <c r="F54" s="3">
        <v>0.22</v>
      </c>
      <c r="G54" s="177" t="s">
        <v>4</v>
      </c>
      <c r="H54" s="4" t="s">
        <v>53</v>
      </c>
      <c r="I54" s="1" t="s">
        <v>15</v>
      </c>
    </row>
    <row r="55" spans="1:9" ht="28.5">
      <c r="A55" s="20"/>
      <c r="B55" s="215" t="s">
        <v>9</v>
      </c>
      <c r="C55" s="107" t="s">
        <v>187</v>
      </c>
      <c r="D55" s="107" t="s">
        <v>187</v>
      </c>
      <c r="E55" s="3">
        <v>8.6999999999999994E-2</v>
      </c>
      <c r="F55" s="3">
        <v>0.09</v>
      </c>
      <c r="G55" s="178" t="s">
        <v>3</v>
      </c>
      <c r="H55" s="4" t="s">
        <v>205</v>
      </c>
      <c r="I55" s="1" t="s">
        <v>16</v>
      </c>
    </row>
    <row r="56" spans="1:9">
      <c r="A56" s="20"/>
      <c r="B56" s="215" t="s">
        <v>10</v>
      </c>
      <c r="C56" s="107" t="s">
        <v>187</v>
      </c>
      <c r="D56" s="107" t="s">
        <v>187</v>
      </c>
      <c r="E56" s="3">
        <v>3.8600000000000002E-2</v>
      </c>
      <c r="F56" s="3">
        <v>7.0000000000000007E-2</v>
      </c>
      <c r="G56" s="178" t="s">
        <v>3</v>
      </c>
      <c r="H56" s="4" t="s">
        <v>50</v>
      </c>
      <c r="I56" s="1" t="s">
        <v>17</v>
      </c>
    </row>
    <row r="57" spans="1:9">
      <c r="A57" s="20"/>
      <c r="B57" s="215" t="s">
        <v>11</v>
      </c>
      <c r="C57" s="107" t="s">
        <v>187</v>
      </c>
      <c r="D57" s="107" t="s">
        <v>187</v>
      </c>
      <c r="E57" s="55">
        <v>5.3800000000000001E-2</v>
      </c>
      <c r="F57" s="3">
        <v>0.05</v>
      </c>
      <c r="G57" s="178" t="s">
        <v>3</v>
      </c>
      <c r="H57" s="4" t="s">
        <v>51</v>
      </c>
      <c r="I57" s="1" t="s">
        <v>18</v>
      </c>
    </row>
    <row r="58" spans="1:9">
      <c r="A58" s="20"/>
      <c r="B58" s="215" t="s">
        <v>21</v>
      </c>
      <c r="C58" s="107" t="s">
        <v>187</v>
      </c>
      <c r="D58" s="107" t="s">
        <v>187</v>
      </c>
      <c r="E58" s="3">
        <v>0</v>
      </c>
      <c r="F58" s="3">
        <v>0.05</v>
      </c>
      <c r="G58" s="178" t="s">
        <v>3</v>
      </c>
      <c r="H58" s="4" t="s">
        <v>51</v>
      </c>
      <c r="I58" s="1" t="s">
        <v>18</v>
      </c>
    </row>
    <row r="59" spans="1:9">
      <c r="A59" s="20"/>
      <c r="B59" s="215" t="s">
        <v>12</v>
      </c>
      <c r="C59" s="107" t="s">
        <v>187</v>
      </c>
      <c r="D59" s="107" t="s">
        <v>187</v>
      </c>
      <c r="E59" s="3">
        <v>0.19070000000000001</v>
      </c>
      <c r="F59" s="3">
        <v>0.15</v>
      </c>
      <c r="G59" s="177" t="s">
        <v>3</v>
      </c>
      <c r="H59" s="4" t="s">
        <v>52</v>
      </c>
      <c r="I59" s="9" t="s">
        <v>18</v>
      </c>
    </row>
    <row r="60" spans="1:9">
      <c r="A60" s="20"/>
      <c r="B60" s="215" t="s">
        <v>13</v>
      </c>
      <c r="C60" s="107" t="s">
        <v>187</v>
      </c>
      <c r="D60" s="107" t="s">
        <v>187</v>
      </c>
      <c r="E60" s="3">
        <v>2.3699999999999999E-2</v>
      </c>
      <c r="F60" s="3">
        <v>0.05</v>
      </c>
      <c r="G60" s="177" t="s">
        <v>3</v>
      </c>
      <c r="H60" s="179" t="s">
        <v>51</v>
      </c>
      <c r="I60" s="130" t="s">
        <v>187</v>
      </c>
    </row>
    <row r="61" spans="1:9" ht="15">
      <c r="A61" s="20"/>
      <c r="B61" s="217" t="s">
        <v>5</v>
      </c>
      <c r="C61" s="108" t="s">
        <v>187</v>
      </c>
      <c r="D61" s="108" t="s">
        <v>187</v>
      </c>
      <c r="E61" s="97">
        <f>SUBTOTAL(109,E52:E60)</f>
        <v>1.2925000000000002</v>
      </c>
      <c r="F61" s="97">
        <f>SUBTOTAL(109,F52:F60)</f>
        <v>1.3900000000000001</v>
      </c>
      <c r="G61" s="181" t="s">
        <v>187</v>
      </c>
      <c r="H61" s="182" t="s">
        <v>187</v>
      </c>
      <c r="I61" s="110" t="s">
        <v>187</v>
      </c>
    </row>
    <row r="62" spans="1:9">
      <c r="A62" s="20"/>
      <c r="B62" s="215" t="s">
        <v>6</v>
      </c>
      <c r="C62" s="107" t="s">
        <v>187</v>
      </c>
      <c r="D62" s="107" t="s">
        <v>187</v>
      </c>
      <c r="E62" s="11">
        <v>0.18940000000000001</v>
      </c>
      <c r="F62" s="11">
        <v>0.18</v>
      </c>
      <c r="G62" s="177" t="s">
        <v>4</v>
      </c>
      <c r="H62" s="4" t="s">
        <v>203</v>
      </c>
      <c r="I62" s="1" t="s">
        <v>19</v>
      </c>
    </row>
    <row r="63" spans="1:9" ht="15">
      <c r="A63" s="21"/>
      <c r="B63" s="217" t="s">
        <v>225</v>
      </c>
      <c r="C63" s="108" t="s">
        <v>187</v>
      </c>
      <c r="D63" s="108" t="s">
        <v>187</v>
      </c>
      <c r="E63" s="12">
        <v>2.3999999999999998E-3</v>
      </c>
      <c r="F63" s="140" t="s">
        <v>187</v>
      </c>
      <c r="G63" s="129" t="s">
        <v>187</v>
      </c>
      <c r="H63" s="129" t="s">
        <v>187</v>
      </c>
      <c r="I63" s="164" t="s">
        <v>187</v>
      </c>
    </row>
    <row r="64" spans="1:9" ht="15">
      <c r="A64" s="18"/>
      <c r="B64" s="15"/>
      <c r="C64" s="15"/>
      <c r="D64" s="15"/>
      <c r="E64" s="17"/>
      <c r="F64" s="16"/>
      <c r="G64" s="86"/>
      <c r="H64" s="17"/>
      <c r="I64" s="165"/>
    </row>
    <row r="65" spans="1:9" ht="23.25">
      <c r="A65" s="19" t="s">
        <v>36</v>
      </c>
      <c r="B65" s="32" t="s">
        <v>32</v>
      </c>
      <c r="C65" s="32"/>
      <c r="D65" s="32"/>
      <c r="E65" s="33"/>
      <c r="F65" s="34"/>
      <c r="G65" s="88"/>
      <c r="H65" s="33"/>
      <c r="I65" s="39"/>
    </row>
    <row r="66" spans="1:9" ht="15.75">
      <c r="A66" s="20"/>
      <c r="B66" s="13" t="s">
        <v>0</v>
      </c>
      <c r="C66" s="105" t="s">
        <v>187</v>
      </c>
      <c r="D66" s="105" t="s">
        <v>188</v>
      </c>
      <c r="E66" s="247" t="s">
        <v>220</v>
      </c>
      <c r="F66" s="247" t="s">
        <v>198</v>
      </c>
      <c r="G66" s="13" t="s">
        <v>30</v>
      </c>
      <c r="H66" s="13" t="s">
        <v>20</v>
      </c>
      <c r="I66" s="13" t="s">
        <v>35</v>
      </c>
    </row>
    <row r="67" spans="1:9" ht="57">
      <c r="A67" s="20"/>
      <c r="B67" s="215" t="s">
        <v>138</v>
      </c>
      <c r="C67" s="106" t="s">
        <v>187</v>
      </c>
      <c r="D67" s="106" t="s">
        <v>188</v>
      </c>
      <c r="E67" s="5">
        <v>0.30099999999999999</v>
      </c>
      <c r="F67" s="5">
        <v>0.3</v>
      </c>
      <c r="G67" s="175" t="s">
        <v>4</v>
      </c>
      <c r="H67" s="7" t="s">
        <v>61</v>
      </c>
      <c r="I67" s="6" t="s">
        <v>218</v>
      </c>
    </row>
    <row r="68" spans="1:9">
      <c r="A68" s="20"/>
      <c r="B68" s="215" t="s">
        <v>2</v>
      </c>
      <c r="C68" s="107" t="s">
        <v>187</v>
      </c>
      <c r="D68" s="107" t="s">
        <v>187</v>
      </c>
      <c r="E68" s="3">
        <v>0.2843</v>
      </c>
      <c r="F68" s="3">
        <v>0.26</v>
      </c>
      <c r="G68" s="84" t="s">
        <v>3</v>
      </c>
      <c r="H68" s="4" t="s">
        <v>202</v>
      </c>
      <c r="I68" s="1" t="s">
        <v>14</v>
      </c>
    </row>
    <row r="69" spans="1:9">
      <c r="A69" s="20"/>
      <c r="B69" s="216" t="s">
        <v>137</v>
      </c>
      <c r="C69" s="106" t="s">
        <v>187</v>
      </c>
      <c r="D69" s="106" t="s">
        <v>187</v>
      </c>
      <c r="E69" s="3">
        <v>0.27910000000000001</v>
      </c>
      <c r="F69" s="3">
        <v>0.28000000000000003</v>
      </c>
      <c r="G69" s="84" t="s">
        <v>4</v>
      </c>
      <c r="H69" s="4" t="s">
        <v>62</v>
      </c>
      <c r="I69" s="1" t="s">
        <v>15</v>
      </c>
    </row>
    <row r="70" spans="1:9" ht="28.5">
      <c r="A70" s="20"/>
      <c r="B70" s="215" t="s">
        <v>9</v>
      </c>
      <c r="C70" s="107" t="s">
        <v>187</v>
      </c>
      <c r="D70" s="107" t="s">
        <v>187</v>
      </c>
      <c r="E70" s="3">
        <v>9.7299999999999998E-2</v>
      </c>
      <c r="F70" s="3">
        <v>0.1</v>
      </c>
      <c r="G70" s="85" t="s">
        <v>3</v>
      </c>
      <c r="H70" s="9" t="s">
        <v>49</v>
      </c>
      <c r="I70" s="1" t="s">
        <v>16</v>
      </c>
    </row>
    <row r="71" spans="1:9">
      <c r="A71" s="20"/>
      <c r="B71" s="215" t="s">
        <v>10</v>
      </c>
      <c r="C71" s="107" t="s">
        <v>187</v>
      </c>
      <c r="D71" s="107" t="s">
        <v>187</v>
      </c>
      <c r="E71" s="3">
        <v>4.3799999999999999E-2</v>
      </c>
      <c r="F71" s="3">
        <v>7.0000000000000007E-2</v>
      </c>
      <c r="G71" s="85" t="s">
        <v>3</v>
      </c>
      <c r="H71" s="9" t="s">
        <v>50</v>
      </c>
      <c r="I71" s="1" t="s">
        <v>17</v>
      </c>
    </row>
    <row r="72" spans="1:9">
      <c r="A72" s="20"/>
      <c r="B72" s="215" t="s">
        <v>11</v>
      </c>
      <c r="C72" s="107" t="s">
        <v>187</v>
      </c>
      <c r="D72" s="107" t="s">
        <v>187</v>
      </c>
      <c r="E72" s="3">
        <v>1.1999999999999999E-3</v>
      </c>
      <c r="F72" s="3">
        <v>0.05</v>
      </c>
      <c r="G72" s="85" t="s">
        <v>3</v>
      </c>
      <c r="H72" s="9" t="s">
        <v>51</v>
      </c>
      <c r="I72" s="1" t="s">
        <v>18</v>
      </c>
    </row>
    <row r="73" spans="1:9">
      <c r="A73" s="20"/>
      <c r="B73" s="215" t="s">
        <v>21</v>
      </c>
      <c r="C73" s="107" t="s">
        <v>187</v>
      </c>
      <c r="D73" s="107" t="s">
        <v>187</v>
      </c>
      <c r="E73" s="3">
        <v>3.9300000000000002E-2</v>
      </c>
      <c r="F73" s="3">
        <v>0.05</v>
      </c>
      <c r="G73" s="85" t="s">
        <v>3</v>
      </c>
      <c r="H73" s="9" t="s">
        <v>51</v>
      </c>
      <c r="I73" s="1" t="s">
        <v>18</v>
      </c>
    </row>
    <row r="74" spans="1:9">
      <c r="A74" s="20"/>
      <c r="B74" s="215" t="s">
        <v>12</v>
      </c>
      <c r="C74" s="107" t="s">
        <v>187</v>
      </c>
      <c r="D74" s="107" t="s">
        <v>187</v>
      </c>
      <c r="E74" s="3">
        <v>0.16139999999999999</v>
      </c>
      <c r="F74" s="3">
        <v>0.15</v>
      </c>
      <c r="G74" s="84" t="s">
        <v>3</v>
      </c>
      <c r="H74" s="9" t="s">
        <v>52</v>
      </c>
      <c r="I74" s="9" t="s">
        <v>18</v>
      </c>
    </row>
    <row r="75" spans="1:9">
      <c r="A75" s="20"/>
      <c r="B75" s="215" t="s">
        <v>13</v>
      </c>
      <c r="C75" s="107" t="s">
        <v>187</v>
      </c>
      <c r="D75" s="107" t="s">
        <v>187</v>
      </c>
      <c r="E75" s="3">
        <v>3.1800000000000002E-2</v>
      </c>
      <c r="F75" s="3">
        <v>0.05</v>
      </c>
      <c r="G75" s="84" t="s">
        <v>3</v>
      </c>
      <c r="H75" s="10" t="s">
        <v>51</v>
      </c>
      <c r="I75" s="130" t="s">
        <v>187</v>
      </c>
    </row>
    <row r="76" spans="1:9" ht="15">
      <c r="A76" s="20"/>
      <c r="B76" s="217" t="s">
        <v>5</v>
      </c>
      <c r="C76" s="108" t="s">
        <v>187</v>
      </c>
      <c r="D76" s="108" t="s">
        <v>187</v>
      </c>
      <c r="E76" s="97">
        <f>SUBTOTAL(109,E67:E75)</f>
        <v>1.2392000000000003</v>
      </c>
      <c r="F76" s="97">
        <f>SUBTOTAL(109,F67:F75)</f>
        <v>1.31</v>
      </c>
      <c r="G76" s="115" t="s">
        <v>187</v>
      </c>
      <c r="H76" s="116" t="s">
        <v>187</v>
      </c>
      <c r="I76" s="110" t="s">
        <v>187</v>
      </c>
    </row>
    <row r="77" spans="1:9">
      <c r="A77" s="20"/>
      <c r="B77" s="215" t="s">
        <v>6</v>
      </c>
      <c r="C77" s="107" t="s">
        <v>187</v>
      </c>
      <c r="D77" s="107" t="s">
        <v>187</v>
      </c>
      <c r="E77" s="3">
        <v>0.17269999999999999</v>
      </c>
      <c r="F77" s="3">
        <v>0.18</v>
      </c>
      <c r="G77" s="84" t="s">
        <v>4</v>
      </c>
      <c r="H77" s="9" t="s">
        <v>203</v>
      </c>
      <c r="I77" s="1" t="s">
        <v>19</v>
      </c>
    </row>
    <row r="78" spans="1:9" ht="15">
      <c r="A78" s="21"/>
      <c r="B78" s="217" t="s">
        <v>225</v>
      </c>
      <c r="C78" s="108" t="s">
        <v>187</v>
      </c>
      <c r="D78" s="108" t="s">
        <v>187</v>
      </c>
      <c r="E78" s="12">
        <v>2.5000000000000001E-3</v>
      </c>
      <c r="F78" s="140" t="s">
        <v>187</v>
      </c>
      <c r="G78" s="129" t="s">
        <v>187</v>
      </c>
      <c r="H78" s="129" t="s">
        <v>187</v>
      </c>
      <c r="I78" s="166" t="s">
        <v>187</v>
      </c>
    </row>
    <row r="79" spans="1:9" ht="15">
      <c r="A79" s="18"/>
      <c r="B79" s="157" t="s">
        <v>187</v>
      </c>
      <c r="C79" s="157" t="s">
        <v>187</v>
      </c>
      <c r="D79" s="157" t="s">
        <v>187</v>
      </c>
      <c r="E79" s="158" t="s">
        <v>187</v>
      </c>
      <c r="F79" s="158" t="s">
        <v>187</v>
      </c>
      <c r="G79" s="158" t="s">
        <v>187</v>
      </c>
      <c r="H79" s="158" t="s">
        <v>187</v>
      </c>
      <c r="I79" s="167" t="s">
        <v>187</v>
      </c>
    </row>
    <row r="80" spans="1:9" ht="30">
      <c r="A80" s="28" t="s">
        <v>67</v>
      </c>
      <c r="B80" s="36" t="s">
        <v>38</v>
      </c>
      <c r="C80" s="36"/>
      <c r="D80" s="36"/>
      <c r="E80" s="37"/>
      <c r="F80" s="38"/>
      <c r="G80" s="89"/>
      <c r="H80" s="37"/>
      <c r="I80" s="39"/>
    </row>
    <row r="81" spans="1:9" ht="23.25">
      <c r="A81" s="28"/>
      <c r="B81" s="41" t="s">
        <v>42</v>
      </c>
      <c r="C81" s="41"/>
      <c r="D81" s="41"/>
      <c r="E81" s="37"/>
      <c r="F81" s="38"/>
      <c r="G81" s="89"/>
      <c r="H81" s="37"/>
      <c r="I81" s="39"/>
    </row>
    <row r="82" spans="1:9" ht="23.25">
      <c r="A82" s="28"/>
      <c r="B82" s="41" t="s">
        <v>43</v>
      </c>
      <c r="C82" s="41"/>
      <c r="D82" s="41"/>
      <c r="E82" s="37"/>
      <c r="F82" s="38"/>
      <c r="G82" s="89"/>
      <c r="H82" s="37"/>
      <c r="I82" s="39"/>
    </row>
    <row r="83" spans="1:9" ht="15.75">
      <c r="A83" s="29"/>
      <c r="B83" s="119" t="s">
        <v>0</v>
      </c>
      <c r="C83" s="118" t="s">
        <v>223</v>
      </c>
      <c r="D83" s="118" t="s">
        <v>222</v>
      </c>
      <c r="E83" s="118" t="s">
        <v>221</v>
      </c>
      <c r="F83" s="118" t="s">
        <v>198</v>
      </c>
      <c r="G83" s="119" t="s">
        <v>30</v>
      </c>
      <c r="H83" s="119" t="s">
        <v>20</v>
      </c>
      <c r="I83" s="119" t="s">
        <v>35</v>
      </c>
    </row>
    <row r="84" spans="1:9" ht="57">
      <c r="A84" s="31"/>
      <c r="B84" s="102" t="s">
        <v>138</v>
      </c>
      <c r="C84" s="5">
        <v>1.0145</v>
      </c>
      <c r="D84" s="5">
        <v>0.99490000000000001</v>
      </c>
      <c r="E84" s="5">
        <v>0.99309999999999998</v>
      </c>
      <c r="F84" s="5">
        <v>0.99</v>
      </c>
      <c r="G84" s="83" t="s">
        <v>23</v>
      </c>
      <c r="H84" s="7" t="s">
        <v>239</v>
      </c>
      <c r="I84" s="6" t="s">
        <v>218</v>
      </c>
    </row>
    <row r="85" spans="1:9">
      <c r="A85" s="30"/>
      <c r="B85" s="2" t="s">
        <v>2</v>
      </c>
      <c r="C85" s="3">
        <v>0.28270000000000001</v>
      </c>
      <c r="D85" s="3">
        <v>0.28960000000000002</v>
      </c>
      <c r="E85" s="3">
        <v>0.2969</v>
      </c>
      <c r="F85" s="3">
        <v>0.3</v>
      </c>
      <c r="G85" s="84" t="s">
        <v>24</v>
      </c>
      <c r="H85" s="4" t="s">
        <v>60</v>
      </c>
      <c r="I85" s="1" t="s">
        <v>14</v>
      </c>
    </row>
    <row r="86" spans="1:9">
      <c r="A86" s="31"/>
      <c r="B86" s="67" t="s">
        <v>137</v>
      </c>
      <c r="C86" s="3">
        <v>3.8600000000000002E-2</v>
      </c>
      <c r="D86" s="3">
        <v>3.9199999999999999E-2</v>
      </c>
      <c r="E86" s="3">
        <v>4.3900000000000002E-2</v>
      </c>
      <c r="F86" s="3">
        <v>0.06</v>
      </c>
      <c r="G86" s="84" t="s">
        <v>23</v>
      </c>
      <c r="H86" s="4" t="s">
        <v>58</v>
      </c>
      <c r="I86" s="1" t="s">
        <v>15</v>
      </c>
    </row>
    <row r="87" spans="1:9" ht="28.5">
      <c r="A87" s="31"/>
      <c r="B87" s="2" t="s">
        <v>9</v>
      </c>
      <c r="C87" s="3">
        <v>4.6199999999999998E-2</v>
      </c>
      <c r="D87" s="3">
        <v>3.5799999999999998E-2</v>
      </c>
      <c r="E87" s="3">
        <v>3.5000000000000003E-2</v>
      </c>
      <c r="F87" s="3">
        <v>0.05</v>
      </c>
      <c r="G87" s="85" t="s">
        <v>24</v>
      </c>
      <c r="H87" s="9" t="s">
        <v>51</v>
      </c>
      <c r="I87" s="1" t="s">
        <v>16</v>
      </c>
    </row>
    <row r="88" spans="1:9">
      <c r="A88" s="31"/>
      <c r="B88" s="2" t="s">
        <v>10</v>
      </c>
      <c r="C88" s="3">
        <v>1.6000000000000001E-3</v>
      </c>
      <c r="D88" s="3">
        <v>1.6000000000000001E-3</v>
      </c>
      <c r="E88" s="3">
        <v>1.4E-3</v>
      </c>
      <c r="F88" s="3">
        <v>0.05</v>
      </c>
      <c r="G88" s="85" t="s">
        <v>24</v>
      </c>
      <c r="H88" s="9" t="s">
        <v>51</v>
      </c>
      <c r="I88" s="1" t="s">
        <v>17</v>
      </c>
    </row>
    <row r="89" spans="1:9">
      <c r="A89" s="31"/>
      <c r="B89" s="2" t="s">
        <v>11</v>
      </c>
      <c r="C89" s="3">
        <v>0</v>
      </c>
      <c r="D89" s="3">
        <v>8.9999999999999998E-4</v>
      </c>
      <c r="E89" s="3">
        <v>5.9999999999999995E-4</v>
      </c>
      <c r="F89" s="3">
        <v>0.05</v>
      </c>
      <c r="G89" s="85" t="s">
        <v>24</v>
      </c>
      <c r="H89" s="9" t="s">
        <v>51</v>
      </c>
      <c r="I89" s="1" t="s">
        <v>18</v>
      </c>
    </row>
    <row r="90" spans="1:9">
      <c r="A90" s="31"/>
      <c r="B90" s="2" t="s">
        <v>21</v>
      </c>
      <c r="C90" s="3">
        <v>0</v>
      </c>
      <c r="D90" s="3">
        <v>0</v>
      </c>
      <c r="E90" s="3">
        <v>0</v>
      </c>
      <c r="F90" s="3">
        <v>0.05</v>
      </c>
      <c r="G90" s="85" t="s">
        <v>24</v>
      </c>
      <c r="H90" s="9" t="s">
        <v>51</v>
      </c>
      <c r="I90" s="1" t="s">
        <v>18</v>
      </c>
    </row>
    <row r="91" spans="1:9">
      <c r="A91" s="31"/>
      <c r="B91" s="2" t="s">
        <v>12</v>
      </c>
      <c r="C91" s="3">
        <v>0.19520000000000001</v>
      </c>
      <c r="D91" s="3">
        <v>0.20150000000000001</v>
      </c>
      <c r="E91" s="3">
        <v>0.1908</v>
      </c>
      <c r="F91" s="3">
        <v>0.15</v>
      </c>
      <c r="G91" s="84" t="s">
        <v>24</v>
      </c>
      <c r="H91" s="9" t="s">
        <v>52</v>
      </c>
      <c r="I91" s="9" t="s">
        <v>18</v>
      </c>
    </row>
    <row r="92" spans="1:9">
      <c r="A92" s="31"/>
      <c r="B92" s="2" t="s">
        <v>13</v>
      </c>
      <c r="C92" s="3">
        <v>9.1999999999999998E-3</v>
      </c>
      <c r="D92" s="3">
        <v>8.8000000000000005E-3</v>
      </c>
      <c r="E92" s="3">
        <v>2.58E-2</v>
      </c>
      <c r="F92" s="3">
        <v>0.05</v>
      </c>
      <c r="G92" s="84" t="s">
        <v>24</v>
      </c>
      <c r="H92" s="10" t="s">
        <v>51</v>
      </c>
      <c r="I92" s="130" t="s">
        <v>187</v>
      </c>
    </row>
    <row r="93" spans="1:9" ht="15">
      <c r="A93" s="31"/>
      <c r="B93" s="26" t="s">
        <v>5</v>
      </c>
      <c r="C93" s="97">
        <f>SUBTOTAL(109,C84:C92)</f>
        <v>1.5880000000000001</v>
      </c>
      <c r="D93" s="97">
        <f t="shared" ref="D93:F93" si="0">SUBTOTAL(109,D84:D92)</f>
        <v>1.5722999999999998</v>
      </c>
      <c r="E93" s="97">
        <f t="shared" si="0"/>
        <v>1.5875000000000001</v>
      </c>
      <c r="F93" s="97">
        <f t="shared" si="0"/>
        <v>1.7500000000000002</v>
      </c>
      <c r="G93" s="115" t="s">
        <v>187</v>
      </c>
      <c r="H93" s="110" t="s">
        <v>187</v>
      </c>
      <c r="I93" s="110" t="s">
        <v>187</v>
      </c>
    </row>
    <row r="94" spans="1:9">
      <c r="A94" s="31"/>
      <c r="B94" s="2" t="s">
        <v>6</v>
      </c>
      <c r="C94" s="11">
        <v>0.2351</v>
      </c>
      <c r="D94" s="11">
        <v>0.22620000000000001</v>
      </c>
      <c r="E94" s="11">
        <v>0.2379</v>
      </c>
      <c r="F94" s="11">
        <v>0.22</v>
      </c>
      <c r="G94" s="84" t="s">
        <v>23</v>
      </c>
      <c r="H94" s="9" t="s">
        <v>53</v>
      </c>
      <c r="I94" s="1" t="s">
        <v>19</v>
      </c>
    </row>
    <row r="95" spans="1:9" ht="15">
      <c r="A95" s="31"/>
      <c r="B95" s="26" t="s">
        <v>225</v>
      </c>
      <c r="C95" s="12">
        <v>1.4E-3</v>
      </c>
      <c r="D95" s="12">
        <v>1.4E-3</v>
      </c>
      <c r="E95" s="12">
        <v>1.1999999999999999E-3</v>
      </c>
      <c r="F95" s="140" t="s">
        <v>187</v>
      </c>
      <c r="G95" s="137" t="s">
        <v>187</v>
      </c>
      <c r="H95" s="138" t="s">
        <v>187</v>
      </c>
      <c r="I95" s="144" t="s">
        <v>187</v>
      </c>
    </row>
    <row r="96" spans="1:9" ht="15">
      <c r="A96" s="18"/>
      <c r="B96" s="15"/>
      <c r="C96" s="15"/>
      <c r="D96" s="15"/>
      <c r="E96" s="17"/>
      <c r="F96" s="16"/>
      <c r="G96" s="86"/>
      <c r="H96" s="17"/>
      <c r="I96" s="165"/>
    </row>
    <row r="97" spans="1:9" ht="30">
      <c r="A97" s="28" t="s">
        <v>68</v>
      </c>
      <c r="B97" s="36" t="s">
        <v>39</v>
      </c>
      <c r="C97" s="36"/>
      <c r="D97" s="36"/>
      <c r="E97" s="37"/>
      <c r="F97" s="38"/>
      <c r="G97" s="89"/>
      <c r="H97" s="37"/>
      <c r="I97" s="39"/>
    </row>
    <row r="98" spans="1:9" ht="23.25">
      <c r="A98" s="28"/>
      <c r="B98" s="41" t="s">
        <v>40</v>
      </c>
      <c r="C98" s="41"/>
      <c r="D98" s="41"/>
      <c r="E98" s="37"/>
      <c r="F98" s="38"/>
      <c r="G98" s="89"/>
      <c r="H98" s="37"/>
      <c r="I98" s="39"/>
    </row>
    <row r="99" spans="1:9" ht="23.25">
      <c r="A99" s="28"/>
      <c r="B99" s="41" t="s">
        <v>41</v>
      </c>
      <c r="C99" s="41"/>
      <c r="D99" s="41"/>
      <c r="E99" s="37"/>
      <c r="F99" s="38"/>
      <c r="G99" s="89"/>
      <c r="H99" s="37"/>
      <c r="I99" s="39"/>
    </row>
    <row r="100" spans="1:9" ht="15.75">
      <c r="A100" s="29"/>
      <c r="B100" s="117" t="s">
        <v>0</v>
      </c>
      <c r="C100" s="118" t="s">
        <v>223</v>
      </c>
      <c r="D100" s="118" t="s">
        <v>222</v>
      </c>
      <c r="E100" s="118" t="s">
        <v>221</v>
      </c>
      <c r="F100" s="118" t="s">
        <v>198</v>
      </c>
      <c r="G100" s="119" t="s">
        <v>30</v>
      </c>
      <c r="H100" s="119" t="s">
        <v>20</v>
      </c>
      <c r="I100" s="119" t="s">
        <v>35</v>
      </c>
    </row>
    <row r="101" spans="1:9" ht="57">
      <c r="A101" s="31"/>
      <c r="B101" s="2" t="s">
        <v>138</v>
      </c>
      <c r="C101" s="5">
        <v>4.7699999999999999E-2</v>
      </c>
      <c r="D101" s="5">
        <v>5.1700000000000003E-2</v>
      </c>
      <c r="E101" s="5">
        <v>4.7199999999999999E-2</v>
      </c>
      <c r="F101" s="5" t="s">
        <v>240</v>
      </c>
      <c r="G101" s="83" t="s">
        <v>23</v>
      </c>
      <c r="H101" s="7" t="s">
        <v>58</v>
      </c>
      <c r="I101" s="6" t="s">
        <v>218</v>
      </c>
    </row>
    <row r="102" spans="1:9">
      <c r="A102" s="30"/>
      <c r="B102" s="2" t="s">
        <v>2</v>
      </c>
      <c r="C102" s="5">
        <v>9.7600000000000006E-2</v>
      </c>
      <c r="D102" s="5">
        <v>8.9200000000000002E-2</v>
      </c>
      <c r="E102" s="5">
        <v>9.6100000000000005E-2</v>
      </c>
      <c r="F102" s="5">
        <v>0.1</v>
      </c>
      <c r="G102" s="84" t="s">
        <v>24</v>
      </c>
      <c r="H102" s="4" t="s">
        <v>49</v>
      </c>
      <c r="I102" s="1" t="s">
        <v>14</v>
      </c>
    </row>
    <row r="103" spans="1:9">
      <c r="A103" s="31"/>
      <c r="B103" s="67" t="s">
        <v>137</v>
      </c>
      <c r="C103" s="5">
        <v>0.76659999999999995</v>
      </c>
      <c r="D103" s="5">
        <v>0.78290000000000004</v>
      </c>
      <c r="E103" s="5">
        <v>0.77100000000000002</v>
      </c>
      <c r="F103" s="5">
        <v>0.8</v>
      </c>
      <c r="G103" s="84" t="s">
        <v>23</v>
      </c>
      <c r="H103" s="4" t="s">
        <v>129</v>
      </c>
      <c r="I103" s="1" t="s">
        <v>15</v>
      </c>
    </row>
    <row r="104" spans="1:9" ht="28.5">
      <c r="A104" s="31"/>
      <c r="B104" s="174" t="s">
        <v>9</v>
      </c>
      <c r="C104" s="5">
        <v>1.2E-2</v>
      </c>
      <c r="D104" s="5">
        <v>1.52E-2</v>
      </c>
      <c r="E104" s="5">
        <v>1.2200000000000001E-2</v>
      </c>
      <c r="F104" s="5">
        <v>0.05</v>
      </c>
      <c r="G104" s="85" t="s">
        <v>24</v>
      </c>
      <c r="H104" s="9" t="s">
        <v>51</v>
      </c>
      <c r="I104" s="1" t="s">
        <v>16</v>
      </c>
    </row>
    <row r="105" spans="1:9">
      <c r="A105" s="31"/>
      <c r="B105" s="174" t="s">
        <v>10</v>
      </c>
      <c r="C105" s="5">
        <v>1.6400000000000001E-2</v>
      </c>
      <c r="D105" s="5">
        <v>1.8800000000000001E-2</v>
      </c>
      <c r="E105" s="5">
        <v>1.4E-2</v>
      </c>
      <c r="F105" s="5">
        <v>0.05</v>
      </c>
      <c r="G105" s="85" t="s">
        <v>24</v>
      </c>
      <c r="H105" s="9" t="s">
        <v>51</v>
      </c>
      <c r="I105" s="1" t="s">
        <v>17</v>
      </c>
    </row>
    <row r="106" spans="1:9">
      <c r="A106" s="31"/>
      <c r="B106" s="174" t="s">
        <v>11</v>
      </c>
      <c r="C106" s="5">
        <v>0</v>
      </c>
      <c r="D106" s="5">
        <v>0</v>
      </c>
      <c r="E106" s="5">
        <v>0</v>
      </c>
      <c r="F106" s="5">
        <v>0.05</v>
      </c>
      <c r="G106" s="85" t="s">
        <v>24</v>
      </c>
      <c r="H106" s="9" t="s">
        <v>51</v>
      </c>
      <c r="I106" s="1" t="s">
        <v>18</v>
      </c>
    </row>
    <row r="107" spans="1:9">
      <c r="A107" s="31"/>
      <c r="B107" s="174" t="s">
        <v>21</v>
      </c>
      <c r="C107" s="3">
        <v>0</v>
      </c>
      <c r="D107" s="5">
        <v>0</v>
      </c>
      <c r="E107" s="3">
        <v>0</v>
      </c>
      <c r="F107" s="5">
        <v>0.05</v>
      </c>
      <c r="G107" s="85" t="s">
        <v>24</v>
      </c>
      <c r="H107" s="9" t="s">
        <v>51</v>
      </c>
      <c r="I107" s="1" t="s">
        <v>18</v>
      </c>
    </row>
    <row r="108" spans="1:9">
      <c r="A108" s="31"/>
      <c r="B108" s="2" t="s">
        <v>12</v>
      </c>
      <c r="C108" s="5">
        <v>6.4600000000000005E-2</v>
      </c>
      <c r="D108" s="5">
        <v>4.8500000000000001E-2</v>
      </c>
      <c r="E108" s="5">
        <v>6.5500000000000003E-2</v>
      </c>
      <c r="F108" s="5">
        <v>0.05</v>
      </c>
      <c r="G108" s="84" t="s">
        <v>24</v>
      </c>
      <c r="H108" s="9" t="s">
        <v>51</v>
      </c>
      <c r="I108" s="9" t="s">
        <v>18</v>
      </c>
    </row>
    <row r="109" spans="1:9">
      <c r="A109" s="31"/>
      <c r="B109" s="2" t="s">
        <v>13</v>
      </c>
      <c r="C109" s="3">
        <v>3.0000000000000001E-3</v>
      </c>
      <c r="D109" s="5">
        <v>2.0999999999999999E-3</v>
      </c>
      <c r="E109" s="3">
        <v>1.4E-3</v>
      </c>
      <c r="F109" s="3">
        <v>0.05</v>
      </c>
      <c r="G109" s="84" t="s">
        <v>24</v>
      </c>
      <c r="H109" s="10" t="s">
        <v>51</v>
      </c>
      <c r="I109" s="130" t="s">
        <v>187</v>
      </c>
    </row>
    <row r="110" spans="1:9" ht="15">
      <c r="A110" s="31"/>
      <c r="B110" s="26" t="s">
        <v>5</v>
      </c>
      <c r="C110" s="97">
        <f>SUBTOTAL(109,C101:C109)</f>
        <v>1.0078999999999998</v>
      </c>
      <c r="D110" s="97">
        <f t="shared" ref="D110:F110" si="1">SUBTOTAL(109,D101:D109)</f>
        <v>1.0084000000000002</v>
      </c>
      <c r="E110" s="97">
        <f t="shared" si="1"/>
        <v>1.0074000000000001</v>
      </c>
      <c r="F110" s="97">
        <f t="shared" si="1"/>
        <v>1.2000000000000002</v>
      </c>
      <c r="G110" s="115" t="s">
        <v>187</v>
      </c>
      <c r="H110" s="116" t="s">
        <v>187</v>
      </c>
      <c r="I110" s="110" t="s">
        <v>187</v>
      </c>
    </row>
    <row r="111" spans="1:9">
      <c r="A111" s="31"/>
      <c r="B111" s="2" t="s">
        <v>6</v>
      </c>
      <c r="C111" s="11">
        <v>5.6899999999999999E-2</v>
      </c>
      <c r="D111" s="11">
        <v>5.5399999999999998E-2</v>
      </c>
      <c r="E111" s="11">
        <v>5.0500000000000003E-2</v>
      </c>
      <c r="F111" s="11">
        <v>0.08</v>
      </c>
      <c r="G111" s="84" t="s">
        <v>23</v>
      </c>
      <c r="H111" s="9" t="s">
        <v>59</v>
      </c>
      <c r="I111" s="1" t="s">
        <v>19</v>
      </c>
    </row>
    <row r="112" spans="1:9" ht="15">
      <c r="A112" s="31"/>
      <c r="B112" s="104" t="s">
        <v>225</v>
      </c>
      <c r="C112" s="12">
        <v>1E-3</v>
      </c>
      <c r="D112" s="12">
        <v>1E-3</v>
      </c>
      <c r="E112" s="12">
        <v>1E-3</v>
      </c>
      <c r="F112" s="140" t="s">
        <v>187</v>
      </c>
      <c r="G112" s="137" t="s">
        <v>187</v>
      </c>
      <c r="H112" s="138" t="s">
        <v>187</v>
      </c>
      <c r="I112" s="144" t="s">
        <v>187</v>
      </c>
    </row>
    <row r="113" spans="1:9" ht="15">
      <c r="A113" s="18"/>
      <c r="B113" s="15"/>
      <c r="C113" s="15"/>
      <c r="D113" s="15"/>
      <c r="E113" s="17"/>
      <c r="F113" s="16"/>
      <c r="G113" s="86"/>
      <c r="H113" s="17"/>
      <c r="I113" s="165"/>
    </row>
    <row r="114" spans="1:9" ht="30">
      <c r="A114" s="28" t="s">
        <v>69</v>
      </c>
      <c r="B114" s="36" t="s">
        <v>44</v>
      </c>
      <c r="C114" s="36"/>
      <c r="D114" s="36"/>
      <c r="E114" s="37"/>
      <c r="F114" s="38"/>
      <c r="G114" s="89"/>
      <c r="H114" s="37"/>
      <c r="I114" s="39"/>
    </row>
    <row r="115" spans="1:9" ht="23.25">
      <c r="A115" s="28"/>
      <c r="B115" s="41" t="s">
        <v>45</v>
      </c>
      <c r="C115" s="41"/>
      <c r="D115" s="41"/>
      <c r="E115" s="37"/>
      <c r="F115" s="38"/>
      <c r="G115" s="89"/>
      <c r="H115" s="37"/>
      <c r="I115" s="39"/>
    </row>
    <row r="116" spans="1:9" ht="15.75">
      <c r="A116" s="29"/>
      <c r="B116" s="248" t="s">
        <v>0</v>
      </c>
      <c r="C116" s="105" t="s">
        <v>187</v>
      </c>
      <c r="D116" s="250" t="s">
        <v>224</v>
      </c>
      <c r="E116" s="247" t="s">
        <v>221</v>
      </c>
      <c r="F116" s="247" t="s">
        <v>198</v>
      </c>
      <c r="G116" s="13" t="s">
        <v>30</v>
      </c>
      <c r="H116" s="13" t="s">
        <v>20</v>
      </c>
      <c r="I116" s="13" t="s">
        <v>35</v>
      </c>
    </row>
    <row r="117" spans="1:9" ht="57">
      <c r="A117" s="31"/>
      <c r="B117" s="215" t="s">
        <v>138</v>
      </c>
      <c r="C117" s="106" t="s">
        <v>187</v>
      </c>
      <c r="D117" s="5">
        <v>0.24879999999999999</v>
      </c>
      <c r="E117" s="5">
        <v>0.23849999999999999</v>
      </c>
      <c r="F117" s="5">
        <v>0.24</v>
      </c>
      <c r="G117" s="175" t="s">
        <v>23</v>
      </c>
      <c r="H117" s="7" t="s">
        <v>63</v>
      </c>
      <c r="I117" s="6" t="s">
        <v>218</v>
      </c>
    </row>
    <row r="118" spans="1:9">
      <c r="A118" s="30"/>
      <c r="B118" s="215" t="s">
        <v>2</v>
      </c>
      <c r="C118" s="107" t="s">
        <v>187</v>
      </c>
      <c r="D118" s="3">
        <v>0.27939999999999998</v>
      </c>
      <c r="E118" s="3">
        <v>0.28810000000000002</v>
      </c>
      <c r="F118" s="3">
        <v>0.27</v>
      </c>
      <c r="G118" s="177" t="s">
        <v>24</v>
      </c>
      <c r="H118" s="4" t="s">
        <v>177</v>
      </c>
      <c r="I118" s="1" t="s">
        <v>14</v>
      </c>
    </row>
    <row r="119" spans="1:9">
      <c r="A119" s="31"/>
      <c r="B119" s="216" t="s">
        <v>137</v>
      </c>
      <c r="C119" s="106" t="s">
        <v>187</v>
      </c>
      <c r="D119" s="3">
        <v>0.33810000000000001</v>
      </c>
      <c r="E119" s="3">
        <v>0.33660000000000001</v>
      </c>
      <c r="F119" s="3">
        <v>0.35</v>
      </c>
      <c r="G119" s="177" t="s">
        <v>23</v>
      </c>
      <c r="H119" s="4" t="s">
        <v>118</v>
      </c>
      <c r="I119" s="1" t="s">
        <v>15</v>
      </c>
    </row>
    <row r="120" spans="1:9" ht="28.5">
      <c r="A120" s="31"/>
      <c r="B120" s="220" t="s">
        <v>9</v>
      </c>
      <c r="C120" s="107" t="s">
        <v>187</v>
      </c>
      <c r="D120" s="3">
        <v>8.1000000000000003E-2</v>
      </c>
      <c r="E120" s="3">
        <v>5.8099999999999999E-2</v>
      </c>
      <c r="F120" s="3">
        <v>7.0000000000000007E-2</v>
      </c>
      <c r="G120" s="178" t="s">
        <v>24</v>
      </c>
      <c r="H120" s="4" t="s">
        <v>50</v>
      </c>
      <c r="I120" s="1" t="s">
        <v>16</v>
      </c>
    </row>
    <row r="121" spans="1:9">
      <c r="A121" s="31"/>
      <c r="B121" s="220" t="s">
        <v>10</v>
      </c>
      <c r="C121" s="107" t="s">
        <v>187</v>
      </c>
      <c r="D121" s="3">
        <v>3.95E-2</v>
      </c>
      <c r="E121" s="3">
        <v>4.4400000000000002E-2</v>
      </c>
      <c r="F121" s="3">
        <v>0.05</v>
      </c>
      <c r="G121" s="178" t="s">
        <v>24</v>
      </c>
      <c r="H121" s="4" t="s">
        <v>51</v>
      </c>
      <c r="I121" s="1" t="s">
        <v>17</v>
      </c>
    </row>
    <row r="122" spans="1:9">
      <c r="A122" s="31"/>
      <c r="B122" s="220" t="s">
        <v>11</v>
      </c>
      <c r="C122" s="107" t="s">
        <v>187</v>
      </c>
      <c r="D122" s="3">
        <v>0</v>
      </c>
      <c r="E122" s="3">
        <v>0</v>
      </c>
      <c r="F122" s="3">
        <v>0.05</v>
      </c>
      <c r="G122" s="178" t="s">
        <v>24</v>
      </c>
      <c r="H122" s="4" t="s">
        <v>51</v>
      </c>
      <c r="I122" s="1" t="s">
        <v>18</v>
      </c>
    </row>
    <row r="123" spans="1:9">
      <c r="A123" s="31"/>
      <c r="B123" s="220" t="s">
        <v>21</v>
      </c>
      <c r="C123" s="107" t="s">
        <v>187</v>
      </c>
      <c r="D123" s="3">
        <v>0</v>
      </c>
      <c r="E123" s="3">
        <v>0</v>
      </c>
      <c r="F123" s="3">
        <v>0.05</v>
      </c>
      <c r="G123" s="178" t="s">
        <v>24</v>
      </c>
      <c r="H123" s="4" t="s">
        <v>51</v>
      </c>
      <c r="I123" s="1" t="s">
        <v>18</v>
      </c>
    </row>
    <row r="124" spans="1:9">
      <c r="A124" s="31"/>
      <c r="B124" s="220" t="s">
        <v>12</v>
      </c>
      <c r="C124" s="107" t="s">
        <v>187</v>
      </c>
      <c r="D124" s="3">
        <v>0.16520000000000001</v>
      </c>
      <c r="E124" s="3">
        <v>0.16619999999999999</v>
      </c>
      <c r="F124" s="3">
        <v>0.12</v>
      </c>
      <c r="G124" s="177" t="s">
        <v>24</v>
      </c>
      <c r="H124" s="4" t="s">
        <v>56</v>
      </c>
      <c r="I124" s="9" t="s">
        <v>18</v>
      </c>
    </row>
    <row r="125" spans="1:9">
      <c r="A125" s="31"/>
      <c r="B125" s="220" t="s">
        <v>13</v>
      </c>
      <c r="C125" s="107" t="s">
        <v>187</v>
      </c>
      <c r="D125" s="3">
        <v>2.06E-2</v>
      </c>
      <c r="E125" s="3">
        <v>2.1499999999999998E-2</v>
      </c>
      <c r="F125" s="3">
        <v>0.05</v>
      </c>
      <c r="G125" s="177" t="s">
        <v>24</v>
      </c>
      <c r="H125" s="179" t="s">
        <v>51</v>
      </c>
      <c r="I125" s="130" t="s">
        <v>187</v>
      </c>
    </row>
    <row r="126" spans="1:9" ht="15">
      <c r="A126" s="31"/>
      <c r="B126" s="217" t="s">
        <v>5</v>
      </c>
      <c r="C126" s="108" t="s">
        <v>187</v>
      </c>
      <c r="D126" s="97">
        <f>SUBTOTAL(109,D117:D125)</f>
        <v>1.1726000000000001</v>
      </c>
      <c r="E126" s="97">
        <f>SUBTOTAL(109,E117:E125)</f>
        <v>1.1534</v>
      </c>
      <c r="F126" s="97">
        <f>SUBTOTAL(109,F117:F125)</f>
        <v>1.2500000000000002</v>
      </c>
      <c r="G126" s="181" t="s">
        <v>187</v>
      </c>
      <c r="H126" s="182" t="s">
        <v>187</v>
      </c>
      <c r="I126" s="110" t="s">
        <v>187</v>
      </c>
    </row>
    <row r="127" spans="1:9">
      <c r="A127" s="31"/>
      <c r="B127" s="215" t="s">
        <v>6</v>
      </c>
      <c r="C127" s="107" t="s">
        <v>187</v>
      </c>
      <c r="D127" s="11">
        <v>0.17860000000000001</v>
      </c>
      <c r="E127" s="11">
        <v>0.17680000000000001</v>
      </c>
      <c r="F127" s="11">
        <v>0.18</v>
      </c>
      <c r="G127" s="177" t="s">
        <v>23</v>
      </c>
      <c r="H127" s="4" t="s">
        <v>203</v>
      </c>
      <c r="I127" s="1" t="s">
        <v>19</v>
      </c>
    </row>
    <row r="128" spans="1:9" ht="15">
      <c r="A128" s="31"/>
      <c r="B128" s="217" t="s">
        <v>225</v>
      </c>
      <c r="C128" s="108" t="s">
        <v>187</v>
      </c>
      <c r="D128" s="12">
        <v>2.2000000000000001E-3</v>
      </c>
      <c r="E128" s="12">
        <v>1.6999999999999999E-3</v>
      </c>
      <c r="F128" s="140" t="s">
        <v>187</v>
      </c>
      <c r="G128" s="137" t="s">
        <v>187</v>
      </c>
      <c r="H128" s="138" t="s">
        <v>187</v>
      </c>
      <c r="I128" s="144" t="s">
        <v>187</v>
      </c>
    </row>
    <row r="129" spans="1:9" ht="15">
      <c r="A129" s="18"/>
      <c r="B129" s="15"/>
      <c r="C129" s="15"/>
      <c r="D129" s="15"/>
      <c r="E129" s="17"/>
      <c r="F129" s="16"/>
      <c r="G129" s="86"/>
      <c r="H129" s="17"/>
      <c r="I129" s="165"/>
    </row>
    <row r="130" spans="1:9" ht="30">
      <c r="A130" s="28" t="s">
        <v>70</v>
      </c>
      <c r="B130" s="36" t="s">
        <v>71</v>
      </c>
      <c r="C130" s="36"/>
      <c r="D130" s="36"/>
      <c r="E130" s="37"/>
      <c r="F130" s="38"/>
      <c r="G130" s="89"/>
      <c r="H130" s="37"/>
      <c r="I130" s="39"/>
    </row>
    <row r="131" spans="1:9" ht="23.25">
      <c r="A131" s="28"/>
      <c r="B131" s="41" t="s">
        <v>72</v>
      </c>
      <c r="C131" s="41"/>
      <c r="D131" s="41"/>
      <c r="E131" s="37"/>
      <c r="F131" s="38"/>
      <c r="G131" s="89"/>
      <c r="H131" s="37"/>
      <c r="I131" s="39"/>
    </row>
    <row r="132" spans="1:9" ht="23.25">
      <c r="A132" s="28"/>
      <c r="B132" s="41" t="s">
        <v>73</v>
      </c>
      <c r="C132" s="41"/>
      <c r="D132" s="41"/>
      <c r="E132" s="37"/>
      <c r="F132" s="38"/>
      <c r="G132" s="89"/>
      <c r="H132" s="37"/>
      <c r="I132" s="39"/>
    </row>
    <row r="133" spans="1:9" ht="15.75">
      <c r="A133" s="29"/>
      <c r="B133" s="117" t="s">
        <v>0</v>
      </c>
      <c r="C133" s="118" t="s">
        <v>223</v>
      </c>
      <c r="D133" s="118" t="s">
        <v>222</v>
      </c>
      <c r="E133" s="118" t="s">
        <v>221</v>
      </c>
      <c r="F133" s="118" t="s">
        <v>198</v>
      </c>
      <c r="G133" s="119" t="s">
        <v>30</v>
      </c>
      <c r="H133" s="119" t="s">
        <v>20</v>
      </c>
      <c r="I133" s="119" t="s">
        <v>35</v>
      </c>
    </row>
    <row r="134" spans="1:9">
      <c r="A134" s="31"/>
      <c r="B134" s="102" t="s">
        <v>138</v>
      </c>
      <c r="C134" s="121" t="s">
        <v>187</v>
      </c>
      <c r="D134" s="121" t="s">
        <v>187</v>
      </c>
      <c r="E134" s="121" t="s">
        <v>187</v>
      </c>
      <c r="F134" s="121" t="s">
        <v>187</v>
      </c>
      <c r="G134" s="83" t="s">
        <v>23</v>
      </c>
      <c r="H134" s="155" t="s">
        <v>243</v>
      </c>
      <c r="I134" s="145" t="s">
        <v>187</v>
      </c>
    </row>
    <row r="135" spans="1:9">
      <c r="A135" s="30"/>
      <c r="B135" s="102" t="s">
        <v>2</v>
      </c>
      <c r="C135" s="55">
        <v>0.9486</v>
      </c>
      <c r="D135" s="55">
        <v>0.9325</v>
      </c>
      <c r="E135" s="55">
        <v>0.96250000000000002</v>
      </c>
      <c r="F135" s="55">
        <v>0.95</v>
      </c>
      <c r="G135" s="84" t="s">
        <v>24</v>
      </c>
      <c r="H135" s="4" t="s">
        <v>130</v>
      </c>
      <c r="I135" s="1" t="s">
        <v>14</v>
      </c>
    </row>
    <row r="136" spans="1:9">
      <c r="A136" s="31"/>
      <c r="B136" s="103" t="s">
        <v>137</v>
      </c>
      <c r="C136" s="55">
        <v>1.7999999999999999E-2</v>
      </c>
      <c r="D136" s="55">
        <v>2.35E-2</v>
      </c>
      <c r="E136" s="55">
        <v>2.2800000000000001E-2</v>
      </c>
      <c r="F136" s="55">
        <v>0.06</v>
      </c>
      <c r="G136" s="84" t="s">
        <v>23</v>
      </c>
      <c r="H136" s="4" t="s">
        <v>58</v>
      </c>
      <c r="I136" s="143" t="s">
        <v>187</v>
      </c>
    </row>
    <row r="137" spans="1:9">
      <c r="A137" s="31"/>
      <c r="B137" s="156" t="s">
        <v>12</v>
      </c>
      <c r="C137" s="55">
        <v>3.3300000000000003E-2</v>
      </c>
      <c r="D137" s="55">
        <v>4.3900000000000002E-2</v>
      </c>
      <c r="E137" s="55">
        <v>1.47E-2</v>
      </c>
      <c r="F137" s="55">
        <v>0.05</v>
      </c>
      <c r="G137" s="84" t="s">
        <v>24</v>
      </c>
      <c r="H137" s="9" t="s">
        <v>51</v>
      </c>
      <c r="I137" s="9" t="s">
        <v>18</v>
      </c>
    </row>
    <row r="138" spans="1:9" ht="15">
      <c r="A138" s="31"/>
      <c r="B138" s="104" t="s">
        <v>5</v>
      </c>
      <c r="C138" s="27">
        <f>SUBTOTAL(109,C134:C137)</f>
        <v>0.99990000000000001</v>
      </c>
      <c r="D138" s="27">
        <f t="shared" ref="D138:F138" si="2">SUBTOTAL(109,D134:D137)</f>
        <v>0.99990000000000001</v>
      </c>
      <c r="E138" s="27">
        <f t="shared" si="2"/>
        <v>1</v>
      </c>
      <c r="F138" s="27">
        <f t="shared" si="2"/>
        <v>1.06</v>
      </c>
      <c r="G138" s="115" t="s">
        <v>187</v>
      </c>
      <c r="H138" s="116" t="s">
        <v>243</v>
      </c>
      <c r="I138" s="110" t="s">
        <v>187</v>
      </c>
    </row>
    <row r="139" spans="1:9">
      <c r="A139" s="31"/>
      <c r="B139" s="102" t="s">
        <v>6</v>
      </c>
      <c r="C139" s="139" t="s">
        <v>187</v>
      </c>
      <c r="D139" s="139" t="s">
        <v>187</v>
      </c>
      <c r="E139" s="139">
        <v>0</v>
      </c>
      <c r="F139" s="139" t="s">
        <v>187</v>
      </c>
      <c r="G139" s="84" t="s">
        <v>23</v>
      </c>
      <c r="H139" s="130" t="s">
        <v>243</v>
      </c>
      <c r="I139" s="143" t="s">
        <v>187</v>
      </c>
    </row>
    <row r="140" spans="1:9" ht="15">
      <c r="A140" s="31"/>
      <c r="B140" s="104" t="s">
        <v>225</v>
      </c>
      <c r="C140" s="12">
        <v>1E-3</v>
      </c>
      <c r="D140" s="12">
        <v>1E-3</v>
      </c>
      <c r="E140" s="12">
        <v>1E-3</v>
      </c>
      <c r="F140" s="140" t="s">
        <v>187</v>
      </c>
      <c r="G140" s="137" t="s">
        <v>187</v>
      </c>
      <c r="H140" s="138" t="s">
        <v>187</v>
      </c>
      <c r="I140" s="144" t="s">
        <v>187</v>
      </c>
    </row>
    <row r="141" spans="1:9" ht="15">
      <c r="A141" s="18"/>
      <c r="B141" s="15"/>
      <c r="C141" s="15"/>
      <c r="D141" s="15"/>
      <c r="E141" s="17"/>
      <c r="F141" s="16"/>
      <c r="G141" s="86"/>
      <c r="H141" s="17"/>
      <c r="I141" s="165"/>
    </row>
    <row r="142" spans="1:9" ht="30">
      <c r="A142" s="42" t="s">
        <v>92</v>
      </c>
      <c r="B142" s="36" t="s">
        <v>74</v>
      </c>
      <c r="C142" s="36"/>
      <c r="D142" s="36"/>
      <c r="E142" s="37"/>
      <c r="F142" s="38"/>
      <c r="G142" s="89"/>
      <c r="H142" s="37"/>
      <c r="I142" s="39"/>
    </row>
    <row r="143" spans="1:9" ht="23.25">
      <c r="A143" s="42"/>
      <c r="B143" s="41" t="s">
        <v>75</v>
      </c>
      <c r="C143" s="41"/>
      <c r="D143" s="41"/>
      <c r="E143" s="37"/>
      <c r="F143" s="38"/>
      <c r="G143" s="89"/>
      <c r="H143" s="37"/>
      <c r="I143" s="39"/>
    </row>
    <row r="144" spans="1:9" ht="23.25">
      <c r="A144" s="42"/>
      <c r="B144" s="41" t="s">
        <v>76</v>
      </c>
      <c r="C144" s="41"/>
      <c r="D144" s="41"/>
      <c r="E144" s="37"/>
      <c r="F144" s="38"/>
      <c r="G144" s="89"/>
      <c r="H144" s="37"/>
      <c r="I144" s="39"/>
    </row>
    <row r="145" spans="1:9" ht="15.75">
      <c r="A145" s="43"/>
      <c r="B145" s="117" t="s">
        <v>0</v>
      </c>
      <c r="C145" s="118" t="s">
        <v>223</v>
      </c>
      <c r="D145" s="118" t="s">
        <v>222</v>
      </c>
      <c r="E145" s="118" t="s">
        <v>221</v>
      </c>
      <c r="F145" s="118" t="s">
        <v>198</v>
      </c>
      <c r="G145" s="119" t="s">
        <v>30</v>
      </c>
      <c r="H145" s="119" t="s">
        <v>20</v>
      </c>
      <c r="I145" s="119" t="s">
        <v>35</v>
      </c>
    </row>
    <row r="146" spans="1:9" ht="28.5">
      <c r="A146" s="45"/>
      <c r="B146" s="102" t="s">
        <v>138</v>
      </c>
      <c r="C146" s="60">
        <v>0.44180000000000003</v>
      </c>
      <c r="D146" s="60">
        <v>0.44169999999999998</v>
      </c>
      <c r="E146" s="60">
        <v>0.44290000000000002</v>
      </c>
      <c r="F146" s="60">
        <v>0.46</v>
      </c>
      <c r="G146" s="83" t="s">
        <v>23</v>
      </c>
      <c r="H146" s="7" t="s">
        <v>48</v>
      </c>
      <c r="I146" s="6" t="s">
        <v>227</v>
      </c>
    </row>
    <row r="147" spans="1:9">
      <c r="A147" s="44"/>
      <c r="B147" s="102" t="s">
        <v>2</v>
      </c>
      <c r="C147" s="55">
        <v>0.24099999999999999</v>
      </c>
      <c r="D147" s="55">
        <v>0.22370000000000001</v>
      </c>
      <c r="E147" s="55">
        <v>0.22009999999999999</v>
      </c>
      <c r="F147" s="55">
        <v>0.2</v>
      </c>
      <c r="G147" s="84" t="s">
        <v>24</v>
      </c>
      <c r="H147" s="4" t="s">
        <v>131</v>
      </c>
      <c r="I147" s="1" t="s">
        <v>14</v>
      </c>
    </row>
    <row r="148" spans="1:9">
      <c r="A148" s="45"/>
      <c r="B148" s="103" t="s">
        <v>137</v>
      </c>
      <c r="C148" s="55">
        <v>0.38790000000000002</v>
      </c>
      <c r="D148" s="55">
        <v>0.36909999999999998</v>
      </c>
      <c r="E148" s="55">
        <v>0.36720000000000003</v>
      </c>
      <c r="F148" s="55">
        <v>0.34</v>
      </c>
      <c r="G148" s="84" t="s">
        <v>23</v>
      </c>
      <c r="H148" s="4" t="s">
        <v>125</v>
      </c>
      <c r="I148" s="1" t="s">
        <v>15</v>
      </c>
    </row>
    <row r="149" spans="1:9">
      <c r="A149" s="45"/>
      <c r="B149" s="102" t="s">
        <v>12</v>
      </c>
      <c r="C149" s="55">
        <v>0.19309999999999999</v>
      </c>
      <c r="D149" s="55">
        <v>0.18629999999999999</v>
      </c>
      <c r="E149" s="55">
        <v>0.1875</v>
      </c>
      <c r="F149" s="55">
        <v>0.15</v>
      </c>
      <c r="G149" s="84" t="s">
        <v>24</v>
      </c>
      <c r="H149" s="9" t="s">
        <v>52</v>
      </c>
      <c r="I149" s="9" t="s">
        <v>18</v>
      </c>
    </row>
    <row r="150" spans="1:9" ht="15">
      <c r="A150" s="45"/>
      <c r="B150" s="104" t="s">
        <v>5</v>
      </c>
      <c r="C150" s="100">
        <f>SUBTOTAL(109,C146:C149)</f>
        <v>1.2638</v>
      </c>
      <c r="D150" s="100">
        <f t="shared" ref="D150:F150" si="3">SUBTOTAL(109,D146:D149)</f>
        <v>1.2207999999999999</v>
      </c>
      <c r="E150" s="100">
        <f t="shared" si="3"/>
        <v>1.2177</v>
      </c>
      <c r="F150" s="100">
        <f t="shared" si="3"/>
        <v>1.1499999999999999</v>
      </c>
      <c r="G150" s="115" t="s">
        <v>187</v>
      </c>
      <c r="H150" s="116" t="s">
        <v>187</v>
      </c>
      <c r="I150" s="110" t="s">
        <v>187</v>
      </c>
    </row>
    <row r="151" spans="1:9">
      <c r="A151" s="45"/>
      <c r="B151" s="102" t="s">
        <v>6</v>
      </c>
      <c r="C151" s="66">
        <v>0.15659999999999999</v>
      </c>
      <c r="D151" s="66">
        <v>0.1535</v>
      </c>
      <c r="E151" s="66">
        <v>0.15229999999999999</v>
      </c>
      <c r="F151" s="66">
        <v>0.18</v>
      </c>
      <c r="G151" s="84" t="s">
        <v>23</v>
      </c>
      <c r="H151" s="9" t="s">
        <v>203</v>
      </c>
      <c r="I151" s="1" t="s">
        <v>19</v>
      </c>
    </row>
    <row r="152" spans="1:9" ht="15">
      <c r="A152" s="45"/>
      <c r="B152" s="104" t="s">
        <v>225</v>
      </c>
      <c r="C152" s="12">
        <v>5.9999999999999995E-4</v>
      </c>
      <c r="D152" s="12">
        <v>5.9999999999999995E-4</v>
      </c>
      <c r="E152" s="12">
        <v>5.9999999999999995E-4</v>
      </c>
      <c r="F152" s="136" t="s">
        <v>187</v>
      </c>
      <c r="G152" s="137" t="s">
        <v>187</v>
      </c>
      <c r="H152" s="138" t="s">
        <v>187</v>
      </c>
      <c r="I152" s="144" t="s">
        <v>187</v>
      </c>
    </row>
    <row r="153" spans="1:9" ht="15">
      <c r="A153" s="18"/>
      <c r="B153" s="15"/>
      <c r="C153" s="15"/>
      <c r="D153" s="15"/>
      <c r="E153" s="17"/>
      <c r="F153" s="16"/>
      <c r="G153" s="86"/>
      <c r="H153" s="17"/>
      <c r="I153" s="165"/>
    </row>
    <row r="154" spans="1:9" ht="30">
      <c r="A154" s="42" t="s">
        <v>82</v>
      </c>
      <c r="B154" s="36" t="s">
        <v>79</v>
      </c>
      <c r="C154" s="36"/>
      <c r="D154" s="36"/>
      <c r="E154" s="37"/>
      <c r="F154" s="38"/>
      <c r="G154" s="89"/>
      <c r="H154" s="37"/>
      <c r="I154" s="39"/>
    </row>
    <row r="155" spans="1:9" ht="23.25">
      <c r="A155" s="42"/>
      <c r="B155" s="41" t="s">
        <v>80</v>
      </c>
      <c r="C155" s="41"/>
      <c r="D155" s="41"/>
      <c r="E155" s="37"/>
      <c r="F155" s="38"/>
      <c r="G155" s="89"/>
      <c r="H155" s="37"/>
      <c r="I155" s="39"/>
    </row>
    <row r="156" spans="1:9" ht="23.25">
      <c r="A156" s="42"/>
      <c r="B156" s="41" t="s">
        <v>81</v>
      </c>
      <c r="C156" s="41"/>
      <c r="D156" s="41"/>
      <c r="E156" s="37"/>
      <c r="F156" s="38"/>
      <c r="G156" s="89"/>
      <c r="H156" s="37"/>
      <c r="I156" s="39"/>
    </row>
    <row r="157" spans="1:9" ht="15.75">
      <c r="A157" s="43"/>
      <c r="B157" s="131" t="s">
        <v>0</v>
      </c>
      <c r="C157" s="118" t="s">
        <v>223</v>
      </c>
      <c r="D157" s="118" t="s">
        <v>222</v>
      </c>
      <c r="E157" s="118" t="s">
        <v>221</v>
      </c>
      <c r="F157" s="118" t="s">
        <v>198</v>
      </c>
      <c r="G157" s="119" t="s">
        <v>30</v>
      </c>
      <c r="H157" s="119" t="s">
        <v>20</v>
      </c>
      <c r="I157" s="119" t="s">
        <v>35</v>
      </c>
    </row>
    <row r="158" spans="1:9" ht="28.5">
      <c r="A158" s="45"/>
      <c r="B158" s="174" t="s">
        <v>138</v>
      </c>
      <c r="C158" s="60">
        <v>0.96960000000000002</v>
      </c>
      <c r="D158" s="60">
        <v>0.96309999999999996</v>
      </c>
      <c r="E158" s="60">
        <v>0.96389999999999998</v>
      </c>
      <c r="F158" s="60">
        <v>0.94</v>
      </c>
      <c r="G158" s="83" t="s">
        <v>23</v>
      </c>
      <c r="H158" s="7" t="s">
        <v>98</v>
      </c>
      <c r="I158" s="6" t="s">
        <v>227</v>
      </c>
    </row>
    <row r="159" spans="1:9">
      <c r="A159" s="44"/>
      <c r="B159" s="174" t="s">
        <v>2</v>
      </c>
      <c r="C159" s="55">
        <v>0.41870000000000002</v>
      </c>
      <c r="D159" s="55">
        <v>0.4289</v>
      </c>
      <c r="E159" s="55">
        <v>0.4284</v>
      </c>
      <c r="F159" s="55">
        <v>0.47</v>
      </c>
      <c r="G159" s="84" t="s">
        <v>24</v>
      </c>
      <c r="H159" s="4" t="s">
        <v>132</v>
      </c>
      <c r="I159" s="1" t="s">
        <v>14</v>
      </c>
    </row>
    <row r="160" spans="1:9">
      <c r="A160" s="45"/>
      <c r="B160" s="183" t="s">
        <v>137</v>
      </c>
      <c r="C160" s="55">
        <v>2.53E-2</v>
      </c>
      <c r="D160" s="55">
        <v>2.4500000000000001E-2</v>
      </c>
      <c r="E160" s="55">
        <v>2.3900000000000001E-2</v>
      </c>
      <c r="F160" s="55">
        <v>0.06</v>
      </c>
      <c r="G160" s="84" t="s">
        <v>23</v>
      </c>
      <c r="H160" s="4" t="s">
        <v>58</v>
      </c>
      <c r="I160" s="1" t="s">
        <v>15</v>
      </c>
    </row>
    <row r="161" spans="1:9">
      <c r="A161" s="45"/>
      <c r="B161" s="174" t="s">
        <v>12</v>
      </c>
      <c r="C161" s="3">
        <v>0.16120000000000001</v>
      </c>
      <c r="D161" s="3">
        <v>0.16370000000000001</v>
      </c>
      <c r="E161" s="3">
        <v>0.15340000000000001</v>
      </c>
      <c r="F161" s="3">
        <v>0.15</v>
      </c>
      <c r="G161" s="84" t="s">
        <v>24</v>
      </c>
      <c r="H161" s="9" t="s">
        <v>52</v>
      </c>
      <c r="I161" s="9" t="s">
        <v>18</v>
      </c>
    </row>
    <row r="162" spans="1:9" ht="15">
      <c r="A162" s="45"/>
      <c r="B162" s="184" t="s">
        <v>5</v>
      </c>
      <c r="C162" s="97">
        <f>SUBTOTAL(109,C158:C161)</f>
        <v>1.5748000000000002</v>
      </c>
      <c r="D162" s="97">
        <f>SUBTOTAL(109,D158:D161)</f>
        <v>1.5801999999999998</v>
      </c>
      <c r="E162" s="97">
        <f>SUBTOTAL(109,E158:E161)</f>
        <v>1.5696000000000001</v>
      </c>
      <c r="F162" s="97">
        <f>SUBTOTAL(109,F158:F161)</f>
        <v>1.6199999999999999</v>
      </c>
      <c r="G162" s="115" t="s">
        <v>187</v>
      </c>
      <c r="H162" s="116" t="s">
        <v>187</v>
      </c>
      <c r="I162" s="110" t="s">
        <v>187</v>
      </c>
    </row>
    <row r="163" spans="1:9">
      <c r="A163" s="45"/>
      <c r="B163" s="174" t="s">
        <v>6</v>
      </c>
      <c r="C163" s="11">
        <v>0.17899999999999999</v>
      </c>
      <c r="D163" s="11">
        <v>0.1681</v>
      </c>
      <c r="E163" s="11">
        <v>0.17780000000000001</v>
      </c>
      <c r="F163" s="11">
        <v>0.18</v>
      </c>
      <c r="G163" s="84" t="s">
        <v>23</v>
      </c>
      <c r="H163" s="9" t="s">
        <v>203</v>
      </c>
      <c r="I163" s="1" t="s">
        <v>19</v>
      </c>
    </row>
    <row r="164" spans="1:9" ht="15">
      <c r="A164" s="45"/>
      <c r="B164" s="104" t="s">
        <v>225</v>
      </c>
      <c r="C164" s="12">
        <v>5.9999999999999995E-4</v>
      </c>
      <c r="D164" s="12">
        <v>5.9999999999999995E-4</v>
      </c>
      <c r="E164" s="98">
        <v>5.9999999999999995E-4</v>
      </c>
      <c r="F164" s="136" t="s">
        <v>187</v>
      </c>
      <c r="G164" s="137" t="s">
        <v>187</v>
      </c>
      <c r="H164" s="138" t="s">
        <v>187</v>
      </c>
      <c r="I164" s="144" t="s">
        <v>187</v>
      </c>
    </row>
    <row r="165" spans="1:9" ht="15">
      <c r="A165" s="18"/>
      <c r="B165" s="15"/>
      <c r="C165" s="15"/>
      <c r="D165" s="15"/>
      <c r="E165" s="17"/>
      <c r="F165" s="16"/>
      <c r="G165" s="86"/>
      <c r="H165" s="17"/>
      <c r="I165" s="165"/>
    </row>
    <row r="166" spans="1:9" ht="30">
      <c r="A166" s="42" t="s">
        <v>83</v>
      </c>
      <c r="B166" s="36" t="s">
        <v>84</v>
      </c>
      <c r="C166" s="36"/>
      <c r="D166" s="36"/>
      <c r="E166" s="37"/>
      <c r="F166" s="38"/>
      <c r="G166" s="89"/>
      <c r="H166" s="37"/>
      <c r="I166" s="39"/>
    </row>
    <row r="167" spans="1:9" ht="23.25">
      <c r="A167" s="42"/>
      <c r="B167" s="41" t="s">
        <v>85</v>
      </c>
      <c r="C167" s="41"/>
      <c r="D167" s="41"/>
      <c r="E167" s="37"/>
      <c r="F167" s="38"/>
      <c r="G167" s="89"/>
      <c r="H167" s="37"/>
      <c r="I167" s="39"/>
    </row>
    <row r="168" spans="1:9" ht="23.25">
      <c r="A168" s="42"/>
      <c r="B168" s="41" t="s">
        <v>89</v>
      </c>
      <c r="C168" s="41"/>
      <c r="D168" s="41"/>
      <c r="E168" s="37"/>
      <c r="F168" s="38"/>
      <c r="G168" s="89"/>
      <c r="H168" s="37"/>
      <c r="I168" s="39"/>
    </row>
    <row r="169" spans="1:9" ht="15.75">
      <c r="A169" s="43"/>
      <c r="B169" s="131" t="s">
        <v>0</v>
      </c>
      <c r="C169" s="118" t="s">
        <v>223</v>
      </c>
      <c r="D169" s="118" t="s">
        <v>222</v>
      </c>
      <c r="E169" s="118" t="s">
        <v>221</v>
      </c>
      <c r="F169" s="118" t="s">
        <v>198</v>
      </c>
      <c r="G169" s="119" t="s">
        <v>30</v>
      </c>
      <c r="H169" s="119" t="s">
        <v>20</v>
      </c>
      <c r="I169" s="119" t="s">
        <v>35</v>
      </c>
    </row>
    <row r="170" spans="1:9" ht="28.5">
      <c r="A170" s="45"/>
      <c r="B170" s="174" t="s">
        <v>138</v>
      </c>
      <c r="C170" s="5">
        <v>3.4299999999999997E-2</v>
      </c>
      <c r="D170" s="5">
        <v>2.76E-2</v>
      </c>
      <c r="E170" s="5">
        <v>2.69E-2</v>
      </c>
      <c r="F170" s="5">
        <v>0.06</v>
      </c>
      <c r="G170" s="83" t="s">
        <v>23</v>
      </c>
      <c r="H170" s="7" t="s">
        <v>58</v>
      </c>
      <c r="I170" s="6" t="s">
        <v>227</v>
      </c>
    </row>
    <row r="171" spans="1:9">
      <c r="A171" s="44"/>
      <c r="B171" s="174" t="s">
        <v>2</v>
      </c>
      <c r="C171" s="3">
        <v>0.1047</v>
      </c>
      <c r="D171" s="3">
        <v>0.10580000000000001</v>
      </c>
      <c r="E171" s="3">
        <v>0.1124</v>
      </c>
      <c r="F171" s="3">
        <v>0.1</v>
      </c>
      <c r="G171" s="84" t="s">
        <v>24</v>
      </c>
      <c r="H171" s="4" t="s">
        <v>49</v>
      </c>
      <c r="I171" s="1" t="s">
        <v>14</v>
      </c>
    </row>
    <row r="172" spans="1:9">
      <c r="A172" s="45"/>
      <c r="B172" s="183" t="s">
        <v>137</v>
      </c>
      <c r="C172" s="3">
        <v>0.82169999999999999</v>
      </c>
      <c r="D172" s="3">
        <v>0.82040000000000002</v>
      </c>
      <c r="E172" s="3">
        <v>0.78590000000000004</v>
      </c>
      <c r="F172" s="3">
        <v>0.85</v>
      </c>
      <c r="G172" s="84" t="s">
        <v>23</v>
      </c>
      <c r="H172" s="4" t="s">
        <v>235</v>
      </c>
      <c r="I172" s="1" t="s">
        <v>15</v>
      </c>
    </row>
    <row r="173" spans="1:9">
      <c r="A173" s="45"/>
      <c r="B173" s="174" t="s">
        <v>12</v>
      </c>
      <c r="C173" s="55">
        <v>4.1700000000000001E-2</v>
      </c>
      <c r="D173" s="55">
        <v>4.8099999999999997E-2</v>
      </c>
      <c r="E173" s="55">
        <v>7.6899999999999996E-2</v>
      </c>
      <c r="F173" s="55">
        <v>0.05</v>
      </c>
      <c r="G173" s="84" t="s">
        <v>24</v>
      </c>
      <c r="H173" s="9" t="s">
        <v>51</v>
      </c>
      <c r="I173" s="9" t="s">
        <v>18</v>
      </c>
    </row>
    <row r="174" spans="1:9" ht="15">
      <c r="A174" s="45"/>
      <c r="B174" s="184" t="s">
        <v>5</v>
      </c>
      <c r="C174" s="97">
        <f>SUBTOTAL(109,C170:C173)</f>
        <v>1.0024</v>
      </c>
      <c r="D174" s="97">
        <f>SUBTOTAL(109,D170:D173)</f>
        <v>1.0019</v>
      </c>
      <c r="E174" s="97">
        <f>SUBTOTAL(109,E170:E173)</f>
        <v>1.0021</v>
      </c>
      <c r="F174" s="97">
        <f>SUBTOTAL(109,F170:F173)</f>
        <v>1.06</v>
      </c>
      <c r="G174" s="115" t="s">
        <v>187</v>
      </c>
      <c r="H174" s="116" t="s">
        <v>243</v>
      </c>
      <c r="I174" s="110" t="s">
        <v>187</v>
      </c>
    </row>
    <row r="175" spans="1:9">
      <c r="A175" s="45"/>
      <c r="B175" s="174" t="s">
        <v>6</v>
      </c>
      <c r="C175" s="11">
        <v>5.3999999999999999E-2</v>
      </c>
      <c r="D175" s="11">
        <v>4.5999999999999999E-2</v>
      </c>
      <c r="E175" s="11">
        <v>4.19E-2</v>
      </c>
      <c r="F175" s="11">
        <v>0.08</v>
      </c>
      <c r="G175" s="84" t="s">
        <v>23</v>
      </c>
      <c r="H175" s="9" t="s">
        <v>59</v>
      </c>
      <c r="I175" s="1" t="s">
        <v>19</v>
      </c>
    </row>
    <row r="176" spans="1:9" ht="15">
      <c r="A176" s="45"/>
      <c r="B176" s="104" t="s">
        <v>225</v>
      </c>
      <c r="C176" s="12">
        <v>5.9999999999999995E-4</v>
      </c>
      <c r="D176" s="12">
        <v>5.9999999999999995E-4</v>
      </c>
      <c r="E176" s="12">
        <v>5.9999999999999995E-4</v>
      </c>
      <c r="F176" s="136" t="s">
        <v>187</v>
      </c>
      <c r="G176" s="137" t="s">
        <v>187</v>
      </c>
      <c r="H176" s="138" t="s">
        <v>187</v>
      </c>
      <c r="I176" s="144" t="s">
        <v>187</v>
      </c>
    </row>
    <row r="177" spans="1:9" ht="15">
      <c r="A177" s="18"/>
      <c r="B177" s="15"/>
      <c r="C177" s="15"/>
      <c r="D177" s="15"/>
      <c r="E177" s="17"/>
      <c r="F177" s="16"/>
      <c r="G177" s="86"/>
      <c r="H177" s="17"/>
      <c r="I177" s="165"/>
    </row>
    <row r="178" spans="1:9" ht="30">
      <c r="A178" s="42" t="s">
        <v>90</v>
      </c>
      <c r="B178" s="36" t="s">
        <v>88</v>
      </c>
      <c r="C178" s="36"/>
      <c r="D178" s="36"/>
      <c r="E178" s="37"/>
      <c r="F178" s="38"/>
      <c r="G178" s="89"/>
      <c r="H178" s="37"/>
      <c r="I178" s="39"/>
    </row>
    <row r="179" spans="1:9" ht="23.25">
      <c r="A179" s="42"/>
      <c r="B179" s="41" t="s">
        <v>87</v>
      </c>
      <c r="C179" s="41"/>
      <c r="D179" s="41"/>
      <c r="E179" s="37"/>
      <c r="F179" s="38"/>
      <c r="G179" s="89"/>
      <c r="H179" s="37"/>
      <c r="I179" s="39"/>
    </row>
    <row r="180" spans="1:9" ht="15.75">
      <c r="A180" s="43"/>
      <c r="B180" s="248" t="s">
        <v>0</v>
      </c>
      <c r="C180" s="105" t="s">
        <v>187</v>
      </c>
      <c r="D180" s="247" t="s">
        <v>222</v>
      </c>
      <c r="E180" s="247" t="s">
        <v>221</v>
      </c>
      <c r="F180" s="247" t="s">
        <v>198</v>
      </c>
      <c r="G180" s="13" t="s">
        <v>30</v>
      </c>
      <c r="H180" s="13" t="s">
        <v>20</v>
      </c>
      <c r="I180" s="13" t="s">
        <v>35</v>
      </c>
    </row>
    <row r="181" spans="1:9" ht="28.5">
      <c r="A181" s="45"/>
      <c r="B181" s="215" t="s">
        <v>138</v>
      </c>
      <c r="C181" s="106" t="s">
        <v>187</v>
      </c>
      <c r="D181" s="5">
        <v>0.20569999999999999</v>
      </c>
      <c r="E181" s="5">
        <v>0.20519999999999999</v>
      </c>
      <c r="F181" s="5">
        <v>0.19</v>
      </c>
      <c r="G181" s="83" t="s">
        <v>23</v>
      </c>
      <c r="H181" s="7" t="s">
        <v>55</v>
      </c>
      <c r="I181" s="6" t="s">
        <v>227</v>
      </c>
    </row>
    <row r="182" spans="1:9">
      <c r="A182" s="44"/>
      <c r="B182" s="215" t="s">
        <v>2</v>
      </c>
      <c r="C182" s="107" t="s">
        <v>187</v>
      </c>
      <c r="D182" s="3">
        <v>0.25119999999999998</v>
      </c>
      <c r="E182" s="3">
        <v>0.25729999999999997</v>
      </c>
      <c r="F182" s="3">
        <v>0.25</v>
      </c>
      <c r="G182" s="84" t="s">
        <v>24</v>
      </c>
      <c r="H182" s="4" t="s">
        <v>54</v>
      </c>
      <c r="I182" s="1" t="s">
        <v>14</v>
      </c>
    </row>
    <row r="183" spans="1:9">
      <c r="A183" s="45"/>
      <c r="B183" s="216" t="s">
        <v>137</v>
      </c>
      <c r="C183" s="106" t="s">
        <v>187</v>
      </c>
      <c r="D183" s="3">
        <v>0.44259999999999999</v>
      </c>
      <c r="E183" s="3">
        <v>0.4415</v>
      </c>
      <c r="F183" s="3">
        <v>0.45</v>
      </c>
      <c r="G183" s="84" t="s">
        <v>23</v>
      </c>
      <c r="H183" s="4" t="s">
        <v>66</v>
      </c>
      <c r="I183" s="1" t="s">
        <v>15</v>
      </c>
    </row>
    <row r="184" spans="1:9">
      <c r="A184" s="45"/>
      <c r="B184" s="215" t="s">
        <v>12</v>
      </c>
      <c r="C184" s="107" t="s">
        <v>187</v>
      </c>
      <c r="D184" s="3">
        <v>0.16739999999999999</v>
      </c>
      <c r="E184" s="3">
        <v>0.1661</v>
      </c>
      <c r="F184" s="3">
        <v>0.15</v>
      </c>
      <c r="G184" s="84" t="s">
        <v>24</v>
      </c>
      <c r="H184" s="9" t="s">
        <v>52</v>
      </c>
      <c r="I184" s="9" t="s">
        <v>18</v>
      </c>
    </row>
    <row r="185" spans="1:9" ht="15">
      <c r="A185" s="45"/>
      <c r="B185" s="217" t="s">
        <v>5</v>
      </c>
      <c r="C185" s="107" t="s">
        <v>187</v>
      </c>
      <c r="D185" s="97">
        <f>SUBTOTAL(109,D181:D184)</f>
        <v>1.0669</v>
      </c>
      <c r="E185" s="97">
        <f>SUBTOTAL(109,E181:E184)</f>
        <v>1.0700999999999998</v>
      </c>
      <c r="F185" s="97">
        <f>SUBTOTAL(109,F181:F184)</f>
        <v>1.04</v>
      </c>
      <c r="G185" s="115" t="s">
        <v>187</v>
      </c>
      <c r="H185" s="116" t="s">
        <v>243</v>
      </c>
      <c r="I185" s="110" t="s">
        <v>187</v>
      </c>
    </row>
    <row r="186" spans="1:9">
      <c r="A186" s="45"/>
      <c r="B186" s="215" t="s">
        <v>6</v>
      </c>
      <c r="C186" s="107" t="s">
        <v>187</v>
      </c>
      <c r="D186" s="11">
        <v>0.16170000000000001</v>
      </c>
      <c r="E186" s="11">
        <v>0.15620000000000001</v>
      </c>
      <c r="F186" s="11">
        <v>0.16</v>
      </c>
      <c r="G186" s="84" t="s">
        <v>23</v>
      </c>
      <c r="H186" s="9" t="s">
        <v>133</v>
      </c>
      <c r="I186" s="1" t="s">
        <v>19</v>
      </c>
    </row>
    <row r="187" spans="1:9" ht="15">
      <c r="A187" s="45"/>
      <c r="B187" s="217" t="s">
        <v>225</v>
      </c>
      <c r="C187" s="107" t="s">
        <v>187</v>
      </c>
      <c r="D187" s="98">
        <v>5.9999999999999995E-4</v>
      </c>
      <c r="E187" s="98">
        <v>5.9999999999999995E-4</v>
      </c>
      <c r="F187" s="136" t="s">
        <v>187</v>
      </c>
      <c r="G187" s="137" t="s">
        <v>187</v>
      </c>
      <c r="H187" s="138" t="s">
        <v>187</v>
      </c>
      <c r="I187" s="144" t="s">
        <v>187</v>
      </c>
    </row>
    <row r="188" spans="1:9" ht="15">
      <c r="A188" s="18"/>
      <c r="B188" s="15"/>
      <c r="C188" s="15"/>
      <c r="D188" s="15"/>
      <c r="E188" s="17"/>
      <c r="F188" s="16"/>
      <c r="G188" s="86"/>
      <c r="H188" s="17"/>
      <c r="I188" s="165"/>
    </row>
    <row r="189" spans="1:9" ht="30">
      <c r="A189" s="46" t="s">
        <v>93</v>
      </c>
      <c r="B189" s="36" t="s">
        <v>94</v>
      </c>
      <c r="C189" s="36"/>
      <c r="D189" s="36"/>
      <c r="E189" s="37"/>
      <c r="F189" s="38"/>
      <c r="G189" s="89"/>
      <c r="H189" s="37"/>
      <c r="I189" s="39"/>
    </row>
    <row r="190" spans="1:9" ht="23.25">
      <c r="A190" s="46"/>
      <c r="B190" s="41" t="s">
        <v>95</v>
      </c>
      <c r="C190" s="41"/>
      <c r="D190" s="41"/>
      <c r="E190" s="37"/>
      <c r="F190" s="38"/>
      <c r="G190" s="89"/>
      <c r="H190" s="37"/>
      <c r="I190" s="39"/>
    </row>
    <row r="191" spans="1:9" ht="23.25">
      <c r="A191" s="46"/>
      <c r="B191" s="41" t="s">
        <v>96</v>
      </c>
      <c r="C191" s="41"/>
      <c r="D191" s="41"/>
      <c r="E191" s="37"/>
      <c r="F191" s="38"/>
      <c r="G191" s="89"/>
      <c r="H191" s="37"/>
      <c r="I191" s="39"/>
    </row>
    <row r="192" spans="1:9" ht="15.75">
      <c r="A192" s="47"/>
      <c r="B192" s="117" t="s">
        <v>0</v>
      </c>
      <c r="C192" s="118" t="s">
        <v>223</v>
      </c>
      <c r="D192" s="118" t="s">
        <v>222</v>
      </c>
      <c r="E192" s="118" t="s">
        <v>221</v>
      </c>
      <c r="F192" s="118" t="s">
        <v>198</v>
      </c>
      <c r="G192" s="119" t="s">
        <v>30</v>
      </c>
      <c r="H192" s="119" t="s">
        <v>20</v>
      </c>
      <c r="I192" s="119" t="s">
        <v>35</v>
      </c>
    </row>
    <row r="193" spans="1:9">
      <c r="A193" s="49"/>
      <c r="B193" s="102" t="s">
        <v>138</v>
      </c>
      <c r="C193" s="60">
        <v>0.43340000000000001</v>
      </c>
      <c r="D193" s="60">
        <v>0.47099999999999997</v>
      </c>
      <c r="E193" s="60">
        <v>0.43809999999999999</v>
      </c>
      <c r="F193" s="60">
        <v>0.43</v>
      </c>
      <c r="G193" s="83" t="s">
        <v>23</v>
      </c>
      <c r="H193" s="7" t="s">
        <v>97</v>
      </c>
      <c r="I193" s="52" t="s">
        <v>27</v>
      </c>
    </row>
    <row r="194" spans="1:9">
      <c r="A194" s="48"/>
      <c r="B194" s="102" t="s">
        <v>2</v>
      </c>
      <c r="C194" s="55">
        <v>0.62229999999999996</v>
      </c>
      <c r="D194" s="55">
        <v>0.62350000000000005</v>
      </c>
      <c r="E194" s="55">
        <v>0.56140000000000001</v>
      </c>
      <c r="F194" s="55">
        <v>0.57999999999999996</v>
      </c>
      <c r="G194" s="84" t="s">
        <v>24</v>
      </c>
      <c r="H194" s="4" t="s">
        <v>200</v>
      </c>
      <c r="I194" s="9" t="s">
        <v>28</v>
      </c>
    </row>
    <row r="195" spans="1:9" ht="28.5">
      <c r="A195" s="49"/>
      <c r="B195" s="103" t="s">
        <v>137</v>
      </c>
      <c r="C195" s="55">
        <v>0.34699999999999998</v>
      </c>
      <c r="D195" s="55">
        <v>0.34289999999999998</v>
      </c>
      <c r="E195" s="55">
        <v>0.34360000000000002</v>
      </c>
      <c r="F195" s="55">
        <v>0.33</v>
      </c>
      <c r="G195" s="84" t="s">
        <v>23</v>
      </c>
      <c r="H195" s="4" t="s">
        <v>78</v>
      </c>
      <c r="I195" s="9" t="s">
        <v>99</v>
      </c>
    </row>
    <row r="196" spans="1:9">
      <c r="A196" s="49"/>
      <c r="B196" s="102" t="s">
        <v>12</v>
      </c>
      <c r="C196" s="55">
        <v>0.2596</v>
      </c>
      <c r="D196" s="55">
        <v>0.25900000000000001</v>
      </c>
      <c r="E196" s="55">
        <v>0.24149999999999999</v>
      </c>
      <c r="F196" s="55">
        <v>0.25</v>
      </c>
      <c r="G196" s="84" t="s">
        <v>24</v>
      </c>
      <c r="H196" s="9" t="s">
        <v>54</v>
      </c>
      <c r="I196" s="9" t="s">
        <v>18</v>
      </c>
    </row>
    <row r="197" spans="1:9" ht="15">
      <c r="A197" s="49"/>
      <c r="B197" s="104" t="s">
        <v>5</v>
      </c>
      <c r="C197" s="100">
        <f>SUBTOTAL(109,C193:C196)</f>
        <v>1.6622999999999999</v>
      </c>
      <c r="D197" s="100">
        <f>SUBTOTAL(109,D193:D196)</f>
        <v>1.6964000000000001</v>
      </c>
      <c r="E197" s="65">
        <f>SUBTOTAL(109,E193:E196)</f>
        <v>1.5846000000000002</v>
      </c>
      <c r="F197" s="65">
        <f>SUBTOTAL(109,F193:F196)</f>
        <v>1.59</v>
      </c>
      <c r="G197" s="115" t="s">
        <v>187</v>
      </c>
      <c r="H197" s="116" t="s">
        <v>243</v>
      </c>
      <c r="I197" s="110" t="s">
        <v>187</v>
      </c>
    </row>
    <row r="198" spans="1:9">
      <c r="A198" s="49"/>
      <c r="B198" s="102" t="s">
        <v>6</v>
      </c>
      <c r="C198" s="66">
        <v>0.99885000000000002</v>
      </c>
      <c r="D198" s="66">
        <v>0.99729999999999996</v>
      </c>
      <c r="E198" s="66">
        <v>0.99560000000000004</v>
      </c>
      <c r="F198" s="66">
        <v>0.94</v>
      </c>
      <c r="G198" s="84" t="s">
        <v>23</v>
      </c>
      <c r="H198" s="9" t="s">
        <v>98</v>
      </c>
      <c r="I198" s="9" t="s">
        <v>19</v>
      </c>
    </row>
    <row r="199" spans="1:9" ht="15">
      <c r="A199" s="49"/>
      <c r="B199" s="104" t="s">
        <v>225</v>
      </c>
      <c r="C199" s="98">
        <v>2E-3</v>
      </c>
      <c r="D199" s="98">
        <v>2E-3</v>
      </c>
      <c r="E199" s="12">
        <v>2.5000000000000001E-3</v>
      </c>
      <c r="F199" s="136" t="s">
        <v>187</v>
      </c>
      <c r="G199" s="137" t="s">
        <v>187</v>
      </c>
      <c r="H199" s="138" t="s">
        <v>187</v>
      </c>
      <c r="I199" s="144" t="s">
        <v>187</v>
      </c>
    </row>
    <row r="200" spans="1:9" ht="15">
      <c r="A200" s="18"/>
      <c r="B200" s="157" t="s">
        <v>243</v>
      </c>
      <c r="C200" s="157" t="s">
        <v>243</v>
      </c>
      <c r="D200" s="157" t="s">
        <v>243</v>
      </c>
      <c r="E200" s="158" t="s">
        <v>243</v>
      </c>
      <c r="F200" s="158" t="s">
        <v>243</v>
      </c>
      <c r="G200" s="158" t="s">
        <v>243</v>
      </c>
      <c r="H200" s="158" t="s">
        <v>243</v>
      </c>
      <c r="I200" s="167" t="s">
        <v>243</v>
      </c>
    </row>
    <row r="201" spans="1:9" ht="30">
      <c r="A201" s="46" t="s">
        <v>100</v>
      </c>
      <c r="B201" s="36" t="s">
        <v>101</v>
      </c>
      <c r="C201" s="36"/>
      <c r="D201" s="36"/>
      <c r="E201" s="37"/>
      <c r="F201" s="38"/>
      <c r="G201" s="89"/>
      <c r="H201" s="37"/>
      <c r="I201" s="39"/>
    </row>
    <row r="202" spans="1:9" ht="23.25">
      <c r="A202" s="46"/>
      <c r="B202" s="41" t="s">
        <v>102</v>
      </c>
      <c r="C202" s="41"/>
      <c r="D202" s="41"/>
      <c r="E202" s="37"/>
      <c r="F202" s="38"/>
      <c r="G202" s="89"/>
      <c r="H202" s="37"/>
      <c r="I202" s="39"/>
    </row>
    <row r="203" spans="1:9" ht="23.25">
      <c r="A203" s="46"/>
      <c r="B203" s="41" t="s">
        <v>103</v>
      </c>
      <c r="C203" s="41"/>
      <c r="D203" s="41"/>
      <c r="E203" s="37"/>
      <c r="F203" s="38"/>
      <c r="G203" s="89"/>
      <c r="H203" s="37"/>
      <c r="I203" s="39"/>
    </row>
    <row r="204" spans="1:9" ht="15.75">
      <c r="A204" s="47"/>
      <c r="B204" s="117" t="s">
        <v>0</v>
      </c>
      <c r="C204" s="118" t="s">
        <v>223</v>
      </c>
      <c r="D204" s="118" t="s">
        <v>222</v>
      </c>
      <c r="E204" s="118" t="s">
        <v>221</v>
      </c>
      <c r="F204" s="118" t="s">
        <v>198</v>
      </c>
      <c r="G204" s="119" t="s">
        <v>30</v>
      </c>
      <c r="H204" s="119" t="s">
        <v>20</v>
      </c>
      <c r="I204" s="119" t="s">
        <v>35</v>
      </c>
    </row>
    <row r="205" spans="1:9">
      <c r="A205" s="49"/>
      <c r="B205" s="102" t="s">
        <v>138</v>
      </c>
      <c r="C205" s="5">
        <v>0.99980000000000002</v>
      </c>
      <c r="D205" s="5">
        <v>0.99850000000000005</v>
      </c>
      <c r="E205" s="5">
        <v>0.99660000000000004</v>
      </c>
      <c r="F205" s="5">
        <v>0.94</v>
      </c>
      <c r="G205" s="83" t="s">
        <v>23</v>
      </c>
      <c r="H205" s="7" t="s">
        <v>98</v>
      </c>
      <c r="I205" s="52" t="s">
        <v>27</v>
      </c>
    </row>
    <row r="206" spans="1:9">
      <c r="A206" s="48"/>
      <c r="B206" s="102" t="s">
        <v>2</v>
      </c>
      <c r="C206" s="55">
        <v>0.56220000000000003</v>
      </c>
      <c r="D206" s="55">
        <v>0.54849999999999999</v>
      </c>
      <c r="E206" s="55">
        <v>0.55520000000000003</v>
      </c>
      <c r="F206" s="55">
        <v>0.56999999999999995</v>
      </c>
      <c r="G206" s="84" t="s">
        <v>24</v>
      </c>
      <c r="H206" s="4" t="s">
        <v>190</v>
      </c>
      <c r="I206" s="9" t="s">
        <v>14</v>
      </c>
    </row>
    <row r="207" spans="1:9">
      <c r="A207" s="49"/>
      <c r="B207" s="103" t="s">
        <v>137</v>
      </c>
      <c r="C207" s="111">
        <v>0</v>
      </c>
      <c r="D207" s="111">
        <v>0</v>
      </c>
      <c r="E207" s="111">
        <v>0</v>
      </c>
      <c r="F207" s="111" t="s">
        <v>187</v>
      </c>
      <c r="G207" s="84" t="s">
        <v>23</v>
      </c>
      <c r="H207" s="111" t="s">
        <v>243</v>
      </c>
      <c r="I207" s="130" t="s">
        <v>187</v>
      </c>
    </row>
    <row r="208" spans="1:9">
      <c r="A208" s="49"/>
      <c r="B208" s="102" t="s">
        <v>12</v>
      </c>
      <c r="C208" s="3">
        <v>0.22650000000000001</v>
      </c>
      <c r="D208" s="3">
        <v>0.22639999999999999</v>
      </c>
      <c r="E208" s="3">
        <v>0.2402</v>
      </c>
      <c r="F208" s="3">
        <v>0.2</v>
      </c>
      <c r="G208" s="84" t="s">
        <v>24</v>
      </c>
      <c r="H208" s="9" t="s">
        <v>131</v>
      </c>
      <c r="I208" s="9" t="s">
        <v>18</v>
      </c>
    </row>
    <row r="209" spans="1:9" ht="15">
      <c r="A209" s="49"/>
      <c r="B209" s="104" t="s">
        <v>5</v>
      </c>
      <c r="C209" s="97">
        <f>SUBTOTAL(109,C205:C208)</f>
        <v>1.7885</v>
      </c>
      <c r="D209" s="97">
        <f>SUBTOTAL(109,D205:D208)</f>
        <v>1.7734000000000001</v>
      </c>
      <c r="E209" s="97">
        <f>SUBTOTAL(109,E205:E208)</f>
        <v>1.792</v>
      </c>
      <c r="F209" s="97">
        <f>SUBTOTAL(109,F205:F208)</f>
        <v>1.7099999999999997</v>
      </c>
      <c r="G209" s="115" t="s">
        <v>187</v>
      </c>
      <c r="H209" s="116" t="s">
        <v>243</v>
      </c>
      <c r="I209" s="110" t="s">
        <v>187</v>
      </c>
    </row>
    <row r="210" spans="1:9">
      <c r="A210" s="49"/>
      <c r="B210" s="102" t="s">
        <v>6</v>
      </c>
      <c r="C210" s="11">
        <v>0.99404800000000004</v>
      </c>
      <c r="D210" s="11">
        <v>0.99870000000000003</v>
      </c>
      <c r="E210" s="11">
        <v>0.99760000000000004</v>
      </c>
      <c r="F210" s="11">
        <v>0.94</v>
      </c>
      <c r="G210" s="84" t="s">
        <v>23</v>
      </c>
      <c r="H210" s="9" t="s">
        <v>98</v>
      </c>
      <c r="I210" s="9" t="s">
        <v>19</v>
      </c>
    </row>
    <row r="211" spans="1:9" ht="15">
      <c r="A211" s="49"/>
      <c r="B211" s="104" t="s">
        <v>225</v>
      </c>
      <c r="C211" s="12">
        <v>8.9999999999999998E-4</v>
      </c>
      <c r="D211" s="12">
        <v>8.9999999999999998E-4</v>
      </c>
      <c r="E211" s="12">
        <v>8.9999999999999998E-4</v>
      </c>
      <c r="F211" s="136" t="s">
        <v>187</v>
      </c>
      <c r="G211" s="137" t="s">
        <v>187</v>
      </c>
      <c r="H211" s="138" t="s">
        <v>187</v>
      </c>
      <c r="I211" s="144" t="s">
        <v>187</v>
      </c>
    </row>
    <row r="212" spans="1:9" ht="15">
      <c r="A212" s="18"/>
      <c r="B212" s="15"/>
      <c r="C212" s="15"/>
      <c r="D212" s="15"/>
      <c r="E212" s="17"/>
      <c r="F212" s="16"/>
      <c r="G212" s="86"/>
      <c r="H212" s="17"/>
      <c r="I212" s="165"/>
    </row>
    <row r="213" spans="1:9" ht="30">
      <c r="A213" s="46" t="s">
        <v>104</v>
      </c>
      <c r="B213" s="36" t="s">
        <v>105</v>
      </c>
      <c r="C213" s="36"/>
      <c r="D213" s="36"/>
      <c r="E213" s="37"/>
      <c r="F213" s="38"/>
      <c r="G213" s="89"/>
      <c r="H213" s="37"/>
      <c r="I213" s="39"/>
    </row>
    <row r="214" spans="1:9" ht="23.25">
      <c r="A214" s="46"/>
      <c r="B214" s="41" t="s">
        <v>106</v>
      </c>
      <c r="C214" s="41"/>
      <c r="D214" s="41"/>
      <c r="E214" s="37"/>
      <c r="F214" s="38"/>
      <c r="G214" s="89"/>
      <c r="H214" s="37"/>
      <c r="I214" s="39"/>
    </row>
    <row r="215" spans="1:9" ht="23.25">
      <c r="A215" s="46"/>
      <c r="B215" s="41" t="s">
        <v>107</v>
      </c>
      <c r="C215" s="41"/>
      <c r="D215" s="41"/>
      <c r="E215" s="37"/>
      <c r="F215" s="38"/>
      <c r="G215" s="89"/>
      <c r="H215" s="37"/>
      <c r="I215" s="39"/>
    </row>
    <row r="216" spans="1:9" ht="15.75">
      <c r="A216" s="47"/>
      <c r="B216" s="117" t="s">
        <v>0</v>
      </c>
      <c r="C216" s="118" t="s">
        <v>223</v>
      </c>
      <c r="D216" s="118" t="s">
        <v>222</v>
      </c>
      <c r="E216" s="118" t="s">
        <v>221</v>
      </c>
      <c r="F216" s="118" t="s">
        <v>198</v>
      </c>
      <c r="G216" s="119" t="s">
        <v>30</v>
      </c>
      <c r="H216" s="119" t="s">
        <v>20</v>
      </c>
      <c r="I216" s="120" t="s">
        <v>35</v>
      </c>
    </row>
    <row r="217" spans="1:9">
      <c r="A217" s="49"/>
      <c r="B217" s="102" t="s">
        <v>138</v>
      </c>
      <c r="C217" s="121">
        <v>0</v>
      </c>
      <c r="D217" s="121" t="s">
        <v>187</v>
      </c>
      <c r="E217" s="121" t="s">
        <v>187</v>
      </c>
      <c r="F217" s="121" t="s">
        <v>187</v>
      </c>
      <c r="G217" s="83" t="s">
        <v>23</v>
      </c>
      <c r="H217" s="155" t="s">
        <v>243</v>
      </c>
      <c r="I217" s="145" t="s">
        <v>187</v>
      </c>
    </row>
    <row r="218" spans="1:9">
      <c r="A218" s="48"/>
      <c r="B218" s="102" t="s">
        <v>2</v>
      </c>
      <c r="C218" s="55">
        <v>0.62970000000000004</v>
      </c>
      <c r="D218" s="55">
        <v>0.59279999999999999</v>
      </c>
      <c r="E218" s="55">
        <v>0.59560000000000002</v>
      </c>
      <c r="F218" s="55">
        <v>0.6</v>
      </c>
      <c r="G218" s="84" t="s">
        <v>24</v>
      </c>
      <c r="H218" s="4" t="s">
        <v>199</v>
      </c>
      <c r="I218" s="1" t="s">
        <v>28</v>
      </c>
    </row>
    <row r="219" spans="1:9" ht="28.5">
      <c r="A219" s="49"/>
      <c r="B219" s="103" t="s">
        <v>137</v>
      </c>
      <c r="C219" s="55">
        <v>0.74639999999999995</v>
      </c>
      <c r="D219" s="55">
        <v>0.72660000000000002</v>
      </c>
      <c r="E219" s="55">
        <v>0.72199999999999998</v>
      </c>
      <c r="F219" s="55">
        <v>0.7</v>
      </c>
      <c r="G219" s="84" t="s">
        <v>23</v>
      </c>
      <c r="H219" s="4" t="s">
        <v>86</v>
      </c>
      <c r="I219" s="9" t="s">
        <v>99</v>
      </c>
    </row>
    <row r="220" spans="1:9">
      <c r="A220" s="49"/>
      <c r="B220" s="103" t="s">
        <v>12</v>
      </c>
      <c r="C220" s="55">
        <v>0.2354</v>
      </c>
      <c r="D220" s="55">
        <v>0.21609999999999999</v>
      </c>
      <c r="E220" s="55">
        <v>0.22020000000000001</v>
      </c>
      <c r="F220" s="55">
        <v>0.25</v>
      </c>
      <c r="G220" s="84" t="s">
        <v>24</v>
      </c>
      <c r="H220" s="4" t="s">
        <v>189</v>
      </c>
      <c r="I220" s="9" t="s">
        <v>18</v>
      </c>
    </row>
    <row r="221" spans="1:9" ht="15">
      <c r="A221" s="49"/>
      <c r="B221" s="104" t="s">
        <v>5</v>
      </c>
      <c r="C221" s="100">
        <f>SUBTOTAL(109,C217:C220)</f>
        <v>1.6115000000000002</v>
      </c>
      <c r="D221" s="100">
        <f>SUBTOTAL(109,D217:D220)</f>
        <v>1.5354999999999999</v>
      </c>
      <c r="E221" s="100">
        <f>SUBTOTAL(109,E217:E220)</f>
        <v>1.5378000000000001</v>
      </c>
      <c r="F221" s="100">
        <f>SUBTOTAL(109,F217:F220)</f>
        <v>1.5499999999999998</v>
      </c>
      <c r="G221" s="115" t="s">
        <v>187</v>
      </c>
      <c r="H221" s="116" t="s">
        <v>243</v>
      </c>
      <c r="I221" s="109" t="s">
        <v>187</v>
      </c>
    </row>
    <row r="222" spans="1:9">
      <c r="A222" s="49"/>
      <c r="B222" s="102" t="s">
        <v>6</v>
      </c>
      <c r="C222" s="66">
        <v>0.99670000000000003</v>
      </c>
      <c r="D222" s="66">
        <v>0.99409999999999998</v>
      </c>
      <c r="E222" s="66">
        <v>0.99650000000000005</v>
      </c>
      <c r="F222" s="66">
        <v>0.94</v>
      </c>
      <c r="G222" s="84" t="s">
        <v>23</v>
      </c>
      <c r="H222" s="9" t="s">
        <v>98</v>
      </c>
      <c r="I222" s="1" t="s">
        <v>19</v>
      </c>
    </row>
    <row r="223" spans="1:9" ht="15">
      <c r="A223" s="49"/>
      <c r="B223" s="104" t="s">
        <v>225</v>
      </c>
      <c r="C223" s="12">
        <v>2E-3</v>
      </c>
      <c r="D223" s="12">
        <v>2E-3</v>
      </c>
      <c r="E223" s="12">
        <v>2.5000000000000001E-3</v>
      </c>
      <c r="F223" s="136" t="s">
        <v>187</v>
      </c>
      <c r="G223" s="137" t="s">
        <v>187</v>
      </c>
      <c r="H223" s="138" t="s">
        <v>187</v>
      </c>
      <c r="I223" s="144" t="s">
        <v>187</v>
      </c>
    </row>
    <row r="224" spans="1:9" ht="15">
      <c r="A224" s="18"/>
      <c r="B224" s="15"/>
      <c r="C224" s="15"/>
      <c r="D224" s="15"/>
      <c r="E224" s="17"/>
      <c r="F224" s="16"/>
      <c r="G224" s="86"/>
      <c r="H224" s="17"/>
      <c r="I224" s="165"/>
    </row>
    <row r="225" spans="1:9" ht="30">
      <c r="A225" s="46" t="s">
        <v>108</v>
      </c>
      <c r="B225" s="36" t="s">
        <v>109</v>
      </c>
      <c r="C225" s="36"/>
      <c r="D225" s="36"/>
      <c r="E225" s="37"/>
      <c r="F225" s="38"/>
      <c r="G225" s="89"/>
      <c r="H225" s="37"/>
      <c r="I225" s="39"/>
    </row>
    <row r="226" spans="1:9" ht="23.25">
      <c r="A226" s="46"/>
      <c r="B226" s="41" t="s">
        <v>110</v>
      </c>
      <c r="C226" s="41"/>
      <c r="D226" s="41"/>
      <c r="E226" s="37"/>
      <c r="F226" s="38"/>
      <c r="G226" s="89"/>
      <c r="H226" s="37"/>
      <c r="I226" s="39"/>
    </row>
    <row r="227" spans="1:9" ht="15.75">
      <c r="A227" s="47"/>
      <c r="B227" s="218" t="s">
        <v>0</v>
      </c>
      <c r="C227" s="123" t="s">
        <v>187</v>
      </c>
      <c r="D227" s="118" t="s">
        <v>222</v>
      </c>
      <c r="E227" s="118" t="s">
        <v>221</v>
      </c>
      <c r="F227" s="118" t="s">
        <v>198</v>
      </c>
      <c r="G227" s="119" t="s">
        <v>30</v>
      </c>
      <c r="H227" s="119" t="s">
        <v>20</v>
      </c>
      <c r="I227" s="119" t="s">
        <v>35</v>
      </c>
    </row>
    <row r="228" spans="1:9">
      <c r="A228" s="49"/>
      <c r="B228" s="215" t="s">
        <v>138</v>
      </c>
      <c r="C228" s="125" t="s">
        <v>187</v>
      </c>
      <c r="D228" s="5">
        <v>0.15790000000000001</v>
      </c>
      <c r="E228" s="5">
        <v>0.17799999999999999</v>
      </c>
      <c r="F228" s="5">
        <v>0.19</v>
      </c>
      <c r="G228" s="83" t="s">
        <v>23</v>
      </c>
      <c r="H228" s="7" t="s">
        <v>55</v>
      </c>
      <c r="I228" s="6" t="s">
        <v>27</v>
      </c>
    </row>
    <row r="229" spans="1:9">
      <c r="A229" s="48"/>
      <c r="B229" s="215" t="s">
        <v>2</v>
      </c>
      <c r="C229" s="127" t="s">
        <v>187</v>
      </c>
      <c r="D229" s="3">
        <v>0.5524</v>
      </c>
      <c r="E229" s="3">
        <v>0.54559999999999997</v>
      </c>
      <c r="F229" s="3">
        <v>0.52</v>
      </c>
      <c r="G229" s="84" t="s">
        <v>24</v>
      </c>
      <c r="H229" s="4" t="s">
        <v>191</v>
      </c>
      <c r="I229" s="1" t="s">
        <v>28</v>
      </c>
    </row>
    <row r="230" spans="1:9" ht="28.5">
      <c r="A230" s="49"/>
      <c r="B230" s="216" t="s">
        <v>137</v>
      </c>
      <c r="C230" s="125" t="s">
        <v>187</v>
      </c>
      <c r="D230" s="3">
        <v>0.46339999999999998</v>
      </c>
      <c r="E230" s="3">
        <v>0.46160000000000001</v>
      </c>
      <c r="F230" s="3">
        <v>0.5</v>
      </c>
      <c r="G230" s="84" t="s">
        <v>23</v>
      </c>
      <c r="H230" s="4" t="s">
        <v>91</v>
      </c>
      <c r="I230" s="9" t="s">
        <v>99</v>
      </c>
    </row>
    <row r="231" spans="1:9">
      <c r="A231" s="49"/>
      <c r="B231" s="215" t="s">
        <v>12</v>
      </c>
      <c r="C231" s="127" t="s">
        <v>187</v>
      </c>
      <c r="D231" s="3">
        <v>0.27550000000000002</v>
      </c>
      <c r="E231" s="3">
        <v>0.29170000000000001</v>
      </c>
      <c r="F231" s="3">
        <v>0.25</v>
      </c>
      <c r="G231" s="84" t="s">
        <v>24</v>
      </c>
      <c r="H231" s="9" t="s">
        <v>54</v>
      </c>
      <c r="I231" s="1" t="s">
        <v>18</v>
      </c>
    </row>
    <row r="232" spans="1:9" ht="15">
      <c r="A232" s="49"/>
      <c r="B232" s="217" t="s">
        <v>5</v>
      </c>
      <c r="C232" s="127" t="s">
        <v>187</v>
      </c>
      <c r="D232" s="27">
        <f>SUBTOTAL(109,D228:D231)</f>
        <v>1.4492</v>
      </c>
      <c r="E232" s="27">
        <f>SUBTOTAL(109,E228:E231)</f>
        <v>1.4769000000000001</v>
      </c>
      <c r="F232" s="27">
        <f>SUBTOTAL(109,F228:F231)</f>
        <v>1.46</v>
      </c>
      <c r="G232" s="115" t="s">
        <v>187</v>
      </c>
      <c r="H232" s="116" t="s">
        <v>243</v>
      </c>
      <c r="I232" s="109" t="s">
        <v>187</v>
      </c>
    </row>
    <row r="233" spans="1:9">
      <c r="A233" s="49"/>
      <c r="B233" s="215" t="s">
        <v>6</v>
      </c>
      <c r="C233" s="127" t="s">
        <v>187</v>
      </c>
      <c r="D233" s="11">
        <v>0.99707000000000001</v>
      </c>
      <c r="E233" s="11">
        <v>0.99619999999999997</v>
      </c>
      <c r="F233" s="11">
        <v>0.94</v>
      </c>
      <c r="G233" s="84" t="s">
        <v>23</v>
      </c>
      <c r="H233" s="9" t="s">
        <v>98</v>
      </c>
      <c r="I233" s="1" t="s">
        <v>19</v>
      </c>
    </row>
    <row r="234" spans="1:9" ht="15">
      <c r="A234" s="49"/>
      <c r="B234" s="217" t="s">
        <v>225</v>
      </c>
      <c r="C234" s="132" t="s">
        <v>187</v>
      </c>
      <c r="D234" s="12">
        <v>2.5000000000000001E-3</v>
      </c>
      <c r="E234" s="12">
        <v>2.5000000000000001E-3</v>
      </c>
      <c r="F234" s="136" t="s">
        <v>187</v>
      </c>
      <c r="G234" s="137" t="s">
        <v>187</v>
      </c>
      <c r="H234" s="138" t="s">
        <v>187</v>
      </c>
      <c r="I234" s="144" t="s">
        <v>187</v>
      </c>
    </row>
    <row r="235" spans="1:9" ht="15">
      <c r="A235" s="18"/>
      <c r="B235" s="157" t="s">
        <v>194</v>
      </c>
      <c r="C235" s="157" t="s">
        <v>194</v>
      </c>
      <c r="D235" s="157" t="s">
        <v>194</v>
      </c>
      <c r="E235" s="158" t="s">
        <v>194</v>
      </c>
      <c r="F235" s="158" t="s">
        <v>194</v>
      </c>
      <c r="G235" s="158" t="s">
        <v>194</v>
      </c>
      <c r="H235" s="158" t="s">
        <v>194</v>
      </c>
      <c r="I235" s="167" t="s">
        <v>194</v>
      </c>
    </row>
    <row r="236" spans="1:9" ht="30">
      <c r="A236" s="46" t="s">
        <v>111</v>
      </c>
      <c r="B236" s="36" t="s">
        <v>112</v>
      </c>
      <c r="C236" s="36"/>
      <c r="D236" s="36"/>
      <c r="E236" s="37"/>
      <c r="F236" s="38"/>
      <c r="G236" s="89"/>
      <c r="H236" s="37"/>
      <c r="I236" s="39"/>
    </row>
    <row r="237" spans="1:9" ht="23.25">
      <c r="A237" s="46"/>
      <c r="B237" s="41" t="s">
        <v>113</v>
      </c>
      <c r="C237" s="41"/>
      <c r="D237" s="41"/>
      <c r="E237" s="37"/>
      <c r="F237" s="38"/>
      <c r="G237" s="89"/>
      <c r="H237" s="37"/>
      <c r="I237" s="39"/>
    </row>
    <row r="238" spans="1:9" ht="23.25">
      <c r="A238" s="46"/>
      <c r="B238" s="41" t="s">
        <v>114</v>
      </c>
      <c r="C238" s="41"/>
      <c r="D238" s="41"/>
      <c r="E238" s="37"/>
      <c r="F238" s="38"/>
      <c r="G238" s="89"/>
      <c r="H238" s="37"/>
      <c r="I238" s="39"/>
    </row>
    <row r="239" spans="1:9" ht="15.75">
      <c r="A239" s="47"/>
      <c r="B239" s="117" t="s">
        <v>0</v>
      </c>
      <c r="C239" s="118" t="s">
        <v>223</v>
      </c>
      <c r="D239" s="118" t="s">
        <v>222</v>
      </c>
      <c r="E239" s="118" t="s">
        <v>221</v>
      </c>
      <c r="F239" s="118" t="s">
        <v>198</v>
      </c>
      <c r="G239" s="119" t="s">
        <v>30</v>
      </c>
      <c r="H239" s="119" t="s">
        <v>20</v>
      </c>
      <c r="I239" s="119" t="s">
        <v>35</v>
      </c>
    </row>
    <row r="240" spans="1:9">
      <c r="A240" s="49"/>
      <c r="B240" s="102" t="s">
        <v>138</v>
      </c>
      <c r="C240" s="5">
        <v>0.99850000000000005</v>
      </c>
      <c r="D240" s="5">
        <v>0.99839999999999995</v>
      </c>
      <c r="E240" s="5">
        <v>0.99850000000000005</v>
      </c>
      <c r="F240" s="5">
        <v>0.94</v>
      </c>
      <c r="G240" s="83" t="s">
        <v>23</v>
      </c>
      <c r="H240" s="7" t="s">
        <v>98</v>
      </c>
      <c r="I240" s="6" t="s">
        <v>7</v>
      </c>
    </row>
    <row r="241" spans="1:9">
      <c r="A241" s="48"/>
      <c r="B241" s="102" t="s">
        <v>2</v>
      </c>
      <c r="C241" s="3">
        <v>0.25309999999999999</v>
      </c>
      <c r="D241" s="3">
        <v>0.2361</v>
      </c>
      <c r="E241" s="3">
        <v>0.26840000000000003</v>
      </c>
      <c r="F241" s="3">
        <v>0.05</v>
      </c>
      <c r="G241" s="3" t="s">
        <v>24</v>
      </c>
      <c r="H241" s="3" t="s">
        <v>51</v>
      </c>
      <c r="I241" s="1" t="s">
        <v>14</v>
      </c>
    </row>
    <row r="242" spans="1:9">
      <c r="A242" s="49"/>
      <c r="B242" s="103" t="s">
        <v>137</v>
      </c>
      <c r="C242" s="111">
        <v>0</v>
      </c>
      <c r="D242" s="111">
        <v>0</v>
      </c>
      <c r="E242" s="111">
        <v>0</v>
      </c>
      <c r="F242" s="130" t="s">
        <v>187</v>
      </c>
      <c r="G242" s="3" t="s">
        <v>23</v>
      </c>
      <c r="H242" s="130" t="s">
        <v>187</v>
      </c>
      <c r="I242" s="130" t="s">
        <v>187</v>
      </c>
    </row>
    <row r="243" spans="1:9">
      <c r="A243" s="49"/>
      <c r="B243" s="102" t="s">
        <v>12</v>
      </c>
      <c r="C243" s="3">
        <v>0.2959</v>
      </c>
      <c r="D243" s="3">
        <v>0.26269999999999999</v>
      </c>
      <c r="E243" s="3">
        <v>0.29260000000000003</v>
      </c>
      <c r="F243" s="3">
        <v>0.08</v>
      </c>
      <c r="G243" s="3" t="s">
        <v>24</v>
      </c>
      <c r="H243" s="3" t="s">
        <v>204</v>
      </c>
      <c r="I243" s="1" t="s">
        <v>18</v>
      </c>
    </row>
    <row r="244" spans="1:9" ht="15">
      <c r="A244" s="49"/>
      <c r="B244" s="104" t="s">
        <v>5</v>
      </c>
      <c r="C244" s="27">
        <f>SUBTOTAL(109,C240:C243)</f>
        <v>1.5475000000000001</v>
      </c>
      <c r="D244" s="27">
        <f>SUBTOTAL(109,D240:D243)</f>
        <v>1.4971999999999999</v>
      </c>
      <c r="E244" s="27">
        <f>SUBTOTAL(109,E240:E243)</f>
        <v>1.5595000000000001</v>
      </c>
      <c r="F244" s="27">
        <f>SUBTOTAL(109,F240:F243)</f>
        <v>1.07</v>
      </c>
      <c r="G244" s="115" t="s">
        <v>187</v>
      </c>
      <c r="H244" s="116" t="s">
        <v>243</v>
      </c>
      <c r="I244" s="109" t="s">
        <v>187</v>
      </c>
    </row>
    <row r="245" spans="1:9">
      <c r="A245" s="49"/>
      <c r="B245" s="102" t="s">
        <v>6</v>
      </c>
      <c r="C245" s="5">
        <v>0.99729999999999996</v>
      </c>
      <c r="D245" s="5">
        <v>0.99829999999999997</v>
      </c>
      <c r="E245" s="5">
        <v>0.99809999999999999</v>
      </c>
      <c r="F245" s="11">
        <v>0.94</v>
      </c>
      <c r="G245" s="84" t="s">
        <v>23</v>
      </c>
      <c r="H245" s="9" t="s">
        <v>98</v>
      </c>
      <c r="I245" s="1" t="s">
        <v>19</v>
      </c>
    </row>
    <row r="246" spans="1:9" ht="15">
      <c r="A246" s="49"/>
      <c r="B246" s="104" t="s">
        <v>225</v>
      </c>
      <c r="C246" s="64">
        <v>8.9999999999999998E-4</v>
      </c>
      <c r="D246" s="64">
        <v>8.9999999999999998E-4</v>
      </c>
      <c r="E246" s="64">
        <v>8.9999999999999998E-4</v>
      </c>
      <c r="F246" s="136" t="s">
        <v>187</v>
      </c>
      <c r="G246" s="137" t="s">
        <v>187</v>
      </c>
      <c r="H246" s="138" t="s">
        <v>187</v>
      </c>
      <c r="I246" s="144" t="s">
        <v>187</v>
      </c>
    </row>
    <row r="247" spans="1:9" ht="15">
      <c r="A247" s="18"/>
      <c r="B247" s="157" t="s">
        <v>187</v>
      </c>
      <c r="C247" s="157" t="s">
        <v>187</v>
      </c>
      <c r="D247" s="157" t="s">
        <v>187</v>
      </c>
      <c r="E247" s="158" t="s">
        <v>187</v>
      </c>
      <c r="F247" s="158" t="s">
        <v>187</v>
      </c>
      <c r="G247" s="158" t="s">
        <v>187</v>
      </c>
      <c r="H247" s="158" t="s">
        <v>187</v>
      </c>
      <c r="I247" s="167" t="s">
        <v>187</v>
      </c>
    </row>
    <row r="248" spans="1:9" ht="23.25">
      <c r="A248" s="51" t="s">
        <v>115</v>
      </c>
      <c r="B248" s="32" t="s">
        <v>116</v>
      </c>
      <c r="C248" s="36"/>
      <c r="D248" s="36"/>
      <c r="E248" s="33"/>
      <c r="F248" s="34"/>
      <c r="G248" s="88"/>
      <c r="H248" s="33"/>
      <c r="I248" s="39"/>
    </row>
    <row r="249" spans="1:9" ht="15.75">
      <c r="A249" s="50"/>
      <c r="B249" s="119" t="s">
        <v>0</v>
      </c>
      <c r="C249" s="123" t="s">
        <v>187</v>
      </c>
      <c r="D249" s="124" t="s">
        <v>188</v>
      </c>
      <c r="E249" s="118" t="s">
        <v>220</v>
      </c>
      <c r="F249" s="118" t="s">
        <v>198</v>
      </c>
      <c r="G249" s="122" t="s">
        <v>30</v>
      </c>
      <c r="H249" s="119" t="s">
        <v>20</v>
      </c>
      <c r="I249" s="119" t="s">
        <v>35</v>
      </c>
    </row>
    <row r="250" spans="1:9" ht="57">
      <c r="A250" s="50"/>
      <c r="B250" s="215" t="s">
        <v>138</v>
      </c>
      <c r="C250" s="125" t="s">
        <v>187</v>
      </c>
      <c r="D250" s="126" t="s">
        <v>187</v>
      </c>
      <c r="E250" s="61">
        <v>0.28160000000000002</v>
      </c>
      <c r="F250" s="5">
        <v>0.24</v>
      </c>
      <c r="G250" s="83" t="s">
        <v>4</v>
      </c>
      <c r="H250" s="7" t="s">
        <v>63</v>
      </c>
      <c r="I250" s="6" t="s">
        <v>218</v>
      </c>
    </row>
    <row r="251" spans="1:9">
      <c r="A251" s="50"/>
      <c r="B251" s="215" t="s">
        <v>2</v>
      </c>
      <c r="C251" s="127" t="s">
        <v>187</v>
      </c>
      <c r="D251" s="128" t="s">
        <v>187</v>
      </c>
      <c r="E251" s="62">
        <v>0.30370000000000003</v>
      </c>
      <c r="F251" s="3">
        <v>0.35</v>
      </c>
      <c r="G251" s="84" t="s">
        <v>3</v>
      </c>
      <c r="H251" s="4" t="s">
        <v>117</v>
      </c>
      <c r="I251" s="1" t="s">
        <v>14</v>
      </c>
    </row>
    <row r="252" spans="1:9">
      <c r="A252" s="50"/>
      <c r="B252" s="216" t="s">
        <v>137</v>
      </c>
      <c r="C252" s="125" t="s">
        <v>187</v>
      </c>
      <c r="D252" s="126" t="s">
        <v>187</v>
      </c>
      <c r="E252" s="62">
        <v>0.32650000000000001</v>
      </c>
      <c r="F252" s="3">
        <v>0.35</v>
      </c>
      <c r="G252" s="84" t="s">
        <v>4</v>
      </c>
      <c r="H252" s="4" t="s">
        <v>118</v>
      </c>
      <c r="I252" s="1" t="s">
        <v>15</v>
      </c>
    </row>
    <row r="253" spans="1:9" ht="28.5">
      <c r="A253" s="50"/>
      <c r="B253" s="220" t="s">
        <v>9</v>
      </c>
      <c r="C253" s="127" t="s">
        <v>187</v>
      </c>
      <c r="D253" s="128" t="s">
        <v>187</v>
      </c>
      <c r="E253" s="62">
        <v>6.8999999999999999E-3</v>
      </c>
      <c r="F253" s="3">
        <v>0.05</v>
      </c>
      <c r="G253" s="85" t="s">
        <v>3</v>
      </c>
      <c r="H253" s="9" t="s">
        <v>51</v>
      </c>
      <c r="I253" s="1" t="s">
        <v>16</v>
      </c>
    </row>
    <row r="254" spans="1:9">
      <c r="A254" s="50"/>
      <c r="B254" s="220" t="s">
        <v>10</v>
      </c>
      <c r="C254" s="127" t="s">
        <v>187</v>
      </c>
      <c r="D254" s="128" t="s">
        <v>187</v>
      </c>
      <c r="E254" s="62">
        <v>1.4E-2</v>
      </c>
      <c r="F254" s="3">
        <v>0.05</v>
      </c>
      <c r="G254" s="85" t="s">
        <v>3</v>
      </c>
      <c r="H254" s="9" t="s">
        <v>51</v>
      </c>
      <c r="I254" s="1" t="s">
        <v>17</v>
      </c>
    </row>
    <row r="255" spans="1:9">
      <c r="A255" s="50"/>
      <c r="B255" s="220" t="s">
        <v>11</v>
      </c>
      <c r="C255" s="127" t="s">
        <v>187</v>
      </c>
      <c r="D255" s="128" t="s">
        <v>187</v>
      </c>
      <c r="E255" s="62">
        <v>0</v>
      </c>
      <c r="F255" s="3">
        <v>0.05</v>
      </c>
      <c r="G255" s="85" t="s">
        <v>3</v>
      </c>
      <c r="H255" s="9" t="s">
        <v>51</v>
      </c>
      <c r="I255" s="1" t="s">
        <v>18</v>
      </c>
    </row>
    <row r="256" spans="1:9">
      <c r="A256" s="50"/>
      <c r="B256" s="220" t="s">
        <v>21</v>
      </c>
      <c r="C256" s="127" t="s">
        <v>187</v>
      </c>
      <c r="D256" s="128" t="s">
        <v>187</v>
      </c>
      <c r="E256" s="135">
        <v>0</v>
      </c>
      <c r="F256" s="111" t="s">
        <v>187</v>
      </c>
      <c r="G256" s="85" t="s">
        <v>3</v>
      </c>
      <c r="H256" s="130" t="s">
        <v>187</v>
      </c>
      <c r="I256" s="143" t="s">
        <v>187</v>
      </c>
    </row>
    <row r="257" spans="1:9" ht="15.75">
      <c r="A257" s="50"/>
      <c r="B257" s="220" t="s">
        <v>12</v>
      </c>
      <c r="C257" s="123" t="s">
        <v>187</v>
      </c>
      <c r="D257" s="124" t="s">
        <v>187</v>
      </c>
      <c r="E257" s="62">
        <v>0.10920000000000001</v>
      </c>
      <c r="F257" s="3">
        <v>0.15</v>
      </c>
      <c r="G257" s="84" t="s">
        <v>3</v>
      </c>
      <c r="H257" s="9" t="s">
        <v>52</v>
      </c>
      <c r="I257" s="9" t="s">
        <v>18</v>
      </c>
    </row>
    <row r="258" spans="1:9">
      <c r="A258" s="50"/>
      <c r="B258" s="215" t="s">
        <v>13</v>
      </c>
      <c r="C258" s="125" t="s">
        <v>187</v>
      </c>
      <c r="D258" s="126" t="s">
        <v>187</v>
      </c>
      <c r="E258" s="62">
        <v>1.1000000000000001E-3</v>
      </c>
      <c r="F258" s="3">
        <v>0.05</v>
      </c>
      <c r="G258" s="84" t="s">
        <v>3</v>
      </c>
      <c r="H258" s="10" t="s">
        <v>51</v>
      </c>
      <c r="I258" s="130" t="s">
        <v>187</v>
      </c>
    </row>
    <row r="259" spans="1:9" ht="15">
      <c r="A259" s="50"/>
      <c r="B259" s="217" t="s">
        <v>5</v>
      </c>
      <c r="C259" s="127" t="s">
        <v>187</v>
      </c>
      <c r="D259" s="128" t="s">
        <v>187</v>
      </c>
      <c r="E259" s="27">
        <f>SUBTOTAL(109,E250:E258)</f>
        <v>1.0430000000000001</v>
      </c>
      <c r="F259" s="27">
        <f>SUBTOTAL(109,F250:F258)</f>
        <v>1.29</v>
      </c>
      <c r="G259" s="115" t="s">
        <v>187</v>
      </c>
      <c r="H259" s="116" t="s">
        <v>187</v>
      </c>
      <c r="I259" s="110" t="s">
        <v>187</v>
      </c>
    </row>
    <row r="260" spans="1:9">
      <c r="A260" s="50"/>
      <c r="B260" s="215" t="s">
        <v>6</v>
      </c>
      <c r="C260" s="125" t="s">
        <v>187</v>
      </c>
      <c r="D260" s="126" t="s">
        <v>187</v>
      </c>
      <c r="E260" s="63">
        <v>0.14530000000000001</v>
      </c>
      <c r="F260" s="11">
        <v>0.15</v>
      </c>
      <c r="G260" s="84" t="s">
        <v>4</v>
      </c>
      <c r="H260" s="9" t="s">
        <v>119</v>
      </c>
      <c r="I260" s="1" t="s">
        <v>19</v>
      </c>
    </row>
    <row r="261" spans="1:9" ht="15">
      <c r="A261" s="50"/>
      <c r="B261" s="217" t="s">
        <v>225</v>
      </c>
      <c r="C261" s="132" t="s">
        <v>187</v>
      </c>
      <c r="D261" s="133" t="s">
        <v>187</v>
      </c>
      <c r="E261" s="64">
        <v>1.9E-3</v>
      </c>
      <c r="F261" s="109" t="s">
        <v>187</v>
      </c>
      <c r="G261" s="129" t="s">
        <v>187</v>
      </c>
      <c r="H261" s="129" t="s">
        <v>187</v>
      </c>
      <c r="I261" s="144" t="s">
        <v>187</v>
      </c>
    </row>
    <row r="262" spans="1:9" ht="15">
      <c r="A262" s="18"/>
      <c r="B262" s="15"/>
      <c r="C262" s="15"/>
      <c r="D262" s="15"/>
      <c r="E262" s="158" t="s">
        <v>243</v>
      </c>
      <c r="F262" s="158" t="s">
        <v>243</v>
      </c>
      <c r="G262" s="158" t="s">
        <v>243</v>
      </c>
      <c r="H262" s="158" t="s">
        <v>243</v>
      </c>
      <c r="I262" s="167" t="s">
        <v>243</v>
      </c>
    </row>
    <row r="263" spans="1:9" ht="23.25">
      <c r="A263" s="51" t="s">
        <v>115</v>
      </c>
      <c r="B263" s="32" t="s">
        <v>120</v>
      </c>
      <c r="C263" s="32"/>
      <c r="D263" s="32"/>
      <c r="E263" s="33"/>
      <c r="F263" s="34"/>
      <c r="G263" s="88"/>
      <c r="H263" s="33"/>
      <c r="I263" s="39"/>
    </row>
    <row r="264" spans="1:9" ht="15.75">
      <c r="A264" s="50"/>
      <c r="B264" s="218" t="s">
        <v>0</v>
      </c>
      <c r="C264" s="123" t="s">
        <v>187</v>
      </c>
      <c r="D264" s="105" t="s">
        <v>188</v>
      </c>
      <c r="E264" s="118" t="s">
        <v>220</v>
      </c>
      <c r="F264" s="118" t="s">
        <v>198</v>
      </c>
      <c r="G264" s="122" t="s">
        <v>30</v>
      </c>
      <c r="H264" s="119" t="s">
        <v>20</v>
      </c>
      <c r="I264" s="119" t="s">
        <v>35</v>
      </c>
    </row>
    <row r="265" spans="1:9" ht="28.5">
      <c r="A265" s="50"/>
      <c r="B265" s="215" t="s">
        <v>138</v>
      </c>
      <c r="C265" s="125" t="s">
        <v>187</v>
      </c>
      <c r="D265" s="106" t="s">
        <v>188</v>
      </c>
      <c r="E265" s="5" t="s">
        <v>236</v>
      </c>
      <c r="F265" s="5" t="s">
        <v>237</v>
      </c>
      <c r="G265" s="83" t="s">
        <v>4</v>
      </c>
      <c r="H265" s="7" t="s">
        <v>66</v>
      </c>
      <c r="I265" s="6" t="s">
        <v>227</v>
      </c>
    </row>
    <row r="266" spans="1:9">
      <c r="A266" s="50"/>
      <c r="B266" s="215" t="s">
        <v>2</v>
      </c>
      <c r="C266" s="127" t="s">
        <v>187</v>
      </c>
      <c r="D266" s="107" t="s">
        <v>187</v>
      </c>
      <c r="E266" s="3">
        <v>0.26590000000000003</v>
      </c>
      <c r="F266" s="3">
        <v>0.3</v>
      </c>
      <c r="G266" s="84" t="s">
        <v>3</v>
      </c>
      <c r="H266" s="4" t="s">
        <v>60</v>
      </c>
      <c r="I266" s="1" t="s">
        <v>14</v>
      </c>
    </row>
    <row r="267" spans="1:9">
      <c r="A267" s="50"/>
      <c r="B267" s="216" t="s">
        <v>137</v>
      </c>
      <c r="C267" s="125" t="s">
        <v>187</v>
      </c>
      <c r="D267" s="106" t="s">
        <v>187</v>
      </c>
      <c r="E267" s="3">
        <v>0.27239999999999998</v>
      </c>
      <c r="F267" s="3">
        <v>0.25</v>
      </c>
      <c r="G267" s="84" t="s">
        <v>4</v>
      </c>
      <c r="H267" s="4" t="s">
        <v>57</v>
      </c>
      <c r="I267" s="1" t="s">
        <v>15</v>
      </c>
    </row>
    <row r="268" spans="1:9" ht="28.5">
      <c r="A268" s="50"/>
      <c r="B268" s="220" t="s">
        <v>9</v>
      </c>
      <c r="C268" s="127" t="s">
        <v>187</v>
      </c>
      <c r="D268" s="107" t="s">
        <v>187</v>
      </c>
      <c r="E268" s="3">
        <v>1.6999999999999999E-3</v>
      </c>
      <c r="F268" s="3">
        <v>0.05</v>
      </c>
      <c r="G268" s="85" t="s">
        <v>3</v>
      </c>
      <c r="H268" s="9" t="s">
        <v>51</v>
      </c>
      <c r="I268" s="1" t="s">
        <v>16</v>
      </c>
    </row>
    <row r="269" spans="1:9">
      <c r="A269" s="50"/>
      <c r="B269" s="220" t="s">
        <v>10</v>
      </c>
      <c r="C269" s="127" t="s">
        <v>187</v>
      </c>
      <c r="D269" s="107" t="s">
        <v>187</v>
      </c>
      <c r="E269" s="3">
        <v>4.4999999999999997E-3</v>
      </c>
      <c r="F269" s="3">
        <v>0.05</v>
      </c>
      <c r="G269" s="85" t="s">
        <v>3</v>
      </c>
      <c r="H269" s="9" t="s">
        <v>51</v>
      </c>
      <c r="I269" s="1" t="s">
        <v>17</v>
      </c>
    </row>
    <row r="270" spans="1:9">
      <c r="A270" s="50"/>
      <c r="B270" s="220" t="s">
        <v>11</v>
      </c>
      <c r="C270" s="127" t="s">
        <v>187</v>
      </c>
      <c r="D270" s="107" t="s">
        <v>187</v>
      </c>
      <c r="E270" s="111">
        <v>0</v>
      </c>
      <c r="F270" s="3">
        <v>0.05</v>
      </c>
      <c r="G270" s="85" t="s">
        <v>3</v>
      </c>
      <c r="H270" s="9" t="s">
        <v>51</v>
      </c>
      <c r="I270" s="1" t="s">
        <v>18</v>
      </c>
    </row>
    <row r="271" spans="1:9">
      <c r="A271" s="50"/>
      <c r="B271" s="220" t="s">
        <v>21</v>
      </c>
      <c r="C271" s="127" t="s">
        <v>187</v>
      </c>
      <c r="D271" s="107" t="s">
        <v>187</v>
      </c>
      <c r="E271" s="111">
        <v>0</v>
      </c>
      <c r="F271" s="111" t="s">
        <v>187</v>
      </c>
      <c r="G271" s="85" t="s">
        <v>3</v>
      </c>
      <c r="H271" s="130" t="s">
        <v>243</v>
      </c>
      <c r="I271" s="143" t="s">
        <v>187</v>
      </c>
    </row>
    <row r="272" spans="1:9" ht="15.75">
      <c r="A272" s="50"/>
      <c r="B272" s="220" t="s">
        <v>12</v>
      </c>
      <c r="C272" s="123" t="s">
        <v>187</v>
      </c>
      <c r="D272" s="105" t="s">
        <v>187</v>
      </c>
      <c r="E272" s="3">
        <v>0.1081</v>
      </c>
      <c r="F272" s="3">
        <v>0.15</v>
      </c>
      <c r="G272" s="84" t="s">
        <v>3</v>
      </c>
      <c r="H272" s="9" t="s">
        <v>52</v>
      </c>
      <c r="I272" s="9" t="s">
        <v>18</v>
      </c>
    </row>
    <row r="273" spans="1:9">
      <c r="A273" s="50"/>
      <c r="B273" s="215" t="s">
        <v>13</v>
      </c>
      <c r="C273" s="125" t="s">
        <v>187</v>
      </c>
      <c r="D273" s="106" t="s">
        <v>187</v>
      </c>
      <c r="E273" s="3">
        <v>0</v>
      </c>
      <c r="F273" s="3">
        <v>0.05</v>
      </c>
      <c r="G273" s="84" t="s">
        <v>3</v>
      </c>
      <c r="H273" s="10" t="s">
        <v>51</v>
      </c>
      <c r="I273" s="130" t="s">
        <v>187</v>
      </c>
    </row>
    <row r="274" spans="1:9" ht="15">
      <c r="A274" s="50"/>
      <c r="B274" s="217" t="s">
        <v>5</v>
      </c>
      <c r="C274" s="127" t="s">
        <v>187</v>
      </c>
      <c r="D274" s="107" t="s">
        <v>187</v>
      </c>
      <c r="E274" s="27">
        <f>SUBTOTAL(109,E265:E273)</f>
        <v>0.65259999999999996</v>
      </c>
      <c r="F274" s="27">
        <f>SUBTOTAL(109,F265:F273)</f>
        <v>0.90000000000000024</v>
      </c>
      <c r="G274" s="115" t="s">
        <v>187</v>
      </c>
      <c r="H274" s="116" t="s">
        <v>243</v>
      </c>
      <c r="I274" s="110" t="s">
        <v>187</v>
      </c>
    </row>
    <row r="275" spans="1:9">
      <c r="A275" s="50"/>
      <c r="B275" s="215" t="s">
        <v>6</v>
      </c>
      <c r="C275" s="125" t="s">
        <v>187</v>
      </c>
      <c r="D275" s="106" t="s">
        <v>187</v>
      </c>
      <c r="E275" s="11">
        <v>0.2248</v>
      </c>
      <c r="F275" s="3">
        <v>0.2</v>
      </c>
      <c r="G275" s="85" t="s">
        <v>4</v>
      </c>
      <c r="H275" s="9" t="s">
        <v>64</v>
      </c>
      <c r="I275" s="1" t="s">
        <v>19</v>
      </c>
    </row>
    <row r="276" spans="1:9" ht="15">
      <c r="A276" s="50"/>
      <c r="B276" s="217" t="s">
        <v>225</v>
      </c>
      <c r="C276" s="132" t="s">
        <v>187</v>
      </c>
      <c r="D276" s="222" t="s">
        <v>187</v>
      </c>
      <c r="E276" s="12">
        <v>1.9E-3</v>
      </c>
      <c r="F276" s="109" t="s">
        <v>187</v>
      </c>
      <c r="G276" s="129" t="s">
        <v>187</v>
      </c>
      <c r="H276" s="129" t="s">
        <v>187</v>
      </c>
      <c r="I276" s="144" t="s">
        <v>187</v>
      </c>
    </row>
    <row r="277" spans="1:9" ht="15">
      <c r="A277" s="18"/>
      <c r="B277" s="15"/>
      <c r="C277" s="15"/>
      <c r="D277" s="15"/>
      <c r="E277" s="17"/>
      <c r="F277" s="16"/>
      <c r="G277" s="86"/>
      <c r="H277" s="17"/>
      <c r="I277" s="165"/>
    </row>
    <row r="278" spans="1:9" ht="23.25">
      <c r="A278" s="51" t="s">
        <v>115</v>
      </c>
      <c r="B278" s="32" t="s">
        <v>121</v>
      </c>
      <c r="C278" s="32"/>
      <c r="D278" s="32"/>
      <c r="E278" s="33"/>
      <c r="F278" s="34"/>
      <c r="G278" s="88"/>
      <c r="H278" s="33"/>
      <c r="I278" s="39"/>
    </row>
    <row r="279" spans="1:9" ht="15.75">
      <c r="A279" s="50"/>
      <c r="B279" s="223" t="s">
        <v>0</v>
      </c>
      <c r="C279" s="123" t="s">
        <v>187</v>
      </c>
      <c r="D279" s="105" t="s">
        <v>188</v>
      </c>
      <c r="E279" s="118" t="s">
        <v>220</v>
      </c>
      <c r="F279" s="118" t="s">
        <v>198</v>
      </c>
      <c r="G279" s="122" t="s">
        <v>30</v>
      </c>
      <c r="H279" s="119" t="s">
        <v>20</v>
      </c>
      <c r="I279" s="119" t="s">
        <v>35</v>
      </c>
    </row>
    <row r="280" spans="1:9" ht="28.5">
      <c r="A280" s="50"/>
      <c r="B280" s="215" t="s">
        <v>138</v>
      </c>
      <c r="C280" s="125" t="s">
        <v>187</v>
      </c>
      <c r="D280" s="106" t="s">
        <v>187</v>
      </c>
      <c r="E280" s="5">
        <v>0.97670000000000001</v>
      </c>
      <c r="F280" s="5">
        <v>0.95</v>
      </c>
      <c r="G280" s="83" t="s">
        <v>4</v>
      </c>
      <c r="H280" s="7" t="s">
        <v>122</v>
      </c>
      <c r="I280" s="6" t="s">
        <v>227</v>
      </c>
    </row>
    <row r="281" spans="1:9">
      <c r="A281" s="50"/>
      <c r="B281" s="215" t="s">
        <v>2</v>
      </c>
      <c r="C281" s="127" t="s">
        <v>187</v>
      </c>
      <c r="D281" s="107" t="s">
        <v>187</v>
      </c>
      <c r="E281" s="3">
        <v>0.27710000000000001</v>
      </c>
      <c r="F281" s="3">
        <v>0.3</v>
      </c>
      <c r="G281" s="84" t="s">
        <v>3</v>
      </c>
      <c r="H281" s="4" t="s">
        <v>60</v>
      </c>
      <c r="I281" s="1" t="s">
        <v>14</v>
      </c>
    </row>
    <row r="282" spans="1:9">
      <c r="A282" s="50"/>
      <c r="B282" s="216" t="s">
        <v>137</v>
      </c>
      <c r="C282" s="125" t="s">
        <v>187</v>
      </c>
      <c r="D282" s="106" t="s">
        <v>187</v>
      </c>
      <c r="E282" s="3">
        <v>3.0599999999999999E-2</v>
      </c>
      <c r="F282" s="3">
        <v>0.06</v>
      </c>
      <c r="G282" s="84" t="s">
        <v>4</v>
      </c>
      <c r="H282" s="4" t="s">
        <v>58</v>
      </c>
      <c r="I282" s="1" t="s">
        <v>15</v>
      </c>
    </row>
    <row r="283" spans="1:9" ht="28.5">
      <c r="A283" s="50"/>
      <c r="B283" s="220" t="s">
        <v>9</v>
      </c>
      <c r="C283" s="127" t="s">
        <v>187</v>
      </c>
      <c r="D283" s="107" t="s">
        <v>187</v>
      </c>
      <c r="E283" s="3">
        <v>2.2200000000000001E-2</v>
      </c>
      <c r="F283" s="3">
        <v>0.05</v>
      </c>
      <c r="G283" s="85" t="s">
        <v>3</v>
      </c>
      <c r="H283" s="9" t="s">
        <v>51</v>
      </c>
      <c r="I283" s="1" t="s">
        <v>16</v>
      </c>
    </row>
    <row r="284" spans="1:9">
      <c r="A284" s="50"/>
      <c r="B284" s="220" t="s">
        <v>10</v>
      </c>
      <c r="C284" s="127" t="s">
        <v>187</v>
      </c>
      <c r="D284" s="107" t="s">
        <v>187</v>
      </c>
      <c r="E284" s="3">
        <v>2.3E-3</v>
      </c>
      <c r="F284" s="3">
        <v>0.05</v>
      </c>
      <c r="G284" s="85" t="s">
        <v>3</v>
      </c>
      <c r="H284" s="9" t="s">
        <v>51</v>
      </c>
      <c r="I284" s="1" t="s">
        <v>17</v>
      </c>
    </row>
    <row r="285" spans="1:9">
      <c r="A285" s="50"/>
      <c r="B285" s="220" t="s">
        <v>11</v>
      </c>
      <c r="C285" s="127" t="s">
        <v>187</v>
      </c>
      <c r="D285" s="107" t="s">
        <v>187</v>
      </c>
      <c r="E285" s="3">
        <v>0</v>
      </c>
      <c r="F285" s="3">
        <v>0.05</v>
      </c>
      <c r="G285" s="85" t="s">
        <v>3</v>
      </c>
      <c r="H285" s="9" t="s">
        <v>51</v>
      </c>
      <c r="I285" s="1" t="s">
        <v>18</v>
      </c>
    </row>
    <row r="286" spans="1:9">
      <c r="A286" s="50"/>
      <c r="B286" s="220" t="s">
        <v>21</v>
      </c>
      <c r="C286" s="127" t="s">
        <v>187</v>
      </c>
      <c r="D286" s="107" t="s">
        <v>187</v>
      </c>
      <c r="E286" s="3">
        <v>0</v>
      </c>
      <c r="F286" s="3">
        <v>0.05</v>
      </c>
      <c r="G286" s="85" t="s">
        <v>3</v>
      </c>
      <c r="H286" s="9" t="s">
        <v>51</v>
      </c>
      <c r="I286" s="1" t="s">
        <v>18</v>
      </c>
    </row>
    <row r="287" spans="1:9" ht="15.75">
      <c r="A287" s="50"/>
      <c r="B287" s="215" t="s">
        <v>12</v>
      </c>
      <c r="C287" s="123" t="s">
        <v>187</v>
      </c>
      <c r="D287" s="105" t="s">
        <v>187</v>
      </c>
      <c r="E287" s="3">
        <v>0.15720000000000001</v>
      </c>
      <c r="F287" s="3">
        <v>0.12</v>
      </c>
      <c r="G287" s="84" t="s">
        <v>3</v>
      </c>
      <c r="H287" s="9" t="s">
        <v>56</v>
      </c>
      <c r="I287" s="9" t="s">
        <v>18</v>
      </c>
    </row>
    <row r="288" spans="1:9">
      <c r="A288" s="50"/>
      <c r="B288" s="215" t="s">
        <v>13</v>
      </c>
      <c r="C288" s="125" t="s">
        <v>187</v>
      </c>
      <c r="D288" s="106" t="s">
        <v>187</v>
      </c>
      <c r="E288" s="3">
        <v>2E-3</v>
      </c>
      <c r="F288" s="3">
        <v>0.05</v>
      </c>
      <c r="G288" s="84" t="s">
        <v>3</v>
      </c>
      <c r="H288" s="10" t="s">
        <v>51</v>
      </c>
      <c r="I288" s="130" t="s">
        <v>187</v>
      </c>
    </row>
    <row r="289" spans="1:9" ht="15">
      <c r="A289" s="50"/>
      <c r="B289" s="217" t="s">
        <v>5</v>
      </c>
      <c r="C289" s="127" t="s">
        <v>187</v>
      </c>
      <c r="D289" s="107" t="s">
        <v>187</v>
      </c>
      <c r="E289" s="97">
        <f>SUBTOTAL(109,E280:E288)</f>
        <v>1.4681</v>
      </c>
      <c r="F289" s="97">
        <f>SUBTOTAL(109,F280:F288)</f>
        <v>1.6800000000000004</v>
      </c>
      <c r="G289" s="115" t="s">
        <v>187</v>
      </c>
      <c r="H289" s="116" t="s">
        <v>187</v>
      </c>
      <c r="I289" s="110" t="s">
        <v>187</v>
      </c>
    </row>
    <row r="290" spans="1:9">
      <c r="A290" s="50"/>
      <c r="B290" s="215" t="s">
        <v>6</v>
      </c>
      <c r="C290" s="125" t="s">
        <v>187</v>
      </c>
      <c r="D290" s="106" t="s">
        <v>187</v>
      </c>
      <c r="E290" s="11">
        <v>0.2243</v>
      </c>
      <c r="F290" s="3">
        <v>0.22</v>
      </c>
      <c r="G290" s="85" t="s">
        <v>4</v>
      </c>
      <c r="H290" s="9" t="s">
        <v>53</v>
      </c>
      <c r="I290" s="1" t="s">
        <v>19</v>
      </c>
    </row>
    <row r="291" spans="1:9" ht="15">
      <c r="A291" s="50"/>
      <c r="B291" s="217" t="s">
        <v>225</v>
      </c>
      <c r="C291" s="132" t="s">
        <v>187</v>
      </c>
      <c r="D291" s="222" t="s">
        <v>187</v>
      </c>
      <c r="E291" s="12">
        <v>1.9E-3</v>
      </c>
      <c r="F291" s="109" t="s">
        <v>187</v>
      </c>
      <c r="G291" s="129" t="s">
        <v>187</v>
      </c>
      <c r="H291" s="129" t="s">
        <v>187</v>
      </c>
      <c r="I291" s="144" t="s">
        <v>187</v>
      </c>
    </row>
    <row r="292" spans="1:9" ht="15">
      <c r="A292" s="18"/>
      <c r="B292" s="15"/>
      <c r="C292" s="15"/>
      <c r="D292" s="15"/>
      <c r="E292" s="17"/>
      <c r="F292" s="16"/>
      <c r="G292" s="86"/>
      <c r="H292" s="17"/>
      <c r="I292" s="165"/>
    </row>
    <row r="293" spans="1:9" ht="23.25">
      <c r="A293" s="51" t="s">
        <v>115</v>
      </c>
      <c r="B293" s="32" t="s">
        <v>123</v>
      </c>
      <c r="C293" s="32"/>
      <c r="D293" s="32"/>
      <c r="E293" s="33"/>
      <c r="F293" s="34"/>
      <c r="G293" s="88"/>
      <c r="H293" s="33"/>
      <c r="I293" s="39"/>
    </row>
    <row r="294" spans="1:9" ht="15.75">
      <c r="A294" s="50"/>
      <c r="B294" s="218" t="s">
        <v>0</v>
      </c>
      <c r="C294" s="123" t="s">
        <v>187</v>
      </c>
      <c r="D294" s="105" t="s">
        <v>188</v>
      </c>
      <c r="E294" s="118" t="s">
        <v>220</v>
      </c>
      <c r="F294" s="118" t="s">
        <v>198</v>
      </c>
      <c r="G294" s="122" t="s">
        <v>30</v>
      </c>
      <c r="H294" s="119" t="s">
        <v>20</v>
      </c>
      <c r="I294" s="119" t="s">
        <v>35</v>
      </c>
    </row>
    <row r="295" spans="1:9" ht="28.5">
      <c r="A295" s="50"/>
      <c r="B295" s="215" t="s">
        <v>138</v>
      </c>
      <c r="C295" s="125" t="s">
        <v>187</v>
      </c>
      <c r="D295" s="106" t="s">
        <v>188</v>
      </c>
      <c r="E295" s="5">
        <v>0.96450000000000002</v>
      </c>
      <c r="F295" s="5">
        <v>0.94</v>
      </c>
      <c r="G295" s="84" t="s">
        <v>4</v>
      </c>
      <c r="H295" s="7" t="s">
        <v>98</v>
      </c>
      <c r="I295" s="6" t="s">
        <v>227</v>
      </c>
    </row>
    <row r="296" spans="1:9">
      <c r="A296" s="50"/>
      <c r="B296" s="215" t="s">
        <v>2</v>
      </c>
      <c r="C296" s="127" t="s">
        <v>187</v>
      </c>
      <c r="D296" s="107" t="s">
        <v>187</v>
      </c>
      <c r="E296" s="3">
        <v>0.2339</v>
      </c>
      <c r="F296" s="3">
        <v>0.25</v>
      </c>
      <c r="G296" s="84" t="s">
        <v>3</v>
      </c>
      <c r="H296" s="4" t="s">
        <v>54</v>
      </c>
      <c r="I296" s="1" t="s">
        <v>14</v>
      </c>
    </row>
    <row r="297" spans="1:9">
      <c r="A297" s="50"/>
      <c r="B297" s="216" t="s">
        <v>137</v>
      </c>
      <c r="C297" s="125" t="s">
        <v>187</v>
      </c>
      <c r="D297" s="106" t="s">
        <v>187</v>
      </c>
      <c r="E297" s="3">
        <v>9.3100000000000002E-2</v>
      </c>
      <c r="F297" s="3">
        <v>0.06</v>
      </c>
      <c r="G297" s="84" t="s">
        <v>4</v>
      </c>
      <c r="H297" s="3" t="s">
        <v>58</v>
      </c>
      <c r="I297" s="1" t="s">
        <v>15</v>
      </c>
    </row>
    <row r="298" spans="1:9">
      <c r="A298" s="50"/>
      <c r="B298" s="215" t="s">
        <v>12</v>
      </c>
      <c r="C298" s="127" t="s">
        <v>187</v>
      </c>
      <c r="D298" s="107" t="s">
        <v>187</v>
      </c>
      <c r="E298" s="3">
        <v>0.1628</v>
      </c>
      <c r="F298" s="3">
        <v>0.15</v>
      </c>
      <c r="G298" s="84" t="s">
        <v>3</v>
      </c>
      <c r="H298" s="9" t="s">
        <v>52</v>
      </c>
      <c r="I298" s="9" t="s">
        <v>18</v>
      </c>
    </row>
    <row r="299" spans="1:9" ht="15">
      <c r="A299" s="50"/>
      <c r="B299" s="217" t="s">
        <v>5</v>
      </c>
      <c r="C299" s="127" t="s">
        <v>187</v>
      </c>
      <c r="D299" s="107" t="s">
        <v>187</v>
      </c>
      <c r="E299" s="27">
        <f>SUBTOTAL(109,E295:E298)</f>
        <v>1.4542999999999999</v>
      </c>
      <c r="F299" s="27">
        <f>SUBTOTAL(109,F295:F298)</f>
        <v>1.4</v>
      </c>
      <c r="G299" s="115" t="s">
        <v>187</v>
      </c>
      <c r="H299" s="116" t="s">
        <v>243</v>
      </c>
      <c r="I299" s="110" t="s">
        <v>187</v>
      </c>
    </row>
    <row r="300" spans="1:9">
      <c r="A300" s="50"/>
      <c r="B300" s="215" t="s">
        <v>6</v>
      </c>
      <c r="C300" s="127" t="s">
        <v>187</v>
      </c>
      <c r="D300" s="107" t="s">
        <v>187</v>
      </c>
      <c r="E300" s="11">
        <v>0.27339999999999998</v>
      </c>
      <c r="F300" s="11">
        <v>0.24</v>
      </c>
      <c r="G300" s="84" t="s">
        <v>4</v>
      </c>
      <c r="H300" s="9" t="s">
        <v>63</v>
      </c>
      <c r="I300" s="1" t="s">
        <v>19</v>
      </c>
    </row>
    <row r="301" spans="1:9" ht="15">
      <c r="A301" s="50"/>
      <c r="B301" s="217" t="s">
        <v>225</v>
      </c>
      <c r="C301" s="127" t="s">
        <v>187</v>
      </c>
      <c r="D301" s="107" t="s">
        <v>187</v>
      </c>
      <c r="E301" s="12">
        <v>1.5E-3</v>
      </c>
      <c r="F301" s="109" t="s">
        <v>187</v>
      </c>
      <c r="G301" s="129" t="s">
        <v>187</v>
      </c>
      <c r="H301" s="129" t="s">
        <v>187</v>
      </c>
      <c r="I301" s="144" t="s">
        <v>187</v>
      </c>
    </row>
    <row r="302" spans="1:9" ht="15">
      <c r="A302" s="18"/>
      <c r="B302" s="15"/>
      <c r="C302" s="15"/>
      <c r="D302" s="15"/>
      <c r="E302" s="17"/>
      <c r="F302" s="16"/>
      <c r="G302" s="86"/>
      <c r="H302" s="17"/>
      <c r="I302" s="165"/>
    </row>
    <row r="303" spans="1:9" ht="23.25">
      <c r="A303" s="51" t="s">
        <v>115</v>
      </c>
      <c r="B303" s="32" t="s">
        <v>124</v>
      </c>
      <c r="C303" s="32"/>
      <c r="D303" s="32"/>
      <c r="E303" s="33"/>
      <c r="F303" s="34"/>
      <c r="G303" s="88"/>
      <c r="H303" s="33"/>
      <c r="I303" s="39"/>
    </row>
    <row r="304" spans="1:9" ht="15.75">
      <c r="A304" s="50"/>
      <c r="B304" s="218" t="s">
        <v>0</v>
      </c>
      <c r="C304" s="123" t="s">
        <v>187</v>
      </c>
      <c r="D304" s="105" t="s">
        <v>188</v>
      </c>
      <c r="E304" s="118" t="s">
        <v>220</v>
      </c>
      <c r="F304" s="118" t="s">
        <v>198</v>
      </c>
      <c r="G304" s="122" t="s">
        <v>30</v>
      </c>
      <c r="H304" s="119" t="s">
        <v>20</v>
      </c>
      <c r="I304" s="119" t="s">
        <v>35</v>
      </c>
    </row>
    <row r="305" spans="1:9">
      <c r="A305" s="50"/>
      <c r="B305" s="215" t="s">
        <v>138</v>
      </c>
      <c r="C305" s="125" t="s">
        <v>187</v>
      </c>
      <c r="D305" s="106" t="s">
        <v>188</v>
      </c>
      <c r="E305" s="5" t="s">
        <v>231</v>
      </c>
      <c r="F305" s="5" t="s">
        <v>232</v>
      </c>
      <c r="G305" s="83" t="s">
        <v>4</v>
      </c>
      <c r="H305" s="7" t="s">
        <v>64</v>
      </c>
      <c r="I305" s="52" t="s">
        <v>25</v>
      </c>
    </row>
    <row r="306" spans="1:9">
      <c r="A306" s="50"/>
      <c r="B306" s="215" t="s">
        <v>2</v>
      </c>
      <c r="C306" s="127" t="s">
        <v>187</v>
      </c>
      <c r="D306" s="107" t="s">
        <v>187</v>
      </c>
      <c r="E306" s="3">
        <v>0.23200000000000001</v>
      </c>
      <c r="F306" s="3">
        <v>0.25</v>
      </c>
      <c r="G306" s="84" t="s">
        <v>3</v>
      </c>
      <c r="H306" s="4" t="s">
        <v>54</v>
      </c>
      <c r="I306" s="1" t="s">
        <v>26</v>
      </c>
    </row>
    <row r="307" spans="1:9">
      <c r="A307" s="50"/>
      <c r="B307" s="216" t="s">
        <v>137</v>
      </c>
      <c r="C307" s="125" t="s">
        <v>187</v>
      </c>
      <c r="D307" s="106" t="s">
        <v>187</v>
      </c>
      <c r="E307" s="3">
        <v>0.28149999999999997</v>
      </c>
      <c r="F307" s="3">
        <v>0.34</v>
      </c>
      <c r="G307" s="84" t="s">
        <v>4</v>
      </c>
      <c r="H307" s="4" t="s">
        <v>125</v>
      </c>
      <c r="I307" s="1" t="s">
        <v>26</v>
      </c>
    </row>
    <row r="308" spans="1:9">
      <c r="A308" s="50"/>
      <c r="B308" s="215" t="s">
        <v>12</v>
      </c>
      <c r="C308" s="127" t="s">
        <v>187</v>
      </c>
      <c r="D308" s="107" t="s">
        <v>187</v>
      </c>
      <c r="E308" s="3">
        <v>0.23449999999999999</v>
      </c>
      <c r="F308" s="3">
        <v>0.21</v>
      </c>
      <c r="G308" s="84" t="s">
        <v>3</v>
      </c>
      <c r="H308" s="9" t="s">
        <v>126</v>
      </c>
      <c r="I308" s="9" t="s">
        <v>18</v>
      </c>
    </row>
    <row r="309" spans="1:9" ht="15">
      <c r="A309" s="50"/>
      <c r="B309" s="217" t="s">
        <v>5</v>
      </c>
      <c r="C309" s="127" t="s">
        <v>187</v>
      </c>
      <c r="D309" s="107" t="s">
        <v>187</v>
      </c>
      <c r="E309" s="27">
        <f>SUBTOTAL(109,E305:E308)</f>
        <v>0.748</v>
      </c>
      <c r="F309" s="27">
        <f>SUBTOTAL(109,F305:F308)</f>
        <v>0.8</v>
      </c>
      <c r="G309" s="115" t="s">
        <v>187</v>
      </c>
      <c r="H309" s="116" t="s">
        <v>243</v>
      </c>
      <c r="I309" s="110" t="s">
        <v>187</v>
      </c>
    </row>
    <row r="310" spans="1:9">
      <c r="A310" s="50"/>
      <c r="B310" s="215" t="s">
        <v>6</v>
      </c>
      <c r="C310" s="127" t="s">
        <v>187</v>
      </c>
      <c r="D310" s="107" t="s">
        <v>187</v>
      </c>
      <c r="E310" s="11">
        <v>0.83679999999999999</v>
      </c>
      <c r="F310" s="11">
        <v>0.81</v>
      </c>
      <c r="G310" s="84" t="s">
        <v>4</v>
      </c>
      <c r="H310" s="9" t="s">
        <v>127</v>
      </c>
      <c r="I310" s="1" t="s">
        <v>19</v>
      </c>
    </row>
    <row r="311" spans="1:9" ht="15">
      <c r="A311" s="50"/>
      <c r="B311" s="217" t="s">
        <v>225</v>
      </c>
      <c r="C311" s="127" t="s">
        <v>187</v>
      </c>
      <c r="D311" s="107" t="s">
        <v>187</v>
      </c>
      <c r="E311" s="12">
        <v>3.0000000000000001E-3</v>
      </c>
      <c r="F311" s="109" t="s">
        <v>187</v>
      </c>
      <c r="G311" s="129" t="s">
        <v>187</v>
      </c>
      <c r="H311" s="129" t="s">
        <v>187</v>
      </c>
      <c r="I311" s="144" t="s">
        <v>187</v>
      </c>
    </row>
    <row r="312" spans="1:9" ht="15">
      <c r="A312" s="18"/>
      <c r="B312" s="15"/>
      <c r="C312" s="15"/>
      <c r="D312" s="15"/>
      <c r="E312" s="17"/>
      <c r="F312" s="16"/>
      <c r="G312" s="86"/>
      <c r="H312" s="17"/>
      <c r="I312" s="165"/>
    </row>
    <row r="313" spans="1:9" ht="23.25">
      <c r="A313" s="234"/>
      <c r="B313" s="36" t="s">
        <v>255</v>
      </c>
      <c r="C313" s="36"/>
      <c r="D313" s="36"/>
      <c r="E313" s="37"/>
      <c r="F313" s="38"/>
      <c r="G313" s="89"/>
      <c r="H313" s="37"/>
      <c r="I313" s="39"/>
    </row>
    <row r="314" spans="1:9" ht="23.25">
      <c r="A314" s="234"/>
      <c r="B314" s="41" t="s">
        <v>256</v>
      </c>
      <c r="C314" s="41"/>
      <c r="D314" s="41"/>
      <c r="E314" s="37"/>
      <c r="F314" s="38"/>
      <c r="G314" s="89"/>
      <c r="H314" s="37"/>
      <c r="I314" s="39"/>
    </row>
    <row r="315" spans="1:9" ht="23.25">
      <c r="A315" s="234"/>
      <c r="B315" s="41" t="s">
        <v>257</v>
      </c>
      <c r="C315" s="41"/>
      <c r="D315" s="41"/>
      <c r="E315" s="37"/>
      <c r="F315" s="38"/>
      <c r="G315" s="89"/>
      <c r="H315" s="37"/>
      <c r="I315" s="39"/>
    </row>
    <row r="316" spans="1:9" ht="15.75">
      <c r="A316" s="234"/>
      <c r="B316" s="218" t="s">
        <v>0</v>
      </c>
      <c r="C316" s="123" t="s">
        <v>187</v>
      </c>
      <c r="D316" s="105" t="s">
        <v>188</v>
      </c>
      <c r="E316" s="118" t="s">
        <v>220</v>
      </c>
      <c r="F316" s="131" t="s">
        <v>198</v>
      </c>
      <c r="G316" s="122" t="s">
        <v>30</v>
      </c>
      <c r="H316" s="119" t="s">
        <v>20</v>
      </c>
      <c r="I316" s="120" t="s">
        <v>35</v>
      </c>
    </row>
    <row r="317" spans="1:9">
      <c r="A317" s="234"/>
      <c r="B317" s="215" t="s">
        <v>138</v>
      </c>
      <c r="C317" s="125" t="s">
        <v>187</v>
      </c>
      <c r="D317" s="106" t="s">
        <v>188</v>
      </c>
      <c r="E317" s="237">
        <v>0</v>
      </c>
      <c r="F317" s="61">
        <v>0.99</v>
      </c>
      <c r="G317" s="83" t="s">
        <v>4</v>
      </c>
      <c r="H317" s="7" t="s">
        <v>250</v>
      </c>
      <c r="I317" s="251" t="s">
        <v>249</v>
      </c>
    </row>
    <row r="318" spans="1:9">
      <c r="A318" s="234"/>
      <c r="B318" s="215" t="s">
        <v>2</v>
      </c>
      <c r="C318" s="127" t="s">
        <v>187</v>
      </c>
      <c r="D318" s="107" t="s">
        <v>187</v>
      </c>
      <c r="E318" s="237">
        <v>0</v>
      </c>
      <c r="F318" s="62">
        <v>0.3</v>
      </c>
      <c r="G318" s="84" t="s">
        <v>3</v>
      </c>
      <c r="H318" s="4" t="s">
        <v>251</v>
      </c>
      <c r="I318" s="112" t="s">
        <v>14</v>
      </c>
    </row>
    <row r="319" spans="1:9">
      <c r="A319" s="234"/>
      <c r="B319" s="216" t="s">
        <v>137</v>
      </c>
      <c r="C319" s="125" t="s">
        <v>187</v>
      </c>
      <c r="D319" s="106" t="s">
        <v>187</v>
      </c>
      <c r="E319" s="237">
        <v>0</v>
      </c>
      <c r="F319" s="62">
        <v>0.06</v>
      </c>
      <c r="G319" s="83" t="s">
        <v>4</v>
      </c>
      <c r="H319" s="4" t="s">
        <v>252</v>
      </c>
      <c r="I319" s="112" t="s">
        <v>15</v>
      </c>
    </row>
    <row r="320" spans="1:9">
      <c r="A320" s="234"/>
      <c r="B320" s="220" t="s">
        <v>10</v>
      </c>
      <c r="C320" s="127" t="s">
        <v>187</v>
      </c>
      <c r="D320" s="107" t="s">
        <v>187</v>
      </c>
      <c r="E320" s="237">
        <v>0</v>
      </c>
      <c r="F320" s="62">
        <v>0.05</v>
      </c>
      <c r="G320" s="84" t="s">
        <v>3</v>
      </c>
      <c r="H320" s="9" t="s">
        <v>253</v>
      </c>
      <c r="I320" s="112" t="s">
        <v>17</v>
      </c>
    </row>
    <row r="321" spans="1:9">
      <c r="A321" s="234"/>
      <c r="B321" s="220" t="s">
        <v>21</v>
      </c>
      <c r="C321" s="127" t="s">
        <v>187</v>
      </c>
      <c r="D321" s="107" t="s">
        <v>187</v>
      </c>
      <c r="E321" s="237">
        <v>0</v>
      </c>
      <c r="F321" s="62">
        <v>0.05</v>
      </c>
      <c r="G321" s="84" t="s">
        <v>3</v>
      </c>
      <c r="H321" s="9" t="s">
        <v>253</v>
      </c>
      <c r="I321" s="113" t="s">
        <v>18</v>
      </c>
    </row>
    <row r="322" spans="1:9">
      <c r="A322" s="234"/>
      <c r="B322" s="215" t="s">
        <v>12</v>
      </c>
      <c r="C322" s="127" t="s">
        <v>187</v>
      </c>
      <c r="D322" s="107" t="s">
        <v>187</v>
      </c>
      <c r="E322" s="237">
        <v>0</v>
      </c>
      <c r="F322" s="63">
        <v>0.15</v>
      </c>
      <c r="G322" s="84" t="s">
        <v>3</v>
      </c>
      <c r="H322" s="9" t="s">
        <v>254</v>
      </c>
      <c r="I322" s="113" t="s">
        <v>18</v>
      </c>
    </row>
    <row r="323" spans="1:9">
      <c r="A323" s="234"/>
      <c r="B323" s="215" t="s">
        <v>13</v>
      </c>
      <c r="C323" s="127" t="s">
        <v>187</v>
      </c>
      <c r="D323" s="107" t="s">
        <v>187</v>
      </c>
      <c r="E323" s="237">
        <v>0</v>
      </c>
      <c r="F323" s="62">
        <v>0.05</v>
      </c>
      <c r="G323" s="84" t="s">
        <v>3</v>
      </c>
      <c r="H323" s="9" t="s">
        <v>253</v>
      </c>
      <c r="I323" s="134" t="s">
        <v>187</v>
      </c>
    </row>
    <row r="324" spans="1:9" ht="15">
      <c r="A324" s="235"/>
      <c r="B324" s="219" t="s">
        <v>5</v>
      </c>
      <c r="C324" s="127" t="s">
        <v>187</v>
      </c>
      <c r="D324" s="107" t="s">
        <v>187</v>
      </c>
      <c r="E324" s="237">
        <v>0</v>
      </c>
      <c r="F324" s="232">
        <v>1.65</v>
      </c>
      <c r="G324" s="145" t="s">
        <v>187</v>
      </c>
      <c r="H324" s="233" t="s">
        <v>187</v>
      </c>
      <c r="I324" s="252" t="s">
        <v>187</v>
      </c>
    </row>
    <row r="325" spans="1:9" s="93" customFormat="1">
      <c r="A325" s="236"/>
      <c r="B325" s="215" t="s">
        <v>6</v>
      </c>
      <c r="C325" s="127" t="s">
        <v>187</v>
      </c>
      <c r="D325" s="107" t="s">
        <v>187</v>
      </c>
      <c r="E325" s="237">
        <v>0</v>
      </c>
      <c r="F325" s="62">
        <v>0.06</v>
      </c>
      <c r="G325" s="83" t="s">
        <v>4</v>
      </c>
      <c r="H325" s="9" t="s">
        <v>252</v>
      </c>
      <c r="I325" s="112" t="s">
        <v>19</v>
      </c>
    </row>
    <row r="326" spans="1:9" ht="15">
      <c r="A326" s="235"/>
      <c r="B326" s="217" t="s">
        <v>225</v>
      </c>
      <c r="C326" s="127" t="s">
        <v>187</v>
      </c>
      <c r="D326" s="107" t="s">
        <v>187</v>
      </c>
      <c r="E326" s="237">
        <v>0</v>
      </c>
      <c r="F326" s="62">
        <v>3.0000000000000001E-3</v>
      </c>
      <c r="G326" s="145" t="s">
        <v>187</v>
      </c>
      <c r="H326" s="233" t="s">
        <v>187</v>
      </c>
      <c r="I326" s="252" t="s">
        <v>187</v>
      </c>
    </row>
    <row r="327" spans="1:9" ht="15.75">
      <c r="A327" s="54" t="s">
        <v>8</v>
      </c>
      <c r="B327" s="15"/>
      <c r="C327" s="15"/>
      <c r="D327" s="15"/>
      <c r="E327" s="17"/>
      <c r="F327" s="16"/>
      <c r="G327" s="86"/>
      <c r="H327" s="17"/>
      <c r="I327" s="165"/>
    </row>
    <row r="328" spans="1:9">
      <c r="A328" s="58" t="s">
        <v>135</v>
      </c>
      <c r="B328" s="224" t="s">
        <v>243</v>
      </c>
      <c r="C328" s="224" t="s">
        <v>244</v>
      </c>
      <c r="D328" s="224" t="s">
        <v>245</v>
      </c>
      <c r="E328" s="225" t="s">
        <v>246</v>
      </c>
      <c r="F328" s="57"/>
      <c r="G328" s="90"/>
      <c r="H328" s="57"/>
      <c r="I328" s="81"/>
    </row>
    <row r="329" spans="1:9">
      <c r="A329" s="257" t="s">
        <v>134</v>
      </c>
      <c r="B329" s="226" t="s">
        <v>243</v>
      </c>
      <c r="C329" s="226" t="s">
        <v>243</v>
      </c>
      <c r="D329" s="226" t="s">
        <v>243</v>
      </c>
      <c r="E329" s="227" t="s">
        <v>243</v>
      </c>
      <c r="F329" s="56"/>
      <c r="G329" s="91"/>
      <c r="H329" s="56"/>
      <c r="I329" s="82"/>
    </row>
    <row r="330" spans="1:9" ht="15">
      <c r="A330" s="53"/>
      <c r="B330" s="15"/>
      <c r="C330" s="15"/>
      <c r="D330" s="15"/>
      <c r="E330" s="17"/>
      <c r="F330" s="16"/>
      <c r="G330" s="86"/>
      <c r="H330" s="17"/>
      <c r="I330" s="165"/>
    </row>
    <row r="10001" spans="10:16">
      <c r="P10001" s="92">
        <v>24</v>
      </c>
    </row>
    <row r="10011" spans="10:16">
      <c r="P10011" s="92">
        <v>2</v>
      </c>
    </row>
    <row r="10012" spans="10:16">
      <c r="J10012" s="92">
        <v>46</v>
      </c>
      <c r="K10012" s="92">
        <v>24</v>
      </c>
      <c r="L10012" s="92">
        <v>24</v>
      </c>
      <c r="M10012" s="92">
        <v>23</v>
      </c>
      <c r="N10012" s="92">
        <v>23</v>
      </c>
      <c r="O10012" s="92">
        <v>37</v>
      </c>
    </row>
  </sheetData>
  <mergeCells count="1">
    <mergeCell ref="A4:F4"/>
  </mergeCells>
  <hyperlinks>
    <hyperlink ref="A329" r:id="rId1" display="https://www.moreinvest.co.il/media/5jfhbei0/res_%D7%9E%D7%93%D7%99%D7%A0%D7%99%D7%95%D7%AA-%D7%94%D7%A9%D7%AA%D7%AA%D7%A4%D7%95%D7%AA-%D7%91%D7%90%D7%A1%D7%99%D7%A4%D7%95%D7%AA-%D7%9B%D7%9C%D7%9C%D7%99%D7%95%D7%AA-15-8-2023-1.pdf" xr:uid="{5D7F4651-9814-4B21-B76A-BD14271BFB37}"/>
  </hyperlinks>
  <pageMargins left="0.7" right="0.7" top="0.75" bottom="0.75" header="0.3" footer="0.3"/>
  <drawing r:id="rId2"/>
  <tableParts count="2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BEB54-18FB-4CFC-BF25-595E12FF43B2}">
  <sheetPr>
    <tabColor rgb="FF305598"/>
    <pageSetUpPr fitToPage="1"/>
  </sheetPr>
  <dimension ref="A1:Q10017"/>
  <sheetViews>
    <sheetView rightToLeft="1" tabSelected="1" zoomScale="40" zoomScaleNormal="40" workbookViewId="0"/>
  </sheetViews>
  <sheetFormatPr defaultColWidth="9" defaultRowHeight="14.25"/>
  <cols>
    <col min="1" max="1" width="17.625" style="92" customWidth="1"/>
    <col min="2" max="2" width="19.625" style="94" customWidth="1"/>
    <col min="3" max="3" width="30.5" style="186" customWidth="1"/>
    <col min="4" max="4" width="28.375" style="186" customWidth="1"/>
    <col min="5" max="5" width="16.875" style="209" customWidth="1"/>
    <col min="6" max="6" width="29" style="186" customWidth="1"/>
    <col min="7" max="7" width="22.125" style="210" customWidth="1"/>
    <col min="8" max="8" width="17.625" style="186" customWidth="1"/>
    <col min="9" max="9" width="19.625" style="211" customWidth="1"/>
    <col min="10" max="10" width="30.5" style="186" customWidth="1"/>
    <col min="11" max="11" width="28.375" style="186" customWidth="1"/>
    <col min="12" max="12" width="16.875" style="186" customWidth="1"/>
    <col min="13" max="13" width="29" style="186" customWidth="1"/>
    <col min="14" max="14" width="22.125" style="210" customWidth="1"/>
    <col min="15" max="16384" width="9" style="92"/>
  </cols>
  <sheetData>
    <row r="1" spans="1:14" ht="20.25" thickBot="1">
      <c r="A1" s="245" t="s">
        <v>264</v>
      </c>
    </row>
    <row r="2" spans="1:14" ht="21" thickTop="1" thickBot="1">
      <c r="A2" s="245" t="s">
        <v>262</v>
      </c>
    </row>
    <row r="3" spans="1:14" ht="15" thickTop="1">
      <c r="A3" s="229" t="s">
        <v>248</v>
      </c>
    </row>
    <row r="4" spans="1:14" ht="94.35" customHeight="1">
      <c r="A4" s="264" t="s">
        <v>197</v>
      </c>
      <c r="B4" s="264"/>
      <c r="C4" s="264"/>
      <c r="D4" s="264"/>
      <c r="E4" s="264"/>
      <c r="F4" s="187"/>
      <c r="G4" s="188"/>
      <c r="H4" s="265" t="s">
        <v>219</v>
      </c>
      <c r="I4" s="265"/>
      <c r="J4" s="265"/>
      <c r="K4" s="265"/>
      <c r="L4" s="189"/>
      <c r="M4" s="189"/>
      <c r="N4" s="190"/>
    </row>
    <row r="5" spans="1:14" ht="51.75" customHeight="1">
      <c r="A5" s="19" t="s">
        <v>36</v>
      </c>
      <c r="B5" s="32" t="s">
        <v>128</v>
      </c>
      <c r="C5" s="33"/>
      <c r="D5" s="34"/>
      <c r="E5" s="79"/>
      <c r="F5" s="33"/>
      <c r="G5" s="168"/>
      <c r="H5" s="191" t="s">
        <v>36</v>
      </c>
      <c r="I5" s="32" t="s">
        <v>141</v>
      </c>
      <c r="J5" s="33"/>
      <c r="K5" s="34"/>
      <c r="L5" s="35"/>
      <c r="M5" s="33"/>
      <c r="N5" s="168"/>
    </row>
    <row r="6" spans="1:14" ht="40.35" customHeight="1">
      <c r="A6" s="20"/>
      <c r="B6" s="117" t="s">
        <v>0</v>
      </c>
      <c r="C6" s="118" t="s">
        <v>220</v>
      </c>
      <c r="D6" s="118" t="s">
        <v>198</v>
      </c>
      <c r="E6" s="119" t="s">
        <v>30</v>
      </c>
      <c r="F6" s="119" t="s">
        <v>20</v>
      </c>
      <c r="G6" s="119" t="s">
        <v>35</v>
      </c>
      <c r="H6" s="192"/>
      <c r="I6" s="117" t="s">
        <v>0</v>
      </c>
      <c r="J6" s="118" t="s">
        <v>220</v>
      </c>
      <c r="K6" s="118" t="s">
        <v>198</v>
      </c>
      <c r="L6" s="119" t="s">
        <v>30</v>
      </c>
      <c r="M6" s="119" t="s">
        <v>20</v>
      </c>
      <c r="N6" s="119" t="s">
        <v>35</v>
      </c>
    </row>
    <row r="7" spans="1:14" ht="15.75">
      <c r="A7" s="20"/>
      <c r="B7" s="102" t="s">
        <v>169</v>
      </c>
      <c r="C7" s="5">
        <v>0.2792</v>
      </c>
      <c r="D7" s="5">
        <v>0.3</v>
      </c>
      <c r="E7" s="141" t="s">
        <v>187</v>
      </c>
      <c r="F7" s="142" t="s">
        <v>187</v>
      </c>
      <c r="G7" s="142" t="s">
        <v>187</v>
      </c>
      <c r="H7" s="192"/>
      <c r="I7" s="152" t="s">
        <v>187</v>
      </c>
      <c r="J7" s="153" t="s">
        <v>187</v>
      </c>
      <c r="K7" s="153" t="s">
        <v>187</v>
      </c>
      <c r="L7" s="142" t="s">
        <v>187</v>
      </c>
      <c r="M7" s="142" t="s">
        <v>187</v>
      </c>
      <c r="N7" s="142" t="s">
        <v>187</v>
      </c>
    </row>
    <row r="8" spans="1:14" ht="34.5" customHeight="1">
      <c r="A8" s="20"/>
      <c r="B8" s="102" t="s">
        <v>138</v>
      </c>
      <c r="C8" s="5">
        <v>0.58360000000000001</v>
      </c>
      <c r="D8" s="5">
        <v>0.57999999999999996</v>
      </c>
      <c r="E8" s="6" t="s">
        <v>4</v>
      </c>
      <c r="F8" s="7" t="s">
        <v>206</v>
      </c>
      <c r="G8" s="6" t="s">
        <v>218</v>
      </c>
      <c r="H8" s="192"/>
      <c r="I8" s="102" t="s">
        <v>228</v>
      </c>
      <c r="J8" s="5">
        <v>0.56100000000000005</v>
      </c>
      <c r="K8" s="5">
        <v>0.57999999999999996</v>
      </c>
      <c r="L8" s="176" t="s">
        <v>4</v>
      </c>
      <c r="M8" s="7" t="s">
        <v>206</v>
      </c>
      <c r="N8" s="6" t="s">
        <v>218</v>
      </c>
    </row>
    <row r="9" spans="1:14">
      <c r="A9" s="20"/>
      <c r="B9" s="102" t="s">
        <v>2</v>
      </c>
      <c r="C9" s="3">
        <v>9.0700000000000003E-2</v>
      </c>
      <c r="D9" s="3">
        <v>0.09</v>
      </c>
      <c r="E9" s="1" t="s">
        <v>3</v>
      </c>
      <c r="F9" s="4" t="s">
        <v>205</v>
      </c>
      <c r="G9" s="1" t="s">
        <v>14</v>
      </c>
      <c r="H9" s="192"/>
      <c r="I9" s="102" t="s">
        <v>2</v>
      </c>
      <c r="J9" s="3">
        <v>0.27579999999999999</v>
      </c>
      <c r="K9" s="3">
        <v>0.28000000000000003</v>
      </c>
      <c r="L9" s="1" t="s">
        <v>3</v>
      </c>
      <c r="M9" s="4" t="s">
        <v>46</v>
      </c>
      <c r="N9" s="1" t="s">
        <v>14</v>
      </c>
    </row>
    <row r="10" spans="1:14" ht="28.5">
      <c r="A10" s="20"/>
      <c r="B10" s="103" t="s">
        <v>137</v>
      </c>
      <c r="C10" s="3">
        <v>0.14419999999999999</v>
      </c>
      <c r="D10" s="3">
        <v>0.15</v>
      </c>
      <c r="E10" s="1" t="s">
        <v>4</v>
      </c>
      <c r="F10" s="4" t="s">
        <v>119</v>
      </c>
      <c r="G10" s="1" t="s">
        <v>173</v>
      </c>
      <c r="H10" s="192"/>
      <c r="I10" s="102" t="s">
        <v>137</v>
      </c>
      <c r="J10" s="3">
        <v>0.26300000000000001</v>
      </c>
      <c r="K10" s="3">
        <v>0.3</v>
      </c>
      <c r="L10" s="1" t="s">
        <v>4</v>
      </c>
      <c r="M10" s="4" t="s">
        <v>61</v>
      </c>
      <c r="N10" s="1" t="s">
        <v>15</v>
      </c>
    </row>
    <row r="11" spans="1:14" ht="28.5">
      <c r="A11" s="20"/>
      <c r="B11" s="102" t="s">
        <v>170</v>
      </c>
      <c r="C11" s="3">
        <v>1.0699999999999999E-2</v>
      </c>
      <c r="D11" s="3">
        <v>0.05</v>
      </c>
      <c r="E11" s="8" t="s">
        <v>3</v>
      </c>
      <c r="F11" s="9" t="s">
        <v>51</v>
      </c>
      <c r="G11" s="143" t="s">
        <v>187</v>
      </c>
      <c r="H11" s="192"/>
      <c r="I11" s="102" t="s">
        <v>170</v>
      </c>
      <c r="J11" s="3">
        <v>1.0800000000000001E-2</v>
      </c>
      <c r="K11" s="3">
        <v>0.05</v>
      </c>
      <c r="L11" s="8" t="s">
        <v>3</v>
      </c>
      <c r="M11" s="9" t="s">
        <v>51</v>
      </c>
      <c r="N11" s="143" t="s">
        <v>187</v>
      </c>
    </row>
    <row r="12" spans="1:14">
      <c r="A12" s="20"/>
      <c r="B12" s="102" t="s">
        <v>10</v>
      </c>
      <c r="C12" s="3">
        <v>1.38E-2</v>
      </c>
      <c r="D12" s="3">
        <v>0.05</v>
      </c>
      <c r="E12" s="8" t="s">
        <v>3</v>
      </c>
      <c r="F12" s="9" t="s">
        <v>51</v>
      </c>
      <c r="G12" s="143" t="s">
        <v>187</v>
      </c>
      <c r="H12" s="192"/>
      <c r="I12" s="102" t="s">
        <v>10</v>
      </c>
      <c r="J12" s="3">
        <v>9.4000000000000004E-3</v>
      </c>
      <c r="K12" s="3">
        <v>0.05</v>
      </c>
      <c r="L12" s="8" t="s">
        <v>3</v>
      </c>
      <c r="M12" s="9" t="s">
        <v>51</v>
      </c>
      <c r="N12" s="143" t="s">
        <v>187</v>
      </c>
    </row>
    <row r="13" spans="1:14">
      <c r="A13" s="20"/>
      <c r="B13" s="102" t="s">
        <v>12</v>
      </c>
      <c r="C13" s="3">
        <v>0.14019999999999999</v>
      </c>
      <c r="D13" s="3">
        <v>0.15</v>
      </c>
      <c r="E13" s="1" t="s">
        <v>3</v>
      </c>
      <c r="F13" s="9" t="s">
        <v>52</v>
      </c>
      <c r="G13" s="130" t="s">
        <v>187</v>
      </c>
      <c r="H13" s="192"/>
      <c r="I13" s="102" t="s">
        <v>12</v>
      </c>
      <c r="J13" s="3">
        <v>0.18379999999999999</v>
      </c>
      <c r="K13" s="3">
        <v>0.15</v>
      </c>
      <c r="L13" s="1" t="s">
        <v>3</v>
      </c>
      <c r="M13" s="9" t="s">
        <v>52</v>
      </c>
      <c r="N13" s="130" t="s">
        <v>187</v>
      </c>
    </row>
    <row r="14" spans="1:14">
      <c r="A14" s="20"/>
      <c r="B14" s="102" t="s">
        <v>171</v>
      </c>
      <c r="C14" s="3">
        <v>7.0000000000000001E-3</v>
      </c>
      <c r="D14" s="3">
        <v>0.05</v>
      </c>
      <c r="E14" s="1" t="s">
        <v>3</v>
      </c>
      <c r="F14" s="10" t="s">
        <v>51</v>
      </c>
      <c r="G14" s="130" t="s">
        <v>187</v>
      </c>
      <c r="H14" s="192"/>
      <c r="I14" s="102" t="s">
        <v>171</v>
      </c>
      <c r="J14" s="3">
        <v>5.3E-3</v>
      </c>
      <c r="K14" s="3">
        <v>0.05</v>
      </c>
      <c r="L14" s="1" t="s">
        <v>3</v>
      </c>
      <c r="M14" s="10" t="s">
        <v>51</v>
      </c>
      <c r="N14" s="130" t="s">
        <v>187</v>
      </c>
    </row>
    <row r="15" spans="1:14" ht="15">
      <c r="A15" s="20"/>
      <c r="B15" s="104" t="s">
        <v>5</v>
      </c>
      <c r="C15" s="27">
        <f>SUBTOTAL(109,C7:C14)</f>
        <v>1.2693999999999999</v>
      </c>
      <c r="D15" s="97">
        <f>SUBTOTAL(109,D7:D14)</f>
        <v>1.42</v>
      </c>
      <c r="E15" s="115" t="s">
        <v>187</v>
      </c>
      <c r="F15" s="116" t="s">
        <v>243</v>
      </c>
      <c r="G15" s="110" t="s">
        <v>187</v>
      </c>
      <c r="H15" s="192"/>
      <c r="I15" s="104" t="s">
        <v>5</v>
      </c>
      <c r="J15" s="27">
        <f>SUBTOTAL(109,J7:J14)</f>
        <v>1.3091000000000002</v>
      </c>
      <c r="K15" s="97">
        <f>SUBTOTAL(109,K7:K14)</f>
        <v>1.46</v>
      </c>
      <c r="L15" s="116" t="s">
        <v>187</v>
      </c>
      <c r="M15" s="116" t="s">
        <v>187</v>
      </c>
      <c r="N15" s="110" t="s">
        <v>187</v>
      </c>
    </row>
    <row r="16" spans="1:14">
      <c r="A16" s="20"/>
      <c r="B16" s="102" t="s">
        <v>6</v>
      </c>
      <c r="C16" s="11">
        <v>0.19939999999999999</v>
      </c>
      <c r="D16" s="11">
        <v>0.2</v>
      </c>
      <c r="E16" s="1" t="s">
        <v>4</v>
      </c>
      <c r="F16" s="9" t="s">
        <v>64</v>
      </c>
      <c r="G16" s="1" t="s">
        <v>19</v>
      </c>
      <c r="H16" s="192"/>
      <c r="I16" s="102" t="s">
        <v>6</v>
      </c>
      <c r="J16" s="11">
        <v>0.1971</v>
      </c>
      <c r="K16" s="11">
        <v>0.2</v>
      </c>
      <c r="L16" s="1" t="s">
        <v>4</v>
      </c>
      <c r="M16" s="9" t="s">
        <v>64</v>
      </c>
      <c r="N16" s="1" t="s">
        <v>19</v>
      </c>
    </row>
    <row r="17" spans="1:14" ht="30">
      <c r="A17" s="21"/>
      <c r="B17" s="104" t="s">
        <v>225</v>
      </c>
      <c r="C17" s="12">
        <v>2.7000000000000001E-3</v>
      </c>
      <c r="D17" s="193" t="s">
        <v>187</v>
      </c>
      <c r="E17" s="129" t="s">
        <v>187</v>
      </c>
      <c r="F17" s="129" t="s">
        <v>187</v>
      </c>
      <c r="G17" s="169" t="s">
        <v>187</v>
      </c>
      <c r="H17" s="192"/>
      <c r="I17" s="104" t="s">
        <v>225</v>
      </c>
      <c r="J17" s="12">
        <v>2.3999999999999998E-3</v>
      </c>
      <c r="K17" s="193" t="s">
        <v>187</v>
      </c>
      <c r="L17" s="129" t="s">
        <v>187</v>
      </c>
      <c r="M17" s="129" t="s">
        <v>187</v>
      </c>
      <c r="N17" s="169" t="s">
        <v>187</v>
      </c>
    </row>
    <row r="18" spans="1:14" ht="21" customHeight="1">
      <c r="A18" s="68"/>
      <c r="B18" s="159" t="s">
        <v>194</v>
      </c>
      <c r="C18" s="160" t="s">
        <v>194</v>
      </c>
      <c r="D18" s="160" t="s">
        <v>194</v>
      </c>
      <c r="E18" s="160" t="s">
        <v>194</v>
      </c>
      <c r="F18" s="160" t="s">
        <v>194</v>
      </c>
      <c r="G18" s="170" t="s">
        <v>194</v>
      </c>
      <c r="H18" s="194"/>
      <c r="I18" s="74"/>
      <c r="J18" s="75"/>
      <c r="K18" s="76"/>
      <c r="L18" s="75"/>
      <c r="M18" s="75"/>
      <c r="N18" s="172"/>
    </row>
    <row r="19" spans="1:14" ht="51.75" customHeight="1">
      <c r="A19" s="19" t="s">
        <v>36</v>
      </c>
      <c r="B19" s="32" t="s">
        <v>139</v>
      </c>
      <c r="C19" s="33"/>
      <c r="D19" s="34"/>
      <c r="E19" s="79"/>
      <c r="F19" s="33"/>
      <c r="G19" s="168"/>
      <c r="H19" s="191" t="s">
        <v>36</v>
      </c>
      <c r="I19" s="32" t="s">
        <v>142</v>
      </c>
      <c r="J19" s="33"/>
      <c r="K19" s="34"/>
      <c r="L19" s="35"/>
      <c r="M19" s="33"/>
      <c r="N19" s="168"/>
    </row>
    <row r="20" spans="1:14" ht="37.5" customHeight="1">
      <c r="A20" s="20"/>
      <c r="B20" s="117" t="s">
        <v>0</v>
      </c>
      <c r="C20" s="118" t="s">
        <v>220</v>
      </c>
      <c r="D20" s="118" t="s">
        <v>198</v>
      </c>
      <c r="E20" s="119" t="s">
        <v>1</v>
      </c>
      <c r="F20" s="119" t="s">
        <v>20</v>
      </c>
      <c r="G20" s="119" t="s">
        <v>35</v>
      </c>
      <c r="H20" s="192"/>
      <c r="I20" s="117" t="s">
        <v>0</v>
      </c>
      <c r="J20" s="118" t="s">
        <v>220</v>
      </c>
      <c r="K20" s="118" t="s">
        <v>198</v>
      </c>
      <c r="L20" s="119" t="s">
        <v>1</v>
      </c>
      <c r="M20" s="119" t="s">
        <v>20</v>
      </c>
      <c r="N20" s="119" t="s">
        <v>35</v>
      </c>
    </row>
    <row r="21" spans="1:14" ht="15.75">
      <c r="A21" s="20"/>
      <c r="B21" s="102" t="s">
        <v>169</v>
      </c>
      <c r="C21" s="5">
        <v>0.28210000000000002</v>
      </c>
      <c r="D21" s="5">
        <v>0.3</v>
      </c>
      <c r="E21" s="141" t="s">
        <v>187</v>
      </c>
      <c r="F21" s="142" t="s">
        <v>187</v>
      </c>
      <c r="G21" s="142" t="s">
        <v>187</v>
      </c>
      <c r="H21" s="192"/>
      <c r="I21" s="152" t="s">
        <v>187</v>
      </c>
      <c r="J21" s="153" t="s">
        <v>187</v>
      </c>
      <c r="K21" s="153" t="s">
        <v>187</v>
      </c>
      <c r="L21" s="142" t="s">
        <v>187</v>
      </c>
      <c r="M21" s="142" t="s">
        <v>187</v>
      </c>
      <c r="N21" s="142" t="s">
        <v>187</v>
      </c>
    </row>
    <row r="22" spans="1:14" ht="41.25" customHeight="1">
      <c r="A22" s="20"/>
      <c r="B22" s="102" t="s">
        <v>138</v>
      </c>
      <c r="C22" s="5">
        <v>0.4849</v>
      </c>
      <c r="D22" s="5">
        <v>0.5</v>
      </c>
      <c r="E22" s="176" t="s">
        <v>4</v>
      </c>
      <c r="F22" s="7" t="s">
        <v>91</v>
      </c>
      <c r="G22" s="6" t="s">
        <v>218</v>
      </c>
      <c r="H22" s="192"/>
      <c r="I22" s="102" t="s">
        <v>228</v>
      </c>
      <c r="J22" s="5">
        <v>0.46200000000000002</v>
      </c>
      <c r="K22" s="5">
        <v>0.45</v>
      </c>
      <c r="L22" s="6" t="s">
        <v>4</v>
      </c>
      <c r="M22" s="7" t="s">
        <v>66</v>
      </c>
      <c r="N22" s="6" t="s">
        <v>218</v>
      </c>
    </row>
    <row r="23" spans="1:14" ht="25.5" customHeight="1">
      <c r="A23" s="20"/>
      <c r="B23" s="102" t="s">
        <v>2</v>
      </c>
      <c r="C23" s="3">
        <v>0.12520000000000001</v>
      </c>
      <c r="D23" s="3">
        <v>0.13</v>
      </c>
      <c r="E23" s="1" t="s">
        <v>3</v>
      </c>
      <c r="F23" s="4" t="s">
        <v>207</v>
      </c>
      <c r="G23" s="1" t="s">
        <v>14</v>
      </c>
      <c r="H23" s="192"/>
      <c r="I23" s="102" t="s">
        <v>2</v>
      </c>
      <c r="J23" s="3">
        <v>0.28939999999999999</v>
      </c>
      <c r="K23" s="3">
        <v>0.28999999999999998</v>
      </c>
      <c r="L23" s="1" t="s">
        <v>3</v>
      </c>
      <c r="M23" s="4" t="s">
        <v>208</v>
      </c>
      <c r="N23" s="1" t="s">
        <v>14</v>
      </c>
    </row>
    <row r="24" spans="1:14" ht="33" customHeight="1">
      <c r="A24" s="20"/>
      <c r="B24" s="103" t="s">
        <v>137</v>
      </c>
      <c r="C24" s="3">
        <v>0.17899999999999999</v>
      </c>
      <c r="D24" s="3">
        <v>0.2</v>
      </c>
      <c r="E24" s="1" t="s">
        <v>4</v>
      </c>
      <c r="F24" s="4" t="s">
        <v>64</v>
      </c>
      <c r="G24" s="1" t="s">
        <v>173</v>
      </c>
      <c r="H24" s="192"/>
      <c r="I24" s="102" t="s">
        <v>137</v>
      </c>
      <c r="J24" s="3">
        <v>0.32419999999999999</v>
      </c>
      <c r="K24" s="3">
        <v>0.35</v>
      </c>
      <c r="L24" s="1" t="s">
        <v>4</v>
      </c>
      <c r="M24" s="4" t="s">
        <v>118</v>
      </c>
      <c r="N24" s="1" t="s">
        <v>15</v>
      </c>
    </row>
    <row r="25" spans="1:14" ht="28.5">
      <c r="A25" s="20"/>
      <c r="B25" s="102" t="s">
        <v>170</v>
      </c>
      <c r="C25" s="3">
        <v>7.4000000000000003E-3</v>
      </c>
      <c r="D25" s="3">
        <v>0.05</v>
      </c>
      <c r="E25" s="8" t="s">
        <v>3</v>
      </c>
      <c r="F25" s="9" t="s">
        <v>51</v>
      </c>
      <c r="G25" s="143" t="s">
        <v>187</v>
      </c>
      <c r="H25" s="192"/>
      <c r="I25" s="102" t="s">
        <v>170</v>
      </c>
      <c r="J25" s="3">
        <v>4.8999999999999998E-3</v>
      </c>
      <c r="K25" s="3">
        <v>0.05</v>
      </c>
      <c r="L25" s="8" t="s">
        <v>3</v>
      </c>
      <c r="M25" s="9" t="s">
        <v>51</v>
      </c>
      <c r="N25" s="143" t="s">
        <v>187</v>
      </c>
    </row>
    <row r="26" spans="1:14">
      <c r="A26" s="20"/>
      <c r="B26" s="102" t="s">
        <v>10</v>
      </c>
      <c r="C26" s="3">
        <v>1.2500000000000001E-2</v>
      </c>
      <c r="D26" s="3">
        <v>0.05</v>
      </c>
      <c r="E26" s="8" t="s">
        <v>3</v>
      </c>
      <c r="F26" s="9" t="s">
        <v>51</v>
      </c>
      <c r="G26" s="143" t="s">
        <v>187</v>
      </c>
      <c r="H26" s="192"/>
      <c r="I26" s="102" t="s">
        <v>10</v>
      </c>
      <c r="J26" s="3">
        <v>7.9000000000000008E-3</v>
      </c>
      <c r="K26" s="3">
        <v>0.05</v>
      </c>
      <c r="L26" s="8" t="s">
        <v>3</v>
      </c>
      <c r="M26" s="9" t="s">
        <v>51</v>
      </c>
      <c r="N26" s="143" t="s">
        <v>187</v>
      </c>
    </row>
    <row r="27" spans="1:14">
      <c r="A27" s="20"/>
      <c r="B27" s="102" t="s">
        <v>12</v>
      </c>
      <c r="C27" s="3">
        <v>0.14580000000000001</v>
      </c>
      <c r="D27" s="3">
        <v>0.15</v>
      </c>
      <c r="E27" s="1" t="s">
        <v>3</v>
      </c>
      <c r="F27" s="9" t="s">
        <v>52</v>
      </c>
      <c r="G27" s="130" t="s">
        <v>187</v>
      </c>
      <c r="H27" s="192"/>
      <c r="I27" s="102" t="s">
        <v>12</v>
      </c>
      <c r="J27" s="3">
        <v>0.16750000000000001</v>
      </c>
      <c r="K27" s="3">
        <v>0.15</v>
      </c>
      <c r="L27" s="1" t="s">
        <v>3</v>
      </c>
      <c r="M27" s="9" t="s">
        <v>52</v>
      </c>
      <c r="N27" s="130" t="s">
        <v>187</v>
      </c>
    </row>
    <row r="28" spans="1:14">
      <c r="A28" s="20"/>
      <c r="B28" s="102" t="s">
        <v>171</v>
      </c>
      <c r="C28" s="3">
        <v>5.3E-3</v>
      </c>
      <c r="D28" s="3">
        <v>0.05</v>
      </c>
      <c r="E28" s="1" t="s">
        <v>3</v>
      </c>
      <c r="F28" s="10" t="s">
        <v>51</v>
      </c>
      <c r="G28" s="130" t="s">
        <v>187</v>
      </c>
      <c r="H28" s="192"/>
      <c r="I28" s="102" t="s">
        <v>171</v>
      </c>
      <c r="J28" s="3">
        <v>4.3E-3</v>
      </c>
      <c r="K28" s="3">
        <v>0.05</v>
      </c>
      <c r="L28" s="1" t="s">
        <v>3</v>
      </c>
      <c r="M28" s="10" t="s">
        <v>51</v>
      </c>
      <c r="N28" s="130" t="s">
        <v>187</v>
      </c>
    </row>
    <row r="29" spans="1:14" ht="15">
      <c r="A29" s="20"/>
      <c r="B29" s="104" t="s">
        <v>5</v>
      </c>
      <c r="C29" s="27">
        <f>SUBTOTAL(109,C21:C28)</f>
        <v>1.2422</v>
      </c>
      <c r="D29" s="97">
        <f>SUBTOTAL(109,D21:D28)</f>
        <v>1.4300000000000002</v>
      </c>
      <c r="E29" s="115" t="s">
        <v>187</v>
      </c>
      <c r="F29" s="116" t="s">
        <v>187</v>
      </c>
      <c r="G29" s="110" t="s">
        <v>187</v>
      </c>
      <c r="H29" s="192"/>
      <c r="I29" s="104" t="s">
        <v>5</v>
      </c>
      <c r="J29" s="27">
        <f>SUBTOTAL(109,J21:J28)</f>
        <v>1.2602</v>
      </c>
      <c r="K29" s="97">
        <f>SUBTOTAL(109,K21:K28)</f>
        <v>1.39</v>
      </c>
      <c r="L29" s="116" t="s">
        <v>187</v>
      </c>
      <c r="M29" s="116" t="s">
        <v>187</v>
      </c>
      <c r="N29" s="110" t="s">
        <v>187</v>
      </c>
    </row>
    <row r="30" spans="1:14">
      <c r="A30" s="20"/>
      <c r="B30" s="102" t="s">
        <v>6</v>
      </c>
      <c r="C30" s="11">
        <v>0.1835</v>
      </c>
      <c r="D30" s="11">
        <v>0.2</v>
      </c>
      <c r="E30" s="1" t="s">
        <v>4</v>
      </c>
      <c r="F30" s="9" t="s">
        <v>64</v>
      </c>
      <c r="G30" s="1" t="s">
        <v>19</v>
      </c>
      <c r="H30" s="192"/>
      <c r="I30" s="102" t="s">
        <v>6</v>
      </c>
      <c r="J30" s="11">
        <v>0.16669999999999999</v>
      </c>
      <c r="K30" s="11">
        <v>0.2</v>
      </c>
      <c r="L30" s="1" t="s">
        <v>4</v>
      </c>
      <c r="M30" s="9" t="s">
        <v>64</v>
      </c>
      <c r="N30" s="1" t="s">
        <v>19</v>
      </c>
    </row>
    <row r="31" spans="1:14" ht="30">
      <c r="A31" s="21"/>
      <c r="B31" s="104" t="s">
        <v>225</v>
      </c>
      <c r="C31" s="12">
        <v>2.3999999999999998E-3</v>
      </c>
      <c r="D31" s="193" t="s">
        <v>187</v>
      </c>
      <c r="E31" s="129" t="s">
        <v>187</v>
      </c>
      <c r="F31" s="129" t="s">
        <v>187</v>
      </c>
      <c r="G31" s="169" t="s">
        <v>187</v>
      </c>
      <c r="H31" s="192"/>
      <c r="I31" s="104" t="s">
        <v>225</v>
      </c>
      <c r="J31" s="12">
        <v>2.3999999999999998E-3</v>
      </c>
      <c r="K31" s="193" t="s">
        <v>187</v>
      </c>
      <c r="L31" s="129" t="s">
        <v>187</v>
      </c>
      <c r="M31" s="129" t="s">
        <v>187</v>
      </c>
      <c r="N31" s="169" t="s">
        <v>187</v>
      </c>
    </row>
    <row r="32" spans="1:14" ht="21" customHeight="1">
      <c r="A32" s="68"/>
      <c r="B32" s="70"/>
      <c r="C32" s="71"/>
      <c r="D32" s="72"/>
      <c r="E32" s="71"/>
      <c r="F32" s="71"/>
      <c r="G32" s="171"/>
      <c r="H32" s="194"/>
      <c r="I32" s="74"/>
      <c r="J32" s="75"/>
      <c r="K32" s="76"/>
      <c r="L32" s="75"/>
      <c r="M32" s="75"/>
      <c r="N32" s="172"/>
    </row>
    <row r="33" spans="1:14" ht="51.75" customHeight="1">
      <c r="A33" s="19" t="s">
        <v>36</v>
      </c>
      <c r="B33" s="32" t="s">
        <v>140</v>
      </c>
      <c r="C33" s="33"/>
      <c r="D33" s="34"/>
      <c r="E33" s="79"/>
      <c r="F33" s="33"/>
      <c r="G33" s="168"/>
      <c r="H33" s="191" t="s">
        <v>36</v>
      </c>
      <c r="I33" s="32" t="s">
        <v>143</v>
      </c>
      <c r="J33" s="33"/>
      <c r="K33" s="34"/>
      <c r="L33" s="35"/>
      <c r="M33" s="33"/>
      <c r="N33" s="168"/>
    </row>
    <row r="34" spans="1:14" ht="34.5" customHeight="1">
      <c r="A34" s="20"/>
      <c r="B34" s="117" t="s">
        <v>0</v>
      </c>
      <c r="C34" s="118" t="s">
        <v>220</v>
      </c>
      <c r="D34" s="118" t="s">
        <v>198</v>
      </c>
      <c r="E34" s="119" t="s">
        <v>1</v>
      </c>
      <c r="F34" s="119" t="s">
        <v>20</v>
      </c>
      <c r="G34" s="119" t="s">
        <v>35</v>
      </c>
      <c r="H34" s="192"/>
      <c r="I34" s="117" t="s">
        <v>0</v>
      </c>
      <c r="J34" s="118" t="s">
        <v>220</v>
      </c>
      <c r="K34" s="118" t="s">
        <v>198</v>
      </c>
      <c r="L34" s="119" t="s">
        <v>1</v>
      </c>
      <c r="M34" s="119" t="s">
        <v>20</v>
      </c>
      <c r="N34" s="119" t="s">
        <v>35</v>
      </c>
    </row>
    <row r="35" spans="1:14" ht="15.75">
      <c r="A35" s="20"/>
      <c r="B35" s="102" t="s">
        <v>169</v>
      </c>
      <c r="C35" s="3" t="s">
        <v>238</v>
      </c>
      <c r="D35" s="5" t="s">
        <v>195</v>
      </c>
      <c r="E35" s="141" t="s">
        <v>187</v>
      </c>
      <c r="F35" s="142" t="s">
        <v>188</v>
      </c>
      <c r="G35" s="142" t="s">
        <v>196</v>
      </c>
      <c r="H35" s="192"/>
      <c r="I35" s="152" t="s">
        <v>187</v>
      </c>
      <c r="J35" s="153" t="s">
        <v>187</v>
      </c>
      <c r="K35" s="153" t="s">
        <v>187</v>
      </c>
      <c r="L35" s="142" t="s">
        <v>187</v>
      </c>
      <c r="M35" s="142" t="s">
        <v>187</v>
      </c>
      <c r="N35" s="142" t="s">
        <v>187</v>
      </c>
    </row>
    <row r="36" spans="1:14" ht="38.25" customHeight="1">
      <c r="A36" s="20"/>
      <c r="B36" s="102" t="s">
        <v>138</v>
      </c>
      <c r="C36" s="5">
        <v>0.27360000000000001</v>
      </c>
      <c r="D36" s="5">
        <v>0.3</v>
      </c>
      <c r="E36" s="176" t="s">
        <v>4</v>
      </c>
      <c r="F36" s="7" t="s">
        <v>61</v>
      </c>
      <c r="G36" s="6" t="s">
        <v>218</v>
      </c>
      <c r="H36" s="192"/>
      <c r="I36" s="102" t="s">
        <v>228</v>
      </c>
      <c r="J36" s="5">
        <v>0.25459999999999999</v>
      </c>
      <c r="K36" s="5">
        <v>0.27</v>
      </c>
      <c r="L36" s="6" t="s">
        <v>4</v>
      </c>
      <c r="M36" s="7" t="s">
        <v>209</v>
      </c>
      <c r="N36" s="6" t="s">
        <v>218</v>
      </c>
    </row>
    <row r="37" spans="1:14">
      <c r="A37" s="20"/>
      <c r="B37" s="102" t="s">
        <v>2</v>
      </c>
      <c r="C37" s="3">
        <v>0.23019999999999999</v>
      </c>
      <c r="D37" s="3">
        <v>0.23</v>
      </c>
      <c r="E37" s="1" t="s">
        <v>3</v>
      </c>
      <c r="F37" s="4" t="s">
        <v>210</v>
      </c>
      <c r="G37" s="1" t="s">
        <v>14</v>
      </c>
      <c r="H37" s="192"/>
      <c r="I37" s="102" t="s">
        <v>2</v>
      </c>
      <c r="J37" s="3">
        <v>0.34439999999999998</v>
      </c>
      <c r="K37" s="3">
        <v>0.38</v>
      </c>
      <c r="L37" s="1" t="s">
        <v>3</v>
      </c>
      <c r="M37" s="4" t="s">
        <v>77</v>
      </c>
      <c r="N37" s="1" t="s">
        <v>14</v>
      </c>
    </row>
    <row r="38" spans="1:14" ht="28.5">
      <c r="A38" s="20"/>
      <c r="B38" s="103" t="s">
        <v>137</v>
      </c>
      <c r="C38" s="3">
        <v>0.2031</v>
      </c>
      <c r="D38" s="3">
        <v>0.21</v>
      </c>
      <c r="E38" s="1" t="s">
        <v>4</v>
      </c>
      <c r="F38" s="4" t="s">
        <v>176</v>
      </c>
      <c r="G38" s="1" t="s">
        <v>173</v>
      </c>
      <c r="H38" s="192"/>
      <c r="I38" s="102" t="s">
        <v>137</v>
      </c>
      <c r="J38" s="3">
        <v>0.32029999999999997</v>
      </c>
      <c r="K38" s="3">
        <v>0.35</v>
      </c>
      <c r="L38" s="1" t="s">
        <v>4</v>
      </c>
      <c r="M38" s="4" t="s">
        <v>118</v>
      </c>
      <c r="N38" s="1" t="s">
        <v>15</v>
      </c>
    </row>
    <row r="39" spans="1:14" ht="28.5">
      <c r="A39" s="20"/>
      <c r="B39" s="102" t="s">
        <v>170</v>
      </c>
      <c r="C39" s="3">
        <v>5.4999999999999997E-3</v>
      </c>
      <c r="D39" s="3">
        <v>0.05</v>
      </c>
      <c r="E39" s="8" t="s">
        <v>3</v>
      </c>
      <c r="F39" s="9" t="s">
        <v>51</v>
      </c>
      <c r="G39" s="143" t="s">
        <v>187</v>
      </c>
      <c r="H39" s="192"/>
      <c r="I39" s="102" t="s">
        <v>170</v>
      </c>
      <c r="J39" s="3">
        <v>4.5999999999999999E-3</v>
      </c>
      <c r="K39" s="3">
        <v>0.05</v>
      </c>
      <c r="L39" s="8" t="s">
        <v>3</v>
      </c>
      <c r="M39" s="9" t="s">
        <v>51</v>
      </c>
      <c r="N39" s="143" t="s">
        <v>187</v>
      </c>
    </row>
    <row r="40" spans="1:14">
      <c r="A40" s="20"/>
      <c r="B40" s="102" t="s">
        <v>10</v>
      </c>
      <c r="C40" s="3">
        <v>1.55E-2</v>
      </c>
      <c r="D40" s="3">
        <v>0.05</v>
      </c>
      <c r="E40" s="8" t="s">
        <v>3</v>
      </c>
      <c r="F40" s="9" t="s">
        <v>51</v>
      </c>
      <c r="G40" s="143" t="s">
        <v>187</v>
      </c>
      <c r="H40" s="192"/>
      <c r="I40" s="102" t="s">
        <v>10</v>
      </c>
      <c r="J40" s="3">
        <v>1.0699999999999999E-2</v>
      </c>
      <c r="K40" s="3">
        <v>0.05</v>
      </c>
      <c r="L40" s="8" t="s">
        <v>3</v>
      </c>
      <c r="M40" s="9" t="s">
        <v>51</v>
      </c>
      <c r="N40" s="143" t="s">
        <v>187</v>
      </c>
    </row>
    <row r="41" spans="1:14">
      <c r="A41" s="20"/>
      <c r="B41" s="102" t="s">
        <v>12</v>
      </c>
      <c r="C41" s="3">
        <v>0.14069999999999999</v>
      </c>
      <c r="D41" s="3">
        <v>0.15</v>
      </c>
      <c r="E41" s="1" t="s">
        <v>3</v>
      </c>
      <c r="F41" s="9" t="s">
        <v>52</v>
      </c>
      <c r="G41" s="130" t="s">
        <v>187</v>
      </c>
      <c r="H41" s="192"/>
      <c r="I41" s="102" t="s">
        <v>12</v>
      </c>
      <c r="J41" s="3">
        <v>0.19409999999999999</v>
      </c>
      <c r="K41" s="3">
        <v>0.15</v>
      </c>
      <c r="L41" s="1" t="s">
        <v>3</v>
      </c>
      <c r="M41" s="9" t="s">
        <v>52</v>
      </c>
      <c r="N41" s="130" t="s">
        <v>187</v>
      </c>
    </row>
    <row r="42" spans="1:14">
      <c r="A42" s="20"/>
      <c r="B42" s="102" t="s">
        <v>171</v>
      </c>
      <c r="C42" s="3">
        <v>4.3E-3</v>
      </c>
      <c r="D42" s="3">
        <v>0.05</v>
      </c>
      <c r="E42" s="1" t="s">
        <v>3</v>
      </c>
      <c r="F42" s="10" t="s">
        <v>51</v>
      </c>
      <c r="G42" s="130" t="s">
        <v>187</v>
      </c>
      <c r="H42" s="192"/>
      <c r="I42" s="102" t="s">
        <v>171</v>
      </c>
      <c r="J42" s="3">
        <v>3.8999999999999998E-3</v>
      </c>
      <c r="K42" s="3">
        <v>0.05</v>
      </c>
      <c r="L42" s="1" t="s">
        <v>3</v>
      </c>
      <c r="M42" s="10" t="s">
        <v>51</v>
      </c>
      <c r="N42" s="130" t="s">
        <v>187</v>
      </c>
    </row>
    <row r="43" spans="1:14" ht="15">
      <c r="A43" s="20"/>
      <c r="B43" s="104" t="s">
        <v>5</v>
      </c>
      <c r="C43" s="27">
        <f>SUBTOTAL(109,C35:C42)</f>
        <v>0.87290000000000001</v>
      </c>
      <c r="D43" s="27">
        <f>SUBTOTAL(109,D35:D42)</f>
        <v>1.04</v>
      </c>
      <c r="E43" s="115" t="s">
        <v>187</v>
      </c>
      <c r="F43" s="116" t="s">
        <v>243</v>
      </c>
      <c r="G43" s="110" t="s">
        <v>187</v>
      </c>
      <c r="H43" s="192"/>
      <c r="I43" s="104" t="s">
        <v>5</v>
      </c>
      <c r="J43" s="27">
        <f>SUBTOTAL(109,J35:J42)</f>
        <v>1.1326000000000001</v>
      </c>
      <c r="K43" s="27">
        <f>SUBTOTAL(109,K35:K42)</f>
        <v>1.3</v>
      </c>
      <c r="L43" s="116" t="s">
        <v>187</v>
      </c>
      <c r="M43" s="116" t="s">
        <v>187</v>
      </c>
      <c r="N43" s="110" t="s">
        <v>187</v>
      </c>
    </row>
    <row r="44" spans="1:14">
      <c r="A44" s="20"/>
      <c r="B44" s="102" t="s">
        <v>6</v>
      </c>
      <c r="C44" s="11">
        <v>0.14460000000000001</v>
      </c>
      <c r="D44" s="11">
        <v>0.2</v>
      </c>
      <c r="E44" s="1" t="s">
        <v>4</v>
      </c>
      <c r="F44" s="9" t="s">
        <v>64</v>
      </c>
      <c r="G44" s="1" t="s">
        <v>19</v>
      </c>
      <c r="H44" s="192"/>
      <c r="I44" s="102" t="s">
        <v>6</v>
      </c>
      <c r="J44" s="11">
        <v>0.1416</v>
      </c>
      <c r="K44" s="11">
        <v>0.16</v>
      </c>
      <c r="L44" s="1" t="s">
        <v>4</v>
      </c>
      <c r="M44" s="9" t="s">
        <v>133</v>
      </c>
      <c r="N44" s="1" t="s">
        <v>19</v>
      </c>
    </row>
    <row r="45" spans="1:14" ht="30">
      <c r="A45" s="21"/>
      <c r="B45" s="104" t="s">
        <v>225</v>
      </c>
      <c r="C45" s="12">
        <v>2.2000000000000001E-3</v>
      </c>
      <c r="D45" s="193" t="s">
        <v>187</v>
      </c>
      <c r="E45" s="129" t="s">
        <v>187</v>
      </c>
      <c r="F45" s="129" t="s">
        <v>187</v>
      </c>
      <c r="G45" s="169" t="s">
        <v>187</v>
      </c>
      <c r="H45" s="192"/>
      <c r="I45" s="104" t="s">
        <v>225</v>
      </c>
      <c r="J45" s="12">
        <v>2.3999999999999998E-3</v>
      </c>
      <c r="K45" s="193" t="s">
        <v>187</v>
      </c>
      <c r="L45" s="129" t="s">
        <v>187</v>
      </c>
      <c r="M45" s="129" t="s">
        <v>187</v>
      </c>
      <c r="N45" s="169" t="s">
        <v>187</v>
      </c>
    </row>
    <row r="46" spans="1:14" ht="21" customHeight="1">
      <c r="A46" s="68"/>
      <c r="B46" s="70"/>
      <c r="C46" s="71"/>
      <c r="D46" s="72"/>
      <c r="E46" s="71"/>
      <c r="F46" s="71"/>
      <c r="G46" s="171"/>
      <c r="H46" s="194"/>
      <c r="I46" s="74"/>
      <c r="J46" s="75"/>
      <c r="K46" s="76"/>
      <c r="L46" s="75"/>
      <c r="M46" s="75"/>
      <c r="N46" s="172"/>
    </row>
    <row r="47" spans="1:14" ht="51.75" customHeight="1">
      <c r="A47" s="28" t="s">
        <v>67</v>
      </c>
      <c r="B47" s="36" t="s">
        <v>144</v>
      </c>
      <c r="C47" s="37"/>
      <c r="D47" s="38"/>
      <c r="E47" s="80"/>
      <c r="F47" s="37"/>
      <c r="G47" s="168"/>
      <c r="H47" s="195" t="s">
        <v>67</v>
      </c>
      <c r="I47" s="36" t="s">
        <v>145</v>
      </c>
      <c r="J47" s="37"/>
      <c r="K47" s="38"/>
      <c r="L47" s="39"/>
      <c r="M47" s="37"/>
      <c r="N47" s="168"/>
    </row>
    <row r="48" spans="1:14" ht="51.75" customHeight="1">
      <c r="A48" s="29"/>
      <c r="B48" s="117" t="s">
        <v>0</v>
      </c>
      <c r="C48" s="118" t="s">
        <v>220</v>
      </c>
      <c r="D48" s="118" t="s">
        <v>198</v>
      </c>
      <c r="E48" s="119" t="s">
        <v>1</v>
      </c>
      <c r="F48" s="119" t="s">
        <v>20</v>
      </c>
      <c r="G48" s="119" t="s">
        <v>35</v>
      </c>
      <c r="H48" s="196"/>
      <c r="I48" s="117" t="s">
        <v>0</v>
      </c>
      <c r="J48" s="118" t="s">
        <v>220</v>
      </c>
      <c r="K48" s="118" t="s">
        <v>198</v>
      </c>
      <c r="L48" s="119" t="s">
        <v>1</v>
      </c>
      <c r="M48" s="119" t="s">
        <v>20</v>
      </c>
      <c r="N48" s="119" t="s">
        <v>35</v>
      </c>
    </row>
    <row r="49" spans="1:14" ht="15.75">
      <c r="A49" s="29"/>
      <c r="B49" s="102" t="s">
        <v>169</v>
      </c>
      <c r="C49" s="3">
        <v>0.2757</v>
      </c>
      <c r="D49" s="5" t="s">
        <v>195</v>
      </c>
      <c r="E49" s="141" t="s">
        <v>187</v>
      </c>
      <c r="F49" s="142" t="s">
        <v>188</v>
      </c>
      <c r="G49" s="142" t="s">
        <v>196</v>
      </c>
      <c r="H49" s="196"/>
      <c r="I49" s="152" t="s">
        <v>187</v>
      </c>
      <c r="J49" s="153" t="s">
        <v>187</v>
      </c>
      <c r="K49" s="153" t="s">
        <v>187</v>
      </c>
      <c r="L49" s="142" t="s">
        <v>187</v>
      </c>
      <c r="M49" s="142" t="s">
        <v>187</v>
      </c>
      <c r="N49" s="142" t="s">
        <v>187</v>
      </c>
    </row>
    <row r="50" spans="1:14" ht="57">
      <c r="A50" s="29"/>
      <c r="B50" s="102" t="s">
        <v>138</v>
      </c>
      <c r="C50" s="5">
        <v>0.72640000000000005</v>
      </c>
      <c r="D50" s="5">
        <v>0.7</v>
      </c>
      <c r="E50" s="6" t="s">
        <v>4</v>
      </c>
      <c r="F50" s="7" t="s">
        <v>86</v>
      </c>
      <c r="G50" s="6" t="s">
        <v>218</v>
      </c>
      <c r="H50" s="196"/>
      <c r="I50" s="102" t="s">
        <v>228</v>
      </c>
      <c r="J50" s="5">
        <v>0.97</v>
      </c>
      <c r="K50" s="5">
        <v>0.95</v>
      </c>
      <c r="L50" s="6" t="s">
        <v>4</v>
      </c>
      <c r="M50" s="7" t="s">
        <v>122</v>
      </c>
      <c r="N50" s="6" t="s">
        <v>218</v>
      </c>
    </row>
    <row r="51" spans="1:14">
      <c r="A51" s="29"/>
      <c r="B51" s="102" t="s">
        <v>2</v>
      </c>
      <c r="C51" s="3">
        <v>0.189</v>
      </c>
      <c r="D51" s="3">
        <v>0.19</v>
      </c>
      <c r="E51" s="1" t="s">
        <v>3</v>
      </c>
      <c r="F51" s="4" t="s">
        <v>211</v>
      </c>
      <c r="G51" s="1" t="s">
        <v>14</v>
      </c>
      <c r="H51" s="196"/>
      <c r="I51" s="102" t="s">
        <v>2</v>
      </c>
      <c r="J51" s="3">
        <v>0.28410000000000002</v>
      </c>
      <c r="K51" s="3">
        <v>0.28000000000000003</v>
      </c>
      <c r="L51" s="1" t="s">
        <v>3</v>
      </c>
      <c r="M51" s="4" t="s">
        <v>212</v>
      </c>
      <c r="N51" s="1" t="s">
        <v>14</v>
      </c>
    </row>
    <row r="52" spans="1:14" ht="28.5">
      <c r="A52" s="29"/>
      <c r="B52" s="103" t="s">
        <v>137</v>
      </c>
      <c r="C52" s="3">
        <v>2.5499999999999998E-2</v>
      </c>
      <c r="D52" s="3">
        <v>0.06</v>
      </c>
      <c r="E52" s="1" t="s">
        <v>4</v>
      </c>
      <c r="F52" s="4" t="s">
        <v>58</v>
      </c>
      <c r="G52" s="1" t="s">
        <v>15</v>
      </c>
      <c r="H52" s="196"/>
      <c r="I52" s="102" t="s">
        <v>137</v>
      </c>
      <c r="J52" s="3">
        <v>4.2099999999999999E-2</v>
      </c>
      <c r="K52" s="3">
        <v>0.06</v>
      </c>
      <c r="L52" s="1" t="s">
        <v>4</v>
      </c>
      <c r="M52" s="4" t="s">
        <v>58</v>
      </c>
      <c r="N52" s="1" t="s">
        <v>15</v>
      </c>
    </row>
    <row r="53" spans="1:14" ht="28.5">
      <c r="A53" s="29"/>
      <c r="B53" s="102" t="s">
        <v>170</v>
      </c>
      <c r="C53" s="3">
        <v>2.8999999999999998E-3</v>
      </c>
      <c r="D53" s="3">
        <v>0.05</v>
      </c>
      <c r="E53" s="8" t="s">
        <v>3</v>
      </c>
      <c r="F53" s="9" t="s">
        <v>51</v>
      </c>
      <c r="G53" s="143" t="s">
        <v>187</v>
      </c>
      <c r="H53" s="196"/>
      <c r="I53" s="102" t="s">
        <v>170</v>
      </c>
      <c r="J53" s="3">
        <v>2E-3</v>
      </c>
      <c r="K53" s="3">
        <v>0.05</v>
      </c>
      <c r="L53" s="8" t="s">
        <v>3</v>
      </c>
      <c r="M53" s="9" t="s">
        <v>51</v>
      </c>
      <c r="N53" s="143" t="s">
        <v>187</v>
      </c>
    </row>
    <row r="54" spans="1:14">
      <c r="A54" s="29"/>
      <c r="B54" s="102" t="s">
        <v>10</v>
      </c>
      <c r="C54" s="3">
        <v>5.9999999999999995E-4</v>
      </c>
      <c r="D54" s="3">
        <v>0.05</v>
      </c>
      <c r="E54" s="8" t="s">
        <v>3</v>
      </c>
      <c r="F54" s="9" t="s">
        <v>51</v>
      </c>
      <c r="G54" s="143" t="s">
        <v>187</v>
      </c>
      <c r="H54" s="196"/>
      <c r="I54" s="102" t="s">
        <v>10</v>
      </c>
      <c r="J54" s="3">
        <v>5.0000000000000001E-4</v>
      </c>
      <c r="K54" s="3">
        <v>0.05</v>
      </c>
      <c r="L54" s="8" t="s">
        <v>3</v>
      </c>
      <c r="M54" s="9" t="s">
        <v>51</v>
      </c>
      <c r="N54" s="143" t="s">
        <v>187</v>
      </c>
    </row>
    <row r="55" spans="1:14">
      <c r="A55" s="29"/>
      <c r="B55" s="102" t="s">
        <v>12</v>
      </c>
      <c r="C55" s="3">
        <v>0.1608</v>
      </c>
      <c r="D55" s="3">
        <v>0.15</v>
      </c>
      <c r="E55" s="1" t="s">
        <v>3</v>
      </c>
      <c r="F55" s="9" t="s">
        <v>52</v>
      </c>
      <c r="G55" s="9" t="s">
        <v>18</v>
      </c>
      <c r="H55" s="196"/>
      <c r="I55" s="102" t="s">
        <v>12</v>
      </c>
      <c r="J55" s="3">
        <v>0.14480000000000001</v>
      </c>
      <c r="K55" s="3">
        <v>0.15</v>
      </c>
      <c r="L55" s="1" t="s">
        <v>3</v>
      </c>
      <c r="M55" s="9" t="s">
        <v>52</v>
      </c>
      <c r="N55" s="9" t="s">
        <v>18</v>
      </c>
    </row>
    <row r="56" spans="1:14">
      <c r="A56" s="29"/>
      <c r="B56" s="102" t="s">
        <v>171</v>
      </c>
      <c r="C56" s="3">
        <v>0</v>
      </c>
      <c r="D56" s="3">
        <v>0.05</v>
      </c>
      <c r="E56" s="1" t="s">
        <v>3</v>
      </c>
      <c r="F56" s="10" t="s">
        <v>51</v>
      </c>
      <c r="G56" s="130" t="s">
        <v>187</v>
      </c>
      <c r="H56" s="196"/>
      <c r="I56" s="102" t="s">
        <v>171</v>
      </c>
      <c r="J56" s="3">
        <v>0</v>
      </c>
      <c r="K56" s="3">
        <v>0.05</v>
      </c>
      <c r="L56" s="1" t="s">
        <v>3</v>
      </c>
      <c r="M56" s="10" t="s">
        <v>51</v>
      </c>
      <c r="N56" s="130" t="s">
        <v>187</v>
      </c>
    </row>
    <row r="57" spans="1:14" ht="15">
      <c r="A57" s="29"/>
      <c r="B57" s="104" t="s">
        <v>5</v>
      </c>
      <c r="C57" s="27">
        <f>SUBTOTAL(109,C49:C56)</f>
        <v>1.3809</v>
      </c>
      <c r="D57" s="97">
        <f>SUBTOTAL(109,D49:D56)</f>
        <v>1.25</v>
      </c>
      <c r="E57" s="115" t="s">
        <v>187</v>
      </c>
      <c r="F57" s="116" t="s">
        <v>243</v>
      </c>
      <c r="G57" s="110" t="s">
        <v>187</v>
      </c>
      <c r="H57" s="196"/>
      <c r="I57" s="104" t="s">
        <v>5</v>
      </c>
      <c r="J57" s="27">
        <f>SUBTOTAL(109,J49:J56)</f>
        <v>1.4435</v>
      </c>
      <c r="K57" s="97">
        <f>SUBTOTAL(109,K49:K56)</f>
        <v>1.59</v>
      </c>
      <c r="L57" s="116" t="s">
        <v>187</v>
      </c>
      <c r="M57" s="116" t="s">
        <v>187</v>
      </c>
      <c r="N57" s="110" t="s">
        <v>187</v>
      </c>
    </row>
    <row r="58" spans="1:14">
      <c r="A58" s="29"/>
      <c r="B58" s="102" t="s">
        <v>6</v>
      </c>
      <c r="C58" s="11">
        <v>0.20200000000000001</v>
      </c>
      <c r="D58" s="11">
        <v>0.2</v>
      </c>
      <c r="E58" s="1" t="s">
        <v>4</v>
      </c>
      <c r="F58" s="9" t="s">
        <v>64</v>
      </c>
      <c r="G58" s="1" t="s">
        <v>19</v>
      </c>
      <c r="H58" s="196"/>
      <c r="I58" s="102" t="s">
        <v>6</v>
      </c>
      <c r="J58" s="11">
        <v>0.20330000000000001</v>
      </c>
      <c r="K58" s="11">
        <v>0.2</v>
      </c>
      <c r="L58" s="1" t="s">
        <v>4</v>
      </c>
      <c r="M58" s="9" t="s">
        <v>64</v>
      </c>
      <c r="N58" s="1" t="s">
        <v>19</v>
      </c>
    </row>
    <row r="59" spans="1:14" ht="30">
      <c r="A59" s="29"/>
      <c r="B59" s="104" t="s">
        <v>225</v>
      </c>
      <c r="C59" s="12">
        <v>1.4E-3</v>
      </c>
      <c r="D59" s="193" t="s">
        <v>187</v>
      </c>
      <c r="E59" s="129" t="s">
        <v>187</v>
      </c>
      <c r="F59" s="129" t="s">
        <v>187</v>
      </c>
      <c r="G59" s="169" t="s">
        <v>187</v>
      </c>
      <c r="H59" s="196"/>
      <c r="I59" s="104" t="s">
        <v>225</v>
      </c>
      <c r="J59" s="12">
        <v>1.4E-3</v>
      </c>
      <c r="K59" s="193" t="s">
        <v>187</v>
      </c>
      <c r="L59" s="129" t="s">
        <v>187</v>
      </c>
      <c r="M59" s="129" t="s">
        <v>187</v>
      </c>
      <c r="N59" s="169" t="s">
        <v>187</v>
      </c>
    </row>
    <row r="60" spans="1:14" ht="21" customHeight="1">
      <c r="A60" s="68"/>
      <c r="B60" s="70"/>
      <c r="C60" s="71"/>
      <c r="D60" s="72"/>
      <c r="E60" s="71"/>
      <c r="F60" s="71"/>
      <c r="G60" s="171"/>
      <c r="H60" s="194"/>
      <c r="I60" s="74"/>
      <c r="J60" s="75"/>
      <c r="K60" s="76"/>
      <c r="L60" s="75"/>
      <c r="M60" s="75"/>
      <c r="N60" s="172"/>
    </row>
    <row r="61" spans="1:14" ht="51.75" customHeight="1">
      <c r="A61" s="28" t="s">
        <v>68</v>
      </c>
      <c r="B61" s="36" t="s">
        <v>146</v>
      </c>
      <c r="C61" s="37"/>
      <c r="D61" s="38"/>
      <c r="E61" s="80"/>
      <c r="F61" s="37"/>
      <c r="G61" s="168"/>
      <c r="H61" s="195" t="s">
        <v>68</v>
      </c>
      <c r="I61" s="36" t="s">
        <v>147</v>
      </c>
      <c r="J61" s="37"/>
      <c r="K61" s="38"/>
      <c r="L61" s="39"/>
      <c r="M61" s="37"/>
      <c r="N61" s="168"/>
    </row>
    <row r="62" spans="1:14" ht="51.75" customHeight="1">
      <c r="A62" s="29"/>
      <c r="B62" s="117" t="s">
        <v>0</v>
      </c>
      <c r="C62" s="118" t="s">
        <v>220</v>
      </c>
      <c r="D62" s="118" t="s">
        <v>198</v>
      </c>
      <c r="E62" s="119" t="s">
        <v>22</v>
      </c>
      <c r="F62" s="119" t="s">
        <v>20</v>
      </c>
      <c r="G62" s="119" t="s">
        <v>35</v>
      </c>
      <c r="H62" s="196"/>
      <c r="I62" s="117" t="s">
        <v>0</v>
      </c>
      <c r="J62" s="118" t="s">
        <v>220</v>
      </c>
      <c r="K62" s="118" t="s">
        <v>198</v>
      </c>
      <c r="L62" s="119" t="s">
        <v>22</v>
      </c>
      <c r="M62" s="119" t="s">
        <v>20</v>
      </c>
      <c r="N62" s="119" t="s">
        <v>35</v>
      </c>
    </row>
    <row r="63" spans="1:14" ht="15.75">
      <c r="A63" s="29"/>
      <c r="B63" s="2" t="s">
        <v>169</v>
      </c>
      <c r="C63" s="5">
        <v>0.27400000000000002</v>
      </c>
      <c r="D63" s="5">
        <v>0.3</v>
      </c>
      <c r="E63" s="141" t="s">
        <v>187</v>
      </c>
      <c r="F63" s="142" t="s">
        <v>187</v>
      </c>
      <c r="G63" s="142" t="s">
        <v>187</v>
      </c>
      <c r="H63" s="196"/>
      <c r="I63" s="154" t="s">
        <v>187</v>
      </c>
      <c r="J63" s="153" t="s">
        <v>187</v>
      </c>
      <c r="K63" s="153" t="s">
        <v>187</v>
      </c>
      <c r="L63" s="142" t="s">
        <v>187</v>
      </c>
      <c r="M63" s="142" t="s">
        <v>187</v>
      </c>
      <c r="N63" s="142" t="s">
        <v>187</v>
      </c>
    </row>
    <row r="64" spans="1:14" ht="57">
      <c r="A64" s="29"/>
      <c r="B64" s="2" t="s">
        <v>138</v>
      </c>
      <c r="C64" s="5">
        <v>4.3700000000000003E-2</v>
      </c>
      <c r="D64" s="5">
        <v>0.06</v>
      </c>
      <c r="E64" s="6" t="s">
        <v>4</v>
      </c>
      <c r="F64" s="7" t="s">
        <v>58</v>
      </c>
      <c r="G64" s="6" t="s">
        <v>218</v>
      </c>
      <c r="H64" s="196"/>
      <c r="I64" s="2" t="s">
        <v>228</v>
      </c>
      <c r="J64" s="5">
        <v>2.87E-2</v>
      </c>
      <c r="K64" s="5">
        <v>0.06</v>
      </c>
      <c r="L64" s="6" t="s">
        <v>4</v>
      </c>
      <c r="M64" s="7" t="s">
        <v>58</v>
      </c>
      <c r="N64" s="6" t="s">
        <v>218</v>
      </c>
    </row>
    <row r="65" spans="1:14">
      <c r="A65" s="29"/>
      <c r="B65" s="2" t="s">
        <v>2</v>
      </c>
      <c r="C65" s="3">
        <v>0.12970000000000001</v>
      </c>
      <c r="D65" s="3">
        <v>0.11</v>
      </c>
      <c r="E65" s="1" t="s">
        <v>3</v>
      </c>
      <c r="F65" s="4" t="s">
        <v>213</v>
      </c>
      <c r="G65" s="1" t="s">
        <v>14</v>
      </c>
      <c r="H65" s="196"/>
      <c r="I65" s="2" t="s">
        <v>2</v>
      </c>
      <c r="J65" s="3">
        <v>0.34100000000000003</v>
      </c>
      <c r="K65" s="3">
        <v>0.35</v>
      </c>
      <c r="L65" s="1" t="s">
        <v>3</v>
      </c>
      <c r="M65" s="4" t="s">
        <v>117</v>
      </c>
      <c r="N65" s="1" t="s">
        <v>14</v>
      </c>
    </row>
    <row r="66" spans="1:14" ht="28.5">
      <c r="A66" s="29"/>
      <c r="B66" s="67" t="s">
        <v>137</v>
      </c>
      <c r="C66" s="3">
        <v>0.46379999999999999</v>
      </c>
      <c r="D66" s="3">
        <v>0.5</v>
      </c>
      <c r="E66" s="1" t="s">
        <v>4</v>
      </c>
      <c r="F66" s="4" t="s">
        <v>91</v>
      </c>
      <c r="G66" s="1" t="s">
        <v>15</v>
      </c>
      <c r="H66" s="196"/>
      <c r="I66" s="2" t="s">
        <v>137</v>
      </c>
      <c r="J66" s="3">
        <v>0.58160000000000001</v>
      </c>
      <c r="K66" s="3">
        <v>0.6</v>
      </c>
      <c r="L66" s="1" t="s">
        <v>4</v>
      </c>
      <c r="M66" s="4" t="s">
        <v>214</v>
      </c>
      <c r="N66" s="1" t="s">
        <v>15</v>
      </c>
    </row>
    <row r="67" spans="1:14" ht="28.5">
      <c r="A67" s="29"/>
      <c r="B67" s="2" t="s">
        <v>170</v>
      </c>
      <c r="C67" s="3">
        <v>1.6000000000000001E-3</v>
      </c>
      <c r="D67" s="3">
        <v>0.05</v>
      </c>
      <c r="E67" s="8" t="s">
        <v>3</v>
      </c>
      <c r="F67" s="9" t="s">
        <v>51</v>
      </c>
      <c r="G67" s="143" t="s">
        <v>187</v>
      </c>
      <c r="H67" s="196"/>
      <c r="I67" s="2" t="s">
        <v>170</v>
      </c>
      <c r="J67" s="3">
        <v>2.0000000000000001E-4</v>
      </c>
      <c r="K67" s="3">
        <v>0.05</v>
      </c>
      <c r="L67" s="8" t="s">
        <v>3</v>
      </c>
      <c r="M67" s="9" t="s">
        <v>51</v>
      </c>
      <c r="N67" s="143" t="s">
        <v>187</v>
      </c>
    </row>
    <row r="68" spans="1:14">
      <c r="A68" s="29"/>
      <c r="B68" s="2" t="s">
        <v>10</v>
      </c>
      <c r="C68" s="3">
        <v>1.5699999999999999E-2</v>
      </c>
      <c r="D68" s="3">
        <v>0.05</v>
      </c>
      <c r="E68" s="8" t="s">
        <v>3</v>
      </c>
      <c r="F68" s="9" t="s">
        <v>51</v>
      </c>
      <c r="G68" s="143" t="s">
        <v>187</v>
      </c>
      <c r="H68" s="196"/>
      <c r="I68" s="2" t="s">
        <v>10</v>
      </c>
      <c r="J68" s="3">
        <v>0</v>
      </c>
      <c r="K68" s="3">
        <v>0.05</v>
      </c>
      <c r="L68" s="8" t="s">
        <v>3</v>
      </c>
      <c r="M68" s="9" t="s">
        <v>51</v>
      </c>
      <c r="N68" s="143" t="s">
        <v>187</v>
      </c>
    </row>
    <row r="69" spans="1:14">
      <c r="A69" s="29"/>
      <c r="B69" s="2" t="s">
        <v>12</v>
      </c>
      <c r="C69" s="3">
        <v>7.1400000000000005E-2</v>
      </c>
      <c r="D69" s="3">
        <v>0.05</v>
      </c>
      <c r="E69" s="1" t="s">
        <v>3</v>
      </c>
      <c r="F69" s="9" t="s">
        <v>51</v>
      </c>
      <c r="G69" s="9" t="s">
        <v>18</v>
      </c>
      <c r="H69" s="196"/>
      <c r="I69" s="2" t="s">
        <v>12</v>
      </c>
      <c r="J69" s="3">
        <v>5.0099999999999999E-2</v>
      </c>
      <c r="K69" s="3">
        <v>0.05</v>
      </c>
      <c r="L69" s="1" t="s">
        <v>3</v>
      </c>
      <c r="M69" s="9" t="s">
        <v>51</v>
      </c>
      <c r="N69" s="9" t="s">
        <v>18</v>
      </c>
    </row>
    <row r="70" spans="1:14">
      <c r="A70" s="29"/>
      <c r="B70" s="2" t="s">
        <v>171</v>
      </c>
      <c r="C70" s="3">
        <v>0</v>
      </c>
      <c r="D70" s="3">
        <v>0.05</v>
      </c>
      <c r="E70" s="1" t="s">
        <v>3</v>
      </c>
      <c r="F70" s="10" t="s">
        <v>51</v>
      </c>
      <c r="G70" s="130" t="s">
        <v>187</v>
      </c>
      <c r="H70" s="196"/>
      <c r="I70" s="2" t="s">
        <v>171</v>
      </c>
      <c r="J70" s="3">
        <v>0</v>
      </c>
      <c r="K70" s="3">
        <v>0.05</v>
      </c>
      <c r="L70" s="1" t="s">
        <v>3</v>
      </c>
      <c r="M70" s="10" t="s">
        <v>51</v>
      </c>
      <c r="N70" s="130" t="s">
        <v>187</v>
      </c>
    </row>
    <row r="71" spans="1:14" ht="15">
      <c r="A71" s="29"/>
      <c r="B71" s="26" t="s">
        <v>5</v>
      </c>
      <c r="C71" s="97">
        <f>SUBTOTAL(109,C63:C70)</f>
        <v>0.99990000000000012</v>
      </c>
      <c r="D71" s="97">
        <f>SUBTOTAL(109,D63:D70)</f>
        <v>1.1700000000000002</v>
      </c>
      <c r="E71" s="115" t="s">
        <v>187</v>
      </c>
      <c r="F71" s="116" t="s">
        <v>187</v>
      </c>
      <c r="G71" s="110" t="s">
        <v>187</v>
      </c>
      <c r="H71" s="196"/>
      <c r="I71" s="26" t="s">
        <v>5</v>
      </c>
      <c r="J71" s="27">
        <f>SUBTOTAL(109,J63:J70)</f>
        <v>1.0016</v>
      </c>
      <c r="K71" s="27">
        <f>SUBTOTAL(109,K63:K70)</f>
        <v>1.2100000000000002</v>
      </c>
      <c r="L71" s="116" t="s">
        <v>187</v>
      </c>
      <c r="M71" s="116" t="s">
        <v>187</v>
      </c>
      <c r="N71" s="110" t="s">
        <v>187</v>
      </c>
    </row>
    <row r="72" spans="1:14">
      <c r="A72" s="29"/>
      <c r="B72" s="2" t="s">
        <v>6</v>
      </c>
      <c r="C72" s="11">
        <v>5.5100000000000003E-2</v>
      </c>
      <c r="D72" s="11">
        <v>0.06</v>
      </c>
      <c r="E72" s="1" t="s">
        <v>4</v>
      </c>
      <c r="F72" s="9" t="s">
        <v>58</v>
      </c>
      <c r="G72" s="1" t="s">
        <v>19</v>
      </c>
      <c r="H72" s="196"/>
      <c r="I72" s="2" t="s">
        <v>6</v>
      </c>
      <c r="J72" s="11">
        <v>5.28E-2</v>
      </c>
      <c r="K72" s="11">
        <v>0.06</v>
      </c>
      <c r="L72" s="1" t="s">
        <v>4</v>
      </c>
      <c r="M72" s="9" t="s">
        <v>58</v>
      </c>
      <c r="N72" s="1" t="s">
        <v>19</v>
      </c>
    </row>
    <row r="73" spans="1:14" ht="30">
      <c r="A73" s="29"/>
      <c r="B73" s="104" t="s">
        <v>225</v>
      </c>
      <c r="C73" s="12">
        <v>1.4E-3</v>
      </c>
      <c r="D73" s="193" t="s">
        <v>187</v>
      </c>
      <c r="E73" s="129" t="s">
        <v>187</v>
      </c>
      <c r="F73" s="129" t="s">
        <v>187</v>
      </c>
      <c r="G73" s="169" t="s">
        <v>187</v>
      </c>
      <c r="H73" s="196"/>
      <c r="I73" s="104" t="s">
        <v>225</v>
      </c>
      <c r="J73" s="12">
        <v>2E-3</v>
      </c>
      <c r="K73" s="193" t="s">
        <v>187</v>
      </c>
      <c r="L73" s="129" t="s">
        <v>187</v>
      </c>
      <c r="M73" s="129" t="s">
        <v>187</v>
      </c>
      <c r="N73" s="169" t="s">
        <v>187</v>
      </c>
    </row>
    <row r="74" spans="1:14" ht="21" customHeight="1">
      <c r="A74" s="68"/>
      <c r="B74" s="70"/>
      <c r="C74" s="71"/>
      <c r="D74" s="72"/>
      <c r="E74" s="71"/>
      <c r="F74" s="71"/>
      <c r="G74" s="171"/>
      <c r="H74" s="194"/>
      <c r="I74" s="74"/>
      <c r="J74" s="75"/>
      <c r="K74" s="76"/>
      <c r="L74" s="75"/>
      <c r="M74" s="75"/>
      <c r="N74" s="172"/>
    </row>
    <row r="75" spans="1:14" ht="51.75" customHeight="1">
      <c r="A75" s="28" t="s">
        <v>70</v>
      </c>
      <c r="B75" s="36" t="s">
        <v>148</v>
      </c>
      <c r="C75" s="37"/>
      <c r="D75" s="38"/>
      <c r="E75" s="80"/>
      <c r="F75" s="37"/>
      <c r="G75" s="168"/>
      <c r="H75" s="195" t="s">
        <v>70</v>
      </c>
      <c r="I75" s="36" t="s">
        <v>149</v>
      </c>
      <c r="J75" s="37"/>
      <c r="K75" s="38"/>
      <c r="L75" s="39"/>
      <c r="M75" s="37"/>
      <c r="N75" s="168"/>
    </row>
    <row r="76" spans="1:14" ht="51.75" customHeight="1">
      <c r="A76" s="29"/>
      <c r="B76" s="117" t="s">
        <v>0</v>
      </c>
      <c r="C76" s="118" t="s">
        <v>220</v>
      </c>
      <c r="D76" s="118" t="s">
        <v>198</v>
      </c>
      <c r="E76" s="119" t="s">
        <v>22</v>
      </c>
      <c r="F76" s="119" t="s">
        <v>20</v>
      </c>
      <c r="G76" s="119" t="s">
        <v>35</v>
      </c>
      <c r="H76" s="196"/>
      <c r="I76" s="117" t="s">
        <v>0</v>
      </c>
      <c r="J76" s="118" t="s">
        <v>220</v>
      </c>
      <c r="K76" s="118" t="s">
        <v>198</v>
      </c>
      <c r="L76" s="119" t="s">
        <v>22</v>
      </c>
      <c r="M76" s="119" t="s">
        <v>20</v>
      </c>
      <c r="N76" s="119" t="s">
        <v>35</v>
      </c>
    </row>
    <row r="77" spans="1:14" ht="15.75">
      <c r="A77" s="29"/>
      <c r="B77" s="102" t="s">
        <v>169</v>
      </c>
      <c r="C77" s="3">
        <v>0.2329</v>
      </c>
      <c r="D77" s="5">
        <v>0.3</v>
      </c>
      <c r="E77" s="141" t="s">
        <v>187</v>
      </c>
      <c r="F77" s="142" t="s">
        <v>187</v>
      </c>
      <c r="G77" s="142" t="s">
        <v>187</v>
      </c>
      <c r="H77" s="196"/>
      <c r="I77" s="152" t="s">
        <v>187</v>
      </c>
      <c r="J77" s="153" t="s">
        <v>187</v>
      </c>
      <c r="K77" s="153" t="s">
        <v>187</v>
      </c>
      <c r="L77" s="142" t="s">
        <v>187</v>
      </c>
      <c r="M77" s="142" t="s">
        <v>187</v>
      </c>
      <c r="N77" s="142" t="s">
        <v>187</v>
      </c>
    </row>
    <row r="78" spans="1:14" ht="28.5">
      <c r="A78" s="29"/>
      <c r="B78" s="102" t="s">
        <v>138</v>
      </c>
      <c r="C78" s="111">
        <v>0</v>
      </c>
      <c r="D78" s="5">
        <v>0</v>
      </c>
      <c r="E78" s="6" t="s">
        <v>4</v>
      </c>
      <c r="F78" s="155" t="s">
        <v>243</v>
      </c>
      <c r="G78" s="145" t="s">
        <v>187</v>
      </c>
      <c r="H78" s="196"/>
      <c r="I78" s="102" t="s">
        <v>228</v>
      </c>
      <c r="J78" s="155">
        <v>0</v>
      </c>
      <c r="K78" s="155" t="s">
        <v>187</v>
      </c>
      <c r="L78" s="6" t="s">
        <v>4</v>
      </c>
      <c r="M78" s="155" t="s">
        <v>243</v>
      </c>
      <c r="N78" s="145" t="s">
        <v>187</v>
      </c>
    </row>
    <row r="79" spans="1:14">
      <c r="A79" s="29"/>
      <c r="B79" s="102" t="s">
        <v>2</v>
      </c>
      <c r="C79" s="3">
        <v>0.68799999999999994</v>
      </c>
      <c r="D79" s="3">
        <v>0.65</v>
      </c>
      <c r="E79" s="1" t="s">
        <v>3</v>
      </c>
      <c r="F79" s="4" t="s">
        <v>193</v>
      </c>
      <c r="G79" s="1" t="s">
        <v>14</v>
      </c>
      <c r="H79" s="196"/>
      <c r="I79" s="102" t="s">
        <v>2</v>
      </c>
      <c r="J79" s="3">
        <v>0.96209999999999996</v>
      </c>
      <c r="K79" s="3">
        <v>0.98</v>
      </c>
      <c r="L79" s="1" t="s">
        <v>3</v>
      </c>
      <c r="M79" s="4" t="s">
        <v>179</v>
      </c>
      <c r="N79" s="1" t="s">
        <v>14</v>
      </c>
    </row>
    <row r="80" spans="1:14" ht="42.75">
      <c r="A80" s="29"/>
      <c r="B80" s="103" t="s">
        <v>185</v>
      </c>
      <c r="C80" s="3">
        <v>2.0000000000000001E-4</v>
      </c>
      <c r="D80" s="3">
        <v>0</v>
      </c>
      <c r="E80" s="1" t="s">
        <v>4</v>
      </c>
      <c r="F80" s="111" t="s">
        <v>243</v>
      </c>
      <c r="G80" s="143" t="s">
        <v>187</v>
      </c>
      <c r="H80" s="196"/>
      <c r="I80" s="102" t="s">
        <v>186</v>
      </c>
      <c r="J80" s="111" t="s">
        <v>187</v>
      </c>
      <c r="K80" s="111" t="s">
        <v>187</v>
      </c>
      <c r="L80" s="1" t="s">
        <v>4</v>
      </c>
      <c r="M80" s="111" t="s">
        <v>243</v>
      </c>
      <c r="N80" s="143" t="s">
        <v>187</v>
      </c>
    </row>
    <row r="81" spans="1:14" ht="28.5">
      <c r="A81" s="29"/>
      <c r="B81" s="102" t="s">
        <v>170</v>
      </c>
      <c r="C81" s="111">
        <v>0</v>
      </c>
      <c r="D81" s="3">
        <v>0</v>
      </c>
      <c r="E81" s="8" t="s">
        <v>3</v>
      </c>
      <c r="F81" s="130" t="s">
        <v>243</v>
      </c>
      <c r="G81" s="143" t="s">
        <v>187</v>
      </c>
      <c r="H81" s="196"/>
      <c r="I81" s="102" t="s">
        <v>170</v>
      </c>
      <c r="J81" s="111" t="s">
        <v>187</v>
      </c>
      <c r="K81" s="111" t="s">
        <v>187</v>
      </c>
      <c r="L81" s="8" t="s">
        <v>3</v>
      </c>
      <c r="M81" s="130" t="s">
        <v>243</v>
      </c>
      <c r="N81" s="143" t="s">
        <v>187</v>
      </c>
    </row>
    <row r="82" spans="1:14">
      <c r="A82" s="29"/>
      <c r="B82" s="102" t="s">
        <v>10</v>
      </c>
      <c r="C82" s="111">
        <v>0</v>
      </c>
      <c r="D82" s="3">
        <v>0</v>
      </c>
      <c r="E82" s="8" t="s">
        <v>3</v>
      </c>
      <c r="F82" s="130" t="s">
        <v>243</v>
      </c>
      <c r="G82" s="143" t="s">
        <v>187</v>
      </c>
      <c r="H82" s="196"/>
      <c r="I82" s="102" t="s">
        <v>10</v>
      </c>
      <c r="J82" s="111" t="s">
        <v>187</v>
      </c>
      <c r="K82" s="111" t="s">
        <v>187</v>
      </c>
      <c r="L82" s="8" t="s">
        <v>3</v>
      </c>
      <c r="M82" s="130" t="s">
        <v>243</v>
      </c>
      <c r="N82" s="143" t="s">
        <v>187</v>
      </c>
    </row>
    <row r="83" spans="1:14">
      <c r="A83" s="29"/>
      <c r="B83" s="102" t="s">
        <v>12</v>
      </c>
      <c r="C83" s="3">
        <v>7.4899999999999994E-2</v>
      </c>
      <c r="D83" s="3">
        <v>0.05</v>
      </c>
      <c r="E83" s="1" t="s">
        <v>3</v>
      </c>
      <c r="F83" s="9" t="s">
        <v>51</v>
      </c>
      <c r="G83" s="9" t="s">
        <v>18</v>
      </c>
      <c r="H83" s="196"/>
      <c r="I83" s="102" t="s">
        <v>12</v>
      </c>
      <c r="J83" s="3">
        <v>3.6600000000000001E-2</v>
      </c>
      <c r="K83" s="3">
        <v>0.05</v>
      </c>
      <c r="L83" s="1" t="s">
        <v>3</v>
      </c>
      <c r="M83" s="9" t="s">
        <v>51</v>
      </c>
      <c r="N83" s="9" t="s">
        <v>18</v>
      </c>
    </row>
    <row r="84" spans="1:14">
      <c r="A84" s="29"/>
      <c r="B84" s="102" t="s">
        <v>171</v>
      </c>
      <c r="C84" s="111">
        <v>0</v>
      </c>
      <c r="D84" s="3">
        <v>0</v>
      </c>
      <c r="E84" s="1" t="s">
        <v>3</v>
      </c>
      <c r="F84" s="228" t="s">
        <v>243</v>
      </c>
      <c r="G84" s="130" t="s">
        <v>187</v>
      </c>
      <c r="H84" s="196"/>
      <c r="I84" s="102" t="s">
        <v>171</v>
      </c>
      <c r="J84" s="111" t="s">
        <v>187</v>
      </c>
      <c r="K84" s="111" t="s">
        <v>187</v>
      </c>
      <c r="L84" s="1" t="s">
        <v>3</v>
      </c>
      <c r="M84" s="228" t="s">
        <v>243</v>
      </c>
      <c r="N84" s="130" t="s">
        <v>187</v>
      </c>
    </row>
    <row r="85" spans="1:14" ht="15">
      <c r="A85" s="29"/>
      <c r="B85" s="104" t="s">
        <v>5</v>
      </c>
      <c r="C85" s="97">
        <f>SUBTOTAL(109,C77:C84)</f>
        <v>0.99599999999999989</v>
      </c>
      <c r="D85" s="97">
        <f>SUBTOTAL(109,D77:D84)</f>
        <v>1</v>
      </c>
      <c r="E85" s="115" t="s">
        <v>187</v>
      </c>
      <c r="F85" s="116" t="s">
        <v>187</v>
      </c>
      <c r="G85" s="110" t="s">
        <v>187</v>
      </c>
      <c r="H85" s="196"/>
      <c r="I85" s="104" t="s">
        <v>5</v>
      </c>
      <c r="J85" s="97">
        <f>SUBTOTAL(109,J77:J84)</f>
        <v>0.99869999999999992</v>
      </c>
      <c r="K85" s="97">
        <f>SUBTOTAL(109,K77:K84)</f>
        <v>1.03</v>
      </c>
      <c r="L85" s="116" t="s">
        <v>187</v>
      </c>
      <c r="M85" s="116" t="s">
        <v>187</v>
      </c>
      <c r="N85" s="110" t="s">
        <v>187</v>
      </c>
    </row>
    <row r="86" spans="1:14">
      <c r="A86" s="29"/>
      <c r="B86" s="102" t="s">
        <v>6</v>
      </c>
      <c r="C86" s="139">
        <v>0</v>
      </c>
      <c r="D86" s="11">
        <v>0</v>
      </c>
      <c r="E86" s="1" t="s">
        <v>4</v>
      </c>
      <c r="F86" s="130" t="s">
        <v>243</v>
      </c>
      <c r="G86" s="143" t="s">
        <v>187</v>
      </c>
      <c r="H86" s="196"/>
      <c r="I86" s="102" t="s">
        <v>6</v>
      </c>
      <c r="J86" s="139" t="s">
        <v>187</v>
      </c>
      <c r="K86" s="139" t="s">
        <v>187</v>
      </c>
      <c r="L86" s="1" t="s">
        <v>4</v>
      </c>
      <c r="M86" s="130" t="s">
        <v>243</v>
      </c>
      <c r="N86" s="143" t="s">
        <v>187</v>
      </c>
    </row>
    <row r="87" spans="1:14" ht="30">
      <c r="A87" s="29"/>
      <c r="B87" s="104" t="s">
        <v>225</v>
      </c>
      <c r="C87" s="12">
        <v>2E-3</v>
      </c>
      <c r="D87" s="193" t="s">
        <v>187</v>
      </c>
      <c r="E87" s="129" t="s">
        <v>187</v>
      </c>
      <c r="F87" s="129" t="s">
        <v>187</v>
      </c>
      <c r="G87" s="169" t="s">
        <v>187</v>
      </c>
      <c r="H87" s="196"/>
      <c r="I87" s="104" t="s">
        <v>225</v>
      </c>
      <c r="J87" s="12">
        <v>2E-3</v>
      </c>
      <c r="K87" s="193" t="s">
        <v>187</v>
      </c>
      <c r="L87" s="129" t="s">
        <v>187</v>
      </c>
      <c r="M87" s="129" t="s">
        <v>187</v>
      </c>
      <c r="N87" s="169" t="s">
        <v>187</v>
      </c>
    </row>
    <row r="88" spans="1:14" ht="21" customHeight="1">
      <c r="A88" s="68"/>
      <c r="B88" s="70"/>
      <c r="C88" s="71"/>
      <c r="D88" s="72"/>
      <c r="E88" s="71"/>
      <c r="F88" s="71"/>
      <c r="G88" s="171"/>
      <c r="H88" s="194"/>
      <c r="I88" s="74"/>
      <c r="J88" s="75"/>
      <c r="K88" s="76"/>
      <c r="L88" s="75"/>
      <c r="M88" s="75"/>
      <c r="N88" s="172"/>
    </row>
    <row r="89" spans="1:14" ht="64.5" customHeight="1">
      <c r="A89" s="42" t="s">
        <v>92</v>
      </c>
      <c r="B89" s="36" t="s">
        <v>150</v>
      </c>
      <c r="C89" s="37"/>
      <c r="D89" s="38"/>
      <c r="E89" s="80"/>
      <c r="F89" s="80"/>
      <c r="G89" s="168"/>
      <c r="H89" s="197" t="s">
        <v>92</v>
      </c>
      <c r="I89" s="36" t="s">
        <v>151</v>
      </c>
      <c r="J89" s="37"/>
      <c r="K89" s="38"/>
      <c r="L89" s="39"/>
      <c r="M89" s="39"/>
      <c r="N89" s="168"/>
    </row>
    <row r="90" spans="1:14" ht="51.75" customHeight="1">
      <c r="A90" s="43"/>
      <c r="B90" s="117" t="s">
        <v>0</v>
      </c>
      <c r="C90" s="118" t="s">
        <v>220</v>
      </c>
      <c r="D90" s="118" t="s">
        <v>198</v>
      </c>
      <c r="E90" s="119" t="s">
        <v>22</v>
      </c>
      <c r="F90" s="119" t="s">
        <v>20</v>
      </c>
      <c r="G90" s="119" t="s">
        <v>35</v>
      </c>
      <c r="H90" s="198"/>
      <c r="I90" s="117" t="s">
        <v>0</v>
      </c>
      <c r="J90" s="118" t="s">
        <v>220</v>
      </c>
      <c r="K90" s="118" t="s">
        <v>198</v>
      </c>
      <c r="L90" s="119" t="s">
        <v>22</v>
      </c>
      <c r="M90" s="119" t="s">
        <v>20</v>
      </c>
      <c r="N90" s="119" t="s">
        <v>35</v>
      </c>
    </row>
    <row r="91" spans="1:14" ht="15.75">
      <c r="A91" s="43"/>
      <c r="B91" s="102" t="s">
        <v>169</v>
      </c>
      <c r="C91" s="5">
        <v>0.28060000000000002</v>
      </c>
      <c r="D91" s="5">
        <v>0.3</v>
      </c>
      <c r="E91" s="141" t="s">
        <v>187</v>
      </c>
      <c r="F91" s="142" t="s">
        <v>187</v>
      </c>
      <c r="G91" s="142" t="s">
        <v>187</v>
      </c>
      <c r="H91" s="198"/>
      <c r="I91" s="152" t="s">
        <v>187</v>
      </c>
      <c r="J91" s="153" t="s">
        <v>187</v>
      </c>
      <c r="K91" s="153" t="s">
        <v>187</v>
      </c>
      <c r="L91" s="142" t="s">
        <v>187</v>
      </c>
      <c r="M91" s="142" t="s">
        <v>187</v>
      </c>
      <c r="N91" s="142" t="s">
        <v>187</v>
      </c>
    </row>
    <row r="92" spans="1:14" ht="57">
      <c r="A92" s="43"/>
      <c r="B92" s="102" t="s">
        <v>138</v>
      </c>
      <c r="C92" s="5">
        <v>0.42370000000000002</v>
      </c>
      <c r="D92" s="5">
        <v>0.42</v>
      </c>
      <c r="E92" s="6" t="s">
        <v>23</v>
      </c>
      <c r="F92" s="7" t="s">
        <v>215</v>
      </c>
      <c r="G92" s="6" t="s">
        <v>218</v>
      </c>
      <c r="H92" s="198"/>
      <c r="I92" s="102" t="s">
        <v>228</v>
      </c>
      <c r="J92" s="5">
        <v>0.4521</v>
      </c>
      <c r="K92" s="5">
        <v>0.46</v>
      </c>
      <c r="L92" s="6" t="s">
        <v>23</v>
      </c>
      <c r="M92" s="7" t="s">
        <v>48</v>
      </c>
      <c r="N92" s="6" t="s">
        <v>218</v>
      </c>
    </row>
    <row r="93" spans="1:14">
      <c r="A93" s="43"/>
      <c r="B93" s="102" t="s">
        <v>2</v>
      </c>
      <c r="C93" s="3">
        <v>0.11990000000000001</v>
      </c>
      <c r="D93" s="3">
        <v>0.12</v>
      </c>
      <c r="E93" s="1" t="s">
        <v>24</v>
      </c>
      <c r="F93" s="4" t="s">
        <v>216</v>
      </c>
      <c r="G93" s="1" t="s">
        <v>14</v>
      </c>
      <c r="H93" s="198"/>
      <c r="I93" s="102" t="s">
        <v>2</v>
      </c>
      <c r="J93" s="3">
        <v>0.29709999999999998</v>
      </c>
      <c r="K93" s="3">
        <v>0.3</v>
      </c>
      <c r="L93" s="1" t="s">
        <v>24</v>
      </c>
      <c r="M93" s="4" t="s">
        <v>60</v>
      </c>
      <c r="N93" s="1" t="s">
        <v>14</v>
      </c>
    </row>
    <row r="94" spans="1:14" ht="28.5">
      <c r="A94" s="45"/>
      <c r="B94" s="103" t="s">
        <v>137</v>
      </c>
      <c r="C94" s="3">
        <v>0.23080000000000001</v>
      </c>
      <c r="D94" s="3">
        <v>0.23</v>
      </c>
      <c r="E94" s="1" t="s">
        <v>23</v>
      </c>
      <c r="F94" s="4" t="s">
        <v>47</v>
      </c>
      <c r="G94" s="1" t="s">
        <v>15</v>
      </c>
      <c r="H94" s="198"/>
      <c r="I94" s="102" t="s">
        <v>137</v>
      </c>
      <c r="J94" s="3">
        <v>0.2959</v>
      </c>
      <c r="K94" s="3">
        <v>0.31</v>
      </c>
      <c r="L94" s="1" t="s">
        <v>23</v>
      </c>
      <c r="M94" s="4" t="s">
        <v>180</v>
      </c>
      <c r="N94" s="1" t="s">
        <v>15</v>
      </c>
    </row>
    <row r="95" spans="1:14">
      <c r="A95" s="45"/>
      <c r="B95" s="102" t="s">
        <v>12</v>
      </c>
      <c r="C95" s="3">
        <v>0.16589999999999999</v>
      </c>
      <c r="D95" s="3">
        <v>0.15</v>
      </c>
      <c r="E95" s="1" t="s">
        <v>24</v>
      </c>
      <c r="F95" s="9" t="s">
        <v>52</v>
      </c>
      <c r="G95" s="9" t="s">
        <v>18</v>
      </c>
      <c r="H95" s="198"/>
      <c r="I95" s="102" t="s">
        <v>12</v>
      </c>
      <c r="J95" s="3">
        <v>8.8400000000000006E-2</v>
      </c>
      <c r="K95" s="3">
        <v>0.05</v>
      </c>
      <c r="L95" s="1" t="s">
        <v>24</v>
      </c>
      <c r="M95" s="9" t="s">
        <v>51</v>
      </c>
      <c r="N95" s="9" t="s">
        <v>18</v>
      </c>
    </row>
    <row r="96" spans="1:14" ht="15">
      <c r="A96" s="45"/>
      <c r="B96" s="104" t="s">
        <v>5</v>
      </c>
      <c r="C96" s="27">
        <f>SUBTOTAL(109,C91:C95)</f>
        <v>1.2209000000000001</v>
      </c>
      <c r="D96" s="97">
        <f>SUBTOTAL(109,D91:D95)</f>
        <v>1.22</v>
      </c>
      <c r="E96" s="115" t="s">
        <v>187</v>
      </c>
      <c r="F96" s="116" t="s">
        <v>187</v>
      </c>
      <c r="G96" s="110" t="s">
        <v>187</v>
      </c>
      <c r="H96" s="198"/>
      <c r="I96" s="104" t="s">
        <v>5</v>
      </c>
      <c r="J96" s="27">
        <f>SUBTOTAL(109,J91:J95)</f>
        <v>1.1335</v>
      </c>
      <c r="K96" s="27">
        <f>SUBTOTAL(109,K91:K95)</f>
        <v>1.1200000000000001</v>
      </c>
      <c r="L96" s="116" t="s">
        <v>187</v>
      </c>
      <c r="M96" s="40" t="s">
        <v>175</v>
      </c>
      <c r="N96" s="110" t="s">
        <v>187</v>
      </c>
    </row>
    <row r="97" spans="1:14">
      <c r="A97" s="45"/>
      <c r="B97" s="102" t="s">
        <v>6</v>
      </c>
      <c r="C97" s="11">
        <v>0.16209999999999999</v>
      </c>
      <c r="D97" s="11">
        <v>0.18</v>
      </c>
      <c r="E97" s="1" t="s">
        <v>23</v>
      </c>
      <c r="F97" s="9" t="s">
        <v>203</v>
      </c>
      <c r="G97" s="1" t="s">
        <v>19</v>
      </c>
      <c r="H97" s="198"/>
      <c r="I97" s="102" t="s">
        <v>6</v>
      </c>
      <c r="J97" s="11">
        <v>0.1678</v>
      </c>
      <c r="K97" s="11">
        <v>0.18</v>
      </c>
      <c r="L97" s="1" t="s">
        <v>23</v>
      </c>
      <c r="M97" s="9" t="s">
        <v>203</v>
      </c>
      <c r="N97" s="1" t="s">
        <v>19</v>
      </c>
    </row>
    <row r="98" spans="1:14" ht="30">
      <c r="A98" s="45"/>
      <c r="B98" s="104" t="s">
        <v>225</v>
      </c>
      <c r="C98" s="12">
        <v>1.5E-3</v>
      </c>
      <c r="D98" s="136" t="s">
        <v>187</v>
      </c>
      <c r="E98" s="137" t="s">
        <v>187</v>
      </c>
      <c r="F98" s="138" t="s">
        <v>187</v>
      </c>
      <c r="G98" s="169" t="s">
        <v>187</v>
      </c>
      <c r="H98" s="198"/>
      <c r="I98" s="104" t="s">
        <v>225</v>
      </c>
      <c r="J98" s="12">
        <v>1.5E-3</v>
      </c>
      <c r="K98" s="136" t="s">
        <v>187</v>
      </c>
      <c r="L98" s="138" t="s">
        <v>187</v>
      </c>
      <c r="M98" s="138" t="s">
        <v>187</v>
      </c>
      <c r="N98" s="169" t="s">
        <v>187</v>
      </c>
    </row>
    <row r="99" spans="1:14" ht="21" customHeight="1">
      <c r="A99" s="68"/>
      <c r="B99" s="70"/>
      <c r="C99" s="71"/>
      <c r="D99" s="72"/>
      <c r="E99" s="71"/>
      <c r="F99" s="71"/>
      <c r="G99" s="171"/>
      <c r="H99" s="194"/>
      <c r="I99" s="74"/>
      <c r="J99" s="75"/>
      <c r="K99" s="76"/>
      <c r="L99" s="75"/>
      <c r="M99" s="75"/>
      <c r="N99" s="172"/>
    </row>
    <row r="100" spans="1:14" ht="64.5" customHeight="1">
      <c r="A100" s="42" t="s">
        <v>82</v>
      </c>
      <c r="B100" s="36" t="s">
        <v>152</v>
      </c>
      <c r="C100" s="37"/>
      <c r="D100" s="38"/>
      <c r="E100" s="37"/>
      <c r="F100" s="37"/>
      <c r="G100" s="168"/>
      <c r="H100" s="197" t="s">
        <v>82</v>
      </c>
      <c r="I100" s="36" t="s">
        <v>153</v>
      </c>
      <c r="J100" s="37"/>
      <c r="K100" s="38"/>
      <c r="L100" s="39" t="s">
        <v>184</v>
      </c>
      <c r="M100" s="37"/>
      <c r="N100" s="168"/>
    </row>
    <row r="101" spans="1:14" ht="51.75" customHeight="1">
      <c r="A101" s="43"/>
      <c r="B101" s="117" t="s">
        <v>0</v>
      </c>
      <c r="C101" s="118" t="s">
        <v>220</v>
      </c>
      <c r="D101" s="118" t="s">
        <v>198</v>
      </c>
      <c r="E101" s="119" t="s">
        <v>22</v>
      </c>
      <c r="F101" s="119" t="s">
        <v>20</v>
      </c>
      <c r="G101" s="119" t="s">
        <v>35</v>
      </c>
      <c r="H101" s="198"/>
      <c r="I101" s="117" t="s">
        <v>0</v>
      </c>
      <c r="J101" s="118" t="s">
        <v>220</v>
      </c>
      <c r="K101" s="118" t="s">
        <v>198</v>
      </c>
      <c r="L101" s="119" t="s">
        <v>22</v>
      </c>
      <c r="M101" s="119" t="s">
        <v>20</v>
      </c>
      <c r="N101" s="119" t="s">
        <v>35</v>
      </c>
    </row>
    <row r="102" spans="1:14" ht="15.75">
      <c r="A102" s="43"/>
      <c r="B102" s="2" t="s">
        <v>169</v>
      </c>
      <c r="C102" s="5">
        <v>0.2757</v>
      </c>
      <c r="D102" s="5">
        <v>0.3</v>
      </c>
      <c r="E102" s="141" t="s">
        <v>187</v>
      </c>
      <c r="F102" s="142" t="s">
        <v>187</v>
      </c>
      <c r="G102" s="142" t="s">
        <v>187</v>
      </c>
      <c r="H102" s="198"/>
      <c r="I102" s="154" t="s">
        <v>187</v>
      </c>
      <c r="J102" s="153" t="s">
        <v>187</v>
      </c>
      <c r="K102" s="153" t="s">
        <v>187</v>
      </c>
      <c r="L102" s="142" t="s">
        <v>187</v>
      </c>
      <c r="M102" s="142" t="s">
        <v>187</v>
      </c>
      <c r="N102" s="142" t="s">
        <v>187</v>
      </c>
    </row>
    <row r="103" spans="1:14" ht="57">
      <c r="A103" s="43"/>
      <c r="B103" s="2" t="s">
        <v>138</v>
      </c>
      <c r="C103" s="5">
        <v>0.70889999999999997</v>
      </c>
      <c r="D103" s="5">
        <v>0.7</v>
      </c>
      <c r="E103" s="6" t="s">
        <v>23</v>
      </c>
      <c r="F103" s="7" t="s">
        <v>192</v>
      </c>
      <c r="G103" s="6" t="s">
        <v>218</v>
      </c>
      <c r="H103" s="198"/>
      <c r="I103" s="2" t="s">
        <v>228</v>
      </c>
      <c r="J103" s="5">
        <v>0.96550000000000002</v>
      </c>
      <c r="K103" s="5">
        <v>0.94</v>
      </c>
      <c r="L103" s="6" t="s">
        <v>23</v>
      </c>
      <c r="M103" s="7" t="s">
        <v>98</v>
      </c>
      <c r="N103" s="6" t="s">
        <v>218</v>
      </c>
    </row>
    <row r="104" spans="1:14">
      <c r="A104" s="44"/>
      <c r="B104" s="2" t="s">
        <v>2</v>
      </c>
      <c r="C104" s="3">
        <v>0.17580000000000001</v>
      </c>
      <c r="D104" s="3">
        <v>0.17</v>
      </c>
      <c r="E104" s="1" t="s">
        <v>24</v>
      </c>
      <c r="F104" s="4" t="s">
        <v>178</v>
      </c>
      <c r="G104" s="1" t="s">
        <v>14</v>
      </c>
      <c r="H104" s="198"/>
      <c r="I104" s="2" t="s">
        <v>2</v>
      </c>
      <c r="J104" s="3">
        <v>0.32119999999999999</v>
      </c>
      <c r="K104" s="3">
        <v>0.32</v>
      </c>
      <c r="L104" s="1" t="s">
        <v>24</v>
      </c>
      <c r="M104" s="4" t="s">
        <v>217</v>
      </c>
      <c r="N104" s="1" t="s">
        <v>14</v>
      </c>
    </row>
    <row r="105" spans="1:14" ht="28.5">
      <c r="A105" s="45"/>
      <c r="B105" s="67" t="s">
        <v>137</v>
      </c>
      <c r="C105" s="3">
        <v>2.6700000000000002E-2</v>
      </c>
      <c r="D105" s="3">
        <v>0.06</v>
      </c>
      <c r="E105" s="1" t="s">
        <v>23</v>
      </c>
      <c r="F105" s="4" t="s">
        <v>58</v>
      </c>
      <c r="G105" s="1" t="s">
        <v>15</v>
      </c>
      <c r="H105" s="198"/>
      <c r="I105" s="2" t="s">
        <v>137</v>
      </c>
      <c r="J105" s="3">
        <v>5.6000000000000001E-2</v>
      </c>
      <c r="K105" s="3">
        <v>0.06</v>
      </c>
      <c r="L105" s="1" t="s">
        <v>23</v>
      </c>
      <c r="M105" s="4" t="s">
        <v>58</v>
      </c>
      <c r="N105" s="1" t="s">
        <v>15</v>
      </c>
    </row>
    <row r="106" spans="1:14">
      <c r="A106" s="45"/>
      <c r="B106" s="2" t="s">
        <v>12</v>
      </c>
      <c r="C106" s="3">
        <v>0.18049999999999999</v>
      </c>
      <c r="D106" s="3">
        <v>0.15</v>
      </c>
      <c r="E106" s="1" t="s">
        <v>24</v>
      </c>
      <c r="F106" s="9" t="s">
        <v>52</v>
      </c>
      <c r="G106" s="9" t="s">
        <v>18</v>
      </c>
      <c r="H106" s="198"/>
      <c r="I106" s="2" t="s">
        <v>12</v>
      </c>
      <c r="J106" s="3">
        <v>0.19209999999999999</v>
      </c>
      <c r="K106" s="3">
        <v>0.15</v>
      </c>
      <c r="L106" s="1" t="s">
        <v>24</v>
      </c>
      <c r="M106" s="9" t="s">
        <v>52</v>
      </c>
      <c r="N106" s="9" t="s">
        <v>18</v>
      </c>
    </row>
    <row r="107" spans="1:14" ht="15">
      <c r="A107" s="45"/>
      <c r="B107" s="26" t="s">
        <v>5</v>
      </c>
      <c r="C107" s="27">
        <f>SUBTOTAL(109,C102:C106)</f>
        <v>1.3675999999999999</v>
      </c>
      <c r="D107" s="27">
        <f>SUBTOTAL(109,D102:D106)</f>
        <v>1.38</v>
      </c>
      <c r="E107" s="115" t="s">
        <v>187</v>
      </c>
      <c r="F107" s="40" t="s">
        <v>175</v>
      </c>
      <c r="G107" s="110" t="s">
        <v>187</v>
      </c>
      <c r="H107" s="198"/>
      <c r="I107" s="26" t="s">
        <v>5</v>
      </c>
      <c r="J107" s="27">
        <f>SUBTOTAL(109,J102:J106)</f>
        <v>1.5347999999999999</v>
      </c>
      <c r="K107" s="97">
        <f>SUBTOTAL(109,K102:K106)</f>
        <v>1.47</v>
      </c>
      <c r="L107" s="116" t="s">
        <v>187</v>
      </c>
      <c r="M107" s="116" t="s">
        <v>187</v>
      </c>
      <c r="N107" s="110" t="s">
        <v>187</v>
      </c>
    </row>
    <row r="108" spans="1:14">
      <c r="A108" s="45"/>
      <c r="B108" s="2" t="s">
        <v>6</v>
      </c>
      <c r="C108" s="11">
        <v>0.18990000000000001</v>
      </c>
      <c r="D108" s="11">
        <v>0.18</v>
      </c>
      <c r="E108" s="1" t="s">
        <v>23</v>
      </c>
      <c r="F108" s="9" t="s">
        <v>203</v>
      </c>
      <c r="G108" s="1" t="s">
        <v>19</v>
      </c>
      <c r="H108" s="198"/>
      <c r="I108" s="2" t="s">
        <v>6</v>
      </c>
      <c r="J108" s="11">
        <v>0.20599999999999999</v>
      </c>
      <c r="K108" s="11">
        <v>0.18</v>
      </c>
      <c r="L108" s="1" t="s">
        <v>23</v>
      </c>
      <c r="M108" s="9" t="s">
        <v>203</v>
      </c>
      <c r="N108" s="1" t="s">
        <v>19</v>
      </c>
    </row>
    <row r="109" spans="1:14" ht="30">
      <c r="A109" s="45"/>
      <c r="B109" s="104" t="s">
        <v>225</v>
      </c>
      <c r="C109" s="12">
        <v>1.5E-3</v>
      </c>
      <c r="D109" s="136" t="s">
        <v>187</v>
      </c>
      <c r="E109" s="137" t="s">
        <v>187</v>
      </c>
      <c r="F109" s="138" t="s">
        <v>187</v>
      </c>
      <c r="G109" s="169" t="s">
        <v>187</v>
      </c>
      <c r="H109" s="198"/>
      <c r="I109" s="104" t="s">
        <v>225</v>
      </c>
      <c r="J109" s="12">
        <v>1.5E-3</v>
      </c>
      <c r="K109" s="136" t="s">
        <v>187</v>
      </c>
      <c r="L109" s="138" t="s">
        <v>187</v>
      </c>
      <c r="M109" s="138" t="s">
        <v>187</v>
      </c>
      <c r="N109" s="169" t="s">
        <v>187</v>
      </c>
    </row>
    <row r="110" spans="1:14" ht="21" customHeight="1">
      <c r="A110" s="68"/>
      <c r="B110" s="70"/>
      <c r="C110" s="71"/>
      <c r="D110" s="72"/>
      <c r="E110" s="71"/>
      <c r="F110" s="71"/>
      <c r="G110" s="171"/>
      <c r="H110" s="194"/>
      <c r="I110" s="74"/>
      <c r="J110" s="75"/>
      <c r="K110" s="76"/>
      <c r="L110" s="75"/>
      <c r="M110" s="75"/>
      <c r="N110" s="172"/>
    </row>
    <row r="111" spans="1:14" ht="64.5" customHeight="1">
      <c r="A111" s="42" t="s">
        <v>83</v>
      </c>
      <c r="B111" s="36" t="s">
        <v>154</v>
      </c>
      <c r="C111" s="37"/>
      <c r="D111" s="38"/>
      <c r="E111" s="80"/>
      <c r="F111" s="37"/>
      <c r="G111" s="168"/>
      <c r="H111" s="197" t="s">
        <v>83</v>
      </c>
      <c r="I111" s="36" t="s">
        <v>155</v>
      </c>
      <c r="J111" s="37"/>
      <c r="K111" s="38"/>
      <c r="L111" s="39"/>
      <c r="M111" s="37"/>
      <c r="N111" s="168"/>
    </row>
    <row r="112" spans="1:14" ht="51.75" customHeight="1">
      <c r="A112" s="43"/>
      <c r="B112" s="117" t="s">
        <v>0</v>
      </c>
      <c r="C112" s="118" t="s">
        <v>220</v>
      </c>
      <c r="D112" s="118" t="s">
        <v>198</v>
      </c>
      <c r="E112" s="119" t="s">
        <v>22</v>
      </c>
      <c r="F112" s="119" t="s">
        <v>20</v>
      </c>
      <c r="G112" s="119" t="s">
        <v>35</v>
      </c>
      <c r="H112" s="198"/>
      <c r="I112" s="117" t="s">
        <v>0</v>
      </c>
      <c r="J112" s="118" t="s">
        <v>220</v>
      </c>
      <c r="K112" s="118" t="s">
        <v>198</v>
      </c>
      <c r="L112" s="119" t="s">
        <v>22</v>
      </c>
      <c r="M112" s="119" t="s">
        <v>20</v>
      </c>
      <c r="N112" s="119" t="s">
        <v>35</v>
      </c>
    </row>
    <row r="113" spans="1:14" ht="15.75">
      <c r="A113" s="43"/>
      <c r="B113" s="2" t="s">
        <v>169</v>
      </c>
      <c r="C113" s="5">
        <v>0.28270000000000001</v>
      </c>
      <c r="D113" s="5">
        <v>0.3</v>
      </c>
      <c r="E113" s="141" t="s">
        <v>187</v>
      </c>
      <c r="F113" s="142" t="s">
        <v>187</v>
      </c>
      <c r="G113" s="142" t="s">
        <v>187</v>
      </c>
      <c r="H113" s="198"/>
      <c r="I113" s="154" t="s">
        <v>187</v>
      </c>
      <c r="J113" s="153" t="s">
        <v>187</v>
      </c>
      <c r="K113" s="153" t="s">
        <v>187</v>
      </c>
      <c r="L113" s="142" t="s">
        <v>187</v>
      </c>
      <c r="M113" s="142" t="s">
        <v>187</v>
      </c>
      <c r="N113" s="142" t="s">
        <v>187</v>
      </c>
    </row>
    <row r="114" spans="1:14" ht="57">
      <c r="A114" s="43"/>
      <c r="B114" s="2" t="s">
        <v>138</v>
      </c>
      <c r="C114" s="5">
        <v>3.2599999999999997E-2</v>
      </c>
      <c r="D114" s="5">
        <v>0.06</v>
      </c>
      <c r="E114" s="6" t="s">
        <v>23</v>
      </c>
      <c r="F114" s="7" t="s">
        <v>58</v>
      </c>
      <c r="G114" s="6" t="s">
        <v>218</v>
      </c>
      <c r="H114" s="198"/>
      <c r="I114" s="2" t="s">
        <v>228</v>
      </c>
      <c r="J114" s="5">
        <v>2.5999999999999999E-2</v>
      </c>
      <c r="K114" s="5">
        <v>0.06</v>
      </c>
      <c r="L114" s="6" t="s">
        <v>23</v>
      </c>
      <c r="M114" s="7" t="s">
        <v>58</v>
      </c>
      <c r="N114" s="6" t="s">
        <v>218</v>
      </c>
    </row>
    <row r="115" spans="1:14">
      <c r="A115" s="44"/>
      <c r="B115" s="2" t="s">
        <v>2</v>
      </c>
      <c r="C115" s="3">
        <v>0.152</v>
      </c>
      <c r="D115" s="3">
        <v>0.15</v>
      </c>
      <c r="E115" s="1" t="s">
        <v>24</v>
      </c>
      <c r="F115" s="4" t="s">
        <v>52</v>
      </c>
      <c r="G115" s="1" t="s">
        <v>14</v>
      </c>
      <c r="H115" s="198"/>
      <c r="I115" s="2" t="s">
        <v>2</v>
      </c>
      <c r="J115" s="3">
        <v>0.25390000000000001</v>
      </c>
      <c r="K115" s="3">
        <v>0.25</v>
      </c>
      <c r="L115" s="1" t="s">
        <v>24</v>
      </c>
      <c r="M115" s="4" t="s">
        <v>54</v>
      </c>
      <c r="N115" s="1" t="s">
        <v>14</v>
      </c>
    </row>
    <row r="116" spans="1:14" ht="28.5">
      <c r="A116" s="45"/>
      <c r="B116" s="67" t="s">
        <v>137</v>
      </c>
      <c r="C116" s="3">
        <v>0.47239999999999999</v>
      </c>
      <c r="D116" s="3">
        <v>0.5</v>
      </c>
      <c r="E116" s="1" t="s">
        <v>23</v>
      </c>
      <c r="F116" s="4" t="s">
        <v>91</v>
      </c>
      <c r="G116" s="1" t="s">
        <v>15</v>
      </c>
      <c r="H116" s="198"/>
      <c r="I116" s="2" t="s">
        <v>137</v>
      </c>
      <c r="J116" s="3">
        <v>0.66200000000000003</v>
      </c>
      <c r="K116" s="3">
        <v>0.7</v>
      </c>
      <c r="L116" s="1" t="s">
        <v>23</v>
      </c>
      <c r="M116" s="4" t="s">
        <v>86</v>
      </c>
      <c r="N116" s="1" t="s">
        <v>15</v>
      </c>
    </row>
    <row r="117" spans="1:14">
      <c r="A117" s="45"/>
      <c r="B117" s="2" t="s">
        <v>12</v>
      </c>
      <c r="C117" s="3">
        <v>6.3299999999999995E-2</v>
      </c>
      <c r="D117" s="3">
        <v>0.1</v>
      </c>
      <c r="E117" s="1" t="s">
        <v>24</v>
      </c>
      <c r="F117" s="9" t="s">
        <v>49</v>
      </c>
      <c r="G117" s="9" t="s">
        <v>18</v>
      </c>
      <c r="H117" s="198"/>
      <c r="I117" s="2" t="s">
        <v>12</v>
      </c>
      <c r="J117" s="3">
        <v>5.8099999999999999E-2</v>
      </c>
      <c r="K117" s="3">
        <v>0.05</v>
      </c>
      <c r="L117" s="1" t="s">
        <v>24</v>
      </c>
      <c r="M117" s="9" t="s">
        <v>51</v>
      </c>
      <c r="N117" s="9" t="s">
        <v>18</v>
      </c>
    </row>
    <row r="118" spans="1:14" ht="15">
      <c r="A118" s="45"/>
      <c r="B118" s="26" t="s">
        <v>5</v>
      </c>
      <c r="C118" s="27">
        <f>SUBTOTAL(109,C113:C117)</f>
        <v>1.0029999999999999</v>
      </c>
      <c r="D118" s="27">
        <f>SUBTOTAL(109,D113:D117)</f>
        <v>1.1100000000000001</v>
      </c>
      <c r="E118" s="115" t="s">
        <v>187</v>
      </c>
      <c r="F118" s="116" t="s">
        <v>187</v>
      </c>
      <c r="G118" s="110" t="s">
        <v>187</v>
      </c>
      <c r="H118" s="198"/>
      <c r="I118" s="26" t="s">
        <v>5</v>
      </c>
      <c r="J118" s="27">
        <f>SUBTOTAL(109,J113:J117)</f>
        <v>1</v>
      </c>
      <c r="K118" s="27">
        <f>SUBTOTAL(109,K113:K117)</f>
        <v>1.06</v>
      </c>
      <c r="L118" s="116" t="s">
        <v>187</v>
      </c>
      <c r="M118" s="116" t="s">
        <v>187</v>
      </c>
      <c r="N118" s="110" t="s">
        <v>187</v>
      </c>
    </row>
    <row r="119" spans="1:14">
      <c r="A119" s="45"/>
      <c r="B119" s="2" t="s">
        <v>6</v>
      </c>
      <c r="C119" s="11">
        <v>3.3700000000000001E-2</v>
      </c>
      <c r="D119" s="11">
        <v>0.06</v>
      </c>
      <c r="E119" s="1" t="s">
        <v>23</v>
      </c>
      <c r="F119" s="9" t="s">
        <v>58</v>
      </c>
      <c r="G119" s="1" t="s">
        <v>19</v>
      </c>
      <c r="H119" s="198"/>
      <c r="I119" s="2" t="s">
        <v>6</v>
      </c>
      <c r="J119" s="11">
        <v>3.73E-2</v>
      </c>
      <c r="K119" s="11">
        <v>0.08</v>
      </c>
      <c r="L119" s="1" t="s">
        <v>23</v>
      </c>
      <c r="M119" s="9" t="s">
        <v>59</v>
      </c>
      <c r="N119" s="1" t="s">
        <v>19</v>
      </c>
    </row>
    <row r="120" spans="1:14" ht="30">
      <c r="A120" s="45"/>
      <c r="B120" s="104" t="s">
        <v>225</v>
      </c>
      <c r="C120" s="12">
        <v>1.5E-3</v>
      </c>
      <c r="D120" s="136" t="s">
        <v>187</v>
      </c>
      <c r="E120" s="137" t="s">
        <v>187</v>
      </c>
      <c r="F120" s="138" t="s">
        <v>187</v>
      </c>
      <c r="G120" s="169" t="s">
        <v>187</v>
      </c>
      <c r="H120" s="198"/>
      <c r="I120" s="104" t="s">
        <v>225</v>
      </c>
      <c r="J120" s="12">
        <v>1.5E-3</v>
      </c>
      <c r="K120" s="136" t="s">
        <v>187</v>
      </c>
      <c r="L120" s="138" t="s">
        <v>187</v>
      </c>
      <c r="M120" s="138" t="s">
        <v>187</v>
      </c>
      <c r="N120" s="169" t="s">
        <v>187</v>
      </c>
    </row>
    <row r="121" spans="1:14" ht="21" customHeight="1">
      <c r="A121" s="68"/>
      <c r="B121" s="70"/>
      <c r="C121" s="71"/>
      <c r="D121" s="72"/>
      <c r="E121" s="71"/>
      <c r="F121" s="71"/>
      <c r="G121" s="171"/>
      <c r="H121" s="194"/>
      <c r="I121" s="74"/>
      <c r="J121" s="75"/>
      <c r="K121" s="76"/>
      <c r="L121" s="75"/>
      <c r="M121" s="75"/>
      <c r="N121" s="172"/>
    </row>
    <row r="122" spans="1:14" ht="51.75" customHeight="1">
      <c r="A122" s="46" t="s">
        <v>93</v>
      </c>
      <c r="B122" s="36" t="s">
        <v>156</v>
      </c>
      <c r="C122" s="37"/>
      <c r="D122" s="38"/>
      <c r="E122" s="80"/>
      <c r="F122" s="37"/>
      <c r="G122" s="168"/>
      <c r="H122" s="199" t="s">
        <v>93</v>
      </c>
      <c r="I122" s="36" t="s">
        <v>157</v>
      </c>
      <c r="J122" s="37"/>
      <c r="K122" s="38"/>
      <c r="L122" s="39"/>
      <c r="M122" s="37"/>
      <c r="N122" s="168"/>
    </row>
    <row r="123" spans="1:14" ht="51.75" customHeight="1">
      <c r="A123" s="47"/>
      <c r="B123" s="117" t="s">
        <v>0</v>
      </c>
      <c r="C123" s="118" t="s">
        <v>220</v>
      </c>
      <c r="D123" s="118" t="s">
        <v>198</v>
      </c>
      <c r="E123" s="119" t="s">
        <v>22</v>
      </c>
      <c r="F123" s="119" t="s">
        <v>20</v>
      </c>
      <c r="G123" s="119" t="s">
        <v>35</v>
      </c>
      <c r="H123" s="200"/>
      <c r="I123" s="117" t="s">
        <v>0</v>
      </c>
      <c r="J123" s="118" t="s">
        <v>220</v>
      </c>
      <c r="K123" s="118" t="s">
        <v>198</v>
      </c>
      <c r="L123" s="119" t="s">
        <v>22</v>
      </c>
      <c r="M123" s="119" t="s">
        <v>20</v>
      </c>
      <c r="N123" s="119" t="s">
        <v>35</v>
      </c>
    </row>
    <row r="124" spans="1:14" ht="15.75">
      <c r="A124" s="47"/>
      <c r="B124" s="102" t="s">
        <v>169</v>
      </c>
      <c r="C124" s="5" t="s">
        <v>233</v>
      </c>
      <c r="D124" s="5" t="s">
        <v>195</v>
      </c>
      <c r="E124" s="141" t="s">
        <v>187</v>
      </c>
      <c r="F124" s="142" t="s">
        <v>188</v>
      </c>
      <c r="G124" s="142" t="s">
        <v>196</v>
      </c>
      <c r="H124" s="200"/>
      <c r="I124" s="152" t="s">
        <v>187</v>
      </c>
      <c r="J124" s="153" t="s">
        <v>187</v>
      </c>
      <c r="K124" s="153" t="s">
        <v>187</v>
      </c>
      <c r="L124" s="142" t="s">
        <v>187</v>
      </c>
      <c r="M124" s="142" t="s">
        <v>187</v>
      </c>
      <c r="N124" s="142" t="s">
        <v>187</v>
      </c>
    </row>
    <row r="125" spans="1:14" ht="28.5">
      <c r="A125" s="47"/>
      <c r="B125" s="102" t="s">
        <v>138</v>
      </c>
      <c r="C125" s="5">
        <v>0.35039999999999999</v>
      </c>
      <c r="D125" s="5">
        <v>0.35</v>
      </c>
      <c r="E125" s="6" t="s">
        <v>23</v>
      </c>
      <c r="F125" s="7" t="s">
        <v>118</v>
      </c>
      <c r="G125" s="52" t="s">
        <v>27</v>
      </c>
      <c r="H125" s="200"/>
      <c r="I125" s="102" t="s">
        <v>228</v>
      </c>
      <c r="J125" s="5">
        <v>0.48180000000000001</v>
      </c>
      <c r="K125" s="5">
        <v>0.46</v>
      </c>
      <c r="L125" s="6" t="s">
        <v>23</v>
      </c>
      <c r="M125" s="7" t="s">
        <v>48</v>
      </c>
      <c r="N125" s="52" t="s">
        <v>27</v>
      </c>
    </row>
    <row r="126" spans="1:14">
      <c r="A126" s="47"/>
      <c r="B126" s="102" t="s">
        <v>2</v>
      </c>
      <c r="C126" s="3">
        <v>0.1638</v>
      </c>
      <c r="D126" s="3">
        <v>0.2</v>
      </c>
      <c r="E126" s="1" t="s">
        <v>24</v>
      </c>
      <c r="F126" s="4" t="s">
        <v>131</v>
      </c>
      <c r="G126" s="9" t="s">
        <v>28</v>
      </c>
      <c r="H126" s="201"/>
      <c r="I126" s="102" t="s">
        <v>2</v>
      </c>
      <c r="J126" s="3">
        <v>0.23130000000000001</v>
      </c>
      <c r="K126" s="3">
        <v>0.2</v>
      </c>
      <c r="L126" s="1" t="s">
        <v>24</v>
      </c>
      <c r="M126" s="4" t="s">
        <v>131</v>
      </c>
      <c r="N126" s="9" t="s">
        <v>28</v>
      </c>
    </row>
    <row r="127" spans="1:14" ht="28.5">
      <c r="A127" s="47"/>
      <c r="B127" s="103" t="s">
        <v>137</v>
      </c>
      <c r="C127" s="3">
        <v>0.223</v>
      </c>
      <c r="D127" s="3">
        <v>0.2</v>
      </c>
      <c r="E127" s="1" t="s">
        <v>23</v>
      </c>
      <c r="F127" s="4" t="s">
        <v>64</v>
      </c>
      <c r="G127" s="9" t="s">
        <v>181</v>
      </c>
      <c r="H127" s="200"/>
      <c r="I127" s="102" t="s">
        <v>137</v>
      </c>
      <c r="J127" s="3">
        <v>0.29930000000000001</v>
      </c>
      <c r="K127" s="3">
        <v>0.33</v>
      </c>
      <c r="L127" s="1" t="s">
        <v>23</v>
      </c>
      <c r="M127" s="4" t="s">
        <v>78</v>
      </c>
      <c r="N127" s="9" t="s">
        <v>181</v>
      </c>
    </row>
    <row r="128" spans="1:14">
      <c r="A128" s="49"/>
      <c r="B128" s="102" t="s">
        <v>12</v>
      </c>
      <c r="C128" s="3">
        <v>0.1517</v>
      </c>
      <c r="D128" s="3">
        <v>0.15</v>
      </c>
      <c r="E128" s="1" t="s">
        <v>24</v>
      </c>
      <c r="F128" s="9" t="s">
        <v>52</v>
      </c>
      <c r="G128" s="9" t="s">
        <v>18</v>
      </c>
      <c r="H128" s="200"/>
      <c r="I128" s="102" t="s">
        <v>12</v>
      </c>
      <c r="J128" s="3">
        <v>0.14000000000000001</v>
      </c>
      <c r="K128" s="3">
        <v>0.1</v>
      </c>
      <c r="L128" s="1" t="s">
        <v>24</v>
      </c>
      <c r="M128" s="9" t="s">
        <v>49</v>
      </c>
      <c r="N128" s="9" t="s">
        <v>18</v>
      </c>
    </row>
    <row r="129" spans="1:14" ht="15">
      <c r="A129" s="49"/>
      <c r="B129" s="104" t="s">
        <v>5</v>
      </c>
      <c r="C129" s="27">
        <f>SUBTOTAL(109,C124:C128)</f>
        <v>0.88890000000000002</v>
      </c>
      <c r="D129" s="27">
        <f>SUBTOTAL(109,D124:D128)</f>
        <v>0.9</v>
      </c>
      <c r="E129" s="115" t="s">
        <v>187</v>
      </c>
      <c r="F129" s="116" t="s">
        <v>187</v>
      </c>
      <c r="G129" s="110" t="s">
        <v>187</v>
      </c>
      <c r="H129" s="200"/>
      <c r="I129" s="104" t="s">
        <v>5</v>
      </c>
      <c r="J129" s="27">
        <f>SUBTOTAL(109,J124:J128)</f>
        <v>1.1524000000000001</v>
      </c>
      <c r="K129" s="27">
        <f>SUBTOTAL(109,K124:K128)</f>
        <v>1.0900000000000001</v>
      </c>
      <c r="L129" s="116" t="s">
        <v>187</v>
      </c>
      <c r="M129" s="116" t="s">
        <v>187</v>
      </c>
      <c r="N129" s="110" t="s">
        <v>187</v>
      </c>
    </row>
    <row r="130" spans="1:14">
      <c r="A130" s="49"/>
      <c r="B130" s="102" t="s">
        <v>6</v>
      </c>
      <c r="C130" s="11">
        <v>0.69440000000000002</v>
      </c>
      <c r="D130" s="11">
        <v>0.64</v>
      </c>
      <c r="E130" s="1" t="s">
        <v>23</v>
      </c>
      <c r="F130" s="9" t="s">
        <v>182</v>
      </c>
      <c r="G130" s="9" t="s">
        <v>19</v>
      </c>
      <c r="H130" s="200"/>
      <c r="I130" s="102" t="s">
        <v>6</v>
      </c>
      <c r="J130" s="11">
        <v>0.99019999999999997</v>
      </c>
      <c r="K130" s="11">
        <v>0.94</v>
      </c>
      <c r="L130" s="1" t="s">
        <v>23</v>
      </c>
      <c r="M130" s="9" t="s">
        <v>98</v>
      </c>
      <c r="N130" s="9" t="s">
        <v>19</v>
      </c>
    </row>
    <row r="131" spans="1:14" ht="30">
      <c r="A131" s="49"/>
      <c r="B131" s="104" t="s">
        <v>225</v>
      </c>
      <c r="C131" s="12">
        <v>4.0000000000000001E-3</v>
      </c>
      <c r="D131" s="136" t="s">
        <v>187</v>
      </c>
      <c r="E131" s="137" t="s">
        <v>187</v>
      </c>
      <c r="F131" s="138" t="s">
        <v>187</v>
      </c>
      <c r="G131" s="169" t="s">
        <v>187</v>
      </c>
      <c r="H131" s="200"/>
      <c r="I131" s="104" t="s">
        <v>225</v>
      </c>
      <c r="J131" s="12">
        <v>4.0000000000000001E-3</v>
      </c>
      <c r="K131" s="136" t="s">
        <v>187</v>
      </c>
      <c r="L131" s="138" t="s">
        <v>187</v>
      </c>
      <c r="M131" s="138" t="s">
        <v>187</v>
      </c>
      <c r="N131" s="169" t="s">
        <v>187</v>
      </c>
    </row>
    <row r="132" spans="1:14" ht="21" customHeight="1">
      <c r="A132" s="68"/>
      <c r="B132" s="70"/>
      <c r="C132" s="71"/>
      <c r="D132" s="72"/>
      <c r="E132" s="71"/>
      <c r="F132" s="71"/>
      <c r="G132" s="171"/>
      <c r="H132" s="194"/>
      <c r="I132" s="74"/>
      <c r="J132" s="75"/>
      <c r="K132" s="76"/>
      <c r="L132" s="75"/>
      <c r="M132" s="75"/>
      <c r="N132" s="172"/>
    </row>
    <row r="133" spans="1:14" ht="51.75" customHeight="1">
      <c r="A133" s="46" t="s">
        <v>100</v>
      </c>
      <c r="B133" s="36" t="s">
        <v>158</v>
      </c>
      <c r="C133" s="37"/>
      <c r="D133" s="38"/>
      <c r="E133" s="80"/>
      <c r="F133" s="37"/>
      <c r="G133" s="168"/>
      <c r="H133" s="199" t="s">
        <v>100</v>
      </c>
      <c r="I133" s="36" t="s">
        <v>159</v>
      </c>
      <c r="J133" s="37"/>
      <c r="K133" s="38"/>
      <c r="L133" s="39"/>
      <c r="M133" s="37"/>
      <c r="N133" s="168"/>
    </row>
    <row r="134" spans="1:14" ht="51.75" customHeight="1">
      <c r="A134" s="49"/>
      <c r="B134" s="117" t="s">
        <v>0</v>
      </c>
      <c r="C134" s="118" t="s">
        <v>220</v>
      </c>
      <c r="D134" s="118" t="s">
        <v>198</v>
      </c>
      <c r="E134" s="119" t="s">
        <v>22</v>
      </c>
      <c r="F134" s="119" t="s">
        <v>20</v>
      </c>
      <c r="G134" s="119" t="s">
        <v>35</v>
      </c>
      <c r="H134" s="200"/>
      <c r="I134" s="117" t="s">
        <v>0</v>
      </c>
      <c r="J134" s="118" t="s">
        <v>220</v>
      </c>
      <c r="K134" s="118" t="s">
        <v>198</v>
      </c>
      <c r="L134" s="119" t="s">
        <v>22</v>
      </c>
      <c r="M134" s="119" t="s">
        <v>20</v>
      </c>
      <c r="N134" s="119" t="s">
        <v>35</v>
      </c>
    </row>
    <row r="135" spans="1:14" ht="15.75">
      <c r="A135" s="49"/>
      <c r="B135" s="102" t="s">
        <v>169</v>
      </c>
      <c r="C135" s="5" t="s">
        <v>234</v>
      </c>
      <c r="D135" s="5" t="s">
        <v>195</v>
      </c>
      <c r="E135" s="141" t="s">
        <v>187</v>
      </c>
      <c r="F135" s="142" t="s">
        <v>188</v>
      </c>
      <c r="G135" s="142" t="s">
        <v>196</v>
      </c>
      <c r="H135" s="200"/>
      <c r="I135" s="152" t="s">
        <v>187</v>
      </c>
      <c r="J135" s="153" t="s">
        <v>187</v>
      </c>
      <c r="K135" s="153" t="s">
        <v>187</v>
      </c>
      <c r="L135" s="142" t="s">
        <v>187</v>
      </c>
      <c r="M135" s="142" t="s">
        <v>187</v>
      </c>
      <c r="N135" s="142" t="s">
        <v>187</v>
      </c>
    </row>
    <row r="136" spans="1:14" ht="28.5">
      <c r="A136" s="49"/>
      <c r="B136" s="102" t="s">
        <v>138</v>
      </c>
      <c r="C136" s="5">
        <v>0.69910000000000005</v>
      </c>
      <c r="D136" s="5">
        <v>0.64</v>
      </c>
      <c r="E136" s="6" t="s">
        <v>23</v>
      </c>
      <c r="F136" s="7" t="s">
        <v>182</v>
      </c>
      <c r="G136" s="52" t="s">
        <v>27</v>
      </c>
      <c r="H136" s="200"/>
      <c r="I136" s="102" t="s">
        <v>228</v>
      </c>
      <c r="J136" s="5">
        <v>0.99519999999999997</v>
      </c>
      <c r="K136" s="5">
        <v>0.94</v>
      </c>
      <c r="L136" s="6" t="s">
        <v>23</v>
      </c>
      <c r="M136" s="7" t="s">
        <v>98</v>
      </c>
      <c r="N136" s="52" t="s">
        <v>27</v>
      </c>
    </row>
    <row r="137" spans="1:14">
      <c r="A137" s="48"/>
      <c r="B137" s="102" t="s">
        <v>2</v>
      </c>
      <c r="C137" s="3">
        <v>0.2878</v>
      </c>
      <c r="D137" s="3">
        <v>0.25</v>
      </c>
      <c r="E137" s="1" t="s">
        <v>24</v>
      </c>
      <c r="F137" s="4" t="s">
        <v>189</v>
      </c>
      <c r="G137" s="9" t="s">
        <v>14</v>
      </c>
      <c r="H137" s="201"/>
      <c r="I137" s="102" t="s">
        <v>2</v>
      </c>
      <c r="J137" s="3">
        <v>0.218</v>
      </c>
      <c r="K137" s="3">
        <v>0.25</v>
      </c>
      <c r="L137" s="1" t="s">
        <v>24</v>
      </c>
      <c r="M137" s="4" t="s">
        <v>54</v>
      </c>
      <c r="N137" s="9" t="s">
        <v>14</v>
      </c>
    </row>
    <row r="138" spans="1:14" ht="28.5">
      <c r="A138" s="49"/>
      <c r="B138" s="103" t="s">
        <v>137</v>
      </c>
      <c r="C138" s="3">
        <v>0</v>
      </c>
      <c r="D138" s="111" t="s">
        <v>187</v>
      </c>
      <c r="E138" s="1" t="s">
        <v>23</v>
      </c>
      <c r="F138" s="111" t="s">
        <v>243</v>
      </c>
      <c r="G138" s="130" t="s">
        <v>187</v>
      </c>
      <c r="H138" s="200"/>
      <c r="I138" s="102" t="s">
        <v>137</v>
      </c>
      <c r="J138" s="3">
        <v>0</v>
      </c>
      <c r="K138" s="111" t="s">
        <v>187</v>
      </c>
      <c r="L138" s="1" t="s">
        <v>23</v>
      </c>
      <c r="M138" s="111" t="s">
        <v>243</v>
      </c>
      <c r="N138" s="130" t="s">
        <v>187</v>
      </c>
    </row>
    <row r="139" spans="1:14">
      <c r="A139" s="49"/>
      <c r="B139" s="102" t="s">
        <v>12</v>
      </c>
      <c r="C139" s="3">
        <v>0.1827</v>
      </c>
      <c r="D139" s="3">
        <v>0.15</v>
      </c>
      <c r="E139" s="1" t="s">
        <v>24</v>
      </c>
      <c r="F139" s="9" t="s">
        <v>52</v>
      </c>
      <c r="G139" s="9" t="s">
        <v>18</v>
      </c>
      <c r="H139" s="200"/>
      <c r="I139" s="102" t="s">
        <v>12</v>
      </c>
      <c r="J139" s="3">
        <v>0.14929999999999999</v>
      </c>
      <c r="K139" s="3">
        <v>0.15</v>
      </c>
      <c r="L139" s="1" t="s">
        <v>24</v>
      </c>
      <c r="M139" s="9" t="s">
        <v>52</v>
      </c>
      <c r="N139" s="9" t="s">
        <v>18</v>
      </c>
    </row>
    <row r="140" spans="1:14" ht="15">
      <c r="A140" s="49"/>
      <c r="B140" s="104" t="s">
        <v>5</v>
      </c>
      <c r="C140" s="27">
        <f>SUBTOTAL(109,C135:C139)</f>
        <v>1.1696000000000002</v>
      </c>
      <c r="D140" s="27">
        <f>SUBTOTAL(109,D135:D139)</f>
        <v>1.04</v>
      </c>
      <c r="E140" s="115" t="s">
        <v>187</v>
      </c>
      <c r="F140" s="116" t="s">
        <v>187</v>
      </c>
      <c r="G140" s="110" t="s">
        <v>187</v>
      </c>
      <c r="H140" s="200"/>
      <c r="I140" s="104" t="s">
        <v>5</v>
      </c>
      <c r="J140" s="27">
        <f>SUBTOTAL(109,J135:J139)</f>
        <v>1.3625</v>
      </c>
      <c r="K140" s="27">
        <f>SUBTOTAL(109,K135:K139)</f>
        <v>1.3399999999999999</v>
      </c>
      <c r="L140" s="116" t="s">
        <v>187</v>
      </c>
      <c r="M140" s="116" t="s">
        <v>187</v>
      </c>
      <c r="N140" s="110" t="s">
        <v>187</v>
      </c>
    </row>
    <row r="141" spans="1:14">
      <c r="A141" s="49"/>
      <c r="B141" s="102" t="s">
        <v>6</v>
      </c>
      <c r="C141" s="11">
        <v>0.69799999999999995</v>
      </c>
      <c r="D141" s="11">
        <v>0.64</v>
      </c>
      <c r="E141" s="1" t="s">
        <v>23</v>
      </c>
      <c r="F141" s="9" t="s">
        <v>182</v>
      </c>
      <c r="G141" s="9" t="s">
        <v>19</v>
      </c>
      <c r="H141" s="200"/>
      <c r="I141" s="102" t="s">
        <v>6</v>
      </c>
      <c r="J141" s="11">
        <v>0.996</v>
      </c>
      <c r="K141" s="11">
        <v>0.94</v>
      </c>
      <c r="L141" s="1" t="s">
        <v>23</v>
      </c>
      <c r="M141" s="9" t="s">
        <v>98</v>
      </c>
      <c r="N141" s="9" t="s">
        <v>19</v>
      </c>
    </row>
    <row r="142" spans="1:14" ht="30">
      <c r="A142" s="49"/>
      <c r="B142" s="104" t="s">
        <v>136</v>
      </c>
      <c r="C142" s="12">
        <v>2E-3</v>
      </c>
      <c r="D142" s="136" t="s">
        <v>187</v>
      </c>
      <c r="E142" s="137" t="s">
        <v>187</v>
      </c>
      <c r="F142" s="138" t="s">
        <v>187</v>
      </c>
      <c r="G142" s="169" t="s">
        <v>187</v>
      </c>
      <c r="H142" s="200"/>
      <c r="I142" s="104" t="s">
        <v>136</v>
      </c>
      <c r="J142" s="12">
        <v>2E-3</v>
      </c>
      <c r="K142" s="136" t="s">
        <v>187</v>
      </c>
      <c r="L142" s="138" t="s">
        <v>187</v>
      </c>
      <c r="M142" s="138" t="s">
        <v>187</v>
      </c>
      <c r="N142" s="169" t="s">
        <v>187</v>
      </c>
    </row>
    <row r="143" spans="1:14" ht="21" customHeight="1">
      <c r="A143" s="68"/>
      <c r="B143" s="70"/>
      <c r="C143" s="71"/>
      <c r="D143" s="72"/>
      <c r="E143" s="71"/>
      <c r="F143" s="71"/>
      <c r="G143" s="171"/>
      <c r="H143" s="194"/>
      <c r="I143" s="74"/>
      <c r="J143" s="75"/>
      <c r="K143" s="76"/>
      <c r="L143" s="75"/>
      <c r="M143" s="75"/>
      <c r="N143" s="172"/>
    </row>
    <row r="144" spans="1:14" ht="51.75" customHeight="1">
      <c r="A144" s="46" t="s">
        <v>104</v>
      </c>
      <c r="B144" s="36" t="s">
        <v>160</v>
      </c>
      <c r="C144" s="37"/>
      <c r="D144" s="38"/>
      <c r="E144" s="80"/>
      <c r="F144" s="37"/>
      <c r="G144" s="168"/>
      <c r="H144" s="199" t="s">
        <v>104</v>
      </c>
      <c r="I144" s="36" t="s">
        <v>161</v>
      </c>
      <c r="J144" s="37"/>
      <c r="K144" s="38"/>
      <c r="L144" s="39"/>
      <c r="M144" s="37"/>
      <c r="N144" s="168"/>
    </row>
    <row r="145" spans="1:14" ht="51.75" customHeight="1">
      <c r="A145" s="47"/>
      <c r="B145" s="117" t="s">
        <v>0</v>
      </c>
      <c r="C145" s="118" t="s">
        <v>220</v>
      </c>
      <c r="D145" s="118" t="s">
        <v>198</v>
      </c>
      <c r="E145" s="119" t="s">
        <v>22</v>
      </c>
      <c r="F145" s="119" t="s">
        <v>20</v>
      </c>
      <c r="G145" s="119" t="s">
        <v>35</v>
      </c>
      <c r="H145" s="200"/>
      <c r="I145" s="117" t="s">
        <v>0</v>
      </c>
      <c r="J145" s="118" t="s">
        <v>220</v>
      </c>
      <c r="K145" s="118" t="s">
        <v>198</v>
      </c>
      <c r="L145" s="119" t="s">
        <v>22</v>
      </c>
      <c r="M145" s="119" t="s">
        <v>20</v>
      </c>
      <c r="N145" s="119" t="s">
        <v>35</v>
      </c>
    </row>
    <row r="146" spans="1:14" ht="15.75">
      <c r="A146" s="47"/>
      <c r="B146" s="102" t="s">
        <v>169</v>
      </c>
      <c r="C146" s="3">
        <v>0.3085</v>
      </c>
      <c r="D146" s="3">
        <v>0.3</v>
      </c>
      <c r="E146" s="141" t="s">
        <v>187</v>
      </c>
      <c r="F146" s="142" t="s">
        <v>187</v>
      </c>
      <c r="G146" s="142" t="s">
        <v>187</v>
      </c>
      <c r="H146" s="200"/>
      <c r="I146" s="152" t="s">
        <v>187</v>
      </c>
      <c r="J146" s="153" t="s">
        <v>187</v>
      </c>
      <c r="K146" s="153" t="s">
        <v>187</v>
      </c>
      <c r="L146" s="142" t="s">
        <v>187</v>
      </c>
      <c r="M146" s="142" t="s">
        <v>187</v>
      </c>
      <c r="N146" s="142" t="s">
        <v>187</v>
      </c>
    </row>
    <row r="147" spans="1:14" ht="28.5">
      <c r="A147" s="47"/>
      <c r="B147" s="102" t="s">
        <v>138</v>
      </c>
      <c r="C147" s="155">
        <v>0</v>
      </c>
      <c r="D147" s="155" t="s">
        <v>187</v>
      </c>
      <c r="E147" s="6" t="s">
        <v>23</v>
      </c>
      <c r="F147" s="155" t="s">
        <v>187</v>
      </c>
      <c r="G147" s="145" t="s">
        <v>187</v>
      </c>
      <c r="H147" s="200"/>
      <c r="I147" s="102" t="s">
        <v>228</v>
      </c>
      <c r="J147" s="155" t="s">
        <v>187</v>
      </c>
      <c r="K147" s="155" t="s">
        <v>187</v>
      </c>
      <c r="L147" s="6" t="s">
        <v>23</v>
      </c>
      <c r="M147" s="155" t="s">
        <v>187</v>
      </c>
      <c r="N147" s="145" t="s">
        <v>187</v>
      </c>
    </row>
    <row r="148" spans="1:14">
      <c r="A148" s="47"/>
      <c r="B148" s="102" t="s">
        <v>2</v>
      </c>
      <c r="C148" s="3">
        <v>0.20760000000000001</v>
      </c>
      <c r="D148" s="3">
        <v>0.25</v>
      </c>
      <c r="E148" s="1" t="s">
        <v>24</v>
      </c>
      <c r="F148" s="4" t="s">
        <v>54</v>
      </c>
      <c r="G148" s="1" t="s">
        <v>28</v>
      </c>
      <c r="H148" s="201"/>
      <c r="I148" s="102" t="s">
        <v>2</v>
      </c>
      <c r="J148" s="3">
        <v>0.25409999999999999</v>
      </c>
      <c r="K148" s="5">
        <v>0.3</v>
      </c>
      <c r="L148" s="1" t="s">
        <v>24</v>
      </c>
      <c r="M148" s="4" t="s">
        <v>60</v>
      </c>
      <c r="N148" s="1" t="s">
        <v>28</v>
      </c>
    </row>
    <row r="149" spans="1:14" ht="28.5">
      <c r="A149" s="49"/>
      <c r="B149" s="103" t="s">
        <v>137</v>
      </c>
      <c r="C149" s="3">
        <v>0.47099999999999997</v>
      </c>
      <c r="D149" s="3">
        <v>0.5</v>
      </c>
      <c r="E149" s="1" t="s">
        <v>23</v>
      </c>
      <c r="F149" s="4" t="s">
        <v>91</v>
      </c>
      <c r="G149" s="9" t="s">
        <v>181</v>
      </c>
      <c r="H149" s="200"/>
      <c r="I149" s="156" t="s">
        <v>137</v>
      </c>
      <c r="J149" s="3">
        <v>0.65790000000000004</v>
      </c>
      <c r="K149" s="5">
        <v>0.7</v>
      </c>
      <c r="L149" s="101" t="s">
        <v>23</v>
      </c>
      <c r="M149" s="4" t="s">
        <v>86</v>
      </c>
      <c r="N149" s="4" t="s">
        <v>181</v>
      </c>
    </row>
    <row r="150" spans="1:14">
      <c r="A150" s="49"/>
      <c r="B150" s="102" t="s">
        <v>12</v>
      </c>
      <c r="C150" s="3">
        <v>6.3E-3</v>
      </c>
      <c r="D150" s="3">
        <v>0.3</v>
      </c>
      <c r="E150" s="1" t="s">
        <v>24</v>
      </c>
      <c r="F150" s="9" t="s">
        <v>230</v>
      </c>
      <c r="G150" s="1" t="s">
        <v>18</v>
      </c>
      <c r="H150" s="200"/>
      <c r="I150" s="156" t="s">
        <v>12</v>
      </c>
      <c r="J150" s="3">
        <v>8.8900000000000007E-2</v>
      </c>
      <c r="K150" s="5">
        <v>0.3</v>
      </c>
      <c r="L150" s="101" t="s">
        <v>24</v>
      </c>
      <c r="M150" s="9" t="s">
        <v>230</v>
      </c>
      <c r="N150" s="101" t="s">
        <v>18</v>
      </c>
    </row>
    <row r="151" spans="1:14" ht="15">
      <c r="A151" s="49"/>
      <c r="B151" s="104" t="s">
        <v>5</v>
      </c>
      <c r="C151" s="97">
        <f>SUBTOTAL(109,C146:C150)</f>
        <v>0.99339999999999995</v>
      </c>
      <c r="D151" s="97">
        <f>SUBTOTAL(109,D146:D150)</f>
        <v>1.35</v>
      </c>
      <c r="E151" s="115" t="s">
        <v>187</v>
      </c>
      <c r="F151" s="116" t="s">
        <v>187</v>
      </c>
      <c r="G151" s="109" t="s">
        <v>187</v>
      </c>
      <c r="H151" s="200"/>
      <c r="I151" s="104" t="s">
        <v>5</v>
      </c>
      <c r="J151" s="27">
        <f>SUBTOTAL(109,J146:J150)</f>
        <v>1.0009000000000001</v>
      </c>
      <c r="K151" s="27">
        <f>SUBTOTAL(109,K146:K150)</f>
        <v>1.3</v>
      </c>
      <c r="L151" s="116" t="s">
        <v>187</v>
      </c>
      <c r="M151" s="116" t="s">
        <v>187</v>
      </c>
      <c r="N151" s="109" t="s">
        <v>187</v>
      </c>
    </row>
    <row r="152" spans="1:14">
      <c r="A152" s="49"/>
      <c r="B152" s="102" t="s">
        <v>6</v>
      </c>
      <c r="C152" s="11">
        <v>0.69679999999999997</v>
      </c>
      <c r="D152" s="11">
        <v>0.64</v>
      </c>
      <c r="E152" s="1" t="s">
        <v>23</v>
      </c>
      <c r="F152" s="9" t="s">
        <v>182</v>
      </c>
      <c r="G152" s="1" t="s">
        <v>19</v>
      </c>
      <c r="H152" s="200"/>
      <c r="I152" s="102" t="s">
        <v>6</v>
      </c>
      <c r="J152" s="11">
        <v>0.98029999999999995</v>
      </c>
      <c r="K152" s="11">
        <v>0.94</v>
      </c>
      <c r="L152" s="1" t="s">
        <v>23</v>
      </c>
      <c r="M152" s="9" t="s">
        <v>98</v>
      </c>
      <c r="N152" s="1" t="s">
        <v>19</v>
      </c>
    </row>
    <row r="153" spans="1:14" ht="30">
      <c r="A153" s="49"/>
      <c r="B153" s="104" t="s">
        <v>225</v>
      </c>
      <c r="C153" s="12">
        <v>4.0000000000000001E-3</v>
      </c>
      <c r="D153" s="136" t="s">
        <v>187</v>
      </c>
      <c r="E153" s="137" t="s">
        <v>187</v>
      </c>
      <c r="F153" s="138" t="s">
        <v>187</v>
      </c>
      <c r="G153" s="169" t="s">
        <v>187</v>
      </c>
      <c r="H153" s="200"/>
      <c r="I153" s="104" t="s">
        <v>225</v>
      </c>
      <c r="J153" s="12">
        <v>4.0000000000000001E-3</v>
      </c>
      <c r="K153" s="136" t="s">
        <v>187</v>
      </c>
      <c r="L153" s="138" t="s">
        <v>187</v>
      </c>
      <c r="M153" s="138" t="s">
        <v>187</v>
      </c>
      <c r="N153" s="169" t="s">
        <v>187</v>
      </c>
    </row>
    <row r="154" spans="1:14" ht="21" customHeight="1">
      <c r="A154" s="68"/>
      <c r="B154" s="70"/>
      <c r="C154" s="71"/>
      <c r="D154" s="72"/>
      <c r="E154" s="71"/>
      <c r="F154" s="71"/>
      <c r="G154" s="171"/>
      <c r="H154" s="194"/>
      <c r="I154" s="74"/>
      <c r="J154" s="75"/>
      <c r="K154" s="76"/>
      <c r="L154" s="75"/>
      <c r="M154" s="75"/>
      <c r="N154" s="172"/>
    </row>
    <row r="155" spans="1:14" ht="51.75" customHeight="1">
      <c r="A155" s="46" t="s">
        <v>111</v>
      </c>
      <c r="B155" s="36" t="s">
        <v>162</v>
      </c>
      <c r="C155" s="37"/>
      <c r="D155" s="38"/>
      <c r="E155" s="80"/>
      <c r="F155" s="37"/>
      <c r="G155" s="168"/>
      <c r="H155" s="199" t="s">
        <v>111</v>
      </c>
      <c r="I155" s="36" t="s">
        <v>163</v>
      </c>
      <c r="J155" s="37"/>
      <c r="K155" s="38"/>
      <c r="L155" s="39"/>
      <c r="M155" s="37"/>
      <c r="N155" s="168"/>
    </row>
    <row r="156" spans="1:14" ht="51.75" customHeight="1">
      <c r="A156" s="47"/>
      <c r="B156" s="218" t="s">
        <v>0</v>
      </c>
      <c r="C156" s="118" t="s">
        <v>220</v>
      </c>
      <c r="D156" s="118" t="s">
        <v>198</v>
      </c>
      <c r="E156" s="119" t="s">
        <v>22</v>
      </c>
      <c r="F156" s="119" t="s">
        <v>20</v>
      </c>
      <c r="G156" s="119" t="s">
        <v>35</v>
      </c>
      <c r="H156" s="200"/>
      <c r="I156" s="117" t="s">
        <v>0</v>
      </c>
      <c r="J156" s="118" t="s">
        <v>220</v>
      </c>
      <c r="K156" s="118" t="s">
        <v>198</v>
      </c>
      <c r="L156" s="119" t="s">
        <v>22</v>
      </c>
      <c r="M156" s="119" t="s">
        <v>20</v>
      </c>
      <c r="N156" s="119" t="s">
        <v>35</v>
      </c>
    </row>
    <row r="157" spans="1:14" ht="15.75">
      <c r="A157" s="47"/>
      <c r="B157" s="215" t="s">
        <v>169</v>
      </c>
      <c r="C157" s="5">
        <v>0.39269999999999999</v>
      </c>
      <c r="D157" s="5">
        <v>0.3</v>
      </c>
      <c r="E157" s="141" t="s">
        <v>187</v>
      </c>
      <c r="F157" s="142" t="s">
        <v>187</v>
      </c>
      <c r="G157" s="145" t="s">
        <v>187</v>
      </c>
      <c r="H157" s="200"/>
      <c r="I157" s="152" t="s">
        <v>187</v>
      </c>
      <c r="J157" s="153" t="s">
        <v>187</v>
      </c>
      <c r="K157" s="153" t="s">
        <v>187</v>
      </c>
      <c r="L157" s="142" t="s">
        <v>187</v>
      </c>
      <c r="M157" s="142" t="s">
        <v>187</v>
      </c>
      <c r="N157" s="142" t="s">
        <v>187</v>
      </c>
    </row>
    <row r="158" spans="1:14" ht="28.5">
      <c r="A158" s="47"/>
      <c r="B158" s="215" t="s">
        <v>138</v>
      </c>
      <c r="C158" s="5">
        <v>0.69569999999999999</v>
      </c>
      <c r="D158" s="5">
        <v>0.64</v>
      </c>
      <c r="E158" s="6" t="s">
        <v>23</v>
      </c>
      <c r="F158" s="7" t="s">
        <v>182</v>
      </c>
      <c r="G158" s="6" t="s">
        <v>7</v>
      </c>
      <c r="H158" s="200"/>
      <c r="I158" s="102" t="s">
        <v>228</v>
      </c>
      <c r="J158" s="5">
        <v>0.99780000000000002</v>
      </c>
      <c r="K158" s="5">
        <v>0.94</v>
      </c>
      <c r="L158" s="6" t="s">
        <v>23</v>
      </c>
      <c r="M158" s="7" t="s">
        <v>98</v>
      </c>
      <c r="N158" s="6" t="s">
        <v>7</v>
      </c>
    </row>
    <row r="159" spans="1:14">
      <c r="A159" s="48"/>
      <c r="B159" s="215" t="s">
        <v>2</v>
      </c>
      <c r="C159" s="3">
        <v>0.24640000000000001</v>
      </c>
      <c r="D159" s="5">
        <v>0.05</v>
      </c>
      <c r="E159" s="101" t="s">
        <v>24</v>
      </c>
      <c r="F159" s="5" t="s">
        <v>51</v>
      </c>
      <c r="G159" s="1" t="s">
        <v>14</v>
      </c>
      <c r="H159" s="201"/>
      <c r="I159" s="102" t="s">
        <v>2</v>
      </c>
      <c r="J159" s="3">
        <v>0.2046</v>
      </c>
      <c r="K159" s="5">
        <v>0.05</v>
      </c>
      <c r="L159" s="101" t="s">
        <v>24</v>
      </c>
      <c r="M159" s="5" t="s">
        <v>51</v>
      </c>
      <c r="N159" s="1" t="s">
        <v>14</v>
      </c>
    </row>
    <row r="160" spans="1:14" ht="28.5">
      <c r="A160" s="49"/>
      <c r="B160" s="216" t="s">
        <v>137</v>
      </c>
      <c r="C160" s="111">
        <v>0</v>
      </c>
      <c r="D160" s="111" t="s">
        <v>187</v>
      </c>
      <c r="E160" s="1" t="s">
        <v>23</v>
      </c>
      <c r="F160" s="111" t="s">
        <v>243</v>
      </c>
      <c r="G160" s="130" t="s">
        <v>187</v>
      </c>
      <c r="H160" s="200"/>
      <c r="I160" s="102" t="s">
        <v>137</v>
      </c>
      <c r="J160" s="111">
        <v>0</v>
      </c>
      <c r="K160" s="111" t="s">
        <v>187</v>
      </c>
      <c r="L160" s="1" t="s">
        <v>23</v>
      </c>
      <c r="M160" s="111" t="s">
        <v>243</v>
      </c>
      <c r="N160" s="130" t="s">
        <v>187</v>
      </c>
    </row>
    <row r="161" spans="1:14">
      <c r="A161" s="49"/>
      <c r="B161" s="215" t="s">
        <v>12</v>
      </c>
      <c r="C161" s="3">
        <v>0.27179999999999999</v>
      </c>
      <c r="D161" s="231">
        <v>0.05</v>
      </c>
      <c r="E161" s="1" t="s">
        <v>24</v>
      </c>
      <c r="F161" s="230" t="s">
        <v>51</v>
      </c>
      <c r="G161" s="1" t="s">
        <v>18</v>
      </c>
      <c r="H161" s="200"/>
      <c r="I161" s="102" t="s">
        <v>12</v>
      </c>
      <c r="J161" s="3">
        <v>0.26569999999999999</v>
      </c>
      <c r="K161" s="231">
        <v>0.05</v>
      </c>
      <c r="L161" s="1" t="s">
        <v>24</v>
      </c>
      <c r="M161" s="230" t="s">
        <v>51</v>
      </c>
      <c r="N161" s="1" t="s">
        <v>18</v>
      </c>
    </row>
    <row r="162" spans="1:14" ht="15">
      <c r="A162" s="49"/>
      <c r="B162" s="217" t="s">
        <v>5</v>
      </c>
      <c r="C162" s="27">
        <f>SUBTOTAL(109,C157:C161)</f>
        <v>1.6066</v>
      </c>
      <c r="D162" s="27">
        <f>SUBTOTAL(109,D157:D161)</f>
        <v>1.04</v>
      </c>
      <c r="E162" s="115" t="s">
        <v>187</v>
      </c>
      <c r="F162" s="116" t="s">
        <v>187</v>
      </c>
      <c r="G162" s="109" t="s">
        <v>187</v>
      </c>
      <c r="H162" s="200"/>
      <c r="I162" s="104" t="s">
        <v>5</v>
      </c>
      <c r="J162" s="27">
        <f>SUBTOTAL(109,J157:J161)</f>
        <v>1.4681</v>
      </c>
      <c r="K162" s="27">
        <f>SUBTOTAL(109,K157:K161)</f>
        <v>1.04</v>
      </c>
      <c r="L162" s="116" t="s">
        <v>187</v>
      </c>
      <c r="M162" s="116" t="s">
        <v>187</v>
      </c>
      <c r="N162" s="109" t="s">
        <v>187</v>
      </c>
    </row>
    <row r="163" spans="1:14">
      <c r="A163" s="49"/>
      <c r="B163" s="215" t="s">
        <v>6</v>
      </c>
      <c r="C163" s="11">
        <v>0.69440000000000002</v>
      </c>
      <c r="D163" s="11">
        <v>0.64</v>
      </c>
      <c r="E163" s="1" t="s">
        <v>23</v>
      </c>
      <c r="F163" s="9" t="s">
        <v>182</v>
      </c>
      <c r="G163" s="1" t="s">
        <v>19</v>
      </c>
      <c r="H163" s="200"/>
      <c r="I163" s="102" t="s">
        <v>6</v>
      </c>
      <c r="J163" s="11">
        <v>0.99809999999999999</v>
      </c>
      <c r="K163" s="11">
        <v>0.94</v>
      </c>
      <c r="L163" s="1" t="s">
        <v>23</v>
      </c>
      <c r="M163" s="9" t="s">
        <v>98</v>
      </c>
      <c r="N163" s="1" t="s">
        <v>19</v>
      </c>
    </row>
    <row r="164" spans="1:14" ht="30">
      <c r="A164" s="49"/>
      <c r="B164" s="217" t="s">
        <v>225</v>
      </c>
      <c r="C164" s="12">
        <v>2E-3</v>
      </c>
      <c r="D164" s="136" t="s">
        <v>187</v>
      </c>
      <c r="E164" s="137" t="s">
        <v>187</v>
      </c>
      <c r="F164" s="138" t="s">
        <v>187</v>
      </c>
      <c r="G164" s="169" t="s">
        <v>187</v>
      </c>
      <c r="H164" s="200"/>
      <c r="I164" s="104" t="s">
        <v>225</v>
      </c>
      <c r="J164" s="64">
        <v>2E-3</v>
      </c>
      <c r="K164" s="136" t="s">
        <v>187</v>
      </c>
      <c r="L164" s="138" t="s">
        <v>187</v>
      </c>
      <c r="M164" s="138" t="s">
        <v>187</v>
      </c>
      <c r="N164" s="169" t="s">
        <v>187</v>
      </c>
    </row>
    <row r="165" spans="1:14" ht="21" customHeight="1">
      <c r="A165" s="68"/>
      <c r="B165" s="70"/>
      <c r="C165" s="71"/>
      <c r="D165" s="72"/>
      <c r="E165" s="71"/>
      <c r="F165" s="71"/>
      <c r="G165" s="171"/>
      <c r="H165" s="194"/>
      <c r="I165" s="74"/>
      <c r="J165" s="75"/>
      <c r="K165" s="76"/>
      <c r="L165" s="75"/>
      <c r="M165" s="75"/>
      <c r="N165" s="172"/>
    </row>
    <row r="166" spans="1:14" ht="51.75" customHeight="1">
      <c r="A166" s="77" t="s">
        <v>164</v>
      </c>
      <c r="B166" s="32" t="s">
        <v>165</v>
      </c>
      <c r="C166" s="33"/>
      <c r="D166" s="34"/>
      <c r="E166" s="79"/>
      <c r="F166" s="33"/>
      <c r="G166" s="168"/>
      <c r="H166" s="202" t="s">
        <v>164</v>
      </c>
      <c r="I166" s="32" t="s">
        <v>167</v>
      </c>
      <c r="J166" s="33"/>
      <c r="K166" s="34"/>
      <c r="L166" s="35"/>
      <c r="M166" s="39"/>
      <c r="N166" s="168"/>
    </row>
    <row r="167" spans="1:14" ht="40.35" customHeight="1">
      <c r="A167" s="78"/>
      <c r="B167" s="117" t="s">
        <v>0</v>
      </c>
      <c r="C167" s="118" t="s">
        <v>220</v>
      </c>
      <c r="D167" s="118" t="s">
        <v>198</v>
      </c>
      <c r="E167" s="119" t="s">
        <v>30</v>
      </c>
      <c r="F167" s="119" t="s">
        <v>20</v>
      </c>
      <c r="G167" s="120" t="s">
        <v>35</v>
      </c>
      <c r="H167" s="203"/>
      <c r="I167" s="117" t="s">
        <v>0</v>
      </c>
      <c r="J167" s="118" t="s">
        <v>220</v>
      </c>
      <c r="K167" s="118" t="s">
        <v>198</v>
      </c>
      <c r="L167" s="119" t="s">
        <v>30</v>
      </c>
      <c r="M167" s="119" t="s">
        <v>20</v>
      </c>
      <c r="N167" s="120" t="s">
        <v>35</v>
      </c>
    </row>
    <row r="168" spans="1:14" ht="15.75">
      <c r="A168" s="78"/>
      <c r="B168" s="102" t="s">
        <v>169</v>
      </c>
      <c r="C168" s="253" t="s">
        <v>187</v>
      </c>
      <c r="D168" s="61">
        <v>0.3</v>
      </c>
      <c r="E168" s="141" t="s">
        <v>187</v>
      </c>
      <c r="F168" s="142" t="s">
        <v>187</v>
      </c>
      <c r="G168" s="147" t="s">
        <v>187</v>
      </c>
      <c r="H168" s="203"/>
      <c r="I168" s="152" t="s">
        <v>187</v>
      </c>
      <c r="J168" s="253" t="s">
        <v>187</v>
      </c>
      <c r="K168" s="153" t="s">
        <v>187</v>
      </c>
      <c r="L168" s="142" t="s">
        <v>187</v>
      </c>
      <c r="M168" s="142" t="s">
        <v>187</v>
      </c>
      <c r="N168" s="147" t="s">
        <v>187</v>
      </c>
    </row>
    <row r="169" spans="1:14" ht="42" customHeight="1">
      <c r="A169" s="78"/>
      <c r="B169" s="102" t="s">
        <v>138</v>
      </c>
      <c r="C169" s="253" t="s">
        <v>187</v>
      </c>
      <c r="D169" s="61">
        <v>0.7</v>
      </c>
      <c r="E169" s="1" t="s">
        <v>4</v>
      </c>
      <c r="F169" s="4" t="s">
        <v>133</v>
      </c>
      <c r="G169" s="212" t="s">
        <v>218</v>
      </c>
      <c r="H169" s="203"/>
      <c r="I169" s="102" t="s">
        <v>228</v>
      </c>
      <c r="J169" s="253" t="s">
        <v>187</v>
      </c>
      <c r="K169" s="5">
        <v>0.95</v>
      </c>
      <c r="L169" s="6" t="s">
        <v>4</v>
      </c>
      <c r="M169" s="7" t="s">
        <v>64</v>
      </c>
      <c r="N169" s="212" t="s">
        <v>218</v>
      </c>
    </row>
    <row r="170" spans="1:14" ht="21.75" customHeight="1">
      <c r="A170" s="78"/>
      <c r="B170" s="102" t="s">
        <v>2</v>
      </c>
      <c r="C170" s="254" t="s">
        <v>187</v>
      </c>
      <c r="D170" s="62">
        <v>0.19</v>
      </c>
      <c r="E170" s="1" t="s">
        <v>3</v>
      </c>
      <c r="F170" s="4" t="s">
        <v>51</v>
      </c>
      <c r="G170" s="112" t="s">
        <v>14</v>
      </c>
      <c r="H170" s="203"/>
      <c r="I170" s="102" t="s">
        <v>2</v>
      </c>
      <c r="J170" s="254" t="s">
        <v>187</v>
      </c>
      <c r="K170" s="3">
        <v>0.28000000000000003</v>
      </c>
      <c r="L170" s="1" t="s">
        <v>3</v>
      </c>
      <c r="M170" s="4" t="s">
        <v>174</v>
      </c>
      <c r="N170" s="112" t="s">
        <v>14</v>
      </c>
    </row>
    <row r="171" spans="1:14" ht="28.5">
      <c r="A171" s="78"/>
      <c r="B171" s="103" t="s">
        <v>137</v>
      </c>
      <c r="C171" s="254" t="s">
        <v>187</v>
      </c>
      <c r="D171" s="62">
        <v>0.06</v>
      </c>
      <c r="E171" s="1" t="s">
        <v>4</v>
      </c>
      <c r="F171" s="4" t="s">
        <v>58</v>
      </c>
      <c r="G171" s="112" t="s">
        <v>183</v>
      </c>
      <c r="H171" s="203"/>
      <c r="I171" s="102" t="s">
        <v>137</v>
      </c>
      <c r="J171" s="254" t="s">
        <v>187</v>
      </c>
      <c r="K171" s="3">
        <v>0.06</v>
      </c>
      <c r="L171" s="1" t="s">
        <v>4</v>
      </c>
      <c r="M171" s="4" t="s">
        <v>61</v>
      </c>
      <c r="N171" s="112" t="s">
        <v>15</v>
      </c>
    </row>
    <row r="172" spans="1:14" ht="32.25" customHeight="1">
      <c r="A172" s="78"/>
      <c r="B172" s="102" t="s">
        <v>170</v>
      </c>
      <c r="C172" s="254" t="s">
        <v>187</v>
      </c>
      <c r="D172" s="62">
        <v>0.05</v>
      </c>
      <c r="E172" s="8" t="s">
        <v>3</v>
      </c>
      <c r="F172" s="9" t="s">
        <v>51</v>
      </c>
      <c r="G172" s="134" t="s">
        <v>187</v>
      </c>
      <c r="H172" s="203"/>
      <c r="I172" s="102" t="s">
        <v>170</v>
      </c>
      <c r="J172" s="254" t="s">
        <v>187</v>
      </c>
      <c r="K172" s="3">
        <v>0.05</v>
      </c>
      <c r="L172" s="8" t="s">
        <v>3</v>
      </c>
      <c r="M172" s="9" t="s">
        <v>51</v>
      </c>
      <c r="N172" s="134" t="s">
        <v>187</v>
      </c>
    </row>
    <row r="173" spans="1:14">
      <c r="A173" s="78"/>
      <c r="B173" s="102" t="s">
        <v>10</v>
      </c>
      <c r="C173" s="254" t="s">
        <v>187</v>
      </c>
      <c r="D173" s="62">
        <v>0.05</v>
      </c>
      <c r="E173" s="8" t="s">
        <v>3</v>
      </c>
      <c r="F173" s="9" t="s">
        <v>51</v>
      </c>
      <c r="G173" s="134" t="s">
        <v>187</v>
      </c>
      <c r="H173" s="203"/>
      <c r="I173" s="102" t="s">
        <v>10</v>
      </c>
      <c r="J173" s="254" t="s">
        <v>187</v>
      </c>
      <c r="K173" s="3">
        <v>0.05</v>
      </c>
      <c r="L173" s="8" t="s">
        <v>3</v>
      </c>
      <c r="M173" s="9" t="s">
        <v>51</v>
      </c>
      <c r="N173" s="134" t="s">
        <v>187</v>
      </c>
    </row>
    <row r="174" spans="1:14">
      <c r="A174" s="78"/>
      <c r="B174" s="102" t="s">
        <v>12</v>
      </c>
      <c r="C174" s="254" t="s">
        <v>187</v>
      </c>
      <c r="D174" s="62">
        <v>0.15</v>
      </c>
      <c r="E174" s="8" t="s">
        <v>3</v>
      </c>
      <c r="F174" s="9" t="s">
        <v>52</v>
      </c>
      <c r="G174" s="134" t="s">
        <v>187</v>
      </c>
      <c r="H174" s="203"/>
      <c r="I174" s="102" t="s">
        <v>12</v>
      </c>
      <c r="J174" s="254" t="s">
        <v>187</v>
      </c>
      <c r="K174" s="3">
        <v>0.15</v>
      </c>
      <c r="L174" s="8" t="s">
        <v>3</v>
      </c>
      <c r="M174" s="9" t="s">
        <v>52</v>
      </c>
      <c r="N174" s="134" t="s">
        <v>187</v>
      </c>
    </row>
    <row r="175" spans="1:14">
      <c r="A175" s="78"/>
      <c r="B175" s="102" t="s">
        <v>171</v>
      </c>
      <c r="C175" s="254" t="s">
        <v>187</v>
      </c>
      <c r="D175" s="62">
        <v>0.05</v>
      </c>
      <c r="E175" s="8" t="s">
        <v>3</v>
      </c>
      <c r="F175" s="9" t="s">
        <v>51</v>
      </c>
      <c r="G175" s="134" t="s">
        <v>187</v>
      </c>
      <c r="H175" s="203"/>
      <c r="I175" s="102" t="s">
        <v>171</v>
      </c>
      <c r="J175" s="254" t="s">
        <v>187</v>
      </c>
      <c r="K175" s="3">
        <v>0.05</v>
      </c>
      <c r="L175" s="8" t="s">
        <v>3</v>
      </c>
      <c r="M175" s="9" t="s">
        <v>51</v>
      </c>
      <c r="N175" s="134" t="s">
        <v>187</v>
      </c>
    </row>
    <row r="176" spans="1:14" ht="15">
      <c r="A176" s="78"/>
      <c r="B176" s="104" t="s">
        <v>5</v>
      </c>
      <c r="C176" s="255" t="s">
        <v>187</v>
      </c>
      <c r="D176" s="97">
        <f>SUBTOTAL(109,D168:D175)</f>
        <v>1.55</v>
      </c>
      <c r="E176" s="143" t="s">
        <v>187</v>
      </c>
      <c r="F176" s="130" t="s">
        <v>187</v>
      </c>
      <c r="G176" s="114" t="s">
        <v>187</v>
      </c>
      <c r="H176" s="203"/>
      <c r="I176" s="104" t="s">
        <v>5</v>
      </c>
      <c r="J176" s="255" t="s">
        <v>187</v>
      </c>
      <c r="K176" s="99">
        <f>SUBTOTAL(109,K168:K175)</f>
        <v>1.59</v>
      </c>
      <c r="L176" s="143" t="s">
        <v>187</v>
      </c>
      <c r="M176" s="130" t="s">
        <v>187</v>
      </c>
      <c r="N176" s="114" t="s">
        <v>187</v>
      </c>
    </row>
    <row r="177" spans="1:14">
      <c r="A177" s="78"/>
      <c r="B177" s="102" t="s">
        <v>6</v>
      </c>
      <c r="C177" s="254" t="s">
        <v>187</v>
      </c>
      <c r="D177" s="62">
        <v>0.06</v>
      </c>
      <c r="E177" s="1" t="s">
        <v>23</v>
      </c>
      <c r="F177" s="10" t="s">
        <v>58</v>
      </c>
      <c r="G177" s="113" t="s">
        <v>19</v>
      </c>
      <c r="H177" s="203"/>
      <c r="I177" s="102" t="s">
        <v>6</v>
      </c>
      <c r="J177" s="254" t="s">
        <v>187</v>
      </c>
      <c r="K177" s="3">
        <v>0.06</v>
      </c>
      <c r="L177" s="1" t="s">
        <v>23</v>
      </c>
      <c r="M177" s="10" t="s">
        <v>133</v>
      </c>
      <c r="N177" s="113" t="s">
        <v>19</v>
      </c>
    </row>
    <row r="178" spans="1:14" ht="30">
      <c r="A178" s="78"/>
      <c r="B178" s="213" t="s">
        <v>225</v>
      </c>
      <c r="C178" s="256" t="s">
        <v>187</v>
      </c>
      <c r="D178" s="146">
        <v>3.0000000000000001E-3</v>
      </c>
      <c r="E178" s="149" t="s">
        <v>187</v>
      </c>
      <c r="F178" s="150" t="s">
        <v>187</v>
      </c>
      <c r="G178" s="151" t="s">
        <v>187</v>
      </c>
      <c r="H178" s="203"/>
      <c r="I178" s="213" t="s">
        <v>225</v>
      </c>
      <c r="J178" s="256" t="s">
        <v>187</v>
      </c>
      <c r="K178" s="148">
        <v>3.0000000000000001E-3</v>
      </c>
      <c r="L178" s="150" t="s">
        <v>187</v>
      </c>
      <c r="M178" s="150" t="s">
        <v>187</v>
      </c>
      <c r="N178" s="151" t="s">
        <v>187</v>
      </c>
    </row>
    <row r="179" spans="1:14" ht="21" customHeight="1">
      <c r="A179" s="68"/>
      <c r="B179" s="159" t="s">
        <v>187</v>
      </c>
      <c r="C179" s="160" t="s">
        <v>187</v>
      </c>
      <c r="D179" s="160" t="s">
        <v>187</v>
      </c>
      <c r="E179" s="160" t="s">
        <v>187</v>
      </c>
      <c r="F179" s="160" t="s">
        <v>187</v>
      </c>
      <c r="G179" s="170" t="s">
        <v>187</v>
      </c>
      <c r="H179" s="194"/>
      <c r="I179" s="74"/>
      <c r="J179" s="75"/>
      <c r="K179" s="76"/>
      <c r="L179" s="75"/>
      <c r="M179" s="75"/>
      <c r="N179" s="172"/>
    </row>
    <row r="180" spans="1:14" ht="51.75" customHeight="1">
      <c r="A180" s="77" t="s">
        <v>164</v>
      </c>
      <c r="B180" s="32" t="s">
        <v>166</v>
      </c>
      <c r="C180" s="33"/>
      <c r="D180" s="34"/>
      <c r="E180" s="79"/>
      <c r="F180" s="33"/>
      <c r="G180" s="168"/>
      <c r="H180" s="202" t="s">
        <v>164</v>
      </c>
      <c r="I180" s="32" t="s">
        <v>168</v>
      </c>
      <c r="J180" s="33"/>
      <c r="K180" s="34"/>
      <c r="L180" s="35"/>
      <c r="M180" s="33"/>
      <c r="N180" s="168"/>
    </row>
    <row r="181" spans="1:14" ht="40.35" customHeight="1">
      <c r="A181" s="78"/>
      <c r="B181" s="117" t="s">
        <v>0</v>
      </c>
      <c r="C181" s="118" t="s">
        <v>220</v>
      </c>
      <c r="D181" s="118" t="s">
        <v>198</v>
      </c>
      <c r="E181" s="119" t="s">
        <v>30</v>
      </c>
      <c r="F181" s="119" t="s">
        <v>20</v>
      </c>
      <c r="G181" s="120" t="s">
        <v>35</v>
      </c>
      <c r="H181" s="203"/>
      <c r="I181" s="117" t="s">
        <v>0</v>
      </c>
      <c r="J181" s="118" t="s">
        <v>220</v>
      </c>
      <c r="K181" s="118" t="s">
        <v>198</v>
      </c>
      <c r="L181" s="119" t="s">
        <v>30</v>
      </c>
      <c r="M181" s="119" t="s">
        <v>20</v>
      </c>
      <c r="N181" s="120" t="s">
        <v>35</v>
      </c>
    </row>
    <row r="182" spans="1:14" ht="15.75">
      <c r="A182" s="78"/>
      <c r="B182" s="102" t="s">
        <v>169</v>
      </c>
      <c r="C182" s="3">
        <v>0.4904</v>
      </c>
      <c r="D182" s="3">
        <v>0.85</v>
      </c>
      <c r="E182" s="154" t="s">
        <v>187</v>
      </c>
      <c r="F182" s="238" t="s">
        <v>187</v>
      </c>
      <c r="G182" s="239" t="s">
        <v>187</v>
      </c>
      <c r="H182" s="203"/>
      <c r="I182" s="152" t="s">
        <v>187</v>
      </c>
      <c r="J182" s="242" t="s">
        <v>187</v>
      </c>
      <c r="K182" s="242" t="s">
        <v>187</v>
      </c>
      <c r="L182" s="238" t="s">
        <v>187</v>
      </c>
      <c r="M182" s="238" t="s">
        <v>187</v>
      </c>
      <c r="N182" s="239" t="s">
        <v>187</v>
      </c>
    </row>
    <row r="183" spans="1:14" ht="33.75" customHeight="1">
      <c r="A183" s="78"/>
      <c r="B183" s="102" t="s">
        <v>138</v>
      </c>
      <c r="C183" s="3">
        <v>0.1099</v>
      </c>
      <c r="D183" s="3">
        <v>0.16</v>
      </c>
      <c r="E183" s="1" t="s">
        <v>4</v>
      </c>
      <c r="F183" s="4" t="s">
        <v>133</v>
      </c>
      <c r="G183" s="112" t="s">
        <v>218</v>
      </c>
      <c r="H183" s="203"/>
      <c r="I183" s="102" t="s">
        <v>228</v>
      </c>
      <c r="J183" s="3">
        <v>0.1507</v>
      </c>
      <c r="K183" s="3">
        <v>0.2</v>
      </c>
      <c r="L183" s="1" t="s">
        <v>4</v>
      </c>
      <c r="M183" s="4" t="s">
        <v>64</v>
      </c>
      <c r="N183" s="112" t="s">
        <v>218</v>
      </c>
    </row>
    <row r="184" spans="1:14">
      <c r="A184" s="78"/>
      <c r="B184" s="102" t="s">
        <v>2</v>
      </c>
      <c r="C184" s="3">
        <v>5.9700000000000003E-2</v>
      </c>
      <c r="D184" s="3">
        <v>0.05</v>
      </c>
      <c r="E184" s="1" t="s">
        <v>3</v>
      </c>
      <c r="F184" s="4" t="s">
        <v>51</v>
      </c>
      <c r="G184" s="112" t="s">
        <v>14</v>
      </c>
      <c r="H184" s="203"/>
      <c r="I184" s="102" t="s">
        <v>2</v>
      </c>
      <c r="J184" s="3">
        <v>0.45140000000000002</v>
      </c>
      <c r="K184" s="3">
        <v>0.45</v>
      </c>
      <c r="L184" s="1" t="s">
        <v>3</v>
      </c>
      <c r="M184" s="4" t="s">
        <v>174</v>
      </c>
      <c r="N184" s="112" t="s">
        <v>14</v>
      </c>
    </row>
    <row r="185" spans="1:14" ht="28.5">
      <c r="A185" s="78"/>
      <c r="B185" s="103" t="s">
        <v>137</v>
      </c>
      <c r="C185" s="3">
        <v>7.1099999999999997E-2</v>
      </c>
      <c r="D185" s="3">
        <v>0.06</v>
      </c>
      <c r="E185" s="1" t="s">
        <v>4</v>
      </c>
      <c r="F185" s="4" t="s">
        <v>58</v>
      </c>
      <c r="G185" s="112" t="s">
        <v>183</v>
      </c>
      <c r="H185" s="203"/>
      <c r="I185" s="102" t="s">
        <v>137</v>
      </c>
      <c r="J185" s="3">
        <v>0.2954</v>
      </c>
      <c r="K185" s="3">
        <v>0.3</v>
      </c>
      <c r="L185" s="1" t="s">
        <v>4</v>
      </c>
      <c r="M185" s="4" t="s">
        <v>61</v>
      </c>
      <c r="N185" s="112" t="s">
        <v>183</v>
      </c>
    </row>
    <row r="186" spans="1:14">
      <c r="A186" s="78"/>
      <c r="B186" s="102" t="s">
        <v>12</v>
      </c>
      <c r="C186" s="3">
        <v>0.26889999999999997</v>
      </c>
      <c r="D186" s="3">
        <v>0.15</v>
      </c>
      <c r="E186" s="1" t="s">
        <v>3</v>
      </c>
      <c r="F186" s="9" t="s">
        <v>52</v>
      </c>
      <c r="G186" s="114" t="s">
        <v>187</v>
      </c>
      <c r="H186" s="203"/>
      <c r="I186" s="102" t="s">
        <v>12</v>
      </c>
      <c r="J186" s="3">
        <v>0.10249999999999999</v>
      </c>
      <c r="K186" s="3">
        <v>0.15</v>
      </c>
      <c r="L186" s="1" t="s">
        <v>3</v>
      </c>
      <c r="M186" s="9" t="s">
        <v>52</v>
      </c>
      <c r="N186" s="114" t="s">
        <v>187</v>
      </c>
    </row>
    <row r="187" spans="1:14" ht="15">
      <c r="A187" s="78"/>
      <c r="B187" s="104" t="s">
        <v>5</v>
      </c>
      <c r="C187" s="27">
        <f>SUBTOTAL(109,C182:C186)</f>
        <v>1</v>
      </c>
      <c r="D187" s="27">
        <f>SUBTOTAL(109,D182:D186)</f>
        <v>1.27</v>
      </c>
      <c r="E187" s="115" t="s">
        <v>187</v>
      </c>
      <c r="F187" s="116" t="s">
        <v>187</v>
      </c>
      <c r="G187" s="221" t="s">
        <v>187</v>
      </c>
      <c r="H187" s="203"/>
      <c r="I187" s="104" t="s">
        <v>5</v>
      </c>
      <c r="J187" s="27">
        <f>SUBTOTAL(109,J182:J186)</f>
        <v>1</v>
      </c>
      <c r="K187" s="27">
        <f>SUBTOTAL(109,K182:K186)</f>
        <v>1.0999999999999999</v>
      </c>
      <c r="L187" s="116" t="s">
        <v>187</v>
      </c>
      <c r="M187" s="116" t="s">
        <v>187</v>
      </c>
      <c r="N187" s="221" t="s">
        <v>187</v>
      </c>
    </row>
    <row r="188" spans="1:14">
      <c r="A188" s="78"/>
      <c r="B188" s="102" t="s">
        <v>6</v>
      </c>
      <c r="C188" s="11">
        <v>6.6699999999999995E-2</v>
      </c>
      <c r="D188" s="11">
        <v>0.06</v>
      </c>
      <c r="E188" s="1" t="s">
        <v>4</v>
      </c>
      <c r="F188" s="9" t="s">
        <v>58</v>
      </c>
      <c r="G188" s="112" t="s">
        <v>19</v>
      </c>
      <c r="H188" s="203"/>
      <c r="I188" s="102" t="s">
        <v>6</v>
      </c>
      <c r="J188" s="3">
        <v>0</v>
      </c>
      <c r="K188" s="11">
        <v>0.16</v>
      </c>
      <c r="L188" s="1" t="s">
        <v>4</v>
      </c>
      <c r="M188" s="9" t="s">
        <v>133</v>
      </c>
      <c r="N188" s="112" t="s">
        <v>19</v>
      </c>
    </row>
    <row r="189" spans="1:14" ht="30">
      <c r="A189" s="78"/>
      <c r="B189" s="213" t="s">
        <v>225</v>
      </c>
      <c r="C189" s="240">
        <v>2E-3</v>
      </c>
      <c r="D189" s="233" t="s">
        <v>187</v>
      </c>
      <c r="E189" s="233" t="s">
        <v>187</v>
      </c>
      <c r="F189" s="233" t="s">
        <v>187</v>
      </c>
      <c r="G189" s="241" t="s">
        <v>187</v>
      </c>
      <c r="H189" s="203"/>
      <c r="I189" s="213" t="s">
        <v>225</v>
      </c>
      <c r="J189" s="240">
        <v>2E-3</v>
      </c>
      <c r="K189" s="233" t="s">
        <v>187</v>
      </c>
      <c r="L189" s="233" t="s">
        <v>187</v>
      </c>
      <c r="M189" s="233" t="s">
        <v>187</v>
      </c>
      <c r="N189" s="241" t="s">
        <v>187</v>
      </c>
    </row>
    <row r="190" spans="1:14" ht="15">
      <c r="A190" s="68"/>
      <c r="B190" s="159" t="s">
        <v>187</v>
      </c>
      <c r="C190" s="160" t="s">
        <v>187</v>
      </c>
      <c r="D190" s="160" t="s">
        <v>187</v>
      </c>
      <c r="E190" s="160" t="s">
        <v>187</v>
      </c>
      <c r="F190" s="160" t="s">
        <v>187</v>
      </c>
      <c r="G190" s="170" t="s">
        <v>187</v>
      </c>
      <c r="H190" s="194"/>
      <c r="I190" s="74"/>
      <c r="J190" s="75"/>
      <c r="K190" s="76"/>
      <c r="L190" s="75"/>
      <c r="M190" s="75"/>
      <c r="N190" s="172"/>
    </row>
    <row r="191" spans="1:14" ht="51" customHeight="1">
      <c r="A191" s="243" t="s">
        <v>261</v>
      </c>
      <c r="B191" s="36" t="s">
        <v>259</v>
      </c>
      <c r="C191" s="37"/>
      <c r="D191" s="38"/>
      <c r="E191" s="80"/>
      <c r="F191" s="37"/>
      <c r="G191" s="168"/>
      <c r="H191" s="243" t="s">
        <v>261</v>
      </c>
      <c r="I191" s="36" t="s">
        <v>260</v>
      </c>
      <c r="J191" s="37"/>
      <c r="K191" s="38"/>
      <c r="L191" s="39"/>
      <c r="M191" s="37"/>
      <c r="N191" s="168"/>
    </row>
    <row r="192" spans="1:14" ht="15.75">
      <c r="A192" s="244"/>
      <c r="B192" s="117" t="s">
        <v>0</v>
      </c>
      <c r="C192" s="118" t="s">
        <v>220</v>
      </c>
      <c r="D192" s="118" t="s">
        <v>198</v>
      </c>
      <c r="E192" s="119" t="s">
        <v>30</v>
      </c>
      <c r="F192" s="119" t="s">
        <v>20</v>
      </c>
      <c r="G192" s="120" t="s">
        <v>35</v>
      </c>
      <c r="H192" s="244"/>
      <c r="I192" s="117" t="s">
        <v>0</v>
      </c>
      <c r="J192" s="118" t="s">
        <v>220</v>
      </c>
      <c r="K192" s="118" t="s">
        <v>198</v>
      </c>
      <c r="L192" s="119" t="s">
        <v>30</v>
      </c>
      <c r="M192" s="119" t="s">
        <v>20</v>
      </c>
      <c r="N192" s="120" t="s">
        <v>35</v>
      </c>
    </row>
    <row r="193" spans="1:14" ht="15.75">
      <c r="A193" s="244"/>
      <c r="B193" s="102" t="s">
        <v>169</v>
      </c>
      <c r="C193" s="253" t="s">
        <v>187</v>
      </c>
      <c r="D193" s="5">
        <v>0.3</v>
      </c>
      <c r="E193" s="141" t="s">
        <v>187</v>
      </c>
      <c r="F193" s="142" t="s">
        <v>187</v>
      </c>
      <c r="G193" s="147" t="s">
        <v>187</v>
      </c>
      <c r="H193" s="244"/>
      <c r="I193" s="152" t="s">
        <v>187</v>
      </c>
      <c r="J193" s="253" t="s">
        <v>187</v>
      </c>
      <c r="K193" s="155" t="s">
        <v>187</v>
      </c>
      <c r="L193" s="142" t="s">
        <v>187</v>
      </c>
      <c r="M193" s="142" t="s">
        <v>187</v>
      </c>
      <c r="N193" s="147" t="s">
        <v>187</v>
      </c>
    </row>
    <row r="194" spans="1:14" ht="28.5">
      <c r="A194" s="244"/>
      <c r="B194" s="102" t="s">
        <v>138</v>
      </c>
      <c r="C194" s="253" t="s">
        <v>187</v>
      </c>
      <c r="D194" s="3">
        <v>0.7</v>
      </c>
      <c r="E194" s="1" t="s">
        <v>4</v>
      </c>
      <c r="F194" s="4" t="s">
        <v>86</v>
      </c>
      <c r="G194" s="251" t="s">
        <v>249</v>
      </c>
      <c r="H194" s="244"/>
      <c r="I194" s="102" t="s">
        <v>138</v>
      </c>
      <c r="J194" s="253" t="s">
        <v>187</v>
      </c>
      <c r="K194" s="3">
        <v>0.95</v>
      </c>
      <c r="L194" s="1" t="s">
        <v>4</v>
      </c>
      <c r="M194" s="4" t="s">
        <v>122</v>
      </c>
      <c r="N194" s="251" t="s">
        <v>249</v>
      </c>
    </row>
    <row r="195" spans="1:14">
      <c r="A195" s="244"/>
      <c r="B195" s="102" t="s">
        <v>2</v>
      </c>
      <c r="C195" s="254" t="s">
        <v>187</v>
      </c>
      <c r="D195" s="3">
        <v>0.19</v>
      </c>
      <c r="E195" s="1" t="s">
        <v>3</v>
      </c>
      <c r="F195" s="4" t="s">
        <v>258</v>
      </c>
      <c r="G195" s="112" t="s">
        <v>14</v>
      </c>
      <c r="H195" s="244"/>
      <c r="I195" s="102" t="s">
        <v>2</v>
      </c>
      <c r="J195" s="254" t="s">
        <v>187</v>
      </c>
      <c r="K195" s="3">
        <v>0.28000000000000003</v>
      </c>
      <c r="L195" s="1" t="s">
        <v>3</v>
      </c>
      <c r="M195" s="4" t="s">
        <v>212</v>
      </c>
      <c r="N195" s="112" t="s">
        <v>14</v>
      </c>
    </row>
    <row r="196" spans="1:14" ht="28.5">
      <c r="A196" s="244"/>
      <c r="B196" s="103" t="s">
        <v>137</v>
      </c>
      <c r="C196" s="254" t="s">
        <v>187</v>
      </c>
      <c r="D196" s="3">
        <v>0.06</v>
      </c>
      <c r="E196" s="1" t="s">
        <v>4</v>
      </c>
      <c r="F196" s="4" t="s">
        <v>58</v>
      </c>
      <c r="G196" s="112" t="s">
        <v>15</v>
      </c>
      <c r="H196" s="244"/>
      <c r="I196" s="103" t="s">
        <v>137</v>
      </c>
      <c r="J196" s="254" t="s">
        <v>187</v>
      </c>
      <c r="K196" s="3">
        <v>0.06</v>
      </c>
      <c r="L196" s="1" t="s">
        <v>4</v>
      </c>
      <c r="M196" s="4" t="s">
        <v>58</v>
      </c>
      <c r="N196" s="112" t="s">
        <v>15</v>
      </c>
    </row>
    <row r="197" spans="1:14" ht="28.5">
      <c r="A197" s="244"/>
      <c r="B197" s="102" t="s">
        <v>170</v>
      </c>
      <c r="C197" s="254" t="s">
        <v>187</v>
      </c>
      <c r="D197" s="3">
        <v>0.05</v>
      </c>
      <c r="E197" s="8" t="s">
        <v>3</v>
      </c>
      <c r="F197" s="9" t="s">
        <v>51</v>
      </c>
      <c r="G197" s="134" t="s">
        <v>187</v>
      </c>
      <c r="H197" s="244"/>
      <c r="I197" s="102" t="s">
        <v>170</v>
      </c>
      <c r="J197" s="254" t="s">
        <v>187</v>
      </c>
      <c r="K197" s="3">
        <v>0.05</v>
      </c>
      <c r="L197" s="8" t="s">
        <v>3</v>
      </c>
      <c r="M197" s="9" t="s">
        <v>51</v>
      </c>
      <c r="N197" s="134" t="s">
        <v>187</v>
      </c>
    </row>
    <row r="198" spans="1:14">
      <c r="A198" s="244"/>
      <c r="B198" s="102" t="s">
        <v>10</v>
      </c>
      <c r="C198" s="254" t="s">
        <v>187</v>
      </c>
      <c r="D198" s="3">
        <v>0.05</v>
      </c>
      <c r="E198" s="8" t="s">
        <v>3</v>
      </c>
      <c r="F198" s="9" t="s">
        <v>51</v>
      </c>
      <c r="G198" s="134" t="s">
        <v>187</v>
      </c>
      <c r="H198" s="244"/>
      <c r="I198" s="102" t="s">
        <v>10</v>
      </c>
      <c r="J198" s="254" t="s">
        <v>187</v>
      </c>
      <c r="K198" s="3">
        <v>0.05</v>
      </c>
      <c r="L198" s="8" t="s">
        <v>3</v>
      </c>
      <c r="M198" s="9" t="s">
        <v>51</v>
      </c>
      <c r="N198" s="134" t="s">
        <v>187</v>
      </c>
    </row>
    <row r="199" spans="1:14">
      <c r="A199" s="244"/>
      <c r="B199" s="102" t="s">
        <v>12</v>
      </c>
      <c r="C199" s="254" t="s">
        <v>187</v>
      </c>
      <c r="D199" s="3">
        <v>0.15</v>
      </c>
      <c r="E199" s="8" t="s">
        <v>3</v>
      </c>
      <c r="F199" s="9" t="s">
        <v>52</v>
      </c>
      <c r="G199" s="112" t="s">
        <v>18</v>
      </c>
      <c r="H199" s="244"/>
      <c r="I199" s="102" t="s">
        <v>12</v>
      </c>
      <c r="J199" s="254" t="s">
        <v>187</v>
      </c>
      <c r="K199" s="3">
        <v>0.15</v>
      </c>
      <c r="L199" s="8" t="s">
        <v>3</v>
      </c>
      <c r="M199" s="9" t="s">
        <v>52</v>
      </c>
      <c r="N199" s="112" t="s">
        <v>18</v>
      </c>
    </row>
    <row r="200" spans="1:14">
      <c r="A200" s="244"/>
      <c r="B200" s="102" t="s">
        <v>171</v>
      </c>
      <c r="C200" s="254" t="s">
        <v>187</v>
      </c>
      <c r="D200" s="3">
        <v>0.05</v>
      </c>
      <c r="E200" s="8" t="s">
        <v>3</v>
      </c>
      <c r="F200" s="9" t="s">
        <v>51</v>
      </c>
      <c r="G200" s="134" t="s">
        <v>187</v>
      </c>
      <c r="H200" s="244"/>
      <c r="I200" s="102" t="s">
        <v>171</v>
      </c>
      <c r="J200" s="254" t="s">
        <v>187</v>
      </c>
      <c r="K200" s="3">
        <v>0.05</v>
      </c>
      <c r="L200" s="8" t="s">
        <v>3</v>
      </c>
      <c r="M200" s="9" t="s">
        <v>51</v>
      </c>
      <c r="N200" s="134" t="s">
        <v>187</v>
      </c>
    </row>
    <row r="201" spans="1:14" ht="15">
      <c r="A201" s="244"/>
      <c r="B201" s="104" t="s">
        <v>5</v>
      </c>
      <c r="C201" s="255" t="s">
        <v>187</v>
      </c>
      <c r="D201" s="97">
        <f>SUBTOTAL(109,D193:D200)</f>
        <v>1.55</v>
      </c>
      <c r="E201" s="143" t="s">
        <v>187</v>
      </c>
      <c r="F201" s="130" t="s">
        <v>187</v>
      </c>
      <c r="G201" s="114" t="s">
        <v>187</v>
      </c>
      <c r="H201" s="244"/>
      <c r="I201" s="104" t="s">
        <v>5</v>
      </c>
      <c r="J201" s="255" t="s">
        <v>187</v>
      </c>
      <c r="K201" s="97">
        <f>SUBTOTAL(109,K193:K200)</f>
        <v>1.59</v>
      </c>
      <c r="L201" s="143" t="s">
        <v>187</v>
      </c>
      <c r="M201" s="130" t="s">
        <v>187</v>
      </c>
      <c r="N201" s="114" t="s">
        <v>187</v>
      </c>
    </row>
    <row r="202" spans="1:14">
      <c r="A202" s="244"/>
      <c r="B202" s="102" t="s">
        <v>6</v>
      </c>
      <c r="C202" s="254" t="s">
        <v>187</v>
      </c>
      <c r="D202" s="3">
        <v>0.06</v>
      </c>
      <c r="E202" s="1" t="s">
        <v>23</v>
      </c>
      <c r="F202" s="10" t="s">
        <v>58</v>
      </c>
      <c r="G202" s="113" t="s">
        <v>19</v>
      </c>
      <c r="H202" s="244"/>
      <c r="I202" s="102" t="s">
        <v>6</v>
      </c>
      <c r="J202" s="254" t="s">
        <v>187</v>
      </c>
      <c r="K202" s="3">
        <v>0.06</v>
      </c>
      <c r="L202" s="1" t="s">
        <v>23</v>
      </c>
      <c r="M202" s="10" t="s">
        <v>58</v>
      </c>
      <c r="N202" s="113" t="s">
        <v>19</v>
      </c>
    </row>
    <row r="203" spans="1:14" ht="30">
      <c r="A203" s="244"/>
      <c r="B203" s="213" t="s">
        <v>225</v>
      </c>
      <c r="C203" s="256" t="s">
        <v>187</v>
      </c>
      <c r="D203" s="240">
        <v>3.0000000000000001E-3</v>
      </c>
      <c r="E203" s="149" t="s">
        <v>187</v>
      </c>
      <c r="F203" s="150" t="s">
        <v>187</v>
      </c>
      <c r="G203" s="151" t="s">
        <v>187</v>
      </c>
      <c r="H203" s="244"/>
      <c r="I203" s="213" t="s">
        <v>225</v>
      </c>
      <c r="J203" s="256" t="s">
        <v>187</v>
      </c>
      <c r="K203" s="240">
        <v>3.0000000000000001E-3</v>
      </c>
      <c r="L203" s="149" t="s">
        <v>187</v>
      </c>
      <c r="M203" s="150" t="s">
        <v>187</v>
      </c>
      <c r="N203" s="151" t="s">
        <v>187</v>
      </c>
    </row>
    <row r="204" spans="1:14" ht="21" customHeight="1">
      <c r="A204" s="69" t="s">
        <v>8</v>
      </c>
      <c r="B204" s="70"/>
      <c r="C204" s="71"/>
      <c r="D204" s="72"/>
      <c r="E204" s="71"/>
      <c r="F204" s="71"/>
      <c r="G204" s="171"/>
      <c r="H204" s="204" t="s">
        <v>8</v>
      </c>
      <c r="I204" s="161" t="s">
        <v>187</v>
      </c>
      <c r="J204" s="162" t="s">
        <v>187</v>
      </c>
      <c r="K204" s="162" t="s">
        <v>187</v>
      </c>
      <c r="L204" s="162" t="s">
        <v>187</v>
      </c>
      <c r="M204" s="162" t="s">
        <v>187</v>
      </c>
      <c r="N204" s="173" t="s">
        <v>187</v>
      </c>
    </row>
    <row r="205" spans="1:14" s="93" customFormat="1" ht="18.75" customHeight="1">
      <c r="A205" s="58" t="s">
        <v>135</v>
      </c>
      <c r="B205" s="59"/>
      <c r="C205" s="185"/>
      <c r="D205" s="185"/>
      <c r="E205" s="205"/>
      <c r="F205" s="185"/>
      <c r="G205" s="206"/>
      <c r="H205" s="207" t="s">
        <v>135</v>
      </c>
      <c r="I205" s="208"/>
      <c r="J205" s="185"/>
      <c r="K205" s="185"/>
      <c r="L205" s="185"/>
      <c r="M205" s="185"/>
      <c r="N205" s="206"/>
    </row>
    <row r="206" spans="1:14" ht="18.75" customHeight="1">
      <c r="A206" s="257" t="s">
        <v>134</v>
      </c>
      <c r="B206" s="258"/>
      <c r="C206" s="259"/>
      <c r="D206" s="259"/>
      <c r="E206" s="260"/>
      <c r="F206" s="259"/>
      <c r="G206" s="206"/>
      <c r="H206" s="261" t="s">
        <v>134</v>
      </c>
      <c r="I206" s="262"/>
      <c r="J206" s="259"/>
      <c r="K206" s="259"/>
      <c r="L206" s="259"/>
      <c r="M206" s="259"/>
      <c r="N206" s="206"/>
    </row>
    <row r="207" spans="1:14" ht="18" customHeight="1">
      <c r="A207" s="73"/>
      <c r="B207" s="70"/>
      <c r="C207" s="71"/>
      <c r="D207" s="72"/>
      <c r="E207" s="71"/>
      <c r="F207" s="71"/>
      <c r="G207" s="171"/>
      <c r="H207" s="74"/>
      <c r="I207" s="74"/>
      <c r="J207" s="75"/>
      <c r="K207" s="76"/>
      <c r="L207" s="75"/>
      <c r="M207" s="75"/>
      <c r="N207" s="172"/>
    </row>
    <row r="10001" spans="16:17">
      <c r="Q10001" s="92">
        <v>32</v>
      </c>
    </row>
    <row r="10016" spans="16:17">
      <c r="P10016" s="92">
        <v>3</v>
      </c>
    </row>
    <row r="10017" spans="15:15">
      <c r="O10017" s="92">
        <v>61</v>
      </c>
    </row>
  </sheetData>
  <mergeCells count="2">
    <mergeCell ref="A4:E4"/>
    <mergeCell ref="H4:K4"/>
  </mergeCells>
  <hyperlinks>
    <hyperlink ref="A206" r:id="rId1" display="https://www.moreinvest.co.il/media/5jfhbei0/res_%D7%9E%D7%93%D7%99%D7%A0%D7%99%D7%95%D7%AA-%D7%94%D7%A9%D7%AA%D7%AA%D7%A4%D7%95%D7%AA-%D7%91%D7%90%D7%A1%D7%99%D7%A4%D7%95%D7%AA-%D7%9B%D7%9C%D7%9C%D7%99%D7%95%D7%AA-15-8-2023-1.pdf" xr:uid="{815D6726-D699-4A22-BD7F-E0BF01DDE68D}"/>
    <hyperlink ref="H206" r:id="rId2" display="https://www.moreinvest.co.il/media/5jfhbei0/res_%D7%9E%D7%93%D7%99%D7%A0%D7%99%D7%95%D7%AA-%D7%94%D7%A9%D7%AA%D7%AA%D7%A4%D7%95%D7%AA-%D7%91%D7%90%D7%A1%D7%99%D7%A4%D7%95%D7%AA-%D7%9B%D7%9C%D7%9C%D7%99%D7%95%D7%AA-15-8-2023-1.pdf" xr:uid="{E98BE257-74C7-4631-A1B6-08E2411DB445}"/>
  </hyperlinks>
  <pageMargins left="0.7" right="0.7" top="0.75" bottom="0.75" header="0.3" footer="0.3"/>
  <pageSetup paperSize="9" scale="15" orientation="portrait" r:id="rId3"/>
  <drawing r:id="rId4"/>
  <tableParts count="32"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גמל- מדיניות מוצהרת </vt:lpstr>
      <vt:lpstr>פנסיה - מדיניות מוצהרת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גמל ופנסיה - מדיניות השקעה מוצהרת לשנת 2026</dc:title>
  <dc:creator>Adi Cohen</dc:creator>
  <cp:lastModifiedBy>Chen Rosenstein</cp:lastModifiedBy>
  <cp:lastPrinted>2025-12-02T12:20:37Z</cp:lastPrinted>
  <dcterms:created xsi:type="dcterms:W3CDTF">2019-11-21T10:57:46Z</dcterms:created>
  <dcterms:modified xsi:type="dcterms:W3CDTF">2026-10-04T09:53:19Z</dcterms:modified>
  <dc:language>עברית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moveItalicFormatting">
    <vt:bool>false</vt:bool>
  </property>
  <property fmtid="{D5CDD505-2E9C-101B-9397-08002B2CF9AE}" pid="3" name="RemoveUnderlines">
    <vt:bool>false</vt:bool>
  </property>
  <property fmtid="{D5CDD505-2E9C-101B-9397-08002B2CF9AE}" pid="4" name="RemoveEmptySheets">
    <vt:bool>false</vt:bool>
  </property>
  <property fmtid="{D5CDD505-2E9C-101B-9397-08002B2CF9AE}" pid="5" name="BodyMinFont_tb">
    <vt:i4>0</vt:i4>
  </property>
</Properties>
</file>