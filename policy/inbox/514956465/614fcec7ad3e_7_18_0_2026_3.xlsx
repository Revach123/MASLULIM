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drawings/drawing2.xml" ContentType="application/vnd.openxmlformats-officedocument.drawing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C:\Users\m_avishaif\AppData\Local\Microsoft\Windows\INetCache\Content.Outlook\K6MI7HTW\"/>
    </mc:Choice>
  </mc:AlternateContent>
  <xr:revisionPtr revIDLastSave="0" documentId="8_{5AD805A2-9E83-4BBD-9B63-07A56ABE15D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גמל- מדיניות מוצהרת " sheetId="22" r:id="rId1"/>
    <sheet name="פנסיה - מדיניות מוצהרת " sheetId="21" r:id="rId2"/>
  </sheets>
  <definedNames>
    <definedName name="_xlnm._FilterDatabase" localSheetId="1" hidden="1">'פנסיה - מדיניות מוצהרת '!$A$1:$N$190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7" i="22" l="1"/>
  <c r="E147" i="22"/>
  <c r="F147" i="22"/>
  <c r="D135" i="22"/>
  <c r="E135" i="22"/>
  <c r="F135" i="22"/>
  <c r="E123" i="22"/>
  <c r="F123" i="22"/>
  <c r="D107" i="22"/>
  <c r="E107" i="22"/>
  <c r="F107" i="22"/>
  <c r="D90" i="22"/>
  <c r="E90" i="22"/>
  <c r="F90" i="22"/>
  <c r="F13" i="22"/>
  <c r="K184" i="21"/>
  <c r="D184" i="21"/>
  <c r="K173" i="21"/>
  <c r="D173" i="21"/>
  <c r="K159" i="21"/>
  <c r="D159" i="21"/>
  <c r="K148" i="21"/>
  <c r="D148" i="21"/>
  <c r="K137" i="21"/>
  <c r="D137" i="21"/>
  <c r="K126" i="21"/>
  <c r="D126" i="21"/>
  <c r="K115" i="21"/>
  <c r="D115" i="21"/>
  <c r="K104" i="21"/>
  <c r="D104" i="21"/>
  <c r="K93" i="21"/>
  <c r="D93" i="21"/>
  <c r="K82" i="21"/>
  <c r="D82" i="21"/>
  <c r="K68" i="21"/>
  <c r="D68" i="21"/>
  <c r="K54" i="21"/>
  <c r="D54" i="21"/>
  <c r="K40" i="21"/>
  <c r="D40" i="21"/>
  <c r="K26" i="21"/>
  <c r="D26" i="21"/>
  <c r="K12" i="21"/>
  <c r="D12" i="21"/>
  <c r="F306" i="22"/>
  <c r="F296" i="22"/>
  <c r="F286" i="22"/>
  <c r="F271" i="22"/>
  <c r="F256" i="22"/>
  <c r="F241" i="22"/>
  <c r="F229" i="22"/>
  <c r="F218" i="22"/>
  <c r="F206" i="22"/>
  <c r="F194" i="22"/>
  <c r="F182" i="22"/>
  <c r="E182" i="22"/>
  <c r="F171" i="22"/>
  <c r="E171" i="22"/>
  <c r="F159" i="22"/>
  <c r="F73" i="22"/>
  <c r="F58" i="22"/>
  <c r="F43" i="22"/>
  <c r="F28" i="22"/>
  <c r="E13" i="22"/>
  <c r="J184" i="21"/>
  <c r="J173" i="21"/>
  <c r="J159" i="21"/>
  <c r="J148" i="21"/>
  <c r="J137" i="21"/>
  <c r="J126" i="21"/>
  <c r="J115" i="21"/>
  <c r="J104" i="21"/>
  <c r="J93" i="21"/>
  <c r="J82" i="21"/>
  <c r="J68" i="21"/>
  <c r="J40" i="21"/>
  <c r="J26" i="21"/>
  <c r="C184" i="21"/>
  <c r="C173" i="21"/>
  <c r="C159" i="21"/>
  <c r="C148" i="21"/>
  <c r="C137" i="21"/>
  <c r="C126" i="21"/>
  <c r="C115" i="21"/>
  <c r="C104" i="21"/>
  <c r="C93" i="21"/>
  <c r="C82" i="21"/>
  <c r="C68" i="21" l="1"/>
  <c r="C26" i="21"/>
  <c r="J54" i="21"/>
  <c r="C12" i="21"/>
  <c r="J12" i="21"/>
  <c r="C54" i="21"/>
  <c r="C40" i="21"/>
  <c r="E306" i="22"/>
  <c r="E296" i="22"/>
  <c r="E286" i="22"/>
  <c r="E271" i="22"/>
  <c r="E256" i="22"/>
  <c r="E241" i="22"/>
  <c r="D241" i="22"/>
  <c r="C241" i="22"/>
  <c r="E229" i="22"/>
  <c r="D229" i="22"/>
  <c r="D218" i="22"/>
  <c r="C218" i="22"/>
  <c r="E218" i="22"/>
  <c r="E206" i="22"/>
  <c r="D206" i="22"/>
  <c r="C206" i="22"/>
  <c r="E194" i="22"/>
  <c r="D194" i="22"/>
  <c r="C194" i="22"/>
  <c r="D182" i="22"/>
  <c r="D171" i="22"/>
  <c r="C171" i="22"/>
  <c r="E159" i="22"/>
  <c r="D159" i="22"/>
  <c r="C159" i="22"/>
  <c r="C147" i="22" l="1"/>
  <c r="C135" i="22"/>
  <c r="C107" i="22"/>
  <c r="E73" i="22" l="1"/>
  <c r="D123" i="22"/>
  <c r="E58" i="22"/>
  <c r="C90" i="22"/>
  <c r="E43" i="22"/>
  <c r="E28" i="22"/>
</calcChain>
</file>

<file path=xl/sharedStrings.xml><?xml version="1.0" encoding="utf-8"?>
<sst xmlns="http://schemas.openxmlformats.org/spreadsheetml/2006/main" count="2895" uniqueCount="244">
  <si>
    <t xml:space="preserve">אפיק השקעה </t>
  </si>
  <si>
    <t>טווח סטייה</t>
  </si>
  <si>
    <t xml:space="preserve">אג"ח ממשלתי </t>
  </si>
  <si>
    <t>5%+/-</t>
  </si>
  <si>
    <t>6%+/-</t>
  </si>
  <si>
    <t>סה"כ</t>
  </si>
  <si>
    <t>חשיפה למט"ח</t>
  </si>
  <si>
    <t>100% - מחקה מדד s&amp;p500</t>
  </si>
  <si>
    <t>הבהרות</t>
  </si>
  <si>
    <t>קרנות השקעה ושותפויות</t>
  </si>
  <si>
    <t>הלוואות וחוב אחר</t>
  </si>
  <si>
    <t>הלוואות עמיתים</t>
  </si>
  <si>
    <t>מזומן ופקדונות</t>
  </si>
  <si>
    <t>אחר (כולל נדל"ן)</t>
  </si>
  <si>
    <t>מדד אג"ח ממשלתי כללי</t>
  </si>
  <si>
    <t>מדד אג"ח קונצרני כללי</t>
  </si>
  <si>
    <t>50% - מדד קונצרני כללי
50% - מדד MSCI WORLD</t>
  </si>
  <si>
    <t>מדד תל בונד שקלי</t>
  </si>
  <si>
    <t>ריבית בנק ישראל</t>
  </si>
  <si>
    <t>סל מטבעות</t>
  </si>
  <si>
    <t>גבולות שיעור החשיפה הצפויה</t>
  </si>
  <si>
    <t>פקדונות  מעל 3 חודשים</t>
  </si>
  <si>
    <t xml:space="preserve">	טווח סטייה</t>
  </si>
  <si>
    <t xml:space="preserve">	6%-/+</t>
  </si>
  <si>
    <t xml:space="preserve">	5%-/+</t>
  </si>
  <si>
    <t>MSCI Islamic Index</t>
  </si>
  <si>
    <t>DJSUKUK Index</t>
  </si>
  <si>
    <t>מדד MSCI WORLD</t>
  </si>
  <si>
    <t>US treasury index</t>
  </si>
  <si>
    <t>מ"ה: 12532 - אלפא מור תגמולים - לבני 50 ומטה</t>
  </si>
  <si>
    <t>טווח סטיה מותר</t>
  </si>
  <si>
    <t>מ"ה: 12533 - אלפא מור תגמולים - לבני 50 עד 60</t>
  </si>
  <si>
    <t>מ"ה: 12534 - אלפא מור תגמולים - לבני 60 ומעלה</t>
  </si>
  <si>
    <t>מ"ה: 12535 - מור השתלמות - כללי</t>
  </si>
  <si>
    <t>מ"ה: 12538 - מור גמל להשקעה - כללי</t>
  </si>
  <si>
    <t>מדד ייחוס*</t>
  </si>
  <si>
    <t>מודל השקעות תלוי גיל</t>
  </si>
  <si>
    <t>מסלול כללי</t>
  </si>
  <si>
    <t>מ"ה: 12531 - אלפא מור תגמולים - מניות</t>
  </si>
  <si>
    <t>מ"ה: 14481 - אלפא מור תגמולים - אשראי ואג"ח</t>
  </si>
  <si>
    <t>מ"ה: 14483 - מור השתלמות - אשראי ואג"ח</t>
  </si>
  <si>
    <t>מ"ה: 14482 - מור גמל להשקעה - אשראי ואג"ח</t>
  </si>
  <si>
    <t>מ"ה: 12536 - מור השתלמות - מניות</t>
  </si>
  <si>
    <t>מ"ה: 12537 - מור גמל להשקעה - מניות</t>
  </si>
  <si>
    <t>מ"ה: 12956 -מור השתלמות - אשראי ואג"ח עם מניות (עד 25% מניות)</t>
  </si>
  <si>
    <t>מ"ה: 12955 - מור גמל להשקעה - אשראי ואג"ח עם מניות (עד 25% מניות)</t>
  </si>
  <si>
    <t>19% - 29%</t>
  </si>
  <si>
    <t>17% - 29%</t>
  </si>
  <si>
    <t>40% - 52%</t>
  </si>
  <si>
    <t>5% - 15%</t>
  </si>
  <si>
    <t>2% - 12%</t>
  </si>
  <si>
    <t>0% - 10%</t>
  </si>
  <si>
    <t>10% - 20%</t>
  </si>
  <si>
    <t>16% - 28%</t>
  </si>
  <si>
    <t>20% - 30%</t>
  </si>
  <si>
    <t>13% - 25%</t>
  </si>
  <si>
    <t>7% - 17%</t>
  </si>
  <si>
    <t>19% - 31%</t>
  </si>
  <si>
    <t>0% - 12%</t>
  </si>
  <si>
    <t>2% - 14%</t>
  </si>
  <si>
    <t>25% - 35%</t>
  </si>
  <si>
    <t>24% - 36%</t>
  </si>
  <si>
    <t>22% - 34%</t>
  </si>
  <si>
    <t>18% - 30%</t>
  </si>
  <si>
    <t>14% - 26%</t>
  </si>
  <si>
    <t>53.5% - 65.5%</t>
  </si>
  <si>
    <t>39% - 51%</t>
  </si>
  <si>
    <t>מסלולים מתמחים בניהול אקטיבי: 
מניות</t>
  </si>
  <si>
    <t>מסלולים מתמחים בניהול אקטיבי:
אשראי ואג"ח</t>
  </si>
  <si>
    <t>מסלולים מתמחים בניהול אקטיבי:
אשראי ואג"ח עם מניות (עד 25% מניות)</t>
  </si>
  <si>
    <t>מסלולים מתמחים בניהול אקטיבי:
כספי (שקלי)</t>
  </si>
  <si>
    <t>מ"ה: 8699 - אלפא מור תגמולים - כספי (שקלי)</t>
  </si>
  <si>
    <t>מ"ה: 8705 - מור השתלמות - כספי (שקלי)</t>
  </si>
  <si>
    <t/>
  </si>
  <si>
    <t>מ"ה: 7963 - מור גמל להשקעה -כספי (שקלי)</t>
  </si>
  <si>
    <t>מ"ה: 14342 - אלפא מור תגמולים - משולב סחיר</t>
  </si>
  <si>
    <t>מ"ה: 15235 - מור השתלמות - משולב סחיר</t>
  </si>
  <si>
    <t>מ"ה: 15253 - מור גמל להשקעה -משולב סחיר</t>
  </si>
  <si>
    <t>33% - 43%</t>
  </si>
  <si>
    <t>27% - 39%</t>
  </si>
  <si>
    <t>מ"ה: 15247 - אלפא מור תגמולים - מניות סחיר</t>
  </si>
  <si>
    <t>מ"ה: 15238 - מור השתלמות - מניות סחיר</t>
  </si>
  <si>
    <t>מ"ה: 15256 - מור גמל להשקעה -מניות סחיר</t>
  </si>
  <si>
    <t>מסלולים מתמחים באפיקי השקעה סחירים:
מניות סחיר</t>
  </si>
  <si>
    <t>מסלולים מתמחים באפיקי השקעה סחירים:
אג"ח סחיר</t>
  </si>
  <si>
    <t>מ"ה: 15248 - אלפא מור תגמולים - אג"ח סחיר</t>
  </si>
  <si>
    <t>מ"ה: 15237 - מור השתלמות - אג"ח סחיר</t>
  </si>
  <si>
    <t>64% - 76%</t>
  </si>
  <si>
    <t>מ"ה: 15254 - מור גמל להשקעה - אג"ח עם מניות (עד 25% מניות) סחיר</t>
  </si>
  <si>
    <t>מ"ה: 15236 - מור השתלמות -  אג"ח עם מניות (עד 25% מניות) סחיר</t>
  </si>
  <si>
    <t>מ"ה: 15255 - מור גמל להשקעה - אג"ח סחיר</t>
  </si>
  <si>
    <t>מסלולים מתמחים באפיקי השקעה סחירים:
אג"ח עם מניות (עד 25% מניות) סחיר</t>
  </si>
  <si>
    <t>44% - 56%</t>
  </si>
  <si>
    <t>מסלולים מתמחים באפיקי השקעה סחירים:
משולב סחיר</t>
  </si>
  <si>
    <t>מסלולים עוקבי מדדים:
עוקב מדדים גמיש</t>
  </si>
  <si>
    <t>מ"ה: 14394 - אלפא מור תגמולים - עוקב מדדים גמיש</t>
  </si>
  <si>
    <t>מ"ה: 15239 - מור השתלמות - עוקב מדדים גמיש</t>
  </si>
  <si>
    <t>מ"ה: 15257 - מור גמל להשקעה - עוקב מדדים גמיש</t>
  </si>
  <si>
    <t>37% - 49%</t>
  </si>
  <si>
    <t>88% - 100%</t>
  </si>
  <si>
    <t>IBOXIG 	-  70%
IBOXHY 	-  30%</t>
  </si>
  <si>
    <t>מסלולים עוקבי מדדים:
עוקב מדדי מניות</t>
  </si>
  <si>
    <t>מ"ה: 15249 - אלפא מור תגמולים - עוקב מדדי מניות</t>
  </si>
  <si>
    <t>מ"ה: 15241 - מור השתלמות - עוקב מדדי מניות</t>
  </si>
  <si>
    <t>מ"ה: 15259 - מור גמל להשקעה - עוקב מדדי מניות</t>
  </si>
  <si>
    <t>מסלולים עוקבי מדדים:
עוקב מדדי אג"ח</t>
  </si>
  <si>
    <t>מ"ה: 15250 - אלפא מור תגמולים - עוקב מדדי אג"ח</t>
  </si>
  <si>
    <t>מ"ה: 15242 - מור השתלמות - עוקב מדדי אג"ח</t>
  </si>
  <si>
    <t>מ"ה: 15260 - מור גמל להשקעה - עוקב מדדי אג"ח</t>
  </si>
  <si>
    <t>מסלולים עוקבי מדדים:
עוקב מדדים אג"ח עם מניות (עד 25% מניות)</t>
  </si>
  <si>
    <t>מ"ה: 15240 - מור השתלמות - עוקב מדדים אג"ח עם מניות (עד 25% מניות)</t>
  </si>
  <si>
    <t>מ"ה: 15258 - מור גמל להשקעה -עוקב מדדים אג"ח עם מניות (עד 25% מניות)</t>
  </si>
  <si>
    <t>מסלולים עוקבי מדדים:
עוקב מדד S&amp;P500</t>
  </si>
  <si>
    <t>מ"ה: 9452 - אלפא מור תגמולים - עוקב מדד S&amp;P500</t>
  </si>
  <si>
    <t>מ"ה: 9451 - מור השתלמות - עוקב מדד S&amp;P500</t>
  </si>
  <si>
    <t>מ"ה: 7958 - מור גמל להשקעה - עוקב מדד S&amp;P500</t>
  </si>
  <si>
    <t>חיסכון לכל ילד</t>
  </si>
  <si>
    <t>מ"ה: 9421 - מור חיסכון לכל ילד- חוסכים המעדיפים סיכון מועט</t>
  </si>
  <si>
    <t>30% - 40%</t>
  </si>
  <si>
    <t>29% - 41%</t>
  </si>
  <si>
    <t>9% - 21%</t>
  </si>
  <si>
    <t>מ"ה: 9414 - מור חיסכון לכל ילד- חוסכים המעדיפים סיכון בינוני</t>
  </si>
  <si>
    <t>מ"ה: 9420 - מור חיסכון לכל ילד- חוסכים המעדיפים סיכון מוגבר</t>
  </si>
  <si>
    <t>89% - 101%</t>
  </si>
  <si>
    <t>מ"ה: 9113 - מור חיסכון לכל ילד מסלול הלכה</t>
  </si>
  <si>
    <t>8% - 20%</t>
  </si>
  <si>
    <t>מ"ה: 9303 - מור חיסכון לכל ילד מסלול שריעה</t>
  </si>
  <si>
    <t>28% - 40%</t>
  </si>
  <si>
    <t>16% - 26%</t>
  </si>
  <si>
    <t>75% - 87%</t>
  </si>
  <si>
    <t>מ"ה: 13909 - מור פנסיה מקיפה- מסלול לבני 50 ומטה</t>
  </si>
  <si>
    <t>74% - 86%</t>
  </si>
  <si>
    <t>90% - 100%</t>
  </si>
  <si>
    <t>15% - 25%</t>
  </si>
  <si>
    <t>42% - 52%</t>
  </si>
  <si>
    <t>10% - 22%</t>
  </si>
  <si>
    <t>בעת בחינת השקעה נלקחים בחשבון שיקולי ESG. פירוט לעניין מדיניות ההשקעה של החברה ביחס לESG ניתן למצוא בקישור שלהלן – שיקולי ESG בהשקעות</t>
  </si>
  <si>
    <t>*מובהר כי תיק הנכסים אינו תואם בהכרח במלואו להרכב מדד הייחוס. אין בציון מדד הייחוס, תיאורו והרכבו בכדי להוות מצג, הצהרה או התחייבות כלשהי ביחס לתשואות המסלולים בפועל.</t>
  </si>
  <si>
    <t>מגבלת עמלת ניהול חיצוני לשנת 2025</t>
  </si>
  <si>
    <t>אג"ח קונצרני (קרנות נאמנות, קרנות סל)</t>
  </si>
  <si>
    <r>
      <t>מניות (קרנות</t>
    </r>
    <r>
      <rPr>
        <sz val="11"/>
        <color rgb="FF1A326B"/>
        <rFont val="Arial"/>
        <family val="2"/>
        <scheme val="minor"/>
      </rPr>
      <t xml:space="preserve"> </t>
    </r>
    <r>
      <rPr>
        <sz val="11"/>
        <rFont val="Arial"/>
        <family val="2"/>
        <scheme val="minor"/>
      </rPr>
      <t>סל, אופציות, קרנות נאמנות)</t>
    </r>
  </si>
  <si>
    <t>מ"ה: 13910 - מור פנסיה מקיפה - מסלול לבני 50 עד 60</t>
  </si>
  <si>
    <t>מ"ה: 13911 - מור פנסיה מקיפה - מסלול לבני 60 ומעלה</t>
  </si>
  <si>
    <t>מ"ה: 13919 - מור פנסיה כללית - מסלול לבני 50 ומטה</t>
  </si>
  <si>
    <t>מ"ה: 13920 - מור פנסיה כללית - מסלול לבני 50 עד 60</t>
  </si>
  <si>
    <t>מ"ה: 13921 - מור פנסיה כללית - מסלול לבני 60 ומעלה</t>
  </si>
  <si>
    <t>מ"ה: 13912 - מור פנסיה מקיפה - מסלול מניות</t>
  </si>
  <si>
    <t>מ"ה: 13922 - מור פנסיה כללית - מסלול מניות</t>
  </si>
  <si>
    <t>מ"ה: 13913 - מור פנסיה מקיפה - אשראי ואג"ח</t>
  </si>
  <si>
    <t>מ"ה: 13923 - מור פנסיה כללית - אשראי ואג"ח</t>
  </si>
  <si>
    <t>מ"ה: 13914 - מור פנסיה מקיפה - כספי (שקלי)</t>
  </si>
  <si>
    <t>מ"ה: 13926 - מור פנסיה כללית - כספי (שקלי)</t>
  </si>
  <si>
    <t>מ"ה: 14339 - מור פנסיה מקיפה - משולב סחיר</t>
  </si>
  <si>
    <t>מ"ה: 14337 - מור פנסיה כללית - משולב סחיר</t>
  </si>
  <si>
    <t>מ"ה: 15263 - מור פנסיה מקיפה - מניות סחיר</t>
  </si>
  <si>
    <t>מ"ה: 15270 - מור פנסיה כללית - מניות סחיר</t>
  </si>
  <si>
    <t>מ"ה: 15264 - מור פנסיה מקיפה - אג"ח סחיר</t>
  </si>
  <si>
    <t>מ"ה: 15271 - מור פנסיה כללית - אג"ח סחיר</t>
  </si>
  <si>
    <t>מ"ה: 14340 - מור פנסיה מקיפה - עוקב מדדים גמיש</t>
  </si>
  <si>
    <t>מ"ה: 14338 - מור פנסיה כללית - עוקב מדדים גמיש</t>
  </si>
  <si>
    <t>מ"ה: 13915 - מור פנסיה מקיפה - עוקב מדדי מניות</t>
  </si>
  <si>
    <t>מ"ה: 13925 - מור פנסיה כללית - עוקב מדדי מניות</t>
  </si>
  <si>
    <t>מ"ה: 15265 - מור פנסיה מקיפה - עוקב מדדי אג"ח</t>
  </si>
  <si>
    <t>מ"ה: 15272 - מור פנסיה כללית - עוקב מדדי אג"ח</t>
  </si>
  <si>
    <t>מ"ה: 15266 - מור פנסיה מקיפה - עוקב מדד S&amp;P 500</t>
  </si>
  <si>
    <t>מ"ה: 15273 - מור פנסיה כללית - עוקב מדד S&amp;P 500</t>
  </si>
  <si>
    <t>מסלולים למקבלי קצבה</t>
  </si>
  <si>
    <t>מ"ה: 13916 - מור פנסיה מקיפה - מסלול בסיסי למקבלי קצבה</t>
  </si>
  <si>
    <t>מ"ה: 15267 - מור פנסיה מקיפה - עוקב מדדים למקבלי קצבה</t>
  </si>
  <si>
    <t>מ"ה: 13927 - מור פנסיה כללית - מסלול בסיסי למקבלי קצבה</t>
  </si>
  <si>
    <t>מ"ה: 15274 - מור פנסיה כללית - עוקב מדדים למקבלי קצבה</t>
  </si>
  <si>
    <t>אג"ח מיועדות</t>
  </si>
  <si>
    <t>אחר (קרנות השקעה, Co Invest, תשתיות, גידור)</t>
  </si>
  <si>
    <t>אפיק נדל"ן (ישיר)</t>
  </si>
  <si>
    <t>1% - 11%</t>
  </si>
  <si>
    <t>מדד קונצרני כללי</t>
  </si>
  <si>
    <t>40% - 50%</t>
  </si>
  <si>
    <t>0% - 0%</t>
  </si>
  <si>
    <t>15% - 27%</t>
  </si>
  <si>
    <t>22% - 32%</t>
  </si>
  <si>
    <t>12% - 22%</t>
  </si>
  <si>
    <t>93% - 103%</t>
  </si>
  <si>
    <t>25% - 37%</t>
  </si>
  <si>
    <t>IBOXIG	- 70%
IBOXHY	- 30%</t>
  </si>
  <si>
    <t>58% - 70%</t>
  </si>
  <si>
    <t>100% - מדד קונצרני כללי</t>
  </si>
  <si>
    <t>חדש</t>
  </si>
  <si>
    <t>אג"ח קונצרני (נע"מ,קרנות נאמנות, קרנות סל)</t>
  </si>
  <si>
    <t>אג"ח קונצרני (נע"מ, קרנות נאמנות, קרנות סל)</t>
  </si>
  <si>
    <t>ריק במקור</t>
  </si>
  <si>
    <t>ריק במקור2</t>
  </si>
  <si>
    <t>20%-30%</t>
  </si>
  <si>
    <t>52% - 62%</t>
  </si>
  <si>
    <t>47% - 57%</t>
  </si>
  <si>
    <t>64% -76%</t>
  </si>
  <si>
    <t>60% - 70%</t>
  </si>
  <si>
    <t>øé÷ áî÷åø</t>
  </si>
  <si>
    <t>30.00%</t>
  </si>
  <si>
    <t>ריק במקור3</t>
  </si>
  <si>
    <t xml:space="preserve">פנסיה מקיפה - מדיניות השקעה מוצהרת לשנת 2026
</t>
  </si>
  <si>
    <t>שיעור חשיפה צפוי לשנת 2026</t>
  </si>
  <si>
    <t>55% - 65%</t>
  </si>
  <si>
    <t>53% - 63%</t>
  </si>
  <si>
    <t>20% - 32%</t>
  </si>
  <si>
    <t>41% - 53%</t>
  </si>
  <si>
    <t>17% - 27%</t>
  </si>
  <si>
    <t>21% - 31%</t>
  </si>
  <si>
    <t>12% - 24%</t>
  </si>
  <si>
    <t>3% - 13%</t>
  </si>
  <si>
    <t>4% - 14%</t>
  </si>
  <si>
    <t>52% - 64%</t>
  </si>
  <si>
    <t>50% - 62%</t>
  </si>
  <si>
    <t>8% - 18%</t>
  </si>
  <si>
    <t>24% - 34%</t>
  </si>
  <si>
    <t>21% - 33%</t>
  </si>
  <si>
    <t>18% - 28%</t>
  </si>
  <si>
    <t>14% - 24%</t>
  </si>
  <si>
    <t>23% - 33%</t>
  </si>
  <si>
    <t>6% - 16%</t>
  </si>
  <si>
    <t>54% - 66%</t>
  </si>
  <si>
    <t>36% - 48%</t>
  </si>
  <si>
    <t>7% - 19%</t>
  </si>
  <si>
    <t>27% - 37%</t>
  </si>
  <si>
    <t xml:space="preserve">
36% - מדד מניות כללי
64% - מדד MSCI WORLD
</t>
  </si>
  <si>
    <t xml:space="preserve">פנסיה כללית - מדיניות השקעה מוצהרת לשנת 2026
</t>
  </si>
  <si>
    <t>שיעור החשיפה ליום 31/12/2025</t>
  </si>
  <si>
    <t xml:space="preserve"> השקעה שיעור החשיפה ליום 31/12/2025</t>
  </si>
  <si>
    <t>השתלמות שיעור החשיפה ליום 31/12/2025</t>
  </si>
  <si>
    <t xml:space="preserve">תגמולים שיעור החשיפה ליום 31/12/2025 </t>
  </si>
  <si>
    <t xml:space="preserve">השתלמות שיעור החשיפה ליום 31/12/2025 </t>
  </si>
  <si>
    <t>מגבלת עמלת ניהול חיצוני לשנת 2026</t>
  </si>
  <si>
    <t>גמל - מדיניות השקעה מוצהרת לשנת 2026</t>
  </si>
  <si>
    <t>36% - מדד מניות כללי
64% - מדד MSCI WORLD</t>
  </si>
  <si>
    <t>מניות (קרנות סל, אופציות, קרנות נאמנות)</t>
  </si>
  <si>
    <t>48.21%</t>
  </si>
  <si>
    <t>46.00%</t>
  </si>
  <si>
    <t>25% -35%</t>
  </si>
  <si>
    <t>25.20%</t>
  </si>
  <si>
    <t>20.00%</t>
  </si>
  <si>
    <t>31.49%</t>
  </si>
  <si>
    <t>30.12%</t>
  </si>
  <si>
    <t>79% -91%</t>
  </si>
  <si>
    <t>93% - 105%</t>
  </si>
  <si>
    <t>6.00%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</si>
</sst>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;;;"/>
  </numFmts>
  <fonts count="2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rgb="FF1A326B"/>
      <name val="Arial"/>
      <family val="2"/>
      <scheme val="minor"/>
    </font>
    <font>
      <sz val="11"/>
      <name val="Arial"/>
      <family val="2"/>
      <scheme val="minor"/>
    </font>
    <font>
      <b/>
      <u/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1"/>
      <color rgb="FF1A326B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6"/>
      <color theme="0"/>
      <name val="Arial"/>
      <family val="2"/>
      <scheme val="minor"/>
    </font>
    <font>
      <b/>
      <u/>
      <sz val="18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2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36"/>
      <color theme="0"/>
      <name val="Arial"/>
      <family val="2"/>
      <scheme val="minor"/>
    </font>
    <font>
      <b/>
      <sz val="26"/>
      <color theme="0"/>
      <name val="Arial"/>
      <family val="2"/>
      <scheme val="minor"/>
    </font>
    <font>
      <b/>
      <sz val="16"/>
      <name val="Arial"/>
      <family val="2"/>
      <scheme val="minor"/>
    </font>
    <font>
      <b/>
      <sz val="26"/>
      <name val="Arial"/>
      <family val="2"/>
      <scheme val="minor"/>
    </font>
    <font>
      <u/>
      <sz val="11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27457B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1DBE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AD5B9D"/>
        <bgColor indexed="64"/>
      </patternFill>
    </fill>
    <fill>
      <patternFill patternType="solid">
        <fgColor rgb="FF5E2696"/>
        <bgColor indexed="64"/>
      </patternFill>
    </fill>
    <fill>
      <patternFill patternType="solid">
        <fgColor rgb="FF97EB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38">
    <xf numFmtId="0" fontId="0" fillId="0" borderId="0" xfId="0"/>
    <xf numFmtId="0" fontId="5" fillId="2" borderId="2" xfId="0" applyFont="1" applyFill="1" applyBorder="1" applyAlignment="1">
      <alignment horizontal="center" vertical="center" wrapText="1" readingOrder="2"/>
    </xf>
    <xf numFmtId="0" fontId="5" fillId="2" borderId="2" xfId="0" applyFont="1" applyFill="1" applyBorder="1" applyAlignment="1">
      <alignment horizontal="right" vertical="center" wrapText="1" readingOrder="2"/>
    </xf>
    <xf numFmtId="10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0" fontId="5" fillId="0" borderId="3" xfId="0" applyNumberFormat="1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/>
    </xf>
    <xf numFmtId="9" fontId="5" fillId="2" borderId="2" xfId="1" applyFont="1" applyFill="1" applyBorder="1" applyAlignment="1">
      <alignment horizontal="center" vertical="center" wrapText="1" readingOrder="2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 readingOrder="1"/>
    </xf>
    <xf numFmtId="10" fontId="5" fillId="0" borderId="2" xfId="0" applyNumberFormat="1" applyFont="1" applyBorder="1" applyAlignment="1">
      <alignment horizontal="center" vertical="center" wrapText="1" readingOrder="2"/>
    </xf>
    <xf numFmtId="10" fontId="7" fillId="2" borderId="2" xfId="0" applyNumberFormat="1" applyFont="1" applyFill="1" applyBorder="1" applyAlignment="1">
      <alignment horizontal="center" vertical="center" wrapText="1" readingOrder="2"/>
    </xf>
    <xf numFmtId="0" fontId="13" fillId="2" borderId="5" xfId="0" applyFont="1" applyFill="1" applyBorder="1" applyAlignment="1">
      <alignment horizontal="center" vertical="center" wrapText="1" readingOrder="2"/>
    </xf>
    <xf numFmtId="0" fontId="13" fillId="2" borderId="2" xfId="0" applyFont="1" applyFill="1" applyBorder="1" applyAlignment="1">
      <alignment horizontal="center" vertical="center" wrapText="1" readingOrder="2"/>
    </xf>
    <xf numFmtId="0" fontId="13" fillId="0" borderId="2" xfId="0" applyFont="1" applyBorder="1" applyAlignment="1">
      <alignment horizontal="center" vertical="center" wrapText="1" readingOrder="2"/>
    </xf>
    <xf numFmtId="0" fontId="10" fillId="4" borderId="0" xfId="0" applyFont="1" applyFill="1" applyAlignment="1">
      <alignment vertical="center" wrapText="1"/>
    </xf>
    <xf numFmtId="0" fontId="7" fillId="4" borderId="0" xfId="0" applyFont="1" applyFill="1" applyAlignment="1">
      <alignment horizontal="right" vertical="center" wrapText="1" readingOrder="2"/>
    </xf>
    <xf numFmtId="10" fontId="7" fillId="4" borderId="0" xfId="0" applyNumberFormat="1" applyFont="1" applyFill="1" applyAlignment="1">
      <alignment horizontal="center" vertical="center" wrapText="1" readingOrder="2"/>
    </xf>
    <xf numFmtId="0" fontId="7" fillId="4" borderId="0" xfId="0" applyFont="1" applyFill="1" applyAlignment="1">
      <alignment horizontal="center" vertical="center" wrapText="1" readingOrder="2"/>
    </xf>
    <xf numFmtId="0" fontId="4" fillId="4" borderId="0" xfId="0" applyFont="1" applyFill="1"/>
    <xf numFmtId="0" fontId="8" fillId="3" borderId="0" xfId="0" applyFont="1" applyFill="1" applyAlignment="1">
      <alignment horizontal="center" vertical="center" wrapText="1"/>
    </xf>
    <xf numFmtId="0" fontId="14" fillId="3" borderId="0" xfId="0" applyFont="1" applyFill="1"/>
    <xf numFmtId="0" fontId="4" fillId="3" borderId="0" xfId="0" applyFont="1" applyFill="1"/>
    <xf numFmtId="0" fontId="8" fillId="5" borderId="0" xfId="0" applyFont="1" applyFill="1" applyAlignment="1">
      <alignment horizontal="center" vertical="center"/>
    </xf>
    <xf numFmtId="0" fontId="12" fillId="5" borderId="0" xfId="0" applyFont="1" applyFill="1"/>
    <xf numFmtId="9" fontId="12" fillId="5" borderId="0" xfId="0" applyNumberFormat="1" applyFont="1" applyFill="1"/>
    <xf numFmtId="0" fontId="4" fillId="5" borderId="0" xfId="0" applyFont="1" applyFill="1"/>
    <xf numFmtId="0" fontId="7" fillId="2" borderId="2" xfId="0" applyFont="1" applyFill="1" applyBorder="1" applyAlignment="1">
      <alignment horizontal="right" vertical="center" wrapText="1" readingOrder="2"/>
    </xf>
    <xf numFmtId="10" fontId="7" fillId="0" borderId="2" xfId="1" applyNumberFormat="1" applyFont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12" fillId="6" borderId="0" xfId="0" applyFont="1" applyFill="1"/>
    <xf numFmtId="9" fontId="12" fillId="6" borderId="0" xfId="0" applyNumberFormat="1" applyFont="1" applyFill="1"/>
    <xf numFmtId="0" fontId="4" fillId="6" borderId="0" xfId="0" applyFont="1" applyFill="1"/>
    <xf numFmtId="0" fontId="11" fillId="7" borderId="1" xfId="0" applyFont="1" applyFill="1" applyBorder="1" applyAlignment="1">
      <alignment horizontal="right" vertical="center" readingOrder="2"/>
    </xf>
    <xf numFmtId="0" fontId="5" fillId="7" borderId="1" xfId="0" applyFont="1" applyFill="1" applyBorder="1"/>
    <xf numFmtId="0" fontId="7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11" fillId="7" borderId="0" xfId="0" applyFont="1" applyFill="1" applyAlignment="1">
      <alignment horizontal="right" vertical="center" readingOrder="2"/>
    </xf>
    <xf numFmtId="0" fontId="5" fillId="7" borderId="0" xfId="0" applyFont="1" applyFill="1"/>
    <xf numFmtId="0" fontId="7" fillId="7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10" fontId="7" fillId="2" borderId="2" xfId="1" applyNumberFormat="1" applyFont="1" applyFill="1" applyBorder="1" applyAlignment="1">
      <alignment horizontal="center" vertical="center" wrapText="1"/>
    </xf>
    <xf numFmtId="0" fontId="11" fillId="7" borderId="0" xfId="0" applyFont="1" applyFill="1" applyAlignment="1">
      <alignment horizontal="right" vertical="top" readingOrder="2"/>
    </xf>
    <xf numFmtId="0" fontId="8" fillId="8" borderId="0" xfId="0" applyFont="1" applyFill="1" applyAlignment="1">
      <alignment horizontal="center" vertical="center" wrapText="1"/>
    </xf>
    <xf numFmtId="0" fontId="12" fillId="8" borderId="0" xfId="0" applyFont="1" applyFill="1"/>
    <xf numFmtId="9" fontId="12" fillId="8" borderId="0" xfId="0" applyNumberFormat="1" applyFont="1" applyFill="1"/>
    <xf numFmtId="0" fontId="4" fillId="8" borderId="0" xfId="0" applyFont="1" applyFill="1"/>
    <xf numFmtId="0" fontId="8" fillId="9" borderId="0" xfId="0" applyFont="1" applyFill="1" applyAlignment="1">
      <alignment horizontal="center" vertical="center" wrapText="1"/>
    </xf>
    <xf numFmtId="0" fontId="12" fillId="9" borderId="0" xfId="0" applyFont="1" applyFill="1"/>
    <xf numFmtId="9" fontId="12" fillId="9" borderId="0" xfId="0" applyNumberFormat="1" applyFont="1" applyFill="1"/>
    <xf numFmtId="0" fontId="4" fillId="9" borderId="0" xfId="0" applyFont="1" applyFill="1"/>
    <xf numFmtId="0" fontId="0" fillId="10" borderId="0" xfId="0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right" vertical="center" wrapText="1" readingOrder="2"/>
    </xf>
    <xf numFmtId="0" fontId="15" fillId="4" borderId="0" xfId="0" applyFont="1" applyFill="1" applyAlignment="1">
      <alignment horizontal="center" vertical="center" wrapText="1" readingOrder="2"/>
    </xf>
    <xf numFmtId="10" fontId="14" fillId="0" borderId="2" xfId="0" applyNumberFormat="1" applyFont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2" fillId="0" borderId="0" xfId="2" applyAlignment="1">
      <alignment vertical="center"/>
    </xf>
    <xf numFmtId="0" fontId="14" fillId="2" borderId="0" xfId="0" applyFont="1" applyFill="1"/>
    <xf numFmtId="0" fontId="14" fillId="2" borderId="0" xfId="0" applyFont="1" applyFill="1" applyAlignment="1">
      <alignment horizontal="right" vertical="center" readingOrder="2"/>
    </xf>
    <xf numFmtId="0" fontId="14" fillId="2" borderId="0" xfId="0" applyFont="1" applyFill="1" applyAlignment="1">
      <alignment horizontal="right"/>
    </xf>
    <xf numFmtId="0" fontId="0" fillId="2" borderId="0" xfId="0" applyFill="1" applyAlignment="1">
      <alignment horizontal="right" vertical="center"/>
    </xf>
    <xf numFmtId="0" fontId="13" fillId="0" borderId="5" xfId="0" applyFont="1" applyBorder="1" applyAlignment="1">
      <alignment horizontal="center" vertical="center" wrapText="1" readingOrder="2"/>
    </xf>
    <xf numFmtId="10" fontId="14" fillId="0" borderId="3" xfId="0" applyNumberFormat="1" applyFont="1" applyBorder="1" applyAlignment="1">
      <alignment horizontal="center" vertical="center" wrapText="1"/>
    </xf>
    <xf numFmtId="10" fontId="5" fillId="0" borderId="12" xfId="0" applyNumberFormat="1" applyFont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 wrapText="1" readingOrder="2"/>
    </xf>
    <xf numFmtId="10" fontId="7" fillId="2" borderId="5" xfId="0" applyNumberFormat="1" applyFont="1" applyFill="1" applyBorder="1" applyAlignment="1">
      <alignment horizontal="center" vertical="center" wrapText="1" readingOrder="2"/>
    </xf>
    <xf numFmtId="10" fontId="3" fillId="0" borderId="2" xfId="1" applyNumberFormat="1" applyFont="1" applyBorder="1" applyAlignment="1">
      <alignment horizontal="center" vertical="center" wrapText="1"/>
    </xf>
    <xf numFmtId="10" fontId="14" fillId="0" borderId="2" xfId="0" applyNumberFormat="1" applyFont="1" applyBorder="1" applyAlignment="1">
      <alignment horizontal="center" vertical="center" wrapText="1" readingOrder="2"/>
    </xf>
    <xf numFmtId="0" fontId="14" fillId="2" borderId="2" xfId="0" applyFont="1" applyFill="1" applyBorder="1" applyAlignment="1">
      <alignment horizontal="right" vertical="center" wrapText="1" readingOrder="2"/>
    </xf>
    <xf numFmtId="0" fontId="4" fillId="14" borderId="0" xfId="0" applyFont="1" applyFill="1"/>
    <xf numFmtId="0" fontId="15" fillId="14" borderId="0" xfId="0" applyFont="1" applyFill="1" applyAlignment="1">
      <alignment horizontal="center" vertical="center" wrapText="1" readingOrder="2"/>
    </xf>
    <xf numFmtId="0" fontId="7" fillId="14" borderId="0" xfId="0" applyFont="1" applyFill="1" applyAlignment="1">
      <alignment horizontal="right" vertical="center" wrapText="1" readingOrder="2"/>
    </xf>
    <xf numFmtId="0" fontId="7" fillId="14" borderId="0" xfId="0" applyFont="1" applyFill="1" applyAlignment="1">
      <alignment horizontal="center" vertical="center" wrapText="1" readingOrder="2"/>
    </xf>
    <xf numFmtId="10" fontId="7" fillId="14" borderId="0" xfId="0" applyNumberFormat="1" applyFont="1" applyFill="1" applyAlignment="1">
      <alignment horizontal="center" vertical="center" wrapText="1" readingOrder="2"/>
    </xf>
    <xf numFmtId="0" fontId="9" fillId="14" borderId="0" xfId="0" applyFont="1" applyFill="1" applyAlignment="1">
      <alignment horizontal="right" vertical="center" wrapText="1" readingOrder="2"/>
    </xf>
    <xf numFmtId="0" fontId="7" fillId="13" borderId="0" xfId="0" applyFont="1" applyFill="1" applyAlignment="1">
      <alignment horizontal="right" vertical="center" wrapText="1" readingOrder="2"/>
    </xf>
    <xf numFmtId="0" fontId="7" fillId="13" borderId="0" xfId="0" applyFont="1" applyFill="1" applyAlignment="1">
      <alignment horizontal="center" vertical="center" wrapText="1" readingOrder="2"/>
    </xf>
    <xf numFmtId="10" fontId="7" fillId="13" borderId="0" xfId="0" applyNumberFormat="1" applyFont="1" applyFill="1" applyAlignment="1">
      <alignment horizontal="center" vertical="center" wrapText="1" readingOrder="2"/>
    </xf>
    <xf numFmtId="0" fontId="3" fillId="15" borderId="0" xfId="0" applyFont="1" applyFill="1" applyAlignment="1">
      <alignment horizontal="center" vertical="center" wrapText="1"/>
    </xf>
    <xf numFmtId="0" fontId="0" fillId="15" borderId="0" xfId="0" applyFill="1" applyAlignment="1">
      <alignment horizontal="center" vertical="center" wrapText="1"/>
    </xf>
    <xf numFmtId="0" fontId="5" fillId="7" borderId="1" xfId="0" applyFont="1" applyFill="1" applyBorder="1" applyAlignment="1">
      <alignment horizontal="center" readingOrder="2"/>
    </xf>
    <xf numFmtId="0" fontId="5" fillId="7" borderId="0" xfId="0" applyFont="1" applyFill="1" applyAlignment="1">
      <alignment horizontal="center" readingOrder="2"/>
    </xf>
    <xf numFmtId="0" fontId="14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49" fontId="13" fillId="2" borderId="2" xfId="0" applyNumberFormat="1" applyFont="1" applyFill="1" applyBorder="1" applyAlignment="1">
      <alignment horizontal="center" vertical="center" wrapText="1" readingOrder="2"/>
    </xf>
    <xf numFmtId="49" fontId="5" fillId="2" borderId="3" xfId="0" applyNumberFormat="1" applyFont="1" applyFill="1" applyBorder="1" applyAlignment="1">
      <alignment horizontal="center" vertical="center" wrapText="1" readingOrder="2"/>
    </xf>
    <xf numFmtId="49" fontId="5" fillId="2" borderId="2" xfId="0" applyNumberFormat="1" applyFont="1" applyFill="1" applyBorder="1" applyAlignment="1">
      <alignment horizontal="center" vertical="center" wrapText="1" readingOrder="2"/>
    </xf>
    <xf numFmtId="49" fontId="5" fillId="2" borderId="2" xfId="1" applyNumberFormat="1" applyFont="1" applyFill="1" applyBorder="1" applyAlignment="1">
      <alignment horizontal="center" vertical="center" wrapText="1" readingOrder="2"/>
    </xf>
    <xf numFmtId="49" fontId="7" fillId="4" borderId="0" xfId="0" applyNumberFormat="1" applyFont="1" applyFill="1" applyAlignment="1">
      <alignment horizontal="center" vertical="center" wrapText="1" readingOrder="2"/>
    </xf>
    <xf numFmtId="49" fontId="10" fillId="4" borderId="0" xfId="0" applyNumberFormat="1" applyFont="1" applyFill="1" applyAlignment="1">
      <alignment vertical="center" wrapText="1" readingOrder="2"/>
    </xf>
    <xf numFmtId="49" fontId="5" fillId="7" borderId="1" xfId="0" applyNumberFormat="1" applyFont="1" applyFill="1" applyBorder="1" applyAlignment="1">
      <alignment horizontal="center" readingOrder="2"/>
    </xf>
    <xf numFmtId="49" fontId="5" fillId="7" borderId="0" xfId="0" applyNumberFormat="1" applyFont="1" applyFill="1" applyAlignment="1">
      <alignment horizontal="center" readingOrder="2"/>
    </xf>
    <xf numFmtId="49" fontId="14" fillId="2" borderId="0" xfId="0" applyNumberFormat="1" applyFont="1" applyFill="1" applyAlignment="1">
      <alignment readingOrder="2"/>
    </xf>
    <xf numFmtId="49" fontId="0" fillId="2" borderId="0" xfId="0" applyNumberFormat="1" applyFill="1" applyAlignment="1">
      <alignment vertical="center" readingOrder="2"/>
    </xf>
    <xf numFmtId="0" fontId="0" fillId="11" borderId="0" xfId="0" applyFill="1"/>
    <xf numFmtId="0" fontId="14" fillId="11" borderId="0" xfId="0" applyFont="1" applyFill="1"/>
    <xf numFmtId="0" fontId="0" fillId="11" borderId="0" xfId="0" applyFill="1" applyAlignment="1">
      <alignment horizontal="right"/>
    </xf>
    <xf numFmtId="49" fontId="0" fillId="11" borderId="0" xfId="0" applyNumberFormat="1" applyFill="1" applyAlignment="1">
      <alignment readingOrder="2"/>
    </xf>
    <xf numFmtId="0" fontId="0" fillId="11" borderId="0" xfId="0" applyFill="1" applyAlignment="1">
      <alignment horizontal="center"/>
    </xf>
    <xf numFmtId="10" fontId="7" fillId="0" borderId="2" xfId="1" applyNumberFormat="1" applyFont="1" applyFill="1" applyBorder="1" applyAlignment="1">
      <alignment horizontal="center" vertical="center" wrapText="1"/>
    </xf>
    <xf numFmtId="10" fontId="7" fillId="0" borderId="2" xfId="0" applyNumberFormat="1" applyFont="1" applyBorder="1" applyAlignment="1">
      <alignment horizontal="center" vertical="center" wrapText="1" readingOrder="2"/>
    </xf>
    <xf numFmtId="10" fontId="7" fillId="0" borderId="5" xfId="0" applyNumberFormat="1" applyFont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 readingOrder="2"/>
    </xf>
    <xf numFmtId="0" fontId="5" fillId="2" borderId="5" xfId="0" applyFont="1" applyFill="1" applyBorder="1" applyAlignment="1">
      <alignment horizontal="right" vertical="center" wrapText="1" readingOrder="2"/>
    </xf>
    <xf numFmtId="0" fontId="14" fillId="2" borderId="5" xfId="0" applyFont="1" applyFill="1" applyBorder="1" applyAlignment="1">
      <alignment horizontal="right" vertical="center" wrapText="1" readingOrder="2"/>
    </xf>
    <xf numFmtId="0" fontId="7" fillId="2" borderId="5" xfId="0" applyFont="1" applyFill="1" applyBorder="1" applyAlignment="1">
      <alignment horizontal="right" vertical="center" wrapText="1" readingOrder="2"/>
    </xf>
    <xf numFmtId="165" fontId="13" fillId="12" borderId="0" xfId="0" applyNumberFormat="1" applyFont="1" applyFill="1" applyAlignment="1">
      <alignment horizontal="center" vertical="center" wrapText="1" readingOrder="2"/>
    </xf>
    <xf numFmtId="165" fontId="4" fillId="12" borderId="0" xfId="0" applyNumberFormat="1" applyFont="1" applyFill="1" applyAlignment="1">
      <alignment horizontal="right" vertical="center" wrapText="1" readingOrder="2"/>
    </xf>
    <xf numFmtId="165" fontId="5" fillId="12" borderId="0" xfId="0" applyNumberFormat="1" applyFont="1" applyFill="1" applyAlignment="1">
      <alignment horizontal="right" vertical="center" wrapText="1" readingOrder="2"/>
    </xf>
    <xf numFmtId="165" fontId="7" fillId="12" borderId="0" xfId="0" applyNumberFormat="1" applyFont="1" applyFill="1" applyAlignment="1">
      <alignment horizontal="right" vertical="center" wrapText="1" readingOrder="2"/>
    </xf>
    <xf numFmtId="165" fontId="7" fillId="2" borderId="2" xfId="0" applyNumberFormat="1" applyFont="1" applyFill="1" applyBorder="1" applyAlignment="1">
      <alignment horizontal="center" vertical="center" wrapText="1" readingOrder="2"/>
    </xf>
    <xf numFmtId="165" fontId="7" fillId="2" borderId="2" xfId="0" applyNumberFormat="1" applyFont="1" applyFill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 readingOrder="2"/>
    </xf>
    <xf numFmtId="0" fontId="5" fillId="2" borderId="4" xfId="0" applyFont="1" applyFill="1" applyBorder="1" applyAlignment="1">
      <alignment horizontal="center" vertical="center" wrapText="1"/>
    </xf>
    <xf numFmtId="165" fontId="5" fillId="2" borderId="4" xfId="0" applyNumberFormat="1" applyFont="1" applyFill="1" applyBorder="1" applyAlignment="1">
      <alignment horizontal="center" vertical="center" wrapText="1"/>
    </xf>
    <xf numFmtId="165" fontId="7" fillId="2" borderId="2" xfId="1" applyNumberFormat="1" applyFont="1" applyFill="1" applyBorder="1" applyAlignment="1">
      <alignment horizontal="center" vertical="center" wrapText="1" readingOrder="2"/>
    </xf>
    <xf numFmtId="165" fontId="7" fillId="2" borderId="2" xfId="1" applyNumberFormat="1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 readingOrder="2"/>
    </xf>
    <xf numFmtId="0" fontId="13" fillId="0" borderId="9" xfId="0" applyFont="1" applyBorder="1" applyAlignment="1">
      <alignment horizontal="center" vertical="center" wrapText="1" readingOrder="2"/>
    </xf>
    <xf numFmtId="0" fontId="13" fillId="2" borderId="9" xfId="0" applyFont="1" applyFill="1" applyBorder="1" applyAlignment="1">
      <alignment horizontal="center" vertical="center" wrapText="1" readingOrder="2"/>
    </xf>
    <xf numFmtId="0" fontId="13" fillId="2" borderId="7" xfId="0" applyFont="1" applyFill="1" applyBorder="1" applyAlignment="1">
      <alignment horizontal="center" vertical="center" wrapText="1" readingOrder="2"/>
    </xf>
    <xf numFmtId="165" fontId="14" fillId="0" borderId="3" xfId="0" applyNumberFormat="1" applyFont="1" applyBorder="1" applyAlignment="1">
      <alignment horizontal="center" vertical="center" wrapText="1"/>
    </xf>
    <xf numFmtId="49" fontId="13" fillId="2" borderId="9" xfId="0" applyNumberFormat="1" applyFont="1" applyFill="1" applyBorder="1" applyAlignment="1">
      <alignment horizontal="center" vertical="center" wrapText="1" readingOrder="2"/>
    </xf>
    <xf numFmtId="165" fontId="13" fillId="12" borderId="6" xfId="0" applyNumberFormat="1" applyFont="1" applyFill="1" applyBorder="1" applyAlignment="1">
      <alignment horizontal="center" vertical="center" wrapText="1" readingOrder="2"/>
    </xf>
    <xf numFmtId="165" fontId="13" fillId="12" borderId="13" xfId="0" applyNumberFormat="1" applyFont="1" applyFill="1" applyBorder="1" applyAlignment="1">
      <alignment horizontal="center" vertical="center" wrapText="1" readingOrder="2"/>
    </xf>
    <xf numFmtId="165" fontId="4" fillId="12" borderId="6" xfId="0" applyNumberFormat="1" applyFont="1" applyFill="1" applyBorder="1" applyAlignment="1">
      <alignment horizontal="right" vertical="center" wrapText="1" readingOrder="2"/>
    </xf>
    <xf numFmtId="165" fontId="4" fillId="12" borderId="13" xfId="0" applyNumberFormat="1" applyFont="1" applyFill="1" applyBorder="1" applyAlignment="1">
      <alignment horizontal="right" vertical="center" wrapText="1" readingOrder="2"/>
    </xf>
    <xf numFmtId="165" fontId="5" fillId="12" borderId="6" xfId="0" applyNumberFormat="1" applyFont="1" applyFill="1" applyBorder="1" applyAlignment="1">
      <alignment horizontal="right" vertical="center" wrapText="1" readingOrder="2"/>
    </xf>
    <xf numFmtId="165" fontId="5" fillId="12" borderId="13" xfId="0" applyNumberFormat="1" applyFont="1" applyFill="1" applyBorder="1" applyAlignment="1">
      <alignment horizontal="right" vertical="center" wrapText="1" readingOrder="2"/>
    </xf>
    <xf numFmtId="165" fontId="7" fillId="2" borderId="0" xfId="0" applyNumberFormat="1" applyFont="1" applyFill="1" applyAlignment="1">
      <alignment horizontal="center" vertical="center" wrapText="1" readingOrder="2"/>
    </xf>
    <xf numFmtId="165" fontId="5" fillId="2" borderId="2" xfId="0" applyNumberFormat="1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 readingOrder="2"/>
    </xf>
    <xf numFmtId="165" fontId="5" fillId="12" borderId="7" xfId="0" applyNumberFormat="1" applyFont="1" applyFill="1" applyBorder="1" applyAlignment="1">
      <alignment horizontal="right" vertical="center" wrapText="1" readingOrder="2"/>
    </xf>
    <xf numFmtId="165" fontId="5" fillId="12" borderId="11" xfId="0" applyNumberFormat="1" applyFont="1" applyFill="1" applyBorder="1" applyAlignment="1">
      <alignment horizontal="right" vertical="center" wrapText="1" readingOrder="2"/>
    </xf>
    <xf numFmtId="165" fontId="5" fillId="2" borderId="4" xfId="0" applyNumberFormat="1" applyFont="1" applyFill="1" applyBorder="1" applyAlignment="1">
      <alignment horizontal="center" vertical="center" wrapText="1" readingOrder="2"/>
    </xf>
    <xf numFmtId="165" fontId="5" fillId="0" borderId="5" xfId="0" applyNumberFormat="1" applyFont="1" applyBorder="1" applyAlignment="1">
      <alignment horizontal="center" vertical="center" wrapText="1"/>
    </xf>
    <xf numFmtId="165" fontId="7" fillId="2" borderId="0" xfId="0" applyNumberFormat="1" applyFont="1" applyFill="1" applyAlignment="1">
      <alignment vertical="center" wrapText="1" readingOrder="2"/>
    </xf>
    <xf numFmtId="165" fontId="5" fillId="2" borderId="0" xfId="0" applyNumberFormat="1" applyFont="1" applyFill="1" applyAlignment="1">
      <alignment readingOrder="2"/>
    </xf>
    <xf numFmtId="165" fontId="5" fillId="2" borderId="0" xfId="0" applyNumberFormat="1" applyFont="1" applyFill="1"/>
    <xf numFmtId="165" fontId="13" fillId="12" borderId="8" xfId="0" applyNumberFormat="1" applyFont="1" applyFill="1" applyBorder="1" applyAlignment="1">
      <alignment horizontal="center" vertical="center" wrapText="1" readingOrder="2"/>
    </xf>
    <xf numFmtId="165" fontId="4" fillId="12" borderId="8" xfId="0" applyNumberFormat="1" applyFont="1" applyFill="1" applyBorder="1" applyAlignment="1">
      <alignment horizontal="right" vertical="center" wrapText="1" readingOrder="2"/>
    </xf>
    <xf numFmtId="165" fontId="5" fillId="12" borderId="8" xfId="0" applyNumberFormat="1" applyFont="1" applyFill="1" applyBorder="1" applyAlignment="1">
      <alignment horizontal="right" vertical="center" wrapText="1" readingOrder="2"/>
    </xf>
    <xf numFmtId="165" fontId="5" fillId="12" borderId="9" xfId="0" applyNumberFormat="1" applyFont="1" applyFill="1" applyBorder="1" applyAlignment="1">
      <alignment horizontal="right" vertical="center" wrapText="1" readingOrder="2"/>
    </xf>
    <xf numFmtId="165" fontId="5" fillId="0" borderId="2" xfId="0" applyNumberFormat="1" applyFont="1" applyBorder="1" applyAlignment="1">
      <alignment horizontal="center" vertical="center" wrapText="1" readingOrder="2"/>
    </xf>
    <xf numFmtId="165" fontId="0" fillId="0" borderId="0" xfId="0" applyNumberFormat="1"/>
    <xf numFmtId="165" fontId="13" fillId="16" borderId="3" xfId="0" applyNumberFormat="1" applyFont="1" applyFill="1" applyBorder="1" applyAlignment="1">
      <alignment horizontal="center" vertical="center" wrapText="1" readingOrder="2"/>
    </xf>
    <xf numFmtId="165" fontId="13" fillId="2" borderId="3" xfId="0" applyNumberFormat="1" applyFont="1" applyFill="1" applyBorder="1" applyAlignment="1">
      <alignment horizontal="center" vertical="center" wrapText="1" readingOrder="2"/>
    </xf>
    <xf numFmtId="165" fontId="5" fillId="2" borderId="2" xfId="0" applyNumberFormat="1" applyFont="1" applyFill="1" applyBorder="1" applyAlignment="1">
      <alignment horizontal="center" vertical="center" wrapText="1" readingOrder="2"/>
    </xf>
    <xf numFmtId="165" fontId="5" fillId="2" borderId="0" xfId="0" applyNumberFormat="1" applyFont="1" applyFill="1" applyAlignment="1">
      <alignment horizontal="center"/>
    </xf>
    <xf numFmtId="165" fontId="5" fillId="2" borderId="3" xfId="0" applyNumberFormat="1" applyFont="1" applyFill="1" applyBorder="1" applyAlignment="1">
      <alignment horizontal="center" vertical="center" wrapText="1" readingOrder="2"/>
    </xf>
    <xf numFmtId="10" fontId="7" fillId="0" borderId="3" xfId="1" applyNumberFormat="1" applyFont="1" applyBorder="1" applyAlignment="1">
      <alignment horizontal="center" vertical="center" wrapText="1"/>
    </xf>
    <xf numFmtId="165" fontId="13" fillId="2" borderId="10" xfId="0" applyNumberFormat="1" applyFont="1" applyFill="1" applyBorder="1" applyAlignment="1">
      <alignment horizontal="center" vertical="center" wrapText="1" readingOrder="2"/>
    </xf>
    <xf numFmtId="165" fontId="7" fillId="0" borderId="3" xfId="1" applyNumberFormat="1" applyFont="1" applyBorder="1" applyAlignment="1">
      <alignment horizontal="center" vertical="center" wrapText="1"/>
    </xf>
    <xf numFmtId="165" fontId="7" fillId="2" borderId="3" xfId="1" applyNumberFormat="1" applyFont="1" applyFill="1" applyBorder="1" applyAlignment="1">
      <alignment horizontal="center" vertical="center" wrapText="1" readingOrder="2"/>
    </xf>
    <xf numFmtId="165" fontId="7" fillId="2" borderId="3" xfId="1" applyNumberFormat="1" applyFont="1" applyFill="1" applyBorder="1" applyAlignment="1">
      <alignment horizontal="center" vertical="center" wrapText="1"/>
    </xf>
    <xf numFmtId="165" fontId="7" fillId="2" borderId="10" xfId="0" applyNumberFormat="1" applyFont="1" applyFill="1" applyBorder="1" applyAlignment="1">
      <alignment horizontal="center" vertical="center" wrapText="1"/>
    </xf>
    <xf numFmtId="165" fontId="13" fillId="16" borderId="5" xfId="0" applyNumberFormat="1" applyFont="1" applyFill="1" applyBorder="1" applyAlignment="1">
      <alignment horizontal="center" vertical="center" wrapText="1" readingOrder="2"/>
    </xf>
    <xf numFmtId="165" fontId="13" fillId="0" borderId="3" xfId="0" applyNumberFormat="1" applyFont="1" applyBorder="1" applyAlignment="1">
      <alignment horizontal="center" vertical="center" wrapText="1" readingOrder="2"/>
    </xf>
    <xf numFmtId="165" fontId="13" fillId="16" borderId="2" xfId="0" applyNumberFormat="1" applyFont="1" applyFill="1" applyBorder="1" applyAlignment="1">
      <alignment horizontal="center" vertical="center" wrapText="1" readingOrder="2"/>
    </xf>
    <xf numFmtId="165" fontId="5" fillId="0" borderId="3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right" vertical="center" wrapText="1" readingOrder="2"/>
    </xf>
    <xf numFmtId="165" fontId="7" fillId="4" borderId="0" xfId="0" applyNumberFormat="1" applyFont="1" applyFill="1" applyAlignment="1">
      <alignment horizontal="right" vertical="center" wrapText="1" readingOrder="2"/>
    </xf>
    <xf numFmtId="165" fontId="7" fillId="4" borderId="0" xfId="0" applyNumberFormat="1" applyFont="1" applyFill="1" applyAlignment="1">
      <alignment horizontal="center" vertical="center" wrapText="1" readingOrder="2"/>
    </xf>
    <xf numFmtId="165" fontId="7" fillId="14" borderId="0" xfId="0" applyNumberFormat="1" applyFont="1" applyFill="1" applyAlignment="1">
      <alignment horizontal="right" vertical="center" wrapText="1" readingOrder="2"/>
    </xf>
    <xf numFmtId="165" fontId="7" fillId="14" borderId="0" xfId="0" applyNumberFormat="1" applyFont="1" applyFill="1" applyAlignment="1">
      <alignment horizontal="center" vertical="center" wrapText="1" readingOrder="2"/>
    </xf>
    <xf numFmtId="165" fontId="7" fillId="13" borderId="0" xfId="0" applyNumberFormat="1" applyFont="1" applyFill="1" applyAlignment="1">
      <alignment horizontal="right" vertical="center" wrapText="1" readingOrder="2"/>
    </xf>
    <xf numFmtId="165" fontId="7" fillId="13" borderId="0" xfId="0" applyNumberFormat="1" applyFont="1" applyFill="1" applyAlignment="1">
      <alignment horizontal="center" vertical="center" wrapText="1" readingOrder="2"/>
    </xf>
    <xf numFmtId="0" fontId="10" fillId="4" borderId="0" xfId="0" applyFont="1" applyFill="1" applyAlignment="1">
      <alignment horizontal="center"/>
    </xf>
    <xf numFmtId="165" fontId="7" fillId="2" borderId="0" xfId="0" applyNumberFormat="1" applyFont="1" applyFill="1" applyAlignment="1">
      <alignment horizontal="center"/>
    </xf>
    <xf numFmtId="0" fontId="6" fillId="4" borderId="0" xfId="0" applyFont="1" applyFill="1" applyAlignment="1">
      <alignment horizontal="center"/>
    </xf>
    <xf numFmtId="165" fontId="6" fillId="2" borderId="0" xfId="0" applyNumberFormat="1" applyFont="1" applyFill="1" applyAlignment="1">
      <alignment horizontal="center"/>
    </xf>
    <xf numFmtId="165" fontId="6" fillId="4" borderId="0" xfId="0" applyNumberFormat="1" applyFont="1" applyFill="1" applyAlignment="1">
      <alignment horizontal="center"/>
    </xf>
    <xf numFmtId="0" fontId="5" fillId="7" borderId="0" xfId="0" applyFont="1" applyFill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165" fontId="6" fillId="14" borderId="0" xfId="0" applyNumberFormat="1" applyFont="1" applyFill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165" fontId="6" fillId="13" borderId="0" xfId="0" applyNumberFormat="1" applyFont="1" applyFill="1" applyAlignment="1">
      <alignment horizontal="center" vertical="center"/>
    </xf>
    <xf numFmtId="0" fontId="5" fillId="0" borderId="2" xfId="0" applyFont="1" applyBorder="1" applyAlignment="1">
      <alignment horizontal="right" vertical="center" wrapText="1" readingOrder="2"/>
    </xf>
    <xf numFmtId="49" fontId="5" fillId="0" borderId="3" xfId="0" applyNumberFormat="1" applyFont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 readingOrder="2"/>
    </xf>
    <xf numFmtId="49" fontId="5" fillId="0" borderId="2" xfId="0" applyNumberFormat="1" applyFont="1" applyBorder="1" applyAlignment="1">
      <alignment horizontal="center" vertical="center" wrapText="1" readingOrder="2"/>
    </xf>
    <xf numFmtId="49" fontId="5" fillId="0" borderId="2" xfId="1" applyNumberFormat="1" applyFont="1" applyFill="1" applyBorder="1" applyAlignment="1">
      <alignment horizontal="center" vertical="center" wrapText="1" readingOrder="2"/>
    </xf>
    <xf numFmtId="10" fontId="5" fillId="0" borderId="2" xfId="1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 readingOrder="1"/>
    </xf>
    <xf numFmtId="165" fontId="7" fillId="0" borderId="2" xfId="0" applyNumberFormat="1" applyFont="1" applyBorder="1" applyAlignment="1">
      <alignment horizontal="center" vertical="center" wrapText="1" readingOrder="2"/>
    </xf>
    <xf numFmtId="165" fontId="7" fillId="0" borderId="2" xfId="0" applyNumberFormat="1" applyFont="1" applyBorder="1" applyAlignment="1">
      <alignment horizontal="center" vertical="center" wrapText="1"/>
    </xf>
    <xf numFmtId="165" fontId="7" fillId="0" borderId="2" xfId="1" applyNumberFormat="1" applyFont="1" applyFill="1" applyBorder="1" applyAlignment="1">
      <alignment horizontal="center" vertical="center" wrapText="1" readingOrder="2"/>
    </xf>
    <xf numFmtId="165" fontId="7" fillId="0" borderId="2" xfId="1" applyNumberFormat="1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right" vertical="center" wrapText="1" readingOrder="2"/>
    </xf>
    <xf numFmtId="0" fontId="7" fillId="0" borderId="2" xfId="0" applyFont="1" applyBorder="1" applyAlignment="1">
      <alignment horizontal="right" vertical="center" wrapText="1" readingOrder="2"/>
    </xf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11" borderId="0" xfId="0" applyFont="1" applyFill="1"/>
    <xf numFmtId="0" fontId="18" fillId="14" borderId="0" xfId="0" applyFont="1" applyFill="1" applyAlignment="1">
      <alignment vertical="center" wrapText="1"/>
    </xf>
    <xf numFmtId="0" fontId="18" fillId="14" borderId="0" xfId="0" applyFont="1" applyFill="1" applyAlignment="1">
      <alignment horizontal="center" vertical="center"/>
    </xf>
    <xf numFmtId="0" fontId="18" fillId="13" borderId="0" xfId="0" applyFont="1" applyFill="1" applyAlignment="1">
      <alignment vertical="center" wrapText="1"/>
    </xf>
    <xf numFmtId="0" fontId="18" fillId="1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5" fillId="3" borderId="0" xfId="0" applyFont="1" applyFill="1"/>
    <xf numFmtId="165" fontId="5" fillId="0" borderId="0" xfId="0" applyNumberFormat="1" applyFont="1"/>
    <xf numFmtId="0" fontId="5" fillId="13" borderId="0" xfId="0" applyFont="1" applyFill="1"/>
    <xf numFmtId="0" fontId="7" fillId="6" borderId="0" xfId="0" applyFont="1" applyFill="1" applyAlignment="1">
      <alignment horizontal="center" vertical="center" wrapText="1"/>
    </xf>
    <xf numFmtId="0" fontId="5" fillId="6" borderId="0" xfId="0" applyFont="1" applyFill="1"/>
    <xf numFmtId="0" fontId="7" fillId="8" borderId="0" xfId="0" applyFont="1" applyFill="1" applyAlignment="1">
      <alignment horizontal="center" vertical="center" wrapText="1"/>
    </xf>
    <xf numFmtId="0" fontId="5" fillId="8" borderId="0" xfId="0" applyFont="1" applyFill="1"/>
    <xf numFmtId="0" fontId="7" fillId="9" borderId="0" xfId="0" applyFont="1" applyFill="1" applyAlignment="1">
      <alignment horizontal="center" vertical="center" wrapText="1"/>
    </xf>
    <xf numFmtId="0" fontId="5" fillId="9" borderId="0" xfId="0" applyFont="1" applyFill="1"/>
    <xf numFmtId="9" fontId="5" fillId="9" borderId="0" xfId="0" applyNumberFormat="1" applyFont="1" applyFill="1"/>
    <xf numFmtId="0" fontId="7" fillId="15" borderId="0" xfId="0" applyFont="1" applyFill="1" applyAlignment="1">
      <alignment horizontal="center" vertical="center" wrapText="1"/>
    </xf>
    <xf numFmtId="0" fontId="5" fillId="15" borderId="0" xfId="0" applyFont="1" applyFill="1" applyAlignment="1">
      <alignment horizontal="center" vertical="center" wrapText="1"/>
    </xf>
    <xf numFmtId="0" fontId="13" fillId="13" borderId="0" xfId="0" applyFont="1" applyFill="1" applyAlignment="1">
      <alignment horizontal="center" vertical="center" wrapText="1" readingOrder="2"/>
    </xf>
    <xf numFmtId="0" fontId="5" fillId="2" borderId="0" xfId="0" applyFont="1" applyFill="1" applyAlignment="1">
      <alignment readingOrder="2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right" vertical="center" readingOrder="2"/>
    </xf>
    <xf numFmtId="0" fontId="5" fillId="2" borderId="0" xfId="0" applyFont="1" applyFill="1" applyAlignment="1">
      <alignment horizontal="right"/>
    </xf>
    <xf numFmtId="0" fontId="5" fillId="2" borderId="0" xfId="0" applyFont="1" applyFill="1" applyAlignment="1">
      <alignment vertical="center" readingOrder="2"/>
    </xf>
    <xf numFmtId="0" fontId="20" fillId="0" borderId="0" xfId="2" applyFont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5" fillId="11" borderId="0" xfId="0" applyFont="1" applyFill="1" applyAlignment="1">
      <alignment readingOrder="2"/>
    </xf>
    <xf numFmtId="0" fontId="5" fillId="11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right"/>
    </xf>
    <xf numFmtId="0" fontId="5" fillId="2" borderId="10" xfId="0" applyFont="1" applyFill="1" applyBorder="1" applyAlignment="1">
      <alignment horizontal="center" vertical="center" wrapText="1" readingOrder="2"/>
    </xf>
    <xf numFmtId="0" fontId="7" fillId="2" borderId="12" xfId="0" applyFont="1" applyFill="1" applyBorder="1" applyAlignment="1">
      <alignment horizontal="right" vertical="center" wrapText="1" readingOrder="2"/>
    </xf>
    <xf numFmtId="10" fontId="5" fillId="17" borderId="3" xfId="0" applyNumberFormat="1" applyFont="1" applyFill="1" applyBorder="1" applyAlignment="1">
      <alignment horizontal="center" vertical="center" wrapText="1"/>
    </xf>
    <xf numFmtId="0" fontId="5" fillId="17" borderId="3" xfId="0" applyFont="1" applyFill="1" applyBorder="1" applyAlignment="1">
      <alignment horizontal="center" vertical="center" wrapText="1"/>
    </xf>
    <xf numFmtId="10" fontId="5" fillId="17" borderId="2" xfId="0" applyNumberFormat="1" applyFont="1" applyFill="1" applyBorder="1" applyAlignment="1">
      <alignment horizontal="center" vertical="center" wrapText="1" readingOrder="2"/>
    </xf>
    <xf numFmtId="0" fontId="5" fillId="17" borderId="2" xfId="0" applyFont="1" applyFill="1" applyBorder="1" applyAlignment="1">
      <alignment horizontal="center" vertical="center" wrapText="1"/>
    </xf>
    <xf numFmtId="10" fontId="5" fillId="17" borderId="2" xfId="0" applyNumberFormat="1" applyFont="1" applyFill="1" applyBorder="1" applyAlignment="1">
      <alignment horizontal="center" vertical="center" wrapText="1"/>
    </xf>
    <xf numFmtId="0" fontId="17" fillId="14" borderId="0" xfId="0" applyFont="1" applyFill="1" applyAlignment="1">
      <alignment horizontal="center" vertical="center" wrapText="1"/>
    </xf>
    <xf numFmtId="0" fontId="19" fillId="13" borderId="0" xfId="0" applyFont="1" applyFill="1" applyAlignment="1">
      <alignment horizontal="center" vertical="center" wrapText="1"/>
    </xf>
    <xf numFmtId="0" fontId="16" fillId="4" borderId="0" xfId="0" applyFont="1" applyFill="1" applyAlignment="1">
      <alignment horizontal="center" vertical="center" wrapText="1"/>
    </xf>
  </cellXfs>
  <cellStyles count="5">
    <cellStyle name="Comma 2" xfId="3" xr:uid="{798A546B-9DF4-49D8-A5C6-543A90EC0982}"/>
    <cellStyle name="Comma 3" xfId="4" xr:uid="{91ACC48A-0824-4EE2-A7AD-8C40F260338E}"/>
    <cellStyle name="Normal" xfId="0" builtinId="0"/>
    <cellStyle name="Percent" xfId="1" builtinId="5"/>
    <cellStyle name="היפר-קישור" xfId="2" builtinId="8"/>
  </cellStyles>
  <dxfs count="2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/>
        <top/>
        <bottom/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/>
        <top/>
        <bottom/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305598"/>
      <color rgb="FF304A1E"/>
      <color rgb="FF0E4494"/>
      <color rgb="FFAD5B9D"/>
      <color rgb="FF5E2696"/>
      <color rgb="FFFFEBFF"/>
      <color rgb="FFFF99FF"/>
      <color rgb="FFFFF4D1"/>
      <color rgb="FF27457B"/>
      <color rgb="FF1A32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420959</xdr:colOff>
      <xdr:row>0</xdr:row>
      <xdr:rowOff>0</xdr:rowOff>
    </xdr:from>
    <xdr:ext cx="2679246" cy="806366"/>
    <xdr:pic>
      <xdr:nvPicPr>
        <xdr:cNvPr id="3" name="תמונה 2">
          <a:extLst>
            <a:ext uri="{FF2B5EF4-FFF2-40B4-BE49-F238E27FC236}">
              <a16:creationId xmlns:a16="http://schemas.microsoft.com/office/drawing/2014/main" id="{82BEA0B1-C7C8-4166-9281-90DAC60C1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10503701" y="0"/>
          <a:ext cx="2679246" cy="806366"/>
        </a:xfrm>
        <a:prstGeom prst="rect">
          <a:avLst/>
        </a:prstGeom>
        <a:solidFill>
          <a:schemeClr val="bg1"/>
        </a:solidFill>
      </xdr:spPr>
    </xdr:pic>
    <xdr:clientData/>
  </xdr:oneCellAnchor>
  <xdr:twoCellAnchor editAs="oneCell">
    <xdr:from>
      <xdr:col>9</xdr:col>
      <xdr:colOff>148828</xdr:colOff>
      <xdr:row>0</xdr:row>
      <xdr:rowOff>0</xdr:rowOff>
    </xdr:from>
    <xdr:to>
      <xdr:col>9</xdr:col>
      <xdr:colOff>482203</xdr:colOff>
      <xdr:row>0</xdr:row>
      <xdr:rowOff>333375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141AEC-AE6B-669A-CEF6-0938951FF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9996312" y="0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847933</xdr:colOff>
      <xdr:row>0</xdr:row>
      <xdr:rowOff>41131</xdr:rowOff>
    </xdr:from>
    <xdr:ext cx="3190299" cy="960176"/>
    <xdr:pic>
      <xdr:nvPicPr>
        <xdr:cNvPr id="6" name="תמונה 5">
          <a:extLst>
            <a:ext uri="{FF2B5EF4-FFF2-40B4-BE49-F238E27FC236}">
              <a16:creationId xmlns:a16="http://schemas.microsoft.com/office/drawing/2014/main" id="{574292A0-8C61-44BD-980B-9106D5EC7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56198161" y="41131"/>
          <a:ext cx="3190299" cy="960176"/>
        </a:xfrm>
        <a:prstGeom prst="rect">
          <a:avLst/>
        </a:prstGeom>
        <a:solidFill>
          <a:schemeClr val="bg1"/>
        </a:solidFill>
      </xdr:spPr>
    </xdr:pic>
    <xdr:clientData/>
  </xdr:oneCellAnchor>
  <xdr:oneCellAnchor>
    <xdr:from>
      <xdr:col>11</xdr:col>
      <xdr:colOff>827113</xdr:colOff>
      <xdr:row>0</xdr:row>
      <xdr:rowOff>41132</xdr:rowOff>
    </xdr:from>
    <xdr:ext cx="3190299" cy="960176"/>
    <xdr:pic>
      <xdr:nvPicPr>
        <xdr:cNvPr id="7" name="תמונה 6">
          <a:extLst>
            <a:ext uri="{FF2B5EF4-FFF2-40B4-BE49-F238E27FC236}">
              <a16:creationId xmlns:a16="http://schemas.microsoft.com/office/drawing/2014/main" id="{D807D121-A0C5-47AB-98C3-5F2B00404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47047916" y="41132"/>
          <a:ext cx="3190299" cy="960176"/>
        </a:xfrm>
        <a:prstGeom prst="rect">
          <a:avLst/>
        </a:prstGeom>
        <a:solidFill>
          <a:schemeClr val="bg1"/>
        </a:solidFill>
      </xdr:spPr>
    </xdr:pic>
    <xdr:clientData/>
  </xdr:oneCellAnchor>
  <xdr:twoCellAnchor editAs="oneCell">
    <xdr:from>
      <xdr:col>11</xdr:col>
      <xdr:colOff>69273</xdr:colOff>
      <xdr:row>0</xdr:row>
      <xdr:rowOff>259772</xdr:rowOff>
    </xdr:from>
    <xdr:to>
      <xdr:col>11</xdr:col>
      <xdr:colOff>402648</xdr:colOff>
      <xdr:row>0</xdr:row>
      <xdr:rowOff>593147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7D90BBD-61AA-AFF2-BE47-CD0F693E4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4807534" y="259772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16F771-2073-4A6F-BBFA-C76A34C6C564}" name="TitleRegion1.b3.i15.1" displayName="TitleRegion1.b3.i15.1" ref="B3:I15" totalsRowShown="0" headerRowDxfId="98" tableBorderDxfId="97">
  <autoFilter ref="B3:I15" xr:uid="{5C16F771-2073-4A6F-BBFA-C76A34C6C56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D54397F6-80ED-4FC8-8F89-3211A9CE8892}" name="אפיק השקעה " dataDxfId="96"/>
    <tableColumn id="2" xr3:uid="{5F93F728-62F9-4243-B91F-182753FE886A}" name="ריק במקור" dataDxfId="95"/>
    <tableColumn id="3" xr3:uid="{5CE614C4-50B7-441C-A976-B0C5ABADC57E}" name="ריק במקור2" dataDxfId="94"/>
    <tableColumn id="4" xr3:uid="{EAC2C739-1207-4549-BF21-F384B1B01F43}" name="שיעור החשיפה ליום 31/12/2025"/>
    <tableColumn id="5" xr3:uid="{21606203-CC03-4A75-892D-A7192A2A540E}" name="שיעור חשיפה צפוי לשנת 2026"/>
    <tableColumn id="6" xr3:uid="{421BD716-CE3F-431A-9A21-82777CC76660}" name="טווח סטיה מותר" dataDxfId="93"/>
    <tableColumn id="7" xr3:uid="{DBCFF2B9-D1DD-4CAA-AB18-8DFACB24231A}" name="גבולות שיעור החשיפה הצפויה"/>
    <tableColumn id="8" xr3:uid="{D8E7EE3A-D4DA-4B25-9B25-2A8F9484A26F}" name="מדד ייחוס*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FF0AA4-1D33-44CC-A957-50B80147DB7C}" name="TitleRegion1.b18.i30.2" displayName="TitleRegion1.b18.i30.2" ref="B18:I30" totalsRowShown="0" headerRowDxfId="92" tableBorderDxfId="91">
  <autoFilter ref="B18:I30" xr:uid="{AFFF0AA4-1D33-44CC-A957-50B80147DB7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E89318F5-BC1F-4992-AF7A-FF3F7209673D}" name="אפיק השקעה "/>
    <tableColumn id="2" xr3:uid="{A90ADC63-42F3-488F-BB3F-F56D0B6526C4}" name="ריק במקור" dataDxfId="90"/>
    <tableColumn id="3" xr3:uid="{40B92AC1-F96C-4F2D-8D95-D95C0AC3E0A8}" name="ריק במקור2" dataDxfId="89"/>
    <tableColumn id="4" xr3:uid="{CB0E9D53-4826-4DCC-A7A0-DB01EE13E1AE}" name="שיעור החשיפה ליום 31/12/2025"/>
    <tableColumn id="5" xr3:uid="{826A81C6-4EFC-4003-A447-E4AD62CA9F58}" name="שיעור חשיפה צפוי לשנת 2026"/>
    <tableColumn id="6" xr3:uid="{A154F4FB-706B-4DE9-839C-1DA3B1FF4309}" name="טווח סטיה מותר" dataDxfId="88"/>
    <tableColumn id="7" xr3:uid="{3190CACD-F4CC-4016-9B2D-C5B177D6E4CD}" name="גבולות שיעור החשיפה הצפויה"/>
    <tableColumn id="8" xr3:uid="{2ABB35F3-2E98-475D-A5FD-D725BE32B72C}" name="מדד ייחוס*"/>
  </tableColumns>
  <tableStyleInfo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0DD0692-05F9-4BD5-ACC9-EF75D073E6C2}" name="TitleRegion1.b33.i45.3" displayName="TitleRegion1.b33.i45.3" ref="B33:I45" totalsRowShown="0" tableBorderDxfId="87">
  <autoFilter ref="B33:I45" xr:uid="{10DD0692-05F9-4BD5-ACC9-EF75D073E6C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5AF85455-83A0-496A-8498-C42163B87788}" name="אפיק השקעה " dataDxfId="86"/>
    <tableColumn id="2" xr3:uid="{3E5A16EF-992C-41EA-ABBA-CF2C6C70907C}" name="ריק במקור" dataDxfId="85"/>
    <tableColumn id="3" xr3:uid="{753C3746-E961-47B4-AD6A-C6233AC36808}" name="ריק במקור2" dataDxfId="84"/>
    <tableColumn id="4" xr3:uid="{EDD043E4-7614-4D11-A236-03E9DC0EB33B}" name="שיעור החשיפה ליום 31/12/2025"/>
    <tableColumn id="5" xr3:uid="{E085D5BB-BFC5-4E37-ABC5-3CCF65950E33}" name="שיעור חשיפה צפוי לשנת 2026"/>
    <tableColumn id="6" xr3:uid="{6DD822B0-7058-476F-B907-C47AE13F5B6B}" name="טווח סטיה מותר"/>
    <tableColumn id="7" xr3:uid="{DF0761AF-708D-4CD5-9C8C-5EBF3C3456CB}" name="גבולות שיעור החשיפה הצפויה"/>
    <tableColumn id="8" xr3:uid="{8DB45DB5-37F0-4F7E-A67A-A36D7D89D6AC}" name="מדד ייחוס*"/>
  </tableColumns>
  <tableStyleInfo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C3B294F-F2D4-4C12-BE50-F66DCF6F20D6}" name="TitleRegion1.b48.i60.4" displayName="TitleRegion1.b48.i60.4" ref="B48:I60" totalsRowShown="0" headerRowDxfId="83" tableBorderDxfId="82">
  <autoFilter ref="B48:I60" xr:uid="{AC3B294F-F2D4-4C12-BE50-F66DCF6F20D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64054421-F315-457B-A006-C71C618155EA}" name="אפיק השקעה " dataDxfId="81"/>
    <tableColumn id="2" xr3:uid="{07198521-FA03-4F2A-A57D-8E34C5DC283B}" name="ריק במקור" dataDxfId="80"/>
    <tableColumn id="3" xr3:uid="{C451B7C4-B350-4BAE-AE81-62AC58DE3E07}" name="ריק במקור2" dataDxfId="79"/>
    <tableColumn id="4" xr3:uid="{7020A624-9727-47BB-8507-EE3419F8AB07}" name="שיעור החשיפה ליום 31/12/2025"/>
    <tableColumn id="5" xr3:uid="{F3CAD971-E97A-4919-A480-59FEA9512421}" name="שיעור חשיפה צפוי לשנת 2026"/>
    <tableColumn id="6" xr3:uid="{CA34A1A5-DFE2-408B-96E8-3005E1082228}" name="טווח סטיה מותר" dataDxfId="78"/>
    <tableColumn id="7" xr3:uid="{05981A6A-0F00-40A4-AD40-929652059177}" name="גבולות שיעור החשיפה הצפויה"/>
    <tableColumn id="8" xr3:uid="{E9FB3386-AB43-494F-89CF-CC07A902281C}" name="מדד ייחוס*"/>
  </tableColumns>
  <tableStyleInfo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D71DF93-A46D-48EE-A67B-25120932DFD2}" name="TitleRegion1.b63.i75.5" displayName="TitleRegion1.b63.i75.5" ref="B63:I75" totalsRowShown="0" headerRowDxfId="77" tableBorderDxfId="76">
  <autoFilter ref="B63:I75" xr:uid="{4D71DF93-A46D-48EE-A67B-25120932DFD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6E35421F-8BF3-458B-8EE6-3DE3DE0942AA}" name="אפיק השקעה " dataDxfId="75"/>
    <tableColumn id="2" xr3:uid="{DB0C2747-799A-45F8-939E-2BC3EF6AE04D}" name="ריק במקור" dataDxfId="74"/>
    <tableColumn id="3" xr3:uid="{B8BD9466-DC2D-4D0A-9BFA-41B1832ADABC}" name="ריק במקור2" dataDxfId="73"/>
    <tableColumn id="4" xr3:uid="{48440601-FD49-4D41-8F92-76B0C26F1682}" name="שיעור החשיפה ליום 31/12/2025" dataDxfId="72"/>
    <tableColumn id="5" xr3:uid="{25CAFBE6-18DA-491B-AFF7-833D598C4462}" name="שיעור חשיפה צפוי לשנת 2026" dataDxfId="71"/>
    <tableColumn id="6" xr3:uid="{83E48265-4DB8-4A78-9C9D-8C8415A10535}" name="טווח סטיה מותר" dataDxfId="70"/>
    <tableColumn id="7" xr3:uid="{0AA907A0-5B3D-494F-AD5A-E04B9709A377}" name="גבולות שיעור החשיפה הצפויה"/>
    <tableColumn id="8" xr3:uid="{73E3168C-0C3E-4658-BB59-BB403892B589}" name="מדד ייחוס*"/>
  </tableColumns>
  <tableStyleInfo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683588B-8485-4B7F-A4A6-0BC673A77083}" name="TitleRegion1.b80.i92.6" displayName="TitleRegion1.b80.i92.6" ref="B80:I92" totalsRowShown="0" headerRowDxfId="69" headerRowBorderDxfId="68" tableBorderDxfId="67">
  <autoFilter ref="B80:I92" xr:uid="{C683588B-8485-4B7F-A4A6-0BC673A7708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FB2FAAA2-6867-4E6B-802A-B80949F49D8B}" name="אפיק השקעה " dataDxfId="66"/>
    <tableColumn id="2" xr3:uid="{8FBC64DC-5D32-424D-935C-9BB1C2DA329D}" name="תגמולים שיעור החשיפה ליום 31/12/2025 "/>
    <tableColumn id="3" xr3:uid="{F201B2D9-F1FD-4779-AF06-4E2575422BC3}" name="השתלמות שיעור החשיפה ליום 31/12/2025"/>
    <tableColumn id="4" xr3:uid="{874E8DE5-B128-4D29-954B-B1A12D61397A}" name=" השקעה שיעור החשיפה ליום 31/12/2025"/>
    <tableColumn id="5" xr3:uid="{D4ECF3AD-5D58-4B64-BA43-EF44E83918C1}" name="שיעור חשיפה צפוי לשנת 2026"/>
    <tableColumn id="6" xr3:uid="{84617ECE-11C6-407F-BA92-3ACDE320C233}" name="טווח סטיה מותר" dataDxfId="65"/>
    <tableColumn id="7" xr3:uid="{8907FBEF-89B1-40D0-AE62-AED292358E72}" name="גבולות שיעור החשיפה הצפויה"/>
    <tableColumn id="8" xr3:uid="{AA326386-CCF8-458F-891E-B44698406F9A}" name="מדד ייחוס*"/>
  </tableColumns>
  <tableStyleInfo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BF17B53-1416-4CC4-BA62-D0F26FF040DA}" name="TitleRegion1.b97.i109.7" displayName="TitleRegion1.b97.i109.7" ref="B97:I109" totalsRowShown="0" headerRowDxfId="64" headerRowBorderDxfId="63" tableBorderDxfId="62">
  <autoFilter ref="B97:I109" xr:uid="{4BF17B53-1416-4CC4-BA62-D0F26FF040D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228C750-86C4-4D19-A415-A91B1920E7F0}" name="אפיק השקעה " dataDxfId="61"/>
    <tableColumn id="2" xr3:uid="{281E72F2-327C-4A34-A796-0040595C0DD9}" name="תגמולים שיעור החשיפה ליום 31/12/2025 "/>
    <tableColumn id="3" xr3:uid="{ABBAA810-4706-4AB0-8A86-576669CD19F3}" name="השתלמות שיעור החשיפה ליום 31/12/2025"/>
    <tableColumn id="4" xr3:uid="{31DBE832-A9D1-4DE1-B2F8-9AF193A8DAA0}" name=" השקעה שיעור החשיפה ליום 31/12/2025"/>
    <tableColumn id="5" xr3:uid="{E2F8D4E0-CAAC-48E8-B16E-49E1A6634D58}" name="שיעור חשיפה צפוי לשנת 2026"/>
    <tableColumn id="6" xr3:uid="{BD054856-AB40-4B41-9137-77B71C3290A6}" name="טווח סטיה מותר" dataDxfId="60"/>
    <tableColumn id="7" xr3:uid="{66EC6BEA-31C7-4BB8-BA62-CA191D7CDA1C}" name="גבולות שיעור החשיפה הצפויה"/>
    <tableColumn id="8" xr3:uid="{05901E21-5C98-461B-8053-9C7124322C98}" name="מדד ייחוס*"/>
  </tableColumns>
  <tableStyleInfo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49F8818-4BC4-48DD-8F1E-5B69822257E5}" name="TitleRegion1.b113.i125.8" displayName="TitleRegion1.b113.i125.8" ref="B113:I125" totalsRowShown="0" headerRowDxfId="59" tableBorderDxfId="58">
  <autoFilter ref="B113:I125" xr:uid="{849F8818-4BC4-48DD-8F1E-5B69822257E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FC10B620-DD10-426C-8B19-5784B772C930}" name="אפיק השקעה "/>
    <tableColumn id="2" xr3:uid="{15567D04-6341-4F7A-865C-0548631D6CEB}" name="ריק במקור" dataDxfId="57"/>
    <tableColumn id="3" xr3:uid="{49A441B8-A14D-4A6D-AE8A-2BE17323A7FD}" name="השתלמות שיעור החשיפה ליום 31/12/2025 "/>
    <tableColumn id="4" xr3:uid="{2379371D-57E4-488D-865F-6ECEA5841F99}" name=" השקעה שיעור החשיפה ליום 31/12/2025"/>
    <tableColumn id="5" xr3:uid="{C7A49F91-C732-467D-842D-64FFA0A9A98D}" name="שיעור חשיפה צפוי לשנת 2026"/>
    <tableColumn id="6" xr3:uid="{69172556-D076-4CC4-9C3D-C8197482358D}" name="טווח סטיה מותר" dataDxfId="56"/>
    <tableColumn id="7" xr3:uid="{6896BF40-06B0-4FC6-8357-433008A6D670}" name="גבולות שיעור החשיפה הצפויה"/>
    <tableColumn id="8" xr3:uid="{1C83E8C7-210D-4A17-8F14-4708F887E702}" name="מדד ייחוס*"/>
  </tableColumns>
  <tableStyleInfo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1BE7BF1-A6E7-405B-AF2C-EAE9965E5F04}" name="TitleRegion1.b130.i137.9" displayName="TitleRegion1.b130.i137.9" ref="B130:I137" totalsRowShown="0" headerRowDxfId="55" headerRowBorderDxfId="54" tableBorderDxfId="53">
  <autoFilter ref="B130:I137" xr:uid="{D1BE7BF1-A6E7-405B-AF2C-EAE9965E5F0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BA5C608E-9EB9-42E9-946A-33A987810D4A}" name="אפיק השקעה "/>
    <tableColumn id="2" xr3:uid="{92322347-E3C9-46B5-8F61-AD289F001296}" name="תגמולים שיעור החשיפה ליום 31/12/2025 "/>
    <tableColumn id="3" xr3:uid="{4FFEA468-FD69-4D41-ADB8-2C3B553D5411}" name="השתלמות שיעור החשיפה ליום 31/12/2025"/>
    <tableColumn id="4" xr3:uid="{45E734BC-6933-4F1D-A805-F7A622F2D11C}" name=" השקעה שיעור החשיפה ליום 31/12/2025"/>
    <tableColumn id="5" xr3:uid="{D1212C46-AF2E-4B94-9F39-2C7D74501DAD}" name="שיעור חשיפה צפוי לשנת 2026"/>
    <tableColumn id="6" xr3:uid="{240D6138-6B5C-4B0B-BA4F-1FE97BD3E11C}" name="טווח סטיה מותר" dataDxfId="52"/>
    <tableColumn id="7" xr3:uid="{7BBC17D1-9B3E-4C76-83B2-2F29BA92A081}" name="גבולות שיעור החשיפה הצפויה"/>
    <tableColumn id="8" xr3:uid="{FEA4BFAB-5D96-4B1D-A106-C1D514EA38C2}" name="מדד ייחוס*"/>
  </tableColumns>
  <tableStyleInfo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B5043B3-1A01-4FD6-9CE9-0C2F7D2EE967}" name="TitleRegion1.b142.i149.10" displayName="TitleRegion1.b142.i149.10" ref="B142:I149" totalsRowShown="0" headerRowDxfId="51" headerRowBorderDxfId="50" tableBorderDxfId="49">
  <autoFilter ref="B142:I149" xr:uid="{CB5043B3-1A01-4FD6-9CE9-0C2F7D2EE96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39EF744-9075-40BC-A122-0F8BBDC14030}" name="אפיק השקעה "/>
    <tableColumn id="2" xr3:uid="{B3FFF9A0-293D-4396-B00D-93E7B57D9687}" name="תגמולים שיעור החשיפה ליום 31/12/2025 "/>
    <tableColumn id="3" xr3:uid="{75091D37-BD4A-4C46-BCF0-3723C8CA30A2}" name="השתלמות שיעור החשיפה ליום 31/12/2025"/>
    <tableColumn id="4" xr3:uid="{F78562DF-CA95-46C9-B380-B30E98E4D8EF}" name=" השקעה שיעור החשיפה ליום 31/12/2025"/>
    <tableColumn id="5" xr3:uid="{3858BDB8-3929-4413-9051-2308F6EEC571}" name="שיעור חשיפה צפוי לשנת 2026"/>
    <tableColumn id="6" xr3:uid="{EF2F878A-3270-4795-AB8B-5496F0E3AC4B}" name="טווח סטיה מותר" dataDxfId="48"/>
    <tableColumn id="7" xr3:uid="{C612291C-CD93-4E41-ADE6-727484AAE301}" name="גבולות שיעור החשיפה הצפויה"/>
    <tableColumn id="8" xr3:uid="{B2DA4A41-4119-4DBA-BFE6-DFB1F8A951D4}" name="מדד ייחוס*"/>
  </tableColumns>
  <tableStyleInfo showFirstColumn="1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A771E3C-5BF9-4A05-A072-51911BEC08E6}" name="TitleRegion1.b154.i161.11" displayName="TitleRegion1.b154.i161.11" ref="B154:I161" totalsRowShown="0" headerRowDxfId="47" headerRowBorderDxfId="46" tableBorderDxfId="45">
  <autoFilter ref="B154:I161" xr:uid="{8A771E3C-5BF9-4A05-A072-51911BEC08E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8FDAE9C-CB59-435A-9B6F-A121C421B389}" name="אפיק השקעה "/>
    <tableColumn id="2" xr3:uid="{4B758416-610B-4421-BF72-4CFEC440C236}" name="תגמולים שיעור החשיפה ליום 31/12/2025 "/>
    <tableColumn id="3" xr3:uid="{B734D354-D2D4-44B9-9E9E-4C73690D85EF}" name="השתלמות שיעור החשיפה ליום 31/12/2025"/>
    <tableColumn id="4" xr3:uid="{3999439F-481F-4BDE-8A52-6CC340BE6304}" name=" השקעה שיעור החשיפה ליום 31/12/2025"/>
    <tableColumn id="5" xr3:uid="{5A852D6F-670C-4FAC-8E53-1311F203C227}" name="שיעור חשיפה צפוי לשנת 2026"/>
    <tableColumn id="6" xr3:uid="{59F00BEA-BF05-4C39-AF53-6B1923A7A6C4}" name="טווח סטיה מותר" dataDxfId="44"/>
    <tableColumn id="7" xr3:uid="{B6189DB6-BF71-4230-AB24-F9562DC4935D}" name="גבולות שיעור החשיפה הצפויה"/>
    <tableColumn id="8" xr3:uid="{A425949A-42AA-491C-B1E2-577ECDDB14DB}" name="מדד ייחוס*"/>
  </tableColumns>
  <tableStyleInfo showFirstColumn="1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E263AEC-06C1-4680-8930-B2085BA7CBD9}" name="TitleRegion1.b166.i173.12" displayName="TitleRegion1.b166.i173.12" ref="B166:I173" totalsRowShown="0" headerRowDxfId="43" headerRowBorderDxfId="42" tableBorderDxfId="41">
  <autoFilter ref="B166:I173" xr:uid="{9E263AEC-06C1-4680-8930-B2085BA7CBD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E72AB976-C036-4EB4-8364-DBEFD028BB00}" name="אפיק השקעה "/>
    <tableColumn id="2" xr3:uid="{71D2B31E-D32B-49C9-972E-6E8620EE072E}" name="תגמולים שיעור החשיפה ליום 31/12/2025 "/>
    <tableColumn id="3" xr3:uid="{E2B8E987-A993-49ED-8D9C-E577ABDEBCC0}" name="השתלמות שיעור החשיפה ליום 31/12/2025"/>
    <tableColumn id="4" xr3:uid="{BA35A3FA-DD66-46ED-99A4-5BF355000277}" name=" השקעה שיעור החשיפה ליום 31/12/2025"/>
    <tableColumn id="5" xr3:uid="{098603CF-63B1-490E-8F62-CE054E192166}" name="שיעור חשיפה צפוי לשנת 2026"/>
    <tableColumn id="6" xr3:uid="{42729F20-AC5A-40AC-A168-FA49208B99F4}" name="טווח סטיה מותר" dataDxfId="40"/>
    <tableColumn id="7" xr3:uid="{6EAD464D-5775-4EF8-8AFC-5AB2DC8BFA67}" name="גבולות שיעור החשיפה הצפויה"/>
    <tableColumn id="8" xr3:uid="{AEBDF97C-2998-43E4-BF44-3E8824CA3172}" name="מדד ייחוס*"/>
  </tableColumns>
  <tableStyleInfo showFirstColumn="1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AF65B01-461E-4E85-AC1A-96DE3141F72B}" name="TitleRegion1.b177.i184.13" displayName="TitleRegion1.b177.i184.13" ref="B177:I184" totalsRowShown="0" headerRowDxfId="39" tableBorderDxfId="38">
  <autoFilter ref="B177:I184" xr:uid="{5AF65B01-461E-4E85-AC1A-96DE3141F72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E7C75A3A-3C56-4C37-AAAF-36AE65514FD1}" name="אפיק השקעה "/>
    <tableColumn id="2" xr3:uid="{174EB2FE-EE1C-4FC0-BDC6-A3EB458FB286}" name="ריק במקור" dataDxfId="37"/>
    <tableColumn id="3" xr3:uid="{B33048C8-5DCD-4EA1-A088-47566250130D}" name="השתלמות שיעור החשיפה ליום 31/12/2025"/>
    <tableColumn id="4" xr3:uid="{A99BAAB6-0754-4E50-96EE-26076674256B}" name=" השקעה שיעור החשיפה ליום 31/12/2025"/>
    <tableColumn id="5" xr3:uid="{CCB95EC0-0467-4EC8-8BEB-1BA621187B58}" name="שיעור חשיפה צפוי לשנת 2026"/>
    <tableColumn id="6" xr3:uid="{6FF84475-7413-4657-B745-0DED9E9EB851}" name="טווח סטיה מותר" dataDxfId="36"/>
    <tableColumn id="7" xr3:uid="{04EE8951-2D29-4ABD-9681-8431A51D005E}" name="גבולות שיעור החשיפה הצפויה"/>
    <tableColumn id="8" xr3:uid="{20E32D23-1ADE-4DA8-B264-95D15844E3DB}" name="מדד ייחוס*"/>
  </tableColumns>
  <tableStyleInfo showFirstColumn="1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4C5B80B-32F2-451E-849D-84F7ACC53D58}" name="TitleRegion1.b189.i196.14" displayName="TitleRegion1.b189.i196.14" ref="B189:I196" totalsRowShown="0" headerRowDxfId="35" headerRowBorderDxfId="34" tableBorderDxfId="33">
  <autoFilter ref="B189:I196" xr:uid="{C4C5B80B-32F2-451E-849D-84F7ACC53D5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E9AE0EB0-6F30-4E90-B4CE-9F1649C6DF28}" name="אפיק השקעה "/>
    <tableColumn id="2" xr3:uid="{4D9BFD63-C079-4353-BD3D-15A58E06F29B}" name="תגמולים שיעור החשיפה ליום 31/12/2025 "/>
    <tableColumn id="3" xr3:uid="{CAADD5DF-458C-4B7B-977F-64467895D12D}" name="השתלמות שיעור החשיפה ליום 31/12/2025"/>
    <tableColumn id="4" xr3:uid="{7AD7B8FE-12A1-40D4-B641-F932AD70CF36}" name=" השקעה שיעור החשיפה ליום 31/12/2025"/>
    <tableColumn id="5" xr3:uid="{4C4114A9-3A42-4D01-A191-386237A6AE30}" name="שיעור חשיפה צפוי לשנת 2026"/>
    <tableColumn id="6" xr3:uid="{B6A1F018-3AA3-4C3B-927A-34D47DFEDD9F}" name="טווח סטיה מותר" dataDxfId="32"/>
    <tableColumn id="7" xr3:uid="{135A5F14-6C52-4185-A904-964AAE56459F}" name="גבולות שיעור החשיפה הצפויה"/>
    <tableColumn id="8" xr3:uid="{ADAABBB5-5FDD-4AB5-BDAA-79DDDB11D31B}" name="מדד ייחוס*" dataDxfId="31"/>
  </tableColumns>
  <tableStyleInfo showFirstColumn="1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E9140EA-AEAA-424D-98C5-BB2609C52286}" name="TitleRegion1.b201.i208.15" displayName="TitleRegion1.b201.i208.15" ref="B201:I208" totalsRowShown="0" headerRowDxfId="30" headerRowBorderDxfId="29" tableBorderDxfId="28">
  <autoFilter ref="B201:I208" xr:uid="{CE9140EA-AEAA-424D-98C5-BB2609C5228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EBBC532-4DCA-4D9B-BC33-3455A9DAEE77}" name="אפיק השקעה "/>
    <tableColumn id="2" xr3:uid="{F740F965-13BA-4A93-B64F-8631CB7FBA33}" name="תגמולים שיעור החשיפה ליום 31/12/2025 "/>
    <tableColumn id="3" xr3:uid="{44F5A99D-B630-47B1-A76D-32A232862695}" name="השתלמות שיעור החשיפה ליום 31/12/2025"/>
    <tableColumn id="4" xr3:uid="{A8474FC6-098A-4142-ADD1-C60F6F7F46B3}" name=" השקעה שיעור החשיפה ליום 31/12/2025"/>
    <tableColumn id="5" xr3:uid="{14CF7F8D-B69A-48ED-A79A-40EE167570C4}" name="שיעור חשיפה צפוי לשנת 2026"/>
    <tableColumn id="6" xr3:uid="{6E4A661A-5A95-436D-9BCE-F06CE3418E35}" name="טווח סטיה מותר" dataDxfId="27"/>
    <tableColumn id="7" xr3:uid="{30268667-E883-4022-BE64-C6FA3BF516E4}" name="גבולות שיעור החשיפה הצפויה"/>
    <tableColumn id="8" xr3:uid="{375F9186-4C9A-495C-A4CF-59901E5B7C7B}" name="מדד ייחוס*"/>
  </tableColumns>
  <tableStyleInfo showFirstColumn="1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EFD235F-668A-492A-AC8F-00DE31359A45}" name="TitleRegion1.b213.i220.16" displayName="TitleRegion1.b213.i220.16" ref="B213:I220" totalsRowShown="0" headerRowDxfId="26" headerRowBorderDxfId="25" tableBorderDxfId="24">
  <autoFilter ref="B213:I220" xr:uid="{CEFD235F-668A-492A-AC8F-00DE31359A4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FAC7D4B3-95D9-4F96-ACB9-635D67821902}" name="אפיק השקעה "/>
    <tableColumn id="2" xr3:uid="{040654B8-8521-46B2-9788-70A56B0B5B1B}" name="תגמולים שיעור החשיפה ליום 31/12/2025 "/>
    <tableColumn id="3" xr3:uid="{7B4DDEF8-1192-4365-A955-E7F29AB24D4D}" name="השתלמות שיעור החשיפה ליום 31/12/2025"/>
    <tableColumn id="4" xr3:uid="{833BC22D-BFDD-4A7D-A9D8-993F731584C0}" name=" השקעה שיעור החשיפה ליום 31/12/2025"/>
    <tableColumn id="5" xr3:uid="{88857182-9223-4035-B5AF-25C607A974EE}" name="שיעור חשיפה צפוי לשנת 2026"/>
    <tableColumn id="6" xr3:uid="{AD1DDE6B-40C2-4430-B2D5-008C2472AEC0}" name="טווח סטיה מותר" dataDxfId="23"/>
    <tableColumn id="7" xr3:uid="{7F85BAF4-5AD7-4155-935E-BA1950919386}" name="גבולות שיעור החשיפה הצפויה"/>
    <tableColumn id="8" xr3:uid="{E66FF608-F2C7-4EFB-BBB3-C3CF9B540EA0}" name="מדד ייחוס*"/>
  </tableColumns>
  <tableStyleInfo showFirstColumn="1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BB38FDD-45D0-4110-9014-724FCF758D95}" name="TitleRegion1.b224.i231.17" displayName="TitleRegion1.b224.i231.17" ref="B224:I231" totalsRowShown="0" headerRowDxfId="22" tableBorderDxfId="21">
  <autoFilter ref="B224:I231" xr:uid="{2BB38FDD-45D0-4110-9014-724FCF758D9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BBE68EEE-4B72-418E-B325-EC6AF5230658}" name="אפיק השקעה "/>
    <tableColumn id="2" xr3:uid="{6F06960A-B068-41C3-981F-3A873689A473}" name="ריק במקור" dataDxfId="20"/>
    <tableColumn id="3" xr3:uid="{716F1ACF-7474-4E1B-B7E8-8655C7C13779}" name="השתלמות שיעור החשיפה ליום 31/12/2025"/>
    <tableColumn id="4" xr3:uid="{AD02CE80-DD93-4E53-97A8-A360784C6912}" name=" השקעה שיעור החשיפה ליום 31/12/2025"/>
    <tableColumn id="5" xr3:uid="{939C808D-55CF-4C8E-B127-6D1BC9791DFE}" name="שיעור חשיפה צפוי לשנת 2026"/>
    <tableColumn id="6" xr3:uid="{68AFA523-32A7-4EC3-9575-EB34591E6619}" name="טווח סטיה מותר" dataDxfId="19"/>
    <tableColumn id="7" xr3:uid="{32F33CC0-FAA7-40A5-9ED4-BF3466FA565B}" name="גבולות שיעור החשיפה הצפויה"/>
    <tableColumn id="8" xr3:uid="{1B3C0234-A559-49BD-9BBC-58F6255BAD6E}" name="מדד ייחוס*"/>
  </tableColumns>
  <tableStyleInfo showFirstColumn="1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0A7A25F-C9CB-4F20-A7D3-3900FFA5824F}" name="TitleRegion1.b236.i243.18" displayName="TitleRegion1.b236.i243.18" ref="B236:I243" totalsRowShown="0" headerRowDxfId="18" headerRowBorderDxfId="17" tableBorderDxfId="16">
  <autoFilter ref="B236:I243" xr:uid="{C0A7A25F-C9CB-4F20-A7D3-3900FFA5824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4A2F4DB-3B24-4BCF-8117-910C735EE140}" name="אפיק השקעה "/>
    <tableColumn id="2" xr3:uid="{4FC220B7-E320-49FD-BAB6-61A4490EFC31}" name="תגמולים שיעור החשיפה ליום 31/12/2025 "/>
    <tableColumn id="3" xr3:uid="{44A030B6-D4F9-44D2-B6F1-015A774E91AA}" name="השתלמות שיעור החשיפה ליום 31/12/2025"/>
    <tableColumn id="4" xr3:uid="{19B7BC19-8209-4D4D-BF1F-15808CC081F2}" name=" השקעה שיעור החשיפה ליום 31/12/2025"/>
    <tableColumn id="5" xr3:uid="{1F888CBE-6B01-47BC-B120-99E3EADF55AF}" name="שיעור חשיפה צפוי לשנת 2026"/>
    <tableColumn id="6" xr3:uid="{D2971334-6319-44ED-9FDD-F5110F25ED9D}" name="טווח סטיה מותר" dataDxfId="15"/>
    <tableColumn id="7" xr3:uid="{5D25F720-AE5F-4E9C-B090-02284EEAF671}" name="גבולות שיעור החשיפה הצפויה"/>
    <tableColumn id="8" xr3:uid="{C3755E46-DFFB-4287-BEB7-A03D0CFB294B}" name="מדד ייחוס*"/>
  </tableColumns>
  <tableStyleInfo showFirstColumn="1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55DC5E5-B4FE-435F-9488-E3E14004A919}" name="TitleRegion1.b246.i258.19" displayName="TitleRegion1.b246.i258.19" ref="B246:I258" totalsRowShown="0" tableBorderDxfId="14">
  <autoFilter ref="B246:I258" xr:uid="{055DC5E5-B4FE-435F-9488-E3E14004A91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B88882A0-4822-4379-B287-756A97D091FB}" name="אפיק השקעה "/>
    <tableColumn id="2" xr3:uid="{4FDD30DD-9C94-4661-9572-73C578861F9A}" name="ריק במקור"/>
    <tableColumn id="3" xr3:uid="{FAC45422-7494-4ADD-92FE-EDB9509FA302}" name="ריק במקור2"/>
    <tableColumn id="4" xr3:uid="{2A6F78A0-6F52-4559-8304-14C9DDEA528B}" name="שיעור החשיפה ליום 31/12/2025"/>
    <tableColumn id="5" xr3:uid="{0F532B8D-DE0C-4FDC-B24B-EC38D5C63C42}" name="שיעור חשיפה צפוי לשנת 2026"/>
    <tableColumn id="6" xr3:uid="{0380868B-7558-4711-9447-F08805921E46}" name="טווח סטיה מותר" dataDxfId="13"/>
    <tableColumn id="7" xr3:uid="{F629D858-0AE2-4F95-AE37-EB542E1BBF52}" name="גבולות שיעור החשיפה הצפויה"/>
    <tableColumn id="8" xr3:uid="{5B7F0146-846E-482F-8022-94BFD55118F5}" name="מדד ייחוס*"/>
  </tableColumns>
  <tableStyleInfo showFirstColumn="1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64432D2-FBE3-4222-B0DF-7F57E546A55F}" name="TitleRegion1.b261.i273.20" displayName="TitleRegion1.b261.i273.20" ref="B261:I273" totalsRowShown="0" tableBorderDxfId="12">
  <autoFilter ref="B261:I273" xr:uid="{564432D2-FBE3-4222-B0DF-7F57E546A55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55824A30-361C-468C-99BF-432497BF5DED}" name="אפיק השקעה "/>
    <tableColumn id="2" xr3:uid="{6B4A8B2E-F8EE-4397-A87F-EBDF85F513A1}" name="ריק במקור"/>
    <tableColumn id="3" xr3:uid="{BD73C158-7D8C-4982-86DA-2F4EDA689657}" name="ריק במקור2"/>
    <tableColumn id="4" xr3:uid="{F5FDDB9B-6D8C-4961-82A6-05E76407299D}" name="שיעור החשיפה ליום 31/12/2025"/>
    <tableColumn id="5" xr3:uid="{7E553BCA-85BB-4D4C-92C3-98C3BE2A2761}" name="שיעור חשיפה צפוי לשנת 2026"/>
    <tableColumn id="6" xr3:uid="{AF83D480-225A-46E8-9F01-486889027A89}" name="טווח סטיה מותר" dataDxfId="11"/>
    <tableColumn id="7" xr3:uid="{CD345CA3-9BFE-4FD7-92B3-042DB1C0EB75}" name="גבולות שיעור החשיפה הצפויה"/>
    <tableColumn id="8" xr3:uid="{C7F7BE32-CFB0-4D41-B6FA-E6BDA9D0C1C0}" name="מדד ייחוס*"/>
  </tableColumns>
  <tableStyleInfo showFirstColumn="1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71870B5-5E47-4312-A331-1B08B8638909}" name="TitleRegion1.b276.i288.21" displayName="TitleRegion1.b276.i288.21" ref="B276:I288" totalsRowShown="0" tableBorderDxfId="10">
  <autoFilter ref="B276:I288" xr:uid="{E71870B5-5E47-4312-A331-1B08B863890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541E7C3A-C3C5-46F9-BD2E-877A20849D9B}" name="אפיק השקעה " dataDxfId="9"/>
    <tableColumn id="2" xr3:uid="{8A9C0054-C931-4480-8D37-412FDF059E18}" name="ריק במקור"/>
    <tableColumn id="3" xr3:uid="{A006B4AD-42EF-45ED-9C54-0CBB49388500}" name="ריק במקור2"/>
    <tableColumn id="4" xr3:uid="{308CE7BC-C91F-46AF-BEFA-3A0B0914C591}" name="שיעור החשיפה ליום 31/12/2025"/>
    <tableColumn id="5" xr3:uid="{D2ABD117-210D-4141-9F24-DED23ABCDF94}" name="שיעור חשיפה צפוי לשנת 2026"/>
    <tableColumn id="6" xr3:uid="{EB3B4FC2-9AD6-4CE7-94D9-C562BFE1AA04}" name="טווח סטיה מותר" dataDxfId="8"/>
    <tableColumn id="7" xr3:uid="{89EB5A32-172F-4D26-B027-48E3E331F743}" name="גבולות שיעור החשיפה הצפויה"/>
    <tableColumn id="8" xr3:uid="{0FABD4AC-CC8F-4EBA-A034-7F1EE1C41C61}" name="מדד ייחוס*"/>
  </tableColumns>
  <tableStyleInfo showFirstColumn="1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8A74B207-4191-4BE6-97B2-D63E99601A32}" name="TitleRegion1.b291.i298.22" displayName="TitleRegion1.b291.i298.22" ref="B291:I298" totalsRowShown="0" tableBorderDxfId="7">
  <autoFilter ref="B291:I298" xr:uid="{8A74B207-4191-4BE6-97B2-D63E99601A3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E1DB62BB-B97A-4296-AF13-10F10E330764}" name="אפיק השקעה "/>
    <tableColumn id="2" xr3:uid="{5842FBAC-5F81-462D-A707-55F9640F647C}" name="ריק במקור" dataDxfId="6"/>
    <tableColumn id="3" xr3:uid="{59160605-58D3-4595-AE38-692F06E43295}" name="ריק במקור2" dataDxfId="5"/>
    <tableColumn id="4" xr3:uid="{AB256748-7D57-4062-B6CF-C1B692BB1C2F}" name="שיעור החשיפה ליום 31/12/2025"/>
    <tableColumn id="5" xr3:uid="{0E595E97-CD36-4337-B87D-72D7B6B74A31}" name="שיעור חשיפה צפוי לשנת 2026"/>
    <tableColumn id="6" xr3:uid="{B7257A8C-1A9E-45D7-B1BA-4D136A3C87AA}" name="טווח סטיה מותר" dataDxfId="4"/>
    <tableColumn id="7" xr3:uid="{8A6F07DB-0CD6-46D1-8E30-9D9732CBC800}" name="גבולות שיעור החשיפה הצפויה"/>
    <tableColumn id="8" xr3:uid="{88837FAA-9F33-4A4B-A021-327B1A40C77B}" name="מדד ייחוס*"/>
  </tableColumns>
  <tableStyleInfo showFirstColumn="1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4DC95F11-BDF4-465A-944A-E472C206836B}" name="TitleRegion1.b301.i308.23" displayName="TitleRegion1.b301.i308.23" ref="B301:I308" totalsRowShown="0" tableBorderDxfId="3">
  <autoFilter ref="B301:I308" xr:uid="{4DC95F11-BDF4-465A-944A-E472C206836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51DFCF39-17D0-42D0-8D21-76FF5B4A7573}" name="אפיק השקעה "/>
    <tableColumn id="2" xr3:uid="{D0CCB9F5-7400-42F4-9D25-03AA63D44FE7}" name="ריק במקור" dataDxfId="2"/>
    <tableColumn id="3" xr3:uid="{0FC2FCAC-0B8F-4E28-BEFA-27E0860B95F4}" name="ריק במקור2" dataDxfId="1"/>
    <tableColumn id="4" xr3:uid="{FCB1A23D-DE62-4F50-A513-0A087E8EA213}" name="שיעור החשיפה ליום 31/12/2025"/>
    <tableColumn id="5" xr3:uid="{03C7B567-4039-41BB-8E61-B58A0E211E7A}" name="שיעור חשיפה צפוי לשנת 2026"/>
    <tableColumn id="6" xr3:uid="{CDC145F2-C776-4B16-9B19-58362907459E}" name="טווח סטיה מותר" dataDxfId="0"/>
    <tableColumn id="7" xr3:uid="{C02C70DA-AD61-4EB9-A567-ECA5320DC75E}" name="גבולות שיעור החשיפה הצפויה"/>
    <tableColumn id="8" xr3:uid="{D2CF38EC-AA79-42BE-80B1-E12B09432B9A}" name="מדד ייחוס*"/>
  </tableColumns>
  <tableStyleInfo showFirstColumn="1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7098A62E-FF25-47AA-819D-69C4FB626ECB}" name="TitleRegion1.b3.g14.1" displayName="TitleRegion1.b3.g14.1" ref="B3:G14" totalsRowShown="0" headerRowDxfId="247" headerRowBorderDxfId="246" tableBorderDxfId="245">
  <autoFilter ref="B3:G14" xr:uid="{7098A62E-FF25-47AA-819D-69C4FB626EC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4F7A156-D31E-4F0F-8490-23EF8DCF7DB4}" name="אפיק השקעה " dataDxfId="244"/>
    <tableColumn id="2" xr3:uid="{A8EFE07C-5B20-423D-AAED-54AF894150D0}" name="שיעור החשיפה ליום 31/12/2025"/>
    <tableColumn id="3" xr3:uid="{399429D2-3A9A-45C4-9150-208D6BAA076D}" name="שיעור חשיפה צפוי לשנת 2026"/>
    <tableColumn id="4" xr3:uid="{8C7638C0-9E00-464E-848B-F53287CF5037}" name="טווח סטיה מותר" dataDxfId="243"/>
    <tableColumn id="5" xr3:uid="{90759496-28C9-4E04-8EC4-EDA1FAE90D16}" name="גבולות שיעור החשיפה הצפויה"/>
    <tableColumn id="6" xr3:uid="{2F8069EC-F28E-43AD-93BD-1B6AB7C545D3}" name="מדד ייחוס*"/>
  </tableColumns>
  <tableStyleInfo showFirstColumn="1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6BFB4857-964E-4280-8D71-BAD2A2B737FD}" name="TitleRegion1.i3.n14.2" displayName="TitleRegion1.i3.n14.2" ref="I3:N14" totalsRowShown="0" headerRowDxfId="242" headerRowBorderDxfId="241" tableBorderDxfId="240">
  <autoFilter ref="I3:N14" xr:uid="{6BFB4857-964E-4280-8D71-BAD2A2B737F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BDFADA0-C076-4290-87AF-FCCA8AD6F081}" name="אפיק השקעה " dataDxfId="239"/>
    <tableColumn id="2" xr3:uid="{099830AC-A9AB-4070-8242-64486F207B34}" name="שיעור החשיפה ליום 31/12/2025"/>
    <tableColumn id="3" xr3:uid="{F6CDC39B-DF53-4797-A200-7D1E2B97CF11}" name="שיעור חשיפה צפוי לשנת 2026"/>
    <tableColumn id="4" xr3:uid="{8678D3F5-F298-4CFB-9471-26991A0A19FA}" name="טווח סטיה מותר" dataDxfId="238"/>
    <tableColumn id="5" xr3:uid="{75DE8791-9976-4F35-8595-1C8C7193EB74}" name="גבולות שיעור החשיפה הצפויה"/>
    <tableColumn id="6" xr3:uid="{FDC052B7-9CDB-4F56-8F72-02F5DDD1A50F}" name="מדד ייחוס*"/>
  </tableColumns>
  <tableStyleInfo showFirstColumn="1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34B68BCF-4D87-4342-B1C0-1052EF0ACF34}" name="TitleRegion1.b17.g28.3" displayName="TitleRegion1.b17.g28.3" ref="B17:G28" totalsRowShown="0" headerRowDxfId="237" headerRowBorderDxfId="236" tableBorderDxfId="235">
  <autoFilter ref="B17:G28" xr:uid="{34B68BCF-4D87-4342-B1C0-1052EF0ACF3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B4487AD-C683-4680-B9F6-EB89BB9BCCF1}" name="אפיק השקעה " dataDxfId="234"/>
    <tableColumn id="2" xr3:uid="{55B910A9-B892-4D96-88DF-0A9CC456F232}" name="שיעור החשיפה ליום 31/12/2025"/>
    <tableColumn id="3" xr3:uid="{AC24DB9D-7B20-4153-9EF5-82FF580EB14B}" name="שיעור חשיפה צפוי לשנת 2026"/>
    <tableColumn id="4" xr3:uid="{B7333DDE-58D6-4A39-886A-1FA9AD93EFD7}" name="טווח סטייה" dataDxfId="233"/>
    <tableColumn id="5" xr3:uid="{7613B8DB-1667-4BC4-8DD6-97B7A096130C}" name="גבולות שיעור החשיפה הצפויה"/>
    <tableColumn id="6" xr3:uid="{CC1D243D-CA9C-4261-A075-25BA7FC9A247}" name="מדד ייחוס*"/>
  </tableColumns>
  <tableStyleInfo showFirstColumn="1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69F91519-C4ED-4946-BF5A-11A75F85C552}" name="TitleRegion1.i17.n28.4" displayName="TitleRegion1.i17.n28.4" ref="I17:N28" totalsRowShown="0" headerRowDxfId="232" headerRowBorderDxfId="231" tableBorderDxfId="230">
  <autoFilter ref="I17:N28" xr:uid="{69F91519-C4ED-4946-BF5A-11A75F85C55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BD1787D-B4C0-4542-80C2-889894F84996}" name="אפיק השקעה " dataDxfId="229"/>
    <tableColumn id="2" xr3:uid="{E499ED11-1DB2-4706-8C58-227BC81FFD54}" name="שיעור החשיפה ליום 31/12/2025"/>
    <tableColumn id="3" xr3:uid="{399927C7-1CDF-4340-A71E-139CC8C39E02}" name="שיעור חשיפה צפוי לשנת 2026"/>
    <tableColumn id="4" xr3:uid="{FC0817B6-76E3-4221-965B-081AFB511687}" name="טווח סטייה" dataDxfId="228"/>
    <tableColumn id="5" xr3:uid="{41C62019-9D3E-468E-9DD2-4D4B54AAC683}" name="גבולות שיעור החשיפה הצפויה"/>
    <tableColumn id="6" xr3:uid="{C8ED540D-8FAD-42F7-AC79-A312655E4111}" name="מדד ייחוס*"/>
  </tableColumns>
  <tableStyleInfo showFirstColumn="1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F6F0C900-DFEF-4A21-BC3D-EF85A425B46C}" name="TitleRegion1.b31.g42.5" displayName="TitleRegion1.b31.g42.5" ref="B31:G42" totalsRowShown="0" headerRowDxfId="227" headerRowBorderDxfId="226" tableBorderDxfId="225">
  <autoFilter ref="B31:G42" xr:uid="{F6F0C900-DFEF-4A21-BC3D-EF85A425B46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DDBA372-8FAD-49C9-8496-D3F0A324F3C1}" name="אפיק השקעה " dataDxfId="224"/>
    <tableColumn id="2" xr3:uid="{9A47F0CA-77E6-4560-A187-6DD0E81B12FD}" name="שיעור החשיפה ליום 31/12/2025"/>
    <tableColumn id="3" xr3:uid="{D0B4230B-C5BD-47E4-9A4C-53250FCF2171}" name="שיעור חשיפה צפוי לשנת 2026"/>
    <tableColumn id="4" xr3:uid="{09F7FEE0-1084-4F0C-A00A-0F7016CE178F}" name="טווח סטייה" dataDxfId="223"/>
    <tableColumn id="5" xr3:uid="{5AF77CF2-9F65-4D1C-BFB8-F2931F72BF3F}" name="גבולות שיעור החשיפה הצפויה"/>
    <tableColumn id="6" xr3:uid="{883811AA-2149-416B-B1A9-7D57FD595255}" name="מדד ייחוס*"/>
  </tableColumns>
  <tableStyleInfo showFirstColumn="1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251B08BC-EFE8-4687-AB5D-935A4B656064}" name="TitleRegion1.i31.n42.6" displayName="TitleRegion1.i31.n42.6" ref="I31:N42" totalsRowShown="0" headerRowDxfId="222" headerRowBorderDxfId="221" tableBorderDxfId="220">
  <autoFilter ref="I31:N42" xr:uid="{251B08BC-EFE8-4687-AB5D-935A4B65606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A4AD67C-370A-4780-8E81-EE5B410D30C6}" name="אפיק השקעה " dataDxfId="219"/>
    <tableColumn id="2" xr3:uid="{7A1C6DB6-44FA-4AB6-89ED-BF5BAA7A6B12}" name="שיעור החשיפה ליום 31/12/2025"/>
    <tableColumn id="3" xr3:uid="{3C54F6F2-6898-4701-9F55-08D5CC35EC49}" name="שיעור חשיפה צפוי לשנת 2026"/>
    <tableColumn id="4" xr3:uid="{17701053-8062-407F-A9C8-7C5CB13DDB72}" name="טווח סטייה" dataDxfId="218"/>
    <tableColumn id="5" xr3:uid="{5C1B00F6-7A5C-4144-BED8-D29372F5B136}" name="גבולות שיעור החשיפה הצפויה"/>
    <tableColumn id="6" xr3:uid="{BB132F8C-CEB6-4EB7-A0DE-3B3588667350}" name="מדד ייחוס*"/>
  </tableColumns>
  <tableStyleInfo showFirstColumn="1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6A5D3EA2-94DB-4DB2-98C8-39BB59D8B5E8}" name="TitleRegion1.b45.g56.7" displayName="TitleRegion1.b45.g56.7" ref="B45:G56" totalsRowShown="0" headerRowDxfId="217" headerRowBorderDxfId="216" tableBorderDxfId="215">
  <autoFilter ref="B45:G56" xr:uid="{6A5D3EA2-94DB-4DB2-98C8-39BB59D8B5E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C4F0D6B-DBAE-47E3-A1B2-05B60BF4D5D3}" name="אפיק השקעה " dataDxfId="214"/>
    <tableColumn id="2" xr3:uid="{252EF79E-349E-4F15-ACE3-E0E412E7E171}" name="שיעור החשיפה ליום 31/12/2025"/>
    <tableColumn id="3" xr3:uid="{CA73A6F9-5EE9-4D8C-A187-349DF31399AA}" name="שיעור חשיפה צפוי לשנת 2026"/>
    <tableColumn id="4" xr3:uid="{5B23DA35-D14D-4C68-BB6F-81EEEC49DC23}" name="טווח סטייה" dataDxfId="213"/>
    <tableColumn id="5" xr3:uid="{A701A562-C954-4527-9F64-399ABE35F130}" name="גבולות שיעור החשיפה הצפויה"/>
    <tableColumn id="6" xr3:uid="{330411DE-F466-407B-8AE4-D2B57075ADC8}" name="מדד ייחוס*"/>
  </tableColumns>
  <tableStyleInfo showFirstColumn="1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9B43153E-EDB5-48AF-A3F8-6B5485F709A2}" name="TitleRegion1.i45.n56.8" displayName="TitleRegion1.i45.n56.8" ref="I45:N56" totalsRowShown="0" headerRowDxfId="212" headerRowBorderDxfId="211" tableBorderDxfId="210">
  <autoFilter ref="I45:N56" xr:uid="{9B43153E-EDB5-48AF-A3F8-6B5485F709A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10901F6-50B8-410F-8779-28C0D447F162}" name="אפיק השקעה " dataDxfId="209"/>
    <tableColumn id="2" xr3:uid="{7DD17683-692A-43BE-9B4E-396179364AEA}" name="שיעור החשיפה ליום 31/12/2025"/>
    <tableColumn id="3" xr3:uid="{D023F34A-8A17-4561-BC49-C2FAB999A682}" name="שיעור חשיפה צפוי לשנת 2026"/>
    <tableColumn id="4" xr3:uid="{7026D304-59F8-45F3-B028-78214B72E51C}" name="טווח סטייה" dataDxfId="208"/>
    <tableColumn id="5" xr3:uid="{B1BE3C04-44A8-4B43-A3A3-D1D9132B8ADD}" name="גבולות שיעור החשיפה הצפויה"/>
    <tableColumn id="6" xr3:uid="{C74BF919-FED9-43D6-841D-58C3BACCAF3F}" name="מדד ייחוס*"/>
  </tableColumns>
  <tableStyleInfo showFirstColumn="1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28E80936-5346-4468-ACC8-B111B3896CF5}" name="TitleRegion1.b59.g70.9" displayName="TitleRegion1.b59.g70.9" ref="B59:G70" totalsRowShown="0" headerRowDxfId="207" headerRowBorderDxfId="206" tableBorderDxfId="205">
  <autoFilter ref="B59:G70" xr:uid="{28E80936-5346-4468-ACC8-B111B3896CF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C94419F-5F46-47C6-8094-A612DF1FC9A0}" name="אפיק השקעה " dataDxfId="204"/>
    <tableColumn id="2" xr3:uid="{97EAFE3E-F52F-40E3-86A4-04C048397AEB}" name="שיעור החשיפה ליום 31/12/2025"/>
    <tableColumn id="3" xr3:uid="{9145EB79-AC86-4D20-9E67-4902D179FE84}" name="שיעור חשיפה צפוי לשנת 2026"/>
    <tableColumn id="4" xr3:uid="{0E7DAD4E-C427-464D-A5E2-ECC63C27DAC8}" name="_x0009_טווח סטייה" dataDxfId="203"/>
    <tableColumn id="5" xr3:uid="{B66674C0-6396-488B-9C44-CA2705BB8BD2}" name="גבולות שיעור החשיפה הצפויה"/>
    <tableColumn id="6" xr3:uid="{27D7DD47-8329-4BE6-AED9-901E7326738E}" name="מדד ייחוס*"/>
  </tableColumns>
  <tableStyleInfo showFirstColumn="1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593B0C6D-4C2F-4CFF-B5D3-80B50F926A7F}" name="TitleRegion1.i59.n70.10" displayName="TitleRegion1.i59.n70.10" ref="I59:N70" totalsRowShown="0" headerRowDxfId="202" headerRowBorderDxfId="201" tableBorderDxfId="200">
  <autoFilter ref="I59:N70" xr:uid="{593B0C6D-4C2F-4CFF-B5D3-80B50F926A7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98498D53-C182-4331-A9D5-E7DB835918E2}" name="אפיק השקעה " dataDxfId="199"/>
    <tableColumn id="2" xr3:uid="{0D706B4A-205A-4F59-B4A4-3DD9BB7D388E}" name="שיעור החשיפה ליום 31/12/2025"/>
    <tableColumn id="3" xr3:uid="{77BFE050-59FB-492D-A71E-F60175AEFB45}" name="שיעור חשיפה צפוי לשנת 2026"/>
    <tableColumn id="4" xr3:uid="{A8580A95-8AA9-4156-BD72-3F0ECA4B719A}" name="_x0009_טווח סטייה" dataDxfId="198"/>
    <tableColumn id="5" xr3:uid="{0AC0E8FC-B815-48CD-96DB-3451FE24648F}" name="גבולות שיעור החשיפה הצפויה"/>
    <tableColumn id="6" xr3:uid="{A8629591-656D-49FB-B2EA-8FDD123FA568}" name="מדד ייחוס*"/>
  </tableColumns>
  <tableStyleInfo showFirstColumn="1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52932DA1-406B-4B20-869B-ACBB57FB3F64}" name="TitleRegion1.b73.g84.11" displayName="TitleRegion1.b73.g84.11" ref="B73:G84" totalsRowShown="0" headerRowDxfId="197" headerRowBorderDxfId="196" tableBorderDxfId="195">
  <autoFilter ref="B73:G84" xr:uid="{52932DA1-406B-4B20-869B-ACBB57FB3F6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3C2F6C2-59F9-4DB8-BA93-252D8DEA8743}" name="אפיק השקעה " dataDxfId="194"/>
    <tableColumn id="2" xr3:uid="{3A2B2F63-6317-4A66-9209-CB93A77193B4}" name="שיעור החשיפה ליום 31/12/2025"/>
    <tableColumn id="3" xr3:uid="{2D7633D0-FD1E-404B-AE47-B5A6B2F13DE9}" name="שיעור חשיפה צפוי לשנת 2026"/>
    <tableColumn id="4" xr3:uid="{70BF16AB-91A1-4F40-AE33-FBA201DE3EC2}" name="_x0009_טווח סטייה" dataDxfId="193"/>
    <tableColumn id="5" xr3:uid="{9DD9E364-2FF4-45DD-AC8F-8B0B4F60B60B}" name="גבולות שיעור החשיפה הצפויה"/>
    <tableColumn id="6" xr3:uid="{0EE800B7-9006-4F6D-B5BD-FCCACF832408}" name="מדד ייחוס*"/>
  </tableColumns>
  <tableStyleInfo showFirstColumn="1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FCD5254C-73CB-438C-8318-8091EE983177}" name="TitleRegion1.i73.n84.12" displayName="TitleRegion1.i73.n84.12" ref="I73:N84" totalsRowShown="0" headerRowDxfId="192" headerRowBorderDxfId="191" tableBorderDxfId="190">
  <autoFilter ref="I73:N84" xr:uid="{FCD5254C-73CB-438C-8318-8091EE98317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90C57E8-419D-43E3-82EF-8729E593F96B}" name="אפיק השקעה " dataDxfId="189"/>
    <tableColumn id="2" xr3:uid="{02DCD826-DAE2-4624-BF93-714CF0290AAC}" name="שיעור החשיפה ליום 31/12/2025"/>
    <tableColumn id="3" xr3:uid="{A74F9363-4E40-4BF1-B3A8-1AB170B45141}" name="שיעור חשיפה צפוי לשנת 2026"/>
    <tableColumn id="4" xr3:uid="{C7A94DA5-237E-4961-942A-EF607ED4918D}" name="_x0009_טווח סטייה" dataDxfId="188"/>
    <tableColumn id="5" xr3:uid="{B71ABDD6-33F7-4554-8F76-7FACF80FA7C6}" name="גבולות שיעור החשיפה הצפויה"/>
    <tableColumn id="6" xr3:uid="{F4AADCE8-11C4-4F6C-B0B7-5DA00653F75D}" name="מדד ייחוס*"/>
  </tableColumns>
  <tableStyleInfo showFirstColumn="1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43A78EB2-34E7-4E61-98B9-27A5FD98ACAE}" name="TitleRegion1.b87.g95.13" displayName="TitleRegion1.b87.g95.13" ref="B87:G95" totalsRowShown="0" headerRowDxfId="187" headerRowBorderDxfId="186" tableBorderDxfId="185">
  <autoFilter ref="B87:G95" xr:uid="{43A78EB2-34E7-4E61-98B9-27A5FD98ACA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DD58512B-04D2-4D1A-8A77-54680250521A}" name="אפיק השקעה "/>
    <tableColumn id="2" xr3:uid="{2619A8C8-2983-46BC-8598-E1360205DF54}" name="שיעור החשיפה ליום 31/12/2025"/>
    <tableColumn id="3" xr3:uid="{E6249EB4-491A-4A0C-893C-466128B5534A}" name="שיעור חשיפה צפוי לשנת 2026"/>
    <tableColumn id="4" xr3:uid="{96D1AB1D-646F-4BD2-AEC6-81F240E80EB6}" name="_x0009_טווח סטייה" dataDxfId="184"/>
    <tableColumn id="5" xr3:uid="{2F04A72D-2F29-4290-A05F-AFB2CDD85259}" name="גבולות שיעור החשיפה הצפויה"/>
    <tableColumn id="6" xr3:uid="{BC57AAAB-E694-4504-BDF5-BF6FDD1B4940}" name="מדד ייחוס*"/>
  </tableColumns>
  <tableStyleInfo showFirstColumn="1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31290BF-65A8-4728-88EA-69AABE91655A}" name="TitleRegion1.i87.n95.14" displayName="TitleRegion1.i87.n95.14" ref="I87:N95" totalsRowShown="0" headerRowDxfId="183" headerRowBorderDxfId="182" tableBorderDxfId="181">
  <autoFilter ref="I87:N95" xr:uid="{031290BF-65A8-4728-88EA-69AABE91655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2A7BDB5-299F-4D05-A9E4-E4892D6A6780}" name="אפיק השקעה " dataDxfId="180"/>
    <tableColumn id="2" xr3:uid="{DDFAE92E-1F44-43AB-8E02-024CED158EB5}" name="שיעור החשיפה ליום 31/12/2025"/>
    <tableColumn id="3" xr3:uid="{E9D85C55-D7A9-43F1-A61F-82E7AAA2D3C8}" name="שיעור חשיפה צפוי לשנת 2026"/>
    <tableColumn id="4" xr3:uid="{8699C816-93FC-44AF-9820-7328A29E68D9}" name="_x0009_טווח סטייה" dataDxfId="179"/>
    <tableColumn id="5" xr3:uid="{E38C8ACB-3431-4BDE-BDAB-96C742D5DD84}" name="גבולות שיעור החשיפה הצפויה"/>
    <tableColumn id="6" xr3:uid="{7C644B24-2A24-476D-9D66-D9D4E6DFEA50}" name="מדד ייחוס*"/>
  </tableColumns>
  <tableStyleInfo showFirstColumn="1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D9FC29E4-8DE5-4CFC-A98D-3C49B8034060}" name="TitleRegion1.b98.g106.15" displayName="TitleRegion1.b98.g106.15" ref="B98:G106" totalsRowShown="0" headerRowDxfId="178" headerRowBorderDxfId="177" tableBorderDxfId="176">
  <autoFilter ref="B98:G106" xr:uid="{D9FC29E4-8DE5-4CFC-A98D-3C49B803406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C4C13BF-BD14-4576-9AB6-1E0F0113EAC5}" name="אפיק השקעה "/>
    <tableColumn id="2" xr3:uid="{AB8B9BDC-3669-4D95-8572-070D11D8634C}" name="שיעור החשיפה ליום 31/12/2025"/>
    <tableColumn id="3" xr3:uid="{9B4DEB1C-8816-4DAD-BD33-6C4C28F71F0D}" name="שיעור חשיפה צפוי לשנת 2026"/>
    <tableColumn id="4" xr3:uid="{7E105FE3-E7DF-450B-BBAA-2F42759418C3}" name="_x0009_טווח סטייה" dataDxfId="175"/>
    <tableColumn id="5" xr3:uid="{8CBC641D-99AB-4C91-AF41-1002F7115537}" name="גבולות שיעור החשיפה הצפויה"/>
    <tableColumn id="6" xr3:uid="{5F2A751B-090D-484F-94F7-5A4B01168677}" name="מדד ייחוס*"/>
  </tableColumns>
  <tableStyleInfo showFirstColumn="1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2A098896-AACF-4E27-AC71-E53B4BFF07CA}" name="TitleRegion1.i98.n106.16" displayName="TitleRegion1.i98.n106.16" ref="I98:N106" totalsRowShown="0" headerRowDxfId="174" headerRowBorderDxfId="173" tableBorderDxfId="172">
  <autoFilter ref="I98:N106" xr:uid="{2A098896-AACF-4E27-AC71-E53B4BFF07C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0CCCDA0-A7BD-43B1-A8A2-9C8B31C7F7F3}" name="אפיק השקעה " dataDxfId="171"/>
    <tableColumn id="2" xr3:uid="{438E2773-ABDF-4B70-BA0C-1022C49B0099}" name="שיעור החשיפה ליום 31/12/2025"/>
    <tableColumn id="3" xr3:uid="{54C7A8F0-C541-47A0-A3DD-111B5CF0CA1A}" name="שיעור חשיפה צפוי לשנת 2026"/>
    <tableColumn id="4" xr3:uid="{2E12A419-3AF3-4227-B7A2-D0A77F5D76CC}" name="_x0009_טווח סטייה" dataDxfId="170"/>
    <tableColumn id="5" xr3:uid="{DD38CC44-BB24-4F9E-B36D-8CB0EAD3D944}" name="גבולות שיעור החשיפה הצפויה"/>
    <tableColumn id="6" xr3:uid="{C25F1CF5-F612-42F2-B6C3-A82BAF531FFA}" name="מדד ייחוס*"/>
  </tableColumns>
  <tableStyleInfo showFirstColumn="1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EA1DEF7D-4A91-46A9-8CB6-CF378E07B00B}" name="TitleRegion1.b109.g117.17" displayName="TitleRegion1.b109.g117.17" ref="B109:G117" totalsRowShown="0" headerRowDxfId="169" headerRowBorderDxfId="168" tableBorderDxfId="167">
  <autoFilter ref="B109:G117" xr:uid="{EA1DEF7D-4A91-46A9-8CB6-CF378E07B00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A09AB7C-9513-4056-907D-4727A8DD12F5}" name="אפיק השקעה "/>
    <tableColumn id="2" xr3:uid="{0B9B6108-A8FC-45E4-B0EA-27AA2C9F7D19}" name="שיעור החשיפה ליום 31/12/2025"/>
    <tableColumn id="3" xr3:uid="{43BB5BE8-E6F5-4E27-89E4-F1B8538D383F}" name="שיעור חשיפה צפוי לשנת 2026"/>
    <tableColumn id="4" xr3:uid="{F34B84EF-266A-481A-B7CD-96AA99319C90}" name="_x0009_טווח סטייה" dataDxfId="166"/>
    <tableColumn id="5" xr3:uid="{F4E67B5A-0A70-44BB-A634-4F9116E00383}" name="גבולות שיעור החשיפה הצפויה"/>
    <tableColumn id="6" xr3:uid="{75230E00-A1A7-44B6-B650-78A7648BFA76}" name="מדד ייחוס*"/>
  </tableColumns>
  <tableStyleInfo showFirstColumn="1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94B8F4CE-629B-448F-B0D2-1D889A240EC2}" name="TitleRegion1.i109.n117.18" displayName="TitleRegion1.i109.n117.18" ref="I109:N117" totalsRowShown="0" headerRowDxfId="165" headerRowBorderDxfId="164" tableBorderDxfId="163">
  <autoFilter ref="I109:N117" xr:uid="{94B8F4CE-629B-448F-B0D2-1D889A240EC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7DC0BFF-28B7-4268-8507-FB80B74E03C8}" name="אפיק השקעה " dataDxfId="162"/>
    <tableColumn id="2" xr3:uid="{A151E8EF-4657-4162-9AD2-E66855653DE8}" name="שיעור החשיפה ליום 31/12/2025"/>
    <tableColumn id="3" xr3:uid="{207FD5B7-F2F5-4FD4-8D0D-B60891CF3945}" name="שיעור חשיפה צפוי לשנת 2026"/>
    <tableColumn id="4" xr3:uid="{3C314114-14EB-4354-877A-11B3973378BD}" name="_x0009_טווח סטייה" dataDxfId="161"/>
    <tableColumn id="5" xr3:uid="{FB50F178-C9FB-49C6-8B7A-5430D08C8E80}" name="גבולות שיעור החשיפה הצפויה"/>
    <tableColumn id="6" xr3:uid="{E672154C-1EFE-49B4-A85F-4DE22F91F13B}" name="מדד ייחוס*"/>
  </tableColumns>
  <tableStyleInfo showFirstColumn="1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AAB95A5C-61B9-4F34-A93B-BA8D8D8DD303}" name="TitleRegion1.b120.g128.19" displayName="TitleRegion1.b120.g128.19" ref="B120:G128" totalsRowShown="0" headerRowDxfId="160" headerRowBorderDxfId="159" tableBorderDxfId="158">
  <autoFilter ref="B120:G128" xr:uid="{AAB95A5C-61B9-4F34-A93B-BA8D8D8DD3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4AA64A0-53A2-4124-9417-EE4295540EEE}" name="אפיק השקעה "/>
    <tableColumn id="2" xr3:uid="{615C3087-C18B-4F3F-98F7-7BBF5C620756}" name="שיעור החשיפה ליום 31/12/2025"/>
    <tableColumn id="3" xr3:uid="{AA2FA070-E035-43C1-9C34-56C76BCF6235}" name="שיעור חשיפה צפוי לשנת 2026"/>
    <tableColumn id="4" xr3:uid="{8EB9508C-5646-4B7A-87B4-FD23F4DB444C}" name="_x0009_טווח סטייה" dataDxfId="157"/>
    <tableColumn id="5" xr3:uid="{735AC346-B19D-4610-AF64-14A0269C913D}" name="גבולות שיעור החשיפה הצפויה"/>
    <tableColumn id="6" xr3:uid="{A46D537B-5B76-4FBE-96B3-7E71B6A82934}" name="מדד ייחוס*" dataDxfId="156"/>
  </tableColumns>
  <tableStyleInfo showFirstColumn="1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727AF7F9-24A3-490A-B54B-AAE44D5A9C65}" name="TitleRegion1.i120.n128.20" displayName="TitleRegion1.i120.n128.20" ref="I120:N128" totalsRowShown="0" headerRowDxfId="155" headerRowBorderDxfId="154" tableBorderDxfId="153">
  <autoFilter ref="I120:N128" xr:uid="{727AF7F9-24A3-490A-B54B-AAE44D5A9C6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7664177-0C65-4B81-8A6D-BB8817328635}" name="אפיק השקעה " dataDxfId="152"/>
    <tableColumn id="2" xr3:uid="{6FA99569-EBD2-48D2-A168-A47CDBE22824}" name="שיעור החשיפה ליום 31/12/2025"/>
    <tableColumn id="3" xr3:uid="{BC2530C9-E404-406F-9CD2-1A576F620E3F}" name="שיעור חשיפה צפוי לשנת 2026"/>
    <tableColumn id="4" xr3:uid="{D1AFC68C-2B94-4E5C-B39E-80F850EB7BF0}" name="_x0009_טווח סטייה" dataDxfId="151"/>
    <tableColumn id="5" xr3:uid="{92B95604-9340-48E4-9C61-5650C5D0C4B1}" name="גבולות שיעור החשיפה הצפויה"/>
    <tableColumn id="6" xr3:uid="{F86F8EBF-D93B-44A5-B494-7DFB80A3F214}" name="מדד ייחוס*" dataDxfId="150"/>
  </tableColumns>
  <tableStyleInfo showFirstColumn="1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EE29A192-2ADF-46B3-84CD-71ECD0C528BA}" name="TitleRegion1.b131.g139.21" displayName="TitleRegion1.b131.g139.21" ref="B131:G139" totalsRowShown="0" headerRowDxfId="149" headerRowBorderDxfId="148" tableBorderDxfId="147">
  <autoFilter ref="B131:G139" xr:uid="{EE29A192-2ADF-46B3-84CD-71ECD0C528B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744677C-DA8A-41A6-86DE-B78FEE7AE8B5}" name="אפיק השקעה "/>
    <tableColumn id="2" xr3:uid="{7A89A951-20C1-4029-813C-4A50BADD62BB}" name="שיעור החשיפה ליום 31/12/2025"/>
    <tableColumn id="3" xr3:uid="{C6FBEE06-3BCB-41EA-A00E-03F7746CFC80}" name="שיעור חשיפה צפוי לשנת 2026"/>
    <tableColumn id="4" xr3:uid="{BE76C93C-D7A6-4BD4-A99C-B70D7C0AF12B}" name="_x0009_טווח סטייה" dataDxfId="146"/>
    <tableColumn id="5" xr3:uid="{6F729B47-6091-49A8-B4B9-7C793880AC26}" name="גבולות שיעור החשיפה הצפויה"/>
    <tableColumn id="6" xr3:uid="{E6473873-FB85-4B5A-8C96-65A1E3B1955D}" name="מדד ייחוס*"/>
  </tableColumns>
  <tableStyleInfo showFirstColumn="1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1A00941C-559E-4A21-8D18-1A7EACD2D74D}" name="TitleRegion1.i131.n139.22" displayName="TitleRegion1.i131.n139.22" ref="I131:N139" totalsRowShown="0" headerRowDxfId="145" headerRowBorderDxfId="144" tableBorderDxfId="143">
  <autoFilter ref="I131:N139" xr:uid="{1A00941C-559E-4A21-8D18-1A7EACD2D74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2AFEDB8-62D5-4C3F-9C3F-45B2C6B29EFC}" name="אפיק השקעה " dataDxfId="142"/>
    <tableColumn id="2" xr3:uid="{9E52A3B0-846A-4D53-B988-1EA6E761A8BD}" name="שיעור החשיפה ליום 31/12/2025"/>
    <tableColumn id="3" xr3:uid="{F128701D-2C82-420A-8060-B7DFC8E64F71}" name="שיעור חשיפה צפוי לשנת 2026"/>
    <tableColumn id="4" xr3:uid="{CB1D5D4C-8ACA-4664-80A9-49F6183306A3}" name="_x0009_טווח סטייה" dataDxfId="141"/>
    <tableColumn id="5" xr3:uid="{77262749-5305-4D83-975A-CE2D037AAAD3}" name="גבולות שיעור החשיפה הצפויה"/>
    <tableColumn id="6" xr3:uid="{F717A6B3-2B10-47E3-B5EA-86B168FD6FCB}" name="מדד ייחוס*"/>
  </tableColumns>
  <tableStyleInfo showFirstColumn="1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6AD60B90-E5CA-4DE8-832F-2AAA25FD3078}" name="TitleRegion1.b142.g150.23" displayName="TitleRegion1.b142.g150.23" ref="B142:G150" totalsRowShown="0" headerRowDxfId="140" headerRowBorderDxfId="139" tableBorderDxfId="138">
  <autoFilter ref="B142:G150" xr:uid="{6AD60B90-E5CA-4DE8-832F-2AAA25FD307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DBE412BC-BFDB-47E9-BDA4-90AD86506D3C}" name="אפיק השקעה "/>
    <tableColumn id="2" xr3:uid="{205F666D-C55A-458E-814C-5088EE770FD9}" name="שיעור החשיפה ליום 31/12/2025"/>
    <tableColumn id="3" xr3:uid="{707E1EF3-7396-4E9E-912C-01D682F24798}" name="שיעור חשיפה צפוי לשנת 2026"/>
    <tableColumn id="4" xr3:uid="{A64E6556-DE0E-4E8D-9129-CB54F4302C1B}" name="_x0009_טווח סטייה" dataDxfId="137"/>
    <tableColumn id="5" xr3:uid="{47561ED2-46E7-4E63-8D3B-8AD47061E09B}" name="גבולות שיעור החשיפה הצפויה"/>
    <tableColumn id="6" xr3:uid="{65EE1B82-A37F-40DB-A93D-675F3D97BB4C}" name="מדד ייחוס*"/>
  </tableColumns>
  <tableStyleInfo showFirstColumn="1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EA1B0965-287C-4056-B41E-435821D6739C}" name="TitleRegion1.i142.n150.24" displayName="TitleRegion1.i142.n150.24" ref="I142:N150" totalsRowShown="0" headerRowDxfId="136" headerRowBorderDxfId="135" tableBorderDxfId="134">
  <autoFilter ref="I142:N150" xr:uid="{EA1B0965-287C-4056-B41E-435821D6739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75FDE40-CDDB-4569-B36D-9291C9AE6A45}" name="אפיק השקעה "/>
    <tableColumn id="2" xr3:uid="{313623D2-AB0F-4217-B4D3-7E85BA8589D5}" name="שיעור החשיפה ליום 31/12/2025"/>
    <tableColumn id="3" xr3:uid="{B824AB17-6A78-4081-A7B2-0171A85D5B12}" name="שיעור חשיפה צפוי לשנת 2026"/>
    <tableColumn id="4" xr3:uid="{7777DB8B-639E-4A54-B143-FF814F514B2A}" name="_x0009_טווח סטייה"/>
    <tableColumn id="5" xr3:uid="{AFBC1699-1BD9-4220-B787-610C6600662C}" name="גבולות שיעור החשיפה הצפויה"/>
    <tableColumn id="6" xr3:uid="{9EB7D124-6ACD-432E-8313-89BE650C58B6}" name="מדד ייחוס*"/>
  </tableColumns>
  <tableStyleInfo showFirstColumn="1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4CA6C9A-5693-4C3E-B4B2-2D5544AE48C9}" name="TitleRegion1.b153.g161.25" displayName="TitleRegion1.b153.g161.25" ref="B153:G161" totalsRowShown="0" headerRowDxfId="133" headerRowBorderDxfId="132" tableBorderDxfId="131">
  <autoFilter ref="B153:G161" xr:uid="{04CA6C9A-5693-4C3E-B4B2-2D5544AE48C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22D94E6-BACD-4CD7-8FEC-27B013442BF6}" name="אפיק השקעה "/>
    <tableColumn id="2" xr3:uid="{61A8E58F-72FD-493F-9194-C7C0A17116D1}" name="שיעור החשיפה ליום 31/12/2025"/>
    <tableColumn id="3" xr3:uid="{1C6D63C9-2D3B-452E-ABB4-4421078C79EC}" name="שיעור חשיפה צפוי לשנת 2026"/>
    <tableColumn id="4" xr3:uid="{B3DE4ACE-2995-4793-A61E-68CAD2089D64}" name="_x0009_טווח סטייה" dataDxfId="130"/>
    <tableColumn id="5" xr3:uid="{1E4A34D4-A236-4DE4-B974-BC897160F177}" name="גבולות שיעור החשיפה הצפויה"/>
    <tableColumn id="6" xr3:uid="{BB9748F1-0199-4B03-A31E-5C0B16175F6B}" name="מדד ייחוס*"/>
  </tableColumns>
  <tableStyleInfo showFirstColumn="1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78D58EE4-6A50-4163-AC5D-C432878E999A}" name="TitleRegion1.i153.n161.26" displayName="TitleRegion1.i153.n161.26" ref="I153:N161" totalsRowShown="0" headerRowDxfId="129" headerRowBorderDxfId="128" tableBorderDxfId="127">
  <autoFilter ref="I153:N161" xr:uid="{78D58EE4-6A50-4163-AC5D-C432878E999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9D4027F4-D081-4B0C-BF8E-F5493609ADA5}" name="אפיק השקעה " dataDxfId="126"/>
    <tableColumn id="2" xr3:uid="{1075537C-E151-4A68-A695-ADFCD3023B10}" name="שיעור החשיפה ליום 31/12/2025"/>
    <tableColumn id="3" xr3:uid="{C694C2C9-F144-45AF-B069-59F04FD4C84B}" name="שיעור חשיפה צפוי לשנת 2026"/>
    <tableColumn id="4" xr3:uid="{DAAEF5F3-B722-4066-9EEC-93ACA761F9B6}" name="_x0009_טווח סטייה" dataDxfId="125"/>
    <tableColumn id="5" xr3:uid="{31F7181F-20BC-4382-A58D-3FADCC2796F1}" name="גבולות שיעור החשיפה הצפויה"/>
    <tableColumn id="6" xr3:uid="{D3A92F13-1180-4834-9CCF-EABF46908C22}" name="מדד ייחוס*"/>
  </tableColumns>
  <tableStyleInfo showFirstColumn="1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124A561C-17C4-4858-AF98-571B0866146B}" name="TitleRegion1.b164.g175.27" displayName="TitleRegion1.b164.g175.27" ref="B164:G175" totalsRowShown="0" headerRowDxfId="124" headerRowBorderDxfId="123" tableBorderDxfId="122" totalsRowBorderDxfId="121">
  <autoFilter ref="B164:G175" xr:uid="{124A561C-17C4-4858-AF98-571B0866146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AC6EC94-3D32-4AB1-90AA-FEC36F0BD1DD}" name="אפיק השקעה " dataDxfId="120"/>
    <tableColumn id="2" xr3:uid="{226EE676-0113-4E1F-8FB3-E6617A4F8BD1}" name="שיעור החשיפה ליום 31/12/2025" dataDxfId="119"/>
    <tableColumn id="3" xr3:uid="{063F1E9D-94C8-4F9B-879D-1344B1587DAB}" name="שיעור חשיפה צפוי לשנת 2026" dataDxfId="118"/>
    <tableColumn id="4" xr3:uid="{E754AD3E-867D-41DA-A443-470DDAF23F09}" name="טווח סטיה מותר" dataDxfId="117"/>
    <tableColumn id="5" xr3:uid="{10383BAA-B2BB-481E-906C-281DFDA9EF75}" name="גבולות שיעור החשיפה הצפויה"/>
    <tableColumn id="6" xr3:uid="{18B9FC05-BC02-4FD3-BEE5-A414433B294B}" name="מדד ייחוס*"/>
  </tableColumns>
  <tableStyleInfo showFirstColumn="1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5B595A19-6AB2-4C32-9E4C-5F39B3AB1800}" name="TitleRegion1.i164.n175.28" displayName="TitleRegion1.i164.n175.28" ref="I164:N175" totalsRowShown="0" headerRowDxfId="116" headerRowBorderDxfId="115" tableBorderDxfId="114" totalsRowBorderDxfId="113">
  <autoFilter ref="I164:N175" xr:uid="{5B595A19-6AB2-4C32-9E4C-5F39B3AB18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87A9227-C1C0-49D0-AD22-0CC655CE31A3}" name="אפיק השקעה " dataDxfId="112"/>
    <tableColumn id="2" xr3:uid="{8FA0042A-8EE2-489D-BAAF-5F9B55CCE460}" name="שיעור החשיפה ליום 31/12/2025" dataDxfId="111"/>
    <tableColumn id="3" xr3:uid="{8D079417-73BE-498F-9BE8-D118DDF848CF}" name="שיעור חשיפה צפוי לשנת 2026" dataDxfId="110"/>
    <tableColumn id="4" xr3:uid="{40453673-2450-4BCD-82BD-0AF55F87B595}" name="טווח סטיה מותר" dataDxfId="109"/>
    <tableColumn id="5" xr3:uid="{7B193B17-C6A2-45D4-B9F7-7E48A2908C67}" name="גבולות שיעור החשיפה הצפויה"/>
    <tableColumn id="6" xr3:uid="{42FE1357-E510-4AE8-AD01-F994E33D449B}" name="מדד ייחוס*"/>
  </tableColumns>
  <tableStyleInfo showFirstColumn="1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BD81B4B9-77E9-4FDB-8AA7-BC9D68CD5287}" name="TitleRegion1.b178.g186.29" displayName="TitleRegion1.b178.g186.29" ref="B178:G186" totalsRowShown="0" headerRowDxfId="108" headerRowBorderDxfId="107" tableBorderDxfId="106">
  <autoFilter ref="B178:G186" xr:uid="{BD81B4B9-77E9-4FDB-8AA7-BC9D68CD528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BF22BF1-4A13-40F7-85F7-1F40780685F5}" name="אפיק השקעה "/>
    <tableColumn id="2" xr3:uid="{B37AC12A-1C2C-4251-BEDE-A9EA310B0FF9}" name="שיעור החשיפה ליום 31/12/2025"/>
    <tableColumn id="3" xr3:uid="{074C93BF-4D60-4205-B8C1-663EB14DADEE}" name="שיעור חשיפה צפוי לשנת 2026"/>
    <tableColumn id="4" xr3:uid="{4EE41BF8-2BDC-4888-BD33-A547B12339E3}" name="טווח סטיה מותר" dataDxfId="105"/>
    <tableColumn id="5" xr3:uid="{1CCE4F7C-DD05-438F-932C-0E2828C71737}" name="גבולות שיעור החשיפה הצפויה"/>
    <tableColumn id="6" xr3:uid="{9803F747-8D38-4C83-8E52-AD816E649930}" name="מדד ייחוס*"/>
  </tableColumns>
  <tableStyleInfo showFirstColumn="1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6ED85A5-FDAD-4955-9409-A5E25BA444C6}" name="TitleRegion1.i178.n186.30" displayName="TitleRegion1.i178.n186.30" ref="I178:N186" totalsRowShown="0" headerRowDxfId="104" headerRowBorderDxfId="103" tableBorderDxfId="102">
  <autoFilter ref="I178:N186" xr:uid="{66ED85A5-FDAD-4955-9409-A5E25BA444C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DAC15FE-2B64-4AD8-99F5-E4445A5CDBC4}" name="אפיק השקעה " dataDxfId="101"/>
    <tableColumn id="2" xr3:uid="{A65C386F-60D8-4080-9800-0341EEBA6CD2}" name="שיעור החשיפה ליום 31/12/2025" dataDxfId="100"/>
    <tableColumn id="3" xr3:uid="{490A4903-99AB-49DB-9BC4-895C5D7A1D23}" name="שיעור חשיפה צפוי לשנת 2026"/>
    <tableColumn id="4" xr3:uid="{2487CED3-5FA4-4EE1-9FB5-C8BB198054A8}" name="טווח סטיה מותר" dataDxfId="99"/>
    <tableColumn id="5" xr3:uid="{9EBC466D-CFA6-477F-ACC5-96E211C06C52}" name="גבולות שיעור החשיפה הצפויה"/>
    <tableColumn id="6" xr3:uid="{76897B1C-0AD4-48B8-9F60-FE6EA6D33F2E}" name="מדד ייחוס*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13" Type="http://schemas.openxmlformats.org/officeDocument/2006/relationships/table" Target="../tables/table11.xml"/><Relationship Id="rId18" Type="http://schemas.openxmlformats.org/officeDocument/2006/relationships/table" Target="../tables/table16.xml"/><Relationship Id="rId3" Type="http://schemas.openxmlformats.org/officeDocument/2006/relationships/table" Target="../tables/table1.xml"/><Relationship Id="rId21" Type="http://schemas.openxmlformats.org/officeDocument/2006/relationships/table" Target="../tables/table19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17" Type="http://schemas.openxmlformats.org/officeDocument/2006/relationships/table" Target="../tables/table15.xml"/><Relationship Id="rId25" Type="http://schemas.openxmlformats.org/officeDocument/2006/relationships/table" Target="../tables/table23.xml"/><Relationship Id="rId2" Type="http://schemas.openxmlformats.org/officeDocument/2006/relationships/drawing" Target="../drawings/drawing1.xml"/><Relationship Id="rId16" Type="http://schemas.openxmlformats.org/officeDocument/2006/relationships/table" Target="../tables/table14.xml"/><Relationship Id="rId20" Type="http://schemas.openxmlformats.org/officeDocument/2006/relationships/table" Target="../tables/table18.xml"/><Relationship Id="rId1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24" Type="http://schemas.openxmlformats.org/officeDocument/2006/relationships/table" Target="../tables/table22.xml"/><Relationship Id="rId5" Type="http://schemas.openxmlformats.org/officeDocument/2006/relationships/table" Target="../tables/table3.xml"/><Relationship Id="rId15" Type="http://schemas.openxmlformats.org/officeDocument/2006/relationships/table" Target="../tables/table13.xml"/><Relationship Id="rId23" Type="http://schemas.openxmlformats.org/officeDocument/2006/relationships/table" Target="../tables/table21.xml"/><Relationship Id="rId10" Type="http://schemas.openxmlformats.org/officeDocument/2006/relationships/table" Target="../tables/table8.xml"/><Relationship Id="rId19" Type="http://schemas.openxmlformats.org/officeDocument/2006/relationships/table" Target="../tables/table17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Relationship Id="rId14" Type="http://schemas.openxmlformats.org/officeDocument/2006/relationships/table" Target="../tables/table12.xml"/><Relationship Id="rId22" Type="http://schemas.openxmlformats.org/officeDocument/2006/relationships/table" Target="../tables/table20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32.xml"/><Relationship Id="rId18" Type="http://schemas.openxmlformats.org/officeDocument/2006/relationships/table" Target="../tables/table37.xml"/><Relationship Id="rId26" Type="http://schemas.openxmlformats.org/officeDocument/2006/relationships/table" Target="../tables/table45.xml"/><Relationship Id="rId3" Type="http://schemas.openxmlformats.org/officeDocument/2006/relationships/printerSettings" Target="../printerSettings/printerSettings1.bin"/><Relationship Id="rId21" Type="http://schemas.openxmlformats.org/officeDocument/2006/relationships/table" Target="../tables/table40.xml"/><Relationship Id="rId34" Type="http://schemas.openxmlformats.org/officeDocument/2006/relationships/table" Target="../tables/table53.xml"/><Relationship Id="rId7" Type="http://schemas.openxmlformats.org/officeDocument/2006/relationships/table" Target="../tables/table26.xml"/><Relationship Id="rId12" Type="http://schemas.openxmlformats.org/officeDocument/2006/relationships/table" Target="../tables/table31.xml"/><Relationship Id="rId17" Type="http://schemas.openxmlformats.org/officeDocument/2006/relationships/table" Target="../tables/table36.xml"/><Relationship Id="rId25" Type="http://schemas.openxmlformats.org/officeDocument/2006/relationships/table" Target="../tables/table44.xml"/><Relationship Id="rId33" Type="http://schemas.openxmlformats.org/officeDocument/2006/relationships/table" Target="../tables/table52.xml"/><Relationship Id="rId2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16" Type="http://schemas.openxmlformats.org/officeDocument/2006/relationships/table" Target="../tables/table35.xml"/><Relationship Id="rId20" Type="http://schemas.openxmlformats.org/officeDocument/2006/relationships/table" Target="../tables/table39.xml"/><Relationship Id="rId29" Type="http://schemas.openxmlformats.org/officeDocument/2006/relationships/table" Target="../tables/table48.xml"/><Relationship Id="rId1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6" Type="http://schemas.openxmlformats.org/officeDocument/2006/relationships/table" Target="../tables/table25.xml"/><Relationship Id="rId11" Type="http://schemas.openxmlformats.org/officeDocument/2006/relationships/table" Target="../tables/table30.xml"/><Relationship Id="rId24" Type="http://schemas.openxmlformats.org/officeDocument/2006/relationships/table" Target="../tables/table43.xml"/><Relationship Id="rId32" Type="http://schemas.openxmlformats.org/officeDocument/2006/relationships/table" Target="../tables/table51.xml"/><Relationship Id="rId5" Type="http://schemas.openxmlformats.org/officeDocument/2006/relationships/table" Target="../tables/table24.xml"/><Relationship Id="rId15" Type="http://schemas.openxmlformats.org/officeDocument/2006/relationships/table" Target="../tables/table34.xml"/><Relationship Id="rId23" Type="http://schemas.openxmlformats.org/officeDocument/2006/relationships/table" Target="../tables/table42.xml"/><Relationship Id="rId28" Type="http://schemas.openxmlformats.org/officeDocument/2006/relationships/table" Target="../tables/table47.xml"/><Relationship Id="rId10" Type="http://schemas.openxmlformats.org/officeDocument/2006/relationships/table" Target="../tables/table29.xml"/><Relationship Id="rId19" Type="http://schemas.openxmlformats.org/officeDocument/2006/relationships/table" Target="../tables/table38.xml"/><Relationship Id="rId31" Type="http://schemas.openxmlformats.org/officeDocument/2006/relationships/table" Target="../tables/table50.xml"/><Relationship Id="rId4" Type="http://schemas.openxmlformats.org/officeDocument/2006/relationships/drawing" Target="../drawings/drawing2.xml"/><Relationship Id="rId9" Type="http://schemas.openxmlformats.org/officeDocument/2006/relationships/table" Target="../tables/table28.xml"/><Relationship Id="rId14" Type="http://schemas.openxmlformats.org/officeDocument/2006/relationships/table" Target="../tables/table33.xml"/><Relationship Id="rId22" Type="http://schemas.openxmlformats.org/officeDocument/2006/relationships/table" Target="../tables/table41.xml"/><Relationship Id="rId27" Type="http://schemas.openxmlformats.org/officeDocument/2006/relationships/table" Target="../tables/table46.xml"/><Relationship Id="rId30" Type="http://schemas.openxmlformats.org/officeDocument/2006/relationships/table" Target="../tables/table49.xml"/><Relationship Id="rId8" Type="http://schemas.openxmlformats.org/officeDocument/2006/relationships/table" Target="../tables/table2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6ACDA-7915-4348-97BF-B3221B9E8115}">
  <sheetPr>
    <tabColor rgb="FF305598"/>
  </sheetPr>
  <dimension ref="A1:AZ10000"/>
  <sheetViews>
    <sheetView rightToLeft="1" tabSelected="1" zoomScale="70" zoomScaleNormal="70" workbookViewId="0">
      <selection activeCell="C19" sqref="C19"/>
    </sheetView>
  </sheetViews>
  <sheetFormatPr defaultColWidth="9" defaultRowHeight="14.25" x14ac:dyDescent="0.2"/>
  <cols>
    <col min="1" max="1" width="17.75" style="98" customWidth="1"/>
    <col min="2" max="2" width="32.75" style="100" customWidth="1"/>
    <col min="3" max="3" width="37.75" style="100" customWidth="1"/>
    <col min="4" max="4" width="38.75" style="100" customWidth="1"/>
    <col min="5" max="5" width="37.125" style="98" customWidth="1"/>
    <col min="6" max="6" width="28.25" style="98" customWidth="1"/>
    <col min="7" max="7" width="16.75" style="101" customWidth="1"/>
    <col min="8" max="8" width="29" style="98" customWidth="1"/>
    <col min="9" max="9" width="24.25" style="102" customWidth="1"/>
    <col min="10" max="16384" width="9" style="98"/>
  </cols>
  <sheetData>
    <row r="1" spans="1:9" ht="62.65" customHeight="1" x14ac:dyDescent="0.3">
      <c r="A1" s="237" t="s">
        <v>231</v>
      </c>
      <c r="B1" s="237"/>
      <c r="C1" s="237"/>
      <c r="D1" s="237"/>
      <c r="E1" s="237"/>
      <c r="F1" s="237"/>
      <c r="G1" s="93"/>
      <c r="H1" s="16"/>
      <c r="I1" s="173"/>
    </row>
    <row r="2" spans="1:9" ht="23.25" x14ac:dyDescent="0.25">
      <c r="A2" s="24" t="s">
        <v>37</v>
      </c>
      <c r="B2" s="34" t="s">
        <v>33</v>
      </c>
      <c r="C2" s="38"/>
      <c r="D2" s="38"/>
      <c r="E2" s="35"/>
      <c r="F2" s="36"/>
      <c r="G2" s="94"/>
      <c r="H2" s="35"/>
      <c r="I2" s="41"/>
    </row>
    <row r="3" spans="1:9" ht="15.75" x14ac:dyDescent="0.2">
      <c r="A3" s="25"/>
      <c r="B3" s="13" t="s">
        <v>0</v>
      </c>
      <c r="C3" s="111" t="s">
        <v>189</v>
      </c>
      <c r="D3" s="111" t="s">
        <v>190</v>
      </c>
      <c r="E3" s="15" t="s">
        <v>225</v>
      </c>
      <c r="F3" s="15" t="s">
        <v>200</v>
      </c>
      <c r="G3" s="14" t="s">
        <v>30</v>
      </c>
      <c r="H3" s="14" t="s">
        <v>20</v>
      </c>
      <c r="I3" s="14" t="s">
        <v>35</v>
      </c>
    </row>
    <row r="4" spans="1:9" ht="57" x14ac:dyDescent="0.2">
      <c r="A4" s="27"/>
      <c r="B4" s="108" t="s">
        <v>140</v>
      </c>
      <c r="C4" s="112" t="s">
        <v>189</v>
      </c>
      <c r="D4" s="112" t="s">
        <v>189</v>
      </c>
      <c r="E4" s="3">
        <v>0.50090000000000001</v>
      </c>
      <c r="F4" s="5">
        <v>0.47</v>
      </c>
      <c r="G4" s="185" t="s">
        <v>4</v>
      </c>
      <c r="H4" s="7" t="s">
        <v>204</v>
      </c>
      <c r="I4" s="186" t="s">
        <v>223</v>
      </c>
    </row>
    <row r="5" spans="1:9" x14ac:dyDescent="0.2">
      <c r="A5" s="26"/>
      <c r="B5" s="108" t="s">
        <v>2</v>
      </c>
      <c r="C5" s="113" t="s">
        <v>189</v>
      </c>
      <c r="D5" s="113" t="s">
        <v>189</v>
      </c>
      <c r="E5" s="3">
        <v>0.2044</v>
      </c>
      <c r="F5" s="3">
        <v>0.22</v>
      </c>
      <c r="G5" s="187" t="s">
        <v>3</v>
      </c>
      <c r="H5" s="4" t="s">
        <v>205</v>
      </c>
      <c r="I5" s="107" t="s">
        <v>14</v>
      </c>
    </row>
    <row r="6" spans="1:9" x14ac:dyDescent="0.2">
      <c r="A6" s="27"/>
      <c r="B6" s="109" t="s">
        <v>139</v>
      </c>
      <c r="C6" s="112" t="s">
        <v>189</v>
      </c>
      <c r="D6" s="112" t="s">
        <v>189</v>
      </c>
      <c r="E6" s="3">
        <v>0.20710000000000001</v>
      </c>
      <c r="F6" s="3">
        <v>0.22</v>
      </c>
      <c r="G6" s="187" t="s">
        <v>4</v>
      </c>
      <c r="H6" s="4" t="s">
        <v>53</v>
      </c>
      <c r="I6" s="107" t="s">
        <v>15</v>
      </c>
    </row>
    <row r="7" spans="1:9" ht="28.5" x14ac:dyDescent="0.2">
      <c r="A7" s="27"/>
      <c r="B7" s="108" t="s">
        <v>9</v>
      </c>
      <c r="C7" s="113" t="s">
        <v>189</v>
      </c>
      <c r="D7" s="113" t="s">
        <v>189</v>
      </c>
      <c r="E7" s="3">
        <v>9.9900000000000003E-2</v>
      </c>
      <c r="F7" s="3">
        <v>0.1</v>
      </c>
      <c r="G7" s="188" t="s">
        <v>3</v>
      </c>
      <c r="H7" s="4" t="s">
        <v>49</v>
      </c>
      <c r="I7" s="107" t="s">
        <v>16</v>
      </c>
    </row>
    <row r="8" spans="1:9" x14ac:dyDescent="0.2">
      <c r="A8" s="27"/>
      <c r="B8" s="108" t="s">
        <v>10</v>
      </c>
      <c r="C8" s="113" t="s">
        <v>189</v>
      </c>
      <c r="D8" s="113" t="s">
        <v>189</v>
      </c>
      <c r="E8" s="3">
        <v>3.2800000000000003E-2</v>
      </c>
      <c r="F8" s="3">
        <v>7.0000000000000007E-2</v>
      </c>
      <c r="G8" s="188" t="s">
        <v>3</v>
      </c>
      <c r="H8" s="4" t="s">
        <v>50</v>
      </c>
      <c r="I8" s="107" t="s">
        <v>17</v>
      </c>
    </row>
    <row r="9" spans="1:9" x14ac:dyDescent="0.2">
      <c r="A9" s="27"/>
      <c r="B9" s="108" t="s">
        <v>11</v>
      </c>
      <c r="C9" s="113" t="s">
        <v>189</v>
      </c>
      <c r="D9" s="113" t="s">
        <v>189</v>
      </c>
      <c r="E9" s="3">
        <v>7.0699999999999999E-2</v>
      </c>
      <c r="F9" s="3">
        <v>0.05</v>
      </c>
      <c r="G9" s="188" t="s">
        <v>3</v>
      </c>
      <c r="H9" s="4" t="s">
        <v>51</v>
      </c>
      <c r="I9" s="107" t="s">
        <v>18</v>
      </c>
    </row>
    <row r="10" spans="1:9" x14ac:dyDescent="0.2">
      <c r="A10" s="27"/>
      <c r="B10" s="108" t="s">
        <v>21</v>
      </c>
      <c r="C10" s="113" t="s">
        <v>189</v>
      </c>
      <c r="D10" s="113" t="s">
        <v>189</v>
      </c>
      <c r="E10" s="3">
        <v>0</v>
      </c>
      <c r="F10" s="3">
        <v>0.05</v>
      </c>
      <c r="G10" s="188" t="s">
        <v>3</v>
      </c>
      <c r="H10" s="4" t="s">
        <v>51</v>
      </c>
      <c r="I10" s="107" t="s">
        <v>18</v>
      </c>
    </row>
    <row r="11" spans="1:9" x14ac:dyDescent="0.2">
      <c r="A11" s="27"/>
      <c r="B11" s="108" t="s">
        <v>12</v>
      </c>
      <c r="C11" s="113" t="s">
        <v>189</v>
      </c>
      <c r="D11" s="113" t="s">
        <v>189</v>
      </c>
      <c r="E11" s="189">
        <v>0.17960000000000001</v>
      </c>
      <c r="F11" s="3">
        <v>0.15</v>
      </c>
      <c r="G11" s="187" t="s">
        <v>3</v>
      </c>
      <c r="H11" s="4" t="s">
        <v>52</v>
      </c>
      <c r="I11" s="4" t="s">
        <v>18</v>
      </c>
    </row>
    <row r="12" spans="1:9" x14ac:dyDescent="0.2">
      <c r="A12" s="27"/>
      <c r="B12" s="108" t="s">
        <v>13</v>
      </c>
      <c r="C12" s="113" t="s">
        <v>189</v>
      </c>
      <c r="D12" s="113" t="s">
        <v>189</v>
      </c>
      <c r="E12" s="3">
        <v>2.12E-2</v>
      </c>
      <c r="F12" s="3">
        <v>0.05</v>
      </c>
      <c r="G12" s="187" t="s">
        <v>3</v>
      </c>
      <c r="H12" s="190" t="s">
        <v>51</v>
      </c>
      <c r="I12" s="117" t="s">
        <v>189</v>
      </c>
    </row>
    <row r="13" spans="1:9" ht="15" x14ac:dyDescent="0.2">
      <c r="A13" s="27"/>
      <c r="B13" s="110" t="s">
        <v>5</v>
      </c>
      <c r="C13" s="114" t="s">
        <v>189</v>
      </c>
      <c r="D13" s="114" t="s">
        <v>189</v>
      </c>
      <c r="E13" s="103">
        <f>SUM(E4:E12)</f>
        <v>1.3166000000000002</v>
      </c>
      <c r="F13" s="103">
        <f>SUM(F4:F12)</f>
        <v>1.3800000000000001</v>
      </c>
      <c r="G13" s="191" t="s">
        <v>189</v>
      </c>
      <c r="H13" s="192" t="s">
        <v>189</v>
      </c>
      <c r="I13" s="192" t="s">
        <v>189</v>
      </c>
    </row>
    <row r="14" spans="1:9" x14ac:dyDescent="0.2">
      <c r="A14" s="27"/>
      <c r="B14" s="108" t="s">
        <v>6</v>
      </c>
      <c r="C14" s="113" t="s">
        <v>189</v>
      </c>
      <c r="D14" s="113" t="s">
        <v>189</v>
      </c>
      <c r="E14" s="11">
        <v>0.1918</v>
      </c>
      <c r="F14" s="11">
        <v>0.2</v>
      </c>
      <c r="G14" s="187" t="s">
        <v>4</v>
      </c>
      <c r="H14" s="4" t="s">
        <v>64</v>
      </c>
      <c r="I14" s="107" t="s">
        <v>19</v>
      </c>
    </row>
    <row r="15" spans="1:9" ht="15" x14ac:dyDescent="0.25">
      <c r="A15" s="27"/>
      <c r="B15" s="110" t="s">
        <v>230</v>
      </c>
      <c r="C15" s="114" t="s">
        <v>189</v>
      </c>
      <c r="D15" s="114" t="s">
        <v>189</v>
      </c>
      <c r="E15" s="12">
        <v>2.5999999999999999E-3</v>
      </c>
      <c r="F15" s="150" t="s">
        <v>189</v>
      </c>
      <c r="G15" s="135" t="s">
        <v>189</v>
      </c>
      <c r="H15" s="135" t="s">
        <v>189</v>
      </c>
      <c r="I15" s="174" t="s">
        <v>189</v>
      </c>
    </row>
    <row r="16" spans="1:9" ht="15" x14ac:dyDescent="0.25">
      <c r="A16" s="20"/>
      <c r="B16" s="17"/>
      <c r="C16" s="17"/>
      <c r="D16" s="17"/>
      <c r="E16" s="19"/>
      <c r="F16" s="18"/>
      <c r="G16" s="92"/>
      <c r="H16" s="19"/>
      <c r="I16" s="175"/>
    </row>
    <row r="17" spans="1:9" ht="23.25" x14ac:dyDescent="0.25">
      <c r="A17" s="24" t="s">
        <v>37</v>
      </c>
      <c r="B17" s="34" t="s">
        <v>34</v>
      </c>
      <c r="C17" s="34"/>
      <c r="D17" s="34"/>
      <c r="E17" s="35"/>
      <c r="F17" s="36"/>
      <c r="G17" s="94"/>
      <c r="H17" s="35"/>
      <c r="I17" s="41"/>
    </row>
    <row r="18" spans="1:9" ht="15.75" x14ac:dyDescent="0.2">
      <c r="A18" s="25"/>
      <c r="B18" s="13" t="s">
        <v>0</v>
      </c>
      <c r="C18" s="111" t="s">
        <v>189</v>
      </c>
      <c r="D18" s="111" t="s">
        <v>190</v>
      </c>
      <c r="E18" s="15" t="s">
        <v>225</v>
      </c>
      <c r="F18" s="15" t="s">
        <v>200</v>
      </c>
      <c r="G18" s="14" t="s">
        <v>30</v>
      </c>
      <c r="H18" s="14" t="s">
        <v>20</v>
      </c>
      <c r="I18" s="14" t="s">
        <v>35</v>
      </c>
    </row>
    <row r="19" spans="1:9" ht="57" x14ac:dyDescent="0.2">
      <c r="A19" s="27"/>
      <c r="B19" s="108" t="s">
        <v>140</v>
      </c>
      <c r="C19" s="113" t="s">
        <v>189</v>
      </c>
      <c r="D19" s="113" t="s">
        <v>190</v>
      </c>
      <c r="E19" s="5" t="s">
        <v>234</v>
      </c>
      <c r="F19" s="5" t="s">
        <v>235</v>
      </c>
      <c r="G19" s="185" t="s">
        <v>4</v>
      </c>
      <c r="H19" s="7" t="s">
        <v>176</v>
      </c>
      <c r="I19" s="6" t="s">
        <v>223</v>
      </c>
    </row>
    <row r="20" spans="1:9" x14ac:dyDescent="0.2">
      <c r="A20" s="26"/>
      <c r="B20" s="108" t="s">
        <v>2</v>
      </c>
      <c r="C20" s="113" t="s">
        <v>189</v>
      </c>
      <c r="D20" s="113" t="s">
        <v>189</v>
      </c>
      <c r="E20" s="3">
        <v>0.24310000000000001</v>
      </c>
      <c r="F20" s="3">
        <v>0.24</v>
      </c>
      <c r="G20" s="187" t="s">
        <v>3</v>
      </c>
      <c r="H20" s="4" t="s">
        <v>46</v>
      </c>
      <c r="I20" s="1" t="s">
        <v>14</v>
      </c>
    </row>
    <row r="21" spans="1:9" x14ac:dyDescent="0.2">
      <c r="A21" s="27"/>
      <c r="B21" s="109" t="s">
        <v>139</v>
      </c>
      <c r="C21" s="113" t="s">
        <v>189</v>
      </c>
      <c r="D21" s="113" t="s">
        <v>189</v>
      </c>
      <c r="E21" s="3">
        <v>0.2155</v>
      </c>
      <c r="F21" s="3">
        <v>0.22</v>
      </c>
      <c r="G21" s="187" t="s">
        <v>4</v>
      </c>
      <c r="H21" s="4" t="s">
        <v>53</v>
      </c>
      <c r="I21" s="1" t="s">
        <v>15</v>
      </c>
    </row>
    <row r="22" spans="1:9" ht="28.5" x14ac:dyDescent="0.2">
      <c r="A22" s="27"/>
      <c r="B22" s="108" t="s">
        <v>9</v>
      </c>
      <c r="C22" s="113" t="s">
        <v>189</v>
      </c>
      <c r="D22" s="113" t="s">
        <v>189</v>
      </c>
      <c r="E22" s="3">
        <v>6.2600000000000003E-2</v>
      </c>
      <c r="F22" s="3">
        <v>0.06</v>
      </c>
      <c r="G22" s="188" t="s">
        <v>3</v>
      </c>
      <c r="H22" s="9" t="s">
        <v>174</v>
      </c>
      <c r="I22" s="1" t="s">
        <v>16</v>
      </c>
    </row>
    <row r="23" spans="1:9" x14ac:dyDescent="0.2">
      <c r="A23" s="27"/>
      <c r="B23" s="166" t="s">
        <v>10</v>
      </c>
      <c r="C23" s="113" t="s">
        <v>189</v>
      </c>
      <c r="D23" s="113" t="s">
        <v>189</v>
      </c>
      <c r="E23" s="3">
        <v>3.4000000000000002E-2</v>
      </c>
      <c r="F23" s="3">
        <v>7.0000000000000007E-2</v>
      </c>
      <c r="G23" s="188" t="s">
        <v>3</v>
      </c>
      <c r="H23" s="9" t="s">
        <v>50</v>
      </c>
      <c r="I23" s="1" t="s">
        <v>17</v>
      </c>
    </row>
    <row r="24" spans="1:9" x14ac:dyDescent="0.2">
      <c r="A24" s="27"/>
      <c r="B24" s="108" t="s">
        <v>11</v>
      </c>
      <c r="C24" s="113" t="s">
        <v>189</v>
      </c>
      <c r="D24" s="113" t="s">
        <v>189</v>
      </c>
      <c r="E24" s="3">
        <v>5.2499999999999998E-2</v>
      </c>
      <c r="F24" s="3">
        <v>0.05</v>
      </c>
      <c r="G24" s="188" t="s">
        <v>3</v>
      </c>
      <c r="H24" s="9" t="s">
        <v>51</v>
      </c>
      <c r="I24" s="1" t="s">
        <v>18</v>
      </c>
    </row>
    <row r="25" spans="1:9" x14ac:dyDescent="0.2">
      <c r="A25" s="27"/>
      <c r="B25" s="108" t="s">
        <v>21</v>
      </c>
      <c r="C25" s="113" t="s">
        <v>189</v>
      </c>
      <c r="D25" s="113" t="s">
        <v>189</v>
      </c>
      <c r="E25" s="3">
        <v>0</v>
      </c>
      <c r="F25" s="3">
        <v>0.05</v>
      </c>
      <c r="G25" s="188" t="s">
        <v>3</v>
      </c>
      <c r="H25" s="9" t="s">
        <v>51</v>
      </c>
      <c r="I25" s="1" t="s">
        <v>18</v>
      </c>
    </row>
    <row r="26" spans="1:9" x14ac:dyDescent="0.2">
      <c r="A26" s="27"/>
      <c r="B26" s="108" t="s">
        <v>12</v>
      </c>
      <c r="C26" s="113" t="s">
        <v>189</v>
      </c>
      <c r="D26" s="113" t="s">
        <v>189</v>
      </c>
      <c r="E26" s="3">
        <v>0.18920000000000001</v>
      </c>
      <c r="F26" s="3">
        <v>0.15</v>
      </c>
      <c r="G26" s="187" t="s">
        <v>3</v>
      </c>
      <c r="H26" s="9" t="s">
        <v>52</v>
      </c>
      <c r="I26" s="9" t="s">
        <v>18</v>
      </c>
    </row>
    <row r="27" spans="1:9" x14ac:dyDescent="0.2">
      <c r="A27" s="27"/>
      <c r="B27" s="166" t="s">
        <v>13</v>
      </c>
      <c r="C27" s="113" t="s">
        <v>189</v>
      </c>
      <c r="D27" s="113" t="s">
        <v>189</v>
      </c>
      <c r="E27" s="3">
        <v>1.6500000000000001E-2</v>
      </c>
      <c r="F27" s="3">
        <v>0.05</v>
      </c>
      <c r="G27" s="187" t="s">
        <v>3</v>
      </c>
      <c r="H27" s="10" t="s">
        <v>51</v>
      </c>
      <c r="I27" s="136" t="s">
        <v>189</v>
      </c>
    </row>
    <row r="28" spans="1:9" ht="15" x14ac:dyDescent="0.2">
      <c r="A28" s="27"/>
      <c r="B28" s="110" t="s">
        <v>5</v>
      </c>
      <c r="C28" s="113" t="s">
        <v>189</v>
      </c>
      <c r="D28" s="113" t="s">
        <v>189</v>
      </c>
      <c r="E28" s="103">
        <f>SUM(E19:E27)</f>
        <v>0.81340000000000001</v>
      </c>
      <c r="F28" s="103">
        <f>SUM(F19:F27)</f>
        <v>0.89000000000000024</v>
      </c>
      <c r="G28" s="191" t="s">
        <v>189</v>
      </c>
      <c r="H28" s="116" t="s">
        <v>189</v>
      </c>
      <c r="I28" s="116" t="s">
        <v>189</v>
      </c>
    </row>
    <row r="29" spans="1:9" x14ac:dyDescent="0.2">
      <c r="A29" s="27"/>
      <c r="B29" s="108" t="s">
        <v>6</v>
      </c>
      <c r="C29" s="113" t="s">
        <v>189</v>
      </c>
      <c r="D29" s="113" t="s">
        <v>189</v>
      </c>
      <c r="E29" s="11">
        <v>0.188</v>
      </c>
      <c r="F29" s="11">
        <v>0.2</v>
      </c>
      <c r="G29" s="187" t="s">
        <v>4</v>
      </c>
      <c r="H29" s="9" t="s">
        <v>64</v>
      </c>
      <c r="I29" s="1" t="s">
        <v>19</v>
      </c>
    </row>
    <row r="30" spans="1:9" ht="15" x14ac:dyDescent="0.25">
      <c r="A30" s="27"/>
      <c r="B30" s="110" t="s">
        <v>230</v>
      </c>
      <c r="C30" s="114" t="s">
        <v>189</v>
      </c>
      <c r="D30" s="114" t="s">
        <v>189</v>
      </c>
      <c r="E30" s="12">
        <v>1.9E-3</v>
      </c>
      <c r="F30" s="150" t="s">
        <v>189</v>
      </c>
      <c r="G30" s="135" t="s">
        <v>189</v>
      </c>
      <c r="H30" s="135" t="s">
        <v>189</v>
      </c>
      <c r="I30" s="174" t="s">
        <v>189</v>
      </c>
    </row>
    <row r="31" spans="1:9" ht="15" x14ac:dyDescent="0.25">
      <c r="A31" s="20"/>
      <c r="B31" s="17"/>
      <c r="C31" s="17"/>
      <c r="D31" s="17"/>
      <c r="E31" s="19"/>
      <c r="F31" s="18"/>
      <c r="G31" s="92"/>
      <c r="H31" s="19"/>
      <c r="I31" s="175"/>
    </row>
    <row r="32" spans="1:9" ht="30" x14ac:dyDescent="0.25">
      <c r="A32" s="21" t="s">
        <v>36</v>
      </c>
      <c r="B32" s="34" t="s">
        <v>29</v>
      </c>
      <c r="C32" s="34"/>
      <c r="D32" s="34"/>
      <c r="E32" s="35"/>
      <c r="F32" s="36"/>
      <c r="G32" s="94"/>
      <c r="H32" s="35"/>
      <c r="I32" s="41"/>
    </row>
    <row r="33" spans="1:9" ht="15.75" x14ac:dyDescent="0.2">
      <c r="A33" s="22"/>
      <c r="B33" s="13" t="s">
        <v>0</v>
      </c>
      <c r="C33" s="111" t="s">
        <v>189</v>
      </c>
      <c r="D33" s="111" t="s">
        <v>190</v>
      </c>
      <c r="E33" s="15" t="s">
        <v>225</v>
      </c>
      <c r="F33" s="15" t="s">
        <v>200</v>
      </c>
      <c r="G33" s="88" t="s">
        <v>30</v>
      </c>
      <c r="H33" s="14" t="s">
        <v>20</v>
      </c>
      <c r="I33" s="14" t="s">
        <v>35</v>
      </c>
    </row>
    <row r="34" spans="1:9" ht="57" x14ac:dyDescent="0.2">
      <c r="A34" s="22"/>
      <c r="B34" s="108" t="s">
        <v>140</v>
      </c>
      <c r="C34" s="112" t="s">
        <v>189</v>
      </c>
      <c r="D34" s="112" t="s">
        <v>189</v>
      </c>
      <c r="E34" s="5">
        <v>0.58220000000000005</v>
      </c>
      <c r="F34" s="5">
        <v>0.59499999999999997</v>
      </c>
      <c r="G34" s="185" t="s">
        <v>4</v>
      </c>
      <c r="H34" s="7" t="s">
        <v>65</v>
      </c>
      <c r="I34" s="186" t="s">
        <v>223</v>
      </c>
    </row>
    <row r="35" spans="1:9" x14ac:dyDescent="0.2">
      <c r="A35" s="22"/>
      <c r="B35" s="108" t="s">
        <v>2</v>
      </c>
      <c r="C35" s="113" t="s">
        <v>189</v>
      </c>
      <c r="D35" s="113" t="s">
        <v>189</v>
      </c>
      <c r="E35" s="3">
        <v>0.24129999999999999</v>
      </c>
      <c r="F35" s="3">
        <v>0.25</v>
      </c>
      <c r="G35" s="187" t="s">
        <v>3</v>
      </c>
      <c r="H35" s="4" t="s">
        <v>54</v>
      </c>
      <c r="I35" s="107" t="s">
        <v>14</v>
      </c>
    </row>
    <row r="36" spans="1:9" x14ac:dyDescent="0.2">
      <c r="A36" s="22"/>
      <c r="B36" s="109" t="s">
        <v>139</v>
      </c>
      <c r="C36" s="112" t="s">
        <v>189</v>
      </c>
      <c r="D36" s="112" t="s">
        <v>189</v>
      </c>
      <c r="E36" s="3">
        <v>0.18959999999999999</v>
      </c>
      <c r="F36" s="3">
        <v>0.2</v>
      </c>
      <c r="G36" s="187" t="s">
        <v>4</v>
      </c>
      <c r="H36" s="4" t="s">
        <v>64</v>
      </c>
      <c r="I36" s="107" t="s">
        <v>15</v>
      </c>
    </row>
    <row r="37" spans="1:9" ht="28.5" x14ac:dyDescent="0.2">
      <c r="A37" s="22"/>
      <c r="B37" s="108" t="s">
        <v>9</v>
      </c>
      <c r="C37" s="113" t="s">
        <v>189</v>
      </c>
      <c r="D37" s="113" t="s">
        <v>189</v>
      </c>
      <c r="E37" s="3">
        <v>7.9600000000000004E-2</v>
      </c>
      <c r="F37" s="3">
        <v>0.08</v>
      </c>
      <c r="G37" s="188" t="s">
        <v>3</v>
      </c>
      <c r="H37" s="4" t="s">
        <v>208</v>
      </c>
      <c r="I37" s="107" t="s">
        <v>16</v>
      </c>
    </row>
    <row r="38" spans="1:9" x14ac:dyDescent="0.2">
      <c r="A38" s="22"/>
      <c r="B38" s="108" t="s">
        <v>10</v>
      </c>
      <c r="C38" s="113" t="s">
        <v>189</v>
      </c>
      <c r="D38" s="113" t="s">
        <v>189</v>
      </c>
      <c r="E38" s="3">
        <v>3.2300000000000002E-2</v>
      </c>
      <c r="F38" s="3">
        <v>7.0000000000000007E-2</v>
      </c>
      <c r="G38" s="188" t="s">
        <v>3</v>
      </c>
      <c r="H38" s="4" t="s">
        <v>50</v>
      </c>
      <c r="I38" s="107" t="s">
        <v>17</v>
      </c>
    </row>
    <row r="39" spans="1:9" x14ac:dyDescent="0.2">
      <c r="A39" s="22"/>
      <c r="B39" s="108" t="s">
        <v>11</v>
      </c>
      <c r="C39" s="113" t="s">
        <v>189</v>
      </c>
      <c r="D39" s="113" t="s">
        <v>189</v>
      </c>
      <c r="E39" s="3">
        <v>2.2000000000000001E-3</v>
      </c>
      <c r="F39" s="3">
        <v>0.05</v>
      </c>
      <c r="G39" s="188" t="s">
        <v>3</v>
      </c>
      <c r="H39" s="4" t="s">
        <v>51</v>
      </c>
      <c r="I39" s="107" t="s">
        <v>18</v>
      </c>
    </row>
    <row r="40" spans="1:9" x14ac:dyDescent="0.2">
      <c r="A40" s="22"/>
      <c r="B40" s="108" t="s">
        <v>21</v>
      </c>
      <c r="C40" s="113" t="s">
        <v>189</v>
      </c>
      <c r="D40" s="113" t="s">
        <v>189</v>
      </c>
      <c r="E40" s="3">
        <v>0</v>
      </c>
      <c r="F40" s="3">
        <v>0.05</v>
      </c>
      <c r="G40" s="188" t="s">
        <v>3</v>
      </c>
      <c r="H40" s="4" t="s">
        <v>51</v>
      </c>
      <c r="I40" s="107" t="s">
        <v>18</v>
      </c>
    </row>
    <row r="41" spans="1:9" x14ac:dyDescent="0.2">
      <c r="A41" s="22"/>
      <c r="B41" s="108" t="s">
        <v>12</v>
      </c>
      <c r="C41" s="113" t="s">
        <v>189</v>
      </c>
      <c r="D41" s="113" t="s">
        <v>189</v>
      </c>
      <c r="E41" s="3">
        <v>0.19139999999999999</v>
      </c>
      <c r="F41" s="3">
        <v>0.15</v>
      </c>
      <c r="G41" s="187" t="s">
        <v>3</v>
      </c>
      <c r="H41" s="4" t="s">
        <v>52</v>
      </c>
      <c r="I41" s="4" t="s">
        <v>18</v>
      </c>
    </row>
    <row r="42" spans="1:9" x14ac:dyDescent="0.2">
      <c r="A42" s="22"/>
      <c r="B42" s="108" t="s">
        <v>13</v>
      </c>
      <c r="C42" s="113" t="s">
        <v>189</v>
      </c>
      <c r="D42" s="113" t="s">
        <v>189</v>
      </c>
      <c r="E42" s="3">
        <v>2.0400000000000001E-2</v>
      </c>
      <c r="F42" s="3">
        <v>0.05</v>
      </c>
      <c r="G42" s="187" t="s">
        <v>3</v>
      </c>
      <c r="H42" s="190" t="s">
        <v>51</v>
      </c>
      <c r="I42" s="117" t="s">
        <v>189</v>
      </c>
    </row>
    <row r="43" spans="1:9" ht="15" x14ac:dyDescent="0.2">
      <c r="A43" s="22"/>
      <c r="B43" s="110" t="s">
        <v>5</v>
      </c>
      <c r="C43" s="114" t="s">
        <v>189</v>
      </c>
      <c r="D43" s="114" t="s">
        <v>189</v>
      </c>
      <c r="E43" s="29">
        <f>SUBTOTAL(109,E34:E42)</f>
        <v>1.3390000000000002</v>
      </c>
      <c r="F43" s="29">
        <f>SUBTOTAL(109,F34:F42)</f>
        <v>1.4950000000000001</v>
      </c>
      <c r="G43" s="121" t="s">
        <v>189</v>
      </c>
      <c r="H43" s="122" t="s">
        <v>189</v>
      </c>
      <c r="I43" s="116" t="s">
        <v>189</v>
      </c>
    </row>
    <row r="44" spans="1:9" x14ac:dyDescent="0.2">
      <c r="A44" s="22"/>
      <c r="B44" s="108" t="s">
        <v>6</v>
      </c>
      <c r="C44" s="113" t="s">
        <v>189</v>
      </c>
      <c r="D44" s="113" t="s">
        <v>189</v>
      </c>
      <c r="E44" s="11">
        <v>0.21179999999999999</v>
      </c>
      <c r="F44" s="11">
        <v>0.2</v>
      </c>
      <c r="G44" s="90" t="s">
        <v>4</v>
      </c>
      <c r="H44" s="9" t="s">
        <v>64</v>
      </c>
      <c r="I44" s="1" t="s">
        <v>19</v>
      </c>
    </row>
    <row r="45" spans="1:9" ht="15" x14ac:dyDescent="0.2">
      <c r="A45" s="23"/>
      <c r="B45" s="110" t="s">
        <v>230</v>
      </c>
      <c r="C45" s="114" t="s">
        <v>189</v>
      </c>
      <c r="D45" s="114" t="s">
        <v>189</v>
      </c>
      <c r="E45" s="12">
        <v>2.3999999999999998E-3</v>
      </c>
      <c r="F45" s="150" t="s">
        <v>189</v>
      </c>
      <c r="G45" s="135" t="s">
        <v>189</v>
      </c>
      <c r="H45" s="135" t="s">
        <v>189</v>
      </c>
      <c r="I45" s="154" t="s">
        <v>189</v>
      </c>
    </row>
    <row r="46" spans="1:9" ht="15" x14ac:dyDescent="0.25">
      <c r="A46" s="20"/>
      <c r="B46" s="17"/>
      <c r="C46" s="17"/>
      <c r="D46" s="17"/>
      <c r="E46" s="19"/>
      <c r="F46" s="18"/>
      <c r="G46" s="92"/>
      <c r="H46" s="19"/>
      <c r="I46" s="175"/>
    </row>
    <row r="47" spans="1:9" ht="30" x14ac:dyDescent="0.25">
      <c r="A47" s="21" t="s">
        <v>36</v>
      </c>
      <c r="B47" s="34" t="s">
        <v>31</v>
      </c>
      <c r="C47" s="34"/>
      <c r="D47" s="34"/>
      <c r="E47" s="35"/>
      <c r="F47" s="36"/>
      <c r="G47" s="94"/>
      <c r="H47" s="35"/>
      <c r="I47" s="41"/>
    </row>
    <row r="48" spans="1:9" ht="15.75" x14ac:dyDescent="0.2">
      <c r="A48" s="22"/>
      <c r="B48" s="13" t="s">
        <v>0</v>
      </c>
      <c r="C48" s="111" t="s">
        <v>189</v>
      </c>
      <c r="D48" s="111" t="s">
        <v>190</v>
      </c>
      <c r="E48" s="15" t="s">
        <v>225</v>
      </c>
      <c r="F48" s="15" t="s">
        <v>200</v>
      </c>
      <c r="G48" s="14" t="s">
        <v>30</v>
      </c>
      <c r="H48" s="14" t="s">
        <v>20</v>
      </c>
      <c r="I48" s="14" t="s">
        <v>35</v>
      </c>
    </row>
    <row r="49" spans="1:9" ht="57" x14ac:dyDescent="0.2">
      <c r="A49" s="22"/>
      <c r="B49" s="108" t="s">
        <v>140</v>
      </c>
      <c r="C49" s="112" t="s">
        <v>189</v>
      </c>
      <c r="D49" s="112" t="s">
        <v>190</v>
      </c>
      <c r="E49" s="5">
        <v>0.48320000000000002</v>
      </c>
      <c r="F49" s="5">
        <v>0.47</v>
      </c>
      <c r="G49" s="185" t="s">
        <v>4</v>
      </c>
      <c r="H49" s="7" t="s">
        <v>204</v>
      </c>
      <c r="I49" s="6" t="s">
        <v>223</v>
      </c>
    </row>
    <row r="50" spans="1:9" x14ac:dyDescent="0.2">
      <c r="A50" s="22"/>
      <c r="B50" s="108" t="s">
        <v>2</v>
      </c>
      <c r="C50" s="113" t="s">
        <v>189</v>
      </c>
      <c r="D50" s="113" t="s">
        <v>189</v>
      </c>
      <c r="E50" s="3">
        <v>0.20169999999999999</v>
      </c>
      <c r="F50" s="3">
        <v>0.22</v>
      </c>
      <c r="G50" s="187" t="s">
        <v>3</v>
      </c>
      <c r="H50" s="4" t="s">
        <v>205</v>
      </c>
      <c r="I50" s="1" t="s">
        <v>14</v>
      </c>
    </row>
    <row r="51" spans="1:9" x14ac:dyDescent="0.2">
      <c r="A51" s="22"/>
      <c r="B51" s="109" t="s">
        <v>139</v>
      </c>
      <c r="C51" s="112" t="s">
        <v>189</v>
      </c>
      <c r="D51" s="112" t="s">
        <v>189</v>
      </c>
      <c r="E51" s="3">
        <v>0.21379999999999999</v>
      </c>
      <c r="F51" s="3">
        <v>0.22</v>
      </c>
      <c r="G51" s="187" t="s">
        <v>4</v>
      </c>
      <c r="H51" s="4" t="s">
        <v>53</v>
      </c>
      <c r="I51" s="1" t="s">
        <v>15</v>
      </c>
    </row>
    <row r="52" spans="1:9" ht="28.5" x14ac:dyDescent="0.2">
      <c r="A52" s="22"/>
      <c r="B52" s="108" t="s">
        <v>9</v>
      </c>
      <c r="C52" s="113" t="s">
        <v>189</v>
      </c>
      <c r="D52" s="113" t="s">
        <v>189</v>
      </c>
      <c r="E52" s="3">
        <v>8.6999999999999994E-2</v>
      </c>
      <c r="F52" s="3">
        <v>0.09</v>
      </c>
      <c r="G52" s="188" t="s">
        <v>3</v>
      </c>
      <c r="H52" s="9" t="s">
        <v>209</v>
      </c>
      <c r="I52" s="1" t="s">
        <v>16</v>
      </c>
    </row>
    <row r="53" spans="1:9" x14ac:dyDescent="0.2">
      <c r="A53" s="22"/>
      <c r="B53" s="108" t="s">
        <v>10</v>
      </c>
      <c r="C53" s="113" t="s">
        <v>189</v>
      </c>
      <c r="D53" s="113" t="s">
        <v>189</v>
      </c>
      <c r="E53" s="3">
        <v>3.8600000000000002E-2</v>
      </c>
      <c r="F53" s="3">
        <v>7.0000000000000007E-2</v>
      </c>
      <c r="G53" s="188" t="s">
        <v>3</v>
      </c>
      <c r="H53" s="9" t="s">
        <v>50</v>
      </c>
      <c r="I53" s="1" t="s">
        <v>17</v>
      </c>
    </row>
    <row r="54" spans="1:9" x14ac:dyDescent="0.2">
      <c r="A54" s="22"/>
      <c r="B54" s="108" t="s">
        <v>11</v>
      </c>
      <c r="C54" s="113" t="s">
        <v>189</v>
      </c>
      <c r="D54" s="113" t="s">
        <v>189</v>
      </c>
      <c r="E54" s="57">
        <v>5.3800000000000001E-2</v>
      </c>
      <c r="F54" s="3">
        <v>0.05</v>
      </c>
      <c r="G54" s="188" t="s">
        <v>3</v>
      </c>
      <c r="H54" s="9" t="s">
        <v>51</v>
      </c>
      <c r="I54" s="1" t="s">
        <v>18</v>
      </c>
    </row>
    <row r="55" spans="1:9" x14ac:dyDescent="0.2">
      <c r="A55" s="22"/>
      <c r="B55" s="108" t="s">
        <v>21</v>
      </c>
      <c r="C55" s="113" t="s">
        <v>189</v>
      </c>
      <c r="D55" s="113" t="s">
        <v>189</v>
      </c>
      <c r="E55" s="3">
        <v>0</v>
      </c>
      <c r="F55" s="3">
        <v>0.05</v>
      </c>
      <c r="G55" s="188" t="s">
        <v>3</v>
      </c>
      <c r="H55" s="9" t="s">
        <v>51</v>
      </c>
      <c r="I55" s="1" t="s">
        <v>18</v>
      </c>
    </row>
    <row r="56" spans="1:9" x14ac:dyDescent="0.2">
      <c r="A56" s="22"/>
      <c r="B56" s="108" t="s">
        <v>12</v>
      </c>
      <c r="C56" s="113" t="s">
        <v>189</v>
      </c>
      <c r="D56" s="113" t="s">
        <v>189</v>
      </c>
      <c r="E56" s="3">
        <v>0.19070000000000001</v>
      </c>
      <c r="F56" s="3">
        <v>0.15</v>
      </c>
      <c r="G56" s="187" t="s">
        <v>3</v>
      </c>
      <c r="H56" s="9" t="s">
        <v>52</v>
      </c>
      <c r="I56" s="9" t="s">
        <v>18</v>
      </c>
    </row>
    <row r="57" spans="1:9" x14ac:dyDescent="0.2">
      <c r="A57" s="22"/>
      <c r="B57" s="108" t="s">
        <v>13</v>
      </c>
      <c r="C57" s="113" t="s">
        <v>189</v>
      </c>
      <c r="D57" s="113" t="s">
        <v>189</v>
      </c>
      <c r="E57" s="3">
        <v>2.3699999999999999E-2</v>
      </c>
      <c r="F57" s="3">
        <v>0.05</v>
      </c>
      <c r="G57" s="187" t="s">
        <v>3</v>
      </c>
      <c r="H57" s="10" t="s">
        <v>51</v>
      </c>
      <c r="I57" s="136" t="s">
        <v>189</v>
      </c>
    </row>
    <row r="58" spans="1:9" ht="15" x14ac:dyDescent="0.2">
      <c r="A58" s="22"/>
      <c r="B58" s="110" t="s">
        <v>5</v>
      </c>
      <c r="C58" s="114" t="s">
        <v>189</v>
      </c>
      <c r="D58" s="114" t="s">
        <v>189</v>
      </c>
      <c r="E58" s="103">
        <f>SUBTOTAL(109,E49:E57)</f>
        <v>1.2925000000000002</v>
      </c>
      <c r="F58" s="103">
        <f>SUBTOTAL(109,F49:F57)</f>
        <v>1.3699999999999999</v>
      </c>
      <c r="G58" s="193" t="s">
        <v>189</v>
      </c>
      <c r="H58" s="122" t="s">
        <v>189</v>
      </c>
      <c r="I58" s="116" t="s">
        <v>189</v>
      </c>
    </row>
    <row r="59" spans="1:9" x14ac:dyDescent="0.2">
      <c r="A59" s="22"/>
      <c r="B59" s="108" t="s">
        <v>6</v>
      </c>
      <c r="C59" s="113" t="s">
        <v>189</v>
      </c>
      <c r="D59" s="113" t="s">
        <v>189</v>
      </c>
      <c r="E59" s="11">
        <v>0.18940000000000001</v>
      </c>
      <c r="F59" s="11">
        <v>0.2</v>
      </c>
      <c r="G59" s="187" t="s">
        <v>4</v>
      </c>
      <c r="H59" s="9" t="s">
        <v>64</v>
      </c>
      <c r="I59" s="1" t="s">
        <v>19</v>
      </c>
    </row>
    <row r="60" spans="1:9" ht="15" x14ac:dyDescent="0.25">
      <c r="A60" s="23"/>
      <c r="B60" s="110" t="s">
        <v>230</v>
      </c>
      <c r="C60" s="114" t="s">
        <v>189</v>
      </c>
      <c r="D60" s="114" t="s">
        <v>189</v>
      </c>
      <c r="E60" s="12">
        <v>2.3999999999999998E-3</v>
      </c>
      <c r="F60" s="150" t="s">
        <v>189</v>
      </c>
      <c r="G60" s="135" t="s">
        <v>189</v>
      </c>
      <c r="H60" s="135" t="s">
        <v>189</v>
      </c>
      <c r="I60" s="174" t="s">
        <v>189</v>
      </c>
    </row>
    <row r="61" spans="1:9" ht="15" x14ac:dyDescent="0.25">
      <c r="A61" s="20"/>
      <c r="B61" s="17"/>
      <c r="C61" s="17"/>
      <c r="D61" s="17"/>
      <c r="E61" s="19"/>
      <c r="F61" s="18"/>
      <c r="G61" s="92"/>
      <c r="H61" s="19"/>
      <c r="I61" s="175"/>
    </row>
    <row r="62" spans="1:9" ht="30" x14ac:dyDescent="0.25">
      <c r="A62" s="21" t="s">
        <v>36</v>
      </c>
      <c r="B62" s="34" t="s">
        <v>32</v>
      </c>
      <c r="C62" s="34"/>
      <c r="D62" s="34"/>
      <c r="E62" s="35"/>
      <c r="F62" s="36"/>
      <c r="G62" s="94"/>
      <c r="H62" s="35"/>
      <c r="I62" s="41"/>
    </row>
    <row r="63" spans="1:9" ht="15.75" x14ac:dyDescent="0.2">
      <c r="A63" s="22"/>
      <c r="B63" s="13" t="s">
        <v>0</v>
      </c>
      <c r="C63" s="111" t="s">
        <v>189</v>
      </c>
      <c r="D63" s="111" t="s">
        <v>190</v>
      </c>
      <c r="E63" s="15" t="s">
        <v>225</v>
      </c>
      <c r="F63" s="15" t="s">
        <v>200</v>
      </c>
      <c r="G63" s="14" t="s">
        <v>30</v>
      </c>
      <c r="H63" s="14" t="s">
        <v>20</v>
      </c>
      <c r="I63" s="14" t="s">
        <v>35</v>
      </c>
    </row>
    <row r="64" spans="1:9" ht="57" x14ac:dyDescent="0.2">
      <c r="A64" s="22"/>
      <c r="B64" s="108" t="s">
        <v>140</v>
      </c>
      <c r="C64" s="112" t="s">
        <v>189</v>
      </c>
      <c r="D64" s="112" t="s">
        <v>190</v>
      </c>
      <c r="E64" s="5">
        <v>0.30099999999999999</v>
      </c>
      <c r="F64" s="5">
        <v>0.26</v>
      </c>
      <c r="G64" s="89" t="s">
        <v>4</v>
      </c>
      <c r="H64" s="7" t="s">
        <v>203</v>
      </c>
      <c r="I64" s="6" t="s">
        <v>223</v>
      </c>
    </row>
    <row r="65" spans="1:9" x14ac:dyDescent="0.2">
      <c r="A65" s="22"/>
      <c r="B65" s="108" t="s">
        <v>2</v>
      </c>
      <c r="C65" s="113" t="s">
        <v>189</v>
      </c>
      <c r="D65" s="113" t="s">
        <v>189</v>
      </c>
      <c r="E65" s="3">
        <v>0.2843</v>
      </c>
      <c r="F65" s="3">
        <v>0.26</v>
      </c>
      <c r="G65" s="90" t="s">
        <v>3</v>
      </c>
      <c r="H65" s="4" t="s">
        <v>206</v>
      </c>
      <c r="I65" s="1" t="s">
        <v>14</v>
      </c>
    </row>
    <row r="66" spans="1:9" x14ac:dyDescent="0.2">
      <c r="A66" s="22"/>
      <c r="B66" s="109" t="s">
        <v>139</v>
      </c>
      <c r="C66" s="112" t="s">
        <v>189</v>
      </c>
      <c r="D66" s="112" t="s">
        <v>189</v>
      </c>
      <c r="E66" s="3">
        <v>0.27910000000000001</v>
      </c>
      <c r="F66" s="3">
        <v>0.28000000000000003</v>
      </c>
      <c r="G66" s="90" t="s">
        <v>4</v>
      </c>
      <c r="H66" s="4" t="s">
        <v>62</v>
      </c>
      <c r="I66" s="1" t="s">
        <v>15</v>
      </c>
    </row>
    <row r="67" spans="1:9" ht="28.5" x14ac:dyDescent="0.2">
      <c r="A67" s="22"/>
      <c r="B67" s="108" t="s">
        <v>9</v>
      </c>
      <c r="C67" s="113" t="s">
        <v>189</v>
      </c>
      <c r="D67" s="113" t="s">
        <v>189</v>
      </c>
      <c r="E67" s="3">
        <v>9.7299999999999998E-2</v>
      </c>
      <c r="F67" s="3">
        <v>0.1</v>
      </c>
      <c r="G67" s="91" t="s">
        <v>3</v>
      </c>
      <c r="H67" s="9" t="s">
        <v>49</v>
      </c>
      <c r="I67" s="1" t="s">
        <v>16</v>
      </c>
    </row>
    <row r="68" spans="1:9" x14ac:dyDescent="0.2">
      <c r="A68" s="22"/>
      <c r="B68" s="108" t="s">
        <v>10</v>
      </c>
      <c r="C68" s="113" t="s">
        <v>189</v>
      </c>
      <c r="D68" s="113" t="s">
        <v>189</v>
      </c>
      <c r="E68" s="3">
        <v>4.3799999999999999E-2</v>
      </c>
      <c r="F68" s="3">
        <v>7.0000000000000007E-2</v>
      </c>
      <c r="G68" s="91" t="s">
        <v>3</v>
      </c>
      <c r="H68" s="9" t="s">
        <v>50</v>
      </c>
      <c r="I68" s="1" t="s">
        <v>17</v>
      </c>
    </row>
    <row r="69" spans="1:9" x14ac:dyDescent="0.2">
      <c r="A69" s="22"/>
      <c r="B69" s="108" t="s">
        <v>11</v>
      </c>
      <c r="C69" s="113" t="s">
        <v>189</v>
      </c>
      <c r="D69" s="113" t="s">
        <v>189</v>
      </c>
      <c r="E69" s="3">
        <v>1.1999999999999999E-3</v>
      </c>
      <c r="F69" s="3">
        <v>0.05</v>
      </c>
      <c r="G69" s="91" t="s">
        <v>3</v>
      </c>
      <c r="H69" s="9" t="s">
        <v>51</v>
      </c>
      <c r="I69" s="1" t="s">
        <v>18</v>
      </c>
    </row>
    <row r="70" spans="1:9" x14ac:dyDescent="0.2">
      <c r="A70" s="22"/>
      <c r="B70" s="108" t="s">
        <v>21</v>
      </c>
      <c r="C70" s="113" t="s">
        <v>189</v>
      </c>
      <c r="D70" s="113" t="s">
        <v>189</v>
      </c>
      <c r="E70" s="3">
        <v>3.9300000000000002E-2</v>
      </c>
      <c r="F70" s="3">
        <v>0.05</v>
      </c>
      <c r="G70" s="91" t="s">
        <v>3</v>
      </c>
      <c r="H70" s="9" t="s">
        <v>51</v>
      </c>
      <c r="I70" s="1" t="s">
        <v>18</v>
      </c>
    </row>
    <row r="71" spans="1:9" x14ac:dyDescent="0.2">
      <c r="A71" s="22"/>
      <c r="B71" s="108" t="s">
        <v>12</v>
      </c>
      <c r="C71" s="113" t="s">
        <v>189</v>
      </c>
      <c r="D71" s="113" t="s">
        <v>189</v>
      </c>
      <c r="E71" s="3">
        <v>0.16139999999999999</v>
      </c>
      <c r="F71" s="3">
        <v>0.15</v>
      </c>
      <c r="G71" s="90" t="s">
        <v>3</v>
      </c>
      <c r="H71" s="9" t="s">
        <v>52</v>
      </c>
      <c r="I71" s="9" t="s">
        <v>18</v>
      </c>
    </row>
    <row r="72" spans="1:9" x14ac:dyDescent="0.2">
      <c r="A72" s="22"/>
      <c r="B72" s="108" t="s">
        <v>13</v>
      </c>
      <c r="C72" s="113" t="s">
        <v>189</v>
      </c>
      <c r="D72" s="113" t="s">
        <v>189</v>
      </c>
      <c r="E72" s="3">
        <v>3.1800000000000002E-2</v>
      </c>
      <c r="F72" s="3">
        <v>0.05</v>
      </c>
      <c r="G72" s="90" t="s">
        <v>3</v>
      </c>
      <c r="H72" s="10" t="s">
        <v>51</v>
      </c>
      <c r="I72" s="136" t="s">
        <v>189</v>
      </c>
    </row>
    <row r="73" spans="1:9" ht="15" x14ac:dyDescent="0.2">
      <c r="A73" s="22"/>
      <c r="B73" s="110" t="s">
        <v>5</v>
      </c>
      <c r="C73" s="114" t="s">
        <v>189</v>
      </c>
      <c r="D73" s="114" t="s">
        <v>189</v>
      </c>
      <c r="E73" s="103">
        <f>SUBTOTAL(109,E64:E72)</f>
        <v>1.2392000000000003</v>
      </c>
      <c r="F73" s="103">
        <f>SUBTOTAL(109,F64:F72)</f>
        <v>1.27</v>
      </c>
      <c r="G73" s="121" t="s">
        <v>189</v>
      </c>
      <c r="H73" s="122" t="s">
        <v>189</v>
      </c>
      <c r="I73" s="116" t="s">
        <v>189</v>
      </c>
    </row>
    <row r="74" spans="1:9" x14ac:dyDescent="0.2">
      <c r="A74" s="22"/>
      <c r="B74" s="108" t="s">
        <v>6</v>
      </c>
      <c r="C74" s="113" t="s">
        <v>189</v>
      </c>
      <c r="D74" s="113" t="s">
        <v>189</v>
      </c>
      <c r="E74" s="3">
        <v>0.17269999999999999</v>
      </c>
      <c r="F74" s="3">
        <v>0.18</v>
      </c>
      <c r="G74" s="90" t="s">
        <v>4</v>
      </c>
      <c r="H74" s="9" t="s">
        <v>207</v>
      </c>
      <c r="I74" s="1" t="s">
        <v>19</v>
      </c>
    </row>
    <row r="75" spans="1:9" ht="15" x14ac:dyDescent="0.25">
      <c r="A75" s="23"/>
      <c r="B75" s="110" t="s">
        <v>230</v>
      </c>
      <c r="C75" s="114" t="s">
        <v>189</v>
      </c>
      <c r="D75" s="114" t="s">
        <v>189</v>
      </c>
      <c r="E75" s="12">
        <v>2.5000000000000001E-3</v>
      </c>
      <c r="F75" s="150" t="s">
        <v>189</v>
      </c>
      <c r="G75" s="135" t="s">
        <v>189</v>
      </c>
      <c r="H75" s="135" t="s">
        <v>189</v>
      </c>
      <c r="I75" s="176" t="s">
        <v>189</v>
      </c>
    </row>
    <row r="76" spans="1:9" ht="15" x14ac:dyDescent="0.25">
      <c r="A76" s="20"/>
      <c r="B76" s="17"/>
      <c r="C76" s="17"/>
      <c r="D76" s="17"/>
      <c r="E76" s="19"/>
      <c r="F76" s="18"/>
      <c r="G76" s="92"/>
      <c r="H76" s="19"/>
      <c r="I76" s="175"/>
    </row>
    <row r="77" spans="1:9" ht="45" x14ac:dyDescent="0.25">
      <c r="A77" s="30" t="s">
        <v>67</v>
      </c>
      <c r="B77" s="38" t="s">
        <v>38</v>
      </c>
      <c r="C77" s="38"/>
      <c r="D77" s="38"/>
      <c r="E77" s="39"/>
      <c r="F77" s="40"/>
      <c r="G77" s="95"/>
      <c r="H77" s="39"/>
      <c r="I77" s="41"/>
    </row>
    <row r="78" spans="1:9" ht="23.25" x14ac:dyDescent="0.25">
      <c r="A78" s="30"/>
      <c r="B78" s="43" t="s">
        <v>42</v>
      </c>
      <c r="C78" s="43"/>
      <c r="D78" s="43"/>
      <c r="E78" s="39"/>
      <c r="F78" s="40"/>
      <c r="G78" s="95"/>
      <c r="H78" s="39"/>
      <c r="I78" s="41"/>
    </row>
    <row r="79" spans="1:9" ht="23.25" x14ac:dyDescent="0.25">
      <c r="A79" s="30"/>
      <c r="B79" s="43" t="s">
        <v>43</v>
      </c>
      <c r="C79" s="43"/>
      <c r="D79" s="43"/>
      <c r="E79" s="39"/>
      <c r="F79" s="40"/>
      <c r="G79" s="95"/>
      <c r="H79" s="39"/>
      <c r="I79" s="41"/>
    </row>
    <row r="80" spans="1:9" ht="15.75" x14ac:dyDescent="0.2">
      <c r="A80" s="31"/>
      <c r="B80" s="125" t="s">
        <v>0</v>
      </c>
      <c r="C80" s="124" t="s">
        <v>228</v>
      </c>
      <c r="D80" s="124" t="s">
        <v>227</v>
      </c>
      <c r="E80" s="124" t="s">
        <v>226</v>
      </c>
      <c r="F80" s="124" t="s">
        <v>200</v>
      </c>
      <c r="G80" s="125" t="s">
        <v>30</v>
      </c>
      <c r="H80" s="125" t="s">
        <v>20</v>
      </c>
      <c r="I80" s="125" t="s">
        <v>35</v>
      </c>
    </row>
    <row r="81" spans="1:9" ht="57" x14ac:dyDescent="0.2">
      <c r="A81" s="33"/>
      <c r="B81" s="108" t="s">
        <v>140</v>
      </c>
      <c r="C81" s="5">
        <v>1.0145</v>
      </c>
      <c r="D81" s="5">
        <v>0.99490000000000001</v>
      </c>
      <c r="E81" s="5">
        <v>0.99309999999999998</v>
      </c>
      <c r="F81" s="5">
        <v>0.99</v>
      </c>
      <c r="G81" s="89" t="s">
        <v>23</v>
      </c>
      <c r="H81" s="7" t="s">
        <v>242</v>
      </c>
      <c r="I81" s="6" t="s">
        <v>223</v>
      </c>
    </row>
    <row r="82" spans="1:9" x14ac:dyDescent="0.2">
      <c r="A82" s="32"/>
      <c r="B82" s="2" t="s">
        <v>2</v>
      </c>
      <c r="C82" s="3">
        <v>0.28270000000000001</v>
      </c>
      <c r="D82" s="3">
        <v>0.28960000000000002</v>
      </c>
      <c r="E82" s="3">
        <v>0.2969</v>
      </c>
      <c r="F82" s="3">
        <v>0.3</v>
      </c>
      <c r="G82" s="90" t="s">
        <v>24</v>
      </c>
      <c r="H82" s="4" t="s">
        <v>60</v>
      </c>
      <c r="I82" s="1" t="s">
        <v>14</v>
      </c>
    </row>
    <row r="83" spans="1:9" x14ac:dyDescent="0.2">
      <c r="A83" s="33"/>
      <c r="B83" s="72" t="s">
        <v>139</v>
      </c>
      <c r="C83" s="3">
        <v>3.8600000000000002E-2</v>
      </c>
      <c r="D83" s="3">
        <v>3.9199999999999999E-2</v>
      </c>
      <c r="E83" s="3">
        <v>4.3900000000000002E-2</v>
      </c>
      <c r="F83" s="3">
        <v>0.06</v>
      </c>
      <c r="G83" s="90" t="s">
        <v>23</v>
      </c>
      <c r="H83" s="4" t="s">
        <v>58</v>
      </c>
      <c r="I83" s="1" t="s">
        <v>15</v>
      </c>
    </row>
    <row r="84" spans="1:9" ht="28.5" x14ac:dyDescent="0.2">
      <c r="A84" s="33"/>
      <c r="B84" s="2" t="s">
        <v>9</v>
      </c>
      <c r="C84" s="3">
        <v>4.6199999999999998E-2</v>
      </c>
      <c r="D84" s="3">
        <v>3.5799999999999998E-2</v>
      </c>
      <c r="E84" s="3">
        <v>3.5000000000000003E-2</v>
      </c>
      <c r="F84" s="3">
        <v>0.05</v>
      </c>
      <c r="G84" s="91" t="s">
        <v>24</v>
      </c>
      <c r="H84" s="9" t="s">
        <v>51</v>
      </c>
      <c r="I84" s="1" t="s">
        <v>16</v>
      </c>
    </row>
    <row r="85" spans="1:9" x14ac:dyDescent="0.2">
      <c r="A85" s="33"/>
      <c r="B85" s="2" t="s">
        <v>10</v>
      </c>
      <c r="C85" s="3">
        <v>1.6000000000000001E-3</v>
      </c>
      <c r="D85" s="3">
        <v>1.6000000000000001E-3</v>
      </c>
      <c r="E85" s="3">
        <v>1.4E-3</v>
      </c>
      <c r="F85" s="3">
        <v>0.05</v>
      </c>
      <c r="G85" s="91" t="s">
        <v>24</v>
      </c>
      <c r="H85" s="9" t="s">
        <v>51</v>
      </c>
      <c r="I85" s="1" t="s">
        <v>17</v>
      </c>
    </row>
    <row r="86" spans="1:9" x14ac:dyDescent="0.2">
      <c r="A86" s="33"/>
      <c r="B86" s="2" t="s">
        <v>11</v>
      </c>
      <c r="C86" s="3">
        <v>0</v>
      </c>
      <c r="D86" s="3">
        <v>8.9999999999999998E-4</v>
      </c>
      <c r="E86" s="3">
        <v>5.9999999999999995E-4</v>
      </c>
      <c r="F86" s="3">
        <v>0.05</v>
      </c>
      <c r="G86" s="91" t="s">
        <v>24</v>
      </c>
      <c r="H86" s="9" t="s">
        <v>51</v>
      </c>
      <c r="I86" s="1" t="s">
        <v>18</v>
      </c>
    </row>
    <row r="87" spans="1:9" x14ac:dyDescent="0.2">
      <c r="A87" s="33"/>
      <c r="B87" s="2" t="s">
        <v>21</v>
      </c>
      <c r="C87" s="3">
        <v>0</v>
      </c>
      <c r="D87" s="3">
        <v>0</v>
      </c>
      <c r="E87" s="3">
        <v>0</v>
      </c>
      <c r="F87" s="3">
        <v>0.05</v>
      </c>
      <c r="G87" s="91" t="s">
        <v>24</v>
      </c>
      <c r="H87" s="9" t="s">
        <v>51</v>
      </c>
      <c r="I87" s="1" t="s">
        <v>18</v>
      </c>
    </row>
    <row r="88" spans="1:9" x14ac:dyDescent="0.2">
      <c r="A88" s="33"/>
      <c r="B88" s="2" t="s">
        <v>12</v>
      </c>
      <c r="C88" s="3">
        <v>0.19520000000000001</v>
      </c>
      <c r="D88" s="3">
        <v>0.20150000000000001</v>
      </c>
      <c r="E88" s="3">
        <v>0.1908</v>
      </c>
      <c r="F88" s="3">
        <v>0.15</v>
      </c>
      <c r="G88" s="90" t="s">
        <v>24</v>
      </c>
      <c r="H88" s="9" t="s">
        <v>52</v>
      </c>
      <c r="I88" s="9" t="s">
        <v>18</v>
      </c>
    </row>
    <row r="89" spans="1:9" x14ac:dyDescent="0.2">
      <c r="A89" s="33"/>
      <c r="B89" s="2" t="s">
        <v>13</v>
      </c>
      <c r="C89" s="3">
        <v>9.1999999999999998E-3</v>
      </c>
      <c r="D89" s="3">
        <v>8.8000000000000005E-3</v>
      </c>
      <c r="E89" s="3">
        <v>2.58E-2</v>
      </c>
      <c r="F89" s="3">
        <v>0.05</v>
      </c>
      <c r="G89" s="90" t="s">
        <v>24</v>
      </c>
      <c r="H89" s="10" t="s">
        <v>51</v>
      </c>
      <c r="I89" s="136" t="s">
        <v>189</v>
      </c>
    </row>
    <row r="90" spans="1:9" ht="15" x14ac:dyDescent="0.2">
      <c r="A90" s="33"/>
      <c r="B90" s="28" t="s">
        <v>5</v>
      </c>
      <c r="C90" s="103">
        <f>SUBTOTAL(109,C81:C89)</f>
        <v>1.5880000000000001</v>
      </c>
      <c r="D90" s="103">
        <f t="shared" ref="D90:F90" si="0">SUBTOTAL(109,D81:D89)</f>
        <v>1.5722999999999998</v>
      </c>
      <c r="E90" s="103">
        <f t="shared" si="0"/>
        <v>1.5875000000000001</v>
      </c>
      <c r="F90" s="103">
        <f t="shared" si="0"/>
        <v>1.7500000000000002</v>
      </c>
      <c r="G90" s="121" t="s">
        <v>189</v>
      </c>
      <c r="H90" s="116" t="s">
        <v>189</v>
      </c>
      <c r="I90" s="116" t="s">
        <v>189</v>
      </c>
    </row>
    <row r="91" spans="1:9" x14ac:dyDescent="0.2">
      <c r="A91" s="33"/>
      <c r="B91" s="2" t="s">
        <v>6</v>
      </c>
      <c r="C91" s="11">
        <v>0.2351</v>
      </c>
      <c r="D91" s="11">
        <v>0.22620000000000001</v>
      </c>
      <c r="E91" s="11">
        <v>0.2379</v>
      </c>
      <c r="F91" s="11">
        <v>0.22</v>
      </c>
      <c r="G91" s="90" t="s">
        <v>23</v>
      </c>
      <c r="H91" s="9" t="s">
        <v>53</v>
      </c>
      <c r="I91" s="1" t="s">
        <v>19</v>
      </c>
    </row>
    <row r="92" spans="1:9" ht="15" x14ac:dyDescent="0.2">
      <c r="A92" s="33"/>
      <c r="B92" s="28" t="s">
        <v>230</v>
      </c>
      <c r="C92" s="12">
        <v>1.4E-3</v>
      </c>
      <c r="D92" s="12">
        <v>1.4E-3</v>
      </c>
      <c r="E92" s="12">
        <v>1.1999999999999999E-3</v>
      </c>
      <c r="F92" s="150" t="s">
        <v>189</v>
      </c>
      <c r="G92" s="143" t="s">
        <v>189</v>
      </c>
      <c r="H92" s="144" t="s">
        <v>189</v>
      </c>
      <c r="I92" s="154" t="s">
        <v>189</v>
      </c>
    </row>
    <row r="93" spans="1:9" ht="15" x14ac:dyDescent="0.25">
      <c r="A93" s="20"/>
      <c r="B93" s="17"/>
      <c r="C93" s="17"/>
      <c r="D93" s="17"/>
      <c r="E93" s="19"/>
      <c r="F93" s="18"/>
      <c r="G93" s="92"/>
      <c r="H93" s="19"/>
      <c r="I93" s="175"/>
    </row>
    <row r="94" spans="1:9" ht="45" x14ac:dyDescent="0.25">
      <c r="A94" s="30" t="s">
        <v>68</v>
      </c>
      <c r="B94" s="38" t="s">
        <v>39</v>
      </c>
      <c r="C94" s="38"/>
      <c r="D94" s="38"/>
      <c r="E94" s="39"/>
      <c r="F94" s="40"/>
      <c r="G94" s="95"/>
      <c r="H94" s="39"/>
      <c r="I94" s="41"/>
    </row>
    <row r="95" spans="1:9" ht="23.25" x14ac:dyDescent="0.25">
      <c r="A95" s="30"/>
      <c r="B95" s="43" t="s">
        <v>40</v>
      </c>
      <c r="C95" s="43"/>
      <c r="D95" s="43"/>
      <c r="E95" s="39"/>
      <c r="F95" s="40"/>
      <c r="G95" s="95"/>
      <c r="H95" s="39"/>
      <c r="I95" s="41"/>
    </row>
    <row r="96" spans="1:9" ht="23.25" x14ac:dyDescent="0.25">
      <c r="A96" s="30"/>
      <c r="B96" s="43" t="s">
        <v>41</v>
      </c>
      <c r="C96" s="43"/>
      <c r="D96" s="43"/>
      <c r="E96" s="39"/>
      <c r="F96" s="40"/>
      <c r="G96" s="95"/>
      <c r="H96" s="39"/>
      <c r="I96" s="41"/>
    </row>
    <row r="97" spans="1:9" ht="15.75" x14ac:dyDescent="0.2">
      <c r="A97" s="31"/>
      <c r="B97" s="123" t="s">
        <v>0</v>
      </c>
      <c r="C97" s="124" t="s">
        <v>228</v>
      </c>
      <c r="D97" s="124" t="s">
        <v>227</v>
      </c>
      <c r="E97" s="124" t="s">
        <v>226</v>
      </c>
      <c r="F97" s="124" t="s">
        <v>200</v>
      </c>
      <c r="G97" s="125" t="s">
        <v>30</v>
      </c>
      <c r="H97" s="125" t="s">
        <v>20</v>
      </c>
      <c r="I97" s="125" t="s">
        <v>35</v>
      </c>
    </row>
    <row r="98" spans="1:9" ht="57" x14ac:dyDescent="0.2">
      <c r="A98" s="33"/>
      <c r="B98" s="2" t="s">
        <v>140</v>
      </c>
      <c r="C98" s="5">
        <v>4.7699999999999999E-2</v>
      </c>
      <c r="D98" s="5">
        <v>5.1700000000000003E-2</v>
      </c>
      <c r="E98" s="5">
        <v>4.7199999999999999E-2</v>
      </c>
      <c r="F98" s="5" t="s">
        <v>243</v>
      </c>
      <c r="G98" s="89" t="s">
        <v>23</v>
      </c>
      <c r="H98" s="7" t="s">
        <v>58</v>
      </c>
      <c r="I98" s="6" t="s">
        <v>223</v>
      </c>
    </row>
    <row r="99" spans="1:9" x14ac:dyDescent="0.2">
      <c r="A99" s="32"/>
      <c r="B99" s="2" t="s">
        <v>2</v>
      </c>
      <c r="C99" s="5">
        <v>9.7600000000000006E-2</v>
      </c>
      <c r="D99" s="5">
        <v>8.9200000000000002E-2</v>
      </c>
      <c r="E99" s="5">
        <v>9.6100000000000005E-2</v>
      </c>
      <c r="F99" s="5">
        <v>0.1</v>
      </c>
      <c r="G99" s="90" t="s">
        <v>24</v>
      </c>
      <c r="H99" s="4" t="s">
        <v>49</v>
      </c>
      <c r="I99" s="1" t="s">
        <v>14</v>
      </c>
    </row>
    <row r="100" spans="1:9" x14ac:dyDescent="0.2">
      <c r="A100" s="33"/>
      <c r="B100" s="72" t="s">
        <v>139</v>
      </c>
      <c r="C100" s="5">
        <v>0.76659999999999995</v>
      </c>
      <c r="D100" s="5">
        <v>0.78290000000000004</v>
      </c>
      <c r="E100" s="5">
        <v>0.77100000000000002</v>
      </c>
      <c r="F100" s="5">
        <v>0.8</v>
      </c>
      <c r="G100" s="90" t="s">
        <v>23</v>
      </c>
      <c r="H100" s="4" t="s">
        <v>131</v>
      </c>
      <c r="I100" s="1" t="s">
        <v>15</v>
      </c>
    </row>
    <row r="101" spans="1:9" ht="28.5" x14ac:dyDescent="0.2">
      <c r="A101" s="33"/>
      <c r="B101" s="184" t="s">
        <v>9</v>
      </c>
      <c r="C101" s="5">
        <v>1.2E-2</v>
      </c>
      <c r="D101" s="5">
        <v>1.52E-2</v>
      </c>
      <c r="E101" s="5">
        <v>1.2200000000000001E-2</v>
      </c>
      <c r="F101" s="5">
        <v>0.05</v>
      </c>
      <c r="G101" s="91" t="s">
        <v>24</v>
      </c>
      <c r="H101" s="9" t="s">
        <v>51</v>
      </c>
      <c r="I101" s="1" t="s">
        <v>16</v>
      </c>
    </row>
    <row r="102" spans="1:9" x14ac:dyDescent="0.2">
      <c r="A102" s="33"/>
      <c r="B102" s="184" t="s">
        <v>10</v>
      </c>
      <c r="C102" s="5">
        <v>1.6400000000000001E-2</v>
      </c>
      <c r="D102" s="5">
        <v>1.8800000000000001E-2</v>
      </c>
      <c r="E102" s="5">
        <v>1.4E-2</v>
      </c>
      <c r="F102" s="5">
        <v>0.05</v>
      </c>
      <c r="G102" s="91" t="s">
        <v>24</v>
      </c>
      <c r="H102" s="9" t="s">
        <v>51</v>
      </c>
      <c r="I102" s="1" t="s">
        <v>17</v>
      </c>
    </row>
    <row r="103" spans="1:9" x14ac:dyDescent="0.2">
      <c r="A103" s="33"/>
      <c r="B103" s="184" t="s">
        <v>11</v>
      </c>
      <c r="C103" s="5">
        <v>0</v>
      </c>
      <c r="D103" s="5">
        <v>0</v>
      </c>
      <c r="E103" s="5">
        <v>0</v>
      </c>
      <c r="F103" s="5">
        <v>0.05</v>
      </c>
      <c r="G103" s="91" t="s">
        <v>24</v>
      </c>
      <c r="H103" s="9" t="s">
        <v>51</v>
      </c>
      <c r="I103" s="1" t="s">
        <v>18</v>
      </c>
    </row>
    <row r="104" spans="1:9" x14ac:dyDescent="0.2">
      <c r="A104" s="33"/>
      <c r="B104" s="184" t="s">
        <v>21</v>
      </c>
      <c r="C104" s="3">
        <v>0</v>
      </c>
      <c r="D104" s="5">
        <v>0</v>
      </c>
      <c r="E104" s="3">
        <v>0</v>
      </c>
      <c r="F104" s="5">
        <v>0.05</v>
      </c>
      <c r="G104" s="91" t="s">
        <v>24</v>
      </c>
      <c r="H104" s="9" t="s">
        <v>51</v>
      </c>
      <c r="I104" s="1" t="s">
        <v>18</v>
      </c>
    </row>
    <row r="105" spans="1:9" x14ac:dyDescent="0.2">
      <c r="A105" s="33"/>
      <c r="B105" s="2" t="s">
        <v>12</v>
      </c>
      <c r="C105" s="5">
        <v>6.4600000000000005E-2</v>
      </c>
      <c r="D105" s="5">
        <v>4.8500000000000001E-2</v>
      </c>
      <c r="E105" s="5">
        <v>6.5500000000000003E-2</v>
      </c>
      <c r="F105" s="5">
        <v>0.05</v>
      </c>
      <c r="G105" s="90" t="s">
        <v>24</v>
      </c>
      <c r="H105" s="9" t="s">
        <v>51</v>
      </c>
      <c r="I105" s="9" t="s">
        <v>18</v>
      </c>
    </row>
    <row r="106" spans="1:9" x14ac:dyDescent="0.2">
      <c r="A106" s="33"/>
      <c r="B106" s="2" t="s">
        <v>13</v>
      </c>
      <c r="C106" s="3">
        <v>3.0000000000000001E-3</v>
      </c>
      <c r="D106" s="5">
        <v>2.0999999999999999E-3</v>
      </c>
      <c r="E106" s="3">
        <v>1.4E-3</v>
      </c>
      <c r="F106" s="3">
        <v>0.05</v>
      </c>
      <c r="G106" s="90" t="s">
        <v>24</v>
      </c>
      <c r="H106" s="10" t="s">
        <v>51</v>
      </c>
      <c r="I106" s="136" t="s">
        <v>189</v>
      </c>
    </row>
    <row r="107" spans="1:9" ht="15" x14ac:dyDescent="0.2">
      <c r="A107" s="33"/>
      <c r="B107" s="28" t="s">
        <v>5</v>
      </c>
      <c r="C107" s="103">
        <f>SUBTOTAL(109,C98:C106)</f>
        <v>1.0078999999999998</v>
      </c>
      <c r="D107" s="103">
        <f t="shared" ref="D107:F107" si="1">SUBTOTAL(109,D98:D106)</f>
        <v>1.0084000000000002</v>
      </c>
      <c r="E107" s="103">
        <f t="shared" si="1"/>
        <v>1.0074000000000001</v>
      </c>
      <c r="F107" s="103">
        <f t="shared" si="1"/>
        <v>1.2000000000000002</v>
      </c>
      <c r="G107" s="121" t="s">
        <v>189</v>
      </c>
      <c r="H107" s="122" t="s">
        <v>189</v>
      </c>
      <c r="I107" s="116" t="s">
        <v>189</v>
      </c>
    </row>
    <row r="108" spans="1:9" x14ac:dyDescent="0.2">
      <c r="A108" s="33"/>
      <c r="B108" s="2" t="s">
        <v>6</v>
      </c>
      <c r="C108" s="11">
        <v>5.6899999999999999E-2</v>
      </c>
      <c r="D108" s="11">
        <v>5.5399999999999998E-2</v>
      </c>
      <c r="E108" s="11">
        <v>5.0500000000000003E-2</v>
      </c>
      <c r="F108" s="11">
        <v>0.08</v>
      </c>
      <c r="G108" s="90" t="s">
        <v>23</v>
      </c>
      <c r="H108" s="9" t="s">
        <v>59</v>
      </c>
      <c r="I108" s="1" t="s">
        <v>19</v>
      </c>
    </row>
    <row r="109" spans="1:9" ht="15" x14ac:dyDescent="0.2">
      <c r="A109" s="33"/>
      <c r="B109" s="110" t="s">
        <v>230</v>
      </c>
      <c r="C109" s="12">
        <v>1E-3</v>
      </c>
      <c r="D109" s="12">
        <v>1E-3</v>
      </c>
      <c r="E109" s="12">
        <v>1E-3</v>
      </c>
      <c r="F109" s="150" t="s">
        <v>189</v>
      </c>
      <c r="G109" s="143" t="s">
        <v>189</v>
      </c>
      <c r="H109" s="144" t="s">
        <v>189</v>
      </c>
      <c r="I109" s="154" t="s">
        <v>189</v>
      </c>
    </row>
    <row r="110" spans="1:9" ht="15" x14ac:dyDescent="0.25">
      <c r="A110" s="20"/>
      <c r="B110" s="17"/>
      <c r="C110" s="17"/>
      <c r="D110" s="17"/>
      <c r="E110" s="19"/>
      <c r="F110" s="18"/>
      <c r="G110" s="92"/>
      <c r="H110" s="19"/>
      <c r="I110" s="175"/>
    </row>
    <row r="111" spans="1:9" ht="60" x14ac:dyDescent="0.25">
      <c r="A111" s="30" t="s">
        <v>69</v>
      </c>
      <c r="B111" s="38" t="s">
        <v>44</v>
      </c>
      <c r="C111" s="38"/>
      <c r="D111" s="38"/>
      <c r="E111" s="39"/>
      <c r="F111" s="40"/>
      <c r="G111" s="95"/>
      <c r="H111" s="39"/>
      <c r="I111" s="41"/>
    </row>
    <row r="112" spans="1:9" ht="23.25" x14ac:dyDescent="0.25">
      <c r="A112" s="30"/>
      <c r="B112" s="43" t="s">
        <v>45</v>
      </c>
      <c r="C112" s="43"/>
      <c r="D112" s="43"/>
      <c r="E112" s="39"/>
      <c r="F112" s="40"/>
      <c r="G112" s="95"/>
      <c r="H112" s="39"/>
      <c r="I112" s="41"/>
    </row>
    <row r="113" spans="1:9" ht="15.75" x14ac:dyDescent="0.2">
      <c r="A113" s="31"/>
      <c r="B113" s="13" t="s">
        <v>0</v>
      </c>
      <c r="C113" s="111" t="s">
        <v>189</v>
      </c>
      <c r="D113" s="64" t="s">
        <v>229</v>
      </c>
      <c r="E113" s="15" t="s">
        <v>226</v>
      </c>
      <c r="F113" s="15" t="s">
        <v>200</v>
      </c>
      <c r="G113" s="14" t="s">
        <v>30</v>
      </c>
      <c r="H113" s="14" t="s">
        <v>20</v>
      </c>
      <c r="I113" s="14" t="s">
        <v>35</v>
      </c>
    </row>
    <row r="114" spans="1:9" ht="57" x14ac:dyDescent="0.2">
      <c r="A114" s="33"/>
      <c r="B114" s="108" t="s">
        <v>140</v>
      </c>
      <c r="C114" s="112" t="s">
        <v>189</v>
      </c>
      <c r="D114" s="5">
        <v>0.24879999999999999</v>
      </c>
      <c r="E114" s="5">
        <v>0.23849999999999999</v>
      </c>
      <c r="F114" s="5">
        <v>0.24</v>
      </c>
      <c r="G114" s="185" t="s">
        <v>23</v>
      </c>
      <c r="H114" s="7" t="s">
        <v>63</v>
      </c>
      <c r="I114" s="6" t="s">
        <v>223</v>
      </c>
    </row>
    <row r="115" spans="1:9" x14ac:dyDescent="0.2">
      <c r="A115" s="32"/>
      <c r="B115" s="108" t="s">
        <v>2</v>
      </c>
      <c r="C115" s="113" t="s">
        <v>189</v>
      </c>
      <c r="D115" s="3">
        <v>0.27939999999999998</v>
      </c>
      <c r="E115" s="3">
        <v>0.28810000000000002</v>
      </c>
      <c r="F115" s="3">
        <v>0.27</v>
      </c>
      <c r="G115" s="187" t="s">
        <v>24</v>
      </c>
      <c r="H115" s="4" t="s">
        <v>179</v>
      </c>
      <c r="I115" s="1" t="s">
        <v>14</v>
      </c>
    </row>
    <row r="116" spans="1:9" x14ac:dyDescent="0.2">
      <c r="A116" s="33"/>
      <c r="B116" s="109" t="s">
        <v>139</v>
      </c>
      <c r="C116" s="112" t="s">
        <v>189</v>
      </c>
      <c r="D116" s="3">
        <v>0.33810000000000001</v>
      </c>
      <c r="E116" s="3">
        <v>0.33660000000000001</v>
      </c>
      <c r="F116" s="3">
        <v>0.35</v>
      </c>
      <c r="G116" s="187" t="s">
        <v>23</v>
      </c>
      <c r="H116" s="4" t="s">
        <v>119</v>
      </c>
      <c r="I116" s="1" t="s">
        <v>15</v>
      </c>
    </row>
    <row r="117" spans="1:9" ht="28.5" x14ac:dyDescent="0.2">
      <c r="A117" s="33"/>
      <c r="B117" s="166" t="s">
        <v>9</v>
      </c>
      <c r="C117" s="113" t="s">
        <v>189</v>
      </c>
      <c r="D117" s="3">
        <v>8.1000000000000003E-2</v>
      </c>
      <c r="E117" s="3">
        <v>5.8099999999999999E-2</v>
      </c>
      <c r="F117" s="3">
        <v>7.0000000000000007E-2</v>
      </c>
      <c r="G117" s="188" t="s">
        <v>24</v>
      </c>
      <c r="H117" s="4" t="s">
        <v>50</v>
      </c>
      <c r="I117" s="1" t="s">
        <v>16</v>
      </c>
    </row>
    <row r="118" spans="1:9" x14ac:dyDescent="0.2">
      <c r="A118" s="33"/>
      <c r="B118" s="166" t="s">
        <v>10</v>
      </c>
      <c r="C118" s="113" t="s">
        <v>189</v>
      </c>
      <c r="D118" s="3">
        <v>3.95E-2</v>
      </c>
      <c r="E118" s="3">
        <v>4.4400000000000002E-2</v>
      </c>
      <c r="F118" s="3">
        <v>0.05</v>
      </c>
      <c r="G118" s="188" t="s">
        <v>24</v>
      </c>
      <c r="H118" s="4" t="s">
        <v>51</v>
      </c>
      <c r="I118" s="1" t="s">
        <v>17</v>
      </c>
    </row>
    <row r="119" spans="1:9" x14ac:dyDescent="0.2">
      <c r="A119" s="33"/>
      <c r="B119" s="166" t="s">
        <v>11</v>
      </c>
      <c r="C119" s="113" t="s">
        <v>189</v>
      </c>
      <c r="D119" s="3">
        <v>0</v>
      </c>
      <c r="E119" s="3">
        <v>0</v>
      </c>
      <c r="F119" s="3">
        <v>0.05</v>
      </c>
      <c r="G119" s="188" t="s">
        <v>24</v>
      </c>
      <c r="H119" s="4" t="s">
        <v>51</v>
      </c>
      <c r="I119" s="1" t="s">
        <v>18</v>
      </c>
    </row>
    <row r="120" spans="1:9" x14ac:dyDescent="0.2">
      <c r="A120" s="33"/>
      <c r="B120" s="166" t="s">
        <v>21</v>
      </c>
      <c r="C120" s="113" t="s">
        <v>189</v>
      </c>
      <c r="D120" s="3">
        <v>0</v>
      </c>
      <c r="E120" s="3">
        <v>0</v>
      </c>
      <c r="F120" s="3">
        <v>0.05</v>
      </c>
      <c r="G120" s="188" t="s">
        <v>24</v>
      </c>
      <c r="H120" s="4" t="s">
        <v>51</v>
      </c>
      <c r="I120" s="1" t="s">
        <v>18</v>
      </c>
    </row>
    <row r="121" spans="1:9" x14ac:dyDescent="0.2">
      <c r="A121" s="33"/>
      <c r="B121" s="166" t="s">
        <v>12</v>
      </c>
      <c r="C121" s="113" t="s">
        <v>189</v>
      </c>
      <c r="D121" s="3">
        <v>0.16520000000000001</v>
      </c>
      <c r="E121" s="3">
        <v>0.16619999999999999</v>
      </c>
      <c r="F121" s="3">
        <v>0.12</v>
      </c>
      <c r="G121" s="187" t="s">
        <v>24</v>
      </c>
      <c r="H121" s="4" t="s">
        <v>56</v>
      </c>
      <c r="I121" s="9" t="s">
        <v>18</v>
      </c>
    </row>
    <row r="122" spans="1:9" x14ac:dyDescent="0.2">
      <c r="A122" s="33"/>
      <c r="B122" s="166" t="s">
        <v>13</v>
      </c>
      <c r="C122" s="113" t="s">
        <v>189</v>
      </c>
      <c r="D122" s="3">
        <v>2.06E-2</v>
      </c>
      <c r="E122" s="3">
        <v>2.1499999999999998E-2</v>
      </c>
      <c r="F122" s="3">
        <v>0.05</v>
      </c>
      <c r="G122" s="187" t="s">
        <v>24</v>
      </c>
      <c r="H122" s="190" t="s">
        <v>51</v>
      </c>
      <c r="I122" s="136" t="s">
        <v>189</v>
      </c>
    </row>
    <row r="123" spans="1:9" ht="15" x14ac:dyDescent="0.2">
      <c r="A123" s="33"/>
      <c r="B123" s="110" t="s">
        <v>5</v>
      </c>
      <c r="C123" s="114" t="s">
        <v>189</v>
      </c>
      <c r="D123" s="103">
        <f>SUBTOTAL(109,D114:D122)</f>
        <v>1.1726000000000001</v>
      </c>
      <c r="E123" s="103">
        <f t="shared" ref="E123:F123" si="2">SUBTOTAL(109,E114:E122)</f>
        <v>1.1534</v>
      </c>
      <c r="F123" s="103">
        <f t="shared" si="2"/>
        <v>1.2500000000000002</v>
      </c>
      <c r="G123" s="193" t="s">
        <v>189</v>
      </c>
      <c r="H123" s="194" t="s">
        <v>189</v>
      </c>
      <c r="I123" s="116" t="s">
        <v>189</v>
      </c>
    </row>
    <row r="124" spans="1:9" x14ac:dyDescent="0.2">
      <c r="A124" s="33"/>
      <c r="B124" s="108" t="s">
        <v>6</v>
      </c>
      <c r="C124" s="113" t="s">
        <v>189</v>
      </c>
      <c r="D124" s="11">
        <v>0.17860000000000001</v>
      </c>
      <c r="E124" s="11">
        <v>0.17680000000000001</v>
      </c>
      <c r="F124" s="11">
        <v>0.18</v>
      </c>
      <c r="G124" s="187" t="s">
        <v>23</v>
      </c>
      <c r="H124" s="4" t="s">
        <v>207</v>
      </c>
      <c r="I124" s="1" t="s">
        <v>19</v>
      </c>
    </row>
    <row r="125" spans="1:9" ht="15" x14ac:dyDescent="0.2">
      <c r="A125" s="33"/>
      <c r="B125" s="110" t="s">
        <v>230</v>
      </c>
      <c r="C125" s="114" t="s">
        <v>189</v>
      </c>
      <c r="D125" s="12">
        <v>2.2000000000000001E-3</v>
      </c>
      <c r="E125" s="12">
        <v>1.6999999999999999E-3</v>
      </c>
      <c r="F125" s="150" t="s">
        <v>189</v>
      </c>
      <c r="G125" s="143" t="s">
        <v>189</v>
      </c>
      <c r="H125" s="144" t="s">
        <v>189</v>
      </c>
      <c r="I125" s="154" t="s">
        <v>189</v>
      </c>
    </row>
    <row r="126" spans="1:9" ht="15" x14ac:dyDescent="0.25">
      <c r="A126" s="20"/>
      <c r="B126" s="17"/>
      <c r="C126" s="17"/>
      <c r="D126" s="17"/>
      <c r="E126" s="19"/>
      <c r="F126" s="18"/>
      <c r="G126" s="92"/>
      <c r="H126" s="19"/>
      <c r="I126" s="175"/>
    </row>
    <row r="127" spans="1:9" ht="45" x14ac:dyDescent="0.25">
      <c r="A127" s="30" t="s">
        <v>70</v>
      </c>
      <c r="B127" s="38" t="s">
        <v>71</v>
      </c>
      <c r="C127" s="38"/>
      <c r="D127" s="38"/>
      <c r="E127" s="39"/>
      <c r="F127" s="40"/>
      <c r="G127" s="95"/>
      <c r="H127" s="39"/>
      <c r="I127" s="41"/>
    </row>
    <row r="128" spans="1:9" ht="23.25" x14ac:dyDescent="0.25">
      <c r="A128" s="30"/>
      <c r="B128" s="43" t="s">
        <v>72</v>
      </c>
      <c r="C128" s="43"/>
      <c r="D128" s="43"/>
      <c r="E128" s="39"/>
      <c r="F128" s="40"/>
      <c r="G128" s="95"/>
      <c r="H128" s="39"/>
      <c r="I128" s="41"/>
    </row>
    <row r="129" spans="1:9" ht="23.25" x14ac:dyDescent="0.25">
      <c r="A129" s="30"/>
      <c r="B129" s="43" t="s">
        <v>74</v>
      </c>
      <c r="C129" s="43"/>
      <c r="D129" s="43"/>
      <c r="E129" s="39"/>
      <c r="F129" s="40"/>
      <c r="G129" s="95"/>
      <c r="H129" s="39"/>
      <c r="I129" s="41"/>
    </row>
    <row r="130" spans="1:9" ht="15.75" x14ac:dyDescent="0.2">
      <c r="A130" s="31"/>
      <c r="B130" s="123" t="s">
        <v>0</v>
      </c>
      <c r="C130" s="124" t="s">
        <v>228</v>
      </c>
      <c r="D130" s="124" t="s">
        <v>227</v>
      </c>
      <c r="E130" s="124" t="s">
        <v>226</v>
      </c>
      <c r="F130" s="124" t="s">
        <v>200</v>
      </c>
      <c r="G130" s="125" t="s">
        <v>30</v>
      </c>
      <c r="H130" s="125" t="s">
        <v>20</v>
      </c>
      <c r="I130" s="125" t="s">
        <v>35</v>
      </c>
    </row>
    <row r="131" spans="1:9" x14ac:dyDescent="0.2">
      <c r="A131" s="33"/>
      <c r="B131" s="108" t="s">
        <v>140</v>
      </c>
      <c r="C131" s="127" t="s">
        <v>189</v>
      </c>
      <c r="D131" s="127" t="s">
        <v>189</v>
      </c>
      <c r="E131" s="127" t="s">
        <v>189</v>
      </c>
      <c r="F131" s="127" t="s">
        <v>189</v>
      </c>
      <c r="G131" s="89" t="s">
        <v>23</v>
      </c>
      <c r="H131" s="7" t="s">
        <v>73</v>
      </c>
      <c r="I131" s="155" t="s">
        <v>189</v>
      </c>
    </row>
    <row r="132" spans="1:9" x14ac:dyDescent="0.2">
      <c r="A132" s="32"/>
      <c r="B132" s="108" t="s">
        <v>2</v>
      </c>
      <c r="C132" s="57">
        <v>0.9486</v>
      </c>
      <c r="D132" s="57">
        <v>0.9325</v>
      </c>
      <c r="E132" s="57">
        <v>0.96250000000000002</v>
      </c>
      <c r="F132" s="57">
        <v>0.95</v>
      </c>
      <c r="G132" s="90" t="s">
        <v>24</v>
      </c>
      <c r="H132" s="4" t="s">
        <v>132</v>
      </c>
      <c r="I132" s="1" t="s">
        <v>14</v>
      </c>
    </row>
    <row r="133" spans="1:9" x14ac:dyDescent="0.2">
      <c r="A133" s="33"/>
      <c r="B133" s="109" t="s">
        <v>139</v>
      </c>
      <c r="C133" s="57">
        <v>1.7999999999999999E-2</v>
      </c>
      <c r="D133" s="57">
        <v>2.35E-2</v>
      </c>
      <c r="E133" s="57">
        <v>2.2800000000000001E-2</v>
      </c>
      <c r="F133" s="57">
        <v>0.06</v>
      </c>
      <c r="G133" s="90" t="s">
        <v>23</v>
      </c>
      <c r="H133" s="4" t="s">
        <v>58</v>
      </c>
      <c r="I133" s="153" t="s">
        <v>189</v>
      </c>
    </row>
    <row r="134" spans="1:9" x14ac:dyDescent="0.2">
      <c r="A134" s="33"/>
      <c r="B134" s="166" t="s">
        <v>12</v>
      </c>
      <c r="C134" s="57">
        <v>3.3300000000000003E-2</v>
      </c>
      <c r="D134" s="57">
        <v>4.3900000000000002E-2</v>
      </c>
      <c r="E134" s="57">
        <v>1.47E-2</v>
      </c>
      <c r="F134" s="57">
        <v>0.05</v>
      </c>
      <c r="G134" s="90" t="s">
        <v>24</v>
      </c>
      <c r="H134" s="9" t="s">
        <v>51</v>
      </c>
      <c r="I134" s="9" t="s">
        <v>18</v>
      </c>
    </row>
    <row r="135" spans="1:9" ht="15" x14ac:dyDescent="0.2">
      <c r="A135" s="33"/>
      <c r="B135" s="110" t="s">
        <v>5</v>
      </c>
      <c r="C135" s="29">
        <f>SUBTOTAL(109,C131:C134)</f>
        <v>0.99990000000000001</v>
      </c>
      <c r="D135" s="29">
        <f t="shared" ref="D135:F135" si="3">SUBTOTAL(109,D131:D134)</f>
        <v>0.99990000000000001</v>
      </c>
      <c r="E135" s="29">
        <f t="shared" si="3"/>
        <v>1</v>
      </c>
      <c r="F135" s="29">
        <f t="shared" si="3"/>
        <v>1.06</v>
      </c>
      <c r="G135" s="121" t="s">
        <v>189</v>
      </c>
      <c r="H135" s="42" t="s">
        <v>73</v>
      </c>
      <c r="I135" s="116" t="s">
        <v>189</v>
      </c>
    </row>
    <row r="136" spans="1:9" x14ac:dyDescent="0.2">
      <c r="A136" s="33"/>
      <c r="B136" s="108" t="s">
        <v>6</v>
      </c>
      <c r="C136" s="149" t="s">
        <v>189</v>
      </c>
      <c r="D136" s="149" t="s">
        <v>189</v>
      </c>
      <c r="E136" s="149">
        <v>0</v>
      </c>
      <c r="F136" s="149" t="s">
        <v>189</v>
      </c>
      <c r="G136" s="90" t="s">
        <v>23</v>
      </c>
      <c r="H136" s="9" t="s">
        <v>73</v>
      </c>
      <c r="I136" s="153" t="s">
        <v>189</v>
      </c>
    </row>
    <row r="137" spans="1:9" ht="15" x14ac:dyDescent="0.2">
      <c r="A137" s="33"/>
      <c r="B137" s="110" t="s">
        <v>230</v>
      </c>
      <c r="C137" s="12">
        <v>1E-3</v>
      </c>
      <c r="D137" s="12">
        <v>1E-3</v>
      </c>
      <c r="E137" s="12">
        <v>1E-3</v>
      </c>
      <c r="F137" s="150" t="s">
        <v>189</v>
      </c>
      <c r="G137" s="143" t="s">
        <v>189</v>
      </c>
      <c r="H137" s="144" t="s">
        <v>189</v>
      </c>
      <c r="I137" s="154" t="s">
        <v>189</v>
      </c>
    </row>
    <row r="138" spans="1:9" ht="15" x14ac:dyDescent="0.25">
      <c r="A138" s="20"/>
      <c r="B138" s="17"/>
      <c r="C138" s="17"/>
      <c r="D138" s="17"/>
      <c r="E138" s="19"/>
      <c r="F138" s="18"/>
      <c r="G138" s="92"/>
      <c r="H138" s="19"/>
      <c r="I138" s="175"/>
    </row>
    <row r="139" spans="1:9" ht="60" x14ac:dyDescent="0.25">
      <c r="A139" s="44" t="s">
        <v>93</v>
      </c>
      <c r="B139" s="38" t="s">
        <v>75</v>
      </c>
      <c r="C139" s="38"/>
      <c r="D139" s="38"/>
      <c r="E139" s="39"/>
      <c r="F139" s="40"/>
      <c r="G139" s="95"/>
      <c r="H139" s="39"/>
      <c r="I139" s="41"/>
    </row>
    <row r="140" spans="1:9" ht="23.25" x14ac:dyDescent="0.25">
      <c r="A140" s="44"/>
      <c r="B140" s="43" t="s">
        <v>76</v>
      </c>
      <c r="C140" s="43"/>
      <c r="D140" s="43"/>
      <c r="E140" s="39"/>
      <c r="F140" s="40"/>
      <c r="G140" s="95"/>
      <c r="H140" s="39"/>
      <c r="I140" s="41"/>
    </row>
    <row r="141" spans="1:9" ht="23.25" x14ac:dyDescent="0.25">
      <c r="A141" s="44"/>
      <c r="B141" s="43" t="s">
        <v>77</v>
      </c>
      <c r="C141" s="43"/>
      <c r="D141" s="43"/>
      <c r="E141" s="39"/>
      <c r="F141" s="40"/>
      <c r="G141" s="95"/>
      <c r="H141" s="39"/>
      <c r="I141" s="41"/>
    </row>
    <row r="142" spans="1:9" ht="15.75" x14ac:dyDescent="0.2">
      <c r="A142" s="45"/>
      <c r="B142" s="123" t="s">
        <v>0</v>
      </c>
      <c r="C142" s="124" t="s">
        <v>228</v>
      </c>
      <c r="D142" s="124" t="s">
        <v>227</v>
      </c>
      <c r="E142" s="124" t="s">
        <v>226</v>
      </c>
      <c r="F142" s="124" t="s">
        <v>200</v>
      </c>
      <c r="G142" s="125" t="s">
        <v>30</v>
      </c>
      <c r="H142" s="125" t="s">
        <v>20</v>
      </c>
      <c r="I142" s="125" t="s">
        <v>35</v>
      </c>
    </row>
    <row r="143" spans="1:9" ht="28.5" x14ac:dyDescent="0.2">
      <c r="A143" s="47"/>
      <c r="B143" s="108" t="s">
        <v>140</v>
      </c>
      <c r="C143" s="65">
        <v>0.44180000000000003</v>
      </c>
      <c r="D143" s="65">
        <v>0.44169999999999998</v>
      </c>
      <c r="E143" s="65">
        <v>0.44290000000000002</v>
      </c>
      <c r="F143" s="65">
        <v>0.46</v>
      </c>
      <c r="G143" s="89" t="s">
        <v>23</v>
      </c>
      <c r="H143" s="7" t="s">
        <v>48</v>
      </c>
      <c r="I143" s="6" t="s">
        <v>232</v>
      </c>
    </row>
    <row r="144" spans="1:9" x14ac:dyDescent="0.2">
      <c r="A144" s="46"/>
      <c r="B144" s="108" t="s">
        <v>2</v>
      </c>
      <c r="C144" s="57">
        <v>0.24099999999999999</v>
      </c>
      <c r="D144" s="57">
        <v>0.22370000000000001</v>
      </c>
      <c r="E144" s="57">
        <v>0.22009999999999999</v>
      </c>
      <c r="F144" s="57">
        <v>0.2</v>
      </c>
      <c r="G144" s="90" t="s">
        <v>24</v>
      </c>
      <c r="H144" s="4" t="s">
        <v>133</v>
      </c>
      <c r="I144" s="1" t="s">
        <v>14</v>
      </c>
    </row>
    <row r="145" spans="1:9" x14ac:dyDescent="0.2">
      <c r="A145" s="47"/>
      <c r="B145" s="109" t="s">
        <v>139</v>
      </c>
      <c r="C145" s="57">
        <v>0.38790000000000002</v>
      </c>
      <c r="D145" s="57">
        <v>0.36909999999999998</v>
      </c>
      <c r="E145" s="57">
        <v>0.36720000000000003</v>
      </c>
      <c r="F145" s="57">
        <v>0.34</v>
      </c>
      <c r="G145" s="90" t="s">
        <v>23</v>
      </c>
      <c r="H145" s="4" t="s">
        <v>127</v>
      </c>
      <c r="I145" s="1" t="s">
        <v>15</v>
      </c>
    </row>
    <row r="146" spans="1:9" x14ac:dyDescent="0.2">
      <c r="A146" s="47"/>
      <c r="B146" s="108" t="s">
        <v>12</v>
      </c>
      <c r="C146" s="57">
        <v>0.19309999999999999</v>
      </c>
      <c r="D146" s="57">
        <v>0.18629999999999999</v>
      </c>
      <c r="E146" s="57">
        <v>0.1875</v>
      </c>
      <c r="F146" s="57">
        <v>0.15</v>
      </c>
      <c r="G146" s="90" t="s">
        <v>24</v>
      </c>
      <c r="H146" s="9" t="s">
        <v>52</v>
      </c>
      <c r="I146" s="9" t="s">
        <v>18</v>
      </c>
    </row>
    <row r="147" spans="1:9" ht="15" x14ac:dyDescent="0.2">
      <c r="A147" s="47"/>
      <c r="B147" s="110" t="s">
        <v>5</v>
      </c>
      <c r="C147" s="106">
        <f>SUBTOTAL(109,C143:C146)</f>
        <v>1.2638</v>
      </c>
      <c r="D147" s="106">
        <f t="shared" ref="D147:F147" si="4">SUBTOTAL(109,D143:D146)</f>
        <v>1.2207999999999999</v>
      </c>
      <c r="E147" s="106">
        <f t="shared" si="4"/>
        <v>1.2177</v>
      </c>
      <c r="F147" s="106">
        <f t="shared" si="4"/>
        <v>1.1499999999999999</v>
      </c>
      <c r="G147" s="121" t="s">
        <v>189</v>
      </c>
      <c r="H147" s="122" t="s">
        <v>189</v>
      </c>
      <c r="I147" s="116" t="s">
        <v>189</v>
      </c>
    </row>
    <row r="148" spans="1:9" x14ac:dyDescent="0.2">
      <c r="A148" s="47"/>
      <c r="B148" s="108" t="s">
        <v>6</v>
      </c>
      <c r="C148" s="71">
        <v>0.15659999999999999</v>
      </c>
      <c r="D148" s="71">
        <v>0.1535</v>
      </c>
      <c r="E148" s="71">
        <v>0.15229999999999999</v>
      </c>
      <c r="F148" s="71">
        <v>0.18</v>
      </c>
      <c r="G148" s="90" t="s">
        <v>23</v>
      </c>
      <c r="H148" s="9" t="s">
        <v>207</v>
      </c>
      <c r="I148" s="1" t="s">
        <v>19</v>
      </c>
    </row>
    <row r="149" spans="1:9" ht="15" x14ac:dyDescent="0.2">
      <c r="A149" s="47"/>
      <c r="B149" s="110" t="s">
        <v>230</v>
      </c>
      <c r="C149" s="12">
        <v>5.9999999999999995E-4</v>
      </c>
      <c r="D149" s="12">
        <v>5.9999999999999995E-4</v>
      </c>
      <c r="E149" s="12">
        <v>5.9999999999999995E-4</v>
      </c>
      <c r="F149" s="142" t="s">
        <v>189</v>
      </c>
      <c r="G149" s="143" t="s">
        <v>189</v>
      </c>
      <c r="H149" s="144" t="s">
        <v>189</v>
      </c>
      <c r="I149" s="154" t="s">
        <v>189</v>
      </c>
    </row>
    <row r="150" spans="1:9" ht="15" x14ac:dyDescent="0.25">
      <c r="A150" s="20"/>
      <c r="B150" s="17"/>
      <c r="C150" s="17"/>
      <c r="D150" s="17"/>
      <c r="E150" s="19"/>
      <c r="F150" s="18"/>
      <c r="G150" s="92"/>
      <c r="H150" s="19"/>
      <c r="I150" s="175"/>
    </row>
    <row r="151" spans="1:9" ht="60" x14ac:dyDescent="0.25">
      <c r="A151" s="44" t="s">
        <v>83</v>
      </c>
      <c r="B151" s="38" t="s">
        <v>80</v>
      </c>
      <c r="C151" s="38"/>
      <c r="D151" s="38"/>
      <c r="E151" s="39"/>
      <c r="F151" s="40"/>
      <c r="G151" s="95"/>
      <c r="H151" s="39"/>
      <c r="I151" s="41"/>
    </row>
    <row r="152" spans="1:9" ht="23.25" x14ac:dyDescent="0.25">
      <c r="A152" s="44"/>
      <c r="B152" s="43" t="s">
        <v>81</v>
      </c>
      <c r="C152" s="43"/>
      <c r="D152" s="43"/>
      <c r="E152" s="39"/>
      <c r="F152" s="40"/>
      <c r="G152" s="95"/>
      <c r="H152" s="39"/>
      <c r="I152" s="41"/>
    </row>
    <row r="153" spans="1:9" ht="23.25" x14ac:dyDescent="0.25">
      <c r="A153" s="44"/>
      <c r="B153" s="43" t="s">
        <v>82</v>
      </c>
      <c r="C153" s="43"/>
      <c r="D153" s="43"/>
      <c r="E153" s="39"/>
      <c r="F153" s="40"/>
      <c r="G153" s="95"/>
      <c r="H153" s="39"/>
      <c r="I153" s="41"/>
    </row>
    <row r="154" spans="1:9" ht="15.75" x14ac:dyDescent="0.2">
      <c r="A154" s="45"/>
      <c r="B154" s="137" t="s">
        <v>0</v>
      </c>
      <c r="C154" s="124" t="s">
        <v>228</v>
      </c>
      <c r="D154" s="124" t="s">
        <v>227</v>
      </c>
      <c r="E154" s="124" t="s">
        <v>226</v>
      </c>
      <c r="F154" s="124" t="s">
        <v>200</v>
      </c>
      <c r="G154" s="125" t="s">
        <v>30</v>
      </c>
      <c r="H154" s="125" t="s">
        <v>20</v>
      </c>
      <c r="I154" s="125" t="s">
        <v>35</v>
      </c>
    </row>
    <row r="155" spans="1:9" ht="28.5" x14ac:dyDescent="0.2">
      <c r="A155" s="47"/>
      <c r="B155" s="184" t="s">
        <v>140</v>
      </c>
      <c r="C155" s="65">
        <v>0.96960000000000002</v>
      </c>
      <c r="D155" s="65">
        <v>0.96309999999999996</v>
      </c>
      <c r="E155" s="65">
        <v>0.96389999999999998</v>
      </c>
      <c r="F155" s="65">
        <v>0.94</v>
      </c>
      <c r="G155" s="89" t="s">
        <v>23</v>
      </c>
      <c r="H155" s="7" t="s">
        <v>99</v>
      </c>
      <c r="I155" s="6" t="s">
        <v>232</v>
      </c>
    </row>
    <row r="156" spans="1:9" x14ac:dyDescent="0.2">
      <c r="A156" s="46"/>
      <c r="B156" s="184" t="s">
        <v>2</v>
      </c>
      <c r="C156" s="57">
        <v>0.41870000000000002</v>
      </c>
      <c r="D156" s="57">
        <v>0.4289</v>
      </c>
      <c r="E156" s="57">
        <v>0.4284</v>
      </c>
      <c r="F156" s="57">
        <v>0.47</v>
      </c>
      <c r="G156" s="90" t="s">
        <v>24</v>
      </c>
      <c r="H156" s="4" t="s">
        <v>134</v>
      </c>
      <c r="I156" s="1" t="s">
        <v>14</v>
      </c>
    </row>
    <row r="157" spans="1:9" x14ac:dyDescent="0.2">
      <c r="A157" s="47"/>
      <c r="B157" s="195" t="s">
        <v>139</v>
      </c>
      <c r="C157" s="57">
        <v>2.53E-2</v>
      </c>
      <c r="D157" s="57">
        <v>2.4500000000000001E-2</v>
      </c>
      <c r="E157" s="57">
        <v>2.3900000000000001E-2</v>
      </c>
      <c r="F157" s="57">
        <v>0.06</v>
      </c>
      <c r="G157" s="90" t="s">
        <v>23</v>
      </c>
      <c r="H157" s="4" t="s">
        <v>58</v>
      </c>
      <c r="I157" s="1" t="s">
        <v>15</v>
      </c>
    </row>
    <row r="158" spans="1:9" x14ac:dyDescent="0.2">
      <c r="A158" s="47"/>
      <c r="B158" s="184" t="s">
        <v>12</v>
      </c>
      <c r="C158" s="3">
        <v>0.16120000000000001</v>
      </c>
      <c r="D158" s="3">
        <v>0.16370000000000001</v>
      </c>
      <c r="E158" s="3">
        <v>0.15340000000000001</v>
      </c>
      <c r="F158" s="3">
        <v>0.15</v>
      </c>
      <c r="G158" s="90" t="s">
        <v>24</v>
      </c>
      <c r="H158" s="9" t="s">
        <v>52</v>
      </c>
      <c r="I158" s="9" t="s">
        <v>18</v>
      </c>
    </row>
    <row r="159" spans="1:9" ht="15" x14ac:dyDescent="0.2">
      <c r="A159" s="47"/>
      <c r="B159" s="196" t="s">
        <v>5</v>
      </c>
      <c r="C159" s="103">
        <f>SUBTOTAL(109,C155:C158)</f>
        <v>1.5748000000000002</v>
      </c>
      <c r="D159" s="103">
        <f>SUBTOTAL(109,D155:D158)</f>
        <v>1.5801999999999998</v>
      </c>
      <c r="E159" s="103">
        <f>SUBTOTAL(109,E155:E158)</f>
        <v>1.5696000000000001</v>
      </c>
      <c r="F159" s="103">
        <f>SUBTOTAL(109,F155:F158)</f>
        <v>1.6199999999999999</v>
      </c>
      <c r="G159" s="121" t="s">
        <v>189</v>
      </c>
      <c r="H159" s="122" t="s">
        <v>189</v>
      </c>
      <c r="I159" s="116" t="s">
        <v>189</v>
      </c>
    </row>
    <row r="160" spans="1:9" x14ac:dyDescent="0.2">
      <c r="A160" s="47"/>
      <c r="B160" s="184" t="s">
        <v>6</v>
      </c>
      <c r="C160" s="11">
        <v>0.17899999999999999</v>
      </c>
      <c r="D160" s="11">
        <v>0.1681</v>
      </c>
      <c r="E160" s="11">
        <v>0.17780000000000001</v>
      </c>
      <c r="F160" s="11">
        <v>0.18</v>
      </c>
      <c r="G160" s="90" t="s">
        <v>23</v>
      </c>
      <c r="H160" s="9" t="s">
        <v>207</v>
      </c>
      <c r="I160" s="1" t="s">
        <v>19</v>
      </c>
    </row>
    <row r="161" spans="1:9" ht="15" x14ac:dyDescent="0.2">
      <c r="A161" s="47"/>
      <c r="B161" s="110" t="s">
        <v>230</v>
      </c>
      <c r="C161" s="12">
        <v>5.9999999999999995E-4</v>
      </c>
      <c r="D161" s="12">
        <v>5.9999999999999995E-4</v>
      </c>
      <c r="E161" s="104">
        <v>5.9999999999999995E-4</v>
      </c>
      <c r="F161" s="142" t="s">
        <v>189</v>
      </c>
      <c r="G161" s="143" t="s">
        <v>189</v>
      </c>
      <c r="H161" s="144" t="s">
        <v>189</v>
      </c>
      <c r="I161" s="154" t="s">
        <v>189</v>
      </c>
    </row>
    <row r="162" spans="1:9" ht="15" x14ac:dyDescent="0.25">
      <c r="A162" s="20"/>
      <c r="B162" s="17"/>
      <c r="C162" s="17"/>
      <c r="D162" s="17"/>
      <c r="E162" s="19"/>
      <c r="F162" s="18"/>
      <c r="G162" s="92"/>
      <c r="H162" s="19"/>
      <c r="I162" s="175"/>
    </row>
    <row r="163" spans="1:9" ht="60" x14ac:dyDescent="0.25">
      <c r="A163" s="44" t="s">
        <v>84</v>
      </c>
      <c r="B163" s="38" t="s">
        <v>85</v>
      </c>
      <c r="C163" s="38"/>
      <c r="D163" s="38"/>
      <c r="E163" s="39"/>
      <c r="F163" s="40"/>
      <c r="G163" s="95"/>
      <c r="H163" s="39"/>
      <c r="I163" s="41"/>
    </row>
    <row r="164" spans="1:9" ht="23.25" x14ac:dyDescent="0.25">
      <c r="A164" s="44"/>
      <c r="B164" s="43" t="s">
        <v>86</v>
      </c>
      <c r="C164" s="43"/>
      <c r="D164" s="43"/>
      <c r="E164" s="39"/>
      <c r="F164" s="40"/>
      <c r="G164" s="95"/>
      <c r="H164" s="39"/>
      <c r="I164" s="41"/>
    </row>
    <row r="165" spans="1:9" ht="23.25" x14ac:dyDescent="0.25">
      <c r="A165" s="44"/>
      <c r="B165" s="43" t="s">
        <v>90</v>
      </c>
      <c r="C165" s="43"/>
      <c r="D165" s="43"/>
      <c r="E165" s="39"/>
      <c r="F165" s="40"/>
      <c r="G165" s="95"/>
      <c r="H165" s="39"/>
      <c r="I165" s="41"/>
    </row>
    <row r="166" spans="1:9" ht="15.75" x14ac:dyDescent="0.2">
      <c r="A166" s="45"/>
      <c r="B166" s="137" t="s">
        <v>0</v>
      </c>
      <c r="C166" s="124" t="s">
        <v>228</v>
      </c>
      <c r="D166" s="124" t="s">
        <v>227</v>
      </c>
      <c r="E166" s="124" t="s">
        <v>226</v>
      </c>
      <c r="F166" s="124" t="s">
        <v>200</v>
      </c>
      <c r="G166" s="125" t="s">
        <v>30</v>
      </c>
      <c r="H166" s="125" t="s">
        <v>20</v>
      </c>
      <c r="I166" s="125" t="s">
        <v>35</v>
      </c>
    </row>
    <row r="167" spans="1:9" ht="28.5" x14ac:dyDescent="0.2">
      <c r="A167" s="47"/>
      <c r="B167" s="184" t="s">
        <v>140</v>
      </c>
      <c r="C167" s="5">
        <v>3.4299999999999997E-2</v>
      </c>
      <c r="D167" s="5">
        <v>2.76E-2</v>
      </c>
      <c r="E167" s="5">
        <v>2.69E-2</v>
      </c>
      <c r="F167" s="5">
        <v>0.06</v>
      </c>
      <c r="G167" s="89" t="s">
        <v>23</v>
      </c>
      <c r="H167" s="7" t="s">
        <v>58</v>
      </c>
      <c r="I167" s="6" t="s">
        <v>232</v>
      </c>
    </row>
    <row r="168" spans="1:9" x14ac:dyDescent="0.2">
      <c r="A168" s="46"/>
      <c r="B168" s="184" t="s">
        <v>2</v>
      </c>
      <c r="C168" s="3">
        <v>0.1047</v>
      </c>
      <c r="D168" s="3">
        <v>0.10580000000000001</v>
      </c>
      <c r="E168" s="3">
        <v>0.1124</v>
      </c>
      <c r="F168" s="3">
        <v>0.1</v>
      </c>
      <c r="G168" s="90" t="s">
        <v>24</v>
      </c>
      <c r="H168" s="4" t="s">
        <v>49</v>
      </c>
      <c r="I168" s="1" t="s">
        <v>14</v>
      </c>
    </row>
    <row r="169" spans="1:9" x14ac:dyDescent="0.2">
      <c r="A169" s="47"/>
      <c r="B169" s="195" t="s">
        <v>139</v>
      </c>
      <c r="C169" s="3">
        <v>0.82169999999999999</v>
      </c>
      <c r="D169" s="3">
        <v>0.82040000000000002</v>
      </c>
      <c r="E169" s="3">
        <v>0.78590000000000004</v>
      </c>
      <c r="F169" s="234">
        <v>0.85</v>
      </c>
      <c r="G169" s="90" t="s">
        <v>23</v>
      </c>
      <c r="H169" s="233" t="s">
        <v>241</v>
      </c>
      <c r="I169" s="1" t="s">
        <v>15</v>
      </c>
    </row>
    <row r="170" spans="1:9" x14ac:dyDescent="0.2">
      <c r="A170" s="47"/>
      <c r="B170" s="184" t="s">
        <v>12</v>
      </c>
      <c r="C170" s="57">
        <v>4.1700000000000001E-2</v>
      </c>
      <c r="D170" s="57">
        <v>4.8099999999999997E-2</v>
      </c>
      <c r="E170" s="57">
        <v>7.6899999999999996E-2</v>
      </c>
      <c r="F170" s="57">
        <v>0.05</v>
      </c>
      <c r="G170" s="90" t="s">
        <v>24</v>
      </c>
      <c r="H170" s="9" t="s">
        <v>51</v>
      </c>
      <c r="I170" s="9" t="s">
        <v>18</v>
      </c>
    </row>
    <row r="171" spans="1:9" ht="15" x14ac:dyDescent="0.2">
      <c r="A171" s="47"/>
      <c r="B171" s="196" t="s">
        <v>5</v>
      </c>
      <c r="C171" s="103">
        <f>SUBTOTAL(109,C167:C170)</f>
        <v>1.0024</v>
      </c>
      <c r="D171" s="103">
        <f>SUBTOTAL(109,D167:D170)</f>
        <v>1.0019</v>
      </c>
      <c r="E171" s="103">
        <f>SUBTOTAL(109,E167:E170)</f>
        <v>1.0021</v>
      </c>
      <c r="F171" s="103">
        <f>SUBTOTAL(109,F167:F170)</f>
        <v>1.06</v>
      </c>
      <c r="G171" s="121" t="s">
        <v>189</v>
      </c>
      <c r="H171" s="42" t="s">
        <v>73</v>
      </c>
      <c r="I171" s="116" t="s">
        <v>189</v>
      </c>
    </row>
    <row r="172" spans="1:9" x14ac:dyDescent="0.2">
      <c r="A172" s="47"/>
      <c r="B172" s="184" t="s">
        <v>6</v>
      </c>
      <c r="C172" s="11">
        <v>5.3999999999999999E-2</v>
      </c>
      <c r="D172" s="11">
        <v>4.5999999999999999E-2</v>
      </c>
      <c r="E172" s="11">
        <v>4.19E-2</v>
      </c>
      <c r="F172" s="11">
        <v>0.08</v>
      </c>
      <c r="G172" s="90" t="s">
        <v>23</v>
      </c>
      <c r="H172" s="9" t="s">
        <v>59</v>
      </c>
      <c r="I172" s="1" t="s">
        <v>19</v>
      </c>
    </row>
    <row r="173" spans="1:9" ht="15" x14ac:dyDescent="0.2">
      <c r="A173" s="47"/>
      <c r="B173" s="110" t="s">
        <v>230</v>
      </c>
      <c r="C173" s="12">
        <v>5.9999999999999995E-4</v>
      </c>
      <c r="D173" s="12">
        <v>5.9999999999999995E-4</v>
      </c>
      <c r="E173" s="12">
        <v>5.9999999999999995E-4</v>
      </c>
      <c r="F173" s="142" t="s">
        <v>189</v>
      </c>
      <c r="G173" s="143" t="s">
        <v>189</v>
      </c>
      <c r="H173" s="144" t="s">
        <v>189</v>
      </c>
      <c r="I173" s="154" t="s">
        <v>189</v>
      </c>
    </row>
    <row r="174" spans="1:9" ht="15" x14ac:dyDescent="0.25">
      <c r="A174" s="20"/>
      <c r="B174" s="17"/>
      <c r="C174" s="17"/>
      <c r="D174" s="17"/>
      <c r="E174" s="19"/>
      <c r="F174" s="18"/>
      <c r="G174" s="92"/>
      <c r="H174" s="19"/>
      <c r="I174" s="175"/>
    </row>
    <row r="175" spans="1:9" ht="75" x14ac:dyDescent="0.25">
      <c r="A175" s="44" t="s">
        <v>91</v>
      </c>
      <c r="B175" s="38" t="s">
        <v>89</v>
      </c>
      <c r="C175" s="38"/>
      <c r="D175" s="38"/>
      <c r="E175" s="39"/>
      <c r="F175" s="40"/>
      <c r="G175" s="95"/>
      <c r="H175" s="39"/>
      <c r="I175" s="41"/>
    </row>
    <row r="176" spans="1:9" ht="23.25" x14ac:dyDescent="0.25">
      <c r="A176" s="44"/>
      <c r="B176" s="43" t="s">
        <v>88</v>
      </c>
      <c r="C176" s="43"/>
      <c r="D176" s="43"/>
      <c r="E176" s="39"/>
      <c r="F176" s="40"/>
      <c r="G176" s="95"/>
      <c r="H176" s="39"/>
      <c r="I176" s="41"/>
    </row>
    <row r="177" spans="1:9" ht="15.75" x14ac:dyDescent="0.2">
      <c r="A177" s="45"/>
      <c r="B177" s="13" t="s">
        <v>0</v>
      </c>
      <c r="C177" s="111" t="s">
        <v>189</v>
      </c>
      <c r="D177" s="15" t="s">
        <v>227</v>
      </c>
      <c r="E177" s="15" t="s">
        <v>226</v>
      </c>
      <c r="F177" s="15" t="s">
        <v>200</v>
      </c>
      <c r="G177" s="14" t="s">
        <v>30</v>
      </c>
      <c r="H177" s="14" t="s">
        <v>20</v>
      </c>
      <c r="I177" s="14" t="s">
        <v>35</v>
      </c>
    </row>
    <row r="178" spans="1:9" ht="28.5" x14ac:dyDescent="0.2">
      <c r="A178" s="47"/>
      <c r="B178" s="108" t="s">
        <v>140</v>
      </c>
      <c r="C178" s="112" t="s">
        <v>189</v>
      </c>
      <c r="D178" s="5">
        <v>0.20569999999999999</v>
      </c>
      <c r="E178" s="5">
        <v>0.20519999999999999</v>
      </c>
      <c r="F178" s="5">
        <v>0.19</v>
      </c>
      <c r="G178" s="89" t="s">
        <v>23</v>
      </c>
      <c r="H178" s="7" t="s">
        <v>55</v>
      </c>
      <c r="I178" s="6" t="s">
        <v>232</v>
      </c>
    </row>
    <row r="179" spans="1:9" x14ac:dyDescent="0.2">
      <c r="A179" s="46"/>
      <c r="B179" s="108" t="s">
        <v>2</v>
      </c>
      <c r="C179" s="113" t="s">
        <v>189</v>
      </c>
      <c r="D179" s="3">
        <v>0.25119999999999998</v>
      </c>
      <c r="E179" s="3">
        <v>0.25729999999999997</v>
      </c>
      <c r="F179" s="3">
        <v>0.25</v>
      </c>
      <c r="G179" s="90" t="s">
        <v>24</v>
      </c>
      <c r="H179" s="4" t="s">
        <v>54</v>
      </c>
      <c r="I179" s="1" t="s">
        <v>14</v>
      </c>
    </row>
    <row r="180" spans="1:9" x14ac:dyDescent="0.2">
      <c r="A180" s="47"/>
      <c r="B180" s="109" t="s">
        <v>139</v>
      </c>
      <c r="C180" s="112" t="s">
        <v>189</v>
      </c>
      <c r="D180" s="3">
        <v>0.44259999999999999</v>
      </c>
      <c r="E180" s="3">
        <v>0.4415</v>
      </c>
      <c r="F180" s="3">
        <v>0.45</v>
      </c>
      <c r="G180" s="90" t="s">
        <v>23</v>
      </c>
      <c r="H180" s="4" t="s">
        <v>66</v>
      </c>
      <c r="I180" s="1" t="s">
        <v>15</v>
      </c>
    </row>
    <row r="181" spans="1:9" x14ac:dyDescent="0.2">
      <c r="A181" s="47"/>
      <c r="B181" s="108" t="s">
        <v>12</v>
      </c>
      <c r="C181" s="113" t="s">
        <v>189</v>
      </c>
      <c r="D181" s="3">
        <v>0.16739999999999999</v>
      </c>
      <c r="E181" s="3">
        <v>0.1661</v>
      </c>
      <c r="F181" s="3">
        <v>0.15</v>
      </c>
      <c r="G181" s="90" t="s">
        <v>24</v>
      </c>
      <c r="H181" s="9" t="s">
        <v>52</v>
      </c>
      <c r="I181" s="9" t="s">
        <v>18</v>
      </c>
    </row>
    <row r="182" spans="1:9" ht="15" x14ac:dyDescent="0.2">
      <c r="A182" s="47"/>
      <c r="B182" s="110" t="s">
        <v>5</v>
      </c>
      <c r="C182" s="113" t="s">
        <v>189</v>
      </c>
      <c r="D182" s="103">
        <f>SUBTOTAL(109,D178:D181)</f>
        <v>1.0669</v>
      </c>
      <c r="E182" s="103">
        <f>SUBTOTAL(109,E178:E181)</f>
        <v>1.0700999999999998</v>
      </c>
      <c r="F182" s="103">
        <f>SUBTOTAL(109,F178:F181)</f>
        <v>1.04</v>
      </c>
      <c r="G182" s="121" t="s">
        <v>189</v>
      </c>
      <c r="H182" s="42" t="s">
        <v>73</v>
      </c>
      <c r="I182" s="116" t="s">
        <v>189</v>
      </c>
    </row>
    <row r="183" spans="1:9" x14ac:dyDescent="0.2">
      <c r="A183" s="47"/>
      <c r="B183" s="108" t="s">
        <v>6</v>
      </c>
      <c r="C183" s="113" t="s">
        <v>189</v>
      </c>
      <c r="D183" s="11">
        <v>0.16170000000000001</v>
      </c>
      <c r="E183" s="11">
        <v>0.15620000000000001</v>
      </c>
      <c r="F183" s="11">
        <v>0.16</v>
      </c>
      <c r="G183" s="90" t="s">
        <v>23</v>
      </c>
      <c r="H183" s="9" t="s">
        <v>135</v>
      </c>
      <c r="I183" s="1" t="s">
        <v>19</v>
      </c>
    </row>
    <row r="184" spans="1:9" ht="15" x14ac:dyDescent="0.2">
      <c r="A184" s="47"/>
      <c r="B184" s="110" t="s">
        <v>230</v>
      </c>
      <c r="C184" s="113" t="s">
        <v>189</v>
      </c>
      <c r="D184" s="104">
        <v>5.9999999999999995E-4</v>
      </c>
      <c r="E184" s="104">
        <v>5.9999999999999995E-4</v>
      </c>
      <c r="F184" s="142" t="s">
        <v>189</v>
      </c>
      <c r="G184" s="143" t="s">
        <v>189</v>
      </c>
      <c r="H184" s="144" t="s">
        <v>189</v>
      </c>
      <c r="I184" s="154" t="s">
        <v>189</v>
      </c>
    </row>
    <row r="185" spans="1:9" ht="15" x14ac:dyDescent="0.25">
      <c r="A185" s="20"/>
      <c r="B185" s="17"/>
      <c r="C185" s="17"/>
      <c r="D185" s="17"/>
      <c r="E185" s="19"/>
      <c r="F185" s="18"/>
      <c r="G185" s="92"/>
      <c r="H185" s="19"/>
      <c r="I185" s="175"/>
    </row>
    <row r="186" spans="1:9" ht="30" x14ac:dyDescent="0.25">
      <c r="A186" s="48" t="s">
        <v>94</v>
      </c>
      <c r="B186" s="38" t="s">
        <v>95</v>
      </c>
      <c r="C186" s="38"/>
      <c r="D186" s="38"/>
      <c r="E186" s="39"/>
      <c r="F186" s="40"/>
      <c r="G186" s="95"/>
      <c r="H186" s="39"/>
      <c r="I186" s="41"/>
    </row>
    <row r="187" spans="1:9" ht="23.25" x14ac:dyDescent="0.25">
      <c r="A187" s="48"/>
      <c r="B187" s="43" t="s">
        <v>96</v>
      </c>
      <c r="C187" s="43"/>
      <c r="D187" s="43"/>
      <c r="E187" s="39"/>
      <c r="F187" s="40"/>
      <c r="G187" s="95"/>
      <c r="H187" s="39"/>
      <c r="I187" s="41"/>
    </row>
    <row r="188" spans="1:9" ht="23.25" x14ac:dyDescent="0.25">
      <c r="A188" s="48"/>
      <c r="B188" s="43" t="s">
        <v>97</v>
      </c>
      <c r="C188" s="43"/>
      <c r="D188" s="43"/>
      <c r="E188" s="39"/>
      <c r="F188" s="40"/>
      <c r="G188" s="95"/>
      <c r="H188" s="39"/>
      <c r="I188" s="41"/>
    </row>
    <row r="189" spans="1:9" ht="15.75" x14ac:dyDescent="0.2">
      <c r="A189" s="49"/>
      <c r="B189" s="123" t="s">
        <v>0</v>
      </c>
      <c r="C189" s="124" t="s">
        <v>228</v>
      </c>
      <c r="D189" s="124" t="s">
        <v>227</v>
      </c>
      <c r="E189" s="124" t="s">
        <v>226</v>
      </c>
      <c r="F189" s="124" t="s">
        <v>200</v>
      </c>
      <c r="G189" s="125" t="s">
        <v>30</v>
      </c>
      <c r="H189" s="125" t="s">
        <v>20</v>
      </c>
      <c r="I189" s="125" t="s">
        <v>35</v>
      </c>
    </row>
    <row r="190" spans="1:9" x14ac:dyDescent="0.2">
      <c r="A190" s="51"/>
      <c r="B190" s="108" t="s">
        <v>140</v>
      </c>
      <c r="C190" s="65">
        <v>0.43340000000000001</v>
      </c>
      <c r="D190" s="65">
        <v>0.47099999999999997</v>
      </c>
      <c r="E190" s="65">
        <v>0.43809999999999999</v>
      </c>
      <c r="F190" s="65">
        <v>0.43</v>
      </c>
      <c r="G190" s="89" t="s">
        <v>23</v>
      </c>
      <c r="H190" s="7" t="s">
        <v>98</v>
      </c>
      <c r="I190" s="54" t="s">
        <v>27</v>
      </c>
    </row>
    <row r="191" spans="1:9" x14ac:dyDescent="0.2">
      <c r="A191" s="50"/>
      <c r="B191" s="108" t="s">
        <v>2</v>
      </c>
      <c r="C191" s="57">
        <v>0.62229999999999996</v>
      </c>
      <c r="D191" s="57">
        <v>0.62350000000000005</v>
      </c>
      <c r="E191" s="57">
        <v>0.56140000000000001</v>
      </c>
      <c r="F191" s="57">
        <v>0.57999999999999996</v>
      </c>
      <c r="G191" s="90" t="s">
        <v>24</v>
      </c>
      <c r="H191" s="4" t="s">
        <v>202</v>
      </c>
      <c r="I191" s="9" t="s">
        <v>28</v>
      </c>
    </row>
    <row r="192" spans="1:9" ht="28.5" x14ac:dyDescent="0.2">
      <c r="A192" s="51"/>
      <c r="B192" s="109" t="s">
        <v>139</v>
      </c>
      <c r="C192" s="57">
        <v>0.34699999999999998</v>
      </c>
      <c r="D192" s="57">
        <v>0.34289999999999998</v>
      </c>
      <c r="E192" s="57">
        <v>0.34360000000000002</v>
      </c>
      <c r="F192" s="57">
        <v>0.33</v>
      </c>
      <c r="G192" s="90" t="s">
        <v>23</v>
      </c>
      <c r="H192" s="4" t="s">
        <v>79</v>
      </c>
      <c r="I192" s="9" t="s">
        <v>100</v>
      </c>
    </row>
    <row r="193" spans="1:9" x14ac:dyDescent="0.2">
      <c r="A193" s="51"/>
      <c r="B193" s="108" t="s">
        <v>12</v>
      </c>
      <c r="C193" s="57">
        <v>0.2596</v>
      </c>
      <c r="D193" s="57">
        <v>0.25900000000000001</v>
      </c>
      <c r="E193" s="57">
        <v>0.24149999999999999</v>
      </c>
      <c r="F193" s="57">
        <v>0.25</v>
      </c>
      <c r="G193" s="90" t="s">
        <v>24</v>
      </c>
      <c r="H193" s="9" t="s">
        <v>54</v>
      </c>
      <c r="I193" s="9" t="s">
        <v>18</v>
      </c>
    </row>
    <row r="194" spans="1:9" ht="15" x14ac:dyDescent="0.2">
      <c r="A194" s="51"/>
      <c r="B194" s="110" t="s">
        <v>5</v>
      </c>
      <c r="C194" s="106">
        <f>SUBTOTAL(109,C190:C193)</f>
        <v>1.6622999999999999</v>
      </c>
      <c r="D194" s="106">
        <f>SUBTOTAL(109,D190:D193)</f>
        <v>1.6964000000000001</v>
      </c>
      <c r="E194" s="70">
        <f>SUBTOTAL(109,E190:E193)</f>
        <v>1.5846000000000002</v>
      </c>
      <c r="F194" s="70">
        <f>SUBTOTAL(109,F190:F193)</f>
        <v>1.59</v>
      </c>
      <c r="G194" s="121" t="s">
        <v>189</v>
      </c>
      <c r="H194" s="42" t="s">
        <v>73</v>
      </c>
      <c r="I194" s="116" t="s">
        <v>189</v>
      </c>
    </row>
    <row r="195" spans="1:9" x14ac:dyDescent="0.2">
      <c r="A195" s="51"/>
      <c r="B195" s="108" t="s">
        <v>6</v>
      </c>
      <c r="C195" s="71">
        <v>0.99885000000000002</v>
      </c>
      <c r="D195" s="71">
        <v>0.99729999999999996</v>
      </c>
      <c r="E195" s="71">
        <v>0.99560000000000004</v>
      </c>
      <c r="F195" s="71">
        <v>0.94</v>
      </c>
      <c r="G195" s="90" t="s">
        <v>23</v>
      </c>
      <c r="H195" s="9" t="s">
        <v>99</v>
      </c>
      <c r="I195" s="9" t="s">
        <v>19</v>
      </c>
    </row>
    <row r="196" spans="1:9" ht="15" x14ac:dyDescent="0.2">
      <c r="A196" s="51"/>
      <c r="B196" s="110" t="s">
        <v>230</v>
      </c>
      <c r="C196" s="104">
        <v>2E-3</v>
      </c>
      <c r="D196" s="104">
        <v>2E-3</v>
      </c>
      <c r="E196" s="12">
        <v>2.5000000000000001E-3</v>
      </c>
      <c r="F196" s="142" t="s">
        <v>189</v>
      </c>
      <c r="G196" s="143" t="s">
        <v>189</v>
      </c>
      <c r="H196" s="144" t="s">
        <v>189</v>
      </c>
      <c r="I196" s="154" t="s">
        <v>189</v>
      </c>
    </row>
    <row r="197" spans="1:9" ht="15" x14ac:dyDescent="0.25">
      <c r="A197" s="20"/>
      <c r="B197" s="17"/>
      <c r="C197" s="17"/>
      <c r="D197" s="17"/>
      <c r="E197" s="19"/>
      <c r="F197" s="18"/>
      <c r="G197" s="92"/>
      <c r="H197" s="19"/>
      <c r="I197" s="175"/>
    </row>
    <row r="198" spans="1:9" ht="30" x14ac:dyDescent="0.25">
      <c r="A198" s="48" t="s">
        <v>101</v>
      </c>
      <c r="B198" s="38" t="s">
        <v>102</v>
      </c>
      <c r="C198" s="38"/>
      <c r="D198" s="38"/>
      <c r="E198" s="39"/>
      <c r="F198" s="40"/>
      <c r="G198" s="95"/>
      <c r="H198" s="39"/>
      <c r="I198" s="41"/>
    </row>
    <row r="199" spans="1:9" ht="23.25" x14ac:dyDescent="0.25">
      <c r="A199" s="48"/>
      <c r="B199" s="43" t="s">
        <v>103</v>
      </c>
      <c r="C199" s="43"/>
      <c r="D199" s="43"/>
      <c r="E199" s="39"/>
      <c r="F199" s="40"/>
      <c r="G199" s="95"/>
      <c r="H199" s="39"/>
      <c r="I199" s="41"/>
    </row>
    <row r="200" spans="1:9" ht="23.25" x14ac:dyDescent="0.25">
      <c r="A200" s="48"/>
      <c r="B200" s="43" t="s">
        <v>104</v>
      </c>
      <c r="C200" s="43"/>
      <c r="D200" s="43"/>
      <c r="E200" s="39"/>
      <c r="F200" s="40"/>
      <c r="G200" s="95"/>
      <c r="H200" s="39"/>
      <c r="I200" s="41"/>
    </row>
    <row r="201" spans="1:9" ht="15.75" x14ac:dyDescent="0.2">
      <c r="A201" s="49"/>
      <c r="B201" s="123" t="s">
        <v>0</v>
      </c>
      <c r="C201" s="124" t="s">
        <v>228</v>
      </c>
      <c r="D201" s="124" t="s">
        <v>227</v>
      </c>
      <c r="E201" s="124" t="s">
        <v>226</v>
      </c>
      <c r="F201" s="124" t="s">
        <v>200</v>
      </c>
      <c r="G201" s="125" t="s">
        <v>30</v>
      </c>
      <c r="H201" s="125" t="s">
        <v>20</v>
      </c>
      <c r="I201" s="125" t="s">
        <v>35</v>
      </c>
    </row>
    <row r="202" spans="1:9" x14ac:dyDescent="0.2">
      <c r="A202" s="51"/>
      <c r="B202" s="108" t="s">
        <v>140</v>
      </c>
      <c r="C202" s="5">
        <v>0.99980000000000002</v>
      </c>
      <c r="D202" s="5">
        <v>0.99850000000000005</v>
      </c>
      <c r="E202" s="5">
        <v>0.99660000000000004</v>
      </c>
      <c r="F202" s="5">
        <v>0.94</v>
      </c>
      <c r="G202" s="89" t="s">
        <v>23</v>
      </c>
      <c r="H202" s="7" t="s">
        <v>99</v>
      </c>
      <c r="I202" s="54" t="s">
        <v>27</v>
      </c>
    </row>
    <row r="203" spans="1:9" x14ac:dyDescent="0.2">
      <c r="A203" s="50"/>
      <c r="B203" s="108" t="s">
        <v>2</v>
      </c>
      <c r="C203" s="57">
        <v>0.56220000000000003</v>
      </c>
      <c r="D203" s="57">
        <v>0.54849999999999999</v>
      </c>
      <c r="E203" s="57">
        <v>0.55520000000000003</v>
      </c>
      <c r="F203" s="57">
        <v>0.56999999999999995</v>
      </c>
      <c r="G203" s="90" t="s">
        <v>24</v>
      </c>
      <c r="H203" s="4" t="s">
        <v>192</v>
      </c>
      <c r="I203" s="9" t="s">
        <v>14</v>
      </c>
    </row>
    <row r="204" spans="1:9" x14ac:dyDescent="0.2">
      <c r="A204" s="51"/>
      <c r="B204" s="109" t="s">
        <v>139</v>
      </c>
      <c r="C204" s="117">
        <v>0</v>
      </c>
      <c r="D204" s="117">
        <v>0</v>
      </c>
      <c r="E204" s="117">
        <v>0</v>
      </c>
      <c r="F204" s="117" t="s">
        <v>189</v>
      </c>
      <c r="G204" s="90" t="s">
        <v>23</v>
      </c>
      <c r="H204" s="4" t="s">
        <v>73</v>
      </c>
      <c r="I204" s="136" t="s">
        <v>189</v>
      </c>
    </row>
    <row r="205" spans="1:9" x14ac:dyDescent="0.2">
      <c r="A205" s="51"/>
      <c r="B205" s="108" t="s">
        <v>12</v>
      </c>
      <c r="C205" s="3">
        <v>0.22650000000000001</v>
      </c>
      <c r="D205" s="3">
        <v>0.22639999999999999</v>
      </c>
      <c r="E205" s="3">
        <v>0.2402</v>
      </c>
      <c r="F205" s="3">
        <v>0.2</v>
      </c>
      <c r="G205" s="90" t="s">
        <v>24</v>
      </c>
      <c r="H205" s="9" t="s">
        <v>133</v>
      </c>
      <c r="I205" s="9" t="s">
        <v>18</v>
      </c>
    </row>
    <row r="206" spans="1:9" ht="15" x14ac:dyDescent="0.2">
      <c r="A206" s="51"/>
      <c r="B206" s="110" t="s">
        <v>5</v>
      </c>
      <c r="C206" s="103">
        <f>SUBTOTAL(109,C202:C205)</f>
        <v>1.7885</v>
      </c>
      <c r="D206" s="103">
        <f>SUBTOTAL(109,D202:D205)</f>
        <v>1.7734000000000001</v>
      </c>
      <c r="E206" s="103">
        <f>SUBTOTAL(109,E202:E205)</f>
        <v>1.792</v>
      </c>
      <c r="F206" s="103">
        <f>SUBTOTAL(109,F202:F205)</f>
        <v>1.7099999999999997</v>
      </c>
      <c r="G206" s="121" t="s">
        <v>189</v>
      </c>
      <c r="H206" s="42" t="s">
        <v>73</v>
      </c>
      <c r="I206" s="116" t="s">
        <v>189</v>
      </c>
    </row>
    <row r="207" spans="1:9" x14ac:dyDescent="0.2">
      <c r="A207" s="51"/>
      <c r="B207" s="108" t="s">
        <v>6</v>
      </c>
      <c r="C207" s="11">
        <v>0.99404800000000004</v>
      </c>
      <c r="D207" s="11">
        <v>0.99870000000000003</v>
      </c>
      <c r="E207" s="11">
        <v>0.99760000000000004</v>
      </c>
      <c r="F207" s="11">
        <v>0.94</v>
      </c>
      <c r="G207" s="90" t="s">
        <v>23</v>
      </c>
      <c r="H207" s="9" t="s">
        <v>99</v>
      </c>
      <c r="I207" s="9" t="s">
        <v>19</v>
      </c>
    </row>
    <row r="208" spans="1:9" ht="15" x14ac:dyDescent="0.2">
      <c r="A208" s="51"/>
      <c r="B208" s="110" t="s">
        <v>230</v>
      </c>
      <c r="C208" s="12">
        <v>8.9999999999999998E-4</v>
      </c>
      <c r="D208" s="12">
        <v>8.9999999999999998E-4</v>
      </c>
      <c r="E208" s="12">
        <v>8.9999999999999998E-4</v>
      </c>
      <c r="F208" s="142" t="s">
        <v>189</v>
      </c>
      <c r="G208" s="143" t="s">
        <v>189</v>
      </c>
      <c r="H208" s="144" t="s">
        <v>189</v>
      </c>
      <c r="I208" s="154" t="s">
        <v>189</v>
      </c>
    </row>
    <row r="209" spans="1:9" ht="15" x14ac:dyDescent="0.25">
      <c r="A209" s="20"/>
      <c r="B209" s="17"/>
      <c r="C209" s="17"/>
      <c r="D209" s="17"/>
      <c r="E209" s="19"/>
      <c r="F209" s="18"/>
      <c r="G209" s="92"/>
      <c r="H209" s="19"/>
      <c r="I209" s="175"/>
    </row>
    <row r="210" spans="1:9" ht="30" x14ac:dyDescent="0.25">
      <c r="A210" s="48" t="s">
        <v>105</v>
      </c>
      <c r="B210" s="38" t="s">
        <v>106</v>
      </c>
      <c r="C210" s="38"/>
      <c r="D210" s="38"/>
      <c r="E210" s="39"/>
      <c r="F210" s="40"/>
      <c r="G210" s="95"/>
      <c r="H210" s="39"/>
      <c r="I210" s="41"/>
    </row>
    <row r="211" spans="1:9" ht="23.25" x14ac:dyDescent="0.25">
      <c r="A211" s="48"/>
      <c r="B211" s="43" t="s">
        <v>107</v>
      </c>
      <c r="C211" s="43"/>
      <c r="D211" s="43"/>
      <c r="E211" s="39"/>
      <c r="F211" s="40"/>
      <c r="G211" s="95"/>
      <c r="H211" s="39"/>
      <c r="I211" s="41"/>
    </row>
    <row r="212" spans="1:9" ht="23.25" x14ac:dyDescent="0.25">
      <c r="A212" s="48"/>
      <c r="B212" s="43" t="s">
        <v>108</v>
      </c>
      <c r="C212" s="43"/>
      <c r="D212" s="43"/>
      <c r="E212" s="39"/>
      <c r="F212" s="40"/>
      <c r="G212" s="95"/>
      <c r="H212" s="39"/>
      <c r="I212" s="41"/>
    </row>
    <row r="213" spans="1:9" ht="15.75" x14ac:dyDescent="0.2">
      <c r="A213" s="49"/>
      <c r="B213" s="123" t="s">
        <v>0</v>
      </c>
      <c r="C213" s="124" t="s">
        <v>228</v>
      </c>
      <c r="D213" s="124" t="s">
        <v>227</v>
      </c>
      <c r="E213" s="124" t="s">
        <v>226</v>
      </c>
      <c r="F213" s="124" t="s">
        <v>200</v>
      </c>
      <c r="G213" s="125" t="s">
        <v>30</v>
      </c>
      <c r="H213" s="125" t="s">
        <v>20</v>
      </c>
      <c r="I213" s="126" t="s">
        <v>35</v>
      </c>
    </row>
    <row r="214" spans="1:9" x14ac:dyDescent="0.2">
      <c r="A214" s="51"/>
      <c r="B214" s="108" t="s">
        <v>140</v>
      </c>
      <c r="C214" s="127">
        <v>0</v>
      </c>
      <c r="D214" s="127" t="s">
        <v>189</v>
      </c>
      <c r="E214" s="127" t="s">
        <v>189</v>
      </c>
      <c r="F214" s="127" t="s">
        <v>189</v>
      </c>
      <c r="G214" s="89" t="s">
        <v>23</v>
      </c>
      <c r="H214" s="7" t="s">
        <v>73</v>
      </c>
      <c r="I214" s="155" t="s">
        <v>189</v>
      </c>
    </row>
    <row r="215" spans="1:9" x14ac:dyDescent="0.2">
      <c r="A215" s="50"/>
      <c r="B215" s="108" t="s">
        <v>2</v>
      </c>
      <c r="C215" s="57">
        <v>0.62970000000000004</v>
      </c>
      <c r="D215" s="57">
        <v>0.59279999999999999</v>
      </c>
      <c r="E215" s="57">
        <v>0.59560000000000002</v>
      </c>
      <c r="F215" s="57">
        <v>0.6</v>
      </c>
      <c r="G215" s="90" t="s">
        <v>24</v>
      </c>
      <c r="H215" s="4" t="s">
        <v>201</v>
      </c>
      <c r="I215" s="1" t="s">
        <v>28</v>
      </c>
    </row>
    <row r="216" spans="1:9" ht="28.5" x14ac:dyDescent="0.2">
      <c r="A216" s="51"/>
      <c r="B216" s="109" t="s">
        <v>139</v>
      </c>
      <c r="C216" s="57">
        <v>0.74639999999999995</v>
      </c>
      <c r="D216" s="57">
        <v>0.72660000000000002</v>
      </c>
      <c r="E216" s="57">
        <v>0.72199999999999998</v>
      </c>
      <c r="F216" s="57">
        <v>0.7</v>
      </c>
      <c r="G216" s="90" t="s">
        <v>23</v>
      </c>
      <c r="H216" s="4" t="s">
        <v>87</v>
      </c>
      <c r="I216" s="9" t="s">
        <v>100</v>
      </c>
    </row>
    <row r="217" spans="1:9" x14ac:dyDescent="0.2">
      <c r="A217" s="51"/>
      <c r="B217" s="109" t="s">
        <v>12</v>
      </c>
      <c r="C217" s="57">
        <v>0.2354</v>
      </c>
      <c r="D217" s="57">
        <v>0.21609999999999999</v>
      </c>
      <c r="E217" s="57">
        <v>0.22020000000000001</v>
      </c>
      <c r="F217" s="57">
        <v>0.25</v>
      </c>
      <c r="G217" s="90" t="s">
        <v>24</v>
      </c>
      <c r="H217" s="4" t="s">
        <v>191</v>
      </c>
      <c r="I217" s="9" t="s">
        <v>18</v>
      </c>
    </row>
    <row r="218" spans="1:9" ht="15" x14ac:dyDescent="0.2">
      <c r="A218" s="51"/>
      <c r="B218" s="110" t="s">
        <v>5</v>
      </c>
      <c r="C218" s="106">
        <f>SUBTOTAL(109,C214:C217)</f>
        <v>1.6115000000000002</v>
      </c>
      <c r="D218" s="106">
        <f>SUBTOTAL(109,D214:D217)</f>
        <v>1.5354999999999999</v>
      </c>
      <c r="E218" s="106">
        <f>SUBTOTAL(109,E214:E217)</f>
        <v>1.5378000000000001</v>
      </c>
      <c r="F218" s="106">
        <f>SUBTOTAL(109,F214:F217)</f>
        <v>1.5499999999999998</v>
      </c>
      <c r="G218" s="121" t="s">
        <v>189</v>
      </c>
      <c r="H218" s="42" t="s">
        <v>73</v>
      </c>
      <c r="I218" s="115" t="s">
        <v>189</v>
      </c>
    </row>
    <row r="219" spans="1:9" x14ac:dyDescent="0.2">
      <c r="A219" s="51"/>
      <c r="B219" s="108" t="s">
        <v>6</v>
      </c>
      <c r="C219" s="71">
        <v>0.99670000000000003</v>
      </c>
      <c r="D219" s="71">
        <v>0.99409999999999998</v>
      </c>
      <c r="E219" s="71">
        <v>0.99650000000000005</v>
      </c>
      <c r="F219" s="71">
        <v>0.94</v>
      </c>
      <c r="G219" s="90" t="s">
        <v>23</v>
      </c>
      <c r="H219" s="9" t="s">
        <v>99</v>
      </c>
      <c r="I219" s="1" t="s">
        <v>19</v>
      </c>
    </row>
    <row r="220" spans="1:9" ht="15" x14ac:dyDescent="0.2">
      <c r="A220" s="51"/>
      <c r="B220" s="110" t="s">
        <v>230</v>
      </c>
      <c r="C220" s="12">
        <v>2E-3</v>
      </c>
      <c r="D220" s="12">
        <v>2E-3</v>
      </c>
      <c r="E220" s="12">
        <v>2.5000000000000001E-3</v>
      </c>
      <c r="F220" s="142" t="s">
        <v>189</v>
      </c>
      <c r="G220" s="143" t="s">
        <v>189</v>
      </c>
      <c r="H220" s="144" t="s">
        <v>189</v>
      </c>
      <c r="I220" s="154" t="s">
        <v>189</v>
      </c>
    </row>
    <row r="221" spans="1:9" ht="15" x14ac:dyDescent="0.25">
      <c r="A221" s="20"/>
      <c r="B221" s="17"/>
      <c r="C221" s="17"/>
      <c r="D221" s="17"/>
      <c r="E221" s="19"/>
      <c r="F221" s="18"/>
      <c r="G221" s="92"/>
      <c r="H221" s="19"/>
      <c r="I221" s="175"/>
    </row>
    <row r="222" spans="1:9" ht="45" x14ac:dyDescent="0.25">
      <c r="A222" s="48" t="s">
        <v>109</v>
      </c>
      <c r="B222" s="38" t="s">
        <v>110</v>
      </c>
      <c r="C222" s="38"/>
      <c r="D222" s="38"/>
      <c r="E222" s="39"/>
      <c r="F222" s="40"/>
      <c r="G222" s="95"/>
      <c r="H222" s="39"/>
      <c r="I222" s="41"/>
    </row>
    <row r="223" spans="1:9" ht="23.25" x14ac:dyDescent="0.25">
      <c r="A223" s="48"/>
      <c r="B223" s="43" t="s">
        <v>111</v>
      </c>
      <c r="C223" s="43"/>
      <c r="D223" s="43"/>
      <c r="E223" s="39"/>
      <c r="F223" s="40"/>
      <c r="G223" s="95"/>
      <c r="H223" s="39"/>
      <c r="I223" s="41"/>
    </row>
    <row r="224" spans="1:9" ht="15.75" x14ac:dyDescent="0.2">
      <c r="A224" s="49"/>
      <c r="B224" s="123" t="s">
        <v>0</v>
      </c>
      <c r="C224" s="145" t="s">
        <v>189</v>
      </c>
      <c r="D224" s="137" t="s">
        <v>227</v>
      </c>
      <c r="E224" s="124" t="s">
        <v>226</v>
      </c>
      <c r="F224" s="124" t="s">
        <v>200</v>
      </c>
      <c r="G224" s="125" t="s">
        <v>30</v>
      </c>
      <c r="H224" s="125" t="s">
        <v>20</v>
      </c>
      <c r="I224" s="125" t="s">
        <v>35</v>
      </c>
    </row>
    <row r="225" spans="1:9" x14ac:dyDescent="0.2">
      <c r="A225" s="51"/>
      <c r="B225" s="108" t="s">
        <v>140</v>
      </c>
      <c r="C225" s="146" t="s">
        <v>189</v>
      </c>
      <c r="D225" s="5">
        <v>0.15790000000000001</v>
      </c>
      <c r="E225" s="5">
        <v>0.17799999999999999</v>
      </c>
      <c r="F225" s="5">
        <v>0.19</v>
      </c>
      <c r="G225" s="89" t="s">
        <v>23</v>
      </c>
      <c r="H225" s="7" t="s">
        <v>55</v>
      </c>
      <c r="I225" s="6" t="s">
        <v>27</v>
      </c>
    </row>
    <row r="226" spans="1:9" x14ac:dyDescent="0.2">
      <c r="A226" s="50"/>
      <c r="B226" s="108" t="s">
        <v>2</v>
      </c>
      <c r="C226" s="147" t="s">
        <v>189</v>
      </c>
      <c r="D226" s="3">
        <v>0.5524</v>
      </c>
      <c r="E226" s="3">
        <v>0.54559999999999997</v>
      </c>
      <c r="F226" s="3">
        <v>0.52</v>
      </c>
      <c r="G226" s="90" t="s">
        <v>24</v>
      </c>
      <c r="H226" s="4" t="s">
        <v>193</v>
      </c>
      <c r="I226" s="1" t="s">
        <v>28</v>
      </c>
    </row>
    <row r="227" spans="1:9" ht="28.5" x14ac:dyDescent="0.2">
      <c r="A227" s="51"/>
      <c r="B227" s="109" t="s">
        <v>139</v>
      </c>
      <c r="C227" s="146" t="s">
        <v>189</v>
      </c>
      <c r="D227" s="3">
        <v>0.46339999999999998</v>
      </c>
      <c r="E227" s="3">
        <v>0.46160000000000001</v>
      </c>
      <c r="F227" s="3">
        <v>0.5</v>
      </c>
      <c r="G227" s="90" t="s">
        <v>23</v>
      </c>
      <c r="H227" s="4" t="s">
        <v>92</v>
      </c>
      <c r="I227" s="9" t="s">
        <v>100</v>
      </c>
    </row>
    <row r="228" spans="1:9" x14ac:dyDescent="0.2">
      <c r="A228" s="51"/>
      <c r="B228" s="108" t="s">
        <v>12</v>
      </c>
      <c r="C228" s="147" t="s">
        <v>189</v>
      </c>
      <c r="D228" s="3">
        <v>0.27550000000000002</v>
      </c>
      <c r="E228" s="3">
        <v>0.29170000000000001</v>
      </c>
      <c r="F228" s="3">
        <v>0.25</v>
      </c>
      <c r="G228" s="90" t="s">
        <v>24</v>
      </c>
      <c r="H228" s="9" t="s">
        <v>54</v>
      </c>
      <c r="I228" s="1" t="s">
        <v>18</v>
      </c>
    </row>
    <row r="229" spans="1:9" ht="15" x14ac:dyDescent="0.2">
      <c r="A229" s="51"/>
      <c r="B229" s="110" t="s">
        <v>5</v>
      </c>
      <c r="C229" s="147" t="s">
        <v>189</v>
      </c>
      <c r="D229" s="29">
        <f>SUBTOTAL(109,D225:D228)</f>
        <v>1.4492</v>
      </c>
      <c r="E229" s="29">
        <f>SUBTOTAL(109,E225:E228)</f>
        <v>1.4769000000000001</v>
      </c>
      <c r="F229" s="29">
        <f>SUBTOTAL(109,F225:F228)</f>
        <v>1.46</v>
      </c>
      <c r="G229" s="121" t="s">
        <v>189</v>
      </c>
      <c r="H229" s="42" t="s">
        <v>73</v>
      </c>
      <c r="I229" s="115" t="s">
        <v>189</v>
      </c>
    </row>
    <row r="230" spans="1:9" x14ac:dyDescent="0.2">
      <c r="A230" s="51"/>
      <c r="B230" s="108" t="s">
        <v>6</v>
      </c>
      <c r="C230" s="147" t="s">
        <v>189</v>
      </c>
      <c r="D230" s="11">
        <v>0.99707000000000001</v>
      </c>
      <c r="E230" s="11">
        <v>0.99619999999999997</v>
      </c>
      <c r="F230" s="11">
        <v>0.94</v>
      </c>
      <c r="G230" s="90" t="s">
        <v>23</v>
      </c>
      <c r="H230" s="9" t="s">
        <v>99</v>
      </c>
      <c r="I230" s="1" t="s">
        <v>19</v>
      </c>
    </row>
    <row r="231" spans="1:9" ht="15" x14ac:dyDescent="0.2">
      <c r="A231" s="51"/>
      <c r="B231" s="110" t="s">
        <v>230</v>
      </c>
      <c r="C231" s="148" t="s">
        <v>189</v>
      </c>
      <c r="D231" s="69">
        <v>2.5000000000000001E-3</v>
      </c>
      <c r="E231" s="12">
        <v>2.5000000000000001E-3</v>
      </c>
      <c r="F231" s="142" t="s">
        <v>189</v>
      </c>
      <c r="G231" s="143" t="s">
        <v>189</v>
      </c>
      <c r="H231" s="144" t="s">
        <v>189</v>
      </c>
      <c r="I231" s="154" t="s">
        <v>189</v>
      </c>
    </row>
    <row r="232" spans="1:9" ht="15" x14ac:dyDescent="0.25">
      <c r="A232" s="20"/>
      <c r="B232" s="167" t="s">
        <v>196</v>
      </c>
      <c r="C232" s="167" t="s">
        <v>196</v>
      </c>
      <c r="D232" s="167" t="s">
        <v>196</v>
      </c>
      <c r="E232" s="168" t="s">
        <v>196</v>
      </c>
      <c r="F232" s="168" t="s">
        <v>196</v>
      </c>
      <c r="G232" s="168" t="s">
        <v>196</v>
      </c>
      <c r="H232" s="168" t="s">
        <v>196</v>
      </c>
      <c r="I232" s="177" t="s">
        <v>196</v>
      </c>
    </row>
    <row r="233" spans="1:9" ht="30" x14ac:dyDescent="0.25">
      <c r="A233" s="48" t="s">
        <v>112</v>
      </c>
      <c r="B233" s="38" t="s">
        <v>113</v>
      </c>
      <c r="C233" s="38"/>
      <c r="D233" s="38"/>
      <c r="E233" s="39"/>
      <c r="F233" s="40"/>
      <c r="G233" s="95"/>
      <c r="H233" s="39"/>
      <c r="I233" s="41"/>
    </row>
    <row r="234" spans="1:9" ht="23.25" x14ac:dyDescent="0.25">
      <c r="A234" s="48"/>
      <c r="B234" s="43" t="s">
        <v>114</v>
      </c>
      <c r="C234" s="43"/>
      <c r="D234" s="43"/>
      <c r="E234" s="39"/>
      <c r="F234" s="40"/>
      <c r="G234" s="95"/>
      <c r="H234" s="39"/>
      <c r="I234" s="41"/>
    </row>
    <row r="235" spans="1:9" ht="23.25" x14ac:dyDescent="0.25">
      <c r="A235" s="48"/>
      <c r="B235" s="43" t="s">
        <v>115</v>
      </c>
      <c r="C235" s="43"/>
      <c r="D235" s="43"/>
      <c r="E235" s="39"/>
      <c r="F235" s="40"/>
      <c r="G235" s="95"/>
      <c r="H235" s="39"/>
      <c r="I235" s="41"/>
    </row>
    <row r="236" spans="1:9" ht="15.75" x14ac:dyDescent="0.2">
      <c r="A236" s="49"/>
      <c r="B236" s="123" t="s">
        <v>0</v>
      </c>
      <c r="C236" s="124" t="s">
        <v>228</v>
      </c>
      <c r="D236" s="124" t="s">
        <v>227</v>
      </c>
      <c r="E236" s="124" t="s">
        <v>226</v>
      </c>
      <c r="F236" s="124" t="s">
        <v>200</v>
      </c>
      <c r="G236" s="125" t="s">
        <v>30</v>
      </c>
      <c r="H236" s="125" t="s">
        <v>20</v>
      </c>
      <c r="I236" s="125" t="s">
        <v>35</v>
      </c>
    </row>
    <row r="237" spans="1:9" x14ac:dyDescent="0.2">
      <c r="A237" s="51"/>
      <c r="B237" s="108" t="s">
        <v>140</v>
      </c>
      <c r="C237" s="5">
        <v>0.99850000000000005</v>
      </c>
      <c r="D237" s="5">
        <v>0.99839999999999995</v>
      </c>
      <c r="E237" s="5">
        <v>0.99850000000000005</v>
      </c>
      <c r="F237" s="5">
        <v>0.94</v>
      </c>
      <c r="G237" s="89" t="s">
        <v>23</v>
      </c>
      <c r="H237" s="7" t="s">
        <v>99</v>
      </c>
      <c r="I237" s="6" t="s">
        <v>7</v>
      </c>
    </row>
    <row r="238" spans="1:9" x14ac:dyDescent="0.2">
      <c r="A238" s="50"/>
      <c r="B238" s="108" t="s">
        <v>2</v>
      </c>
      <c r="C238" s="3">
        <v>0.25309999999999999</v>
      </c>
      <c r="D238" s="3">
        <v>0.2361</v>
      </c>
      <c r="E238" s="3">
        <v>0.26840000000000003</v>
      </c>
      <c r="F238" s="234">
        <v>0.3</v>
      </c>
      <c r="G238" s="90" t="s">
        <v>24</v>
      </c>
      <c r="H238" s="233" t="s">
        <v>60</v>
      </c>
      <c r="I238" s="1" t="s">
        <v>14</v>
      </c>
    </row>
    <row r="239" spans="1:9" x14ac:dyDescent="0.2">
      <c r="A239" s="51"/>
      <c r="B239" s="109" t="s">
        <v>139</v>
      </c>
      <c r="C239" s="117">
        <v>0</v>
      </c>
      <c r="D239" s="117">
        <v>0</v>
      </c>
      <c r="E239" s="117">
        <v>0</v>
      </c>
      <c r="F239" s="117" t="s">
        <v>189</v>
      </c>
      <c r="G239" s="90" t="s">
        <v>23</v>
      </c>
      <c r="H239" s="4" t="s">
        <v>73</v>
      </c>
      <c r="I239" s="136" t="s">
        <v>189</v>
      </c>
    </row>
    <row r="240" spans="1:9" x14ac:dyDescent="0.2">
      <c r="A240" s="51"/>
      <c r="B240" s="108" t="s">
        <v>12</v>
      </c>
      <c r="C240" s="3">
        <v>0.2959</v>
      </c>
      <c r="D240" s="3">
        <v>0.26269999999999999</v>
      </c>
      <c r="E240" s="3">
        <v>0.29260000000000003</v>
      </c>
      <c r="F240" s="3">
        <v>0.28000000000000003</v>
      </c>
      <c r="G240" s="90" t="s">
        <v>24</v>
      </c>
      <c r="H240" s="4" t="s">
        <v>217</v>
      </c>
      <c r="I240" s="1" t="s">
        <v>18</v>
      </c>
    </row>
    <row r="241" spans="1:9" ht="15" x14ac:dyDescent="0.2">
      <c r="A241" s="51"/>
      <c r="B241" s="110" t="s">
        <v>5</v>
      </c>
      <c r="C241" s="29">
        <f>SUBTOTAL(109,C237:C240)</f>
        <v>1.5475000000000001</v>
      </c>
      <c r="D241" s="29">
        <f>SUBTOTAL(109,D237:D240)</f>
        <v>1.4971999999999999</v>
      </c>
      <c r="E241" s="29">
        <f>SUBTOTAL(109,E237:E240)</f>
        <v>1.5595000000000001</v>
      </c>
      <c r="F241" s="29">
        <f>SUBTOTAL(109,F237:F240)</f>
        <v>1.52</v>
      </c>
      <c r="G241" s="121" t="s">
        <v>189</v>
      </c>
      <c r="H241" s="42" t="s">
        <v>73</v>
      </c>
      <c r="I241" s="115" t="s">
        <v>189</v>
      </c>
    </row>
    <row r="242" spans="1:9" x14ac:dyDescent="0.2">
      <c r="A242" s="51"/>
      <c r="B242" s="108" t="s">
        <v>6</v>
      </c>
      <c r="C242" s="5">
        <v>0.99729999999999996</v>
      </c>
      <c r="D242" s="5">
        <v>0.99829999999999997</v>
      </c>
      <c r="E242" s="5">
        <v>0.99809999999999999</v>
      </c>
      <c r="F242" s="11">
        <v>0.94</v>
      </c>
      <c r="G242" s="90" t="s">
        <v>23</v>
      </c>
      <c r="H242" s="9" t="s">
        <v>99</v>
      </c>
      <c r="I242" s="1" t="s">
        <v>19</v>
      </c>
    </row>
    <row r="243" spans="1:9" ht="15" x14ac:dyDescent="0.2">
      <c r="A243" s="51"/>
      <c r="B243" s="110" t="s">
        <v>230</v>
      </c>
      <c r="C243" s="69">
        <v>8.9999999999999998E-4</v>
      </c>
      <c r="D243" s="69">
        <v>8.9999999999999998E-4</v>
      </c>
      <c r="E243" s="69">
        <v>8.9999999999999998E-4</v>
      </c>
      <c r="F243" s="142" t="s">
        <v>189</v>
      </c>
      <c r="G243" s="143" t="s">
        <v>189</v>
      </c>
      <c r="H243" s="144" t="s">
        <v>189</v>
      </c>
      <c r="I243" s="154" t="s">
        <v>189</v>
      </c>
    </row>
    <row r="244" spans="1:9" ht="15" x14ac:dyDescent="0.25">
      <c r="A244" s="20"/>
      <c r="B244" s="17"/>
      <c r="C244" s="17"/>
      <c r="D244" s="17"/>
      <c r="E244" s="19"/>
      <c r="F244" s="18"/>
      <c r="G244" s="92"/>
      <c r="H244" s="19"/>
      <c r="I244" s="175"/>
    </row>
    <row r="245" spans="1:9" ht="23.25" x14ac:dyDescent="0.25">
      <c r="A245" s="53" t="s">
        <v>116</v>
      </c>
      <c r="B245" s="34" t="s">
        <v>117</v>
      </c>
      <c r="C245" s="38"/>
      <c r="D245" s="38"/>
      <c r="E245" s="35"/>
      <c r="F245" s="36"/>
      <c r="G245" s="94"/>
      <c r="H245" s="35"/>
      <c r="I245" s="41"/>
    </row>
    <row r="246" spans="1:9" ht="15.75" x14ac:dyDescent="0.2">
      <c r="A246" s="52"/>
      <c r="B246" s="123" t="s">
        <v>0</v>
      </c>
      <c r="C246" s="129" t="s">
        <v>189</v>
      </c>
      <c r="D246" s="130" t="s">
        <v>190</v>
      </c>
      <c r="E246" s="124" t="s">
        <v>225</v>
      </c>
      <c r="F246" s="124" t="s">
        <v>200</v>
      </c>
      <c r="G246" s="128" t="s">
        <v>30</v>
      </c>
      <c r="H246" s="125" t="s">
        <v>20</v>
      </c>
      <c r="I246" s="125" t="s">
        <v>35</v>
      </c>
    </row>
    <row r="247" spans="1:9" ht="57" x14ac:dyDescent="0.2">
      <c r="A247" s="52"/>
      <c r="B247" s="108" t="s">
        <v>140</v>
      </c>
      <c r="C247" s="131" t="s">
        <v>189</v>
      </c>
      <c r="D247" s="132" t="s">
        <v>189</v>
      </c>
      <c r="E247" s="66">
        <v>0.28160000000000002</v>
      </c>
      <c r="F247" s="5">
        <v>0.24</v>
      </c>
      <c r="G247" s="89" t="s">
        <v>4</v>
      </c>
      <c r="H247" s="7" t="s">
        <v>63</v>
      </c>
      <c r="I247" s="6" t="s">
        <v>223</v>
      </c>
    </row>
    <row r="248" spans="1:9" x14ac:dyDescent="0.2">
      <c r="A248" s="52"/>
      <c r="B248" s="108" t="s">
        <v>2</v>
      </c>
      <c r="C248" s="133" t="s">
        <v>189</v>
      </c>
      <c r="D248" s="134" t="s">
        <v>189</v>
      </c>
      <c r="E248" s="67">
        <v>0.30370000000000003</v>
      </c>
      <c r="F248" s="3">
        <v>0.35</v>
      </c>
      <c r="G248" s="90" t="s">
        <v>3</v>
      </c>
      <c r="H248" s="4" t="s">
        <v>118</v>
      </c>
      <c r="I248" s="1" t="s">
        <v>14</v>
      </c>
    </row>
    <row r="249" spans="1:9" x14ac:dyDescent="0.2">
      <c r="A249" s="52"/>
      <c r="B249" s="109" t="s">
        <v>139</v>
      </c>
      <c r="C249" s="131" t="s">
        <v>189</v>
      </c>
      <c r="D249" s="132" t="s">
        <v>189</v>
      </c>
      <c r="E249" s="67">
        <v>0.32650000000000001</v>
      </c>
      <c r="F249" s="3">
        <v>0.35</v>
      </c>
      <c r="G249" s="90" t="s">
        <v>4</v>
      </c>
      <c r="H249" s="4" t="s">
        <v>119</v>
      </c>
      <c r="I249" s="1" t="s">
        <v>15</v>
      </c>
    </row>
    <row r="250" spans="1:9" ht="28.5" x14ac:dyDescent="0.2">
      <c r="A250" s="52"/>
      <c r="B250" s="166" t="s">
        <v>9</v>
      </c>
      <c r="C250" s="133" t="s">
        <v>189</v>
      </c>
      <c r="D250" s="134" t="s">
        <v>189</v>
      </c>
      <c r="E250" s="67">
        <v>6.8999999999999999E-3</v>
      </c>
      <c r="F250" s="3">
        <v>0.05</v>
      </c>
      <c r="G250" s="91" t="s">
        <v>3</v>
      </c>
      <c r="H250" s="9" t="s">
        <v>51</v>
      </c>
      <c r="I250" s="1" t="s">
        <v>16</v>
      </c>
    </row>
    <row r="251" spans="1:9" x14ac:dyDescent="0.2">
      <c r="A251" s="52"/>
      <c r="B251" s="166" t="s">
        <v>10</v>
      </c>
      <c r="C251" s="133" t="s">
        <v>189</v>
      </c>
      <c r="D251" s="134" t="s">
        <v>189</v>
      </c>
      <c r="E251" s="67">
        <v>1.4E-2</v>
      </c>
      <c r="F251" s="3">
        <v>0.05</v>
      </c>
      <c r="G251" s="91" t="s">
        <v>3</v>
      </c>
      <c r="H251" s="9" t="s">
        <v>51</v>
      </c>
      <c r="I251" s="1" t="s">
        <v>17</v>
      </c>
    </row>
    <row r="252" spans="1:9" x14ac:dyDescent="0.2">
      <c r="A252" s="52"/>
      <c r="B252" s="166" t="s">
        <v>11</v>
      </c>
      <c r="C252" s="133" t="s">
        <v>189</v>
      </c>
      <c r="D252" s="134" t="s">
        <v>189</v>
      </c>
      <c r="E252" s="67">
        <v>0</v>
      </c>
      <c r="F252" s="3">
        <v>0.05</v>
      </c>
      <c r="G252" s="91" t="s">
        <v>3</v>
      </c>
      <c r="H252" s="9" t="s">
        <v>51</v>
      </c>
      <c r="I252" s="1" t="s">
        <v>18</v>
      </c>
    </row>
    <row r="253" spans="1:9" x14ac:dyDescent="0.2">
      <c r="A253" s="52"/>
      <c r="B253" s="166" t="s">
        <v>21</v>
      </c>
      <c r="C253" s="133" t="s">
        <v>189</v>
      </c>
      <c r="D253" s="134" t="s">
        <v>189</v>
      </c>
      <c r="E253" s="141">
        <v>0</v>
      </c>
      <c r="F253" s="117" t="s">
        <v>189</v>
      </c>
      <c r="G253" s="91" t="s">
        <v>3</v>
      </c>
      <c r="H253" s="136" t="s">
        <v>189</v>
      </c>
      <c r="I253" s="153" t="s">
        <v>189</v>
      </c>
    </row>
    <row r="254" spans="1:9" ht="15.75" x14ac:dyDescent="0.2">
      <c r="A254" s="52"/>
      <c r="B254" s="166" t="s">
        <v>12</v>
      </c>
      <c r="C254" s="129" t="s">
        <v>189</v>
      </c>
      <c r="D254" s="130" t="s">
        <v>189</v>
      </c>
      <c r="E254" s="67">
        <v>0.10920000000000001</v>
      </c>
      <c r="F254" s="3">
        <v>0.15</v>
      </c>
      <c r="G254" s="90" t="s">
        <v>3</v>
      </c>
      <c r="H254" s="9" t="s">
        <v>52</v>
      </c>
      <c r="I254" s="9" t="s">
        <v>18</v>
      </c>
    </row>
    <row r="255" spans="1:9" x14ac:dyDescent="0.2">
      <c r="A255" s="52"/>
      <c r="B255" s="108" t="s">
        <v>13</v>
      </c>
      <c r="C255" s="131" t="s">
        <v>189</v>
      </c>
      <c r="D255" s="132" t="s">
        <v>189</v>
      </c>
      <c r="E255" s="67">
        <v>1.1000000000000001E-3</v>
      </c>
      <c r="F255" s="3">
        <v>0.05</v>
      </c>
      <c r="G255" s="90" t="s">
        <v>3</v>
      </c>
      <c r="H255" s="10" t="s">
        <v>51</v>
      </c>
      <c r="I255" s="136" t="s">
        <v>189</v>
      </c>
    </row>
    <row r="256" spans="1:9" ht="15" x14ac:dyDescent="0.2">
      <c r="A256" s="52"/>
      <c r="B256" s="110" t="s">
        <v>5</v>
      </c>
      <c r="C256" s="133" t="s">
        <v>189</v>
      </c>
      <c r="D256" s="134" t="s">
        <v>189</v>
      </c>
      <c r="E256" s="29">
        <f>SUBTOTAL(109,E247:E255)</f>
        <v>1.0430000000000001</v>
      </c>
      <c r="F256" s="29">
        <f>SUBTOTAL(109,F247:F255)</f>
        <v>1.29</v>
      </c>
      <c r="G256" s="121" t="s">
        <v>189</v>
      </c>
      <c r="H256" s="122" t="s">
        <v>189</v>
      </c>
      <c r="I256" s="116" t="s">
        <v>189</v>
      </c>
    </row>
    <row r="257" spans="1:9" x14ac:dyDescent="0.2">
      <c r="A257" s="52"/>
      <c r="B257" s="108" t="s">
        <v>6</v>
      </c>
      <c r="C257" s="131" t="s">
        <v>189</v>
      </c>
      <c r="D257" s="132" t="s">
        <v>189</v>
      </c>
      <c r="E257" s="68">
        <v>0.14530000000000001</v>
      </c>
      <c r="F257" s="11">
        <v>0.15</v>
      </c>
      <c r="G257" s="90" t="s">
        <v>4</v>
      </c>
      <c r="H257" s="9" t="s">
        <v>120</v>
      </c>
      <c r="I257" s="1" t="s">
        <v>19</v>
      </c>
    </row>
    <row r="258" spans="1:9" ht="15" x14ac:dyDescent="0.2">
      <c r="A258" s="52"/>
      <c r="B258" s="110" t="s">
        <v>230</v>
      </c>
      <c r="C258" s="138" t="s">
        <v>189</v>
      </c>
      <c r="D258" s="139" t="s">
        <v>189</v>
      </c>
      <c r="E258" s="69">
        <v>1.9E-3</v>
      </c>
      <c r="F258" s="115" t="s">
        <v>189</v>
      </c>
      <c r="G258" s="135" t="s">
        <v>189</v>
      </c>
      <c r="H258" s="135" t="s">
        <v>189</v>
      </c>
      <c r="I258" s="154" t="s">
        <v>189</v>
      </c>
    </row>
    <row r="259" spans="1:9" ht="15" x14ac:dyDescent="0.25">
      <c r="A259" s="20"/>
      <c r="B259" s="17"/>
      <c r="C259" s="17"/>
      <c r="D259" s="17"/>
      <c r="E259" s="19"/>
      <c r="F259" s="18"/>
      <c r="G259" s="92"/>
      <c r="H259" s="19"/>
      <c r="I259" s="175"/>
    </row>
    <row r="260" spans="1:9" ht="23.25" x14ac:dyDescent="0.25">
      <c r="A260" s="53" t="s">
        <v>116</v>
      </c>
      <c r="B260" s="34" t="s">
        <v>121</v>
      </c>
      <c r="C260" s="34"/>
      <c r="D260" s="34"/>
      <c r="E260" s="35"/>
      <c r="F260" s="36"/>
      <c r="G260" s="94"/>
      <c r="H260" s="35"/>
      <c r="I260" s="41"/>
    </row>
    <row r="261" spans="1:9" ht="15.75" x14ac:dyDescent="0.2">
      <c r="A261" s="52"/>
      <c r="B261" s="123" t="s">
        <v>0</v>
      </c>
      <c r="C261" s="129" t="s">
        <v>189</v>
      </c>
      <c r="D261" s="130" t="s">
        <v>190</v>
      </c>
      <c r="E261" s="124" t="s">
        <v>225</v>
      </c>
      <c r="F261" s="124" t="s">
        <v>200</v>
      </c>
      <c r="G261" s="128" t="s">
        <v>30</v>
      </c>
      <c r="H261" s="125" t="s">
        <v>20</v>
      </c>
      <c r="I261" s="125" t="s">
        <v>35</v>
      </c>
    </row>
    <row r="262" spans="1:9" ht="28.5" x14ac:dyDescent="0.2">
      <c r="A262" s="52"/>
      <c r="B262" s="108" t="s">
        <v>140</v>
      </c>
      <c r="C262" s="131" t="s">
        <v>189</v>
      </c>
      <c r="D262" s="132" t="s">
        <v>189</v>
      </c>
      <c r="E262" s="5">
        <v>0.48180000000000001</v>
      </c>
      <c r="F262" s="5">
        <v>0.45</v>
      </c>
      <c r="G262" s="89" t="s">
        <v>4</v>
      </c>
      <c r="H262" s="7" t="s">
        <v>66</v>
      </c>
      <c r="I262" s="6" t="s">
        <v>232</v>
      </c>
    </row>
    <row r="263" spans="1:9" x14ac:dyDescent="0.2">
      <c r="A263" s="52"/>
      <c r="B263" s="108" t="s">
        <v>2</v>
      </c>
      <c r="C263" s="133" t="s">
        <v>189</v>
      </c>
      <c r="D263" s="134" t="s">
        <v>189</v>
      </c>
      <c r="E263" s="3">
        <v>0.26590000000000003</v>
      </c>
      <c r="F263" s="3">
        <v>0.3</v>
      </c>
      <c r="G263" s="90" t="s">
        <v>3</v>
      </c>
      <c r="H263" s="4" t="s">
        <v>60</v>
      </c>
      <c r="I263" s="1" t="s">
        <v>14</v>
      </c>
    </row>
    <row r="264" spans="1:9" x14ac:dyDescent="0.2">
      <c r="A264" s="52"/>
      <c r="B264" s="109" t="s">
        <v>139</v>
      </c>
      <c r="C264" s="131" t="s">
        <v>189</v>
      </c>
      <c r="D264" s="132" t="s">
        <v>189</v>
      </c>
      <c r="E264" s="3">
        <v>0.27239999999999998</v>
      </c>
      <c r="F264" s="3">
        <v>0.25</v>
      </c>
      <c r="G264" s="90" t="s">
        <v>4</v>
      </c>
      <c r="H264" s="4" t="s">
        <v>57</v>
      </c>
      <c r="I264" s="1" t="s">
        <v>15</v>
      </c>
    </row>
    <row r="265" spans="1:9" ht="28.5" x14ac:dyDescent="0.2">
      <c r="A265" s="52"/>
      <c r="B265" s="166" t="s">
        <v>9</v>
      </c>
      <c r="C265" s="133" t="s">
        <v>189</v>
      </c>
      <c r="D265" s="134" t="s">
        <v>189</v>
      </c>
      <c r="E265" s="3">
        <v>1.6999999999999999E-3</v>
      </c>
      <c r="F265" s="3">
        <v>0.05</v>
      </c>
      <c r="G265" s="91" t="s">
        <v>3</v>
      </c>
      <c r="H265" s="9" t="s">
        <v>51</v>
      </c>
      <c r="I265" s="1" t="s">
        <v>16</v>
      </c>
    </row>
    <row r="266" spans="1:9" x14ac:dyDescent="0.2">
      <c r="A266" s="52"/>
      <c r="B266" s="166" t="s">
        <v>10</v>
      </c>
      <c r="C266" s="133" t="s">
        <v>189</v>
      </c>
      <c r="D266" s="134" t="s">
        <v>189</v>
      </c>
      <c r="E266" s="3">
        <v>4.4999999999999997E-3</v>
      </c>
      <c r="F266" s="3">
        <v>0.05</v>
      </c>
      <c r="G266" s="91" t="s">
        <v>3</v>
      </c>
      <c r="H266" s="9" t="s">
        <v>51</v>
      </c>
      <c r="I266" s="1" t="s">
        <v>17</v>
      </c>
    </row>
    <row r="267" spans="1:9" x14ac:dyDescent="0.2">
      <c r="A267" s="52"/>
      <c r="B267" s="166" t="s">
        <v>11</v>
      </c>
      <c r="C267" s="133" t="s">
        <v>189</v>
      </c>
      <c r="D267" s="134" t="s">
        <v>189</v>
      </c>
      <c r="E267" s="117">
        <v>0</v>
      </c>
      <c r="F267" s="3">
        <v>0.05</v>
      </c>
      <c r="G267" s="91" t="s">
        <v>3</v>
      </c>
      <c r="H267" s="9" t="s">
        <v>51</v>
      </c>
      <c r="I267" s="1" t="s">
        <v>18</v>
      </c>
    </row>
    <row r="268" spans="1:9" x14ac:dyDescent="0.2">
      <c r="A268" s="52"/>
      <c r="B268" s="166" t="s">
        <v>21</v>
      </c>
      <c r="C268" s="133" t="s">
        <v>189</v>
      </c>
      <c r="D268" s="134" t="s">
        <v>189</v>
      </c>
      <c r="E268" s="117">
        <v>0</v>
      </c>
      <c r="F268" s="117" t="s">
        <v>189</v>
      </c>
      <c r="G268" s="91" t="s">
        <v>3</v>
      </c>
      <c r="H268" s="9" t="s">
        <v>73</v>
      </c>
      <c r="I268" s="153" t="s">
        <v>189</v>
      </c>
    </row>
    <row r="269" spans="1:9" ht="15.75" x14ac:dyDescent="0.2">
      <c r="A269" s="52"/>
      <c r="B269" s="166" t="s">
        <v>12</v>
      </c>
      <c r="C269" s="129" t="s">
        <v>189</v>
      </c>
      <c r="D269" s="130" t="s">
        <v>189</v>
      </c>
      <c r="E269" s="3">
        <v>0.1081</v>
      </c>
      <c r="F269" s="3">
        <v>0.15</v>
      </c>
      <c r="G269" s="90" t="s">
        <v>3</v>
      </c>
      <c r="H269" s="9" t="s">
        <v>52</v>
      </c>
      <c r="I269" s="9" t="s">
        <v>18</v>
      </c>
    </row>
    <row r="270" spans="1:9" x14ac:dyDescent="0.2">
      <c r="A270" s="52"/>
      <c r="B270" s="108" t="s">
        <v>13</v>
      </c>
      <c r="C270" s="131" t="s">
        <v>189</v>
      </c>
      <c r="D270" s="132" t="s">
        <v>189</v>
      </c>
      <c r="E270" s="3">
        <v>0</v>
      </c>
      <c r="F270" s="3">
        <v>0.05</v>
      </c>
      <c r="G270" s="90" t="s">
        <v>3</v>
      </c>
      <c r="H270" s="10" t="s">
        <v>51</v>
      </c>
      <c r="I270" s="136" t="s">
        <v>189</v>
      </c>
    </row>
    <row r="271" spans="1:9" ht="15" x14ac:dyDescent="0.2">
      <c r="A271" s="52"/>
      <c r="B271" s="110" t="s">
        <v>5</v>
      </c>
      <c r="C271" s="133" t="s">
        <v>189</v>
      </c>
      <c r="D271" s="134" t="s">
        <v>189</v>
      </c>
      <c r="E271" s="29">
        <f>SUBTOTAL(109,E262:E270)</f>
        <v>1.1344000000000001</v>
      </c>
      <c r="F271" s="29">
        <f>SUBTOTAL(109,F262:F270)</f>
        <v>1.35</v>
      </c>
      <c r="G271" s="121" t="s">
        <v>189</v>
      </c>
      <c r="H271" s="42" t="s">
        <v>73</v>
      </c>
      <c r="I271" s="116" t="s">
        <v>189</v>
      </c>
    </row>
    <row r="272" spans="1:9" x14ac:dyDescent="0.2">
      <c r="A272" s="52"/>
      <c r="B272" s="108" t="s">
        <v>6</v>
      </c>
      <c r="C272" s="131" t="s">
        <v>189</v>
      </c>
      <c r="D272" s="132" t="s">
        <v>189</v>
      </c>
      <c r="E272" s="11">
        <v>0.2248</v>
      </c>
      <c r="F272" s="232">
        <v>0.2</v>
      </c>
      <c r="G272" s="90" t="s">
        <v>4</v>
      </c>
      <c r="H272" s="233" t="s">
        <v>64</v>
      </c>
      <c r="I272" s="1" t="s">
        <v>19</v>
      </c>
    </row>
    <row r="273" spans="1:9" ht="15" x14ac:dyDescent="0.2">
      <c r="A273" s="52"/>
      <c r="B273" s="110" t="s">
        <v>230</v>
      </c>
      <c r="C273" s="138" t="s">
        <v>189</v>
      </c>
      <c r="D273" s="139" t="s">
        <v>189</v>
      </c>
      <c r="E273" s="69">
        <v>1.9E-3</v>
      </c>
      <c r="F273" s="115" t="s">
        <v>189</v>
      </c>
      <c r="G273" s="135" t="s">
        <v>189</v>
      </c>
      <c r="H273" s="135" t="s">
        <v>189</v>
      </c>
      <c r="I273" s="154" t="s">
        <v>189</v>
      </c>
    </row>
    <row r="274" spans="1:9" ht="15" x14ac:dyDescent="0.25">
      <c r="A274" s="20"/>
      <c r="B274" s="17"/>
      <c r="C274" s="17"/>
      <c r="D274" s="17"/>
      <c r="E274" s="19"/>
      <c r="F274" s="18"/>
      <c r="G274" s="92"/>
      <c r="H274" s="19"/>
      <c r="I274" s="175"/>
    </row>
    <row r="275" spans="1:9" ht="23.25" x14ac:dyDescent="0.25">
      <c r="A275" s="53" t="s">
        <v>116</v>
      </c>
      <c r="B275" s="34" t="s">
        <v>122</v>
      </c>
      <c r="C275" s="34"/>
      <c r="D275" s="34"/>
      <c r="E275" s="35"/>
      <c r="F275" s="36"/>
      <c r="G275" s="94"/>
      <c r="H275" s="35"/>
      <c r="I275" s="41"/>
    </row>
    <row r="276" spans="1:9" ht="15.75" x14ac:dyDescent="0.2">
      <c r="A276" s="52"/>
      <c r="B276" s="137" t="s">
        <v>0</v>
      </c>
      <c r="C276" s="129" t="s">
        <v>189</v>
      </c>
      <c r="D276" s="130" t="s">
        <v>190</v>
      </c>
      <c r="E276" s="124" t="s">
        <v>225</v>
      </c>
      <c r="F276" s="124" t="s">
        <v>200</v>
      </c>
      <c r="G276" s="128" t="s">
        <v>30</v>
      </c>
      <c r="H276" s="125" t="s">
        <v>20</v>
      </c>
      <c r="I276" s="125" t="s">
        <v>35</v>
      </c>
    </row>
    <row r="277" spans="1:9" ht="28.5" x14ac:dyDescent="0.2">
      <c r="A277" s="52"/>
      <c r="B277" s="108" t="s">
        <v>140</v>
      </c>
      <c r="C277" s="131" t="s">
        <v>189</v>
      </c>
      <c r="D277" s="132" t="s">
        <v>189</v>
      </c>
      <c r="E277" s="5">
        <v>0.97670000000000001</v>
      </c>
      <c r="F277" s="5">
        <v>0.95</v>
      </c>
      <c r="G277" s="89" t="s">
        <v>4</v>
      </c>
      <c r="H277" s="7" t="s">
        <v>123</v>
      </c>
      <c r="I277" s="6" t="s">
        <v>232</v>
      </c>
    </row>
    <row r="278" spans="1:9" x14ac:dyDescent="0.2">
      <c r="A278" s="52"/>
      <c r="B278" s="108" t="s">
        <v>2</v>
      </c>
      <c r="C278" s="133" t="s">
        <v>189</v>
      </c>
      <c r="D278" s="134" t="s">
        <v>189</v>
      </c>
      <c r="E278" s="3">
        <v>0.27710000000000001</v>
      </c>
      <c r="F278" s="3">
        <v>0.3</v>
      </c>
      <c r="G278" s="90" t="s">
        <v>3</v>
      </c>
      <c r="H278" s="4" t="s">
        <v>60</v>
      </c>
      <c r="I278" s="1" t="s">
        <v>14</v>
      </c>
    </row>
    <row r="279" spans="1:9" x14ac:dyDescent="0.2">
      <c r="A279" s="52"/>
      <c r="B279" s="109" t="s">
        <v>139</v>
      </c>
      <c r="C279" s="131" t="s">
        <v>189</v>
      </c>
      <c r="D279" s="132" t="s">
        <v>189</v>
      </c>
      <c r="E279" s="3">
        <v>3.0599999999999999E-2</v>
      </c>
      <c r="F279" s="3">
        <v>0.06</v>
      </c>
      <c r="G279" s="90" t="s">
        <v>4</v>
      </c>
      <c r="H279" s="4" t="s">
        <v>58</v>
      </c>
      <c r="I279" s="1" t="s">
        <v>15</v>
      </c>
    </row>
    <row r="280" spans="1:9" ht="28.5" x14ac:dyDescent="0.2">
      <c r="A280" s="52"/>
      <c r="B280" s="166" t="s">
        <v>9</v>
      </c>
      <c r="C280" s="133" t="s">
        <v>189</v>
      </c>
      <c r="D280" s="134" t="s">
        <v>189</v>
      </c>
      <c r="E280" s="3">
        <v>2.2200000000000001E-2</v>
      </c>
      <c r="F280" s="3">
        <v>0.05</v>
      </c>
      <c r="G280" s="91" t="s">
        <v>3</v>
      </c>
      <c r="H280" s="9" t="s">
        <v>51</v>
      </c>
      <c r="I280" s="1" t="s">
        <v>16</v>
      </c>
    </row>
    <row r="281" spans="1:9" x14ac:dyDescent="0.2">
      <c r="A281" s="52"/>
      <c r="B281" s="166" t="s">
        <v>10</v>
      </c>
      <c r="C281" s="133" t="s">
        <v>189</v>
      </c>
      <c r="D281" s="134" t="s">
        <v>189</v>
      </c>
      <c r="E281" s="3">
        <v>2.3E-3</v>
      </c>
      <c r="F281" s="3">
        <v>0.05</v>
      </c>
      <c r="G281" s="91" t="s">
        <v>3</v>
      </c>
      <c r="H281" s="9" t="s">
        <v>51</v>
      </c>
      <c r="I281" s="1" t="s">
        <v>17</v>
      </c>
    </row>
    <row r="282" spans="1:9" x14ac:dyDescent="0.2">
      <c r="A282" s="52"/>
      <c r="B282" s="166" t="s">
        <v>11</v>
      </c>
      <c r="C282" s="133" t="s">
        <v>189</v>
      </c>
      <c r="D282" s="134" t="s">
        <v>189</v>
      </c>
      <c r="E282" s="3">
        <v>0</v>
      </c>
      <c r="F282" s="3">
        <v>0.05</v>
      </c>
      <c r="G282" s="91" t="s">
        <v>3</v>
      </c>
      <c r="H282" s="9" t="s">
        <v>51</v>
      </c>
      <c r="I282" s="1" t="s">
        <v>18</v>
      </c>
    </row>
    <row r="283" spans="1:9" x14ac:dyDescent="0.2">
      <c r="A283" s="52"/>
      <c r="B283" s="166" t="s">
        <v>21</v>
      </c>
      <c r="C283" s="133" t="s">
        <v>189</v>
      </c>
      <c r="D283" s="134" t="s">
        <v>189</v>
      </c>
      <c r="E283" s="3">
        <v>0</v>
      </c>
      <c r="F283" s="3">
        <v>0.05</v>
      </c>
      <c r="G283" s="91" t="s">
        <v>3</v>
      </c>
      <c r="H283" s="9" t="s">
        <v>51</v>
      </c>
      <c r="I283" s="1" t="s">
        <v>18</v>
      </c>
    </row>
    <row r="284" spans="1:9" ht="15.75" x14ac:dyDescent="0.2">
      <c r="A284" s="52"/>
      <c r="B284" s="108" t="s">
        <v>12</v>
      </c>
      <c r="C284" s="129" t="s">
        <v>189</v>
      </c>
      <c r="D284" s="130" t="s">
        <v>189</v>
      </c>
      <c r="E284" s="3">
        <v>0.15720000000000001</v>
      </c>
      <c r="F284" s="3">
        <v>0.12</v>
      </c>
      <c r="G284" s="90" t="s">
        <v>3</v>
      </c>
      <c r="H284" s="9" t="s">
        <v>56</v>
      </c>
      <c r="I284" s="9" t="s">
        <v>18</v>
      </c>
    </row>
    <row r="285" spans="1:9" x14ac:dyDescent="0.2">
      <c r="A285" s="52"/>
      <c r="B285" s="108" t="s">
        <v>13</v>
      </c>
      <c r="C285" s="131" t="s">
        <v>189</v>
      </c>
      <c r="D285" s="132" t="s">
        <v>189</v>
      </c>
      <c r="E285" s="3">
        <v>2E-3</v>
      </c>
      <c r="F285" s="3">
        <v>0.05</v>
      </c>
      <c r="G285" s="90" t="s">
        <v>3</v>
      </c>
      <c r="H285" s="10" t="s">
        <v>51</v>
      </c>
      <c r="I285" s="136" t="s">
        <v>189</v>
      </c>
    </row>
    <row r="286" spans="1:9" ht="15" x14ac:dyDescent="0.2">
      <c r="A286" s="52"/>
      <c r="B286" s="110" t="s">
        <v>5</v>
      </c>
      <c r="C286" s="133" t="s">
        <v>189</v>
      </c>
      <c r="D286" s="134" t="s">
        <v>189</v>
      </c>
      <c r="E286" s="103">
        <f>SUBTOTAL(109,E277:E285)</f>
        <v>1.4681</v>
      </c>
      <c r="F286" s="103">
        <f>SUBTOTAL(109,F277:F285)</f>
        <v>1.6800000000000004</v>
      </c>
      <c r="G286" s="121" t="s">
        <v>189</v>
      </c>
      <c r="H286" s="122" t="s">
        <v>189</v>
      </c>
      <c r="I286" s="116" t="s">
        <v>189</v>
      </c>
    </row>
    <row r="287" spans="1:9" x14ac:dyDescent="0.2">
      <c r="A287" s="52"/>
      <c r="B287" s="108" t="s">
        <v>6</v>
      </c>
      <c r="C287" s="131" t="s">
        <v>189</v>
      </c>
      <c r="D287" s="132" t="s">
        <v>189</v>
      </c>
      <c r="E287" s="11">
        <v>0.2243</v>
      </c>
      <c r="F287" s="232">
        <v>0.22</v>
      </c>
      <c r="G287" s="90" t="s">
        <v>4</v>
      </c>
      <c r="H287" s="233" t="s">
        <v>53</v>
      </c>
      <c r="I287" s="1" t="s">
        <v>19</v>
      </c>
    </row>
    <row r="288" spans="1:9" ht="15" x14ac:dyDescent="0.2">
      <c r="A288" s="52"/>
      <c r="B288" s="110" t="s">
        <v>230</v>
      </c>
      <c r="C288" s="138" t="s">
        <v>189</v>
      </c>
      <c r="D288" s="139" t="s">
        <v>189</v>
      </c>
      <c r="E288" s="69">
        <v>1.9E-3</v>
      </c>
      <c r="F288" s="115" t="s">
        <v>189</v>
      </c>
      <c r="G288" s="135" t="s">
        <v>189</v>
      </c>
      <c r="H288" s="135" t="s">
        <v>189</v>
      </c>
      <c r="I288" s="154" t="s">
        <v>189</v>
      </c>
    </row>
    <row r="289" spans="1:9" ht="15" x14ac:dyDescent="0.25">
      <c r="A289" s="20"/>
      <c r="B289" s="17"/>
      <c r="C289" s="17"/>
      <c r="D289" s="17"/>
      <c r="E289" s="19"/>
      <c r="F289" s="18"/>
      <c r="G289" s="92"/>
      <c r="H289" s="19"/>
      <c r="I289" s="175"/>
    </row>
    <row r="290" spans="1:9" ht="23.25" x14ac:dyDescent="0.25">
      <c r="A290" s="53" t="s">
        <v>116</v>
      </c>
      <c r="B290" s="34" t="s">
        <v>124</v>
      </c>
      <c r="C290" s="34"/>
      <c r="D290" s="34"/>
      <c r="E290" s="35"/>
      <c r="F290" s="36"/>
      <c r="G290" s="94"/>
      <c r="H290" s="35"/>
      <c r="I290" s="41"/>
    </row>
    <row r="291" spans="1:9" ht="15.75" x14ac:dyDescent="0.2">
      <c r="A291" s="52"/>
      <c r="B291" s="123" t="s">
        <v>0</v>
      </c>
      <c r="C291" s="129" t="s">
        <v>189</v>
      </c>
      <c r="D291" s="130" t="s">
        <v>190</v>
      </c>
      <c r="E291" s="124" t="s">
        <v>225</v>
      </c>
      <c r="F291" s="124" t="s">
        <v>200</v>
      </c>
      <c r="G291" s="128" t="s">
        <v>30</v>
      </c>
      <c r="H291" s="125" t="s">
        <v>20</v>
      </c>
      <c r="I291" s="125" t="s">
        <v>35</v>
      </c>
    </row>
    <row r="292" spans="1:9" ht="28.5" x14ac:dyDescent="0.2">
      <c r="A292" s="52"/>
      <c r="B292" s="108" t="s">
        <v>140</v>
      </c>
      <c r="C292" s="131" t="s">
        <v>189</v>
      </c>
      <c r="D292" s="132" t="s">
        <v>190</v>
      </c>
      <c r="E292" s="5">
        <v>0.96450000000000002</v>
      </c>
      <c r="F292" s="5">
        <v>0.94</v>
      </c>
      <c r="G292" s="90" t="s">
        <v>4</v>
      </c>
      <c r="H292" s="7" t="s">
        <v>99</v>
      </c>
      <c r="I292" s="6" t="s">
        <v>232</v>
      </c>
    </row>
    <row r="293" spans="1:9" x14ac:dyDescent="0.2">
      <c r="A293" s="52"/>
      <c r="B293" s="108" t="s">
        <v>2</v>
      </c>
      <c r="C293" s="133" t="s">
        <v>189</v>
      </c>
      <c r="D293" s="134" t="s">
        <v>189</v>
      </c>
      <c r="E293" s="3">
        <v>0.2339</v>
      </c>
      <c r="F293" s="3">
        <v>0.25</v>
      </c>
      <c r="G293" s="90" t="s">
        <v>3</v>
      </c>
      <c r="H293" s="4" t="s">
        <v>54</v>
      </c>
      <c r="I293" s="1" t="s">
        <v>14</v>
      </c>
    </row>
    <row r="294" spans="1:9" x14ac:dyDescent="0.2">
      <c r="A294" s="52"/>
      <c r="B294" s="109" t="s">
        <v>139</v>
      </c>
      <c r="C294" s="131" t="s">
        <v>189</v>
      </c>
      <c r="D294" s="132" t="s">
        <v>189</v>
      </c>
      <c r="E294" s="3">
        <v>9.3100000000000002E-2</v>
      </c>
      <c r="F294" s="3">
        <v>0.14000000000000001</v>
      </c>
      <c r="G294" s="90" t="s">
        <v>4</v>
      </c>
      <c r="H294" s="4" t="s">
        <v>125</v>
      </c>
      <c r="I294" s="1" t="s">
        <v>15</v>
      </c>
    </row>
    <row r="295" spans="1:9" x14ac:dyDescent="0.2">
      <c r="A295" s="52"/>
      <c r="B295" s="108" t="s">
        <v>12</v>
      </c>
      <c r="C295" s="133" t="s">
        <v>189</v>
      </c>
      <c r="D295" s="134" t="s">
        <v>189</v>
      </c>
      <c r="E295" s="3">
        <v>0.1628</v>
      </c>
      <c r="F295" s="3">
        <v>0.15</v>
      </c>
      <c r="G295" s="90" t="s">
        <v>3</v>
      </c>
      <c r="H295" s="9" t="s">
        <v>52</v>
      </c>
      <c r="I295" s="9" t="s">
        <v>18</v>
      </c>
    </row>
    <row r="296" spans="1:9" ht="15" x14ac:dyDescent="0.2">
      <c r="A296" s="52"/>
      <c r="B296" s="110" t="s">
        <v>5</v>
      </c>
      <c r="C296" s="133" t="s">
        <v>189</v>
      </c>
      <c r="D296" s="134" t="s">
        <v>189</v>
      </c>
      <c r="E296" s="29">
        <f>SUBTOTAL(109,E292:E295)</f>
        <v>1.4542999999999999</v>
      </c>
      <c r="F296" s="29">
        <f>SUBTOTAL(109,F292:F295)</f>
        <v>1.48</v>
      </c>
      <c r="G296" s="121" t="s">
        <v>189</v>
      </c>
      <c r="H296" s="42" t="s">
        <v>73</v>
      </c>
      <c r="I296" s="116" t="s">
        <v>189</v>
      </c>
    </row>
    <row r="297" spans="1:9" x14ac:dyDescent="0.2">
      <c r="A297" s="52"/>
      <c r="B297" s="108" t="s">
        <v>6</v>
      </c>
      <c r="C297" s="133" t="s">
        <v>189</v>
      </c>
      <c r="D297" s="134" t="s">
        <v>189</v>
      </c>
      <c r="E297" s="11">
        <v>0.27339999999999998</v>
      </c>
      <c r="F297" s="11">
        <v>0.24</v>
      </c>
      <c r="G297" s="90" t="s">
        <v>4</v>
      </c>
      <c r="H297" s="9" t="s">
        <v>63</v>
      </c>
      <c r="I297" s="1" t="s">
        <v>19</v>
      </c>
    </row>
    <row r="298" spans="1:9" ht="15" x14ac:dyDescent="0.2">
      <c r="A298" s="52"/>
      <c r="B298" s="110" t="s">
        <v>230</v>
      </c>
      <c r="C298" s="133" t="s">
        <v>189</v>
      </c>
      <c r="D298" s="134" t="s">
        <v>189</v>
      </c>
      <c r="E298" s="69">
        <v>1.5E-3</v>
      </c>
      <c r="F298" s="115" t="s">
        <v>189</v>
      </c>
      <c r="G298" s="135" t="s">
        <v>189</v>
      </c>
      <c r="H298" s="135" t="s">
        <v>189</v>
      </c>
      <c r="I298" s="154" t="s">
        <v>189</v>
      </c>
    </row>
    <row r="299" spans="1:9" ht="15" x14ac:dyDescent="0.25">
      <c r="A299" s="20"/>
      <c r="B299" s="17"/>
      <c r="C299" s="17"/>
      <c r="D299" s="17"/>
      <c r="E299" s="19"/>
      <c r="F299" s="18"/>
      <c r="G299" s="92"/>
      <c r="H299" s="19"/>
      <c r="I299" s="175"/>
    </row>
    <row r="300" spans="1:9" ht="23.25" x14ac:dyDescent="0.25">
      <c r="A300" s="53" t="s">
        <v>116</v>
      </c>
      <c r="B300" s="34" t="s">
        <v>126</v>
      </c>
      <c r="C300" s="34"/>
      <c r="D300" s="34"/>
      <c r="E300" s="35"/>
      <c r="F300" s="36"/>
      <c r="G300" s="94"/>
      <c r="H300" s="35"/>
      <c r="I300" s="41"/>
    </row>
    <row r="301" spans="1:9" ht="15.75" x14ac:dyDescent="0.2">
      <c r="A301" s="52"/>
      <c r="B301" s="123" t="s">
        <v>0</v>
      </c>
      <c r="C301" s="129" t="s">
        <v>189</v>
      </c>
      <c r="D301" s="130" t="s">
        <v>190</v>
      </c>
      <c r="E301" s="124" t="s">
        <v>225</v>
      </c>
      <c r="F301" s="124" t="s">
        <v>200</v>
      </c>
      <c r="G301" s="128" t="s">
        <v>30</v>
      </c>
      <c r="H301" s="125" t="s">
        <v>20</v>
      </c>
      <c r="I301" s="125" t="s">
        <v>35</v>
      </c>
    </row>
    <row r="302" spans="1:9" x14ac:dyDescent="0.2">
      <c r="A302" s="52"/>
      <c r="B302" s="108" t="s">
        <v>140</v>
      </c>
      <c r="C302" s="131" t="s">
        <v>189</v>
      </c>
      <c r="D302" s="132" t="s">
        <v>190</v>
      </c>
      <c r="E302" s="5" t="s">
        <v>237</v>
      </c>
      <c r="F302" s="5" t="s">
        <v>238</v>
      </c>
      <c r="G302" s="89" t="s">
        <v>4</v>
      </c>
      <c r="H302" s="7" t="s">
        <v>64</v>
      </c>
      <c r="I302" s="54" t="s">
        <v>25</v>
      </c>
    </row>
    <row r="303" spans="1:9" x14ac:dyDescent="0.2">
      <c r="A303" s="52"/>
      <c r="B303" s="108" t="s">
        <v>2</v>
      </c>
      <c r="C303" s="133" t="s">
        <v>189</v>
      </c>
      <c r="D303" s="134" t="s">
        <v>189</v>
      </c>
      <c r="E303" s="3">
        <v>0.23200000000000001</v>
      </c>
      <c r="F303" s="3">
        <v>0.25</v>
      </c>
      <c r="G303" s="90" t="s">
        <v>3</v>
      </c>
      <c r="H303" s="4" t="s">
        <v>54</v>
      </c>
      <c r="I303" s="1" t="s">
        <v>26</v>
      </c>
    </row>
    <row r="304" spans="1:9" x14ac:dyDescent="0.2">
      <c r="A304" s="52"/>
      <c r="B304" s="109" t="s">
        <v>139</v>
      </c>
      <c r="C304" s="131" t="s">
        <v>189</v>
      </c>
      <c r="D304" s="132" t="s">
        <v>189</v>
      </c>
      <c r="E304" s="3">
        <v>0.28149999999999997</v>
      </c>
      <c r="F304" s="3">
        <v>0.34</v>
      </c>
      <c r="G304" s="90" t="s">
        <v>4</v>
      </c>
      <c r="H304" s="4" t="s">
        <v>127</v>
      </c>
      <c r="I304" s="1" t="s">
        <v>26</v>
      </c>
    </row>
    <row r="305" spans="1:9" x14ac:dyDescent="0.2">
      <c r="A305" s="52"/>
      <c r="B305" s="108" t="s">
        <v>12</v>
      </c>
      <c r="C305" s="133" t="s">
        <v>189</v>
      </c>
      <c r="D305" s="134" t="s">
        <v>189</v>
      </c>
      <c r="E305" s="3">
        <v>0.23449999999999999</v>
      </c>
      <c r="F305" s="3">
        <v>0.21</v>
      </c>
      <c r="G305" s="90" t="s">
        <v>3</v>
      </c>
      <c r="H305" s="9" t="s">
        <v>128</v>
      </c>
      <c r="I305" s="9" t="s">
        <v>18</v>
      </c>
    </row>
    <row r="306" spans="1:9" ht="15" x14ac:dyDescent="0.2">
      <c r="A306" s="52"/>
      <c r="B306" s="110" t="s">
        <v>5</v>
      </c>
      <c r="C306" s="133" t="s">
        <v>189</v>
      </c>
      <c r="D306" s="134" t="s">
        <v>189</v>
      </c>
      <c r="E306" s="29">
        <f>SUBTOTAL(109,E302:E305)</f>
        <v>0.748</v>
      </c>
      <c r="F306" s="29">
        <f>SUBTOTAL(109,F302:F305)</f>
        <v>0.8</v>
      </c>
      <c r="G306" s="121" t="s">
        <v>189</v>
      </c>
      <c r="H306" s="42" t="s">
        <v>73</v>
      </c>
      <c r="I306" s="116" t="s">
        <v>189</v>
      </c>
    </row>
    <row r="307" spans="1:9" x14ac:dyDescent="0.2">
      <c r="A307" s="52"/>
      <c r="B307" s="108" t="s">
        <v>6</v>
      </c>
      <c r="C307" s="133" t="s">
        <v>189</v>
      </c>
      <c r="D307" s="134" t="s">
        <v>189</v>
      </c>
      <c r="E307" s="11">
        <v>0.83679999999999999</v>
      </c>
      <c r="F307" s="11">
        <v>0.81</v>
      </c>
      <c r="G307" s="90" t="s">
        <v>4</v>
      </c>
      <c r="H307" s="9" t="s">
        <v>129</v>
      </c>
      <c r="I307" s="1" t="s">
        <v>19</v>
      </c>
    </row>
    <row r="308" spans="1:9" ht="15" x14ac:dyDescent="0.2">
      <c r="A308" s="52"/>
      <c r="B308" s="110" t="s">
        <v>230</v>
      </c>
      <c r="C308" s="133" t="s">
        <v>189</v>
      </c>
      <c r="D308" s="134" t="s">
        <v>189</v>
      </c>
      <c r="E308" s="69">
        <v>3.0000000000000001E-3</v>
      </c>
      <c r="F308" s="115" t="s">
        <v>189</v>
      </c>
      <c r="G308" s="135" t="s">
        <v>189</v>
      </c>
      <c r="H308" s="135" t="s">
        <v>189</v>
      </c>
      <c r="I308" s="154" t="s">
        <v>189</v>
      </c>
    </row>
    <row r="309" spans="1:9" ht="15.75" x14ac:dyDescent="0.25">
      <c r="A309" s="56" t="s">
        <v>8</v>
      </c>
      <c r="B309" s="17"/>
      <c r="C309" s="17"/>
      <c r="D309" s="17"/>
      <c r="E309" s="19"/>
      <c r="F309" s="18"/>
      <c r="G309" s="92"/>
      <c r="H309" s="19"/>
      <c r="I309" s="175"/>
    </row>
    <row r="310" spans="1:9" s="99" customFormat="1" x14ac:dyDescent="0.2">
      <c r="A310" s="61" t="s">
        <v>137</v>
      </c>
      <c r="B310" s="62"/>
      <c r="C310" s="62"/>
      <c r="D310" s="62"/>
      <c r="E310" s="60"/>
      <c r="F310" s="60"/>
      <c r="G310" s="96"/>
      <c r="H310" s="60"/>
      <c r="I310" s="86"/>
    </row>
    <row r="311" spans="1:9" x14ac:dyDescent="0.2">
      <c r="A311" s="59" t="s">
        <v>136</v>
      </c>
      <c r="B311" s="63"/>
      <c r="C311" s="63"/>
      <c r="D311" s="63"/>
      <c r="E311" s="58"/>
      <c r="F311" s="58"/>
      <c r="G311" s="97"/>
      <c r="H311" s="58"/>
      <c r="I311" s="87"/>
    </row>
    <row r="312" spans="1:9" ht="15" x14ac:dyDescent="0.25">
      <c r="A312" s="55"/>
      <c r="B312" s="17"/>
      <c r="C312" s="17"/>
      <c r="D312" s="17"/>
      <c r="E312" s="19"/>
      <c r="F312" s="18"/>
      <c r="G312" s="92"/>
      <c r="H312" s="19"/>
      <c r="I312" s="175"/>
    </row>
    <row r="10000" spans="10:52" x14ac:dyDescent="0.2">
      <c r="J10000" s="98">
        <v>46</v>
      </c>
      <c r="K10000" s="98">
        <v>24</v>
      </c>
      <c r="L10000" s="98">
        <v>24</v>
      </c>
      <c r="AZ10000" s="98">
        <v>23</v>
      </c>
    </row>
  </sheetData>
  <mergeCells count="1">
    <mergeCell ref="A1:F1"/>
  </mergeCells>
  <hyperlinks>
    <hyperlink ref="A311" r:id="rId1" display="https://www.moreinvest.co.il/media/5jfhbei0/res_%D7%9E%D7%93%D7%99%D7%A0%D7%99%D7%95%D7%AA-%D7%94%D7%A9%D7%AA%D7%AA%D7%A4%D7%95%D7%AA-%D7%91%D7%90%D7%A1%D7%99%D7%A4%D7%95%D7%AA-%D7%9B%D7%9C%D7%9C%D7%99%D7%95%D7%AA-15-8-2023-1.pdf" xr:uid="{5D7F4651-9814-4B21-B76A-BD14271BFB37}"/>
  </hyperlinks>
  <pageMargins left="0.7" right="0.7" top="0.75" bottom="0.75" header="0.3" footer="0.3"/>
  <drawing r:id="rId2"/>
  <tableParts count="23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BEB54-18FB-4CFC-BF25-595E12FF43B2}">
  <sheetPr>
    <tabColor rgb="FF305598"/>
    <pageSetUpPr fitToPage="1"/>
  </sheetPr>
  <dimension ref="A1:AZ10000"/>
  <sheetViews>
    <sheetView rightToLeft="1" topLeftCell="A47" zoomScale="70" zoomScaleNormal="70" workbookViewId="0">
      <selection activeCell="A185" sqref="A185"/>
    </sheetView>
  </sheetViews>
  <sheetFormatPr defaultColWidth="9" defaultRowHeight="14.25" x14ac:dyDescent="0.2"/>
  <cols>
    <col min="1" max="1" width="17.75" style="98" customWidth="1"/>
    <col min="2" max="2" width="19.625" style="100" customWidth="1"/>
    <col min="3" max="3" width="29.5" style="199" customWidth="1"/>
    <col min="4" max="4" width="28.25" style="199" customWidth="1"/>
    <col min="5" max="5" width="16.75" style="225" customWidth="1"/>
    <col min="6" max="6" width="29" style="199" customWidth="1"/>
    <col min="7" max="7" width="22.25" style="226" customWidth="1"/>
    <col min="8" max="8" width="17.75" style="199" customWidth="1"/>
    <col min="9" max="9" width="19.625" style="227" customWidth="1"/>
    <col min="10" max="10" width="29.5" style="199" customWidth="1"/>
    <col min="11" max="11" width="28.25" style="199" customWidth="1"/>
    <col min="12" max="12" width="16.75" style="199" customWidth="1"/>
    <col min="13" max="13" width="29" style="199" customWidth="1"/>
    <col min="14" max="14" width="22.25" style="226" customWidth="1"/>
    <col min="15" max="16384" width="9" style="98"/>
  </cols>
  <sheetData>
    <row r="1" spans="1:14" ht="94.15" customHeight="1" x14ac:dyDescent="0.2">
      <c r="A1" s="235" t="s">
        <v>199</v>
      </c>
      <c r="B1" s="235"/>
      <c r="C1" s="235"/>
      <c r="D1" s="235"/>
      <c r="E1" s="235"/>
      <c r="F1" s="200"/>
      <c r="G1" s="201"/>
      <c r="H1" s="236" t="s">
        <v>224</v>
      </c>
      <c r="I1" s="236"/>
      <c r="J1" s="236"/>
      <c r="K1" s="236"/>
      <c r="L1" s="202"/>
      <c r="M1" s="202"/>
      <c r="N1" s="203"/>
    </row>
    <row r="2" spans="1:14" ht="51.75" customHeight="1" x14ac:dyDescent="0.25">
      <c r="A2" s="21" t="s">
        <v>36</v>
      </c>
      <c r="B2" s="34" t="s">
        <v>130</v>
      </c>
      <c r="C2" s="35"/>
      <c r="D2" s="36"/>
      <c r="E2" s="84"/>
      <c r="F2" s="35"/>
      <c r="G2" s="178"/>
      <c r="H2" s="204" t="s">
        <v>36</v>
      </c>
      <c r="I2" s="34" t="s">
        <v>143</v>
      </c>
      <c r="J2" s="35"/>
      <c r="K2" s="36"/>
      <c r="L2" s="37"/>
      <c r="M2" s="35"/>
      <c r="N2" s="178"/>
    </row>
    <row r="3" spans="1:14" ht="40.15" customHeight="1" x14ac:dyDescent="0.2">
      <c r="A3" s="22"/>
      <c r="B3" s="123" t="s">
        <v>0</v>
      </c>
      <c r="C3" s="124" t="s">
        <v>225</v>
      </c>
      <c r="D3" s="124" t="s">
        <v>200</v>
      </c>
      <c r="E3" s="125" t="s">
        <v>30</v>
      </c>
      <c r="F3" s="125" t="s">
        <v>20</v>
      </c>
      <c r="G3" s="125" t="s">
        <v>35</v>
      </c>
      <c r="H3" s="205"/>
      <c r="I3" s="123" t="s">
        <v>0</v>
      </c>
      <c r="J3" s="124" t="s">
        <v>225</v>
      </c>
      <c r="K3" s="124" t="s">
        <v>200</v>
      </c>
      <c r="L3" s="125" t="s">
        <v>30</v>
      </c>
      <c r="M3" s="125" t="s">
        <v>20</v>
      </c>
      <c r="N3" s="125" t="s">
        <v>35</v>
      </c>
    </row>
    <row r="4" spans="1:14" ht="15.75" x14ac:dyDescent="0.2">
      <c r="A4" s="22"/>
      <c r="B4" s="108" t="s">
        <v>171</v>
      </c>
      <c r="C4" s="5">
        <v>0.2792</v>
      </c>
      <c r="D4" s="5">
        <v>0.3</v>
      </c>
      <c r="E4" s="151" t="s">
        <v>189</v>
      </c>
      <c r="F4" s="152" t="s">
        <v>189</v>
      </c>
      <c r="G4" s="152" t="s">
        <v>189</v>
      </c>
      <c r="H4" s="205"/>
      <c r="I4" s="162" t="s">
        <v>189</v>
      </c>
      <c r="J4" s="163" t="s">
        <v>189</v>
      </c>
      <c r="K4" s="163" t="s">
        <v>189</v>
      </c>
      <c r="L4" s="152" t="s">
        <v>189</v>
      </c>
      <c r="M4" s="152" t="s">
        <v>189</v>
      </c>
      <c r="N4" s="152" t="s">
        <v>189</v>
      </c>
    </row>
    <row r="5" spans="1:14" ht="34.5" customHeight="1" x14ac:dyDescent="0.2">
      <c r="A5" s="22"/>
      <c r="B5" s="108" t="s">
        <v>140</v>
      </c>
      <c r="C5" s="5">
        <v>0.58360000000000001</v>
      </c>
      <c r="D5" s="5">
        <v>0.57999999999999996</v>
      </c>
      <c r="E5" s="6" t="s">
        <v>4</v>
      </c>
      <c r="F5" s="7" t="s">
        <v>210</v>
      </c>
      <c r="G5" s="6" t="s">
        <v>223</v>
      </c>
      <c r="H5" s="205"/>
      <c r="I5" s="108" t="s">
        <v>233</v>
      </c>
      <c r="J5" s="5">
        <v>0.56100000000000005</v>
      </c>
      <c r="K5" s="5">
        <v>0.56000000000000005</v>
      </c>
      <c r="L5" s="6" t="s">
        <v>4</v>
      </c>
      <c r="M5" s="7" t="s">
        <v>211</v>
      </c>
      <c r="N5" s="6" t="s">
        <v>223</v>
      </c>
    </row>
    <row r="6" spans="1:14" x14ac:dyDescent="0.2">
      <c r="A6" s="22"/>
      <c r="B6" s="108" t="s">
        <v>2</v>
      </c>
      <c r="C6" s="3">
        <v>9.0700000000000003E-2</v>
      </c>
      <c r="D6" s="3">
        <v>0.09</v>
      </c>
      <c r="E6" s="1" t="s">
        <v>3</v>
      </c>
      <c r="F6" s="4" t="s">
        <v>209</v>
      </c>
      <c r="G6" s="1" t="s">
        <v>14</v>
      </c>
      <c r="H6" s="205"/>
      <c r="I6" s="108" t="s">
        <v>2</v>
      </c>
      <c r="J6" s="3">
        <v>0.27579999999999999</v>
      </c>
      <c r="K6" s="3">
        <v>0.28000000000000003</v>
      </c>
      <c r="L6" s="1" t="s">
        <v>3</v>
      </c>
      <c r="M6" s="4" t="s">
        <v>46</v>
      </c>
      <c r="N6" s="1" t="s">
        <v>14</v>
      </c>
    </row>
    <row r="7" spans="1:14" ht="28.5" x14ac:dyDescent="0.2">
      <c r="A7" s="22"/>
      <c r="B7" s="109" t="s">
        <v>139</v>
      </c>
      <c r="C7" s="3">
        <v>0.14419999999999999</v>
      </c>
      <c r="D7" s="3">
        <v>0.15</v>
      </c>
      <c r="E7" s="1" t="s">
        <v>4</v>
      </c>
      <c r="F7" s="4" t="s">
        <v>120</v>
      </c>
      <c r="G7" s="1" t="s">
        <v>175</v>
      </c>
      <c r="H7" s="205"/>
      <c r="I7" s="108" t="s">
        <v>139</v>
      </c>
      <c r="J7" s="3">
        <v>0.26300000000000001</v>
      </c>
      <c r="K7" s="3">
        <v>0.3</v>
      </c>
      <c r="L7" s="1" t="s">
        <v>4</v>
      </c>
      <c r="M7" s="4" t="s">
        <v>61</v>
      </c>
      <c r="N7" s="1" t="s">
        <v>15</v>
      </c>
    </row>
    <row r="8" spans="1:14" ht="28.5" x14ac:dyDescent="0.2">
      <c r="A8" s="22"/>
      <c r="B8" s="108" t="s">
        <v>172</v>
      </c>
      <c r="C8" s="3">
        <v>1.0699999999999999E-2</v>
      </c>
      <c r="D8" s="3">
        <v>0.05</v>
      </c>
      <c r="E8" s="8" t="s">
        <v>3</v>
      </c>
      <c r="F8" s="9" t="s">
        <v>51</v>
      </c>
      <c r="G8" s="153" t="s">
        <v>189</v>
      </c>
      <c r="H8" s="205"/>
      <c r="I8" s="108" t="s">
        <v>172</v>
      </c>
      <c r="J8" s="3">
        <v>1.0800000000000001E-2</v>
      </c>
      <c r="K8" s="3">
        <v>0.05</v>
      </c>
      <c r="L8" s="8" t="s">
        <v>3</v>
      </c>
      <c r="M8" s="9" t="s">
        <v>51</v>
      </c>
      <c r="N8" s="153" t="s">
        <v>189</v>
      </c>
    </row>
    <row r="9" spans="1:14" x14ac:dyDescent="0.2">
      <c r="A9" s="22"/>
      <c r="B9" s="108" t="s">
        <v>10</v>
      </c>
      <c r="C9" s="3">
        <v>1.38E-2</v>
      </c>
      <c r="D9" s="3">
        <v>0.05</v>
      </c>
      <c r="E9" s="8" t="s">
        <v>3</v>
      </c>
      <c r="F9" s="9" t="s">
        <v>51</v>
      </c>
      <c r="G9" s="153" t="s">
        <v>189</v>
      </c>
      <c r="H9" s="205"/>
      <c r="I9" s="108" t="s">
        <v>10</v>
      </c>
      <c r="J9" s="3">
        <v>9.4000000000000004E-3</v>
      </c>
      <c r="K9" s="3">
        <v>0.05</v>
      </c>
      <c r="L9" s="8" t="s">
        <v>3</v>
      </c>
      <c r="M9" s="9" t="s">
        <v>51</v>
      </c>
      <c r="N9" s="153" t="s">
        <v>189</v>
      </c>
    </row>
    <row r="10" spans="1:14" x14ac:dyDescent="0.2">
      <c r="A10" s="22"/>
      <c r="B10" s="108" t="s">
        <v>12</v>
      </c>
      <c r="C10" s="3">
        <v>0.14019999999999999</v>
      </c>
      <c r="D10" s="3">
        <v>0.15</v>
      </c>
      <c r="E10" s="1" t="s">
        <v>3</v>
      </c>
      <c r="F10" s="9" t="s">
        <v>52</v>
      </c>
      <c r="G10" s="136" t="s">
        <v>189</v>
      </c>
      <c r="H10" s="205"/>
      <c r="I10" s="108" t="s">
        <v>12</v>
      </c>
      <c r="J10" s="3">
        <v>0.18379999999999999</v>
      </c>
      <c r="K10" s="3">
        <v>0.15</v>
      </c>
      <c r="L10" s="1" t="s">
        <v>3</v>
      </c>
      <c r="M10" s="9" t="s">
        <v>52</v>
      </c>
      <c r="N10" s="136" t="s">
        <v>189</v>
      </c>
    </row>
    <row r="11" spans="1:14" x14ac:dyDescent="0.2">
      <c r="A11" s="22"/>
      <c r="B11" s="108" t="s">
        <v>173</v>
      </c>
      <c r="C11" s="3">
        <v>7.0000000000000001E-3</v>
      </c>
      <c r="D11" s="3">
        <v>0.05</v>
      </c>
      <c r="E11" s="1" t="s">
        <v>3</v>
      </c>
      <c r="F11" s="10" t="s">
        <v>51</v>
      </c>
      <c r="G11" s="136" t="s">
        <v>189</v>
      </c>
      <c r="H11" s="205"/>
      <c r="I11" s="108" t="s">
        <v>173</v>
      </c>
      <c r="J11" s="3">
        <v>5.3E-3</v>
      </c>
      <c r="K11" s="3">
        <v>0.05</v>
      </c>
      <c r="L11" s="1" t="s">
        <v>3</v>
      </c>
      <c r="M11" s="10" t="s">
        <v>51</v>
      </c>
      <c r="N11" s="136" t="s">
        <v>189</v>
      </c>
    </row>
    <row r="12" spans="1:14" ht="15" x14ac:dyDescent="0.2">
      <c r="A12" s="22"/>
      <c r="B12" s="110" t="s">
        <v>5</v>
      </c>
      <c r="C12" s="29">
        <f>SUBTOTAL(109,C4:C11)</f>
        <v>1.2693999999999999</v>
      </c>
      <c r="D12" s="103">
        <f>SUBTOTAL(109,D4:D11)</f>
        <v>1.42</v>
      </c>
      <c r="E12" s="121" t="s">
        <v>189</v>
      </c>
      <c r="F12" s="42" t="s">
        <v>73</v>
      </c>
      <c r="G12" s="116" t="s">
        <v>189</v>
      </c>
      <c r="H12" s="205"/>
      <c r="I12" s="110" t="s">
        <v>5</v>
      </c>
      <c r="J12" s="29">
        <f>SUBTOTAL(109,J4:J11)</f>
        <v>1.3091000000000002</v>
      </c>
      <c r="K12" s="103">
        <f>SUBTOTAL(109,K4:K11)</f>
        <v>1.4400000000000002</v>
      </c>
      <c r="L12" s="122" t="s">
        <v>189</v>
      </c>
      <c r="M12" s="122" t="s">
        <v>189</v>
      </c>
      <c r="N12" s="116" t="s">
        <v>189</v>
      </c>
    </row>
    <row r="13" spans="1:14" x14ac:dyDescent="0.2">
      <c r="A13" s="22"/>
      <c r="B13" s="108" t="s">
        <v>6</v>
      </c>
      <c r="C13" s="11">
        <v>0.19939999999999999</v>
      </c>
      <c r="D13" s="11">
        <v>0.2</v>
      </c>
      <c r="E13" s="1" t="s">
        <v>4</v>
      </c>
      <c r="F13" s="9" t="s">
        <v>64</v>
      </c>
      <c r="G13" s="1" t="s">
        <v>19</v>
      </c>
      <c r="H13" s="205"/>
      <c r="I13" s="108" t="s">
        <v>6</v>
      </c>
      <c r="J13" s="11">
        <v>0.1971</v>
      </c>
      <c r="K13" s="11">
        <v>0.2</v>
      </c>
      <c r="L13" s="1" t="s">
        <v>4</v>
      </c>
      <c r="M13" s="9" t="s">
        <v>64</v>
      </c>
      <c r="N13" s="1" t="s">
        <v>19</v>
      </c>
    </row>
    <row r="14" spans="1:14" ht="30" x14ac:dyDescent="0.2">
      <c r="A14" s="23"/>
      <c r="B14" s="110" t="s">
        <v>230</v>
      </c>
      <c r="C14" s="12">
        <v>2.7000000000000001E-3</v>
      </c>
      <c r="D14" s="206" t="s">
        <v>189</v>
      </c>
      <c r="E14" s="135" t="s">
        <v>189</v>
      </c>
      <c r="F14" s="135" t="s">
        <v>189</v>
      </c>
      <c r="G14" s="179" t="s">
        <v>189</v>
      </c>
      <c r="H14" s="205"/>
      <c r="I14" s="110" t="s">
        <v>230</v>
      </c>
      <c r="J14" s="12">
        <v>2.3999999999999998E-3</v>
      </c>
      <c r="K14" s="206" t="s">
        <v>189</v>
      </c>
      <c r="L14" s="135" t="s">
        <v>189</v>
      </c>
      <c r="M14" s="135" t="s">
        <v>189</v>
      </c>
      <c r="N14" s="179" t="s">
        <v>189</v>
      </c>
    </row>
    <row r="15" spans="1:14" ht="21" customHeight="1" x14ac:dyDescent="0.2">
      <c r="A15" s="73"/>
      <c r="B15" s="169" t="s">
        <v>196</v>
      </c>
      <c r="C15" s="170" t="s">
        <v>196</v>
      </c>
      <c r="D15" s="170" t="s">
        <v>196</v>
      </c>
      <c r="E15" s="170" t="s">
        <v>196</v>
      </c>
      <c r="F15" s="170" t="s">
        <v>196</v>
      </c>
      <c r="G15" s="180" t="s">
        <v>196</v>
      </c>
      <c r="H15" s="207"/>
      <c r="I15" s="79"/>
      <c r="J15" s="80"/>
      <c r="K15" s="81"/>
      <c r="L15" s="80"/>
      <c r="M15" s="80"/>
      <c r="N15" s="182"/>
    </row>
    <row r="16" spans="1:14" ht="51.75" customHeight="1" x14ac:dyDescent="0.25">
      <c r="A16" s="21" t="s">
        <v>36</v>
      </c>
      <c r="B16" s="34" t="s">
        <v>141</v>
      </c>
      <c r="C16" s="35"/>
      <c r="D16" s="36"/>
      <c r="E16" s="84"/>
      <c r="F16" s="35"/>
      <c r="G16" s="178"/>
      <c r="H16" s="204" t="s">
        <v>36</v>
      </c>
      <c r="I16" s="34" t="s">
        <v>144</v>
      </c>
      <c r="J16" s="35"/>
      <c r="K16" s="36"/>
      <c r="L16" s="37"/>
      <c r="M16" s="35"/>
      <c r="N16" s="178"/>
    </row>
    <row r="17" spans="1:14" ht="37.5" customHeight="1" x14ac:dyDescent="0.2">
      <c r="A17" s="22"/>
      <c r="B17" s="123" t="s">
        <v>0</v>
      </c>
      <c r="C17" s="124" t="s">
        <v>225</v>
      </c>
      <c r="D17" s="124" t="s">
        <v>200</v>
      </c>
      <c r="E17" s="125" t="s">
        <v>1</v>
      </c>
      <c r="F17" s="125" t="s">
        <v>20</v>
      </c>
      <c r="G17" s="125" t="s">
        <v>35</v>
      </c>
      <c r="H17" s="205"/>
      <c r="I17" s="123" t="s">
        <v>0</v>
      </c>
      <c r="J17" s="124" t="s">
        <v>225</v>
      </c>
      <c r="K17" s="124" t="s">
        <v>200</v>
      </c>
      <c r="L17" s="125" t="s">
        <v>1</v>
      </c>
      <c r="M17" s="125" t="s">
        <v>20</v>
      </c>
      <c r="N17" s="125" t="s">
        <v>35</v>
      </c>
    </row>
    <row r="18" spans="1:14" ht="15.75" x14ac:dyDescent="0.2">
      <c r="A18" s="22"/>
      <c r="B18" s="108" t="s">
        <v>171</v>
      </c>
      <c r="C18" s="5">
        <v>0.28210000000000002</v>
      </c>
      <c r="D18" s="5">
        <v>0.3</v>
      </c>
      <c r="E18" s="151" t="s">
        <v>189</v>
      </c>
      <c r="F18" s="152" t="s">
        <v>189</v>
      </c>
      <c r="G18" s="152" t="s">
        <v>189</v>
      </c>
      <c r="H18" s="205"/>
      <c r="I18" s="162" t="s">
        <v>189</v>
      </c>
      <c r="J18" s="163" t="s">
        <v>189</v>
      </c>
      <c r="K18" s="163" t="s">
        <v>189</v>
      </c>
      <c r="L18" s="152" t="s">
        <v>189</v>
      </c>
      <c r="M18" s="152" t="s">
        <v>189</v>
      </c>
      <c r="N18" s="152" t="s">
        <v>189</v>
      </c>
    </row>
    <row r="19" spans="1:14" ht="41.25" customHeight="1" x14ac:dyDescent="0.2">
      <c r="A19" s="22"/>
      <c r="B19" s="108" t="s">
        <v>140</v>
      </c>
      <c r="C19" s="5">
        <v>0.4849</v>
      </c>
      <c r="D19" s="5">
        <v>0.45</v>
      </c>
      <c r="E19" s="6" t="s">
        <v>4</v>
      </c>
      <c r="F19" s="7" t="s">
        <v>66</v>
      </c>
      <c r="G19" s="6" t="s">
        <v>223</v>
      </c>
      <c r="H19" s="205"/>
      <c r="I19" s="108" t="s">
        <v>233</v>
      </c>
      <c r="J19" s="5">
        <v>0.46200000000000002</v>
      </c>
      <c r="K19" s="5">
        <v>0.45</v>
      </c>
      <c r="L19" s="6" t="s">
        <v>4</v>
      </c>
      <c r="M19" s="7" t="s">
        <v>66</v>
      </c>
      <c r="N19" s="6" t="s">
        <v>223</v>
      </c>
    </row>
    <row r="20" spans="1:14" ht="25.5" customHeight="1" x14ac:dyDescent="0.2">
      <c r="A20" s="22"/>
      <c r="B20" s="108" t="s">
        <v>2</v>
      </c>
      <c r="C20" s="3">
        <v>0.12520000000000001</v>
      </c>
      <c r="D20" s="3">
        <v>0.13</v>
      </c>
      <c r="E20" s="1" t="s">
        <v>3</v>
      </c>
      <c r="F20" s="4" t="s">
        <v>212</v>
      </c>
      <c r="G20" s="1" t="s">
        <v>14</v>
      </c>
      <c r="H20" s="205"/>
      <c r="I20" s="108" t="s">
        <v>2</v>
      </c>
      <c r="J20" s="3">
        <v>0.28939999999999999</v>
      </c>
      <c r="K20" s="3">
        <v>0.28999999999999998</v>
      </c>
      <c r="L20" s="1" t="s">
        <v>3</v>
      </c>
      <c r="M20" s="4" t="s">
        <v>213</v>
      </c>
      <c r="N20" s="1" t="s">
        <v>14</v>
      </c>
    </row>
    <row r="21" spans="1:14" ht="33" customHeight="1" x14ac:dyDescent="0.2">
      <c r="A21" s="22"/>
      <c r="B21" s="109" t="s">
        <v>139</v>
      </c>
      <c r="C21" s="3">
        <v>0.17899999999999999</v>
      </c>
      <c r="D21" s="3">
        <v>0.2</v>
      </c>
      <c r="E21" s="1" t="s">
        <v>4</v>
      </c>
      <c r="F21" s="4" t="s">
        <v>64</v>
      </c>
      <c r="G21" s="1" t="s">
        <v>175</v>
      </c>
      <c r="H21" s="205"/>
      <c r="I21" s="108" t="s">
        <v>139</v>
      </c>
      <c r="J21" s="3">
        <v>0.32419999999999999</v>
      </c>
      <c r="K21" s="3">
        <v>0.35</v>
      </c>
      <c r="L21" s="1" t="s">
        <v>4</v>
      </c>
      <c r="M21" s="4" t="s">
        <v>119</v>
      </c>
      <c r="N21" s="1" t="s">
        <v>15</v>
      </c>
    </row>
    <row r="22" spans="1:14" ht="28.5" x14ac:dyDescent="0.2">
      <c r="A22" s="22"/>
      <c r="B22" s="108" t="s">
        <v>172</v>
      </c>
      <c r="C22" s="3">
        <v>7.4000000000000003E-3</v>
      </c>
      <c r="D22" s="3">
        <v>0.05</v>
      </c>
      <c r="E22" s="8" t="s">
        <v>3</v>
      </c>
      <c r="F22" s="9" t="s">
        <v>51</v>
      </c>
      <c r="G22" s="153" t="s">
        <v>189</v>
      </c>
      <c r="H22" s="205"/>
      <c r="I22" s="108" t="s">
        <v>172</v>
      </c>
      <c r="J22" s="3">
        <v>4.8999999999999998E-3</v>
      </c>
      <c r="K22" s="3">
        <v>0.05</v>
      </c>
      <c r="L22" s="8" t="s">
        <v>3</v>
      </c>
      <c r="M22" s="9" t="s">
        <v>51</v>
      </c>
      <c r="N22" s="153" t="s">
        <v>189</v>
      </c>
    </row>
    <row r="23" spans="1:14" x14ac:dyDescent="0.2">
      <c r="A23" s="22"/>
      <c r="B23" s="108" t="s">
        <v>10</v>
      </c>
      <c r="C23" s="3">
        <v>1.2500000000000001E-2</v>
      </c>
      <c r="D23" s="3">
        <v>0.05</v>
      </c>
      <c r="E23" s="8" t="s">
        <v>3</v>
      </c>
      <c r="F23" s="9" t="s">
        <v>51</v>
      </c>
      <c r="G23" s="153" t="s">
        <v>189</v>
      </c>
      <c r="H23" s="205"/>
      <c r="I23" s="108" t="s">
        <v>10</v>
      </c>
      <c r="J23" s="3">
        <v>7.9000000000000008E-3</v>
      </c>
      <c r="K23" s="3">
        <v>0.05</v>
      </c>
      <c r="L23" s="8" t="s">
        <v>3</v>
      </c>
      <c r="M23" s="9" t="s">
        <v>51</v>
      </c>
      <c r="N23" s="153" t="s">
        <v>189</v>
      </c>
    </row>
    <row r="24" spans="1:14" x14ac:dyDescent="0.2">
      <c r="A24" s="22"/>
      <c r="B24" s="108" t="s">
        <v>12</v>
      </c>
      <c r="C24" s="3">
        <v>0.14580000000000001</v>
      </c>
      <c r="D24" s="3">
        <v>0.15</v>
      </c>
      <c r="E24" s="1" t="s">
        <v>3</v>
      </c>
      <c r="F24" s="9" t="s">
        <v>52</v>
      </c>
      <c r="G24" s="136" t="s">
        <v>189</v>
      </c>
      <c r="H24" s="205"/>
      <c r="I24" s="108" t="s">
        <v>12</v>
      </c>
      <c r="J24" s="3">
        <v>0.16750000000000001</v>
      </c>
      <c r="K24" s="3">
        <v>0.15</v>
      </c>
      <c r="L24" s="1" t="s">
        <v>3</v>
      </c>
      <c r="M24" s="9" t="s">
        <v>52</v>
      </c>
      <c r="N24" s="136" t="s">
        <v>189</v>
      </c>
    </row>
    <row r="25" spans="1:14" x14ac:dyDescent="0.2">
      <c r="A25" s="22"/>
      <c r="B25" s="108" t="s">
        <v>173</v>
      </c>
      <c r="C25" s="3">
        <v>5.3E-3</v>
      </c>
      <c r="D25" s="3">
        <v>0.05</v>
      </c>
      <c r="E25" s="1" t="s">
        <v>3</v>
      </c>
      <c r="F25" s="10" t="s">
        <v>51</v>
      </c>
      <c r="G25" s="136" t="s">
        <v>189</v>
      </c>
      <c r="H25" s="205"/>
      <c r="I25" s="108" t="s">
        <v>173</v>
      </c>
      <c r="J25" s="3">
        <v>4.3E-3</v>
      </c>
      <c r="K25" s="3">
        <v>0.05</v>
      </c>
      <c r="L25" s="1" t="s">
        <v>3</v>
      </c>
      <c r="M25" s="10" t="s">
        <v>51</v>
      </c>
      <c r="N25" s="136" t="s">
        <v>189</v>
      </c>
    </row>
    <row r="26" spans="1:14" ht="15" x14ac:dyDescent="0.2">
      <c r="A26" s="22"/>
      <c r="B26" s="110" t="s">
        <v>5</v>
      </c>
      <c r="C26" s="29">
        <f>SUBTOTAL(109,C18:C25)</f>
        <v>1.2422</v>
      </c>
      <c r="D26" s="103">
        <f>SUBTOTAL(109,D18:D25)</f>
        <v>1.3800000000000001</v>
      </c>
      <c r="E26" s="121" t="s">
        <v>189</v>
      </c>
      <c r="F26" s="122" t="s">
        <v>189</v>
      </c>
      <c r="G26" s="116" t="s">
        <v>189</v>
      </c>
      <c r="H26" s="205"/>
      <c r="I26" s="110" t="s">
        <v>5</v>
      </c>
      <c r="J26" s="29">
        <f>SUBTOTAL(109,J18:J25)</f>
        <v>1.2602</v>
      </c>
      <c r="K26" s="103">
        <f>SUBTOTAL(109,K18:K25)</f>
        <v>1.39</v>
      </c>
      <c r="L26" s="122" t="s">
        <v>189</v>
      </c>
      <c r="M26" s="122" t="s">
        <v>189</v>
      </c>
      <c r="N26" s="116" t="s">
        <v>189</v>
      </c>
    </row>
    <row r="27" spans="1:14" x14ac:dyDescent="0.2">
      <c r="A27" s="22"/>
      <c r="B27" s="108" t="s">
        <v>6</v>
      </c>
      <c r="C27" s="11">
        <v>0.1835</v>
      </c>
      <c r="D27" s="11">
        <v>0.2</v>
      </c>
      <c r="E27" s="1" t="s">
        <v>4</v>
      </c>
      <c r="F27" s="9" t="s">
        <v>64</v>
      </c>
      <c r="G27" s="1" t="s">
        <v>19</v>
      </c>
      <c r="H27" s="205"/>
      <c r="I27" s="108" t="s">
        <v>6</v>
      </c>
      <c r="J27" s="11">
        <v>0.16669999999999999</v>
      </c>
      <c r="K27" s="11">
        <v>0.2</v>
      </c>
      <c r="L27" s="1" t="s">
        <v>4</v>
      </c>
      <c r="M27" s="9" t="s">
        <v>64</v>
      </c>
      <c r="N27" s="1" t="s">
        <v>19</v>
      </c>
    </row>
    <row r="28" spans="1:14" ht="30" x14ac:dyDescent="0.2">
      <c r="A28" s="23"/>
      <c r="B28" s="110" t="s">
        <v>230</v>
      </c>
      <c r="C28" s="12">
        <v>2.3999999999999998E-3</v>
      </c>
      <c r="D28" s="206" t="s">
        <v>189</v>
      </c>
      <c r="E28" s="135" t="s">
        <v>189</v>
      </c>
      <c r="F28" s="135" t="s">
        <v>189</v>
      </c>
      <c r="G28" s="179" t="s">
        <v>189</v>
      </c>
      <c r="H28" s="205"/>
      <c r="I28" s="110" t="s">
        <v>230</v>
      </c>
      <c r="J28" s="12">
        <v>2.3999999999999998E-3</v>
      </c>
      <c r="K28" s="206" t="s">
        <v>189</v>
      </c>
      <c r="L28" s="135" t="s">
        <v>189</v>
      </c>
      <c r="M28" s="135" t="s">
        <v>189</v>
      </c>
      <c r="N28" s="179" t="s">
        <v>189</v>
      </c>
    </row>
    <row r="29" spans="1:14" ht="21" customHeight="1" x14ac:dyDescent="0.2">
      <c r="A29" s="73"/>
      <c r="B29" s="75"/>
      <c r="C29" s="76"/>
      <c r="D29" s="77"/>
      <c r="E29" s="76"/>
      <c r="F29" s="76"/>
      <c r="G29" s="181"/>
      <c r="H29" s="207"/>
      <c r="I29" s="79"/>
      <c r="J29" s="80"/>
      <c r="K29" s="81"/>
      <c r="L29" s="80"/>
      <c r="M29" s="80"/>
      <c r="N29" s="182"/>
    </row>
    <row r="30" spans="1:14" ht="51.75" customHeight="1" x14ac:dyDescent="0.25">
      <c r="A30" s="21" t="s">
        <v>36</v>
      </c>
      <c r="B30" s="34" t="s">
        <v>142</v>
      </c>
      <c r="C30" s="35"/>
      <c r="D30" s="36"/>
      <c r="E30" s="84"/>
      <c r="F30" s="35"/>
      <c r="G30" s="178"/>
      <c r="H30" s="204" t="s">
        <v>36</v>
      </c>
      <c r="I30" s="34" t="s">
        <v>145</v>
      </c>
      <c r="J30" s="35"/>
      <c r="K30" s="36"/>
      <c r="L30" s="37"/>
      <c r="M30" s="35"/>
      <c r="N30" s="178"/>
    </row>
    <row r="31" spans="1:14" ht="34.5" customHeight="1" x14ac:dyDescent="0.2">
      <c r="A31" s="22"/>
      <c r="B31" s="123" t="s">
        <v>0</v>
      </c>
      <c r="C31" s="124" t="s">
        <v>225</v>
      </c>
      <c r="D31" s="124" t="s">
        <v>200</v>
      </c>
      <c r="E31" s="125" t="s">
        <v>1</v>
      </c>
      <c r="F31" s="125" t="s">
        <v>20</v>
      </c>
      <c r="G31" s="125" t="s">
        <v>35</v>
      </c>
      <c r="H31" s="205"/>
      <c r="I31" s="123" t="s">
        <v>0</v>
      </c>
      <c r="J31" s="124" t="s">
        <v>225</v>
      </c>
      <c r="K31" s="124" t="s">
        <v>200</v>
      </c>
      <c r="L31" s="125" t="s">
        <v>1</v>
      </c>
      <c r="M31" s="125" t="s">
        <v>20</v>
      </c>
      <c r="N31" s="125" t="s">
        <v>35</v>
      </c>
    </row>
    <row r="32" spans="1:14" ht="15.75" x14ac:dyDescent="0.2">
      <c r="A32" s="22"/>
      <c r="B32" s="108" t="s">
        <v>171</v>
      </c>
      <c r="C32" s="3">
        <v>0.28100000000000003</v>
      </c>
      <c r="D32" s="5">
        <v>0.3</v>
      </c>
      <c r="E32" s="151" t="s">
        <v>189</v>
      </c>
      <c r="F32" s="152" t="s">
        <v>189</v>
      </c>
      <c r="G32" s="152" t="s">
        <v>189</v>
      </c>
      <c r="H32" s="205"/>
      <c r="I32" s="162" t="s">
        <v>189</v>
      </c>
      <c r="J32" s="163" t="s">
        <v>189</v>
      </c>
      <c r="K32" s="163" t="s">
        <v>189</v>
      </c>
      <c r="L32" s="152" t="s">
        <v>189</v>
      </c>
      <c r="M32" s="152" t="s">
        <v>189</v>
      </c>
      <c r="N32" s="152" t="s">
        <v>189</v>
      </c>
    </row>
    <row r="33" spans="1:14" ht="38.25" customHeight="1" x14ac:dyDescent="0.2">
      <c r="A33" s="22"/>
      <c r="B33" s="108" t="s">
        <v>140</v>
      </c>
      <c r="C33" s="5">
        <v>0.27360000000000001</v>
      </c>
      <c r="D33" s="5">
        <v>0.25</v>
      </c>
      <c r="E33" s="6" t="s">
        <v>4</v>
      </c>
      <c r="F33" s="7" t="s">
        <v>57</v>
      </c>
      <c r="G33" s="6" t="s">
        <v>223</v>
      </c>
      <c r="H33" s="205"/>
      <c r="I33" s="108" t="s">
        <v>233</v>
      </c>
      <c r="J33" s="5">
        <v>0.25459999999999999</v>
      </c>
      <c r="K33" s="5">
        <v>0.27</v>
      </c>
      <c r="L33" s="6" t="s">
        <v>4</v>
      </c>
      <c r="M33" s="7" t="s">
        <v>214</v>
      </c>
      <c r="N33" s="6" t="s">
        <v>223</v>
      </c>
    </row>
    <row r="34" spans="1:14" x14ac:dyDescent="0.2">
      <c r="A34" s="22"/>
      <c r="B34" s="108" t="s">
        <v>2</v>
      </c>
      <c r="C34" s="3">
        <v>0.23019999999999999</v>
      </c>
      <c r="D34" s="3">
        <v>0.23</v>
      </c>
      <c r="E34" s="1" t="s">
        <v>3</v>
      </c>
      <c r="F34" s="4" t="s">
        <v>215</v>
      </c>
      <c r="G34" s="1" t="s">
        <v>14</v>
      </c>
      <c r="H34" s="205"/>
      <c r="I34" s="108" t="s">
        <v>2</v>
      </c>
      <c r="J34" s="3">
        <v>0.34439999999999998</v>
      </c>
      <c r="K34" s="3">
        <v>0.38</v>
      </c>
      <c r="L34" s="1" t="s">
        <v>3</v>
      </c>
      <c r="M34" s="4" t="s">
        <v>78</v>
      </c>
      <c r="N34" s="1" t="s">
        <v>14</v>
      </c>
    </row>
    <row r="35" spans="1:14" ht="28.5" x14ac:dyDescent="0.2">
      <c r="A35" s="22"/>
      <c r="B35" s="109" t="s">
        <v>139</v>
      </c>
      <c r="C35" s="3">
        <v>0.2031</v>
      </c>
      <c r="D35" s="3">
        <v>0.21</v>
      </c>
      <c r="E35" s="1" t="s">
        <v>4</v>
      </c>
      <c r="F35" s="4" t="s">
        <v>178</v>
      </c>
      <c r="G35" s="1" t="s">
        <v>175</v>
      </c>
      <c r="H35" s="205"/>
      <c r="I35" s="108" t="s">
        <v>139</v>
      </c>
      <c r="J35" s="3">
        <v>0.32029999999999997</v>
      </c>
      <c r="K35" s="3">
        <v>0.35</v>
      </c>
      <c r="L35" s="1" t="s">
        <v>4</v>
      </c>
      <c r="M35" s="4" t="s">
        <v>119</v>
      </c>
      <c r="N35" s="1" t="s">
        <v>15</v>
      </c>
    </row>
    <row r="36" spans="1:14" ht="28.5" x14ac:dyDescent="0.2">
      <c r="A36" s="22"/>
      <c r="B36" s="108" t="s">
        <v>172</v>
      </c>
      <c r="C36" s="3">
        <v>5.4999999999999997E-3</v>
      </c>
      <c r="D36" s="3">
        <v>0.05</v>
      </c>
      <c r="E36" s="8" t="s">
        <v>3</v>
      </c>
      <c r="F36" s="9" t="s">
        <v>51</v>
      </c>
      <c r="G36" s="153" t="s">
        <v>189</v>
      </c>
      <c r="H36" s="205"/>
      <c r="I36" s="108" t="s">
        <v>172</v>
      </c>
      <c r="J36" s="3">
        <v>4.5999999999999999E-3</v>
      </c>
      <c r="K36" s="3">
        <v>0.05</v>
      </c>
      <c r="L36" s="8" t="s">
        <v>3</v>
      </c>
      <c r="M36" s="9" t="s">
        <v>51</v>
      </c>
      <c r="N36" s="153" t="s">
        <v>189</v>
      </c>
    </row>
    <row r="37" spans="1:14" x14ac:dyDescent="0.2">
      <c r="A37" s="22"/>
      <c r="B37" s="108" t="s">
        <v>10</v>
      </c>
      <c r="C37" s="3">
        <v>1.55E-2</v>
      </c>
      <c r="D37" s="3">
        <v>0.05</v>
      </c>
      <c r="E37" s="8" t="s">
        <v>3</v>
      </c>
      <c r="F37" s="9" t="s">
        <v>51</v>
      </c>
      <c r="G37" s="153" t="s">
        <v>189</v>
      </c>
      <c r="H37" s="205"/>
      <c r="I37" s="108" t="s">
        <v>10</v>
      </c>
      <c r="J37" s="3">
        <v>1.0699999999999999E-2</v>
      </c>
      <c r="K37" s="3">
        <v>0.05</v>
      </c>
      <c r="L37" s="8" t="s">
        <v>3</v>
      </c>
      <c r="M37" s="9" t="s">
        <v>51</v>
      </c>
      <c r="N37" s="153" t="s">
        <v>189</v>
      </c>
    </row>
    <row r="38" spans="1:14" x14ac:dyDescent="0.2">
      <c r="A38" s="22"/>
      <c r="B38" s="108" t="s">
        <v>12</v>
      </c>
      <c r="C38" s="3">
        <v>0.14069999999999999</v>
      </c>
      <c r="D38" s="3">
        <v>0.15</v>
      </c>
      <c r="E38" s="1" t="s">
        <v>3</v>
      </c>
      <c r="F38" s="9" t="s">
        <v>52</v>
      </c>
      <c r="G38" s="136" t="s">
        <v>189</v>
      </c>
      <c r="H38" s="205"/>
      <c r="I38" s="108" t="s">
        <v>12</v>
      </c>
      <c r="J38" s="3">
        <v>0.19409999999999999</v>
      </c>
      <c r="K38" s="3">
        <v>0.15</v>
      </c>
      <c r="L38" s="1" t="s">
        <v>3</v>
      </c>
      <c r="M38" s="9" t="s">
        <v>52</v>
      </c>
      <c r="N38" s="136" t="s">
        <v>189</v>
      </c>
    </row>
    <row r="39" spans="1:14" x14ac:dyDescent="0.2">
      <c r="A39" s="22"/>
      <c r="B39" s="108" t="s">
        <v>173</v>
      </c>
      <c r="C39" s="3">
        <v>4.3E-3</v>
      </c>
      <c r="D39" s="3">
        <v>0.05</v>
      </c>
      <c r="E39" s="1" t="s">
        <v>3</v>
      </c>
      <c r="F39" s="10" t="s">
        <v>51</v>
      </c>
      <c r="G39" s="136" t="s">
        <v>189</v>
      </c>
      <c r="H39" s="205"/>
      <c r="I39" s="108" t="s">
        <v>173</v>
      </c>
      <c r="J39" s="3">
        <v>3.8999999999999998E-3</v>
      </c>
      <c r="K39" s="3">
        <v>0.05</v>
      </c>
      <c r="L39" s="1" t="s">
        <v>3</v>
      </c>
      <c r="M39" s="10" t="s">
        <v>51</v>
      </c>
      <c r="N39" s="136" t="s">
        <v>189</v>
      </c>
    </row>
    <row r="40" spans="1:14" ht="15" x14ac:dyDescent="0.2">
      <c r="A40" s="22"/>
      <c r="B40" s="110" t="s">
        <v>5</v>
      </c>
      <c r="C40" s="29">
        <f>SUBTOTAL(109,C32:C39)</f>
        <v>1.1538999999999999</v>
      </c>
      <c r="D40" s="29">
        <f>SUBTOTAL(109,D32:D39)</f>
        <v>1.29</v>
      </c>
      <c r="E40" s="121" t="s">
        <v>189</v>
      </c>
      <c r="F40" s="42" t="s">
        <v>73</v>
      </c>
      <c r="G40" s="116" t="s">
        <v>189</v>
      </c>
      <c r="H40" s="205"/>
      <c r="I40" s="110" t="s">
        <v>5</v>
      </c>
      <c r="J40" s="29">
        <f>SUBTOTAL(109,J32:J39)</f>
        <v>1.1326000000000001</v>
      </c>
      <c r="K40" s="29">
        <f>SUBTOTAL(109,K32:K39)</f>
        <v>1.3</v>
      </c>
      <c r="L40" s="122" t="s">
        <v>189</v>
      </c>
      <c r="M40" s="122" t="s">
        <v>189</v>
      </c>
      <c r="N40" s="116" t="s">
        <v>189</v>
      </c>
    </row>
    <row r="41" spans="1:14" x14ac:dyDescent="0.2">
      <c r="A41" s="22"/>
      <c r="B41" s="108" t="s">
        <v>6</v>
      </c>
      <c r="C41" s="11">
        <v>0.14460000000000001</v>
      </c>
      <c r="D41" s="11">
        <v>0.2</v>
      </c>
      <c r="E41" s="1" t="s">
        <v>4</v>
      </c>
      <c r="F41" s="9" t="s">
        <v>64</v>
      </c>
      <c r="G41" s="1" t="s">
        <v>19</v>
      </c>
      <c r="H41" s="205"/>
      <c r="I41" s="108" t="s">
        <v>6</v>
      </c>
      <c r="J41" s="11">
        <v>0.1416</v>
      </c>
      <c r="K41" s="11">
        <v>0.16</v>
      </c>
      <c r="L41" s="1" t="s">
        <v>4</v>
      </c>
      <c r="M41" s="9" t="s">
        <v>135</v>
      </c>
      <c r="N41" s="1" t="s">
        <v>19</v>
      </c>
    </row>
    <row r="42" spans="1:14" ht="30" x14ac:dyDescent="0.2">
      <c r="A42" s="23"/>
      <c r="B42" s="110" t="s">
        <v>230</v>
      </c>
      <c r="C42" s="12">
        <v>2.2000000000000001E-3</v>
      </c>
      <c r="D42" s="206" t="s">
        <v>189</v>
      </c>
      <c r="E42" s="135" t="s">
        <v>189</v>
      </c>
      <c r="F42" s="135" t="s">
        <v>189</v>
      </c>
      <c r="G42" s="179" t="s">
        <v>189</v>
      </c>
      <c r="H42" s="205"/>
      <c r="I42" s="110" t="s">
        <v>230</v>
      </c>
      <c r="J42" s="12">
        <v>2.3999999999999998E-3</v>
      </c>
      <c r="K42" s="206" t="s">
        <v>189</v>
      </c>
      <c r="L42" s="135" t="s">
        <v>189</v>
      </c>
      <c r="M42" s="135" t="s">
        <v>189</v>
      </c>
      <c r="N42" s="179" t="s">
        <v>189</v>
      </c>
    </row>
    <row r="43" spans="1:14" ht="21" customHeight="1" x14ac:dyDescent="0.2">
      <c r="A43" s="73"/>
      <c r="B43" s="75"/>
      <c r="C43" s="76"/>
      <c r="D43" s="77"/>
      <c r="E43" s="76"/>
      <c r="F43" s="76"/>
      <c r="G43" s="181"/>
      <c r="H43" s="207"/>
      <c r="I43" s="79"/>
      <c r="J43" s="80"/>
      <c r="K43" s="81"/>
      <c r="L43" s="80"/>
      <c r="M43" s="80"/>
      <c r="N43" s="182"/>
    </row>
    <row r="44" spans="1:14" ht="51.75" customHeight="1" x14ac:dyDescent="0.25">
      <c r="A44" s="30" t="s">
        <v>67</v>
      </c>
      <c r="B44" s="38" t="s">
        <v>146</v>
      </c>
      <c r="C44" s="39"/>
      <c r="D44" s="40"/>
      <c r="E44" s="85"/>
      <c r="F44" s="39"/>
      <c r="G44" s="178"/>
      <c r="H44" s="208" t="s">
        <v>67</v>
      </c>
      <c r="I44" s="38" t="s">
        <v>147</v>
      </c>
      <c r="J44" s="39"/>
      <c r="K44" s="40"/>
      <c r="L44" s="41"/>
      <c r="M44" s="39"/>
      <c r="N44" s="178"/>
    </row>
    <row r="45" spans="1:14" ht="51.75" customHeight="1" x14ac:dyDescent="0.2">
      <c r="A45" s="31"/>
      <c r="B45" s="123" t="s">
        <v>0</v>
      </c>
      <c r="C45" s="124" t="s">
        <v>225</v>
      </c>
      <c r="D45" s="124" t="s">
        <v>200</v>
      </c>
      <c r="E45" s="125" t="s">
        <v>1</v>
      </c>
      <c r="F45" s="125" t="s">
        <v>20</v>
      </c>
      <c r="G45" s="125" t="s">
        <v>35</v>
      </c>
      <c r="H45" s="209"/>
      <c r="I45" s="123" t="s">
        <v>0</v>
      </c>
      <c r="J45" s="124" t="s">
        <v>225</v>
      </c>
      <c r="K45" s="124" t="s">
        <v>200</v>
      </c>
      <c r="L45" s="125" t="s">
        <v>1</v>
      </c>
      <c r="M45" s="125" t="s">
        <v>20</v>
      </c>
      <c r="N45" s="125" t="s">
        <v>35</v>
      </c>
    </row>
    <row r="46" spans="1:14" ht="15.75" x14ac:dyDescent="0.2">
      <c r="A46" s="31"/>
      <c r="B46" s="108" t="s">
        <v>171</v>
      </c>
      <c r="C46" s="3">
        <v>0.2757</v>
      </c>
      <c r="D46" s="5" t="s">
        <v>197</v>
      </c>
      <c r="E46" s="151" t="s">
        <v>189</v>
      </c>
      <c r="F46" s="152" t="s">
        <v>190</v>
      </c>
      <c r="G46" s="152" t="s">
        <v>198</v>
      </c>
      <c r="H46" s="209"/>
      <c r="I46" s="162" t="s">
        <v>189</v>
      </c>
      <c r="J46" s="163" t="s">
        <v>189</v>
      </c>
      <c r="K46" s="163" t="s">
        <v>189</v>
      </c>
      <c r="L46" s="152" t="s">
        <v>189</v>
      </c>
      <c r="M46" s="152" t="s">
        <v>189</v>
      </c>
      <c r="N46" s="152" t="s">
        <v>189</v>
      </c>
    </row>
    <row r="47" spans="1:14" ht="57" x14ac:dyDescent="0.2">
      <c r="A47" s="31"/>
      <c r="B47" s="108" t="s">
        <v>140</v>
      </c>
      <c r="C47" s="5">
        <v>0.72640000000000005</v>
      </c>
      <c r="D47" s="5">
        <v>0.7</v>
      </c>
      <c r="E47" s="6" t="s">
        <v>4</v>
      </c>
      <c r="F47" s="7" t="s">
        <v>87</v>
      </c>
      <c r="G47" s="6" t="s">
        <v>223</v>
      </c>
      <c r="H47" s="209"/>
      <c r="I47" s="108" t="s">
        <v>233</v>
      </c>
      <c r="J47" s="5">
        <v>0.97</v>
      </c>
      <c r="K47" s="5">
        <v>0.95</v>
      </c>
      <c r="L47" s="6" t="s">
        <v>4</v>
      </c>
      <c r="M47" s="7" t="s">
        <v>123</v>
      </c>
      <c r="N47" s="6" t="s">
        <v>223</v>
      </c>
    </row>
    <row r="48" spans="1:14" x14ac:dyDescent="0.2">
      <c r="A48" s="31"/>
      <c r="B48" s="108" t="s">
        <v>2</v>
      </c>
      <c r="C48" s="3">
        <v>0.189</v>
      </c>
      <c r="D48" s="3">
        <v>0.19</v>
      </c>
      <c r="E48" s="1" t="s">
        <v>3</v>
      </c>
      <c r="F48" s="4" t="s">
        <v>216</v>
      </c>
      <c r="G48" s="1" t="s">
        <v>14</v>
      </c>
      <c r="H48" s="209"/>
      <c r="I48" s="108" t="s">
        <v>2</v>
      </c>
      <c r="J48" s="3">
        <v>0.28410000000000002</v>
      </c>
      <c r="K48" s="3">
        <v>0.28000000000000003</v>
      </c>
      <c r="L48" s="1" t="s">
        <v>3</v>
      </c>
      <c r="M48" s="4" t="s">
        <v>217</v>
      </c>
      <c r="N48" s="1" t="s">
        <v>14</v>
      </c>
    </row>
    <row r="49" spans="1:14" ht="28.5" x14ac:dyDescent="0.2">
      <c r="A49" s="31"/>
      <c r="B49" s="109" t="s">
        <v>139</v>
      </c>
      <c r="C49" s="3">
        <v>2.5499999999999998E-2</v>
      </c>
      <c r="D49" s="3">
        <v>0.06</v>
      </c>
      <c r="E49" s="1" t="s">
        <v>4</v>
      </c>
      <c r="F49" s="4" t="s">
        <v>58</v>
      </c>
      <c r="G49" s="1" t="s">
        <v>15</v>
      </c>
      <c r="H49" s="209"/>
      <c r="I49" s="108" t="s">
        <v>139</v>
      </c>
      <c r="J49" s="3">
        <v>4.2099999999999999E-2</v>
      </c>
      <c r="K49" s="3">
        <v>0.06</v>
      </c>
      <c r="L49" s="1" t="s">
        <v>4</v>
      </c>
      <c r="M49" s="4" t="s">
        <v>58</v>
      </c>
      <c r="N49" s="1" t="s">
        <v>15</v>
      </c>
    </row>
    <row r="50" spans="1:14" ht="28.5" x14ac:dyDescent="0.2">
      <c r="A50" s="31"/>
      <c r="B50" s="108" t="s">
        <v>172</v>
      </c>
      <c r="C50" s="3">
        <v>2.8999999999999998E-3</v>
      </c>
      <c r="D50" s="3">
        <v>0.05</v>
      </c>
      <c r="E50" s="8" t="s">
        <v>3</v>
      </c>
      <c r="F50" s="9" t="s">
        <v>51</v>
      </c>
      <c r="G50" s="153" t="s">
        <v>189</v>
      </c>
      <c r="H50" s="209"/>
      <c r="I50" s="108" t="s">
        <v>172</v>
      </c>
      <c r="J50" s="3">
        <v>2E-3</v>
      </c>
      <c r="K50" s="3">
        <v>0.05</v>
      </c>
      <c r="L50" s="8" t="s">
        <v>3</v>
      </c>
      <c r="M50" s="9" t="s">
        <v>51</v>
      </c>
      <c r="N50" s="153" t="s">
        <v>189</v>
      </c>
    </row>
    <row r="51" spans="1:14" x14ac:dyDescent="0.2">
      <c r="A51" s="31"/>
      <c r="B51" s="108" t="s">
        <v>10</v>
      </c>
      <c r="C51" s="3">
        <v>5.9999999999999995E-4</v>
      </c>
      <c r="D51" s="3">
        <v>0.05</v>
      </c>
      <c r="E51" s="8" t="s">
        <v>3</v>
      </c>
      <c r="F51" s="9" t="s">
        <v>51</v>
      </c>
      <c r="G51" s="153" t="s">
        <v>189</v>
      </c>
      <c r="H51" s="209"/>
      <c r="I51" s="108" t="s">
        <v>10</v>
      </c>
      <c r="J51" s="3">
        <v>5.0000000000000001E-4</v>
      </c>
      <c r="K51" s="3">
        <v>0.05</v>
      </c>
      <c r="L51" s="8" t="s">
        <v>3</v>
      </c>
      <c r="M51" s="9" t="s">
        <v>51</v>
      </c>
      <c r="N51" s="153" t="s">
        <v>189</v>
      </c>
    </row>
    <row r="52" spans="1:14" x14ac:dyDescent="0.2">
      <c r="A52" s="31"/>
      <c r="B52" s="108" t="s">
        <v>12</v>
      </c>
      <c r="C52" s="3">
        <v>0.1608</v>
      </c>
      <c r="D52" s="3">
        <v>0.15</v>
      </c>
      <c r="E52" s="1" t="s">
        <v>3</v>
      </c>
      <c r="F52" s="9" t="s">
        <v>52</v>
      </c>
      <c r="G52" s="9" t="s">
        <v>18</v>
      </c>
      <c r="H52" s="209"/>
      <c r="I52" s="108" t="s">
        <v>12</v>
      </c>
      <c r="J52" s="3">
        <v>0.14480000000000001</v>
      </c>
      <c r="K52" s="3">
        <v>0.15</v>
      </c>
      <c r="L52" s="1" t="s">
        <v>3</v>
      </c>
      <c r="M52" s="9" t="s">
        <v>52</v>
      </c>
      <c r="N52" s="9" t="s">
        <v>18</v>
      </c>
    </row>
    <row r="53" spans="1:14" x14ac:dyDescent="0.2">
      <c r="A53" s="31"/>
      <c r="B53" s="108" t="s">
        <v>173</v>
      </c>
      <c r="C53" s="3">
        <v>0</v>
      </c>
      <c r="D53" s="3">
        <v>0.05</v>
      </c>
      <c r="E53" s="1" t="s">
        <v>3</v>
      </c>
      <c r="F53" s="10" t="s">
        <v>51</v>
      </c>
      <c r="G53" s="136" t="s">
        <v>189</v>
      </c>
      <c r="H53" s="209"/>
      <c r="I53" s="108" t="s">
        <v>173</v>
      </c>
      <c r="J53" s="3">
        <v>0</v>
      </c>
      <c r="K53" s="3">
        <v>0.05</v>
      </c>
      <c r="L53" s="1" t="s">
        <v>3</v>
      </c>
      <c r="M53" s="10" t="s">
        <v>51</v>
      </c>
      <c r="N53" s="136" t="s">
        <v>189</v>
      </c>
    </row>
    <row r="54" spans="1:14" ht="15" x14ac:dyDescent="0.2">
      <c r="A54" s="31"/>
      <c r="B54" s="110" t="s">
        <v>5</v>
      </c>
      <c r="C54" s="29">
        <f>SUBTOTAL(109,C46:C53)</f>
        <v>1.3809</v>
      </c>
      <c r="D54" s="103">
        <f>SUBTOTAL(109,D46:D53)</f>
        <v>1.25</v>
      </c>
      <c r="E54" s="121" t="s">
        <v>189</v>
      </c>
      <c r="F54" s="42" t="s">
        <v>73</v>
      </c>
      <c r="G54" s="116" t="s">
        <v>189</v>
      </c>
      <c r="H54" s="209"/>
      <c r="I54" s="110" t="s">
        <v>5</v>
      </c>
      <c r="J54" s="29">
        <f>SUBTOTAL(109,J46:J53)</f>
        <v>1.4435</v>
      </c>
      <c r="K54" s="103">
        <f>SUBTOTAL(109,K46:K53)</f>
        <v>1.59</v>
      </c>
      <c r="L54" s="122" t="s">
        <v>189</v>
      </c>
      <c r="M54" s="122" t="s">
        <v>189</v>
      </c>
      <c r="N54" s="116" t="s">
        <v>189</v>
      </c>
    </row>
    <row r="55" spans="1:14" x14ac:dyDescent="0.2">
      <c r="A55" s="31"/>
      <c r="B55" s="108" t="s">
        <v>6</v>
      </c>
      <c r="C55" s="11">
        <v>0.20200000000000001</v>
      </c>
      <c r="D55" s="11">
        <v>0.2</v>
      </c>
      <c r="E55" s="1" t="s">
        <v>4</v>
      </c>
      <c r="F55" s="9" t="s">
        <v>64</v>
      </c>
      <c r="G55" s="1" t="s">
        <v>19</v>
      </c>
      <c r="H55" s="209"/>
      <c r="I55" s="108" t="s">
        <v>6</v>
      </c>
      <c r="J55" s="11">
        <v>0.20330000000000001</v>
      </c>
      <c r="K55" s="11">
        <v>0.2</v>
      </c>
      <c r="L55" s="1" t="s">
        <v>4</v>
      </c>
      <c r="M55" s="9" t="s">
        <v>64</v>
      </c>
      <c r="N55" s="1" t="s">
        <v>19</v>
      </c>
    </row>
    <row r="56" spans="1:14" ht="30" x14ac:dyDescent="0.2">
      <c r="A56" s="31"/>
      <c r="B56" s="110" t="s">
        <v>230</v>
      </c>
      <c r="C56" s="12">
        <v>1.4E-3</v>
      </c>
      <c r="D56" s="206" t="s">
        <v>189</v>
      </c>
      <c r="E56" s="135" t="s">
        <v>189</v>
      </c>
      <c r="F56" s="135" t="s">
        <v>189</v>
      </c>
      <c r="G56" s="179" t="s">
        <v>189</v>
      </c>
      <c r="H56" s="209"/>
      <c r="I56" s="110" t="s">
        <v>230</v>
      </c>
      <c r="J56" s="12">
        <v>1.4E-3</v>
      </c>
      <c r="K56" s="206" t="s">
        <v>189</v>
      </c>
      <c r="L56" s="135" t="s">
        <v>189</v>
      </c>
      <c r="M56" s="135" t="s">
        <v>189</v>
      </c>
      <c r="N56" s="179" t="s">
        <v>189</v>
      </c>
    </row>
    <row r="57" spans="1:14" ht="21" customHeight="1" x14ac:dyDescent="0.2">
      <c r="A57" s="73"/>
      <c r="B57" s="75"/>
      <c r="C57" s="76"/>
      <c r="D57" s="77"/>
      <c r="E57" s="76"/>
      <c r="F57" s="76"/>
      <c r="G57" s="181"/>
      <c r="H57" s="207"/>
      <c r="I57" s="79"/>
      <c r="J57" s="80"/>
      <c r="K57" s="81"/>
      <c r="L57" s="80"/>
      <c r="M57" s="80"/>
      <c r="N57" s="182"/>
    </row>
    <row r="58" spans="1:14" ht="51.75" customHeight="1" x14ac:dyDescent="0.25">
      <c r="A58" s="30" t="s">
        <v>68</v>
      </c>
      <c r="B58" s="38" t="s">
        <v>148</v>
      </c>
      <c r="C58" s="39"/>
      <c r="D58" s="40"/>
      <c r="E58" s="85"/>
      <c r="F58" s="39"/>
      <c r="G58" s="178"/>
      <c r="H58" s="208" t="s">
        <v>68</v>
      </c>
      <c r="I58" s="38" t="s">
        <v>149</v>
      </c>
      <c r="J58" s="39"/>
      <c r="K58" s="40"/>
      <c r="L58" s="41"/>
      <c r="M58" s="39"/>
      <c r="N58" s="178"/>
    </row>
    <row r="59" spans="1:14" ht="51.75" customHeight="1" x14ac:dyDescent="0.2">
      <c r="A59" s="31"/>
      <c r="B59" s="123" t="s">
        <v>0</v>
      </c>
      <c r="C59" s="124" t="s">
        <v>225</v>
      </c>
      <c r="D59" s="124" t="s">
        <v>200</v>
      </c>
      <c r="E59" s="125" t="s">
        <v>22</v>
      </c>
      <c r="F59" s="125" t="s">
        <v>20</v>
      </c>
      <c r="G59" s="125" t="s">
        <v>35</v>
      </c>
      <c r="H59" s="209"/>
      <c r="I59" s="123" t="s">
        <v>0</v>
      </c>
      <c r="J59" s="124" t="s">
        <v>225</v>
      </c>
      <c r="K59" s="124" t="s">
        <v>200</v>
      </c>
      <c r="L59" s="125" t="s">
        <v>22</v>
      </c>
      <c r="M59" s="125" t="s">
        <v>20</v>
      </c>
      <c r="N59" s="125" t="s">
        <v>35</v>
      </c>
    </row>
    <row r="60" spans="1:14" ht="15.75" x14ac:dyDescent="0.2">
      <c r="A60" s="31"/>
      <c r="B60" s="2" t="s">
        <v>171</v>
      </c>
      <c r="C60" s="5">
        <v>0.27400000000000002</v>
      </c>
      <c r="D60" s="5">
        <v>0.3</v>
      </c>
      <c r="E60" s="151" t="s">
        <v>189</v>
      </c>
      <c r="F60" s="152" t="s">
        <v>189</v>
      </c>
      <c r="G60" s="152" t="s">
        <v>189</v>
      </c>
      <c r="H60" s="209"/>
      <c r="I60" s="164" t="s">
        <v>189</v>
      </c>
      <c r="J60" s="163" t="s">
        <v>189</v>
      </c>
      <c r="K60" s="163" t="s">
        <v>189</v>
      </c>
      <c r="L60" s="152" t="s">
        <v>189</v>
      </c>
      <c r="M60" s="152" t="s">
        <v>189</v>
      </c>
      <c r="N60" s="152" t="s">
        <v>189</v>
      </c>
    </row>
    <row r="61" spans="1:14" ht="57" x14ac:dyDescent="0.2">
      <c r="A61" s="31"/>
      <c r="B61" s="2" t="s">
        <v>140</v>
      </c>
      <c r="C61" s="5">
        <v>4.3700000000000003E-2</v>
      </c>
      <c r="D61" s="5">
        <v>0.06</v>
      </c>
      <c r="E61" s="6" t="s">
        <v>4</v>
      </c>
      <c r="F61" s="7" t="s">
        <v>58</v>
      </c>
      <c r="G61" s="6" t="s">
        <v>223</v>
      </c>
      <c r="H61" s="209"/>
      <c r="I61" s="2" t="s">
        <v>233</v>
      </c>
      <c r="J61" s="5">
        <v>2.87E-2</v>
      </c>
      <c r="K61" s="5">
        <v>0.06</v>
      </c>
      <c r="L61" s="6" t="s">
        <v>4</v>
      </c>
      <c r="M61" s="7" t="s">
        <v>58</v>
      </c>
      <c r="N61" s="6" t="s">
        <v>223</v>
      </c>
    </row>
    <row r="62" spans="1:14" x14ac:dyDescent="0.2">
      <c r="A62" s="31"/>
      <c r="B62" s="2" t="s">
        <v>2</v>
      </c>
      <c r="C62" s="3">
        <v>0.12970000000000001</v>
      </c>
      <c r="D62" s="3">
        <v>0.11</v>
      </c>
      <c r="E62" s="1" t="s">
        <v>3</v>
      </c>
      <c r="F62" s="4" t="s">
        <v>218</v>
      </c>
      <c r="G62" s="1" t="s">
        <v>14</v>
      </c>
      <c r="H62" s="209"/>
      <c r="I62" s="2" t="s">
        <v>2</v>
      </c>
      <c r="J62" s="3">
        <v>0.34100000000000003</v>
      </c>
      <c r="K62" s="3">
        <v>0.35</v>
      </c>
      <c r="L62" s="1" t="s">
        <v>3</v>
      </c>
      <c r="M62" s="4" t="s">
        <v>118</v>
      </c>
      <c r="N62" s="1" t="s">
        <v>14</v>
      </c>
    </row>
    <row r="63" spans="1:14" ht="28.5" x14ac:dyDescent="0.2">
      <c r="A63" s="31"/>
      <c r="B63" s="72" t="s">
        <v>139</v>
      </c>
      <c r="C63" s="3">
        <v>0.46379999999999999</v>
      </c>
      <c r="D63" s="3">
        <v>0.5</v>
      </c>
      <c r="E63" s="1" t="s">
        <v>4</v>
      </c>
      <c r="F63" s="4" t="s">
        <v>92</v>
      </c>
      <c r="G63" s="1" t="s">
        <v>15</v>
      </c>
      <c r="H63" s="209"/>
      <c r="I63" s="2" t="s">
        <v>139</v>
      </c>
      <c r="J63" s="3">
        <v>0.58160000000000001</v>
      </c>
      <c r="K63" s="3">
        <v>0.6</v>
      </c>
      <c r="L63" s="1" t="s">
        <v>4</v>
      </c>
      <c r="M63" s="4" t="s">
        <v>219</v>
      </c>
      <c r="N63" s="1" t="s">
        <v>15</v>
      </c>
    </row>
    <row r="64" spans="1:14" ht="28.5" x14ac:dyDescent="0.2">
      <c r="A64" s="31"/>
      <c r="B64" s="2" t="s">
        <v>172</v>
      </c>
      <c r="C64" s="3">
        <v>1.6000000000000001E-3</v>
      </c>
      <c r="D64" s="3">
        <v>0.05</v>
      </c>
      <c r="E64" s="8" t="s">
        <v>3</v>
      </c>
      <c r="F64" s="9" t="s">
        <v>51</v>
      </c>
      <c r="G64" s="153" t="s">
        <v>189</v>
      </c>
      <c r="H64" s="209"/>
      <c r="I64" s="2" t="s">
        <v>172</v>
      </c>
      <c r="J64" s="3">
        <v>2.0000000000000001E-4</v>
      </c>
      <c r="K64" s="3">
        <v>0.05</v>
      </c>
      <c r="L64" s="8" t="s">
        <v>3</v>
      </c>
      <c r="M64" s="9" t="s">
        <v>51</v>
      </c>
      <c r="N64" s="153" t="s">
        <v>189</v>
      </c>
    </row>
    <row r="65" spans="1:14" x14ac:dyDescent="0.2">
      <c r="A65" s="31"/>
      <c r="B65" s="2" t="s">
        <v>10</v>
      </c>
      <c r="C65" s="3">
        <v>1.5699999999999999E-2</v>
      </c>
      <c r="D65" s="3">
        <v>0.05</v>
      </c>
      <c r="E65" s="8" t="s">
        <v>3</v>
      </c>
      <c r="F65" s="9" t="s">
        <v>51</v>
      </c>
      <c r="G65" s="153" t="s">
        <v>189</v>
      </c>
      <c r="H65" s="209"/>
      <c r="I65" s="2" t="s">
        <v>10</v>
      </c>
      <c r="J65" s="3">
        <v>0</v>
      </c>
      <c r="K65" s="3">
        <v>0.05</v>
      </c>
      <c r="L65" s="8" t="s">
        <v>3</v>
      </c>
      <c r="M65" s="9" t="s">
        <v>51</v>
      </c>
      <c r="N65" s="153" t="s">
        <v>189</v>
      </c>
    </row>
    <row r="66" spans="1:14" x14ac:dyDescent="0.2">
      <c r="A66" s="31"/>
      <c r="B66" s="2" t="s">
        <v>12</v>
      </c>
      <c r="C66" s="3">
        <v>7.1400000000000005E-2</v>
      </c>
      <c r="D66" s="3">
        <v>0.05</v>
      </c>
      <c r="E66" s="1" t="s">
        <v>3</v>
      </c>
      <c r="F66" s="9" t="s">
        <v>51</v>
      </c>
      <c r="G66" s="9" t="s">
        <v>18</v>
      </c>
      <c r="H66" s="209"/>
      <c r="I66" s="2" t="s">
        <v>12</v>
      </c>
      <c r="J66" s="3">
        <v>5.0099999999999999E-2</v>
      </c>
      <c r="K66" s="3">
        <v>0.05</v>
      </c>
      <c r="L66" s="1" t="s">
        <v>3</v>
      </c>
      <c r="M66" s="9" t="s">
        <v>51</v>
      </c>
      <c r="N66" s="9" t="s">
        <v>18</v>
      </c>
    </row>
    <row r="67" spans="1:14" x14ac:dyDescent="0.2">
      <c r="A67" s="31"/>
      <c r="B67" s="2" t="s">
        <v>173</v>
      </c>
      <c r="C67" s="3">
        <v>0</v>
      </c>
      <c r="D67" s="3">
        <v>0.05</v>
      </c>
      <c r="E67" s="1" t="s">
        <v>3</v>
      </c>
      <c r="F67" s="10" t="s">
        <v>51</v>
      </c>
      <c r="G67" s="136" t="s">
        <v>189</v>
      </c>
      <c r="H67" s="209"/>
      <c r="I67" s="2" t="s">
        <v>173</v>
      </c>
      <c r="J67" s="3">
        <v>0</v>
      </c>
      <c r="K67" s="3">
        <v>0.05</v>
      </c>
      <c r="L67" s="1" t="s">
        <v>3</v>
      </c>
      <c r="M67" s="10" t="s">
        <v>51</v>
      </c>
      <c r="N67" s="136" t="s">
        <v>189</v>
      </c>
    </row>
    <row r="68" spans="1:14" ht="15" x14ac:dyDescent="0.2">
      <c r="A68" s="31"/>
      <c r="B68" s="28" t="s">
        <v>5</v>
      </c>
      <c r="C68" s="103">
        <f>SUBTOTAL(109,C60:C67)</f>
        <v>0.99990000000000012</v>
      </c>
      <c r="D68" s="103">
        <f>SUBTOTAL(109,D60:D67)</f>
        <v>1.1700000000000002</v>
      </c>
      <c r="E68" s="121" t="s">
        <v>189</v>
      </c>
      <c r="F68" s="122" t="s">
        <v>189</v>
      </c>
      <c r="G68" s="116" t="s">
        <v>189</v>
      </c>
      <c r="H68" s="209"/>
      <c r="I68" s="28" t="s">
        <v>5</v>
      </c>
      <c r="J68" s="29">
        <f>SUBTOTAL(109,J60:J67)</f>
        <v>1.0016</v>
      </c>
      <c r="K68" s="29">
        <f>SUBTOTAL(109,K60:K67)</f>
        <v>1.2100000000000002</v>
      </c>
      <c r="L68" s="122" t="s">
        <v>189</v>
      </c>
      <c r="M68" s="122" t="s">
        <v>189</v>
      </c>
      <c r="N68" s="116" t="s">
        <v>189</v>
      </c>
    </row>
    <row r="69" spans="1:14" x14ac:dyDescent="0.2">
      <c r="A69" s="31"/>
      <c r="B69" s="2" t="s">
        <v>6</v>
      </c>
      <c r="C69" s="11">
        <v>5.5100000000000003E-2</v>
      </c>
      <c r="D69" s="11">
        <v>0.06</v>
      </c>
      <c r="E69" s="1" t="s">
        <v>4</v>
      </c>
      <c r="F69" s="9" t="s">
        <v>58</v>
      </c>
      <c r="G69" s="1" t="s">
        <v>19</v>
      </c>
      <c r="H69" s="209"/>
      <c r="I69" s="2" t="s">
        <v>6</v>
      </c>
      <c r="J69" s="11">
        <v>5.28E-2</v>
      </c>
      <c r="K69" s="11">
        <v>0.06</v>
      </c>
      <c r="L69" s="1" t="s">
        <v>4</v>
      </c>
      <c r="M69" s="9" t="s">
        <v>58</v>
      </c>
      <c r="N69" s="1" t="s">
        <v>19</v>
      </c>
    </row>
    <row r="70" spans="1:14" ht="30" x14ac:dyDescent="0.2">
      <c r="A70" s="31"/>
      <c r="B70" s="110" t="s">
        <v>230</v>
      </c>
      <c r="C70" s="12">
        <v>1.4E-3</v>
      </c>
      <c r="D70" s="206" t="s">
        <v>189</v>
      </c>
      <c r="E70" s="135" t="s">
        <v>189</v>
      </c>
      <c r="F70" s="135" t="s">
        <v>189</v>
      </c>
      <c r="G70" s="179" t="s">
        <v>189</v>
      </c>
      <c r="H70" s="209"/>
      <c r="I70" s="110" t="s">
        <v>230</v>
      </c>
      <c r="J70" s="12">
        <v>2E-3</v>
      </c>
      <c r="K70" s="206" t="s">
        <v>189</v>
      </c>
      <c r="L70" s="135" t="s">
        <v>189</v>
      </c>
      <c r="M70" s="135" t="s">
        <v>189</v>
      </c>
      <c r="N70" s="179" t="s">
        <v>189</v>
      </c>
    </row>
    <row r="71" spans="1:14" ht="21" customHeight="1" x14ac:dyDescent="0.2">
      <c r="A71" s="73"/>
      <c r="B71" s="75"/>
      <c r="C71" s="76"/>
      <c r="D71" s="77"/>
      <c r="E71" s="76"/>
      <c r="F71" s="76"/>
      <c r="G71" s="181"/>
      <c r="H71" s="207"/>
      <c r="I71" s="79"/>
      <c r="J71" s="80"/>
      <c r="K71" s="81"/>
      <c r="L71" s="80"/>
      <c r="M71" s="80"/>
      <c r="N71" s="182"/>
    </row>
    <row r="72" spans="1:14" ht="51.75" customHeight="1" x14ac:dyDescent="0.25">
      <c r="A72" s="30" t="s">
        <v>70</v>
      </c>
      <c r="B72" s="38" t="s">
        <v>150</v>
      </c>
      <c r="C72" s="39"/>
      <c r="D72" s="40"/>
      <c r="E72" s="85"/>
      <c r="F72" s="39"/>
      <c r="G72" s="178"/>
      <c r="H72" s="208" t="s">
        <v>70</v>
      </c>
      <c r="I72" s="38" t="s">
        <v>151</v>
      </c>
      <c r="J72" s="39"/>
      <c r="K72" s="40"/>
      <c r="L72" s="41"/>
      <c r="M72" s="39"/>
      <c r="N72" s="178"/>
    </row>
    <row r="73" spans="1:14" ht="51.75" customHeight="1" x14ac:dyDescent="0.2">
      <c r="A73" s="31"/>
      <c r="B73" s="123" t="s">
        <v>0</v>
      </c>
      <c r="C73" s="124" t="s">
        <v>225</v>
      </c>
      <c r="D73" s="124" t="s">
        <v>200</v>
      </c>
      <c r="E73" s="125" t="s">
        <v>22</v>
      </c>
      <c r="F73" s="125" t="s">
        <v>20</v>
      </c>
      <c r="G73" s="125" t="s">
        <v>35</v>
      </c>
      <c r="H73" s="209"/>
      <c r="I73" s="123" t="s">
        <v>0</v>
      </c>
      <c r="J73" s="124" t="s">
        <v>225</v>
      </c>
      <c r="K73" s="124" t="s">
        <v>200</v>
      </c>
      <c r="L73" s="125" t="s">
        <v>22</v>
      </c>
      <c r="M73" s="125" t="s">
        <v>20</v>
      </c>
      <c r="N73" s="125" t="s">
        <v>35</v>
      </c>
    </row>
    <row r="74" spans="1:14" ht="15.75" x14ac:dyDescent="0.2">
      <c r="A74" s="31"/>
      <c r="B74" s="108" t="s">
        <v>171</v>
      </c>
      <c r="C74" s="3">
        <v>0.2329</v>
      </c>
      <c r="D74" s="5">
        <v>0.3</v>
      </c>
      <c r="E74" s="151" t="s">
        <v>189</v>
      </c>
      <c r="F74" s="152" t="s">
        <v>189</v>
      </c>
      <c r="G74" s="152" t="s">
        <v>189</v>
      </c>
      <c r="H74" s="209"/>
      <c r="I74" s="162" t="s">
        <v>189</v>
      </c>
      <c r="J74" s="163" t="s">
        <v>189</v>
      </c>
      <c r="K74" s="163" t="s">
        <v>189</v>
      </c>
      <c r="L74" s="152" t="s">
        <v>189</v>
      </c>
      <c r="M74" s="152" t="s">
        <v>189</v>
      </c>
      <c r="N74" s="152" t="s">
        <v>189</v>
      </c>
    </row>
    <row r="75" spans="1:14" ht="28.5" x14ac:dyDescent="0.2">
      <c r="A75" s="31"/>
      <c r="B75" s="108" t="s">
        <v>140</v>
      </c>
      <c r="C75" s="117">
        <v>0</v>
      </c>
      <c r="D75" s="5">
        <v>0</v>
      </c>
      <c r="E75" s="6" t="s">
        <v>4</v>
      </c>
      <c r="F75" s="7" t="s">
        <v>73</v>
      </c>
      <c r="G75" s="155" t="s">
        <v>189</v>
      </c>
      <c r="H75" s="209"/>
      <c r="I75" s="108" t="s">
        <v>233</v>
      </c>
      <c r="J75" s="165">
        <v>0</v>
      </c>
      <c r="K75" s="165" t="s">
        <v>189</v>
      </c>
      <c r="L75" s="6" t="s">
        <v>4</v>
      </c>
      <c r="M75" s="7" t="s">
        <v>73</v>
      </c>
      <c r="N75" s="155" t="s">
        <v>189</v>
      </c>
    </row>
    <row r="76" spans="1:14" x14ac:dyDescent="0.2">
      <c r="A76" s="31"/>
      <c r="B76" s="108" t="s">
        <v>2</v>
      </c>
      <c r="C76" s="3">
        <v>0.68799999999999994</v>
      </c>
      <c r="D76" s="3">
        <v>0.65</v>
      </c>
      <c r="E76" s="1" t="s">
        <v>3</v>
      </c>
      <c r="F76" s="4" t="s">
        <v>195</v>
      </c>
      <c r="G76" s="1" t="s">
        <v>14</v>
      </c>
      <c r="H76" s="209"/>
      <c r="I76" s="108" t="s">
        <v>2</v>
      </c>
      <c r="J76" s="3">
        <v>0.96209999999999996</v>
      </c>
      <c r="K76" s="3">
        <v>0.98</v>
      </c>
      <c r="L76" s="1" t="s">
        <v>3</v>
      </c>
      <c r="M76" s="4" t="s">
        <v>181</v>
      </c>
      <c r="N76" s="1" t="s">
        <v>14</v>
      </c>
    </row>
    <row r="77" spans="1:14" ht="42.75" x14ac:dyDescent="0.2">
      <c r="A77" s="31"/>
      <c r="B77" s="109" t="s">
        <v>187</v>
      </c>
      <c r="C77" s="3">
        <v>2.0000000000000001E-4</v>
      </c>
      <c r="D77" s="3">
        <v>0</v>
      </c>
      <c r="E77" s="1" t="s">
        <v>4</v>
      </c>
      <c r="F77" s="4" t="s">
        <v>73</v>
      </c>
      <c r="G77" s="153" t="s">
        <v>189</v>
      </c>
      <c r="H77" s="209"/>
      <c r="I77" s="108" t="s">
        <v>188</v>
      </c>
      <c r="J77" s="117" t="s">
        <v>189</v>
      </c>
      <c r="K77" s="117" t="s">
        <v>189</v>
      </c>
      <c r="L77" s="1" t="s">
        <v>4</v>
      </c>
      <c r="M77" s="4" t="s">
        <v>73</v>
      </c>
      <c r="N77" s="153" t="s">
        <v>189</v>
      </c>
    </row>
    <row r="78" spans="1:14" ht="28.5" x14ac:dyDescent="0.2">
      <c r="A78" s="31"/>
      <c r="B78" s="108" t="s">
        <v>172</v>
      </c>
      <c r="C78" s="117">
        <v>0</v>
      </c>
      <c r="D78" s="3">
        <v>0</v>
      </c>
      <c r="E78" s="8" t="s">
        <v>3</v>
      </c>
      <c r="F78" s="9" t="s">
        <v>73</v>
      </c>
      <c r="G78" s="153" t="s">
        <v>189</v>
      </c>
      <c r="H78" s="209"/>
      <c r="I78" s="108" t="s">
        <v>172</v>
      </c>
      <c r="J78" s="117" t="s">
        <v>189</v>
      </c>
      <c r="K78" s="117" t="s">
        <v>189</v>
      </c>
      <c r="L78" s="8" t="s">
        <v>3</v>
      </c>
      <c r="M78" s="9" t="s">
        <v>73</v>
      </c>
      <c r="N78" s="153" t="s">
        <v>189</v>
      </c>
    </row>
    <row r="79" spans="1:14" x14ac:dyDescent="0.2">
      <c r="A79" s="31"/>
      <c r="B79" s="108" t="s">
        <v>10</v>
      </c>
      <c r="C79" s="117">
        <v>0</v>
      </c>
      <c r="D79" s="3">
        <v>0</v>
      </c>
      <c r="E79" s="8" t="s">
        <v>3</v>
      </c>
      <c r="F79" s="9" t="s">
        <v>73</v>
      </c>
      <c r="G79" s="153" t="s">
        <v>189</v>
      </c>
      <c r="H79" s="209"/>
      <c r="I79" s="108" t="s">
        <v>10</v>
      </c>
      <c r="J79" s="117" t="s">
        <v>189</v>
      </c>
      <c r="K79" s="117" t="s">
        <v>189</v>
      </c>
      <c r="L79" s="8" t="s">
        <v>3</v>
      </c>
      <c r="M79" s="9" t="s">
        <v>73</v>
      </c>
      <c r="N79" s="153" t="s">
        <v>189</v>
      </c>
    </row>
    <row r="80" spans="1:14" x14ac:dyDescent="0.2">
      <c r="A80" s="31"/>
      <c r="B80" s="108" t="s">
        <v>12</v>
      </c>
      <c r="C80" s="3">
        <v>7.4899999999999994E-2</v>
      </c>
      <c r="D80" s="3">
        <v>0.05</v>
      </c>
      <c r="E80" s="1" t="s">
        <v>3</v>
      </c>
      <c r="F80" s="9" t="s">
        <v>51</v>
      </c>
      <c r="G80" s="9" t="s">
        <v>18</v>
      </c>
      <c r="H80" s="209"/>
      <c r="I80" s="108" t="s">
        <v>12</v>
      </c>
      <c r="J80" s="3">
        <v>3.6600000000000001E-2</v>
      </c>
      <c r="K80" s="3">
        <v>0.05</v>
      </c>
      <c r="L80" s="1" t="s">
        <v>3</v>
      </c>
      <c r="M80" s="9" t="s">
        <v>51</v>
      </c>
      <c r="N80" s="9" t="s">
        <v>18</v>
      </c>
    </row>
    <row r="81" spans="1:14" x14ac:dyDescent="0.2">
      <c r="A81" s="31"/>
      <c r="B81" s="108" t="s">
        <v>173</v>
      </c>
      <c r="C81" s="117">
        <v>0</v>
      </c>
      <c r="D81" s="3">
        <v>0</v>
      </c>
      <c r="E81" s="1" t="s">
        <v>3</v>
      </c>
      <c r="F81" s="10" t="s">
        <v>73</v>
      </c>
      <c r="G81" s="136" t="s">
        <v>189</v>
      </c>
      <c r="H81" s="209"/>
      <c r="I81" s="108" t="s">
        <v>173</v>
      </c>
      <c r="J81" s="117" t="s">
        <v>189</v>
      </c>
      <c r="K81" s="117" t="s">
        <v>189</v>
      </c>
      <c r="L81" s="1" t="s">
        <v>3</v>
      </c>
      <c r="M81" s="10" t="s">
        <v>73</v>
      </c>
      <c r="N81" s="136" t="s">
        <v>189</v>
      </c>
    </row>
    <row r="82" spans="1:14" ht="15" x14ac:dyDescent="0.2">
      <c r="A82" s="31"/>
      <c r="B82" s="110" t="s">
        <v>5</v>
      </c>
      <c r="C82" s="103">
        <f>SUBTOTAL(109,C74:C81)</f>
        <v>0.99599999999999989</v>
      </c>
      <c r="D82" s="103">
        <f>SUBTOTAL(109,D74:D81)</f>
        <v>1</v>
      </c>
      <c r="E82" s="121" t="s">
        <v>189</v>
      </c>
      <c r="F82" s="122" t="s">
        <v>189</v>
      </c>
      <c r="G82" s="116" t="s">
        <v>189</v>
      </c>
      <c r="H82" s="209"/>
      <c r="I82" s="110" t="s">
        <v>5</v>
      </c>
      <c r="J82" s="103">
        <f>SUBTOTAL(109,J74:J81)</f>
        <v>0.99869999999999992</v>
      </c>
      <c r="K82" s="103">
        <f>SUBTOTAL(109,K74:K81)</f>
        <v>1.03</v>
      </c>
      <c r="L82" s="122" t="s">
        <v>189</v>
      </c>
      <c r="M82" s="122" t="s">
        <v>189</v>
      </c>
      <c r="N82" s="116" t="s">
        <v>189</v>
      </c>
    </row>
    <row r="83" spans="1:14" x14ac:dyDescent="0.2">
      <c r="A83" s="31"/>
      <c r="B83" s="108" t="s">
        <v>6</v>
      </c>
      <c r="C83" s="149">
        <v>0</v>
      </c>
      <c r="D83" s="11">
        <v>0</v>
      </c>
      <c r="E83" s="1" t="s">
        <v>4</v>
      </c>
      <c r="F83" s="9" t="s">
        <v>73</v>
      </c>
      <c r="G83" s="153" t="s">
        <v>189</v>
      </c>
      <c r="H83" s="209"/>
      <c r="I83" s="108" t="s">
        <v>6</v>
      </c>
      <c r="J83" s="149" t="s">
        <v>189</v>
      </c>
      <c r="K83" s="149" t="s">
        <v>189</v>
      </c>
      <c r="L83" s="1" t="s">
        <v>4</v>
      </c>
      <c r="M83" s="9" t="s">
        <v>73</v>
      </c>
      <c r="N83" s="153" t="s">
        <v>189</v>
      </c>
    </row>
    <row r="84" spans="1:14" ht="30" x14ac:dyDescent="0.2">
      <c r="A84" s="31"/>
      <c r="B84" s="110" t="s">
        <v>230</v>
      </c>
      <c r="C84" s="12">
        <v>2E-3</v>
      </c>
      <c r="D84" s="206" t="s">
        <v>189</v>
      </c>
      <c r="E84" s="135" t="s">
        <v>189</v>
      </c>
      <c r="F84" s="135" t="s">
        <v>189</v>
      </c>
      <c r="G84" s="179" t="s">
        <v>189</v>
      </c>
      <c r="H84" s="209"/>
      <c r="I84" s="110" t="s">
        <v>230</v>
      </c>
      <c r="J84" s="12">
        <v>2E-3</v>
      </c>
      <c r="K84" s="206" t="s">
        <v>189</v>
      </c>
      <c r="L84" s="135" t="s">
        <v>189</v>
      </c>
      <c r="M84" s="135" t="s">
        <v>189</v>
      </c>
      <c r="N84" s="179" t="s">
        <v>189</v>
      </c>
    </row>
    <row r="85" spans="1:14" ht="21" customHeight="1" x14ac:dyDescent="0.2">
      <c r="A85" s="73"/>
      <c r="B85" s="75"/>
      <c r="C85" s="76"/>
      <c r="D85" s="77"/>
      <c r="E85" s="76"/>
      <c r="F85" s="76"/>
      <c r="G85" s="181"/>
      <c r="H85" s="207"/>
      <c r="I85" s="79"/>
      <c r="J85" s="80"/>
      <c r="K85" s="81"/>
      <c r="L85" s="80"/>
      <c r="M85" s="80"/>
      <c r="N85" s="182"/>
    </row>
    <row r="86" spans="1:14" ht="64.5" customHeight="1" x14ac:dyDescent="0.25">
      <c r="A86" s="44" t="s">
        <v>93</v>
      </c>
      <c r="B86" s="38" t="s">
        <v>152</v>
      </c>
      <c r="C86" s="39"/>
      <c r="D86" s="40"/>
      <c r="E86" s="85"/>
      <c r="F86" s="85"/>
      <c r="G86" s="178"/>
      <c r="H86" s="210" t="s">
        <v>93</v>
      </c>
      <c r="I86" s="38" t="s">
        <v>153</v>
      </c>
      <c r="J86" s="39"/>
      <c r="K86" s="40"/>
      <c r="L86" s="41"/>
      <c r="M86" s="41"/>
      <c r="N86" s="178"/>
    </row>
    <row r="87" spans="1:14" ht="51.75" customHeight="1" x14ac:dyDescent="0.2">
      <c r="A87" s="45"/>
      <c r="B87" s="123" t="s">
        <v>0</v>
      </c>
      <c r="C87" s="124" t="s">
        <v>225</v>
      </c>
      <c r="D87" s="124" t="s">
        <v>200</v>
      </c>
      <c r="E87" s="125" t="s">
        <v>22</v>
      </c>
      <c r="F87" s="125" t="s">
        <v>20</v>
      </c>
      <c r="G87" s="125" t="s">
        <v>35</v>
      </c>
      <c r="H87" s="211"/>
      <c r="I87" s="123" t="s">
        <v>0</v>
      </c>
      <c r="J87" s="124" t="s">
        <v>225</v>
      </c>
      <c r="K87" s="124" t="s">
        <v>200</v>
      </c>
      <c r="L87" s="125" t="s">
        <v>22</v>
      </c>
      <c r="M87" s="125" t="s">
        <v>20</v>
      </c>
      <c r="N87" s="125" t="s">
        <v>35</v>
      </c>
    </row>
    <row r="88" spans="1:14" ht="15.75" x14ac:dyDescent="0.2">
      <c r="A88" s="45"/>
      <c r="B88" s="108" t="s">
        <v>171</v>
      </c>
      <c r="C88" s="5">
        <v>0.28060000000000002</v>
      </c>
      <c r="D88" s="5">
        <v>0.3</v>
      </c>
      <c r="E88" s="151" t="s">
        <v>189</v>
      </c>
      <c r="F88" s="152" t="s">
        <v>189</v>
      </c>
      <c r="G88" s="152" t="s">
        <v>189</v>
      </c>
      <c r="H88" s="211"/>
      <c r="I88" s="162" t="s">
        <v>189</v>
      </c>
      <c r="J88" s="163" t="s">
        <v>189</v>
      </c>
      <c r="K88" s="163" t="s">
        <v>189</v>
      </c>
      <c r="L88" s="152" t="s">
        <v>189</v>
      </c>
      <c r="M88" s="152" t="s">
        <v>189</v>
      </c>
      <c r="N88" s="152" t="s">
        <v>189</v>
      </c>
    </row>
    <row r="89" spans="1:14" ht="57" x14ac:dyDescent="0.2">
      <c r="A89" s="45"/>
      <c r="B89" s="108" t="s">
        <v>140</v>
      </c>
      <c r="C89" s="5">
        <v>0.42370000000000002</v>
      </c>
      <c r="D89" s="5">
        <v>0.42</v>
      </c>
      <c r="E89" s="6" t="s">
        <v>23</v>
      </c>
      <c r="F89" s="7" t="s">
        <v>220</v>
      </c>
      <c r="G89" s="6" t="s">
        <v>223</v>
      </c>
      <c r="H89" s="211"/>
      <c r="I89" s="108" t="s">
        <v>233</v>
      </c>
      <c r="J89" s="5">
        <v>0.4521</v>
      </c>
      <c r="K89" s="5">
        <v>0.46</v>
      </c>
      <c r="L89" s="6" t="s">
        <v>23</v>
      </c>
      <c r="M89" s="7" t="s">
        <v>48</v>
      </c>
      <c r="N89" s="6" t="s">
        <v>223</v>
      </c>
    </row>
    <row r="90" spans="1:14" x14ac:dyDescent="0.2">
      <c r="A90" s="45"/>
      <c r="B90" s="108" t="s">
        <v>2</v>
      </c>
      <c r="C90" s="3">
        <v>0.11990000000000001</v>
      </c>
      <c r="D90" s="3">
        <v>0.12</v>
      </c>
      <c r="E90" s="1" t="s">
        <v>24</v>
      </c>
      <c r="F90" s="4" t="s">
        <v>221</v>
      </c>
      <c r="G90" s="1" t="s">
        <v>14</v>
      </c>
      <c r="H90" s="211"/>
      <c r="I90" s="108" t="s">
        <v>2</v>
      </c>
      <c r="J90" s="3">
        <v>0.29709999999999998</v>
      </c>
      <c r="K90" s="3">
        <v>0.3</v>
      </c>
      <c r="L90" s="1" t="s">
        <v>24</v>
      </c>
      <c r="M90" s="4" t="s">
        <v>60</v>
      </c>
      <c r="N90" s="1" t="s">
        <v>14</v>
      </c>
    </row>
    <row r="91" spans="1:14" ht="28.5" x14ac:dyDescent="0.2">
      <c r="A91" s="47"/>
      <c r="B91" s="109" t="s">
        <v>139</v>
      </c>
      <c r="C91" s="3">
        <v>0.23080000000000001</v>
      </c>
      <c r="D91" s="3">
        <v>0.23</v>
      </c>
      <c r="E91" s="1" t="s">
        <v>23</v>
      </c>
      <c r="F91" s="4" t="s">
        <v>47</v>
      </c>
      <c r="G91" s="1" t="s">
        <v>15</v>
      </c>
      <c r="H91" s="211"/>
      <c r="I91" s="108" t="s">
        <v>139</v>
      </c>
      <c r="J91" s="3">
        <v>0.2959</v>
      </c>
      <c r="K91" s="3">
        <v>0.31</v>
      </c>
      <c r="L91" s="1" t="s">
        <v>23</v>
      </c>
      <c r="M91" s="4" t="s">
        <v>182</v>
      </c>
      <c r="N91" s="1" t="s">
        <v>15</v>
      </c>
    </row>
    <row r="92" spans="1:14" x14ac:dyDescent="0.2">
      <c r="A92" s="47"/>
      <c r="B92" s="108" t="s">
        <v>12</v>
      </c>
      <c r="C92" s="3">
        <v>0.16589999999999999</v>
      </c>
      <c r="D92" s="3">
        <v>0.15</v>
      </c>
      <c r="E92" s="1" t="s">
        <v>24</v>
      </c>
      <c r="F92" s="9" t="s">
        <v>52</v>
      </c>
      <c r="G92" s="9" t="s">
        <v>18</v>
      </c>
      <c r="H92" s="211"/>
      <c r="I92" s="108" t="s">
        <v>12</v>
      </c>
      <c r="J92" s="3">
        <v>8.8400000000000006E-2</v>
      </c>
      <c r="K92" s="3">
        <v>0.05</v>
      </c>
      <c r="L92" s="1" t="s">
        <v>24</v>
      </c>
      <c r="M92" s="9" t="s">
        <v>51</v>
      </c>
      <c r="N92" s="9" t="s">
        <v>18</v>
      </c>
    </row>
    <row r="93" spans="1:14" ht="15" x14ac:dyDescent="0.2">
      <c r="A93" s="47"/>
      <c r="B93" s="110" t="s">
        <v>5</v>
      </c>
      <c r="C93" s="29">
        <f>SUBTOTAL(109,C88:C92)</f>
        <v>1.2209000000000001</v>
      </c>
      <c r="D93" s="103">
        <f>SUBTOTAL(109,D88:D92)</f>
        <v>1.22</v>
      </c>
      <c r="E93" s="121" t="s">
        <v>189</v>
      </c>
      <c r="F93" s="122" t="s">
        <v>189</v>
      </c>
      <c r="G93" s="116" t="s">
        <v>189</v>
      </c>
      <c r="H93" s="211"/>
      <c r="I93" s="110" t="s">
        <v>5</v>
      </c>
      <c r="J93" s="29">
        <f>SUBTOTAL(109,J88:J92)</f>
        <v>1.1335</v>
      </c>
      <c r="K93" s="29">
        <f>SUBTOTAL(109,K88:K92)</f>
        <v>1.1200000000000001</v>
      </c>
      <c r="L93" s="122" t="s">
        <v>189</v>
      </c>
      <c r="M93" s="42" t="s">
        <v>177</v>
      </c>
      <c r="N93" s="116" t="s">
        <v>189</v>
      </c>
    </row>
    <row r="94" spans="1:14" x14ac:dyDescent="0.2">
      <c r="A94" s="47"/>
      <c r="B94" s="108" t="s">
        <v>6</v>
      </c>
      <c r="C94" s="11">
        <v>0.16209999999999999</v>
      </c>
      <c r="D94" s="11">
        <v>0.18</v>
      </c>
      <c r="E94" s="1" t="s">
        <v>23</v>
      </c>
      <c r="F94" s="9" t="s">
        <v>207</v>
      </c>
      <c r="G94" s="1" t="s">
        <v>19</v>
      </c>
      <c r="H94" s="211"/>
      <c r="I94" s="108" t="s">
        <v>6</v>
      </c>
      <c r="J94" s="11">
        <v>0.1678</v>
      </c>
      <c r="K94" s="11">
        <v>0.18</v>
      </c>
      <c r="L94" s="1" t="s">
        <v>23</v>
      </c>
      <c r="M94" s="9" t="s">
        <v>207</v>
      </c>
      <c r="N94" s="1" t="s">
        <v>19</v>
      </c>
    </row>
    <row r="95" spans="1:14" ht="30" x14ac:dyDescent="0.2">
      <c r="A95" s="47"/>
      <c r="B95" s="110" t="s">
        <v>230</v>
      </c>
      <c r="C95" s="12">
        <v>1.5E-3</v>
      </c>
      <c r="D95" s="142" t="s">
        <v>189</v>
      </c>
      <c r="E95" s="143" t="s">
        <v>189</v>
      </c>
      <c r="F95" s="144" t="s">
        <v>189</v>
      </c>
      <c r="G95" s="179" t="s">
        <v>189</v>
      </c>
      <c r="H95" s="211"/>
      <c r="I95" s="110" t="s">
        <v>230</v>
      </c>
      <c r="J95" s="12">
        <v>1.5E-3</v>
      </c>
      <c r="K95" s="142" t="s">
        <v>189</v>
      </c>
      <c r="L95" s="144" t="s">
        <v>189</v>
      </c>
      <c r="M95" s="144" t="s">
        <v>189</v>
      </c>
      <c r="N95" s="179" t="s">
        <v>189</v>
      </c>
    </row>
    <row r="96" spans="1:14" ht="21" customHeight="1" x14ac:dyDescent="0.2">
      <c r="A96" s="73"/>
      <c r="B96" s="75"/>
      <c r="C96" s="76"/>
      <c r="D96" s="77"/>
      <c r="E96" s="76"/>
      <c r="F96" s="76"/>
      <c r="G96" s="181"/>
      <c r="H96" s="207"/>
      <c r="I96" s="79"/>
      <c r="J96" s="80"/>
      <c r="K96" s="81"/>
      <c r="L96" s="80"/>
      <c r="M96" s="80"/>
      <c r="N96" s="182"/>
    </row>
    <row r="97" spans="1:14" ht="64.5" customHeight="1" x14ac:dyDescent="0.25">
      <c r="A97" s="44" t="s">
        <v>83</v>
      </c>
      <c r="B97" s="38" t="s">
        <v>154</v>
      </c>
      <c r="C97" s="39"/>
      <c r="D97" s="40"/>
      <c r="E97" s="39"/>
      <c r="F97" s="39"/>
      <c r="G97" s="178"/>
      <c r="H97" s="210" t="s">
        <v>83</v>
      </c>
      <c r="I97" s="38" t="s">
        <v>155</v>
      </c>
      <c r="J97" s="39"/>
      <c r="K97" s="40"/>
      <c r="L97" s="41" t="s">
        <v>186</v>
      </c>
      <c r="M97" s="39"/>
      <c r="N97" s="178"/>
    </row>
    <row r="98" spans="1:14" ht="51.75" customHeight="1" x14ac:dyDescent="0.2">
      <c r="A98" s="45"/>
      <c r="B98" s="123" t="s">
        <v>0</v>
      </c>
      <c r="C98" s="124" t="s">
        <v>225</v>
      </c>
      <c r="D98" s="124" t="s">
        <v>200</v>
      </c>
      <c r="E98" s="125" t="s">
        <v>22</v>
      </c>
      <c r="F98" s="125" t="s">
        <v>20</v>
      </c>
      <c r="G98" s="125" t="s">
        <v>35</v>
      </c>
      <c r="H98" s="211"/>
      <c r="I98" s="123" t="s">
        <v>0</v>
      </c>
      <c r="J98" s="124" t="s">
        <v>225</v>
      </c>
      <c r="K98" s="124" t="s">
        <v>200</v>
      </c>
      <c r="L98" s="125" t="s">
        <v>22</v>
      </c>
      <c r="M98" s="125" t="s">
        <v>20</v>
      </c>
      <c r="N98" s="125" t="s">
        <v>35</v>
      </c>
    </row>
    <row r="99" spans="1:14" ht="15.75" x14ac:dyDescent="0.2">
      <c r="A99" s="45"/>
      <c r="B99" s="2" t="s">
        <v>171</v>
      </c>
      <c r="C99" s="5">
        <v>0.2757</v>
      </c>
      <c r="D99" s="5">
        <v>0.3</v>
      </c>
      <c r="E99" s="151" t="s">
        <v>189</v>
      </c>
      <c r="F99" s="152" t="s">
        <v>189</v>
      </c>
      <c r="G99" s="152" t="s">
        <v>189</v>
      </c>
      <c r="H99" s="211"/>
      <c r="I99" s="164" t="s">
        <v>189</v>
      </c>
      <c r="J99" s="163" t="s">
        <v>189</v>
      </c>
      <c r="K99" s="163" t="s">
        <v>189</v>
      </c>
      <c r="L99" s="152" t="s">
        <v>189</v>
      </c>
      <c r="M99" s="152" t="s">
        <v>189</v>
      </c>
      <c r="N99" s="152" t="s">
        <v>189</v>
      </c>
    </row>
    <row r="100" spans="1:14" ht="57" x14ac:dyDescent="0.2">
      <c r="A100" s="45"/>
      <c r="B100" s="2" t="s">
        <v>140</v>
      </c>
      <c r="C100" s="5">
        <v>0.70889999999999997</v>
      </c>
      <c r="D100" s="5">
        <v>0.7</v>
      </c>
      <c r="E100" s="6" t="s">
        <v>23</v>
      </c>
      <c r="F100" s="7" t="s">
        <v>194</v>
      </c>
      <c r="G100" s="6" t="s">
        <v>223</v>
      </c>
      <c r="H100" s="211"/>
      <c r="I100" s="2" t="s">
        <v>233</v>
      </c>
      <c r="J100" s="5">
        <v>0.96550000000000002</v>
      </c>
      <c r="K100" s="5">
        <v>0.94</v>
      </c>
      <c r="L100" s="6" t="s">
        <v>23</v>
      </c>
      <c r="M100" s="7" t="s">
        <v>99</v>
      </c>
      <c r="N100" s="6" t="s">
        <v>223</v>
      </c>
    </row>
    <row r="101" spans="1:14" x14ac:dyDescent="0.2">
      <c r="A101" s="46"/>
      <c r="B101" s="2" t="s">
        <v>2</v>
      </c>
      <c r="C101" s="3">
        <v>0.17580000000000001</v>
      </c>
      <c r="D101" s="3">
        <v>0.17</v>
      </c>
      <c r="E101" s="1" t="s">
        <v>24</v>
      </c>
      <c r="F101" s="4" t="s">
        <v>180</v>
      </c>
      <c r="G101" s="1" t="s">
        <v>14</v>
      </c>
      <c r="H101" s="211"/>
      <c r="I101" s="2" t="s">
        <v>2</v>
      </c>
      <c r="J101" s="3">
        <v>0.32119999999999999</v>
      </c>
      <c r="K101" s="3">
        <v>0.32</v>
      </c>
      <c r="L101" s="1" t="s">
        <v>24</v>
      </c>
      <c r="M101" s="4" t="s">
        <v>222</v>
      </c>
      <c r="N101" s="1" t="s">
        <v>14</v>
      </c>
    </row>
    <row r="102" spans="1:14" ht="28.5" x14ac:dyDescent="0.2">
      <c r="A102" s="47"/>
      <c r="B102" s="72" t="s">
        <v>139</v>
      </c>
      <c r="C102" s="3">
        <v>2.6700000000000002E-2</v>
      </c>
      <c r="D102" s="3">
        <v>0.06</v>
      </c>
      <c r="E102" s="1" t="s">
        <v>23</v>
      </c>
      <c r="F102" s="4" t="s">
        <v>58</v>
      </c>
      <c r="G102" s="1" t="s">
        <v>15</v>
      </c>
      <c r="H102" s="211"/>
      <c r="I102" s="2" t="s">
        <v>139</v>
      </c>
      <c r="J102" s="3">
        <v>5.6000000000000001E-2</v>
      </c>
      <c r="K102" s="3">
        <v>0.06</v>
      </c>
      <c r="L102" s="1" t="s">
        <v>23</v>
      </c>
      <c r="M102" s="4" t="s">
        <v>58</v>
      </c>
      <c r="N102" s="1" t="s">
        <v>15</v>
      </c>
    </row>
    <row r="103" spans="1:14" x14ac:dyDescent="0.2">
      <c r="A103" s="47"/>
      <c r="B103" s="2" t="s">
        <v>12</v>
      </c>
      <c r="C103" s="3">
        <v>0.18049999999999999</v>
      </c>
      <c r="D103" s="3">
        <v>0.15</v>
      </c>
      <c r="E103" s="1" t="s">
        <v>24</v>
      </c>
      <c r="F103" s="9" t="s">
        <v>52</v>
      </c>
      <c r="G103" s="9" t="s">
        <v>18</v>
      </c>
      <c r="H103" s="211"/>
      <c r="I103" s="2" t="s">
        <v>12</v>
      </c>
      <c r="J103" s="3">
        <v>0.19209999999999999</v>
      </c>
      <c r="K103" s="3">
        <v>0.15</v>
      </c>
      <c r="L103" s="1" t="s">
        <v>24</v>
      </c>
      <c r="M103" s="9" t="s">
        <v>52</v>
      </c>
      <c r="N103" s="9" t="s">
        <v>18</v>
      </c>
    </row>
    <row r="104" spans="1:14" ht="15" x14ac:dyDescent="0.2">
      <c r="A104" s="47"/>
      <c r="B104" s="28" t="s">
        <v>5</v>
      </c>
      <c r="C104" s="29">
        <f>SUBTOTAL(109,C99:C103)</f>
        <v>1.3675999999999999</v>
      </c>
      <c r="D104" s="29">
        <f>SUBTOTAL(109,D99:D103)</f>
        <v>1.38</v>
      </c>
      <c r="E104" s="121" t="s">
        <v>189</v>
      </c>
      <c r="F104" s="42" t="s">
        <v>177</v>
      </c>
      <c r="G104" s="116" t="s">
        <v>189</v>
      </c>
      <c r="H104" s="211"/>
      <c r="I104" s="28" t="s">
        <v>5</v>
      </c>
      <c r="J104" s="29">
        <f>SUBTOTAL(109,J99:J103)</f>
        <v>1.5347999999999999</v>
      </c>
      <c r="K104" s="103">
        <f>SUBTOTAL(109,K99:K103)</f>
        <v>1.47</v>
      </c>
      <c r="L104" s="122" t="s">
        <v>189</v>
      </c>
      <c r="M104" s="122" t="s">
        <v>189</v>
      </c>
      <c r="N104" s="116" t="s">
        <v>189</v>
      </c>
    </row>
    <row r="105" spans="1:14" x14ac:dyDescent="0.2">
      <c r="A105" s="47"/>
      <c r="B105" s="2" t="s">
        <v>6</v>
      </c>
      <c r="C105" s="11">
        <v>0.18990000000000001</v>
      </c>
      <c r="D105" s="11">
        <v>0.18</v>
      </c>
      <c r="E105" s="1" t="s">
        <v>23</v>
      </c>
      <c r="F105" s="9" t="s">
        <v>207</v>
      </c>
      <c r="G105" s="1" t="s">
        <v>19</v>
      </c>
      <c r="H105" s="211"/>
      <c r="I105" s="2" t="s">
        <v>6</v>
      </c>
      <c r="J105" s="11">
        <v>0.20599999999999999</v>
      </c>
      <c r="K105" s="11">
        <v>0.18</v>
      </c>
      <c r="L105" s="1" t="s">
        <v>23</v>
      </c>
      <c r="M105" s="9" t="s">
        <v>207</v>
      </c>
      <c r="N105" s="1" t="s">
        <v>19</v>
      </c>
    </row>
    <row r="106" spans="1:14" ht="30" x14ac:dyDescent="0.2">
      <c r="A106" s="47"/>
      <c r="B106" s="110" t="s">
        <v>230</v>
      </c>
      <c r="C106" s="12">
        <v>1.5E-3</v>
      </c>
      <c r="D106" s="142" t="s">
        <v>189</v>
      </c>
      <c r="E106" s="143" t="s">
        <v>189</v>
      </c>
      <c r="F106" s="144" t="s">
        <v>189</v>
      </c>
      <c r="G106" s="179" t="s">
        <v>189</v>
      </c>
      <c r="H106" s="211"/>
      <c r="I106" s="110" t="s">
        <v>230</v>
      </c>
      <c r="J106" s="12">
        <v>1.5E-3</v>
      </c>
      <c r="K106" s="142" t="s">
        <v>189</v>
      </c>
      <c r="L106" s="144" t="s">
        <v>189</v>
      </c>
      <c r="M106" s="144" t="s">
        <v>189</v>
      </c>
      <c r="N106" s="179" t="s">
        <v>189</v>
      </c>
    </row>
    <row r="107" spans="1:14" ht="21" customHeight="1" x14ac:dyDescent="0.2">
      <c r="A107" s="73"/>
      <c r="B107" s="75"/>
      <c r="C107" s="76"/>
      <c r="D107" s="77"/>
      <c r="E107" s="76"/>
      <c r="F107" s="76"/>
      <c r="G107" s="181"/>
      <c r="H107" s="207"/>
      <c r="I107" s="79"/>
      <c r="J107" s="80"/>
      <c r="K107" s="81"/>
      <c r="L107" s="80"/>
      <c r="M107" s="80"/>
      <c r="N107" s="182"/>
    </row>
    <row r="108" spans="1:14" ht="64.5" customHeight="1" x14ac:dyDescent="0.25">
      <c r="A108" s="44" t="s">
        <v>84</v>
      </c>
      <c r="B108" s="38" t="s">
        <v>156</v>
      </c>
      <c r="C108" s="39"/>
      <c r="D108" s="40"/>
      <c r="E108" s="85"/>
      <c r="F108" s="39"/>
      <c r="G108" s="178"/>
      <c r="H108" s="210" t="s">
        <v>84</v>
      </c>
      <c r="I108" s="38" t="s">
        <v>157</v>
      </c>
      <c r="J108" s="39"/>
      <c r="K108" s="40"/>
      <c r="L108" s="41"/>
      <c r="M108" s="39"/>
      <c r="N108" s="178"/>
    </row>
    <row r="109" spans="1:14" ht="51.75" customHeight="1" x14ac:dyDescent="0.2">
      <c r="A109" s="45"/>
      <c r="B109" s="123" t="s">
        <v>0</v>
      </c>
      <c r="C109" s="124" t="s">
        <v>225</v>
      </c>
      <c r="D109" s="124" t="s">
        <v>200</v>
      </c>
      <c r="E109" s="125" t="s">
        <v>22</v>
      </c>
      <c r="F109" s="125" t="s">
        <v>20</v>
      </c>
      <c r="G109" s="125" t="s">
        <v>35</v>
      </c>
      <c r="H109" s="211"/>
      <c r="I109" s="123" t="s">
        <v>0</v>
      </c>
      <c r="J109" s="124" t="s">
        <v>225</v>
      </c>
      <c r="K109" s="124" t="s">
        <v>200</v>
      </c>
      <c r="L109" s="125" t="s">
        <v>22</v>
      </c>
      <c r="M109" s="125" t="s">
        <v>20</v>
      </c>
      <c r="N109" s="125" t="s">
        <v>35</v>
      </c>
    </row>
    <row r="110" spans="1:14" ht="15.75" x14ac:dyDescent="0.2">
      <c r="A110" s="45"/>
      <c r="B110" s="2" t="s">
        <v>171</v>
      </c>
      <c r="C110" s="5">
        <v>0.28270000000000001</v>
      </c>
      <c r="D110" s="5">
        <v>0.3</v>
      </c>
      <c r="E110" s="151" t="s">
        <v>189</v>
      </c>
      <c r="F110" s="152" t="s">
        <v>189</v>
      </c>
      <c r="G110" s="152" t="s">
        <v>189</v>
      </c>
      <c r="H110" s="211"/>
      <c r="I110" s="164" t="s">
        <v>189</v>
      </c>
      <c r="J110" s="163" t="s">
        <v>189</v>
      </c>
      <c r="K110" s="163" t="s">
        <v>189</v>
      </c>
      <c r="L110" s="152" t="s">
        <v>189</v>
      </c>
      <c r="M110" s="152" t="s">
        <v>189</v>
      </c>
      <c r="N110" s="152" t="s">
        <v>189</v>
      </c>
    </row>
    <row r="111" spans="1:14" ht="57" x14ac:dyDescent="0.2">
      <c r="A111" s="45"/>
      <c r="B111" s="2" t="s">
        <v>140</v>
      </c>
      <c r="C111" s="5">
        <v>3.2599999999999997E-2</v>
      </c>
      <c r="D111" s="5">
        <v>0.06</v>
      </c>
      <c r="E111" s="6" t="s">
        <v>23</v>
      </c>
      <c r="F111" s="7" t="s">
        <v>58</v>
      </c>
      <c r="G111" s="6" t="s">
        <v>223</v>
      </c>
      <c r="H111" s="211"/>
      <c r="I111" s="2" t="s">
        <v>233</v>
      </c>
      <c r="J111" s="5">
        <v>2.5999999999999999E-2</v>
      </c>
      <c r="K111" s="5">
        <v>0.06</v>
      </c>
      <c r="L111" s="6" t="s">
        <v>23</v>
      </c>
      <c r="M111" s="7" t="s">
        <v>58</v>
      </c>
      <c r="N111" s="6" t="s">
        <v>223</v>
      </c>
    </row>
    <row r="112" spans="1:14" x14ac:dyDescent="0.2">
      <c r="A112" s="46"/>
      <c r="B112" s="2" t="s">
        <v>2</v>
      </c>
      <c r="C112" s="3">
        <v>0.152</v>
      </c>
      <c r="D112" s="3">
        <v>0.15</v>
      </c>
      <c r="E112" s="1" t="s">
        <v>24</v>
      </c>
      <c r="F112" s="4" t="s">
        <v>52</v>
      </c>
      <c r="G112" s="1" t="s">
        <v>14</v>
      </c>
      <c r="H112" s="211"/>
      <c r="I112" s="2" t="s">
        <v>2</v>
      </c>
      <c r="J112" s="3">
        <v>0.25390000000000001</v>
      </c>
      <c r="K112" s="3">
        <v>0.25</v>
      </c>
      <c r="L112" s="1" t="s">
        <v>24</v>
      </c>
      <c r="M112" s="4" t="s">
        <v>54</v>
      </c>
      <c r="N112" s="1" t="s">
        <v>14</v>
      </c>
    </row>
    <row r="113" spans="1:14" ht="28.5" x14ac:dyDescent="0.2">
      <c r="A113" s="47"/>
      <c r="B113" s="72" t="s">
        <v>139</v>
      </c>
      <c r="C113" s="3">
        <v>0.47239999999999999</v>
      </c>
      <c r="D113" s="3">
        <v>0.5</v>
      </c>
      <c r="E113" s="1" t="s">
        <v>23</v>
      </c>
      <c r="F113" s="4" t="s">
        <v>92</v>
      </c>
      <c r="G113" s="1" t="s">
        <v>15</v>
      </c>
      <c r="H113" s="211"/>
      <c r="I113" s="2" t="s">
        <v>139</v>
      </c>
      <c r="J113" s="3">
        <v>0.66200000000000003</v>
      </c>
      <c r="K113" s="3">
        <v>0.7</v>
      </c>
      <c r="L113" s="1" t="s">
        <v>23</v>
      </c>
      <c r="M113" s="4" t="s">
        <v>87</v>
      </c>
      <c r="N113" s="1" t="s">
        <v>15</v>
      </c>
    </row>
    <row r="114" spans="1:14" x14ac:dyDescent="0.2">
      <c r="A114" s="47"/>
      <c r="B114" s="2" t="s">
        <v>12</v>
      </c>
      <c r="C114" s="3">
        <v>6.3299999999999995E-2</v>
      </c>
      <c r="D114" s="3">
        <v>0.1</v>
      </c>
      <c r="E114" s="1" t="s">
        <v>24</v>
      </c>
      <c r="F114" s="9" t="s">
        <v>49</v>
      </c>
      <c r="G114" s="9" t="s">
        <v>18</v>
      </c>
      <c r="H114" s="211"/>
      <c r="I114" s="2" t="s">
        <v>12</v>
      </c>
      <c r="J114" s="3">
        <v>5.8099999999999999E-2</v>
      </c>
      <c r="K114" s="3">
        <v>0.05</v>
      </c>
      <c r="L114" s="1" t="s">
        <v>24</v>
      </c>
      <c r="M114" s="9" t="s">
        <v>51</v>
      </c>
      <c r="N114" s="9" t="s">
        <v>18</v>
      </c>
    </row>
    <row r="115" spans="1:14" ht="15" x14ac:dyDescent="0.2">
      <c r="A115" s="47"/>
      <c r="B115" s="28" t="s">
        <v>5</v>
      </c>
      <c r="C115" s="29">
        <f>SUBTOTAL(109,C110:C114)</f>
        <v>1.0029999999999999</v>
      </c>
      <c r="D115" s="29">
        <f>SUBTOTAL(109,D110:D114)</f>
        <v>1.1100000000000001</v>
      </c>
      <c r="E115" s="121" t="s">
        <v>189</v>
      </c>
      <c r="F115" s="122" t="s">
        <v>189</v>
      </c>
      <c r="G115" s="116" t="s">
        <v>189</v>
      </c>
      <c r="H115" s="211"/>
      <c r="I115" s="28" t="s">
        <v>5</v>
      </c>
      <c r="J115" s="29">
        <f>SUBTOTAL(109,J110:J114)</f>
        <v>1</v>
      </c>
      <c r="K115" s="29">
        <f>SUBTOTAL(109,K110:K114)</f>
        <v>1.06</v>
      </c>
      <c r="L115" s="122" t="s">
        <v>189</v>
      </c>
      <c r="M115" s="122" t="s">
        <v>189</v>
      </c>
      <c r="N115" s="116" t="s">
        <v>189</v>
      </c>
    </row>
    <row r="116" spans="1:14" x14ac:dyDescent="0.2">
      <c r="A116" s="47"/>
      <c r="B116" s="2" t="s">
        <v>6</v>
      </c>
      <c r="C116" s="11">
        <v>3.3700000000000001E-2</v>
      </c>
      <c r="D116" s="11">
        <v>0.06</v>
      </c>
      <c r="E116" s="1" t="s">
        <v>23</v>
      </c>
      <c r="F116" s="9" t="s">
        <v>58</v>
      </c>
      <c r="G116" s="1" t="s">
        <v>19</v>
      </c>
      <c r="H116" s="211"/>
      <c r="I116" s="2" t="s">
        <v>6</v>
      </c>
      <c r="J116" s="11">
        <v>3.73E-2</v>
      </c>
      <c r="K116" s="11">
        <v>0.08</v>
      </c>
      <c r="L116" s="1" t="s">
        <v>23</v>
      </c>
      <c r="M116" s="9" t="s">
        <v>59</v>
      </c>
      <c r="N116" s="1" t="s">
        <v>19</v>
      </c>
    </row>
    <row r="117" spans="1:14" ht="30" x14ac:dyDescent="0.2">
      <c r="A117" s="47"/>
      <c r="B117" s="110" t="s">
        <v>230</v>
      </c>
      <c r="C117" s="12">
        <v>1.5E-3</v>
      </c>
      <c r="D117" s="142" t="s">
        <v>189</v>
      </c>
      <c r="E117" s="143" t="s">
        <v>189</v>
      </c>
      <c r="F117" s="144" t="s">
        <v>189</v>
      </c>
      <c r="G117" s="179" t="s">
        <v>189</v>
      </c>
      <c r="H117" s="211"/>
      <c r="I117" s="110" t="s">
        <v>230</v>
      </c>
      <c r="J117" s="12">
        <v>1.5E-3</v>
      </c>
      <c r="K117" s="142" t="s">
        <v>189</v>
      </c>
      <c r="L117" s="144" t="s">
        <v>189</v>
      </c>
      <c r="M117" s="144" t="s">
        <v>189</v>
      </c>
      <c r="N117" s="179" t="s">
        <v>189</v>
      </c>
    </row>
    <row r="118" spans="1:14" ht="21" customHeight="1" x14ac:dyDescent="0.2">
      <c r="A118" s="73"/>
      <c r="B118" s="75"/>
      <c r="C118" s="76"/>
      <c r="D118" s="77"/>
      <c r="E118" s="76"/>
      <c r="F118" s="76"/>
      <c r="G118" s="181"/>
      <c r="H118" s="207"/>
      <c r="I118" s="79"/>
      <c r="J118" s="80"/>
      <c r="K118" s="81"/>
      <c r="L118" s="80"/>
      <c r="M118" s="80"/>
      <c r="N118" s="182"/>
    </row>
    <row r="119" spans="1:14" ht="51.75" customHeight="1" x14ac:dyDescent="0.25">
      <c r="A119" s="48" t="s">
        <v>94</v>
      </c>
      <c r="B119" s="38" t="s">
        <v>158</v>
      </c>
      <c r="C119" s="39"/>
      <c r="D119" s="40"/>
      <c r="E119" s="85"/>
      <c r="F119" s="39"/>
      <c r="G119" s="178"/>
      <c r="H119" s="212" t="s">
        <v>94</v>
      </c>
      <c r="I119" s="38" t="s">
        <v>159</v>
      </c>
      <c r="J119" s="39"/>
      <c r="K119" s="40"/>
      <c r="L119" s="41"/>
      <c r="M119" s="39"/>
      <c r="N119" s="178"/>
    </row>
    <row r="120" spans="1:14" ht="51.75" customHeight="1" x14ac:dyDescent="0.2">
      <c r="A120" s="49"/>
      <c r="B120" s="123" t="s">
        <v>0</v>
      </c>
      <c r="C120" s="124" t="s">
        <v>225</v>
      </c>
      <c r="D120" s="124" t="s">
        <v>200</v>
      </c>
      <c r="E120" s="125" t="s">
        <v>22</v>
      </c>
      <c r="F120" s="125" t="s">
        <v>20</v>
      </c>
      <c r="G120" s="125" t="s">
        <v>35</v>
      </c>
      <c r="H120" s="213"/>
      <c r="I120" s="123" t="s">
        <v>0</v>
      </c>
      <c r="J120" s="124" t="s">
        <v>225</v>
      </c>
      <c r="K120" s="124" t="s">
        <v>200</v>
      </c>
      <c r="L120" s="125" t="s">
        <v>22</v>
      </c>
      <c r="M120" s="125" t="s">
        <v>20</v>
      </c>
      <c r="N120" s="125" t="s">
        <v>35</v>
      </c>
    </row>
    <row r="121" spans="1:14" ht="15.75" x14ac:dyDescent="0.2">
      <c r="A121" s="49"/>
      <c r="B121" s="108" t="s">
        <v>171</v>
      </c>
      <c r="C121" s="5" t="s">
        <v>239</v>
      </c>
      <c r="D121" s="5" t="s">
        <v>197</v>
      </c>
      <c r="E121" s="151" t="s">
        <v>189</v>
      </c>
      <c r="F121" s="152" t="s">
        <v>190</v>
      </c>
      <c r="G121" s="152" t="s">
        <v>198</v>
      </c>
      <c r="H121" s="213"/>
      <c r="I121" s="162" t="s">
        <v>189</v>
      </c>
      <c r="J121" s="163" t="s">
        <v>189</v>
      </c>
      <c r="K121" s="163" t="s">
        <v>189</v>
      </c>
      <c r="L121" s="152" t="s">
        <v>189</v>
      </c>
      <c r="M121" s="152" t="s">
        <v>189</v>
      </c>
      <c r="N121" s="152" t="s">
        <v>189</v>
      </c>
    </row>
    <row r="122" spans="1:14" ht="28.5" x14ac:dyDescent="0.2">
      <c r="A122" s="49"/>
      <c r="B122" s="108" t="s">
        <v>140</v>
      </c>
      <c r="C122" s="5">
        <v>0.35039999999999999</v>
      </c>
      <c r="D122" s="5">
        <v>0.35</v>
      </c>
      <c r="E122" s="6" t="s">
        <v>23</v>
      </c>
      <c r="F122" s="7" t="s">
        <v>119</v>
      </c>
      <c r="G122" s="54" t="s">
        <v>27</v>
      </c>
      <c r="H122" s="213"/>
      <c r="I122" s="108" t="s">
        <v>233</v>
      </c>
      <c r="J122" s="5">
        <v>0.48180000000000001</v>
      </c>
      <c r="K122" s="5">
        <v>0.46</v>
      </c>
      <c r="L122" s="6" t="s">
        <v>23</v>
      </c>
      <c r="M122" s="7" t="s">
        <v>48</v>
      </c>
      <c r="N122" s="54" t="s">
        <v>27</v>
      </c>
    </row>
    <row r="123" spans="1:14" x14ac:dyDescent="0.2">
      <c r="A123" s="49"/>
      <c r="B123" s="108" t="s">
        <v>2</v>
      </c>
      <c r="C123" s="3">
        <v>0.1638</v>
      </c>
      <c r="D123" s="3">
        <v>0.2</v>
      </c>
      <c r="E123" s="1" t="s">
        <v>24</v>
      </c>
      <c r="F123" s="4" t="s">
        <v>133</v>
      </c>
      <c r="G123" s="9" t="s">
        <v>28</v>
      </c>
      <c r="H123" s="214"/>
      <c r="I123" s="108" t="s">
        <v>2</v>
      </c>
      <c r="J123" s="3">
        <v>0.23130000000000001</v>
      </c>
      <c r="K123" s="3">
        <v>0.2</v>
      </c>
      <c r="L123" s="1" t="s">
        <v>24</v>
      </c>
      <c r="M123" s="4" t="s">
        <v>133</v>
      </c>
      <c r="N123" s="9" t="s">
        <v>28</v>
      </c>
    </row>
    <row r="124" spans="1:14" ht="28.5" x14ac:dyDescent="0.2">
      <c r="A124" s="49"/>
      <c r="B124" s="109" t="s">
        <v>139</v>
      </c>
      <c r="C124" s="3">
        <v>0.223</v>
      </c>
      <c r="D124" s="3">
        <v>0.2</v>
      </c>
      <c r="E124" s="1" t="s">
        <v>23</v>
      </c>
      <c r="F124" s="4" t="s">
        <v>64</v>
      </c>
      <c r="G124" s="9" t="s">
        <v>183</v>
      </c>
      <c r="H124" s="213"/>
      <c r="I124" s="108" t="s">
        <v>139</v>
      </c>
      <c r="J124" s="3">
        <v>0.29930000000000001</v>
      </c>
      <c r="K124" s="3">
        <v>0.33</v>
      </c>
      <c r="L124" s="1" t="s">
        <v>23</v>
      </c>
      <c r="M124" s="4" t="s">
        <v>79</v>
      </c>
      <c r="N124" s="9" t="s">
        <v>183</v>
      </c>
    </row>
    <row r="125" spans="1:14" x14ac:dyDescent="0.2">
      <c r="A125" s="51"/>
      <c r="B125" s="108" t="s">
        <v>12</v>
      </c>
      <c r="C125" s="3">
        <v>0.1517</v>
      </c>
      <c r="D125" s="3">
        <v>0.15</v>
      </c>
      <c r="E125" s="1" t="s">
        <v>24</v>
      </c>
      <c r="F125" s="9" t="s">
        <v>52</v>
      </c>
      <c r="G125" s="9" t="s">
        <v>18</v>
      </c>
      <c r="H125" s="213"/>
      <c r="I125" s="108" t="s">
        <v>12</v>
      </c>
      <c r="J125" s="3">
        <v>0.14000000000000001</v>
      </c>
      <c r="K125" s="3">
        <v>0.1</v>
      </c>
      <c r="L125" s="1" t="s">
        <v>24</v>
      </c>
      <c r="M125" s="9" t="s">
        <v>49</v>
      </c>
      <c r="N125" s="9" t="s">
        <v>18</v>
      </c>
    </row>
    <row r="126" spans="1:14" ht="15" x14ac:dyDescent="0.2">
      <c r="A126" s="51"/>
      <c r="B126" s="110" t="s">
        <v>5</v>
      </c>
      <c r="C126" s="29">
        <f>SUBTOTAL(109,C121:C125)</f>
        <v>0.88890000000000002</v>
      </c>
      <c r="D126" s="29">
        <f>SUBTOTAL(109,D121:D125)</f>
        <v>0.9</v>
      </c>
      <c r="E126" s="121" t="s">
        <v>189</v>
      </c>
      <c r="F126" s="122" t="s">
        <v>189</v>
      </c>
      <c r="G126" s="116" t="s">
        <v>189</v>
      </c>
      <c r="H126" s="213"/>
      <c r="I126" s="110" t="s">
        <v>5</v>
      </c>
      <c r="J126" s="29">
        <f>SUBTOTAL(109,J121:J125)</f>
        <v>1.1524000000000001</v>
      </c>
      <c r="K126" s="29">
        <f>SUBTOTAL(109,K121:K125)</f>
        <v>1.0900000000000001</v>
      </c>
      <c r="L126" s="122" t="s">
        <v>189</v>
      </c>
      <c r="M126" s="122" t="s">
        <v>189</v>
      </c>
      <c r="N126" s="116" t="s">
        <v>189</v>
      </c>
    </row>
    <row r="127" spans="1:14" x14ac:dyDescent="0.2">
      <c r="A127" s="51"/>
      <c r="B127" s="108" t="s">
        <v>6</v>
      </c>
      <c r="C127" s="11">
        <v>0.69440000000000002</v>
      </c>
      <c r="D127" s="11">
        <v>0.64</v>
      </c>
      <c r="E127" s="1" t="s">
        <v>23</v>
      </c>
      <c r="F127" s="9" t="s">
        <v>184</v>
      </c>
      <c r="G127" s="9" t="s">
        <v>19</v>
      </c>
      <c r="H127" s="213"/>
      <c r="I127" s="108" t="s">
        <v>6</v>
      </c>
      <c r="J127" s="11">
        <v>0.99019999999999997</v>
      </c>
      <c r="K127" s="11">
        <v>0.94</v>
      </c>
      <c r="L127" s="1" t="s">
        <v>23</v>
      </c>
      <c r="M127" s="9" t="s">
        <v>99</v>
      </c>
      <c r="N127" s="9" t="s">
        <v>19</v>
      </c>
    </row>
    <row r="128" spans="1:14" ht="30" x14ac:dyDescent="0.2">
      <c r="A128" s="51"/>
      <c r="B128" s="110" t="s">
        <v>230</v>
      </c>
      <c r="C128" s="12">
        <v>4.0000000000000001E-3</v>
      </c>
      <c r="D128" s="142" t="s">
        <v>189</v>
      </c>
      <c r="E128" s="143" t="s">
        <v>189</v>
      </c>
      <c r="F128" s="144" t="s">
        <v>189</v>
      </c>
      <c r="G128" s="179" t="s">
        <v>189</v>
      </c>
      <c r="H128" s="213"/>
      <c r="I128" s="110" t="s">
        <v>230</v>
      </c>
      <c r="J128" s="12">
        <v>4.0000000000000001E-3</v>
      </c>
      <c r="K128" s="142" t="s">
        <v>189</v>
      </c>
      <c r="L128" s="144" t="s">
        <v>189</v>
      </c>
      <c r="M128" s="144" t="s">
        <v>189</v>
      </c>
      <c r="N128" s="179" t="s">
        <v>189</v>
      </c>
    </row>
    <row r="129" spans="1:14" ht="21" customHeight="1" x14ac:dyDescent="0.2">
      <c r="A129" s="73"/>
      <c r="B129" s="75"/>
      <c r="C129" s="76"/>
      <c r="D129" s="77"/>
      <c r="E129" s="76"/>
      <c r="F129" s="76"/>
      <c r="G129" s="181"/>
      <c r="H129" s="207"/>
      <c r="I129" s="79"/>
      <c r="J129" s="80"/>
      <c r="K129" s="81"/>
      <c r="L129" s="80"/>
      <c r="M129" s="80"/>
      <c r="N129" s="182"/>
    </row>
    <row r="130" spans="1:14" ht="51.75" customHeight="1" x14ac:dyDescent="0.25">
      <c r="A130" s="48" t="s">
        <v>101</v>
      </c>
      <c r="B130" s="38" t="s">
        <v>160</v>
      </c>
      <c r="C130" s="39"/>
      <c r="D130" s="40"/>
      <c r="E130" s="85"/>
      <c r="F130" s="39"/>
      <c r="G130" s="178"/>
      <c r="H130" s="212" t="s">
        <v>101</v>
      </c>
      <c r="I130" s="38" t="s">
        <v>161</v>
      </c>
      <c r="J130" s="39"/>
      <c r="K130" s="40"/>
      <c r="L130" s="41"/>
      <c r="M130" s="39"/>
      <c r="N130" s="178"/>
    </row>
    <row r="131" spans="1:14" ht="51.75" customHeight="1" x14ac:dyDescent="0.2">
      <c r="A131" s="51"/>
      <c r="B131" s="123" t="s">
        <v>0</v>
      </c>
      <c r="C131" s="124" t="s">
        <v>225</v>
      </c>
      <c r="D131" s="124" t="s">
        <v>200</v>
      </c>
      <c r="E131" s="125" t="s">
        <v>22</v>
      </c>
      <c r="F131" s="125" t="s">
        <v>20</v>
      </c>
      <c r="G131" s="125" t="s">
        <v>35</v>
      </c>
      <c r="H131" s="213"/>
      <c r="I131" s="123" t="s">
        <v>0</v>
      </c>
      <c r="J131" s="124" t="s">
        <v>225</v>
      </c>
      <c r="K131" s="124" t="s">
        <v>200</v>
      </c>
      <c r="L131" s="125" t="s">
        <v>22</v>
      </c>
      <c r="M131" s="125" t="s">
        <v>20</v>
      </c>
      <c r="N131" s="125" t="s">
        <v>35</v>
      </c>
    </row>
    <row r="132" spans="1:14" ht="15.75" x14ac:dyDescent="0.2">
      <c r="A132" s="51"/>
      <c r="B132" s="108" t="s">
        <v>171</v>
      </c>
      <c r="C132" s="5" t="s">
        <v>240</v>
      </c>
      <c r="D132" s="5" t="s">
        <v>197</v>
      </c>
      <c r="E132" s="151" t="s">
        <v>189</v>
      </c>
      <c r="F132" s="152" t="s">
        <v>190</v>
      </c>
      <c r="G132" s="152" t="s">
        <v>198</v>
      </c>
      <c r="H132" s="213"/>
      <c r="I132" s="162" t="s">
        <v>189</v>
      </c>
      <c r="J132" s="163" t="s">
        <v>189</v>
      </c>
      <c r="K132" s="163" t="s">
        <v>189</v>
      </c>
      <c r="L132" s="152" t="s">
        <v>189</v>
      </c>
      <c r="M132" s="152" t="s">
        <v>189</v>
      </c>
      <c r="N132" s="152" t="s">
        <v>189</v>
      </c>
    </row>
    <row r="133" spans="1:14" ht="28.5" x14ac:dyDescent="0.2">
      <c r="A133" s="51"/>
      <c r="B133" s="108" t="s">
        <v>140</v>
      </c>
      <c r="C133" s="5">
        <v>0.69910000000000005</v>
      </c>
      <c r="D133" s="5">
        <v>0.64</v>
      </c>
      <c r="E133" s="6" t="s">
        <v>23</v>
      </c>
      <c r="F133" s="7" t="s">
        <v>184</v>
      </c>
      <c r="G133" s="54" t="s">
        <v>27</v>
      </c>
      <c r="H133" s="213"/>
      <c r="I133" s="108" t="s">
        <v>233</v>
      </c>
      <c r="J133" s="5">
        <v>0.99519999999999997</v>
      </c>
      <c r="K133" s="5">
        <v>0.94</v>
      </c>
      <c r="L133" s="6" t="s">
        <v>23</v>
      </c>
      <c r="M133" s="7" t="s">
        <v>99</v>
      </c>
      <c r="N133" s="54" t="s">
        <v>27</v>
      </c>
    </row>
    <row r="134" spans="1:14" x14ac:dyDescent="0.2">
      <c r="A134" s="50"/>
      <c r="B134" s="108" t="s">
        <v>2</v>
      </c>
      <c r="C134" s="3">
        <v>0.2878</v>
      </c>
      <c r="D134" s="3">
        <v>0.25</v>
      </c>
      <c r="E134" s="1" t="s">
        <v>24</v>
      </c>
      <c r="F134" s="4" t="s">
        <v>191</v>
      </c>
      <c r="G134" s="9" t="s">
        <v>14</v>
      </c>
      <c r="H134" s="214"/>
      <c r="I134" s="108" t="s">
        <v>2</v>
      </c>
      <c r="J134" s="3">
        <v>0.218</v>
      </c>
      <c r="K134" s="3">
        <v>0.25</v>
      </c>
      <c r="L134" s="1" t="s">
        <v>24</v>
      </c>
      <c r="M134" s="4" t="s">
        <v>54</v>
      </c>
      <c r="N134" s="9" t="s">
        <v>14</v>
      </c>
    </row>
    <row r="135" spans="1:14" ht="28.5" x14ac:dyDescent="0.2">
      <c r="A135" s="51"/>
      <c r="B135" s="109" t="s">
        <v>139</v>
      </c>
      <c r="C135" s="3">
        <v>0</v>
      </c>
      <c r="D135" s="117" t="s">
        <v>189</v>
      </c>
      <c r="E135" s="1" t="s">
        <v>23</v>
      </c>
      <c r="F135" s="4" t="s">
        <v>73</v>
      </c>
      <c r="G135" s="136" t="s">
        <v>189</v>
      </c>
      <c r="H135" s="213"/>
      <c r="I135" s="108" t="s">
        <v>139</v>
      </c>
      <c r="J135" s="3">
        <v>0</v>
      </c>
      <c r="K135" s="117" t="s">
        <v>189</v>
      </c>
      <c r="L135" s="1" t="s">
        <v>23</v>
      </c>
      <c r="M135" s="4" t="s">
        <v>73</v>
      </c>
      <c r="N135" s="136" t="s">
        <v>189</v>
      </c>
    </row>
    <row r="136" spans="1:14" x14ac:dyDescent="0.2">
      <c r="A136" s="51"/>
      <c r="B136" s="108" t="s">
        <v>12</v>
      </c>
      <c r="C136" s="3">
        <v>0.1827</v>
      </c>
      <c r="D136" s="3">
        <v>0.15</v>
      </c>
      <c r="E136" s="1" t="s">
        <v>24</v>
      </c>
      <c r="F136" s="9" t="s">
        <v>52</v>
      </c>
      <c r="G136" s="9" t="s">
        <v>18</v>
      </c>
      <c r="H136" s="213"/>
      <c r="I136" s="108" t="s">
        <v>12</v>
      </c>
      <c r="J136" s="3">
        <v>0.14929999999999999</v>
      </c>
      <c r="K136" s="3">
        <v>0.15</v>
      </c>
      <c r="L136" s="1" t="s">
        <v>24</v>
      </c>
      <c r="M136" s="9" t="s">
        <v>52</v>
      </c>
      <c r="N136" s="9" t="s">
        <v>18</v>
      </c>
    </row>
    <row r="137" spans="1:14" ht="15" x14ac:dyDescent="0.2">
      <c r="A137" s="51"/>
      <c r="B137" s="110" t="s">
        <v>5</v>
      </c>
      <c r="C137" s="29">
        <f>SUBTOTAL(109,C132:C136)</f>
        <v>1.1696000000000002</v>
      </c>
      <c r="D137" s="29">
        <f>SUBTOTAL(109,D132:D136)</f>
        <v>1.04</v>
      </c>
      <c r="E137" s="121" t="s">
        <v>189</v>
      </c>
      <c r="F137" s="122" t="s">
        <v>189</v>
      </c>
      <c r="G137" s="116" t="s">
        <v>189</v>
      </c>
      <c r="H137" s="213"/>
      <c r="I137" s="110" t="s">
        <v>5</v>
      </c>
      <c r="J137" s="29">
        <f>SUBTOTAL(109,J132:J136)</f>
        <v>1.3625</v>
      </c>
      <c r="K137" s="29">
        <f>SUBTOTAL(109,K132:K136)</f>
        <v>1.3399999999999999</v>
      </c>
      <c r="L137" s="122" t="s">
        <v>189</v>
      </c>
      <c r="M137" s="122" t="s">
        <v>189</v>
      </c>
      <c r="N137" s="116" t="s">
        <v>189</v>
      </c>
    </row>
    <row r="138" spans="1:14" x14ac:dyDescent="0.2">
      <c r="A138" s="51"/>
      <c r="B138" s="108" t="s">
        <v>6</v>
      </c>
      <c r="C138" s="11">
        <v>0.69799999999999995</v>
      </c>
      <c r="D138" s="11">
        <v>0.64</v>
      </c>
      <c r="E138" s="1" t="s">
        <v>23</v>
      </c>
      <c r="F138" s="9" t="s">
        <v>184</v>
      </c>
      <c r="G138" s="9" t="s">
        <v>19</v>
      </c>
      <c r="H138" s="213"/>
      <c r="I138" s="108" t="s">
        <v>6</v>
      </c>
      <c r="J138" s="11">
        <v>0.996</v>
      </c>
      <c r="K138" s="11">
        <v>0.94</v>
      </c>
      <c r="L138" s="1" t="s">
        <v>23</v>
      </c>
      <c r="M138" s="9" t="s">
        <v>99</v>
      </c>
      <c r="N138" s="9" t="s">
        <v>19</v>
      </c>
    </row>
    <row r="139" spans="1:14" ht="30" x14ac:dyDescent="0.2">
      <c r="A139" s="51"/>
      <c r="B139" s="110" t="s">
        <v>138</v>
      </c>
      <c r="C139" s="12">
        <v>2E-3</v>
      </c>
      <c r="D139" s="142" t="s">
        <v>189</v>
      </c>
      <c r="E139" s="143" t="s">
        <v>189</v>
      </c>
      <c r="F139" s="144" t="s">
        <v>189</v>
      </c>
      <c r="G139" s="179" t="s">
        <v>189</v>
      </c>
      <c r="H139" s="213"/>
      <c r="I139" s="110" t="s">
        <v>138</v>
      </c>
      <c r="J139" s="12">
        <v>2E-3</v>
      </c>
      <c r="K139" s="142" t="s">
        <v>189</v>
      </c>
      <c r="L139" s="144" t="s">
        <v>189</v>
      </c>
      <c r="M139" s="144" t="s">
        <v>189</v>
      </c>
      <c r="N139" s="179" t="s">
        <v>189</v>
      </c>
    </row>
    <row r="140" spans="1:14" ht="21" customHeight="1" x14ac:dyDescent="0.2">
      <c r="A140" s="73"/>
      <c r="B140" s="75"/>
      <c r="C140" s="76"/>
      <c r="D140" s="77"/>
      <c r="E140" s="76"/>
      <c r="F140" s="76"/>
      <c r="G140" s="181"/>
      <c r="H140" s="207"/>
      <c r="I140" s="79"/>
      <c r="J140" s="80"/>
      <c r="K140" s="81"/>
      <c r="L140" s="80"/>
      <c r="M140" s="80"/>
      <c r="N140" s="182"/>
    </row>
    <row r="141" spans="1:14" ht="51.75" customHeight="1" x14ac:dyDescent="0.25">
      <c r="A141" s="48" t="s">
        <v>105</v>
      </c>
      <c r="B141" s="38" t="s">
        <v>162</v>
      </c>
      <c r="C141" s="39"/>
      <c r="D141" s="40"/>
      <c r="E141" s="85"/>
      <c r="F141" s="39"/>
      <c r="G141" s="178"/>
      <c r="H141" s="212" t="s">
        <v>105</v>
      </c>
      <c r="I141" s="38" t="s">
        <v>163</v>
      </c>
      <c r="J141" s="39"/>
      <c r="K141" s="40"/>
      <c r="L141" s="41"/>
      <c r="M141" s="39"/>
      <c r="N141" s="178"/>
    </row>
    <row r="142" spans="1:14" ht="51.75" customHeight="1" x14ac:dyDescent="0.2">
      <c r="A142" s="49"/>
      <c r="B142" s="123" t="s">
        <v>0</v>
      </c>
      <c r="C142" s="124" t="s">
        <v>225</v>
      </c>
      <c r="D142" s="124" t="s">
        <v>200</v>
      </c>
      <c r="E142" s="125" t="s">
        <v>22</v>
      </c>
      <c r="F142" s="125" t="s">
        <v>20</v>
      </c>
      <c r="G142" s="125" t="s">
        <v>35</v>
      </c>
      <c r="H142" s="213"/>
      <c r="I142" s="123" t="s">
        <v>0</v>
      </c>
      <c r="J142" s="124" t="s">
        <v>225</v>
      </c>
      <c r="K142" s="124" t="s">
        <v>200</v>
      </c>
      <c r="L142" s="125" t="s">
        <v>22</v>
      </c>
      <c r="M142" s="125" t="s">
        <v>20</v>
      </c>
      <c r="N142" s="125" t="s">
        <v>35</v>
      </c>
    </row>
    <row r="143" spans="1:14" ht="15.75" x14ac:dyDescent="0.2">
      <c r="A143" s="49"/>
      <c r="B143" s="108" t="s">
        <v>171</v>
      </c>
      <c r="C143" s="3">
        <v>0.3085</v>
      </c>
      <c r="D143" s="3">
        <v>0.3</v>
      </c>
      <c r="E143" s="151" t="s">
        <v>189</v>
      </c>
      <c r="F143" s="152" t="s">
        <v>189</v>
      </c>
      <c r="G143" s="152" t="s">
        <v>189</v>
      </c>
      <c r="H143" s="213"/>
      <c r="I143" s="162" t="s">
        <v>189</v>
      </c>
      <c r="J143" s="163" t="s">
        <v>189</v>
      </c>
      <c r="K143" s="163" t="s">
        <v>189</v>
      </c>
      <c r="L143" s="152" t="s">
        <v>189</v>
      </c>
      <c r="M143" s="152" t="s">
        <v>189</v>
      </c>
      <c r="N143" s="152" t="s">
        <v>189</v>
      </c>
    </row>
    <row r="144" spans="1:14" ht="28.5" x14ac:dyDescent="0.2">
      <c r="A144" s="49"/>
      <c r="B144" s="108" t="s">
        <v>140</v>
      </c>
      <c r="C144" s="165">
        <v>0</v>
      </c>
      <c r="D144" s="165" t="s">
        <v>189</v>
      </c>
      <c r="E144" s="6" t="s">
        <v>23</v>
      </c>
      <c r="F144" s="165" t="s">
        <v>189</v>
      </c>
      <c r="G144" s="155" t="s">
        <v>189</v>
      </c>
      <c r="H144" s="213"/>
      <c r="I144" s="108" t="s">
        <v>233</v>
      </c>
      <c r="J144" s="165" t="s">
        <v>189</v>
      </c>
      <c r="K144" s="165" t="s">
        <v>189</v>
      </c>
      <c r="L144" s="6" t="s">
        <v>23</v>
      </c>
      <c r="M144" s="165" t="s">
        <v>189</v>
      </c>
      <c r="N144" s="155" t="s">
        <v>189</v>
      </c>
    </row>
    <row r="145" spans="1:14" x14ac:dyDescent="0.2">
      <c r="A145" s="49"/>
      <c r="B145" s="108" t="s">
        <v>2</v>
      </c>
      <c r="C145" s="3">
        <v>0.20760000000000001</v>
      </c>
      <c r="D145" s="3">
        <v>0.25</v>
      </c>
      <c r="E145" s="1" t="s">
        <v>24</v>
      </c>
      <c r="F145" s="4" t="s">
        <v>54</v>
      </c>
      <c r="G145" s="1" t="s">
        <v>28</v>
      </c>
      <c r="H145" s="214"/>
      <c r="I145" s="108" t="s">
        <v>2</v>
      </c>
      <c r="J145" s="3">
        <v>0.25409999999999999</v>
      </c>
      <c r="K145" s="5">
        <v>0.3</v>
      </c>
      <c r="L145" s="1" t="s">
        <v>24</v>
      </c>
      <c r="M145" s="4" t="s">
        <v>60</v>
      </c>
      <c r="N145" s="1" t="s">
        <v>28</v>
      </c>
    </row>
    <row r="146" spans="1:14" ht="28.5" x14ac:dyDescent="0.2">
      <c r="A146" s="51"/>
      <c r="B146" s="109" t="s">
        <v>139</v>
      </c>
      <c r="C146" s="3">
        <v>0.47099999999999997</v>
      </c>
      <c r="D146" s="3">
        <v>0.5</v>
      </c>
      <c r="E146" s="1" t="s">
        <v>23</v>
      </c>
      <c r="F146" s="4" t="s">
        <v>92</v>
      </c>
      <c r="G146" s="9" t="s">
        <v>183</v>
      </c>
      <c r="H146" s="213"/>
      <c r="I146" s="166" t="s">
        <v>139</v>
      </c>
      <c r="J146" s="3">
        <v>0.65790000000000004</v>
      </c>
      <c r="K146" s="5">
        <v>0.7</v>
      </c>
      <c r="L146" s="107" t="s">
        <v>23</v>
      </c>
      <c r="M146" s="4" t="s">
        <v>87</v>
      </c>
      <c r="N146" s="4" t="s">
        <v>183</v>
      </c>
    </row>
    <row r="147" spans="1:14" x14ac:dyDescent="0.2">
      <c r="A147" s="51"/>
      <c r="B147" s="108" t="s">
        <v>12</v>
      </c>
      <c r="C147" s="3">
        <v>6.3E-3</v>
      </c>
      <c r="D147" s="3">
        <v>0.3</v>
      </c>
      <c r="E147" s="1" t="s">
        <v>24</v>
      </c>
      <c r="F147" s="9" t="s">
        <v>236</v>
      </c>
      <c r="G147" s="1" t="s">
        <v>18</v>
      </c>
      <c r="H147" s="213"/>
      <c r="I147" s="166" t="s">
        <v>12</v>
      </c>
      <c r="J147" s="3">
        <v>8.8900000000000007E-2</v>
      </c>
      <c r="K147" s="5">
        <v>0.3</v>
      </c>
      <c r="L147" s="107" t="s">
        <v>24</v>
      </c>
      <c r="M147" s="9" t="s">
        <v>236</v>
      </c>
      <c r="N147" s="107" t="s">
        <v>18</v>
      </c>
    </row>
    <row r="148" spans="1:14" ht="15" x14ac:dyDescent="0.2">
      <c r="A148" s="51"/>
      <c r="B148" s="110" t="s">
        <v>5</v>
      </c>
      <c r="C148" s="103">
        <f>SUBTOTAL(109,C143:C147)</f>
        <v>0.99339999999999995</v>
      </c>
      <c r="D148" s="103">
        <f>SUBTOTAL(109,D143:D147)</f>
        <v>1.35</v>
      </c>
      <c r="E148" s="121" t="s">
        <v>189</v>
      </c>
      <c r="F148" s="122" t="s">
        <v>189</v>
      </c>
      <c r="G148" s="115" t="s">
        <v>189</v>
      </c>
      <c r="H148" s="213"/>
      <c r="I148" s="110" t="s">
        <v>5</v>
      </c>
      <c r="J148" s="29">
        <f>SUBTOTAL(109,J143:J147)</f>
        <v>1.0009000000000001</v>
      </c>
      <c r="K148" s="29">
        <f>SUBTOTAL(109,K143:K147)</f>
        <v>1.3</v>
      </c>
      <c r="L148" s="122" t="s">
        <v>189</v>
      </c>
      <c r="M148" s="122" t="s">
        <v>189</v>
      </c>
      <c r="N148" s="115" t="s">
        <v>189</v>
      </c>
    </row>
    <row r="149" spans="1:14" x14ac:dyDescent="0.2">
      <c r="A149" s="51"/>
      <c r="B149" s="108" t="s">
        <v>6</v>
      </c>
      <c r="C149" s="11">
        <v>0.69679999999999997</v>
      </c>
      <c r="D149" s="11">
        <v>0.64</v>
      </c>
      <c r="E149" s="1" t="s">
        <v>23</v>
      </c>
      <c r="F149" s="9" t="s">
        <v>184</v>
      </c>
      <c r="G149" s="1" t="s">
        <v>19</v>
      </c>
      <c r="H149" s="213"/>
      <c r="I149" s="108" t="s">
        <v>6</v>
      </c>
      <c r="J149" s="11">
        <v>0.98029999999999995</v>
      </c>
      <c r="K149" s="11">
        <v>0.94</v>
      </c>
      <c r="L149" s="1" t="s">
        <v>23</v>
      </c>
      <c r="M149" s="9" t="s">
        <v>99</v>
      </c>
      <c r="N149" s="1" t="s">
        <v>19</v>
      </c>
    </row>
    <row r="150" spans="1:14" ht="30" x14ac:dyDescent="0.2">
      <c r="A150" s="51"/>
      <c r="B150" s="110" t="s">
        <v>230</v>
      </c>
      <c r="C150" s="12">
        <v>4.0000000000000001E-3</v>
      </c>
      <c r="D150" s="142" t="s">
        <v>189</v>
      </c>
      <c r="E150" s="143" t="s">
        <v>189</v>
      </c>
      <c r="F150" s="144" t="s">
        <v>189</v>
      </c>
      <c r="G150" s="179" t="s">
        <v>189</v>
      </c>
      <c r="H150" s="213"/>
      <c r="I150" s="110" t="s">
        <v>230</v>
      </c>
      <c r="J150" s="12">
        <v>4.0000000000000001E-3</v>
      </c>
      <c r="K150" s="142" t="s">
        <v>189</v>
      </c>
      <c r="L150" s="144" t="s">
        <v>189</v>
      </c>
      <c r="M150" s="144" t="s">
        <v>189</v>
      </c>
      <c r="N150" s="179" t="s">
        <v>189</v>
      </c>
    </row>
    <row r="151" spans="1:14" ht="21" customHeight="1" x14ac:dyDescent="0.2">
      <c r="A151" s="73"/>
      <c r="B151" s="75"/>
      <c r="C151" s="76"/>
      <c r="D151" s="77"/>
      <c r="E151" s="76"/>
      <c r="F151" s="76"/>
      <c r="G151" s="181"/>
      <c r="H151" s="207"/>
      <c r="I151" s="79"/>
      <c r="J151" s="80"/>
      <c r="K151" s="81"/>
      <c r="L151" s="80"/>
      <c r="M151" s="80"/>
      <c r="N151" s="182"/>
    </row>
    <row r="152" spans="1:14" ht="51.75" customHeight="1" x14ac:dyDescent="0.25">
      <c r="A152" s="48" t="s">
        <v>112</v>
      </c>
      <c r="B152" s="38" t="s">
        <v>164</v>
      </c>
      <c r="C152" s="39"/>
      <c r="D152" s="40"/>
      <c r="E152" s="85"/>
      <c r="F152" s="39"/>
      <c r="G152" s="178"/>
      <c r="H152" s="212" t="s">
        <v>112</v>
      </c>
      <c r="I152" s="38" t="s">
        <v>165</v>
      </c>
      <c r="J152" s="39"/>
      <c r="K152" s="40"/>
      <c r="L152" s="41"/>
      <c r="M152" s="39"/>
      <c r="N152" s="178"/>
    </row>
    <row r="153" spans="1:14" ht="51.75" customHeight="1" x14ac:dyDescent="0.2">
      <c r="A153" s="49"/>
      <c r="B153" s="123" t="s">
        <v>0</v>
      </c>
      <c r="C153" s="124" t="s">
        <v>225</v>
      </c>
      <c r="D153" s="124" t="s">
        <v>200</v>
      </c>
      <c r="E153" s="125" t="s">
        <v>22</v>
      </c>
      <c r="F153" s="125" t="s">
        <v>20</v>
      </c>
      <c r="G153" s="125" t="s">
        <v>35</v>
      </c>
      <c r="H153" s="213"/>
      <c r="I153" s="123" t="s">
        <v>0</v>
      </c>
      <c r="J153" s="124" t="s">
        <v>225</v>
      </c>
      <c r="K153" s="124" t="s">
        <v>200</v>
      </c>
      <c r="L153" s="125" t="s">
        <v>22</v>
      </c>
      <c r="M153" s="125" t="s">
        <v>20</v>
      </c>
      <c r="N153" s="125" t="s">
        <v>35</v>
      </c>
    </row>
    <row r="154" spans="1:14" ht="15.75" x14ac:dyDescent="0.2">
      <c r="A154" s="49"/>
      <c r="B154" s="108" t="s">
        <v>171</v>
      </c>
      <c r="C154" s="5">
        <v>0.39269999999999999</v>
      </c>
      <c r="D154" s="5">
        <v>0.3</v>
      </c>
      <c r="E154" s="151" t="s">
        <v>189</v>
      </c>
      <c r="F154" s="152" t="s">
        <v>189</v>
      </c>
      <c r="G154" s="155" t="s">
        <v>189</v>
      </c>
      <c r="H154" s="213"/>
      <c r="I154" s="162" t="s">
        <v>189</v>
      </c>
      <c r="J154" s="163" t="s">
        <v>189</v>
      </c>
      <c r="K154" s="163" t="s">
        <v>189</v>
      </c>
      <c r="L154" s="152" t="s">
        <v>189</v>
      </c>
      <c r="M154" s="152" t="s">
        <v>189</v>
      </c>
      <c r="N154" s="152" t="s">
        <v>189</v>
      </c>
    </row>
    <row r="155" spans="1:14" ht="28.5" x14ac:dyDescent="0.2">
      <c r="A155" s="49"/>
      <c r="B155" s="108" t="s">
        <v>140</v>
      </c>
      <c r="C155" s="5">
        <v>0.69569999999999999</v>
      </c>
      <c r="D155" s="5">
        <v>0.64</v>
      </c>
      <c r="E155" s="6" t="s">
        <v>23</v>
      </c>
      <c r="F155" s="7" t="s">
        <v>184</v>
      </c>
      <c r="G155" s="6" t="s">
        <v>7</v>
      </c>
      <c r="H155" s="213"/>
      <c r="I155" s="108" t="s">
        <v>233</v>
      </c>
      <c r="J155" s="5">
        <v>0.99780000000000002</v>
      </c>
      <c r="K155" s="5">
        <v>0.94</v>
      </c>
      <c r="L155" s="6" t="s">
        <v>23</v>
      </c>
      <c r="M155" s="7" t="s">
        <v>99</v>
      </c>
      <c r="N155" s="6" t="s">
        <v>7</v>
      </c>
    </row>
    <row r="156" spans="1:14" x14ac:dyDescent="0.2">
      <c r="A156" s="50"/>
      <c r="B156" s="108" t="s">
        <v>2</v>
      </c>
      <c r="C156" s="3">
        <v>0.24640000000000001</v>
      </c>
      <c r="D156" s="3">
        <v>0.25</v>
      </c>
      <c r="E156" s="1" t="s">
        <v>24</v>
      </c>
      <c r="F156" s="4" t="s">
        <v>54</v>
      </c>
      <c r="G156" s="1" t="s">
        <v>14</v>
      </c>
      <c r="H156" s="214"/>
      <c r="I156" s="108" t="s">
        <v>2</v>
      </c>
      <c r="J156" s="3">
        <v>0.2046</v>
      </c>
      <c r="K156" s="3">
        <v>0.25</v>
      </c>
      <c r="L156" s="1" t="s">
        <v>24</v>
      </c>
      <c r="M156" s="4" t="s">
        <v>54</v>
      </c>
      <c r="N156" s="1" t="s">
        <v>14</v>
      </c>
    </row>
    <row r="157" spans="1:14" ht="28.5" x14ac:dyDescent="0.2">
      <c r="A157" s="51"/>
      <c r="B157" s="109" t="s">
        <v>139</v>
      </c>
      <c r="C157" s="117">
        <v>0</v>
      </c>
      <c r="D157" s="117" t="s">
        <v>189</v>
      </c>
      <c r="E157" s="1" t="s">
        <v>23</v>
      </c>
      <c r="F157" s="4" t="s">
        <v>73</v>
      </c>
      <c r="G157" s="136" t="s">
        <v>189</v>
      </c>
      <c r="H157" s="213"/>
      <c r="I157" s="108" t="s">
        <v>139</v>
      </c>
      <c r="J157" s="117">
        <v>0</v>
      </c>
      <c r="K157" s="117" t="s">
        <v>189</v>
      </c>
      <c r="L157" s="1" t="s">
        <v>23</v>
      </c>
      <c r="M157" s="4" t="s">
        <v>73</v>
      </c>
      <c r="N157" s="136" t="s">
        <v>189</v>
      </c>
    </row>
    <row r="158" spans="1:14" x14ac:dyDescent="0.2">
      <c r="A158" s="51"/>
      <c r="B158" s="108" t="s">
        <v>12</v>
      </c>
      <c r="C158" s="3">
        <v>0.27179999999999999</v>
      </c>
      <c r="D158" s="3">
        <v>0.25</v>
      </c>
      <c r="E158" s="1" t="s">
        <v>24</v>
      </c>
      <c r="F158" s="4" t="s">
        <v>54</v>
      </c>
      <c r="G158" s="1" t="s">
        <v>18</v>
      </c>
      <c r="H158" s="213"/>
      <c r="I158" s="108" t="s">
        <v>12</v>
      </c>
      <c r="J158" s="3">
        <v>0.26569999999999999</v>
      </c>
      <c r="K158" s="3">
        <v>0.25</v>
      </c>
      <c r="L158" s="1" t="s">
        <v>24</v>
      </c>
      <c r="M158" s="4" t="s">
        <v>54</v>
      </c>
      <c r="N158" s="1" t="s">
        <v>18</v>
      </c>
    </row>
    <row r="159" spans="1:14" ht="15" x14ac:dyDescent="0.2">
      <c r="A159" s="51"/>
      <c r="B159" s="110" t="s">
        <v>5</v>
      </c>
      <c r="C159" s="29">
        <f>SUBTOTAL(109,C154:C158)</f>
        <v>1.6066</v>
      </c>
      <c r="D159" s="29">
        <f>SUBTOTAL(109,D154:D158)</f>
        <v>1.44</v>
      </c>
      <c r="E159" s="121" t="s">
        <v>189</v>
      </c>
      <c r="F159" s="122" t="s">
        <v>189</v>
      </c>
      <c r="G159" s="115" t="s">
        <v>189</v>
      </c>
      <c r="H159" s="213"/>
      <c r="I159" s="110" t="s">
        <v>5</v>
      </c>
      <c r="J159" s="29">
        <f>SUBTOTAL(109,J154:J158)</f>
        <v>1.4681</v>
      </c>
      <c r="K159" s="29">
        <f>SUBTOTAL(109,K154:K158)</f>
        <v>1.44</v>
      </c>
      <c r="L159" s="122" t="s">
        <v>189</v>
      </c>
      <c r="M159" s="122" t="s">
        <v>189</v>
      </c>
      <c r="N159" s="115" t="s">
        <v>189</v>
      </c>
    </row>
    <row r="160" spans="1:14" x14ac:dyDescent="0.2">
      <c r="A160" s="51"/>
      <c r="B160" s="108" t="s">
        <v>6</v>
      </c>
      <c r="C160" s="11">
        <v>0.69440000000000002</v>
      </c>
      <c r="D160" s="11">
        <v>0.64</v>
      </c>
      <c r="E160" s="1" t="s">
        <v>23</v>
      </c>
      <c r="F160" s="9" t="s">
        <v>184</v>
      </c>
      <c r="G160" s="1" t="s">
        <v>19</v>
      </c>
      <c r="H160" s="213"/>
      <c r="I160" s="108" t="s">
        <v>6</v>
      </c>
      <c r="J160" s="11">
        <v>0.99809999999999999</v>
      </c>
      <c r="K160" s="11">
        <v>0.94</v>
      </c>
      <c r="L160" s="1" t="s">
        <v>23</v>
      </c>
      <c r="M160" s="9" t="s">
        <v>99</v>
      </c>
      <c r="N160" s="1" t="s">
        <v>19</v>
      </c>
    </row>
    <row r="161" spans="1:14" ht="30" x14ac:dyDescent="0.2">
      <c r="A161" s="51"/>
      <c r="B161" s="110" t="s">
        <v>230</v>
      </c>
      <c r="C161" s="69">
        <v>2E-3</v>
      </c>
      <c r="D161" s="142" t="s">
        <v>189</v>
      </c>
      <c r="E161" s="143" t="s">
        <v>189</v>
      </c>
      <c r="F161" s="144" t="s">
        <v>189</v>
      </c>
      <c r="G161" s="179" t="s">
        <v>189</v>
      </c>
      <c r="H161" s="213"/>
      <c r="I161" s="110" t="s">
        <v>230</v>
      </c>
      <c r="J161" s="69">
        <v>2E-3</v>
      </c>
      <c r="K161" s="142" t="s">
        <v>189</v>
      </c>
      <c r="L161" s="144" t="s">
        <v>189</v>
      </c>
      <c r="M161" s="144" t="s">
        <v>189</v>
      </c>
      <c r="N161" s="179" t="s">
        <v>189</v>
      </c>
    </row>
    <row r="162" spans="1:14" ht="21" customHeight="1" x14ac:dyDescent="0.2">
      <c r="A162" s="73"/>
      <c r="B162" s="75"/>
      <c r="C162" s="76"/>
      <c r="D162" s="77"/>
      <c r="E162" s="76"/>
      <c r="F162" s="76"/>
      <c r="G162" s="181"/>
      <c r="H162" s="207"/>
      <c r="I162" s="79"/>
      <c r="J162" s="80"/>
      <c r="K162" s="81"/>
      <c r="L162" s="80"/>
      <c r="M162" s="80"/>
      <c r="N162" s="182"/>
    </row>
    <row r="163" spans="1:14" ht="51.75" customHeight="1" x14ac:dyDescent="0.25">
      <c r="A163" s="82" t="s">
        <v>166</v>
      </c>
      <c r="B163" s="34" t="s">
        <v>167</v>
      </c>
      <c r="C163" s="35"/>
      <c r="D163" s="36"/>
      <c r="E163" s="84"/>
      <c r="F163" s="35"/>
      <c r="G163" s="178"/>
      <c r="H163" s="215" t="s">
        <v>166</v>
      </c>
      <c r="I163" s="34" t="s">
        <v>169</v>
      </c>
      <c r="J163" s="35"/>
      <c r="K163" s="36"/>
      <c r="L163" s="37"/>
      <c r="M163" s="41"/>
      <c r="N163" s="178"/>
    </row>
    <row r="164" spans="1:14" ht="40.15" customHeight="1" x14ac:dyDescent="0.2">
      <c r="A164" s="83"/>
      <c r="B164" s="123" t="s">
        <v>0</v>
      </c>
      <c r="C164" s="124" t="s">
        <v>225</v>
      </c>
      <c r="D164" s="124" t="s">
        <v>200</v>
      </c>
      <c r="E164" s="125" t="s">
        <v>30</v>
      </c>
      <c r="F164" s="125" t="s">
        <v>20</v>
      </c>
      <c r="G164" s="126" t="s">
        <v>35</v>
      </c>
      <c r="H164" s="216"/>
      <c r="I164" s="123" t="s">
        <v>0</v>
      </c>
      <c r="J164" s="124" t="s">
        <v>225</v>
      </c>
      <c r="K164" s="124" t="s">
        <v>200</v>
      </c>
      <c r="L164" s="125" t="s">
        <v>30</v>
      </c>
      <c r="M164" s="125" t="s">
        <v>20</v>
      </c>
      <c r="N164" s="126" t="s">
        <v>35</v>
      </c>
    </row>
    <row r="165" spans="1:14" ht="15.75" x14ac:dyDescent="0.2">
      <c r="A165" s="83"/>
      <c r="B165" s="108" t="s">
        <v>171</v>
      </c>
      <c r="C165" s="66">
        <v>0.67090000000000005</v>
      </c>
      <c r="D165" s="5">
        <v>0.85</v>
      </c>
      <c r="E165" s="151" t="s">
        <v>189</v>
      </c>
      <c r="F165" s="152" t="s">
        <v>189</v>
      </c>
      <c r="G165" s="157" t="s">
        <v>189</v>
      </c>
      <c r="H165" s="216"/>
      <c r="I165" s="162" t="s">
        <v>189</v>
      </c>
      <c r="J165" s="163" t="s">
        <v>189</v>
      </c>
      <c r="K165" s="163" t="s">
        <v>189</v>
      </c>
      <c r="L165" s="152" t="s">
        <v>189</v>
      </c>
      <c r="M165" s="152" t="s">
        <v>189</v>
      </c>
      <c r="N165" s="157" t="s">
        <v>189</v>
      </c>
    </row>
    <row r="166" spans="1:14" ht="42" customHeight="1" x14ac:dyDescent="0.2">
      <c r="A166" s="83"/>
      <c r="B166" s="108" t="s">
        <v>140</v>
      </c>
      <c r="C166" s="66">
        <v>8.0799999999999997E-2</v>
      </c>
      <c r="D166" s="230">
        <v>0.16</v>
      </c>
      <c r="E166" s="6" t="s">
        <v>4</v>
      </c>
      <c r="F166" s="231" t="s">
        <v>135</v>
      </c>
      <c r="G166" s="228" t="s">
        <v>223</v>
      </c>
      <c r="H166" s="216"/>
      <c r="I166" s="108" t="s">
        <v>233</v>
      </c>
      <c r="J166" s="66">
        <v>0.18729999999999999</v>
      </c>
      <c r="K166" s="5">
        <v>0.2</v>
      </c>
      <c r="L166" s="6" t="s">
        <v>4</v>
      </c>
      <c r="M166" s="7" t="s">
        <v>64</v>
      </c>
      <c r="N166" s="228" t="s">
        <v>223</v>
      </c>
    </row>
    <row r="167" spans="1:14" ht="21.75" customHeight="1" x14ac:dyDescent="0.2">
      <c r="A167" s="83"/>
      <c r="B167" s="108" t="s">
        <v>2</v>
      </c>
      <c r="C167" s="67">
        <v>6.1199999999999997E-2</v>
      </c>
      <c r="D167" s="3">
        <v>0.05</v>
      </c>
      <c r="E167" s="1" t="s">
        <v>3</v>
      </c>
      <c r="F167" s="4" t="s">
        <v>51</v>
      </c>
      <c r="G167" s="118" t="s">
        <v>14</v>
      </c>
      <c r="H167" s="216"/>
      <c r="I167" s="108" t="s">
        <v>2</v>
      </c>
      <c r="J167" s="67">
        <v>0.44080000000000003</v>
      </c>
      <c r="K167" s="3">
        <v>0.45</v>
      </c>
      <c r="L167" s="1" t="s">
        <v>3</v>
      </c>
      <c r="M167" s="4" t="s">
        <v>176</v>
      </c>
      <c r="N167" s="118" t="s">
        <v>14</v>
      </c>
    </row>
    <row r="168" spans="1:14" ht="28.5" x14ac:dyDescent="0.2">
      <c r="A168" s="83"/>
      <c r="B168" s="109" t="s">
        <v>139</v>
      </c>
      <c r="C168" s="67">
        <v>6.0999999999999999E-2</v>
      </c>
      <c r="D168" s="3">
        <v>0.06</v>
      </c>
      <c r="E168" s="1" t="s">
        <v>4</v>
      </c>
      <c r="F168" s="4" t="s">
        <v>58</v>
      </c>
      <c r="G168" s="118" t="s">
        <v>185</v>
      </c>
      <c r="H168" s="216"/>
      <c r="I168" s="108" t="s">
        <v>139</v>
      </c>
      <c r="J168" s="67">
        <v>0.26440000000000002</v>
      </c>
      <c r="K168" s="3">
        <v>0.3</v>
      </c>
      <c r="L168" s="1" t="s">
        <v>4</v>
      </c>
      <c r="M168" s="4" t="s">
        <v>61</v>
      </c>
      <c r="N168" s="118" t="s">
        <v>15</v>
      </c>
    </row>
    <row r="169" spans="1:14" ht="32.25" customHeight="1" x14ac:dyDescent="0.2">
      <c r="A169" s="83"/>
      <c r="B169" s="108" t="s">
        <v>172</v>
      </c>
      <c r="C169" s="67">
        <v>0</v>
      </c>
      <c r="D169" s="3">
        <v>0.05</v>
      </c>
      <c r="E169" s="8" t="s">
        <v>3</v>
      </c>
      <c r="F169" s="9" t="s">
        <v>51</v>
      </c>
      <c r="G169" s="140" t="s">
        <v>189</v>
      </c>
      <c r="H169" s="216"/>
      <c r="I169" s="108" t="s">
        <v>172</v>
      </c>
      <c r="J169" s="67">
        <v>0</v>
      </c>
      <c r="K169" s="3">
        <v>0.05</v>
      </c>
      <c r="L169" s="8" t="s">
        <v>3</v>
      </c>
      <c r="M169" s="9" t="s">
        <v>51</v>
      </c>
      <c r="N169" s="140" t="s">
        <v>189</v>
      </c>
    </row>
    <row r="170" spans="1:14" x14ac:dyDescent="0.2">
      <c r="A170" s="83"/>
      <c r="B170" s="108" t="s">
        <v>10</v>
      </c>
      <c r="C170" s="67">
        <v>6.8999999999999999E-3</v>
      </c>
      <c r="D170" s="3">
        <v>0.05</v>
      </c>
      <c r="E170" s="8" t="s">
        <v>3</v>
      </c>
      <c r="F170" s="9" t="s">
        <v>51</v>
      </c>
      <c r="G170" s="140" t="s">
        <v>189</v>
      </c>
      <c r="H170" s="216"/>
      <c r="I170" s="108" t="s">
        <v>10</v>
      </c>
      <c r="J170" s="67">
        <v>2.0999999999999999E-3</v>
      </c>
      <c r="K170" s="3">
        <v>0.05</v>
      </c>
      <c r="L170" s="8" t="s">
        <v>3</v>
      </c>
      <c r="M170" s="9" t="s">
        <v>51</v>
      </c>
      <c r="N170" s="140" t="s">
        <v>189</v>
      </c>
    </row>
    <row r="171" spans="1:14" x14ac:dyDescent="0.2">
      <c r="A171" s="83"/>
      <c r="B171" s="108" t="s">
        <v>12</v>
      </c>
      <c r="C171" s="67">
        <v>0.11650000000000001</v>
      </c>
      <c r="D171" s="3">
        <v>0.15</v>
      </c>
      <c r="E171" s="8" t="s">
        <v>3</v>
      </c>
      <c r="F171" s="9" t="s">
        <v>52</v>
      </c>
      <c r="G171" s="140" t="s">
        <v>189</v>
      </c>
      <c r="H171" s="216"/>
      <c r="I171" s="108" t="s">
        <v>12</v>
      </c>
      <c r="J171" s="67">
        <v>0.1646</v>
      </c>
      <c r="K171" s="3">
        <v>0.15</v>
      </c>
      <c r="L171" s="8" t="s">
        <v>3</v>
      </c>
      <c r="M171" s="9" t="s">
        <v>52</v>
      </c>
      <c r="N171" s="140" t="s">
        <v>189</v>
      </c>
    </row>
    <row r="172" spans="1:14" x14ac:dyDescent="0.2">
      <c r="A172" s="83"/>
      <c r="B172" s="108" t="s">
        <v>173</v>
      </c>
      <c r="C172" s="67">
        <v>0</v>
      </c>
      <c r="D172" s="3">
        <v>0.05</v>
      </c>
      <c r="E172" s="8" t="s">
        <v>3</v>
      </c>
      <c r="F172" s="9" t="s">
        <v>51</v>
      </c>
      <c r="G172" s="140" t="s">
        <v>189</v>
      </c>
      <c r="H172" s="216"/>
      <c r="I172" s="108" t="s">
        <v>173</v>
      </c>
      <c r="J172" s="67">
        <v>0</v>
      </c>
      <c r="K172" s="3">
        <v>0.05</v>
      </c>
      <c r="L172" s="8" t="s">
        <v>3</v>
      </c>
      <c r="M172" s="9" t="s">
        <v>51</v>
      </c>
      <c r="N172" s="140" t="s">
        <v>189</v>
      </c>
    </row>
    <row r="173" spans="1:14" ht="15" x14ac:dyDescent="0.2">
      <c r="A173" s="83"/>
      <c r="B173" s="110" t="s">
        <v>5</v>
      </c>
      <c r="C173" s="103">
        <f>SUBTOTAL(109,C165:C172)</f>
        <v>0.99730000000000019</v>
      </c>
      <c r="D173" s="103">
        <f>SUBTOTAL(109,D165:D172)</f>
        <v>1.4200000000000002</v>
      </c>
      <c r="E173" s="153" t="s">
        <v>189</v>
      </c>
      <c r="F173" s="136" t="s">
        <v>189</v>
      </c>
      <c r="G173" s="120" t="s">
        <v>189</v>
      </c>
      <c r="H173" s="216"/>
      <c r="I173" s="110" t="s">
        <v>5</v>
      </c>
      <c r="J173" s="105">
        <f>SUBTOTAL(109,J165:J172)</f>
        <v>1.0592000000000001</v>
      </c>
      <c r="K173" s="105">
        <f>SUBTOTAL(109,K165:K172)</f>
        <v>1.25</v>
      </c>
      <c r="L173" s="153" t="s">
        <v>189</v>
      </c>
      <c r="M173" s="136" t="s">
        <v>189</v>
      </c>
      <c r="N173" s="120" t="s">
        <v>189</v>
      </c>
    </row>
    <row r="174" spans="1:14" x14ac:dyDescent="0.2">
      <c r="A174" s="83"/>
      <c r="B174" s="108" t="s">
        <v>6</v>
      </c>
      <c r="C174" s="67">
        <v>2.1899999999999999E-2</v>
      </c>
      <c r="D174" s="3">
        <v>0.06</v>
      </c>
      <c r="E174" s="1" t="s">
        <v>23</v>
      </c>
      <c r="F174" s="10" t="s">
        <v>58</v>
      </c>
      <c r="G174" s="119" t="s">
        <v>19</v>
      </c>
      <c r="H174" s="216"/>
      <c r="I174" s="108" t="s">
        <v>6</v>
      </c>
      <c r="J174" s="67">
        <v>0.11219999999999999</v>
      </c>
      <c r="K174" s="3">
        <v>0.16</v>
      </c>
      <c r="L174" s="1" t="s">
        <v>23</v>
      </c>
      <c r="M174" s="10" t="s">
        <v>135</v>
      </c>
      <c r="N174" s="119" t="s">
        <v>19</v>
      </c>
    </row>
    <row r="175" spans="1:14" ht="30" x14ac:dyDescent="0.2">
      <c r="A175" s="83"/>
      <c r="B175" s="229" t="s">
        <v>230</v>
      </c>
      <c r="C175" s="156">
        <v>2E-3</v>
      </c>
      <c r="D175" s="158" t="s">
        <v>189</v>
      </c>
      <c r="E175" s="159" t="s">
        <v>189</v>
      </c>
      <c r="F175" s="160" t="s">
        <v>189</v>
      </c>
      <c r="G175" s="161" t="s">
        <v>189</v>
      </c>
      <c r="H175" s="216"/>
      <c r="I175" s="229" t="s">
        <v>230</v>
      </c>
      <c r="J175" s="156">
        <v>2E-3</v>
      </c>
      <c r="K175" s="158" t="s">
        <v>189</v>
      </c>
      <c r="L175" s="160" t="s">
        <v>189</v>
      </c>
      <c r="M175" s="160" t="s">
        <v>189</v>
      </c>
      <c r="N175" s="161" t="s">
        <v>189</v>
      </c>
    </row>
    <row r="176" spans="1:14" ht="21" customHeight="1" x14ac:dyDescent="0.2">
      <c r="A176" s="73"/>
      <c r="B176" s="169" t="s">
        <v>189</v>
      </c>
      <c r="C176" s="170" t="s">
        <v>189</v>
      </c>
      <c r="D176" s="170" t="s">
        <v>189</v>
      </c>
      <c r="E176" s="170" t="s">
        <v>189</v>
      </c>
      <c r="F176" s="170" t="s">
        <v>189</v>
      </c>
      <c r="G176" s="180" t="s">
        <v>189</v>
      </c>
      <c r="H176" s="207"/>
      <c r="I176" s="79"/>
      <c r="J176" s="80"/>
      <c r="K176" s="81"/>
      <c r="L176" s="80"/>
      <c r="M176" s="80"/>
      <c r="N176" s="182"/>
    </row>
    <row r="177" spans="1:14" ht="51.75" customHeight="1" x14ac:dyDescent="0.25">
      <c r="A177" s="82" t="s">
        <v>166</v>
      </c>
      <c r="B177" s="34" t="s">
        <v>168</v>
      </c>
      <c r="C177" s="35"/>
      <c r="D177" s="36"/>
      <c r="E177" s="84"/>
      <c r="F177" s="35"/>
      <c r="G177" s="178"/>
      <c r="H177" s="215" t="s">
        <v>166</v>
      </c>
      <c r="I177" s="34" t="s">
        <v>170</v>
      </c>
      <c r="J177" s="35"/>
      <c r="K177" s="36"/>
      <c r="L177" s="37"/>
      <c r="M177" s="35"/>
      <c r="N177" s="178"/>
    </row>
    <row r="178" spans="1:14" ht="40.15" customHeight="1" x14ac:dyDescent="0.2">
      <c r="A178" s="83"/>
      <c r="B178" s="123" t="s">
        <v>0</v>
      </c>
      <c r="C178" s="124" t="s">
        <v>225</v>
      </c>
      <c r="D178" s="124" t="s">
        <v>200</v>
      </c>
      <c r="E178" s="125" t="s">
        <v>30</v>
      </c>
      <c r="F178" s="125" t="s">
        <v>20</v>
      </c>
      <c r="G178" s="125" t="s">
        <v>35</v>
      </c>
      <c r="H178" s="216"/>
      <c r="I178" s="125" t="s">
        <v>0</v>
      </c>
      <c r="J178" s="124" t="s">
        <v>225</v>
      </c>
      <c r="K178" s="124" t="s">
        <v>200</v>
      </c>
      <c r="L178" s="125" t="s">
        <v>30</v>
      </c>
      <c r="M178" s="125" t="s">
        <v>20</v>
      </c>
      <c r="N178" s="125" t="s">
        <v>35</v>
      </c>
    </row>
    <row r="179" spans="1:14" ht="15.75" x14ac:dyDescent="0.2">
      <c r="A179" s="83"/>
      <c r="B179" s="108" t="s">
        <v>171</v>
      </c>
      <c r="C179" s="5">
        <v>0.4904</v>
      </c>
      <c r="D179" s="5">
        <v>0.85</v>
      </c>
      <c r="E179" s="151" t="s">
        <v>189</v>
      </c>
      <c r="F179" s="152" t="s">
        <v>189</v>
      </c>
      <c r="G179" s="152" t="s">
        <v>189</v>
      </c>
      <c r="H179" s="216"/>
      <c r="I179" s="164" t="s">
        <v>189</v>
      </c>
      <c r="J179" s="163" t="s">
        <v>189</v>
      </c>
      <c r="K179" s="163" t="s">
        <v>189</v>
      </c>
      <c r="L179" s="152" t="s">
        <v>189</v>
      </c>
      <c r="M179" s="152" t="s">
        <v>189</v>
      </c>
      <c r="N179" s="152" t="s">
        <v>189</v>
      </c>
    </row>
    <row r="180" spans="1:14" ht="33.75" customHeight="1" x14ac:dyDescent="0.2">
      <c r="A180" s="83"/>
      <c r="B180" s="108" t="s">
        <v>140</v>
      </c>
      <c r="C180" s="5">
        <v>0.1099</v>
      </c>
      <c r="D180" s="230">
        <v>0.16</v>
      </c>
      <c r="E180" s="6" t="s">
        <v>4</v>
      </c>
      <c r="F180" s="231" t="s">
        <v>135</v>
      </c>
      <c r="G180" s="6" t="s">
        <v>223</v>
      </c>
      <c r="H180" s="216"/>
      <c r="I180" s="2" t="s">
        <v>233</v>
      </c>
      <c r="J180" s="5">
        <v>0.1507</v>
      </c>
      <c r="K180" s="5">
        <v>0.2</v>
      </c>
      <c r="L180" s="6" t="s">
        <v>4</v>
      </c>
      <c r="M180" s="7" t="s">
        <v>64</v>
      </c>
      <c r="N180" s="6" t="s">
        <v>223</v>
      </c>
    </row>
    <row r="181" spans="1:14" x14ac:dyDescent="0.2">
      <c r="A181" s="83"/>
      <c r="B181" s="108" t="s">
        <v>2</v>
      </c>
      <c r="C181" s="3">
        <v>5.9700000000000003E-2</v>
      </c>
      <c r="D181" s="3">
        <v>0.05</v>
      </c>
      <c r="E181" s="1" t="s">
        <v>3</v>
      </c>
      <c r="F181" s="4" t="s">
        <v>51</v>
      </c>
      <c r="G181" s="1" t="s">
        <v>14</v>
      </c>
      <c r="H181" s="216"/>
      <c r="I181" s="2" t="s">
        <v>2</v>
      </c>
      <c r="J181" s="3">
        <v>0.45140000000000002</v>
      </c>
      <c r="K181" s="3">
        <v>0.45</v>
      </c>
      <c r="L181" s="1" t="s">
        <v>3</v>
      </c>
      <c r="M181" s="4" t="s">
        <v>176</v>
      </c>
      <c r="N181" s="1" t="s">
        <v>14</v>
      </c>
    </row>
    <row r="182" spans="1:14" ht="28.5" x14ac:dyDescent="0.2">
      <c r="A182" s="83"/>
      <c r="B182" s="109" t="s">
        <v>139</v>
      </c>
      <c r="C182" s="3">
        <v>7.1099999999999997E-2</v>
      </c>
      <c r="D182" s="3">
        <v>0.06</v>
      </c>
      <c r="E182" s="1" t="s">
        <v>4</v>
      </c>
      <c r="F182" s="4" t="s">
        <v>58</v>
      </c>
      <c r="G182" s="1" t="s">
        <v>185</v>
      </c>
      <c r="H182" s="216"/>
      <c r="I182" s="2" t="s">
        <v>139</v>
      </c>
      <c r="J182" s="3">
        <v>0.2954</v>
      </c>
      <c r="K182" s="3">
        <v>0.3</v>
      </c>
      <c r="L182" s="1" t="s">
        <v>4</v>
      </c>
      <c r="M182" s="4" t="s">
        <v>61</v>
      </c>
      <c r="N182" s="1" t="s">
        <v>185</v>
      </c>
    </row>
    <row r="183" spans="1:14" x14ac:dyDescent="0.2">
      <c r="A183" s="83"/>
      <c r="B183" s="108" t="s">
        <v>12</v>
      </c>
      <c r="C183" s="3">
        <v>0.26889999999999997</v>
      </c>
      <c r="D183" s="3">
        <v>0.15</v>
      </c>
      <c r="E183" s="1" t="s">
        <v>3</v>
      </c>
      <c r="F183" s="9" t="s">
        <v>52</v>
      </c>
      <c r="G183" s="136" t="s">
        <v>189</v>
      </c>
      <c r="H183" s="216"/>
      <c r="I183" s="2" t="s">
        <v>12</v>
      </c>
      <c r="J183" s="3">
        <v>0.10249999999999999</v>
      </c>
      <c r="K183" s="3">
        <v>0.15</v>
      </c>
      <c r="L183" s="1" t="s">
        <v>3</v>
      </c>
      <c r="M183" s="9" t="s">
        <v>52</v>
      </c>
      <c r="N183" s="136" t="s">
        <v>189</v>
      </c>
    </row>
    <row r="184" spans="1:14" ht="15" x14ac:dyDescent="0.2">
      <c r="A184" s="83"/>
      <c r="B184" s="110" t="s">
        <v>5</v>
      </c>
      <c r="C184" s="29">
        <f>SUBTOTAL(109,C179:C183)</f>
        <v>1</v>
      </c>
      <c r="D184" s="29">
        <f>SUBTOTAL(109,D179:D183)</f>
        <v>1.27</v>
      </c>
      <c r="E184" s="121" t="s">
        <v>189</v>
      </c>
      <c r="F184" s="122" t="s">
        <v>189</v>
      </c>
      <c r="G184" s="116" t="s">
        <v>189</v>
      </c>
      <c r="H184" s="216"/>
      <c r="I184" s="28" t="s">
        <v>5</v>
      </c>
      <c r="J184" s="29">
        <f>SUBTOTAL(109,J179:J183)</f>
        <v>1</v>
      </c>
      <c r="K184" s="29">
        <f>SUBTOTAL(109,K179:K183)</f>
        <v>1.0999999999999999</v>
      </c>
      <c r="L184" s="122" t="s">
        <v>189</v>
      </c>
      <c r="M184" s="122" t="s">
        <v>189</v>
      </c>
      <c r="N184" s="116" t="s">
        <v>189</v>
      </c>
    </row>
    <row r="185" spans="1:14" x14ac:dyDescent="0.2">
      <c r="A185" s="83"/>
      <c r="B185" s="108" t="s">
        <v>6</v>
      </c>
      <c r="C185" s="11">
        <v>6.6699999999999995E-2</v>
      </c>
      <c r="D185" s="11">
        <v>0.06</v>
      </c>
      <c r="E185" s="1" t="s">
        <v>4</v>
      </c>
      <c r="F185" s="9" t="s">
        <v>58</v>
      </c>
      <c r="G185" s="1" t="s">
        <v>19</v>
      </c>
      <c r="H185" s="216"/>
      <c r="I185" s="2" t="s">
        <v>6</v>
      </c>
      <c r="J185" s="3">
        <v>0</v>
      </c>
      <c r="K185" s="11">
        <v>0.16</v>
      </c>
      <c r="L185" s="1" t="s">
        <v>4</v>
      </c>
      <c r="M185" s="9" t="s">
        <v>135</v>
      </c>
      <c r="N185" s="1" t="s">
        <v>19</v>
      </c>
    </row>
    <row r="186" spans="1:14" ht="30" x14ac:dyDescent="0.2">
      <c r="A186" s="83"/>
      <c r="B186" s="110" t="s">
        <v>230</v>
      </c>
      <c r="C186" s="69">
        <v>2E-3</v>
      </c>
      <c r="D186" s="115" t="s">
        <v>189</v>
      </c>
      <c r="E186" s="135" t="s">
        <v>189</v>
      </c>
      <c r="F186" s="135" t="s">
        <v>189</v>
      </c>
      <c r="G186" s="179" t="s">
        <v>189</v>
      </c>
      <c r="H186" s="216"/>
      <c r="I186" s="110" t="s">
        <v>230</v>
      </c>
      <c r="J186" s="69">
        <v>2E-3</v>
      </c>
      <c r="K186" s="115" t="s">
        <v>189</v>
      </c>
      <c r="L186" s="135" t="s">
        <v>189</v>
      </c>
      <c r="M186" s="135" t="s">
        <v>189</v>
      </c>
      <c r="N186" s="179" t="s">
        <v>189</v>
      </c>
    </row>
    <row r="187" spans="1:14" ht="21" customHeight="1" x14ac:dyDescent="0.2">
      <c r="A187" s="74" t="s">
        <v>8</v>
      </c>
      <c r="B187" s="75"/>
      <c r="C187" s="76"/>
      <c r="D187" s="77"/>
      <c r="E187" s="76"/>
      <c r="F187" s="76"/>
      <c r="G187" s="181"/>
      <c r="H187" s="217" t="s">
        <v>8</v>
      </c>
      <c r="I187" s="171" t="s">
        <v>189</v>
      </c>
      <c r="J187" s="172" t="s">
        <v>189</v>
      </c>
      <c r="K187" s="172" t="s">
        <v>189</v>
      </c>
      <c r="L187" s="172" t="s">
        <v>189</v>
      </c>
      <c r="M187" s="172" t="s">
        <v>189</v>
      </c>
      <c r="N187" s="183" t="s">
        <v>189</v>
      </c>
    </row>
    <row r="188" spans="1:14" s="99" customFormat="1" ht="18.75" customHeight="1" x14ac:dyDescent="0.2">
      <c r="A188" s="61" t="s">
        <v>137</v>
      </c>
      <c r="B188" s="62"/>
      <c r="C188" s="197"/>
      <c r="D188" s="197"/>
      <c r="E188" s="218"/>
      <c r="F188" s="197"/>
      <c r="G188" s="219"/>
      <c r="H188" s="220" t="s">
        <v>137</v>
      </c>
      <c r="I188" s="221"/>
      <c r="J188" s="197"/>
      <c r="K188" s="197"/>
      <c r="L188" s="197"/>
      <c r="M188" s="197"/>
      <c r="N188" s="219"/>
    </row>
    <row r="189" spans="1:14" ht="18.75" customHeight="1" x14ac:dyDescent="0.2">
      <c r="A189" s="59" t="s">
        <v>136</v>
      </c>
      <c r="B189" s="63"/>
      <c r="C189" s="198"/>
      <c r="D189" s="198"/>
      <c r="E189" s="222"/>
      <c r="F189" s="198"/>
      <c r="G189" s="219"/>
      <c r="H189" s="223" t="s">
        <v>136</v>
      </c>
      <c r="I189" s="224"/>
      <c r="J189" s="198"/>
      <c r="K189" s="198"/>
      <c r="L189" s="198"/>
      <c r="M189" s="198"/>
      <c r="N189" s="219"/>
    </row>
    <row r="190" spans="1:14" ht="18" customHeight="1" x14ac:dyDescent="0.2">
      <c r="A190" s="78"/>
      <c r="B190" s="75"/>
      <c r="C190" s="76"/>
      <c r="D190" s="77"/>
      <c r="E190" s="76"/>
      <c r="F190" s="76"/>
      <c r="G190" s="181"/>
      <c r="H190" s="79"/>
      <c r="I190" s="79"/>
      <c r="J190" s="80"/>
      <c r="K190" s="81"/>
      <c r="L190" s="80"/>
      <c r="M190" s="80"/>
      <c r="N190" s="182"/>
    </row>
    <row r="10000" spans="15:52" x14ac:dyDescent="0.2">
      <c r="O10000" s="98">
        <v>87</v>
      </c>
      <c r="P10000" s="98">
        <v>31</v>
      </c>
      <c r="Q10000" s="98">
        <v>30</v>
      </c>
      <c r="R10000" s="98">
        <v>31</v>
      </c>
      <c r="S10000" s="98">
        <v>38</v>
      </c>
      <c r="AZ10000" s="98">
        <v>30</v>
      </c>
    </row>
  </sheetData>
  <mergeCells count="2">
    <mergeCell ref="A1:E1"/>
    <mergeCell ref="H1:K1"/>
  </mergeCells>
  <hyperlinks>
    <hyperlink ref="A189" r:id="rId1" display="https://www.moreinvest.co.il/media/5jfhbei0/res_%D7%9E%D7%93%D7%99%D7%A0%D7%99%D7%95%D7%AA-%D7%94%D7%A9%D7%AA%D7%AA%D7%A4%D7%95%D7%AA-%D7%91%D7%90%D7%A1%D7%99%D7%A4%D7%95%D7%AA-%D7%9B%D7%9C%D7%9C%D7%99%D7%95%D7%AA-15-8-2023-1.pdf" xr:uid="{815D6726-D699-4A22-BD7F-E0BF01DDE68D}"/>
    <hyperlink ref="H189" r:id="rId2" display="https://www.moreinvest.co.il/media/5jfhbei0/res_%D7%9E%D7%93%D7%99%D7%A0%D7%99%D7%95%D7%AA-%D7%94%D7%A9%D7%AA%D7%AA%D7%A4%D7%95%D7%AA-%D7%91%D7%90%D7%A1%D7%99%D7%A4%D7%95%D7%AA-%D7%9B%D7%9C%D7%9C%D7%99%D7%95%D7%AA-15-8-2023-1.pdf" xr:uid="{E98BE257-74C7-4631-A1B6-08E2411DB445}"/>
  </hyperlinks>
  <pageMargins left="0.7" right="0.7" top="0.75" bottom="0.75" header="0.3" footer="0.3"/>
  <pageSetup paperSize="9" scale="15" orientation="portrait" r:id="rId3"/>
  <drawing r:id="rId4"/>
  <tableParts count="30"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גמל- מדיניות מוצהרת </vt:lpstr>
      <vt:lpstr>פנסיה - מדיניות מוצהרת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7_17_0_2024_12</dc:title>
  <dc:creator>Adi Cohen</dc:creator>
  <cp:lastModifiedBy>Avishai Fridson</cp:lastModifiedBy>
  <cp:lastPrinted>2025-12-02T12:20:37Z</cp:lastPrinted>
  <dcterms:created xsi:type="dcterms:W3CDTF">2019-11-21T10:57:46Z</dcterms:created>
  <dcterms:modified xsi:type="dcterms:W3CDTF">2026-04-20T07:48:49Z</dcterms:modified>
  <dc:language>עברית</dc:language>
</cp:coreProperties>
</file>