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_ofeks\Desktop\רשימות נכסים 4\"/>
    </mc:Choice>
  </mc:AlternateContent>
  <xr:revisionPtr revIDLastSave="0" documentId="13_ncr:1_{3C0B1BE2-20DC-46DF-8FA2-F7DD69F7FC98}" xr6:coauthVersionLast="47" xr6:coauthVersionMax="47" xr10:uidLastSave="{00000000-0000-0000-0000-000000000000}"/>
  <bookViews>
    <workbookView xWindow="-108" yWindow="-108" windowWidth="23256" windowHeight="12456" tabRatio="944" firstSheet="25" activeTab="32" xr2:uid="{1551795C-45CD-4FD5-9CDB-CE28268C9D93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חוב'!$A$1:$AJ$296</definedName>
    <definedName name="_xlnm._FilterDatabase" localSheetId="31" hidden="1">'אפשרויות בחירה'!$A$1:$D$1040</definedName>
    <definedName name="_xlnm._FilterDatabase" localSheetId="23" hidden="1">הלוואות!$A$1:$BA$33</definedName>
    <definedName name="_xlnm._FilterDatabase" localSheetId="30" hidden="1">'יתרות התחייבות להשקעה'!$A$1:$Q$46</definedName>
    <definedName name="_xlnm._FilterDatabase" localSheetId="17" hidden="1">'לא סחיר איגרות חוב'!$A$1:$AL$33</definedName>
    <definedName name="_xlnm._FilterDatabase" localSheetId="2" hidden="1">'מזומנים ושווי מזומנים'!$A$1:$R$14</definedName>
    <definedName name="_xlnm._FilterDatabase" localSheetId="32" hidden="1">'מיפוי סעיפים'!$A$1:$D$795</definedName>
    <definedName name="_xlnm._FilterDatabase" localSheetId="6" hidden="1">'מניות מבכ ויהש'!$A$1:$X$129</definedName>
    <definedName name="_xlnm._FilterDatabase" localSheetId="19" hidden="1">'קרנות השקעה'!$A$1:$Z$58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3" l="1"/>
  <c r="O3" i="3"/>
  <c r="L3" i="3"/>
  <c r="C13" i="38" l="1"/>
  <c r="C15" i="38" s="1"/>
  <c r="AI3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" i="6"/>
  <c r="S8" i="29" l="1"/>
  <c r="S7" i="29"/>
  <c r="S6" i="29"/>
  <c r="AJ9" i="6" l="1"/>
  <c r="AJ17" i="6"/>
  <c r="AJ25" i="6"/>
  <c r="AJ33" i="6"/>
  <c r="AJ41" i="6"/>
  <c r="AJ49" i="6"/>
  <c r="AJ57" i="6"/>
  <c r="AJ65" i="6"/>
  <c r="AJ73" i="6"/>
  <c r="AJ81" i="6"/>
  <c r="AJ89" i="6"/>
  <c r="AJ97" i="6"/>
  <c r="AJ105" i="6"/>
  <c r="AJ113" i="6"/>
  <c r="AJ121" i="6"/>
  <c r="AJ129" i="6"/>
  <c r="AJ137" i="6"/>
  <c r="AJ145" i="6"/>
  <c r="AJ153" i="6"/>
  <c r="AJ161" i="6"/>
  <c r="AJ169" i="6"/>
  <c r="AJ177" i="6"/>
  <c r="AJ185" i="6"/>
  <c r="AJ193" i="6"/>
  <c r="AJ201" i="6"/>
  <c r="AJ209" i="6"/>
  <c r="AJ217" i="6"/>
  <c r="AJ225" i="6"/>
  <c r="AJ3" i="6"/>
  <c r="AJ35" i="6"/>
  <c r="AJ51" i="6"/>
  <c r="AJ67" i="6"/>
  <c r="AJ83" i="6"/>
  <c r="AJ91" i="6"/>
  <c r="AJ107" i="6"/>
  <c r="AJ123" i="6"/>
  <c r="AJ139" i="6"/>
  <c r="AJ155" i="6"/>
  <c r="AJ171" i="6"/>
  <c r="AJ179" i="6"/>
  <c r="AJ195" i="6"/>
  <c r="AJ211" i="6"/>
  <c r="AJ12" i="6"/>
  <c r="AJ76" i="6"/>
  <c r="AJ100" i="6"/>
  <c r="AJ124" i="6"/>
  <c r="AJ140" i="6"/>
  <c r="AJ164" i="6"/>
  <c r="AJ188" i="6"/>
  <c r="AJ204" i="6"/>
  <c r="AJ11" i="6"/>
  <c r="AJ19" i="6"/>
  <c r="AJ27" i="6"/>
  <c r="AJ43" i="6"/>
  <c r="AJ59" i="6"/>
  <c r="AJ75" i="6"/>
  <c r="AJ99" i="6"/>
  <c r="AJ115" i="6"/>
  <c r="AJ131" i="6"/>
  <c r="AJ147" i="6"/>
  <c r="AJ163" i="6"/>
  <c r="AJ187" i="6"/>
  <c r="AJ203" i="6"/>
  <c r="AJ219" i="6"/>
  <c r="AJ20" i="6"/>
  <c r="AJ116" i="6"/>
  <c r="AJ156" i="6"/>
  <c r="AJ180" i="6"/>
  <c r="AJ212" i="6"/>
  <c r="AJ4" i="6"/>
  <c r="AJ28" i="6"/>
  <c r="AJ36" i="6"/>
  <c r="AJ44" i="6"/>
  <c r="AJ52" i="6"/>
  <c r="AJ60" i="6"/>
  <c r="AJ68" i="6"/>
  <c r="AJ84" i="6"/>
  <c r="AJ92" i="6"/>
  <c r="AJ108" i="6"/>
  <c r="AJ132" i="6"/>
  <c r="AJ148" i="6"/>
  <c r="AJ172" i="6"/>
  <c r="AJ196" i="6"/>
  <c r="AJ220" i="6"/>
  <c r="AJ5" i="6"/>
  <c r="AJ21" i="6"/>
  <c r="AJ37" i="6"/>
  <c r="AJ53" i="6"/>
  <c r="AJ69" i="6"/>
  <c r="AJ85" i="6"/>
  <c r="AJ101" i="6"/>
  <c r="AJ117" i="6"/>
  <c r="AJ133" i="6"/>
  <c r="AJ141" i="6"/>
  <c r="AJ157" i="6"/>
  <c r="AJ173" i="6"/>
  <c r="AJ189" i="6"/>
  <c r="AJ197" i="6"/>
  <c r="AJ213" i="6"/>
  <c r="AJ206" i="6"/>
  <c r="AJ13" i="6"/>
  <c r="AJ29" i="6"/>
  <c r="AJ45" i="6"/>
  <c r="AJ61" i="6"/>
  <c r="AJ77" i="6"/>
  <c r="AJ93" i="6"/>
  <c r="AJ109" i="6"/>
  <c r="AJ125" i="6"/>
  <c r="AJ149" i="6"/>
  <c r="AJ165" i="6"/>
  <c r="AJ181" i="6"/>
  <c r="AJ205" i="6"/>
  <c r="AJ221" i="6"/>
  <c r="AJ14" i="6"/>
  <c r="AJ94" i="6"/>
  <c r="AJ118" i="6"/>
  <c r="AJ134" i="6"/>
  <c r="AJ150" i="6"/>
  <c r="AJ166" i="6"/>
  <c r="AJ182" i="6"/>
  <c r="AJ198" i="6"/>
  <c r="AJ222" i="6"/>
  <c r="AJ6" i="6"/>
  <c r="AJ22" i="6"/>
  <c r="AJ30" i="6"/>
  <c r="AJ38" i="6"/>
  <c r="AJ46" i="6"/>
  <c r="AJ54" i="6"/>
  <c r="AJ62" i="6"/>
  <c r="AJ70" i="6"/>
  <c r="AJ78" i="6"/>
  <c r="AJ86" i="6"/>
  <c r="AJ102" i="6"/>
  <c r="AJ110" i="6"/>
  <c r="AJ126" i="6"/>
  <c r="AJ142" i="6"/>
  <c r="AJ158" i="6"/>
  <c r="AJ174" i="6"/>
  <c r="AJ190" i="6"/>
  <c r="AJ214" i="6"/>
  <c r="AJ223" i="6"/>
  <c r="AJ7" i="6"/>
  <c r="AJ15" i="6"/>
  <c r="AJ23" i="6"/>
  <c r="AJ31" i="6"/>
  <c r="AJ39" i="6"/>
  <c r="AJ47" i="6"/>
  <c r="AJ55" i="6"/>
  <c r="AJ63" i="6"/>
  <c r="AJ71" i="6"/>
  <c r="AJ79" i="6"/>
  <c r="AJ87" i="6"/>
  <c r="AJ95" i="6"/>
  <c r="AJ103" i="6"/>
  <c r="AJ111" i="6"/>
  <c r="AJ119" i="6"/>
  <c r="AJ127" i="6"/>
  <c r="AJ135" i="6"/>
  <c r="AJ143" i="6"/>
  <c r="AJ151" i="6"/>
  <c r="AJ159" i="6"/>
  <c r="AJ167" i="6"/>
  <c r="AJ175" i="6"/>
  <c r="AJ183" i="6"/>
  <c r="AJ191" i="6"/>
  <c r="AJ199" i="6"/>
  <c r="AJ207" i="6"/>
  <c r="AJ215" i="6"/>
  <c r="AJ8" i="6"/>
  <c r="AJ16" i="6"/>
  <c r="AJ24" i="6"/>
  <c r="AJ32" i="6"/>
  <c r="AJ40" i="6"/>
  <c r="AJ48" i="6"/>
  <c r="AJ56" i="6"/>
  <c r="AJ64" i="6"/>
  <c r="AJ72" i="6"/>
  <c r="AJ80" i="6"/>
  <c r="AJ88" i="6"/>
  <c r="AJ96" i="6"/>
  <c r="AJ104" i="6"/>
  <c r="AJ112" i="6"/>
  <c r="AJ120" i="6"/>
  <c r="AJ128" i="6"/>
  <c r="AJ136" i="6"/>
  <c r="AJ144" i="6"/>
  <c r="AJ152" i="6"/>
  <c r="AJ160" i="6"/>
  <c r="AJ168" i="6"/>
  <c r="AJ176" i="6"/>
  <c r="AJ184" i="6"/>
  <c r="AJ192" i="6"/>
  <c r="AJ200" i="6"/>
  <c r="AJ208" i="6"/>
  <c r="AJ216" i="6"/>
  <c r="AJ224" i="6"/>
  <c r="AJ10" i="6"/>
  <c r="AJ138" i="6"/>
  <c r="AJ146" i="6"/>
  <c r="AJ82" i="6"/>
  <c r="AJ210" i="6"/>
  <c r="AJ186" i="6"/>
  <c r="AJ26" i="6"/>
  <c r="AJ154" i="6"/>
  <c r="AJ2" i="6"/>
  <c r="AJ58" i="6"/>
  <c r="AJ178" i="6"/>
  <c r="AJ98" i="6"/>
  <c r="AJ226" i="6"/>
  <c r="AJ42" i="6"/>
  <c r="AJ170" i="6"/>
  <c r="AJ18" i="6"/>
  <c r="AJ50" i="6"/>
  <c r="AJ114" i="6"/>
  <c r="AJ194" i="6"/>
  <c r="AJ130" i="6"/>
  <c r="AJ74" i="6"/>
  <c r="AJ202" i="6"/>
  <c r="AJ90" i="6"/>
  <c r="AJ218" i="6"/>
  <c r="AJ34" i="6"/>
  <c r="AJ162" i="6"/>
  <c r="AJ106" i="6"/>
  <c r="AJ122" i="6"/>
  <c r="AJ66" i="6"/>
</calcChain>
</file>

<file path=xl/sharedStrings.xml><?xml version="1.0" encoding="utf-8"?>
<sst xmlns="http://schemas.openxmlformats.org/spreadsheetml/2006/main" count="20776" uniqueCount="2855">
  <si>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</si>
  <si>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</si>
  <si>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</si>
  <si>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</si>
  <si>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</si>
  <si>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</si>
  <si>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</si>
  <si>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</si>
  <si>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</si>
  <si>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</si>
  <si>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</si>
  <si>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</si>
  <si>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</si>
  <si>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</si>
  <si>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</si>
  <si>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</si>
  <si>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</si>
  <si>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</si>
  <si>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</si>
  <si>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</si>
  <si>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</si>
  <si>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</si>
  <si>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</si>
  <si>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</si>
  <si>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</si>
  <si>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</si>
  <si>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</si>
  <si>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</si>
  <si>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</si>
  <si>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</si>
  <si>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</si>
  <si>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</si>
  <si>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</si>
  <si>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</si>
  <si>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</si>
  <si>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</si>
  <si>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</si>
  <si>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</si>
  <si>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</si>
  <si>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</si>
  <si>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</si>
  <si>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</si>
  <si>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</si>
  <si>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</si>
  <si>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</si>
  <si>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</si>
  <si>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</si>
  <si>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</si>
  <si>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</si>
  <si>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</si>
  <si>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</si>
  <si>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</si>
  <si>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</si>
  <si>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</si>
  <si>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</si>
  <si>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</si>
  <si>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</si>
  <si>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</si>
  <si>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</si>
  <si>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</si>
  <si>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</si>
  <si>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</si>
  <si>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</si>
  <si>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</si>
  <si>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</si>
  <si>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</si>
  <si>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</si>
  <si>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</si>
  <si>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</si>
  <si>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</si>
  <si>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</si>
  <si>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</si>
  <si>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</si>
  <si>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</si>
  <si>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</si>
  <si>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</si>
  <si>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</si>
  <si>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</si>
  <si>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</si>
  <si>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</si>
  <si>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</si>
  <si>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</si>
  <si>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</si>
  <si>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</si>
  <si>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</si>
  <si>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</si>
  <si>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</si>
  <si>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</si>
  <si>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</si>
  <si>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</si>
  <si>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</si>
  <si>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</si>
  <si>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</si>
  <si>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</si>
  <si>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</si>
  <si>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</si>
  <si>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</si>
  <si>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</si>
  <si>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</si>
  <si>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</si>
  <si>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</si>
  <si>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</si>
  <si>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</si>
  <si>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</si>
  <si>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</si>
  <si>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</si>
  <si>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</si>
  <si>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</si>
  <si>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</si>
  <si>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</si>
  <si>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</si>
  <si>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</si>
  <si>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</si>
  <si>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</si>
  <si>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</si>
  <si>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</si>
  <si>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</si>
  <si>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</si>
  <si>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</si>
  <si>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</si>
  <si>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</si>
  <si>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</si>
  <si>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</si>
  <si>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</si>
  <si>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</si>
  <si>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</si>
  <si>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</si>
  <si>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</si>
  <si>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</si>
  <si>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</si>
  <si>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</si>
  <si>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</si>
  <si>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</si>
  <si>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</si>
  <si>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</si>
  <si>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</si>
  <si>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</si>
  <si>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</si>
  <si>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</si>
  <si>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</si>
  <si>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</si>
  <si>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</si>
  <si>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</si>
  <si>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</si>
  <si>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</si>
  <si>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</si>
  <si>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</si>
  <si>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</si>
  <si>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</si>
  <si>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</si>
  <si>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</si>
  <si>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</si>
  <si>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</si>
  <si>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</si>
  <si>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</si>
  <si>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</si>
  <si>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</si>
  <si>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</si>
  <si>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</si>
  <si>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</si>
  <si>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</si>
  <si>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</si>
  <si>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</si>
  <si>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</si>
  <si>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</si>
  <si>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</si>
  <si>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</si>
  <si>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</si>
  <si>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</si>
  <si>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</si>
  <si>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</si>
  <si>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</si>
  <si>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</si>
  <si>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</si>
  <si>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</si>
  <si>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</si>
  <si>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</si>
  <si>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</si>
  <si>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</si>
  <si>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</si>
  <si>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</si>
  <si>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</si>
  <si>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</si>
  <si>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</si>
  <si>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</si>
  <si>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</si>
  <si>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</si>
  <si>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</si>
  <si>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</si>
  <si>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</si>
  <si>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</si>
  <si>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</si>
  <si>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</si>
  <si>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</si>
  <si>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</si>
  <si>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</si>
  <si>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</si>
  <si>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</si>
  <si>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</si>
  <si>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</si>
  <si>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</si>
  <si>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</si>
  <si>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</si>
  <si>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</si>
  <si>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</si>
  <si>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</si>
  <si>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</si>
  <si>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</si>
  <si>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</si>
  <si>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</si>
  <si>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</si>
  <si>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</si>
  <si>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</si>
  <si>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</si>
  <si>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</si>
  <si>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</si>
  <si>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</si>
  <si>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</si>
  <si>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</si>
  <si>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</si>
  <si>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</si>
  <si>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</si>
  <si>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</si>
  <si>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</si>
  <si>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</si>
  <si>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</si>
  <si>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</si>
  <si>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</si>
  <si>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</si>
  <si>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</si>
  <si>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</si>
  <si>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</si>
  <si>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</si>
  <si>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</si>
  <si>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</si>
  <si>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</si>
  <si>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</si>
  <si>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</si>
  <si>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</si>
  <si>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</si>
  <si>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</si>
  <si>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</si>
  <si>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</si>
  <si>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</si>
  <si>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</si>
  <si>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</si>
  <si>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</si>
  <si>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</si>
  <si>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</si>
  <si>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</si>
  <si>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</si>
  <si>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</si>
  <si>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</si>
  <si>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</si>
  <si>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</si>
  <si>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</si>
  <si>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</si>
  <si>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</si>
  <si>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</si>
  <si>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</si>
  <si>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</si>
  <si>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</si>
  <si>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</si>
  <si>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</si>
  <si>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</si>
  <si>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</si>
  <si>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</si>
  <si>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</si>
  <si>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</si>
  <si>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</si>
  <si>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</si>
  <si>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</si>
  <si>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</si>
  <si>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</si>
  <si>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</si>
  <si>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</si>
  <si>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</si>
  <si>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</si>
  <si>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</si>
  <si>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</si>
  <si>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</si>
  <si>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</si>
  <si>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</si>
  <si>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</si>
  <si>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</si>
  <si>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</si>
  <si>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</si>
  <si>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</si>
  <si>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</si>
  <si>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</si>
  <si>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</si>
  <si>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</si>
  <si>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</si>
  <si>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</si>
  <si>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</si>
  <si>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</si>
  <si>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</si>
  <si>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</si>
  <si>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</si>
  <si>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</si>
  <si>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</si>
  <si>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</si>
  <si>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</si>
  <si>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</si>
  <si>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</si>
  <si>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</si>
  <si>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</si>
  <si>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</si>
  <si>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</si>
  <si>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</si>
  <si>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</si>
  <si>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</si>
  <si>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</si>
  <si>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</si>
  <si>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</si>
  <si>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</si>
  <si>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</si>
  <si>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</si>
  <si>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</si>
  <si>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</si>
  <si>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</si>
  <si>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</si>
  <si>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</si>
  <si>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</si>
  <si>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</si>
  <si>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</si>
  <si>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</si>
  <si>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</si>
  <si>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</si>
  <si>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</si>
  <si>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</si>
  <si>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</si>
  <si>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</si>
  <si>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</si>
  <si>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</si>
  <si>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</si>
  <si>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</si>
  <si>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</si>
  <si>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</si>
  <si>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</si>
  <si>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</si>
  <si>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</si>
  <si>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</si>
  <si>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</si>
  <si>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</si>
  <si>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</si>
  <si>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</si>
  <si>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</si>
  <si>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</si>
  <si>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</si>
  <si>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</si>
  <si>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</si>
  <si>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</si>
  <si>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</si>
  <si>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</si>
  <si>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</si>
  <si>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</si>
  <si>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</si>
  <si>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</si>
  <si>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</si>
  <si>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</si>
  <si>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</si>
  <si>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</si>
  <si>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</si>
  <si>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</si>
  <si>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</si>
  <si>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</si>
  <si>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</si>
  <si>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</si>
  <si>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</si>
  <si>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</si>
  <si>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</si>
  <si>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</si>
  <si>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</si>
  <si>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</si>
  <si>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</si>
  <si>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</si>
  <si>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</si>
  <si>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</si>
  <si>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</si>
  <si>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</si>
  <si>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</si>
  <si>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</si>
  <si>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</si>
  <si>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</si>
  <si>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</si>
  <si>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</si>
  <si>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</si>
  <si>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</si>
  <si>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</si>
  <si>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</si>
  <si>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</si>
  <si>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</si>
  <si>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</si>
  <si>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</si>
  <si>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</si>
  <si>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</si>
  <si>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</si>
  <si>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</si>
  <si>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</si>
  <si>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</si>
  <si>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</si>
  <si>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</si>
  <si>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</si>
  <si>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</si>
  <si>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</si>
  <si>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</si>
  <si>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</si>
  <si>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</si>
  <si>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</si>
  <si>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</si>
  <si>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</si>
  <si>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</si>
  <si>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</si>
  <si>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</si>
  <si>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</si>
  <si>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</si>
  <si>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</si>
  <si>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</si>
  <si>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</si>
  <si>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</si>
  <si>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</si>
  <si>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</si>
  <si>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</si>
  <si>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</si>
  <si>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</si>
  <si>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</si>
  <si>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</si>
  <si>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</si>
  <si>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</si>
  <si>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</si>
  <si>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</si>
  <si>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</si>
  <si>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</si>
  <si>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</si>
  <si>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</si>
  <si>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</si>
  <si>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</si>
  <si>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</si>
  <si>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</si>
  <si>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</si>
  <si>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</si>
  <si>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</si>
  <si>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</si>
  <si>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</si>
  <si>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</si>
  <si>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</si>
  <si>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</si>
  <si>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</si>
  <si>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</si>
  <si>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</si>
  <si>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</si>
  <si>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</si>
  <si>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</si>
  <si>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</si>
  <si>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</si>
  <si>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</si>
  <si>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</si>
  <si>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</si>
  <si>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</si>
  <si>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</si>
  <si>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</si>
  <si>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</si>
  <si>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</si>
  <si>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</si>
  <si>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</si>
  <si>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</si>
  <si>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</si>
  <si>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</si>
  <si>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</si>
  <si>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</si>
  <si>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</si>
  <si>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</si>
  <si>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</si>
  <si>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</si>
  <si>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</si>
  <si>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</si>
  <si>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</si>
  <si>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</si>
  <si>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</si>
  <si>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</si>
  <si>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</si>
  <si>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</si>
  <si>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</si>
  <si>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</si>
  <si>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</si>
  <si>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</si>
  <si>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</si>
  <si>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</si>
  <si>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</si>
  <si>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</si>
  <si>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</si>
  <si>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</si>
  <si>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</si>
  <si>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</si>
  <si>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</si>
  <si>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</si>
  <si>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</si>
  <si>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</si>
  <si>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</si>
  <si>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</si>
  <si>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</si>
  <si>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</si>
  <si>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</si>
  <si>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</si>
  <si>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</si>
  <si>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</si>
  <si>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</si>
  <si>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</si>
  <si>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</si>
  <si>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</si>
  <si>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</si>
  <si>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</si>
  <si>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</si>
  <si>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</si>
  <si>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</si>
  <si>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</si>
  <si>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</si>
  <si>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</si>
  <si>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</si>
  <si>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</si>
  <si>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</si>
  <si>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</si>
  <si>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</si>
  <si>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</si>
  <si>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</si>
  <si>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</si>
  <si>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</si>
  <si>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</si>
  <si>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</si>
  <si>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</si>
  <si>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</si>
  <si>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</si>
  <si>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</si>
  <si>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</si>
  <si>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</si>
  <si>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</si>
  <si>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</si>
  <si>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</si>
  <si>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</si>
  <si>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</si>
  <si>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</si>
  <si>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</si>
  <si>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</si>
  <si>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</si>
  <si>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</si>
  <si>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</si>
  <si>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</si>
  <si>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</si>
  <si>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</si>
  <si>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</si>
  <si>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</si>
  <si>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</si>
  <si>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</si>
  <si>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</si>
  <si>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</si>
  <si>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</si>
  <si>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</si>
  <si>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</si>
  <si>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</si>
  <si>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</si>
  <si>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</si>
  <si>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</si>
  <si>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</si>
  <si>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</si>
  <si>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</si>
  <si>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</si>
  <si>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</si>
  <si>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</si>
  <si>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</si>
  <si>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</si>
  <si>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</si>
  <si>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</si>
  <si>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</si>
  <si>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</si>
  <si>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</si>
  <si>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</si>
  <si>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</si>
  <si>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</si>
  <si>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</si>
  <si>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</si>
  <si>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</si>
  <si>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</si>
  <si>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</si>
  <si>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</si>
  <si>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</si>
  <si>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</si>
  <si>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</si>
  <si>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</si>
  <si>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</si>
  <si>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</si>
  <si>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</si>
  <si>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</si>
  <si>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</si>
  <si>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</si>
  <si>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</si>
  <si>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</si>
  <si>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</si>
  <si>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</si>
  <si>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</si>
  <si>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</si>
  <si>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</si>
  <si>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</si>
  <si>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</si>
  <si>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</si>
  <si>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</si>
  <si>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</si>
  <si>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</si>
  <si>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</si>
  <si>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</si>
  <si>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</si>
  <si>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</si>
  <si>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</si>
  <si>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</si>
  <si>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</si>
  <si>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</si>
  <si>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</si>
  <si>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</si>
  <si>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</si>
  <si>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</si>
  <si>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</si>
  <si>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</si>
  <si>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</si>
  <si>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</si>
  <si>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</si>
  <si>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</si>
  <si>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</si>
  <si>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</si>
  <si>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</si>
  <si>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</si>
  <si>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</si>
  <si>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</si>
  <si>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</si>
  <si>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</si>
  <si>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</si>
  <si>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</si>
  <si>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</si>
  <si>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</si>
  <si>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</si>
  <si>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</si>
  <si>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</si>
  <si>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</si>
  <si>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</si>
  <si>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</si>
  <si>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</si>
  <si>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</si>
  <si>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</si>
  <si>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</si>
  <si>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</si>
  <si>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</si>
  <si>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</si>
  <si>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</si>
  <si>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</si>
  <si>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</si>
  <si>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</si>
  <si>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</si>
  <si>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</si>
  <si>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</si>
  <si>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</si>
  <si>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</si>
  <si>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</si>
  <si>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</si>
  <si>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</si>
  <si>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</si>
  <si>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</si>
  <si>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</si>
  <si>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</si>
  <si>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</si>
  <si>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</si>
  <si>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</si>
  <si>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</si>
  <si>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</si>
  <si>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</si>
  <si>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</si>
  <si>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</si>
  <si>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</si>
  <si>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</si>
  <si>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</si>
  <si>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</si>
  <si>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</si>
  <si>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</si>
  <si>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</si>
  <si>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</si>
  <si>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</si>
  <si>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</si>
  <si>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</si>
  <si>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</si>
  <si>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</si>
  <si>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</si>
  <si>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</si>
  <si>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</si>
  <si>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</si>
  <si>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</si>
  <si>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</si>
  <si>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</si>
  <si>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</si>
  <si>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</si>
  <si>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</si>
  <si>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</si>
  <si>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</si>
  <si>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</si>
  <si>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</si>
  <si>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</si>
  <si>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</si>
  <si>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</si>
  <si>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</si>
  <si>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</si>
  <si>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</si>
  <si>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</si>
  <si>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</si>
  <si>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</si>
  <si>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</si>
  <si>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</si>
  <si>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</si>
  <si>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</si>
  <si>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</si>
  <si>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</si>
  <si>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</si>
  <si>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</si>
  <si>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</si>
  <si>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</si>
  <si>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</si>
  <si>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</si>
  <si>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</si>
  <si>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</si>
  <si>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</si>
  <si>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</si>
  <si>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</si>
  <si>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</si>
  <si>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</si>
  <si>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</si>
  <si>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</si>
  <si>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</si>
  <si>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</si>
  <si>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</si>
  <si>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</si>
  <si>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</si>
  <si>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</si>
  <si>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</si>
  <si>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</si>
  <si>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</si>
  <si>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</si>
  <si>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</si>
  <si>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</si>
  <si>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</si>
  <si>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</si>
  <si>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</si>
  <si>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</si>
  <si>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</si>
  <si>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</si>
  <si>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</si>
  <si>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</si>
  <si>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</si>
  <si>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</si>
  <si>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</si>
  <si>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</si>
  <si>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</si>
  <si>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</si>
  <si>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</si>
  <si>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</si>
  <si>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</si>
  <si>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</si>
  <si>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</si>
  <si>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</si>
  <si>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</si>
  <si>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</si>
  <si>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</si>
  <si>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</si>
  <si>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</si>
  <si>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</si>
  <si>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</si>
  <si>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</si>
  <si>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</si>
  <si>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</si>
  <si>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</si>
  <si>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</si>
  <si>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</si>
  <si>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</si>
  <si>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</si>
  <si>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</si>
  <si>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</si>
  <si>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</si>
  <si>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</si>
  <si>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</si>
  <si>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</si>
  <si>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</si>
  <si>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</si>
  <si>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</si>
  <si>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</si>
  <si>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</si>
  <si>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</si>
  <si>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</si>
  <si>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</si>
  <si>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</si>
  <si>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</si>
  <si>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</si>
  <si>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</si>
  <si>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</si>
  <si>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</si>
  <si>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</si>
  <si>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</si>
  <si>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</si>
  <si>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</si>
  <si>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</si>
  <si>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</si>
  <si>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</si>
  <si>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</si>
  <si>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</si>
  <si>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</si>
  <si>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</si>
  <si>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</si>
  <si>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</si>
  <si>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</si>
  <si>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</si>
  <si>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</si>
  <si>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</si>
  <si>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</si>
  <si>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</si>
  <si>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</si>
  <si>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</si>
  <si>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</si>
  <si>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</si>
  <si>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</si>
  <si>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</si>
  <si>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</si>
  <si>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</si>
  <si>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</si>
  <si>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</si>
  <si>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</si>
  <si>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</si>
  <si>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</si>
  <si>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</si>
  <si>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</si>
  <si>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</si>
  <si>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</si>
  <si>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</si>
  <si>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</si>
  <si>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</si>
  <si>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</si>
  <si>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</si>
  <si>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</si>
  <si>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</si>
  <si>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</si>
  <si>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</si>
  <si>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</si>
  <si>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</si>
  <si>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</si>
  <si>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</si>
  <si>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</si>
  <si>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</si>
  <si>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</si>
  <si>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</si>
  <si>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</si>
  <si>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</si>
  <si>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</si>
  <si>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</si>
  <si>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</si>
  <si>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</si>
  <si>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</si>
  <si>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</si>
  <si>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</si>
  <si>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</si>
  <si>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</si>
  <si>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</si>
  <si>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</si>
  <si>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</si>
  <si>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</si>
  <si>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</si>
  <si>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</si>
  <si>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</si>
  <si>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</si>
  <si>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</si>
  <si>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</si>
  <si>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</si>
  <si>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</si>
  <si>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</si>
  <si>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</si>
  <si>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</si>
  <si>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</si>
  <si>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</si>
  <si>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</si>
  <si>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</si>
  <si>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</si>
  <si>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</si>
  <si>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</si>
  <si>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</si>
  <si>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</si>
  <si>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</si>
  <si>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</si>
  <si>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</si>
  <si>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</si>
  <si>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</si>
  <si>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</si>
  <si>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</si>
  <si>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</si>
  <si>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</si>
  <si>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</si>
  <si>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</si>
  <si>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</si>
  <si>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</si>
  <si>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</si>
  <si>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</si>
  <si>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</si>
  <si>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</si>
  <si>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</si>
  <si>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</si>
  <si>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</si>
  <si>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</si>
  <si>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</si>
  <si>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</si>
  <si>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</si>
  <si>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</si>
  <si>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</si>
  <si>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</si>
  <si>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</si>
  <si>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</si>
  <si>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</si>
  <si>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</si>
  <si>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</si>
  <si>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</si>
  <si>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</si>
  <si>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</si>
  <si>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</si>
  <si>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</si>
  <si>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</si>
  <si>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</si>
  <si>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</si>
  <si>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</si>
  <si>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</si>
  <si>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</si>
  <si>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</si>
  <si>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</si>
  <si>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</si>
  <si>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</si>
  <si>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</si>
  <si>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</si>
  <si>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t>ידווח בקבצי נכסי הנוסטרו בלבד</t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</si>
  <si>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</si>
  <si>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</si>
  <si>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</si>
  <si>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</si>
  <si>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</si>
  <si>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</si>
  <si>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</si>
  <si>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</si>
  <si>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</si>
  <si>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</si>
  <si>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</si>
  <si>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</si>
  <si>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</si>
  <si>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</si>
  <si>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</si>
  <si>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</si>
  <si>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</si>
  <si>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</si>
  <si>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</si>
  <si>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</si>
  <si>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</si>
  <si>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</si>
  <si>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</si>
  <si>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</si>
  <si>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</si>
  <si>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</si>
  <si>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</si>
  <si>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</si>
  <si>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</si>
  <si>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</si>
  <si>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</si>
  <si>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</si>
  <si>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</si>
  <si>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</si>
  <si>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</si>
  <si>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</si>
  <si>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</si>
  <si>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</si>
  <si>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</si>
  <si>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</si>
  <si>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</si>
  <si>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</si>
  <si>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</si>
  <si>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</si>
  <si>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</si>
  <si>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</si>
  <si>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</si>
  <si>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</si>
  <si>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</si>
  <si>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</si>
  <si>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</si>
  <si>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</si>
  <si>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</si>
  <si>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</si>
  <si>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</si>
  <si>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</si>
  <si>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</si>
  <si>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</si>
  <si>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</si>
  <si>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</si>
  <si>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</si>
  <si>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</si>
  <si>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</si>
  <si>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</si>
  <si>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</si>
  <si>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</si>
  <si>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</si>
  <si>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</si>
  <si>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</si>
  <si>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</si>
  <si>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</si>
  <si>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</si>
  <si>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</si>
  <si>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</si>
  <si>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</si>
  <si>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</si>
  <si>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</si>
  <si>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</si>
  <si>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</si>
  <si>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</si>
  <si>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</si>
  <si>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</si>
  <si>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</si>
  <si>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</si>
  <si>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</si>
  <si>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</si>
  <si>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</si>
  <si>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</si>
  <si>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</si>
  <si>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</si>
  <si>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</si>
  <si>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</si>
  <si>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</si>
  <si>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</si>
  <si>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</si>
  <si>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</si>
  <si>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</si>
  <si>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</si>
  <si>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</si>
  <si>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</si>
  <si>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</si>
  <si>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</si>
  <si>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</si>
  <si>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</si>
  <si>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</si>
  <si>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</si>
  <si>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</si>
  <si>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</si>
  <si>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</si>
  <si>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</si>
  <si>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</si>
  <si>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</si>
  <si>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</si>
  <si>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</si>
  <si>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</si>
  <si>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</si>
  <si>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</si>
  <si>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</si>
  <si>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</si>
  <si>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</si>
  <si>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</si>
  <si>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</si>
  <si>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</si>
  <si>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</si>
  <si>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</si>
  <si>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</si>
  <si>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</si>
  <si>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</si>
  <si>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</si>
  <si>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</si>
  <si>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</si>
  <si>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</si>
  <si>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</si>
  <si>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</si>
  <si>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</si>
  <si>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</si>
  <si>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</si>
  <si>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</si>
  <si>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</si>
  <si>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</si>
  <si>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</si>
  <si>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</si>
  <si>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</si>
  <si>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</si>
  <si>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</si>
  <si>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</si>
  <si>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</si>
  <si>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</si>
  <si>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</si>
  <si>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</si>
  <si>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</si>
  <si>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</si>
  <si>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</si>
  <si>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</si>
  <si>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</si>
  <si>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</si>
  <si>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</si>
  <si>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</si>
  <si>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</si>
  <si>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</si>
  <si>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</si>
  <si>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</si>
  <si>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</si>
  <si>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</si>
  <si>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</si>
  <si>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</si>
  <si>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</si>
  <si>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</si>
  <si>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</si>
  <si>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</si>
  <si>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</si>
  <si>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</si>
  <si>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</si>
  <si>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</si>
  <si>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</si>
  <si>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</si>
  <si>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</si>
  <si>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</si>
  <si>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</si>
  <si>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</si>
  <si>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</si>
  <si>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</si>
  <si>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</si>
  <si>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</si>
  <si>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</si>
  <si>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</si>
  <si>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</si>
  <si>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</si>
  <si>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</si>
  <si>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</si>
  <si>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</si>
  <si>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</si>
  <si>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</si>
  <si>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</si>
  <si>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</si>
  <si>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</si>
  <si>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</si>
  <si>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</si>
  <si>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</si>
  <si>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</si>
  <si>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</si>
  <si>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</si>
  <si>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</si>
  <si>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</si>
  <si>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</si>
  <si>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נוסף במהדורה 12</t>
  </si>
  <si>
    <t>Repo</t>
  </si>
  <si>
    <t>Passenger Airlines</t>
  </si>
  <si>
    <t>Marine Transportation</t>
  </si>
  <si>
    <t>Ground Transportation</t>
  </si>
  <si>
    <t>Automobile Components</t>
  </si>
  <si>
    <t>Broadline Retail</t>
  </si>
  <si>
    <t>Consumer Staples Distribution &amp; Retail</t>
  </si>
  <si>
    <t>Personal Care Products</t>
  </si>
  <si>
    <t>Financial Services</t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</si>
  <si>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</si>
  <si>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</si>
  <si>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</si>
  <si>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</si>
  <si>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</si>
  <si>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</si>
  <si>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</si>
  <si>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</si>
  <si>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</si>
  <si>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</si>
  <si>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</si>
  <si>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</si>
  <si>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</si>
  <si>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</si>
  <si>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</si>
  <si>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</si>
  <si>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</si>
  <si>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</si>
  <si>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</si>
  <si>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</si>
  <si>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</si>
  <si>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</si>
  <si>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</si>
  <si>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</si>
  <si>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</si>
  <si>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</si>
  <si>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</si>
  <si>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</si>
  <si>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</si>
  <si>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</si>
  <si>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</si>
  <si>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</si>
  <si>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</si>
  <si>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</si>
  <si>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</si>
  <si>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</si>
  <si>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</si>
  <si>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</si>
  <si>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</si>
  <si>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</si>
  <si>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</si>
  <si>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</si>
  <si>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שווקים מתעוררים לפי הגדרת MSCI</t>
  </si>
  <si>
    <t>Airlines Passenger Airlines</t>
  </si>
  <si>
    <t>Marine Marine Transportation</t>
  </si>
  <si>
    <t>Road &amp; Rail Ground Transportation</t>
  </si>
  <si>
    <t>Auto Components Automobile Components</t>
  </si>
  <si>
    <t>Multiline Retail Broadline Retail</t>
  </si>
  <si>
    <t>Food &amp; Staples Retailing Consumer Staples Distribution &amp; Retail</t>
  </si>
  <si>
    <t>Personal Products Personal Care Products</t>
  </si>
  <si>
    <t>Diversified Financial Services Financial Services</t>
  </si>
  <si>
    <t xml:space="preserve">  </t>
  </si>
  <si>
    <t>Q4</t>
  </si>
  <si>
    <t>ilAAA</t>
  </si>
  <si>
    <t>ILS</t>
  </si>
  <si>
    <t>USD</t>
  </si>
  <si>
    <t>CHF</t>
  </si>
  <si>
    <t>GBP</t>
  </si>
  <si>
    <t>JPY</t>
  </si>
  <si>
    <t>CAD</t>
  </si>
  <si>
    <t>EUR</t>
  </si>
  <si>
    <t>AUD</t>
  </si>
  <si>
    <t>מדינת ישראל</t>
  </si>
  <si>
    <t>ממשל שקלית 0142</t>
  </si>
  <si>
    <t>IL0011254005</t>
  </si>
  <si>
    <t>ממשל שקלית 0327</t>
  </si>
  <si>
    <t>IL0011393449</t>
  </si>
  <si>
    <t>ממשל שקלית 0347</t>
  </si>
  <si>
    <t>IL0011401937</t>
  </si>
  <si>
    <t>ממשל צמודה 0527</t>
  </si>
  <si>
    <t>IL0011408478</t>
  </si>
  <si>
    <t>ממשל שקלית 0928</t>
  </si>
  <si>
    <t>IL0011508798</t>
  </si>
  <si>
    <t>ממשל צמודה 0529</t>
  </si>
  <si>
    <t>IL0011570236</t>
  </si>
  <si>
    <t>ממשל שקלית 0537</t>
  </si>
  <si>
    <t>IL0011661803</t>
  </si>
  <si>
    <t>ממשל משתנה 1130</t>
  </si>
  <si>
    <t>IL0011665523</t>
  </si>
  <si>
    <t>ממשל צמודה 0726</t>
  </si>
  <si>
    <t>IL0011695645</t>
  </si>
  <si>
    <t>ממשל צמודה 1131</t>
  </si>
  <si>
    <t>IL0011722209</t>
  </si>
  <si>
    <t>ממשל שקלית 0432</t>
  </si>
  <si>
    <t>IL0011806606</t>
  </si>
  <si>
    <t>ממשל שקלית 1152</t>
  </si>
  <si>
    <t>IL0011840761</t>
  </si>
  <si>
    <t>ממשל שקלית 0229</t>
  </si>
  <si>
    <t>IL0011948028</t>
  </si>
  <si>
    <t>ממשל צמודה 1028</t>
  </si>
  <si>
    <t>IL0011973265</t>
  </si>
  <si>
    <t>ממשל שקלית 0335</t>
  </si>
  <si>
    <t>IL0012023326</t>
  </si>
  <si>
    <t>ממשל שקלית 0927</t>
  </si>
  <si>
    <t>IL0012035791</t>
  </si>
  <si>
    <t>ממשל צמודה 1033</t>
  </si>
  <si>
    <t>IL0012043795</t>
  </si>
  <si>
    <t>ממשל משתנה 1134</t>
  </si>
  <si>
    <t>IL0012051459</t>
  </si>
  <si>
    <t>ממשל צמודה 0431</t>
  </si>
  <si>
    <t>IL0012207226</t>
  </si>
  <si>
    <t>ממשל קצרה 05/26</t>
  </si>
  <si>
    <t>IL0012239245</t>
  </si>
  <si>
    <t>ממשל שקלית 1035</t>
  </si>
  <si>
    <t>IL0012277849</t>
  </si>
  <si>
    <t>בנק ישראל</t>
  </si>
  <si>
    <t>מ.ק.מ. 516</t>
  </si>
  <si>
    <t>IL0082605150</t>
  </si>
  <si>
    <t>מ.ק.מ. 616</t>
  </si>
  <si>
    <t>IL0082606141</t>
  </si>
  <si>
    <t>מ.ק.מ. 1016</t>
  </si>
  <si>
    <t>IL0082610184</t>
  </si>
  <si>
    <t>STATE OF ISRAEL</t>
  </si>
  <si>
    <t>XS1551294413</t>
  </si>
  <si>
    <t>Baa1</t>
  </si>
  <si>
    <t>ISRAEL 6.5 31</t>
  </si>
  <si>
    <t>XS2715285230</t>
  </si>
  <si>
    <t>A2</t>
  </si>
  <si>
    <t>ISRAEL 5.75 54</t>
  </si>
  <si>
    <t>US46514BRM18</t>
  </si>
  <si>
    <t>ISRAEL 5.5 34</t>
  </si>
  <si>
    <t>US46514BRL35</t>
  </si>
  <si>
    <t>ISRAEL 5.375 29</t>
  </si>
  <si>
    <t>US46514BRN90</t>
  </si>
  <si>
    <t>ISRAEL 5.625 2/35</t>
  </si>
  <si>
    <t>US46514Y8B63</t>
  </si>
  <si>
    <t>אדמה פתרונות לחקלאות בע"מ</t>
  </si>
  <si>
    <t>אדמה אגח ב</t>
  </si>
  <si>
    <t>IL0011109159</t>
  </si>
  <si>
    <t>ilAA-</t>
  </si>
  <si>
    <t>אמות השקעות בע"מ</t>
  </si>
  <si>
    <t>אמות אגח ד</t>
  </si>
  <si>
    <t>IL0011331498</t>
  </si>
  <si>
    <t>ilAA</t>
  </si>
  <si>
    <t>איירפורט סיטי בע"מ</t>
  </si>
  <si>
    <t>ארפורט אגח ה</t>
  </si>
  <si>
    <t>IL0011334872</t>
  </si>
  <si>
    <t>שיכון ובינוי בע"מ</t>
  </si>
  <si>
    <t>שכון ובי אגח 8</t>
  </si>
  <si>
    <t>IL0011358889</t>
  </si>
  <si>
    <t>ilA</t>
  </si>
  <si>
    <t>קרסו מוטורס בע"מ</t>
  </si>
  <si>
    <t>קרסו מוט' אגח א</t>
  </si>
  <si>
    <t>IL0011364648</t>
  </si>
  <si>
    <t>ריט 1 בע"מ</t>
  </si>
  <si>
    <t>ריט 1 אגח ה</t>
  </si>
  <si>
    <t>IL0011367534</t>
  </si>
  <si>
    <t>ריט 1 אגח ו</t>
  </si>
  <si>
    <t>IL0011385445</t>
  </si>
  <si>
    <t>קבוצת עזריאלי בע"מ</t>
  </si>
  <si>
    <t>עזריאלי אגח ד</t>
  </si>
  <si>
    <t>IL0011386500</t>
  </si>
  <si>
    <t>Aa1.il</t>
  </si>
  <si>
    <t>ביג מרכזי קניות בע"מ</t>
  </si>
  <si>
    <t>ביג אגח ח</t>
  </si>
  <si>
    <t>IL0011389249</t>
  </si>
  <si>
    <t>סלע קפיטל נדל"ן בע"מ</t>
  </si>
  <si>
    <t>סלע נדלן אגח ג</t>
  </si>
  <si>
    <t>IL0011389736</t>
  </si>
  <si>
    <t>Aa3.il</t>
  </si>
  <si>
    <t>קבוצת אשטרום בע"מ</t>
  </si>
  <si>
    <t>אשטרום קב אגח ג</t>
  </si>
  <si>
    <t>IL0011401028</t>
  </si>
  <si>
    <t>רבוע כחול נדל"ן בע"מ</t>
  </si>
  <si>
    <t>רבוע נדלן אגח ו</t>
  </si>
  <si>
    <t>IL0011406076</t>
  </si>
  <si>
    <t>ביג אגח ט</t>
  </si>
  <si>
    <t>IL0011410508</t>
  </si>
  <si>
    <t>תמר פטרוליום בע"מ</t>
  </si>
  <si>
    <t>תמר פטרו אגח א</t>
  </si>
  <si>
    <t>IL0011413320</t>
  </si>
  <si>
    <t>A1.il</t>
  </si>
  <si>
    <t>קרסו מוט' אגח ג</t>
  </si>
  <si>
    <t>IL0011418295</t>
  </si>
  <si>
    <t>אפי נכסים בע"מ</t>
  </si>
  <si>
    <t>אפי נכסים אגח ח</t>
  </si>
  <si>
    <t>IL0011422313</t>
  </si>
  <si>
    <t>ilA+</t>
  </si>
  <si>
    <t>תמר פטרו אגח ב</t>
  </si>
  <si>
    <t>IL0011435935</t>
  </si>
  <si>
    <t>חברת נמלי ישראל-פיתוח נכסים בע</t>
  </si>
  <si>
    <t>נמלי ישראל אגחב</t>
  </si>
  <si>
    <t>IL0011455727</t>
  </si>
  <si>
    <t>נתיבי הגז הטבעי לישראל בע"מ</t>
  </si>
  <si>
    <t>נתיבי גז אגח ד</t>
  </si>
  <si>
    <t>IL0011475030</t>
  </si>
  <si>
    <t>ביג אגח יא</t>
  </si>
  <si>
    <t>IL0011511172</t>
  </si>
  <si>
    <t>מניבים קרן הריט החדשה בע"מ</t>
  </si>
  <si>
    <t>מניבים ריט אגחב</t>
  </si>
  <si>
    <t>IL0011559288</t>
  </si>
  <si>
    <t>שמוס אינטרנשיונל לימיטד</t>
  </si>
  <si>
    <t>שמוס אגח א</t>
  </si>
  <si>
    <t>IL0011559510</t>
  </si>
  <si>
    <t>חברת פרטנר תקשורת בע"מ</t>
  </si>
  <si>
    <t>פרטנר אגח ז</t>
  </si>
  <si>
    <t>IL0011563975</t>
  </si>
  <si>
    <t>עזריאלי אגח ה</t>
  </si>
  <si>
    <t>IL0011566036</t>
  </si>
  <si>
    <t>עזריאלי אגח ו</t>
  </si>
  <si>
    <t>IL0011566119</t>
  </si>
  <si>
    <t>רבוע נדלן אגח ח</t>
  </si>
  <si>
    <t>IL0011575698</t>
  </si>
  <si>
    <t>ש.י.ר שלמה נדל"ן בע"מ</t>
  </si>
  <si>
    <t>שלמה נדלן אגח ד</t>
  </si>
  <si>
    <t>IL0011576688</t>
  </si>
  <si>
    <t>A2.il</t>
  </si>
  <si>
    <t>דור אלון אנרגיה בישראל (1988)</t>
  </si>
  <si>
    <t>דור אלון אגח ז</t>
  </si>
  <si>
    <t>IL0011577009</t>
  </si>
  <si>
    <t>מקורות חברת מים בע"מ</t>
  </si>
  <si>
    <t>מקורות אגח 11</t>
  </si>
  <si>
    <t>IL0011584765</t>
  </si>
  <si>
    <t>אמות אגח ו</t>
  </si>
  <si>
    <t>IL0011586091</t>
  </si>
  <si>
    <t>נמקו ריאלטי לטד</t>
  </si>
  <si>
    <t>נמקו אגח ב</t>
  </si>
  <si>
    <t>IL0011602583</t>
  </si>
  <si>
    <t>סילברסטין נכסים לימיטד</t>
  </si>
  <si>
    <t>סילברסטין אגח ב</t>
  </si>
  <si>
    <t>IL0011605974</t>
  </si>
  <si>
    <t>ארפורט אגח ט</t>
  </si>
  <si>
    <t>IL0011609448</t>
  </si>
  <si>
    <t>ווסטדייל אמריקה לימיטד</t>
  </si>
  <si>
    <t>ווסטדייל אגח ב</t>
  </si>
  <si>
    <t>IL0011613226</t>
  </si>
  <si>
    <t>אנרג'יקס-אנרגיות מתחדשות בע"מ</t>
  </si>
  <si>
    <t>אנרג'יקס אגח א</t>
  </si>
  <si>
    <t>IL0011617516</t>
  </si>
  <si>
    <t>אמות אגח ז</t>
  </si>
  <si>
    <t>IL0011628661</t>
  </si>
  <si>
    <t>מגה אור החזקות בע"מ</t>
  </si>
  <si>
    <t>מגה אור אגח ט</t>
  </si>
  <si>
    <t>IL0011651416</t>
  </si>
  <si>
    <t>הבינלאומי הראשון הנפקות בע"מ</t>
  </si>
  <si>
    <t>בינל הנפק התחכה</t>
  </si>
  <si>
    <t>IL0011670309</t>
  </si>
  <si>
    <t>סלע נדלן אגח ד</t>
  </si>
  <si>
    <t>IL0011671471</t>
  </si>
  <si>
    <t>שכון ובי אגח 9</t>
  </si>
  <si>
    <t>IL0011673865</t>
  </si>
  <si>
    <t>אנרג'יקס אג ב</t>
  </si>
  <si>
    <t>IL0011684839</t>
  </si>
  <si>
    <t>אלון רבוע כחול ישראל בע"מ</t>
  </si>
  <si>
    <t>אלון רבוע אגח ו</t>
  </si>
  <si>
    <t>IL0011691271</t>
  </si>
  <si>
    <t>ריט 1 אגח ז</t>
  </si>
  <si>
    <t>IL0011712713</t>
  </si>
  <si>
    <t>אמות אגח ח</t>
  </si>
  <si>
    <t>IL0011727828</t>
  </si>
  <si>
    <t>קרסו מוט' אגח ד</t>
  </si>
  <si>
    <t>IL0011735664</t>
  </si>
  <si>
    <t>אפי נכסים אגחיב</t>
  </si>
  <si>
    <t>IL0011737645</t>
  </si>
  <si>
    <t>שכון ובי אגח 10</t>
  </si>
  <si>
    <t>IL0011751323</t>
  </si>
  <si>
    <t>מימון ישיר מקבוצת ישיר (2006)</t>
  </si>
  <si>
    <t>מימון ישיר אגחד</t>
  </si>
  <si>
    <t>IL0011756603</t>
  </si>
  <si>
    <t>ריט אזורים - ה.פ ליווינג בע"מ</t>
  </si>
  <si>
    <t>ריט אזורים אגחא</t>
  </si>
  <si>
    <t>IL0011757692</t>
  </si>
  <si>
    <t>ilA-</t>
  </si>
  <si>
    <t>מגוריט ישראל בע"מ</t>
  </si>
  <si>
    <t>מגוריט אגח ג</t>
  </si>
  <si>
    <t>IL0011759755</t>
  </si>
  <si>
    <t>אלביט מערכות בע"מ</t>
  </si>
  <si>
    <t>אלביט מע' אגח ב</t>
  </si>
  <si>
    <t>IL0011782351</t>
  </si>
  <si>
    <t>ilAA+</t>
  </si>
  <si>
    <t>שפיר הנדסה ותעשיה בע"מ</t>
  </si>
  <si>
    <t>שפיר הנדס אגח ג</t>
  </si>
  <si>
    <t>IL0011784175</t>
  </si>
  <si>
    <t>עזריאלי אגח ז</t>
  </si>
  <si>
    <t>IL0011786725</t>
  </si>
  <si>
    <t>עזריאלי אגח ח</t>
  </si>
  <si>
    <t>IL0011786808</t>
  </si>
  <si>
    <t>סטרוברי פילדס ריט לימיטד</t>
  </si>
  <si>
    <t>סטרוברי אגח ג</t>
  </si>
  <si>
    <t>IL0011790198</t>
  </si>
  <si>
    <t>קבוצת דוראל משאבי אנרגיה מתחדש</t>
  </si>
  <si>
    <t>דוראל אגח א</t>
  </si>
  <si>
    <t>IL0011791345</t>
  </si>
  <si>
    <t>ע.י. נופר אנרג'י בע"מ</t>
  </si>
  <si>
    <t>נופר אנרג אגח א</t>
  </si>
  <si>
    <t>IL0011793408</t>
  </si>
  <si>
    <t>A3.il</t>
  </si>
  <si>
    <t>ביג אגח יט</t>
  </si>
  <si>
    <t>IL0011810079</t>
  </si>
  <si>
    <t>מימון ישיר אגחה</t>
  </si>
  <si>
    <t>IL0011828311</t>
  </si>
  <si>
    <t>מ.ישיר ה עוקב</t>
  </si>
  <si>
    <t>אשטרום קב אגח ד</t>
  </si>
  <si>
    <t>IL0011829897</t>
  </si>
  <si>
    <t>פרשקובסקי השקעות ובניין בע"מ</t>
  </si>
  <si>
    <t>פרשקובסקי אגחיד</t>
  </si>
  <si>
    <t>IL0011836231</t>
  </si>
  <si>
    <t>סולאיר אנרגיות מתחדשות בע"מ</t>
  </si>
  <si>
    <t>סולאיר אגח א</t>
  </si>
  <si>
    <t>IL0011837304</t>
  </si>
  <si>
    <t>סאמיט אחזקות נדל"ן בע"מ</t>
  </si>
  <si>
    <t>סאמיט אגח יב</t>
  </si>
  <si>
    <t>IL0011839201</t>
  </si>
  <si>
    <t>Aa2.il</t>
  </si>
  <si>
    <t>אפי נכסים אגחיד</t>
  </si>
  <si>
    <t>IL0011845307</t>
  </si>
  <si>
    <t>אלדן תחבורה בע"מ</t>
  </si>
  <si>
    <t>אלדן תחבו אגח ז</t>
  </si>
  <si>
    <t>IL0011847790</t>
  </si>
  <si>
    <t>מגוריט אגח ד</t>
  </si>
  <si>
    <t>IL0011858342</t>
  </si>
  <si>
    <t>מניף-שירותים פיננסיים בע"מ</t>
  </si>
  <si>
    <t>מניף אגח א</t>
  </si>
  <si>
    <t>IL0011858839</t>
  </si>
  <si>
    <t>פאוורג'ן סולאר איי בע"מ</t>
  </si>
  <si>
    <t>פאוורג'ן אגח ב</t>
  </si>
  <si>
    <t>IL0011862468</t>
  </si>
  <si>
    <t>קבוצת יובלים השקעות בע"מ</t>
  </si>
  <si>
    <t>יובלים אגח ב</t>
  </si>
  <si>
    <t>IL0011869075</t>
  </si>
  <si>
    <t>מכלול מימון בע"מ</t>
  </si>
  <si>
    <t>מכלול אגח א</t>
  </si>
  <si>
    <t>IL0011872772</t>
  </si>
  <si>
    <t>עמרם אברהם חברה לבנין בע"מ</t>
  </si>
  <si>
    <t>עמרם אברהם אגחא</t>
  </si>
  <si>
    <t>IL0011880445</t>
  </si>
  <si>
    <t>קבוצת אקרו בע"מ</t>
  </si>
  <si>
    <t>אקרו אגח א</t>
  </si>
  <si>
    <t>IL0011885725</t>
  </si>
  <si>
    <t>אלמוגים החזקות בע"מ</t>
  </si>
  <si>
    <t>אלמוגים אגח ט</t>
  </si>
  <si>
    <t>IL0011892242</t>
  </si>
  <si>
    <t>קרסו נדל"ן בע"מ</t>
  </si>
  <si>
    <t>קרסו נדלן אגח א</t>
  </si>
  <si>
    <t>IL0011900086</t>
  </si>
  <si>
    <t>לייטסטון אנטרפרייזס לימיטד</t>
  </si>
  <si>
    <t>לייטסטון אגח ג</t>
  </si>
  <si>
    <t>IL0011900995</t>
  </si>
  <si>
    <t>חג'ג' אירופה דיוולופמנט צ.ש. ב</t>
  </si>
  <si>
    <t>חגג אירופה אגחד</t>
  </si>
  <si>
    <t>IL0011901316</t>
  </si>
  <si>
    <t>משולם לוינשטין הנדסה וקבלנות ב</t>
  </si>
  <si>
    <t>לונשטן הנד אגחה</t>
  </si>
  <si>
    <t>IL0011905861</t>
  </si>
  <si>
    <t>דיסקונט מנפיקים בע"מ</t>
  </si>
  <si>
    <t>דיסקונט מנ נד ט</t>
  </si>
  <si>
    <t>IL0011912461</t>
  </si>
  <si>
    <t>בנק הפועלים בע"מ</t>
  </si>
  <si>
    <t>פועלים אגח 201</t>
  </si>
  <si>
    <t>IL0011913451</t>
  </si>
  <si>
    <t>הכשרת הישוב מקבוצת נמרודי בע"מ</t>
  </si>
  <si>
    <t>הכשרת ישוב אג25</t>
  </si>
  <si>
    <t>IL0011915274</t>
  </si>
  <si>
    <t>מימון ישיר אגחו</t>
  </si>
  <si>
    <t>IL0011916595</t>
  </si>
  <si>
    <t>מזרחי טפחות חברה להנפקות בע"מ</t>
  </si>
  <si>
    <t>מז טפ הנ אגח 66</t>
  </si>
  <si>
    <t>IL0011916678</t>
  </si>
  <si>
    <t>מז טפ הנפ הת 65</t>
  </si>
  <si>
    <t>IL0011916751</t>
  </si>
  <si>
    <t>אלבר שירותי מימונית בע"מ</t>
  </si>
  <si>
    <t>אלבר אגח יט</t>
  </si>
  <si>
    <t>IL0011918245</t>
  </si>
  <si>
    <t>אלבר אגח כ</t>
  </si>
  <si>
    <t>IL0011918328</t>
  </si>
  <si>
    <t>מגוריט אגח ה</t>
  </si>
  <si>
    <t>IL0011921298</t>
  </si>
  <si>
    <t>אלדן תחבו אגח ח</t>
  </si>
  <si>
    <t>IL0011924425</t>
  </si>
  <si>
    <t>אלדן תחבו אגח ט</t>
  </si>
  <si>
    <t>IL0011924599</t>
  </si>
  <si>
    <t>יוניברסל מוטורס ישראל בע"מ</t>
  </si>
  <si>
    <t>יוניברסל אגח ה</t>
  </si>
  <si>
    <t>IL0011926081</t>
  </si>
  <si>
    <t>יוניברסל אגח ו</t>
  </si>
  <si>
    <t>IL0011926164</t>
  </si>
  <si>
    <t>ש.שלמה החזקות בע"מ</t>
  </si>
  <si>
    <t>שלמה החז אגח יט</t>
  </si>
  <si>
    <t>IL0011927311</t>
  </si>
  <si>
    <t>גבאי מניבים ופיתוח בע"מ</t>
  </si>
  <si>
    <t>גבאי מניבאגח יד</t>
  </si>
  <si>
    <t>IL0011931768</t>
  </si>
  <si>
    <t>אלומיי קפיטל בע"מ</t>
  </si>
  <si>
    <t>אלומיי אגח ה</t>
  </si>
  <si>
    <t>IL0011932758</t>
  </si>
  <si>
    <t>להב אל.אר רילאסטייט בע"מ</t>
  </si>
  <si>
    <t>להב אגח ג</t>
  </si>
  <si>
    <t>IL0011933418</t>
  </si>
  <si>
    <t>כלל החזקות עסקי ביטוח בע"מ</t>
  </si>
  <si>
    <t>כלל ביטוח אגח א</t>
  </si>
  <si>
    <t>IL0011934812</t>
  </si>
  <si>
    <t>אאורה השקעות בע"מ</t>
  </si>
  <si>
    <t>אאורה אגח יז</t>
  </si>
  <si>
    <t>IL0011935801</t>
  </si>
  <si>
    <t>דליה חברות אנרגיה בע"מ</t>
  </si>
  <si>
    <t>דליה אגח ב</t>
  </si>
  <si>
    <t>IL0011935983</t>
  </si>
  <si>
    <t>חברה לנכסים ולבנין בע"מ</t>
  </si>
  <si>
    <t>נכסים ובנ אגח י</t>
  </si>
  <si>
    <t>IL0011936304</t>
  </si>
  <si>
    <t>מניבים ריט אגחד</t>
  </si>
  <si>
    <t>IL0011939290</t>
  </si>
  <si>
    <t>וילאר אינטרנשיונל בע"מ</t>
  </si>
  <si>
    <t>וילאר אגח י</t>
  </si>
  <si>
    <t>IL0011939522</t>
  </si>
  <si>
    <t>סיאון אינווסטמנט קורפוריישן</t>
  </si>
  <si>
    <t>D14242259</t>
  </si>
  <si>
    <t>סיאון אגח א</t>
  </si>
  <si>
    <t>IL0011940181</t>
  </si>
  <si>
    <t>מליסרון בע"מ</t>
  </si>
  <si>
    <t>מליסרון אגח כא</t>
  </si>
  <si>
    <t>IL0011946386</t>
  </si>
  <si>
    <t>הפניקס גיוסי הון (2009)בע"מ</t>
  </si>
  <si>
    <t>פניקס הון אגחיב</t>
  </si>
  <si>
    <t>IL0011955858</t>
  </si>
  <si>
    <t>ארפורט אגח י</t>
  </si>
  <si>
    <t>IL0011959819</t>
  </si>
  <si>
    <t>ארפורט אגח יא</t>
  </si>
  <si>
    <t>IL0011959991</t>
  </si>
  <si>
    <t>חברת החשמל לישראל בע"מ</t>
  </si>
  <si>
    <t>חשמל אגח 34</t>
  </si>
  <si>
    <t>IL0011967812</t>
  </si>
  <si>
    <t>חשמל אגח 35</t>
  </si>
  <si>
    <t>IL0011967994</t>
  </si>
  <si>
    <t>מז טפ הנ אגח 67</t>
  </si>
  <si>
    <t>IL0011968075</t>
  </si>
  <si>
    <t>איסתא בע"מ</t>
  </si>
  <si>
    <t>איסתא אג א</t>
  </si>
  <si>
    <t>IL0011971285</t>
  </si>
  <si>
    <t>אלון רבוע אגח ח</t>
  </si>
  <si>
    <t>IL0011972762</t>
  </si>
  <si>
    <t>נאוויטס פטרוליום, שותפות מוגבל</t>
  </si>
  <si>
    <t>נאוויטס פט אגחה</t>
  </si>
  <si>
    <t>IL0011979122</t>
  </si>
  <si>
    <t>כלל ביטוח גיוסי הון בע"מ</t>
  </si>
  <si>
    <t>כלל הון אגח יג</t>
  </si>
  <si>
    <t>IL0011979205</t>
  </si>
  <si>
    <t>נופר אנרג אגח ג</t>
  </si>
  <si>
    <t>IL0011980435</t>
  </si>
  <si>
    <t>ב.גאון אחזקות בע"מ</t>
  </si>
  <si>
    <t>גאון אחז אג ד-ש</t>
  </si>
  <si>
    <t>IL0011983249</t>
  </si>
  <si>
    <t>שיכון ובינוי אנרגיה בע"מ</t>
  </si>
  <si>
    <t>שוב אנרגיה אגחא</t>
  </si>
  <si>
    <t>IL0011985715</t>
  </si>
  <si>
    <t>אחים דוניץ בע"מ</t>
  </si>
  <si>
    <t>דוניץ אגח ב</t>
  </si>
  <si>
    <t>IL0011987042</t>
  </si>
  <si>
    <t>נמקו אגח ג</t>
  </si>
  <si>
    <t>IL0011987612</t>
  </si>
  <si>
    <t>בוני התיכון הנדסה אזרחית ותשתי</t>
  </si>
  <si>
    <t>בוני תכון אגחכא</t>
  </si>
  <si>
    <t>IL0011988297</t>
  </si>
  <si>
    <t>מניף אגח ב</t>
  </si>
  <si>
    <t>IL0011988602</t>
  </si>
  <si>
    <t>פתאל נכסים(אירופה)בע"מ</t>
  </si>
  <si>
    <t>פתאל אירו אגח ה</t>
  </si>
  <si>
    <t>IL0011988867</t>
  </si>
  <si>
    <t>בית זיקוק אשדוד בע"מ</t>
  </si>
  <si>
    <t>בית זיקוק אגח 2</t>
  </si>
  <si>
    <t>IL0011994881</t>
  </si>
  <si>
    <t>Baa1.il</t>
  </si>
  <si>
    <t>קבוצת דלק בע"מ</t>
  </si>
  <si>
    <t>דלק קב אגח לח</t>
  </si>
  <si>
    <t>IL0011995045</t>
  </si>
  <si>
    <t>רנט איט-ריט מגורים בע"מ</t>
  </si>
  <si>
    <t>רנט איט אגח א</t>
  </si>
  <si>
    <t>IL0011995466</t>
  </si>
  <si>
    <t>אשטרום קב אגח ה</t>
  </si>
  <si>
    <t>IL0011995797</t>
  </si>
  <si>
    <t>אפי נכסים אגחטו</t>
  </si>
  <si>
    <t>IL0011996035</t>
  </si>
  <si>
    <t>גפן מגורים והתחדשות בע"מ</t>
  </si>
  <si>
    <t>גפן מגורים אג א</t>
  </si>
  <si>
    <t>IL0011996860</t>
  </si>
  <si>
    <t>פועלים אגח 203</t>
  </si>
  <si>
    <t>IL0011998684</t>
  </si>
  <si>
    <t>פועלים הת נדח י</t>
  </si>
  <si>
    <t>IL0011998924</t>
  </si>
  <si>
    <t>כלל ביטוח אגח ג</t>
  </si>
  <si>
    <t>IL0012013913</t>
  </si>
  <si>
    <t>אלמוגים אגח י</t>
  </si>
  <si>
    <t>IL0012016155</t>
  </si>
  <si>
    <t>בנק לאומי לישראל בע"מ</t>
  </si>
  <si>
    <t>לאומי אגח 185</t>
  </si>
  <si>
    <t>IL0012018219</t>
  </si>
  <si>
    <t>לאומי אגח 186</t>
  </si>
  <si>
    <t>IL0012018391</t>
  </si>
  <si>
    <t>מז טפ הנ אגח 68</t>
  </si>
  <si>
    <t>IL0012021429</t>
  </si>
  <si>
    <t>ישפרו בע"מ</t>
  </si>
  <si>
    <t>ישפרו אגח א</t>
  </si>
  <si>
    <t>IL0012022906</t>
  </si>
  <si>
    <t>לוזון רונסון אן.וי.</t>
  </si>
  <si>
    <t>לוזון רונ אגח א</t>
  </si>
  <si>
    <t>IL0012023409</t>
  </si>
  <si>
    <t>קרסו מוט' אגח ה</t>
  </si>
  <si>
    <t>IL0012027798</t>
  </si>
  <si>
    <t>אלומיי אגח ו</t>
  </si>
  <si>
    <t>IL0012030743</t>
  </si>
  <si>
    <t>דיסק מנ אגח טז</t>
  </si>
  <si>
    <t>IL0012031576</t>
  </si>
  <si>
    <t>או.פי.סי אנרגיה בע"מ</t>
  </si>
  <si>
    <t>או.פי.סי אגח ד</t>
  </si>
  <si>
    <t>IL0012032640</t>
  </si>
  <si>
    <t>אלקטרה נדל"ן בע"מ</t>
  </si>
  <si>
    <t>אלקטרהנדלן אגחז</t>
  </si>
  <si>
    <t>IL0012035536</t>
  </si>
  <si>
    <t>ג'י סיטי בע"מ</t>
  </si>
  <si>
    <t>ג'י סיטי אגח יח</t>
  </si>
  <si>
    <t>IL0012038506</t>
  </si>
  <si>
    <t>יובלים אגח ד</t>
  </si>
  <si>
    <t>IL0012040239</t>
  </si>
  <si>
    <t>לייטסטון אגח ד</t>
  </si>
  <si>
    <t>IL0012042961</t>
  </si>
  <si>
    <t>נאוויטס פט אגחו</t>
  </si>
  <si>
    <t>IL0012048257</t>
  </si>
  <si>
    <t>אמות אגח ט</t>
  </si>
  <si>
    <t>IL0012049990</t>
  </si>
  <si>
    <t>אמות אגח י</t>
  </si>
  <si>
    <t>IL0012050048</t>
  </si>
  <si>
    <t>סלע נדלן אגח ה</t>
  </si>
  <si>
    <t>IL0012050873</t>
  </si>
  <si>
    <t>דוראל אגח ב</t>
  </si>
  <si>
    <t>IL0012054750</t>
  </si>
  <si>
    <t>נכסים בנ אגח יא</t>
  </si>
  <si>
    <t>IL0012055666</t>
  </si>
  <si>
    <t>הכשרת ישוב אג26</t>
  </si>
  <si>
    <t>IL0012056409</t>
  </si>
  <si>
    <t>הכשרת ישוב 26חס</t>
  </si>
  <si>
    <t>ג'י סיטי אגח יט</t>
  </si>
  <si>
    <t>IL0012057159</t>
  </si>
  <si>
    <t>נמקו אגח ד</t>
  </si>
  <si>
    <t>IL0012064734</t>
  </si>
  <si>
    <t>אנקור הזדמנויות לימיטד</t>
  </si>
  <si>
    <t>אנקור הזד אגח ב</t>
  </si>
  <si>
    <t>IL0012066226</t>
  </si>
  <si>
    <t>קבוצת עמוס לוזון יזמות ואנרגיה</t>
  </si>
  <si>
    <t>לוזון קב אגח יא</t>
  </si>
  <si>
    <t>IL0012069865</t>
  </si>
  <si>
    <t>אלטיטיוד השקעות לימיטד</t>
  </si>
  <si>
    <t>אלטיטיוד אגח ב</t>
  </si>
  <si>
    <t>IL0012076043</t>
  </si>
  <si>
    <t>אלטיטיוד ב חסום</t>
  </si>
  <si>
    <t>אלקו בע"מ</t>
  </si>
  <si>
    <t>אלקו אגח יד</t>
  </si>
  <si>
    <t>IL0012077520</t>
  </si>
  <si>
    <t>חברת גב ים לקרקעות בע"מ</t>
  </si>
  <si>
    <t>גב ים אגח יא</t>
  </si>
  <si>
    <t>IL0012083395</t>
  </si>
  <si>
    <t>סאמיט אגח יג</t>
  </si>
  <si>
    <t>IL0012084955</t>
  </si>
  <si>
    <t>ווסטדייל אגח ג</t>
  </si>
  <si>
    <t>IL0012085119</t>
  </si>
  <si>
    <t>תדיראן גרופ בע"מ</t>
  </si>
  <si>
    <t>תדיראן גרו אגח4</t>
  </si>
  <si>
    <t>IL0012087842</t>
  </si>
  <si>
    <t>ג'י סיטי אגח כ</t>
  </si>
  <si>
    <t>IL0012088675</t>
  </si>
  <si>
    <t>עזריאלי אגח ט</t>
  </si>
  <si>
    <t>IL0012092537</t>
  </si>
  <si>
    <t>רם אדרת הנדסה אזרחית בע"מ</t>
  </si>
  <si>
    <t>רם אדרת אגח ב</t>
  </si>
  <si>
    <t>IL0012094368</t>
  </si>
  <si>
    <t>סופרין אחזקות בע"מ</t>
  </si>
  <si>
    <t>סופרין ב חסום</t>
  </si>
  <si>
    <t>IL0012102369</t>
  </si>
  <si>
    <t>אפי נכסים אגחטז</t>
  </si>
  <si>
    <t>IL0012109471</t>
  </si>
  <si>
    <t>מהדרין בע"מ</t>
  </si>
  <si>
    <t>מהדרין אגח א</t>
  </si>
  <si>
    <t>IL0012114570</t>
  </si>
  <si>
    <t>תשתיות אנרגיה בע"מ</t>
  </si>
  <si>
    <t>תשת אנרג אגח ב</t>
  </si>
  <si>
    <t>IL0012115155</t>
  </si>
  <si>
    <t>Aaa.il</t>
  </si>
  <si>
    <t>פורמולה מערכות (1985)בע"מ</t>
  </si>
  <si>
    <t>פורמולה אגח ד</t>
  </si>
  <si>
    <t>IL0012115569</t>
  </si>
  <si>
    <t>ארפורט אגח יב</t>
  </si>
  <si>
    <t>IL0012115643</t>
  </si>
  <si>
    <t>סילברסטין אגח ג</t>
  </si>
  <si>
    <t>IL0012116484</t>
  </si>
  <si>
    <t>אמ.די.ג'י. ריאל אסטייט גלובל ל</t>
  </si>
  <si>
    <t>אמ.די.ג'י אגח ח</t>
  </si>
  <si>
    <t>IL0012116559</t>
  </si>
  <si>
    <t>מישורים השקעות נדל"ן בע"מ</t>
  </si>
  <si>
    <t>מישורים אגח י</t>
  </si>
  <si>
    <t>IL0012125477</t>
  </si>
  <si>
    <t>ג'י סיטי אגח כא</t>
  </si>
  <si>
    <t>IL0012127523</t>
  </si>
  <si>
    <t>אלה פקדונות בע"מ</t>
  </si>
  <si>
    <t>אלה פקדון אגחיא</t>
  </si>
  <si>
    <t>IL0012134537</t>
  </si>
  <si>
    <t>ilAAAs</t>
  </si>
  <si>
    <t>רמות בעיר בע"מ</t>
  </si>
  <si>
    <t>רמות בעיר אגח ג</t>
  </si>
  <si>
    <t>IL0012137506</t>
  </si>
  <si>
    <t>גרייסטון סיניור דיבט בי.איי לי</t>
  </si>
  <si>
    <t>גרייסטון אגח א</t>
  </si>
  <si>
    <t>IL0012138348</t>
  </si>
  <si>
    <t>מז טפ הנ אגח 70</t>
  </si>
  <si>
    <t>IL0012138835</t>
  </si>
  <si>
    <t>סולאיר אגח ב</t>
  </si>
  <si>
    <t>IL0012148321</t>
  </si>
  <si>
    <t>דיסק מנ אגח יז</t>
  </si>
  <si>
    <t>IL0012159534</t>
  </si>
  <si>
    <t>נאוויטס אגח ז</t>
  </si>
  <si>
    <t>IL0012160433</t>
  </si>
  <si>
    <t>ilBBB+</t>
  </si>
  <si>
    <t>לייטסטון אגח ו</t>
  </si>
  <si>
    <t>IL0012165143</t>
  </si>
  <si>
    <t>קבוצת חג'ג' ייזום נדל"ן בע"מ</t>
  </si>
  <si>
    <t>חג'ג' אגח טו</t>
  </si>
  <si>
    <t>IL0012166471</t>
  </si>
  <si>
    <t>מגדלי הים התיכון בע"מ</t>
  </si>
  <si>
    <t>מגדלי תיכוןאגחז</t>
  </si>
  <si>
    <t>IL0012176942</t>
  </si>
  <si>
    <t>אקסטל לימיטד</t>
  </si>
  <si>
    <t>אקסטל אגח ה</t>
  </si>
  <si>
    <t>IL0012186354</t>
  </si>
  <si>
    <t>פתאל אירו אגח ו</t>
  </si>
  <si>
    <t>IL0012192865</t>
  </si>
  <si>
    <t>אפי נכסים אגחיז</t>
  </si>
  <si>
    <t>IL0012203837</t>
  </si>
  <si>
    <t>אנקור הזד אגח ג</t>
  </si>
  <si>
    <t>IL0012204827</t>
  </si>
  <si>
    <t>מבנה נדל"ן (כ.ד) בע"מ</t>
  </si>
  <si>
    <t>מבנה אגח כו</t>
  </si>
  <si>
    <t>IL0012207143</t>
  </si>
  <si>
    <t>בית בכפר בע"מ</t>
  </si>
  <si>
    <t>בית בכפר אגח א</t>
  </si>
  <si>
    <t>IL0012212747</t>
  </si>
  <si>
    <t>נמקו אגח ו</t>
  </si>
  <si>
    <t>IL0012231713</t>
  </si>
  <si>
    <t>פרשקובסקי אגחטז</t>
  </si>
  <si>
    <t>IL0012234113</t>
  </si>
  <si>
    <t>פועלים אגח 102</t>
  </si>
  <si>
    <t>IL0012234527</t>
  </si>
  <si>
    <t>משק אנרגיה-אנרגיות מתחדשות בע"</t>
  </si>
  <si>
    <t>משק אנרג אגח ג</t>
  </si>
  <si>
    <t>IL0012237181</t>
  </si>
  <si>
    <t>גמא ניהול וסליקה בע"מ</t>
  </si>
  <si>
    <t>גמא אגח ד</t>
  </si>
  <si>
    <t>IL0012238411</t>
  </si>
  <si>
    <t>פריורטק בע"מ</t>
  </si>
  <si>
    <t>פריורטק אגח ב</t>
  </si>
  <si>
    <t>IL0012239658</t>
  </si>
  <si>
    <t>קופרליין אמריקאס לימיטד</t>
  </si>
  <si>
    <t>קופרליין אגח ה</t>
  </si>
  <si>
    <t>IL0012240706</t>
  </si>
  <si>
    <t>קסטלן נדל"ן (בי.וי.אי), לימיטד</t>
  </si>
  <si>
    <t>קסטלן אגח ב</t>
  </si>
  <si>
    <t>IL0012248808</t>
  </si>
  <si>
    <t>ביג אגח כג</t>
  </si>
  <si>
    <t>IL0012249558</t>
  </si>
  <si>
    <t>אנקור פרופרטיס,לימיטד</t>
  </si>
  <si>
    <t>אנקור פרופ אגחה</t>
  </si>
  <si>
    <t>IL0012268442</t>
  </si>
  <si>
    <t>פועלים אגח 204</t>
  </si>
  <si>
    <t>IL0012274531</t>
  </si>
  <si>
    <t>דיסקנט מנ נד יא</t>
  </si>
  <si>
    <t>IL0012277500</t>
  </si>
  <si>
    <t>בינל הנפק אגחיג</t>
  </si>
  <si>
    <t>IL0012284696</t>
  </si>
  <si>
    <t>לאומי אגח 187</t>
  </si>
  <si>
    <t>IL0012286592</t>
  </si>
  <si>
    <t>לאומי אגח 188</t>
  </si>
  <si>
    <t>IL0012286675</t>
  </si>
  <si>
    <t>אמטראסט אר.אי. לימיטד</t>
  </si>
  <si>
    <t>אמטראסט אגח א</t>
  </si>
  <si>
    <t>IL0012291295</t>
  </si>
  <si>
    <t>חלל-תקשורת בע"מ</t>
  </si>
  <si>
    <t>חלל תקש אגח כ</t>
  </si>
  <si>
    <t>IL0012294422</t>
  </si>
  <si>
    <t>אבו פמילי מגורים בע"מ</t>
  </si>
  <si>
    <t>אבו מגורים אגחא</t>
  </si>
  <si>
    <t>IL0012316878</t>
  </si>
  <si>
    <t>אוריון נכסים מסחריים בע"מ</t>
  </si>
  <si>
    <t>אוריון נכס אגחא</t>
  </si>
  <si>
    <t>IL0012327685</t>
  </si>
  <si>
    <t>סימד הולדינגס, לימיטד</t>
  </si>
  <si>
    <t>סימד הולד אגח א</t>
  </si>
  <si>
    <t>IL0012328758</t>
  </si>
  <si>
    <t>ישפרו אגח ד</t>
  </si>
  <si>
    <t>IL0012329749</t>
  </si>
  <si>
    <t>קבוצת גבאי-בניה,יזום,ניהול ואח</t>
  </si>
  <si>
    <t>גבאי קב אגח ב</t>
  </si>
  <si>
    <t>IL0012336348</t>
  </si>
  <si>
    <t>ג'י סיטי אגח יב</t>
  </si>
  <si>
    <t>IL0012606039</t>
  </si>
  <si>
    <t>ג'י סיטי אגח טו</t>
  </si>
  <si>
    <t>IL0012607698</t>
  </si>
  <si>
    <t>שלמה החז אגח יח</t>
  </si>
  <si>
    <t>IL0014103076</t>
  </si>
  <si>
    <t>אדגר השקעות ופיתוח בע"מ</t>
  </si>
  <si>
    <t>אדגר אגח יב</t>
  </si>
  <si>
    <t>IL0018203310</t>
  </si>
  <si>
    <t>מבנה אגח כ</t>
  </si>
  <si>
    <t>IL0022604958</t>
  </si>
  <si>
    <t>מבנה אגח כה</t>
  </si>
  <si>
    <t>IL0022606367</t>
  </si>
  <si>
    <t>בזק החברה הישראלית לתקשורת בע"</t>
  </si>
  <si>
    <t>בזק אגח 11</t>
  </si>
  <si>
    <t>IL0023002343</t>
  </si>
  <si>
    <t>בזק אגח 14</t>
  </si>
  <si>
    <t>IL0023003176</t>
  </si>
  <si>
    <t>מז טפ הנפק 42</t>
  </si>
  <si>
    <t>IL0023101830</t>
  </si>
  <si>
    <t>מז טפ הנפק 52</t>
  </si>
  <si>
    <t>IL0023103810</t>
  </si>
  <si>
    <t>מז טפ הנ אגח 62</t>
  </si>
  <si>
    <t>IL0023104982</t>
  </si>
  <si>
    <t>מז טפ הנ אגח 63</t>
  </si>
  <si>
    <t>IL0023105484</t>
  </si>
  <si>
    <t>מז טפ הנ אגח 64</t>
  </si>
  <si>
    <t>IL0023105559</t>
  </si>
  <si>
    <t>אשטרום נכסים בע"מ</t>
  </si>
  <si>
    <t>אשטרום נכ אגח13</t>
  </si>
  <si>
    <t>IL0025103032</t>
  </si>
  <si>
    <t>מליסרון אגח טז</t>
  </si>
  <si>
    <t>IL0032302650</t>
  </si>
  <si>
    <t>מליסרון אגח יז</t>
  </si>
  <si>
    <t>IL0032302734</t>
  </si>
  <si>
    <t>מליסרון אגח יט</t>
  </si>
  <si>
    <t>IL0032303989</t>
  </si>
  <si>
    <t>מליסרון אגח כ</t>
  </si>
  <si>
    <t>IL0032304227</t>
  </si>
  <si>
    <t>ארי נדל"ן (ארנה) השקעות בע"מ</t>
  </si>
  <si>
    <t>ארי נדלן אגח א</t>
  </si>
  <si>
    <t>IL0036601560</t>
  </si>
  <si>
    <t>אלוני-חץ נכסים והשקעות בע"מ</t>
  </si>
  <si>
    <t>אלוני חץ אגח ט</t>
  </si>
  <si>
    <t>IL0039003541</t>
  </si>
  <si>
    <t>אלוני חץ אגח יב</t>
  </si>
  <si>
    <t>IL0039004952</t>
  </si>
  <si>
    <t>ישראל קנדה (ט.ר) בע"מ</t>
  </si>
  <si>
    <t>ישראל קנדה אגחז</t>
  </si>
  <si>
    <t>IL0043402127</t>
  </si>
  <si>
    <t>מידאס השקעות בנדל"ן בע"מ</t>
  </si>
  <si>
    <t>מידאס אגח ד</t>
  </si>
  <si>
    <t>IL0054402842</t>
  </si>
  <si>
    <t>החברה לישראל בע"מ</t>
  </si>
  <si>
    <t>חברהלישראלאגח14</t>
  </si>
  <si>
    <t>IL0057603016</t>
  </si>
  <si>
    <t>הראל השקעות בביטוח ושרותים פינ</t>
  </si>
  <si>
    <t>הראל השק אגח א</t>
  </si>
  <si>
    <t>IL0058501102</t>
  </si>
  <si>
    <t>חשמל אגח 27</t>
  </si>
  <si>
    <t>IL0060002107</t>
  </si>
  <si>
    <t>חשמל אגח 29</t>
  </si>
  <si>
    <t>IL0060002362</t>
  </si>
  <si>
    <t>חשמל אגח 31</t>
  </si>
  <si>
    <t>IL0060002859</t>
  </si>
  <si>
    <t>חשמל אגח 33</t>
  </si>
  <si>
    <t>IL0060003923</t>
  </si>
  <si>
    <t>לאומי אגח 179</t>
  </si>
  <si>
    <t>IL0060403727</t>
  </si>
  <si>
    <t>לאומי אגח 182</t>
  </si>
  <si>
    <t>IL0060405391</t>
  </si>
  <si>
    <t>לאומי אגח 183</t>
  </si>
  <si>
    <t>IL0060405474</t>
  </si>
  <si>
    <t>לאומי אגח 184</t>
  </si>
  <si>
    <t>IL0060406043</t>
  </si>
  <si>
    <t>הכשרת ישוב אג21</t>
  </si>
  <si>
    <t>IL0061202243</t>
  </si>
  <si>
    <t>הכשרת ישוב אג22</t>
  </si>
  <si>
    <t>IL0061202409</t>
  </si>
  <si>
    <t>הכשרת ישוב אג23</t>
  </si>
  <si>
    <t>IL0061203233</t>
  </si>
  <si>
    <t>ישרס חברה להשקעות בע"מ</t>
  </si>
  <si>
    <t>ישרס אגח טז</t>
  </si>
  <si>
    <t>IL0061302233</t>
  </si>
  <si>
    <t>ישרס אגח יח</t>
  </si>
  <si>
    <t>IL0061302803</t>
  </si>
  <si>
    <t>ישרס אגח יט</t>
  </si>
  <si>
    <t>IL0061303488</t>
  </si>
  <si>
    <t>פועלים התח נד ה</t>
  </si>
  <si>
    <t>IL0066204624</t>
  </si>
  <si>
    <t>אלקו אגח יג</t>
  </si>
  <si>
    <t>IL0069402332</t>
  </si>
  <si>
    <t>אזורים-חברה להשקעות בפתוח ובבנ</t>
  </si>
  <si>
    <t>אזורים אגח 13</t>
  </si>
  <si>
    <t>IL0071504109</t>
  </si>
  <si>
    <t>אזורים אגח 14</t>
  </si>
  <si>
    <t>IL0071504448</t>
  </si>
  <si>
    <t>אנלייט אנרגיה מתחדשת בע"מ</t>
  </si>
  <si>
    <t>אנלייט אנר אגחו</t>
  </si>
  <si>
    <t>IL0072001733</t>
  </si>
  <si>
    <t>אנלייט אנר אג ג</t>
  </si>
  <si>
    <t>IL0072002491</t>
  </si>
  <si>
    <t>אנלייט אנ אגח ד</t>
  </si>
  <si>
    <t>IL0072002566</t>
  </si>
  <si>
    <t>דיסק מנ אגח יד</t>
  </si>
  <si>
    <t>IL0074801635</t>
  </si>
  <si>
    <t>דיסקונט מנ נד ז</t>
  </si>
  <si>
    <t>IL0074802476</t>
  </si>
  <si>
    <t>דיסק מנ אגח טו</t>
  </si>
  <si>
    <t>IL0074803045</t>
  </si>
  <si>
    <t>דיסקונט מנ נד ח</t>
  </si>
  <si>
    <t>IL0074803128</t>
  </si>
  <si>
    <t>גב ים אגח ו</t>
  </si>
  <si>
    <t>IL0075901285</t>
  </si>
  <si>
    <t>גב ים אגח ח</t>
  </si>
  <si>
    <t>IL0075901517</t>
  </si>
  <si>
    <t>הפניקס פיננסים בע"מ</t>
  </si>
  <si>
    <t>הפניקס אגח 5</t>
  </si>
  <si>
    <t>IL0076702849</t>
  </si>
  <si>
    <t>הפניקס אגח 6</t>
  </si>
  <si>
    <t>IL0076703342</t>
  </si>
  <si>
    <t>גבאי מניב אגח י</t>
  </si>
  <si>
    <t>IL0077102395</t>
  </si>
  <si>
    <t>שופרסל בע"מ</t>
  </si>
  <si>
    <t>שופרסל אגח ה</t>
  </si>
  <si>
    <t>IL0077702095</t>
  </si>
  <si>
    <t>שופרסל אגח ז</t>
  </si>
  <si>
    <t>IL0077702582</t>
  </si>
  <si>
    <t>חג'ג' אגח יא</t>
  </si>
  <si>
    <t>IL0082303285</t>
  </si>
  <si>
    <t>ISRAEL ELECTRIC CORP LTD</t>
  </si>
  <si>
    <t>213800T8ZHTF</t>
  </si>
  <si>
    <t>ISRELE 4.25 14/8/28</t>
  </si>
  <si>
    <t>IL0060002446</t>
  </si>
  <si>
    <t>Baa2</t>
  </si>
  <si>
    <t>Bank Leumi Le-Israel BM</t>
  </si>
  <si>
    <t>ZP6293796</t>
  </si>
  <si>
    <t>LUMIIT 3.275 1/31</t>
  </si>
  <si>
    <t>IL0060404899</t>
  </si>
  <si>
    <t>LEVIATHAN BOND LTD</t>
  </si>
  <si>
    <t>LVIATH 6.5 6/27</t>
  </si>
  <si>
    <t>IL0011677825</t>
  </si>
  <si>
    <t>Ba3</t>
  </si>
  <si>
    <t>LVIATH 6.75 6/30</t>
  </si>
  <si>
    <t>IL0011677908</t>
  </si>
  <si>
    <t>ENERGEAN ISRAEL FINANCE</t>
  </si>
  <si>
    <t>549300RVMKU0</t>
  </si>
  <si>
    <t>ENOIGA 5.375 30/3/28</t>
  </si>
  <si>
    <t>IL0011736738</t>
  </si>
  <si>
    <t>ENOIGA 5.875 30/3/31</t>
  </si>
  <si>
    <t>IL0011736811</t>
  </si>
  <si>
    <t>MIZRAHI TEFAHOT BANK LTD</t>
  </si>
  <si>
    <t>MZRHIT 3.077 4/31</t>
  </si>
  <si>
    <t>IL0069508369</t>
  </si>
  <si>
    <t>Bank Hapoalim BM</t>
  </si>
  <si>
    <t>HAPOAL 3.255 1/32</t>
  </si>
  <si>
    <t>IL0066204707</t>
  </si>
  <si>
    <t>ISRELE 3.75 2/32</t>
  </si>
  <si>
    <t>IL0060004004</t>
  </si>
  <si>
    <t>Israel Discount Bank Ltd</t>
  </si>
  <si>
    <t>IDBILI 5.375 26/1/28</t>
  </si>
  <si>
    <t>IL0011920878</t>
  </si>
  <si>
    <t>TEVA PHARM FNC NL II</t>
  </si>
  <si>
    <t>ZL3198740</t>
  </si>
  <si>
    <t>TEVA 7.875 9/31</t>
  </si>
  <si>
    <t>XS2592804194</t>
  </si>
  <si>
    <t>Ba1</t>
  </si>
  <si>
    <t>TEVA 7.375 15/9/29</t>
  </si>
  <si>
    <t>XS2592804434</t>
  </si>
  <si>
    <t>ZJ3123495</t>
  </si>
  <si>
    <t>ENOIGA 8.5 30/9/33</t>
  </si>
  <si>
    <t>IL0011971442</t>
  </si>
  <si>
    <t>ORMAT TECHNOLOGIES INC</t>
  </si>
  <si>
    <t>5493000TSHHW</t>
  </si>
  <si>
    <t>ORA 2.5 07/27</t>
  </si>
  <si>
    <t>US686688AB85</t>
  </si>
  <si>
    <t>ITHACA ENERGY NORTH</t>
  </si>
  <si>
    <t>YU4054158</t>
  </si>
  <si>
    <t>IAECN 8.125 10/29</t>
  </si>
  <si>
    <t>US46567TAC80</t>
  </si>
  <si>
    <t>B1</t>
  </si>
  <si>
    <t>ALLIANZ SE</t>
  </si>
  <si>
    <t>529900K9B0N5</t>
  </si>
  <si>
    <t>ALVGR 6.55 PERP</t>
  </si>
  <si>
    <t>USX10001AE90</t>
  </si>
  <si>
    <t>A3</t>
  </si>
  <si>
    <t>FORD MOTORS</t>
  </si>
  <si>
    <t>20S05OYHG0MQ</t>
  </si>
  <si>
    <t>F 6.184 8/31</t>
  </si>
  <si>
    <t>XS3162352630</t>
  </si>
  <si>
    <t>VIVION INVESTMENTS</t>
  </si>
  <si>
    <t>ZI5969665</t>
  </si>
  <si>
    <t>VIVION 7.9 8/28</t>
  </si>
  <si>
    <t>XS2658230094</t>
  </si>
  <si>
    <t>Blue Owl Credit Income Corp</t>
  </si>
  <si>
    <t>ZB5574478</t>
  </si>
  <si>
    <t>OCINCC 7.95 6/28</t>
  </si>
  <si>
    <t>US69120VBB62</t>
  </si>
  <si>
    <t>Baa3</t>
  </si>
  <si>
    <t>APOLLO DEBT SOLUTIONS</t>
  </si>
  <si>
    <t>ZM9734348</t>
  </si>
  <si>
    <t>APODS 6.7 07/31</t>
  </si>
  <si>
    <t>US03770DAD57</t>
  </si>
  <si>
    <t>BLUE OWL CREDIT INCOME</t>
  </si>
  <si>
    <t>YQ9379492</t>
  </si>
  <si>
    <t>OCINCC 5.8 3/30</t>
  </si>
  <si>
    <t>US09581CAD39</t>
  </si>
  <si>
    <t>Globalworth Real Estate Invest</t>
  </si>
  <si>
    <t>ZB6937823</t>
  </si>
  <si>
    <t>GWILN 6.25 3/29</t>
  </si>
  <si>
    <t>XS2809858561</t>
  </si>
  <si>
    <t>South Bow USA Infrastructure Holdings LLC</t>
  </si>
  <si>
    <t>MSFSBD3QN1GS</t>
  </si>
  <si>
    <t>SOBOCN 7.625 10/55</t>
  </si>
  <si>
    <t>US836720AG73</t>
  </si>
  <si>
    <t>להב</t>
  </si>
  <si>
    <t>IL0001360101</t>
  </si>
  <si>
    <t>וואן טכנולוגיות תוכנה בע"מ</t>
  </si>
  <si>
    <t>וואן טכנולוגיות</t>
  </si>
  <si>
    <t>IL0001610182</t>
  </si>
  <si>
    <t>כלל עסקי ביטוח</t>
  </si>
  <si>
    <t>IL0002240146</t>
  </si>
  <si>
    <t>מבנה</t>
  </si>
  <si>
    <t>IL0002260193</t>
  </si>
  <si>
    <t>בזק</t>
  </si>
  <si>
    <t>IL0002300114</t>
  </si>
  <si>
    <t>ישראמקו נגב 2 שותפות מוגבלת</t>
  </si>
  <si>
    <t>ישראמקו יהש</t>
  </si>
  <si>
    <t>IL0002320179</t>
  </si>
  <si>
    <t>פורמולה מערכות</t>
  </si>
  <si>
    <t>IL0002560162</t>
  </si>
  <si>
    <t>אורביט טכנולוג'יס בע"מ</t>
  </si>
  <si>
    <t>אורביט</t>
  </si>
  <si>
    <t>IL0002650179</t>
  </si>
  <si>
    <t>נייס בע"מ</t>
  </si>
  <si>
    <t>נייס</t>
  </si>
  <si>
    <t>IL0002730112</t>
  </si>
  <si>
    <t>איי.סי.אל גרופ בע"מ</t>
  </si>
  <si>
    <t>איי.סי.אל</t>
  </si>
  <si>
    <t>IL0002810146</t>
  </si>
  <si>
    <t>קבוצת סקופ מתכות בע"מ</t>
  </si>
  <si>
    <t>סקופ חסום</t>
  </si>
  <si>
    <t>IL0002880198</t>
  </si>
  <si>
    <t>מליסרון</t>
  </si>
  <si>
    <t>IL0003230146</t>
  </si>
  <si>
    <t>אאורה</t>
  </si>
  <si>
    <t>IL0003730194</t>
  </si>
  <si>
    <t>קבוצת חמת בע"מ</t>
  </si>
  <si>
    <t>חמת</t>
  </si>
  <si>
    <t>IL0003840167</t>
  </si>
  <si>
    <t>אלרוב נדל"ן ומלונאות בע"מ</t>
  </si>
  <si>
    <t>אלרוב נדלן</t>
  </si>
  <si>
    <t>IL0003870198</t>
  </si>
  <si>
    <t>רציו אנרגיות-שותפות מוגבלת</t>
  </si>
  <si>
    <t>רציו יהש</t>
  </si>
  <si>
    <t>IL0003940157</t>
  </si>
  <si>
    <t>וילאר</t>
  </si>
  <si>
    <t>IL0004160169</t>
  </si>
  <si>
    <t>מטריקס אי.טי בע"מ</t>
  </si>
  <si>
    <t>מטריקס</t>
  </si>
  <si>
    <t>IL0004450156</t>
  </si>
  <si>
    <t>לוזון קבוצה</t>
  </si>
  <si>
    <t>IL0004730177</t>
  </si>
  <si>
    <t>ניו-מד אנרג'י- שותפות מוגבלת</t>
  </si>
  <si>
    <t>ניו-מד אנרג יהש</t>
  </si>
  <si>
    <t>IL0004750209</t>
  </si>
  <si>
    <t>אס.טי.ג'י. אינטרנשיונל בע"מ</t>
  </si>
  <si>
    <t>אסטיגי</t>
  </si>
  <si>
    <t>IL0005500124</t>
  </si>
  <si>
    <t>מנורה מבטחים החזקות בע"מ</t>
  </si>
  <si>
    <t>מנורה מב החז</t>
  </si>
  <si>
    <t>IL0005660183</t>
  </si>
  <si>
    <t>לוינשטין הנדסה</t>
  </si>
  <si>
    <t>IL0005730143</t>
  </si>
  <si>
    <t>הראל השקעות</t>
  </si>
  <si>
    <t>IL0005850180</t>
  </si>
  <si>
    <t>ארית תעשיות בע"מ</t>
  </si>
  <si>
    <t>ארית תעשיות</t>
  </si>
  <si>
    <t>IL0005870147</t>
  </si>
  <si>
    <t>הבנק הבינלאומי הראשון לישראל ב</t>
  </si>
  <si>
    <t>בינלאומי</t>
  </si>
  <si>
    <t>IL0005930388</t>
  </si>
  <si>
    <t>לאומי</t>
  </si>
  <si>
    <t>IL0006046119</t>
  </si>
  <si>
    <t>דלתא-גליל תעשיות בע"מ</t>
  </si>
  <si>
    <t>דלתא גליל</t>
  </si>
  <si>
    <t>IL0006270347</t>
  </si>
  <si>
    <t>טבע תעשיות פרמצבטיות בע"מ</t>
  </si>
  <si>
    <t>טבע</t>
  </si>
  <si>
    <t>IL0006290147</t>
  </si>
  <si>
    <t>פועלים</t>
  </si>
  <si>
    <t>IL0006625771</t>
  </si>
  <si>
    <t>בנק דיסקונט לישראל בע"מ</t>
  </si>
  <si>
    <t>דיסקונט א</t>
  </si>
  <si>
    <t>IL0006912120</t>
  </si>
  <si>
    <t>בנק מזרחי טפחות בע"מ</t>
  </si>
  <si>
    <t>מזרחי טפחות</t>
  </si>
  <si>
    <t>IL0006954379</t>
  </si>
  <si>
    <t>אנלייט אנרגיה</t>
  </si>
  <si>
    <t>IL0007200111</t>
  </si>
  <si>
    <t>אנלייט אנרג חסם</t>
  </si>
  <si>
    <t>גב ים</t>
  </si>
  <si>
    <t>IL0007590198</t>
  </si>
  <si>
    <t>הפניקס</t>
  </si>
  <si>
    <t>IL0007670123</t>
  </si>
  <si>
    <t>שופרסל</t>
  </si>
  <si>
    <t>IL0007770378</t>
  </si>
  <si>
    <t>כהן פיתוח גז ונפט בע"מ</t>
  </si>
  <si>
    <t>כהן פיתוח</t>
  </si>
  <si>
    <t>IL0008100104</t>
  </si>
  <si>
    <t>סנו-מפעלי ברונוס בע"מ</t>
  </si>
  <si>
    <t>סנו</t>
  </si>
  <si>
    <t>IL0008130143</t>
  </si>
  <si>
    <t>COGNYTE SOFTWARE LTD</t>
  </si>
  <si>
    <t>IL0011691438</t>
  </si>
  <si>
    <t>אנליסט אי.אמ.אס.-שרותי ניהול ה</t>
  </si>
  <si>
    <t>אנליסט חסום</t>
  </si>
  <si>
    <t>IL0010806136</t>
  </si>
  <si>
    <t>ישרוטל בע"מ</t>
  </si>
  <si>
    <t>ישרוטל</t>
  </si>
  <si>
    <t>IL0010809858</t>
  </si>
  <si>
    <t>איסתא</t>
  </si>
  <si>
    <t>IL0010810740</t>
  </si>
  <si>
    <t>איסתא חסום</t>
  </si>
  <si>
    <t>אלביט מערכות</t>
  </si>
  <si>
    <t>IL0010811243</t>
  </si>
  <si>
    <t>מגדל אחזקות ביטוח ופיננסים בע"</t>
  </si>
  <si>
    <t>מגדל ביטוח</t>
  </si>
  <si>
    <t>IL0010811656</t>
  </si>
  <si>
    <t>מנועי בית שמש אחזקות (1997) בע</t>
  </si>
  <si>
    <t>בית שמש</t>
  </si>
  <si>
    <t>IL0010815616</t>
  </si>
  <si>
    <t>טאואר סמיקונדקטור בע"מ</t>
  </si>
  <si>
    <t>טאואר</t>
  </si>
  <si>
    <t>IL0010823792</t>
  </si>
  <si>
    <t>טופ גרופ תוכנה בע"מ</t>
  </si>
  <si>
    <t>טופ גרופ</t>
  </si>
  <si>
    <t>IL0010833775</t>
  </si>
  <si>
    <t>יוניטרוניקס (1989) (ר"ג) בע"מ</t>
  </si>
  <si>
    <t>יוניטרוניקס</t>
  </si>
  <si>
    <t>IL0010838311</t>
  </si>
  <si>
    <t>נובה בע"מ</t>
  </si>
  <si>
    <t>נובה</t>
  </si>
  <si>
    <t>IL0010845571</t>
  </si>
  <si>
    <t>חילן בע"מ</t>
  </si>
  <si>
    <t>חילן</t>
  </si>
  <si>
    <t>IL0010846983</t>
  </si>
  <si>
    <t>פוקס-ויזל בע"מ</t>
  </si>
  <si>
    <t>פוקס</t>
  </si>
  <si>
    <t>IL0010870223</t>
  </si>
  <si>
    <t>אל על נתיבי אויר לישראל בע"מ</t>
  </si>
  <si>
    <t>אל על</t>
  </si>
  <si>
    <t>IL0010878242</t>
  </si>
  <si>
    <t>טי.ג'י.איי תשתיות בע"מ</t>
  </si>
  <si>
    <t>טי.ג'י.איי</t>
  </si>
  <si>
    <t>IL0010901416</t>
  </si>
  <si>
    <t>אפי נכסים</t>
  </si>
  <si>
    <t>IL0010913544</t>
  </si>
  <si>
    <t>פי.סי.בי. טכנולוגיות בע"מ</t>
  </si>
  <si>
    <t>פיסיבי טכנ</t>
  </si>
  <si>
    <t>IL0010916851</t>
  </si>
  <si>
    <t>קמטק בע"מ</t>
  </si>
  <si>
    <t>קמטק</t>
  </si>
  <si>
    <t>IL0010952641</t>
  </si>
  <si>
    <t>ארפורט סיטי</t>
  </si>
  <si>
    <t>IL0010958358</t>
  </si>
  <si>
    <t>ביג</t>
  </si>
  <si>
    <t>IL0010972607</t>
  </si>
  <si>
    <t>אמות</t>
  </si>
  <si>
    <t>IL0010972789</t>
  </si>
  <si>
    <t>ריט 1</t>
  </si>
  <si>
    <t>IL0010989205</t>
  </si>
  <si>
    <t>פז קמעונאות ואנרגיה בע"מ</t>
  </si>
  <si>
    <t>פז אנרגיה</t>
  </si>
  <si>
    <t>IL0011000077</t>
  </si>
  <si>
    <t>סלקום ישראל בע"מ</t>
  </si>
  <si>
    <t>סלקום</t>
  </si>
  <si>
    <t>IL0011015349</t>
  </si>
  <si>
    <t>רשת חנויות רמי לוי שיווק השיקמ</t>
  </si>
  <si>
    <t>רמי לוי</t>
  </si>
  <si>
    <t>IL0011042491</t>
  </si>
  <si>
    <t>נטו מלינדה סחר בע"מ</t>
  </si>
  <si>
    <t>נטו מלינדה</t>
  </si>
  <si>
    <t>IL0011050973</t>
  </si>
  <si>
    <t>מצלאוי חברה לבנין בע"מ</t>
  </si>
  <si>
    <t>מצלאוי</t>
  </si>
  <si>
    <t>IL0011067498</t>
  </si>
  <si>
    <t>גפן מגורים</t>
  </si>
  <si>
    <t>IL0011181166</t>
  </si>
  <si>
    <t>קרדן נדל"ן יזום ופיתוח בע"מ</t>
  </si>
  <si>
    <t>קרדן נדלן</t>
  </si>
  <si>
    <t>IL0011184475</t>
  </si>
  <si>
    <t>עזריאלי קבוצה</t>
  </si>
  <si>
    <t>IL0011194789</t>
  </si>
  <si>
    <t>אנרג'יקס</t>
  </si>
  <si>
    <t>IL0011233553</t>
  </si>
  <si>
    <t>ויקטורי רשת סופרמרקטים בע"מ</t>
  </si>
  <si>
    <t>ויקטורי</t>
  </si>
  <si>
    <t>IL0011237778</t>
  </si>
  <si>
    <t>קרסו מוטורס</t>
  </si>
  <si>
    <t>IL0011238503</t>
  </si>
  <si>
    <t>מגדלי תיכון</t>
  </si>
  <si>
    <t>IL0011315236</t>
  </si>
  <si>
    <t>אינרום תעשיות בנייה בע"מ</t>
  </si>
  <si>
    <t>אינרום</t>
  </si>
  <si>
    <t>IL0011323560</t>
  </si>
  <si>
    <t>שפיר הנדסה</t>
  </si>
  <si>
    <t>IL0011338758</t>
  </si>
  <si>
    <t>אורמת טכנולוגיות, אינק</t>
  </si>
  <si>
    <t>אורמת טכנו</t>
  </si>
  <si>
    <t>US6866881021</t>
  </si>
  <si>
    <t>מגוריט</t>
  </si>
  <si>
    <t>IL0011391955</t>
  </si>
  <si>
    <t>או פי סי אנרגיה</t>
  </si>
  <si>
    <t>IL0011415713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</si>
  <si>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</si>
  <si>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</si>
  <si>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</si>
  <si>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</si>
  <si>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</si>
  <si>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פתאל החזקות (1998) בע"מ</t>
  </si>
  <si>
    <t>פתאל החזקות</t>
  </si>
  <si>
    <t>IL0011434292</t>
  </si>
  <si>
    <t>יוניברסל מוטורס</t>
  </si>
  <si>
    <t>IL0011447732</t>
  </si>
  <si>
    <t>גלוברנדס גרופ בע"מ</t>
  </si>
  <si>
    <t>גלוברנדס</t>
  </si>
  <si>
    <t>IL0011474876</t>
  </si>
  <si>
    <t>אנרג'יאן פי אל סי</t>
  </si>
  <si>
    <t>אנרג'יאן</t>
  </si>
  <si>
    <t>GB00BG12Y042</t>
  </si>
  <si>
    <t>ג'נריישן קפיטל בע"מ</t>
  </si>
  <si>
    <t>ג'נריישן חסום</t>
  </si>
  <si>
    <t>IL0011569261</t>
  </si>
  <si>
    <t>הבורסה לניירות ערך בתל-אביב בע</t>
  </si>
  <si>
    <t>הבורסה לניע בתא</t>
  </si>
  <si>
    <t>IL0011590291</t>
  </si>
  <si>
    <t>דוראל אנרגיה חס</t>
  </si>
  <si>
    <t>IL0011667685</t>
  </si>
  <si>
    <t>משק אנרגיה</t>
  </si>
  <si>
    <t>IL0011669749</t>
  </si>
  <si>
    <t>מקס סטוק בע"מ</t>
  </si>
  <si>
    <t>מקס סטוק</t>
  </si>
  <si>
    <t>IL0011685588</t>
  </si>
  <si>
    <t>נופר אנרג'י</t>
  </si>
  <si>
    <t>IL0011708778</t>
  </si>
  <si>
    <t>מניף</t>
  </si>
  <si>
    <t>IL0011708935</t>
  </si>
  <si>
    <t>סולאיר</t>
  </si>
  <si>
    <t>IL0011722878</t>
  </si>
  <si>
    <t>קבוצת ביכורי השדה בע"מ</t>
  </si>
  <si>
    <t>בכורי שדה</t>
  </si>
  <si>
    <t>IL0011726184</t>
  </si>
  <si>
    <t>דיפלומט אחזקות בע"מ</t>
  </si>
  <si>
    <t>דיפלומט אחזקות</t>
  </si>
  <si>
    <t>IL0011734915</t>
  </si>
  <si>
    <t>דיפלומט חסום</t>
  </si>
  <si>
    <t>נאייקס בע"מ</t>
  </si>
  <si>
    <t>נאייקס</t>
  </si>
  <si>
    <t>IL0011751166</t>
  </si>
  <si>
    <t>ארגו פרופרטיז אן.וי.</t>
  </si>
  <si>
    <t>ארגו פרופרטיז</t>
  </si>
  <si>
    <t>NL0015000D84</t>
  </si>
  <si>
    <t>ריטיילורס בע"מ</t>
  </si>
  <si>
    <t>ריטיילורס</t>
  </si>
  <si>
    <t>IL0011754889</t>
  </si>
  <si>
    <t>קבוצת אקרשטיין בע"מ</t>
  </si>
  <si>
    <t>קבוצת אקרשטיין</t>
  </si>
  <si>
    <t>IL0011762056</t>
  </si>
  <si>
    <t>נקסט ויז'ן מערכות מיוצבות בע"מ</t>
  </si>
  <si>
    <t>נקסט ויז'ן</t>
  </si>
  <si>
    <t>IL0011765935</t>
  </si>
  <si>
    <t>אקונרג'י אנרגיה מתחדשת בע"מ</t>
  </si>
  <si>
    <t>אקונרג'י</t>
  </si>
  <si>
    <t>IL0011783342</t>
  </si>
  <si>
    <t>רימון שירותי ייעוץ וניהול בע"מ</t>
  </si>
  <si>
    <t>רימון</t>
  </si>
  <si>
    <t>IL0011787228</t>
  </si>
  <si>
    <t>טופ גאם תעשיות בע"מ</t>
  </si>
  <si>
    <t>טופ גאם</t>
  </si>
  <si>
    <t>IL0011791428</t>
  </si>
  <si>
    <t>רב-בריח(08) תעשיות בע"מ</t>
  </si>
  <si>
    <t>רב בריח</t>
  </si>
  <si>
    <t>IL0011799934</t>
  </si>
  <si>
    <t>רב בריח חסום</t>
  </si>
  <si>
    <t>אפי קפיטל נדל"ן בע"מ</t>
  </si>
  <si>
    <t>אפי קפיטל</t>
  </si>
  <si>
    <t>IL0011814378</t>
  </si>
  <si>
    <t>בית בכפר</t>
  </si>
  <si>
    <t>IL0011836561</t>
  </si>
  <si>
    <t>אקרו</t>
  </si>
  <si>
    <t>IL0011849028</t>
  </si>
  <si>
    <t>ישראייר גרופ בע"מ</t>
  </si>
  <si>
    <t>ישראייר גרופ</t>
  </si>
  <si>
    <t>IL0011871949</t>
  </si>
  <si>
    <t>קרסו נדלן</t>
  </si>
  <si>
    <t>IL0011879629</t>
  </si>
  <si>
    <t>שוב אנרגיה</t>
  </si>
  <si>
    <t>IL0011882425</t>
  </si>
  <si>
    <t>בזא</t>
  </si>
  <si>
    <t>IL0011989105</t>
  </si>
  <si>
    <t>לוזון רונסון</t>
  </si>
  <si>
    <t>IL0012025974</t>
  </si>
  <si>
    <t>מיטב טרייד השקעות בע"מ</t>
  </si>
  <si>
    <t>מיטב טרייד</t>
  </si>
  <si>
    <t>IL0012031816</t>
  </si>
  <si>
    <t>שובל הנדסה ובניין בע"מ</t>
  </si>
  <si>
    <t>שובל</t>
  </si>
  <si>
    <t>IL0012079682</t>
  </si>
  <si>
    <t>מגידו י.ק. בע"מ</t>
  </si>
  <si>
    <t>מגידו</t>
  </si>
  <si>
    <t>IL0012166059</t>
  </si>
  <si>
    <t>אורבניקה (פאלו) ריטייל בע"מ</t>
  </si>
  <si>
    <t>אורבניקה</t>
  </si>
  <si>
    <t>IL0012207556</t>
  </si>
  <si>
    <t>סונול נדל"ן והשקעות בע"מ</t>
  </si>
  <si>
    <t>סונול נדלן</t>
  </si>
  <si>
    <t>IL0012268772</t>
  </si>
  <si>
    <t>עמל הולדינגס א.ד בע"מ</t>
  </si>
  <si>
    <t>עמל הולדינגס</t>
  </si>
  <si>
    <t>IL0012320086</t>
  </si>
  <si>
    <t>קבוצת סוגת בע"מ</t>
  </si>
  <si>
    <t>סוגת</t>
  </si>
  <si>
    <t>IL0012330143</t>
  </si>
  <si>
    <t>בתי זקוק לנפט בע"מ</t>
  </si>
  <si>
    <t>בזן</t>
  </si>
  <si>
    <t>IL0025902482</t>
  </si>
  <si>
    <t>SOLAREDGE TECHNOLOGIES INC</t>
  </si>
  <si>
    <t>US83417M1045</t>
  </si>
  <si>
    <t>ODDITY TECH LTD</t>
  </si>
  <si>
    <t>IL0011974909</t>
  </si>
  <si>
    <t>ODDITY TECH LTD NO TRADE</t>
  </si>
  <si>
    <t>ZIM INTERGATED SHIPPING</t>
  </si>
  <si>
    <t>IL0065100930</t>
  </si>
  <si>
    <t>SHL TELEMEDICINE LTD</t>
  </si>
  <si>
    <t>IL0010855885</t>
  </si>
  <si>
    <t>ITHACA ENERGY PLC</t>
  </si>
  <si>
    <t>GB00BPJHV584</t>
  </si>
  <si>
    <t>מיטב קרנות נאמנות בע"מ</t>
  </si>
  <si>
    <t>תכ.תא125</t>
  </si>
  <si>
    <t>IL0011437188</t>
  </si>
  <si>
    <t>תכ.תלבונד60</t>
  </si>
  <si>
    <t>IL0011451015</t>
  </si>
  <si>
    <t>קסם קרנות נאמנות בע"מ</t>
  </si>
  <si>
    <t>קסם.תלבונד 20 צ</t>
  </si>
  <si>
    <t>IL0011459604</t>
  </si>
  <si>
    <t>STOX600.קסם</t>
  </si>
  <si>
    <t>IL0011462087</t>
  </si>
  <si>
    <t>קסם.תלבונד 60 צ</t>
  </si>
  <si>
    <t>IL0011462327</t>
  </si>
  <si>
    <t>אי.בי.אי קרנות נאמנות בעמ</t>
  </si>
  <si>
    <t>IBI.תלבונד 60צד</t>
  </si>
  <si>
    <t>IL0011480063</t>
  </si>
  <si>
    <t>IBI.תא 125</t>
  </si>
  <si>
    <t>IL0011488082</t>
  </si>
  <si>
    <t>הראל קרנות נאמנות בע"מ</t>
  </si>
  <si>
    <t>SP500.הרל</t>
  </si>
  <si>
    <t>IL0011490203</t>
  </si>
  <si>
    <t>מגדל קרנות נאמנות בע"מ</t>
  </si>
  <si>
    <t>MTF.תא125</t>
  </si>
  <si>
    <t>IL0011502833</t>
  </si>
  <si>
    <t>SP500.MTF</t>
  </si>
  <si>
    <t>IL0011503336</t>
  </si>
  <si>
    <t>הרל.תלבד- 60 צמ</t>
  </si>
  <si>
    <t>IL0011504730</t>
  </si>
  <si>
    <t>קסם.תלבונד ש 50</t>
  </si>
  <si>
    <t>IL0011507626</t>
  </si>
  <si>
    <t>IBI.כשתלבונד60צ</t>
  </si>
  <si>
    <t>IL0011550766</t>
  </si>
  <si>
    <t>CSI300.קסם</t>
  </si>
  <si>
    <t>IL0011627838</t>
  </si>
  <si>
    <t>Ishares iBoxx $ Investment</t>
  </si>
  <si>
    <t>ISHARES IBOXX H/Y CORP BOND</t>
  </si>
  <si>
    <t>US4642885135</t>
  </si>
  <si>
    <t>SP 500 תכלית</t>
  </si>
  <si>
    <t>IL0051139983</t>
  </si>
  <si>
    <t>תכלית ת"א 125</t>
  </si>
  <si>
    <t>IL0051146574</t>
  </si>
  <si>
    <t>תכ.TTFתלבונד20</t>
  </si>
  <si>
    <t>IL0051154727</t>
  </si>
  <si>
    <t>קסם תל בונד 20</t>
  </si>
  <si>
    <t>IL0051155898</t>
  </si>
  <si>
    <t>הרל.תלבנד 20 צמ</t>
  </si>
  <si>
    <t>IL0051172703</t>
  </si>
  <si>
    <t>S&amp;P 500 מח MTF</t>
  </si>
  <si>
    <t>IL0051226277</t>
  </si>
  <si>
    <t>S&amp;P 500 קסם</t>
  </si>
  <si>
    <t>IL0051244825</t>
  </si>
  <si>
    <t>S&amp;P 500י.IBI</t>
  </si>
  <si>
    <t>IL0051274699</t>
  </si>
  <si>
    <t>NASDAQ 100י.IBI</t>
  </si>
  <si>
    <t>IL0051277668</t>
  </si>
  <si>
    <t>NASDAQ 100 הראל</t>
  </si>
  <si>
    <t>IL0051292832</t>
  </si>
  <si>
    <t>STOXX-E600י.IBI</t>
  </si>
  <si>
    <t>IL0051307523</t>
  </si>
  <si>
    <t>CIFC Global Floating Rate Cred</t>
  </si>
  <si>
    <t>635400NLI1L</t>
  </si>
  <si>
    <t>CIFC GLBL FLT RT CR-B1 USD</t>
  </si>
  <si>
    <t>IE0009SO3I10</t>
  </si>
  <si>
    <t>MORE Alternative Credit Fund</t>
  </si>
  <si>
    <t>MORE 8/23</t>
  </si>
  <si>
    <t>XD1489193247</t>
  </si>
  <si>
    <t>MORE 2/23</t>
  </si>
  <si>
    <t>XD1489193254</t>
  </si>
  <si>
    <t>MORE 3/23</t>
  </si>
  <si>
    <t>XD1489193262</t>
  </si>
  <si>
    <t>MORE 10/24</t>
  </si>
  <si>
    <t>XD1489461263</t>
  </si>
  <si>
    <t>1L MORE 11</t>
  </si>
  <si>
    <t>XD1488921812</t>
  </si>
  <si>
    <t>אלומיי אפ 2</t>
  </si>
  <si>
    <t>IL0012030826</t>
  </si>
  <si>
    <t>IL0010826357</t>
  </si>
  <si>
    <t>מיטב טרייד אפ 1</t>
  </si>
  <si>
    <t>IL0012031998</t>
  </si>
  <si>
    <t>אפי קפיטל אפ 1</t>
  </si>
  <si>
    <t>IL0012042136</t>
  </si>
  <si>
    <t>שובל הנדסה אפ 1</t>
  </si>
  <si>
    <t>IL0012159617</t>
  </si>
  <si>
    <t>חג'ג' אפ 1</t>
  </si>
  <si>
    <t>IL0012166547</t>
  </si>
  <si>
    <t>IL0008230133</t>
  </si>
  <si>
    <t>מגידו אפ 1</t>
  </si>
  <si>
    <t>IL0012251844</t>
  </si>
  <si>
    <t>נאוויטס פט אפ 6</t>
  </si>
  <si>
    <t>IL0012288242</t>
  </si>
  <si>
    <t>NIFTY</t>
  </si>
  <si>
    <t>BBG01Y5TTG71</t>
  </si>
  <si>
    <t>NIFTY 50 IFSC</t>
  </si>
  <si>
    <t>JGSF6 INDEX</t>
  </si>
  <si>
    <t>Chicago Board of Trade</t>
  </si>
  <si>
    <t>BBG01VKPGYH2</t>
  </si>
  <si>
    <t>ULTRA10 YR 03/26</t>
  </si>
  <si>
    <t>UXYH6 COMDTY</t>
  </si>
  <si>
    <t>Osaka Exchange</t>
  </si>
  <si>
    <t>BBG01PQDVM85</t>
  </si>
  <si>
    <t>NIKKEI 225 MINI 03/26</t>
  </si>
  <si>
    <t>NOH6 INDEX</t>
  </si>
  <si>
    <t>BBG01R87XK04</t>
  </si>
  <si>
    <t>TOPIX INDX FUT 03/26</t>
  </si>
  <si>
    <t>TPH6</t>
  </si>
  <si>
    <t>Chicago Mercantile Exchange</t>
  </si>
  <si>
    <t>BBG01HZQ8FZ5</t>
  </si>
  <si>
    <t>S&amp;P500 EMINI FUT 03/26</t>
  </si>
  <si>
    <t>ESH6 INDEX</t>
  </si>
  <si>
    <t>ICE Futures US Indices</t>
  </si>
  <si>
    <t>BBG013V2S5R2</t>
  </si>
  <si>
    <t>MSCI EmgMkt 03/26</t>
  </si>
  <si>
    <t>MESH6 INDEX</t>
  </si>
  <si>
    <t>BBG01PSLN5G2</t>
  </si>
  <si>
    <t>FUTURE MINI NASDAQ 03/26</t>
  </si>
  <si>
    <t>NQH6 INDEX</t>
  </si>
  <si>
    <t>Eurex</t>
  </si>
  <si>
    <t>BBG01FZGYB27</t>
  </si>
  <si>
    <t>STOXX600 03/26</t>
  </si>
  <si>
    <t>SXOH6 INDEX</t>
  </si>
  <si>
    <t>BBG01SWCT5P5</t>
  </si>
  <si>
    <t>FT MINI DOW 03/26</t>
  </si>
  <si>
    <t>DMH6 INDEX</t>
  </si>
  <si>
    <t>אלה פקדון אגח ה</t>
  </si>
  <si>
    <t>IL0011625774</t>
  </si>
  <si>
    <t>נעמ שכון ובנוי3</t>
  </si>
  <si>
    <t>מקורות אגח -6רמ</t>
  </si>
  <si>
    <t>IL0011009086</t>
  </si>
  <si>
    <t>מקורות אגח -8רמ</t>
  </si>
  <si>
    <t>IL0011243461</t>
  </si>
  <si>
    <t>מת"ם - מרכז תעשיות מדע חיפה בע</t>
  </si>
  <si>
    <t>מת"ם אגח א -רמ</t>
  </si>
  <si>
    <t>IL0011389991</t>
  </si>
  <si>
    <t>רפאל מערכות לחימה מתקדמות בע"מ</t>
  </si>
  <si>
    <t>רפאל אגח ד-רמ</t>
  </si>
  <si>
    <t>IL0011402844</t>
  </si>
  <si>
    <t>אורמת אגח 4 -רמ</t>
  </si>
  <si>
    <t>IL0011672123</t>
  </si>
  <si>
    <t>רשות שדות התעופה בישראל.</t>
  </si>
  <si>
    <t>רש"ת אגח א-רמ</t>
  </si>
  <si>
    <t>IL0011873358</t>
  </si>
  <si>
    <t>רש"ת אגח ב-רמ</t>
  </si>
  <si>
    <t>IL0011873432</t>
  </si>
  <si>
    <t>איילון אגח ג-רמ</t>
  </si>
  <si>
    <t>IL0011955775</t>
  </si>
  <si>
    <t>עוגן-אג"ח חברתית 2 בע"מ (חל"צ)</t>
  </si>
  <si>
    <t>עוגן אגחא-רמ</t>
  </si>
  <si>
    <t>IL0011968315</t>
  </si>
  <si>
    <t>מקס איט פיננסים בע"מ</t>
  </si>
  <si>
    <t>מקס איט הת ד-רמ</t>
  </si>
  <si>
    <t>IL0011979536</t>
  </si>
  <si>
    <t>לאומי אגח 1 ר-מ</t>
  </si>
  <si>
    <t>IL0011986390</t>
  </si>
  <si>
    <t>אגד חברה לתחבורה בע"מ</t>
  </si>
  <si>
    <t>אגד אגח -1רמ</t>
  </si>
  <si>
    <t>IL0011987877</t>
  </si>
  <si>
    <t>לאומי אגח -2רמ</t>
  </si>
  <si>
    <t>IL0012058975</t>
  </si>
  <si>
    <t>מכלול מימון נדל"ן בע"מ</t>
  </si>
  <si>
    <t>מכלול נד אגח1רמ</t>
  </si>
  <si>
    <t>IL0012071416</t>
  </si>
  <si>
    <t>גב-ים נגב בע"מ</t>
  </si>
  <si>
    <t>גב-יםנגב אגב-רמ</t>
  </si>
  <si>
    <t>IL0012084534</t>
  </si>
  <si>
    <t>פועלים אגח -1רמ</t>
  </si>
  <si>
    <t>IL0012117474</t>
  </si>
  <si>
    <t>עלמדב אינק.</t>
  </si>
  <si>
    <t>עלמדב אגח ג-רמ</t>
  </si>
  <si>
    <t>IL0012118878</t>
  </si>
  <si>
    <t>לאומי אגח -3רמ</t>
  </si>
  <si>
    <t>IL0012150293</t>
  </si>
  <si>
    <t>מכלול נד אגח2רמ</t>
  </si>
  <si>
    <t>IL0012151937</t>
  </si>
  <si>
    <t>מימון ישיר נדל"ן ומשכנתאות הנפ</t>
  </si>
  <si>
    <t>ממון משהנ אג1רמ</t>
  </si>
  <si>
    <t>IL0012152687</t>
  </si>
  <si>
    <t>קרן שמש נכסים שותפות מוגבלת</t>
  </si>
  <si>
    <t>קרן שמש אגחא-רמ</t>
  </si>
  <si>
    <t>IL0012153008</t>
  </si>
  <si>
    <t>לאומי אגח -4רמ</t>
  </si>
  <si>
    <t>IL0012219288</t>
  </si>
  <si>
    <t>מת"ם אגח ב-רמ</t>
  </si>
  <si>
    <t>IL0012235367</t>
  </si>
  <si>
    <t>הראלבט אגח ב-רמ</t>
  </si>
  <si>
    <t>IL0012248154</t>
  </si>
  <si>
    <t>מכלול נד אגח3רמ</t>
  </si>
  <si>
    <t>IL0012253667</t>
  </si>
  <si>
    <t>ממון מש2 אג א-מ</t>
  </si>
  <si>
    <t>IL0012257882</t>
  </si>
  <si>
    <t>ממון מש2 אג ב-מ</t>
  </si>
  <si>
    <t>IL0012257965</t>
  </si>
  <si>
    <t>פועלים אגח -2רמ</t>
  </si>
  <si>
    <t>IL0012275454</t>
  </si>
  <si>
    <t>מכלול נד אגח4רמ</t>
  </si>
  <si>
    <t>IL0012319278</t>
  </si>
  <si>
    <t>לידר החזקות והשקעות בע"מ</t>
  </si>
  <si>
    <t>לידר אגח ח- רמ</t>
  </si>
  <si>
    <t>IL0031803617</t>
  </si>
  <si>
    <t>כלל תעשיות בע"מ</t>
  </si>
  <si>
    <t>כלל תעשאג טז-רמ</t>
  </si>
  <si>
    <t>IL0060802381</t>
  </si>
  <si>
    <t>קבוצת נונו ניהול ואחזקות בע?מ</t>
  </si>
  <si>
    <t>אגח להמרה נונו</t>
  </si>
  <si>
    <t>HUMANZ</t>
  </si>
  <si>
    <t>CANDID</t>
  </si>
  <si>
    <t>CANDID 2</t>
  </si>
  <si>
    <t>קרדיט 360</t>
  </si>
  <si>
    <t>קרדיט 360 ל.ס</t>
  </si>
  <si>
    <t>AGORA</t>
  </si>
  <si>
    <t>AGORA ל.ס</t>
  </si>
  <si>
    <t>HUMANZ LTD</t>
  </si>
  <si>
    <t>HUMANZ SAFE</t>
  </si>
  <si>
    <t>Sunbit Inc</t>
  </si>
  <si>
    <t>SUNBIT 3</t>
  </si>
  <si>
    <t>(KSP פי.אס.די.אס יזמות בע"מ (קבוצת</t>
  </si>
  <si>
    <t>KSP פי אס די אס</t>
  </si>
  <si>
    <t>לואן ווייז בע"מ</t>
  </si>
  <si>
    <t>לואן ווייז</t>
  </si>
  <si>
    <t>קרדיט 360 בע"מ</t>
  </si>
  <si>
    <t>CANDID 4 SAFE</t>
  </si>
  <si>
    <t>UVEYE LTD</t>
  </si>
  <si>
    <t>UVEYE - CLA</t>
  </si>
  <si>
    <t>UVEYE</t>
  </si>
  <si>
    <t>UVEYE (PENSIA)</t>
  </si>
  <si>
    <t>Sauce Inc</t>
  </si>
  <si>
    <t>549300JHLCR4</t>
  </si>
  <si>
    <t>SAUCE 1</t>
  </si>
  <si>
    <t>BitSight Technologies, Inc</t>
  </si>
  <si>
    <t>BITSIGHT</t>
  </si>
  <si>
    <t>Seal Cybersecurity</t>
  </si>
  <si>
    <t>SEAL CYBER</t>
  </si>
  <si>
    <t>Scintilla Holdings Ltd</t>
  </si>
  <si>
    <t>SCINTILLA</t>
  </si>
  <si>
    <t>Viola Credit GL II (UVCI)</t>
  </si>
  <si>
    <t>VIOLA CREDIT UVCI</t>
  </si>
  <si>
    <t>קוגיטו קפיטל פאנד 2 ניהול בע"מ</t>
  </si>
  <si>
    <t>סיג'י השקעות</t>
  </si>
  <si>
    <t>Rakia Capital Fund, LP</t>
  </si>
  <si>
    <t>RS TACTIC GEAR</t>
  </si>
  <si>
    <t>CERCA OPPORTUNITIES GP, LIMITED PARTNERSHIP</t>
  </si>
  <si>
    <t>CERCA גמל</t>
  </si>
  <si>
    <t>ג.ש.אחזקות אי.בי.סי בע"מ</t>
  </si>
  <si>
    <t>שותפות פייבר</t>
  </si>
  <si>
    <t>Green Lantern Management</t>
  </si>
  <si>
    <t>GREEN LANTERN</t>
  </si>
  <si>
    <t>HIA Capital Partners Ltd</t>
  </si>
  <si>
    <t>SHARK TOPCO 1</t>
  </si>
  <si>
    <t>Red Dot III General Partner L.P.</t>
  </si>
  <si>
    <t>RED DOT 3 CAPITAL</t>
  </si>
  <si>
    <t>TBD VC GP LP</t>
  </si>
  <si>
    <t>TBD VC, L.P</t>
  </si>
  <si>
    <t>Cerca Capital 4 GP, Limited Partnership</t>
  </si>
  <si>
    <t>4CECRA</t>
  </si>
  <si>
    <t>נבונא בע"מ</t>
  </si>
  <si>
    <t>ROM POP LP - AVATRADE</t>
  </si>
  <si>
    <t>Secret Chord Ventures</t>
  </si>
  <si>
    <t>SECRET CHORD VENTURES</t>
  </si>
  <si>
    <t>ויולה קרדיט</t>
  </si>
  <si>
    <t>VIOLA CREDIT ALF</t>
  </si>
  <si>
    <t>LCN European Fund IV GP S.a.r.l</t>
  </si>
  <si>
    <t>LCN IV</t>
  </si>
  <si>
    <t>HP Islazul Co-Invest GP S.?.r.l.,</t>
  </si>
  <si>
    <t>HENDERSON ISLAZU</t>
  </si>
  <si>
    <t>HGI Multifamily Credit Fund GP LLC</t>
  </si>
  <si>
    <t>HGI MULTIFAMILY</t>
  </si>
  <si>
    <t>HarbourVest GP LLC</t>
  </si>
  <si>
    <t>DOVER STREET XL</t>
  </si>
  <si>
    <t>Sheva Growth Investments L.P</t>
  </si>
  <si>
    <t>SHEVA GROWTH INVESTMENTS S1</t>
  </si>
  <si>
    <t>LUCID ALTERNATIVE FUND, LP</t>
  </si>
  <si>
    <t>LUCID ALTERNATIVE FUND</t>
  </si>
  <si>
    <t>Oak Street Real Estate Capital Fund VI, LP</t>
  </si>
  <si>
    <t>OAK STREET REAL ESTATE VI</t>
  </si>
  <si>
    <t>PANTHEON PGIF IV GP</t>
  </si>
  <si>
    <t>PANTHEON GLOBAL INFRASTRUCTURE</t>
  </si>
  <si>
    <t>Scintilla Tech Ltd</t>
  </si>
  <si>
    <t>MORETECH VENTURES II</t>
  </si>
  <si>
    <t>HPS GP Lux Sarl</t>
  </si>
  <si>
    <t>HPS SPECIALTY LOAN</t>
  </si>
  <si>
    <t>Henderson Park Real Estate Fund II GP S.? r.l</t>
  </si>
  <si>
    <t>HENDERSON PARK REAL</t>
  </si>
  <si>
    <t>SHEVA GROWTH 2</t>
  </si>
  <si>
    <t>Target Global Selected Opportunities LLC</t>
  </si>
  <si>
    <t>TARGET GLOBAL BOHRIUM</t>
  </si>
  <si>
    <t>HARBOURVEST GP LLC</t>
  </si>
  <si>
    <t>HV GONDOR FEEDER</t>
  </si>
  <si>
    <t>Pantheon Zilker GP LLC</t>
  </si>
  <si>
    <t>PANTHEON ZILKER</t>
  </si>
  <si>
    <t>EQT CO INVEST</t>
  </si>
  <si>
    <t>EQT VI 10.4</t>
  </si>
  <si>
    <t>Qumra Capital GP IV, L.P.</t>
  </si>
  <si>
    <t>QUMRA CAPITAL IV</t>
  </si>
  <si>
    <t>Sheva Fund GP LP</t>
  </si>
  <si>
    <t>SHEVA GROWTH SE3</t>
  </si>
  <si>
    <t>ECP V (CALIFORNIA CO-INVEST), LP</t>
  </si>
  <si>
    <t>ECP CALIFORNIA</t>
  </si>
  <si>
    <t>Greenfield Partners GP Fund III, L.P.</t>
  </si>
  <si>
    <t>GREENFIELD 1</t>
  </si>
  <si>
    <t>TARGET KRYPTON</t>
  </si>
  <si>
    <t>OEP IX General Partner, L.P.</t>
  </si>
  <si>
    <t>OEP IX BALLYMORE</t>
  </si>
  <si>
    <t>ONE EQUITY PARTNERS</t>
  </si>
  <si>
    <t>Director/PDMR Shareholding</t>
  </si>
  <si>
    <t>YS 1740 PLATFORM CO INVEST LP</t>
  </si>
  <si>
    <t>The Access Fund L.P</t>
  </si>
  <si>
    <t>ACCESS FUND-SPRING HILL</t>
  </si>
  <si>
    <t>TruAmericaWorbforce Housing Fund IIGP, LL'C</t>
  </si>
  <si>
    <t>TWHF II RIVERHURST CO-INVEST-B</t>
  </si>
  <si>
    <t>QEP Co-Invest GP, LLC</t>
  </si>
  <si>
    <t>QUANTUM - COGENTRIX</t>
  </si>
  <si>
    <t>COLLER INTERNATIONAL PARTNERS</t>
  </si>
  <si>
    <t>COLLER IX SER A</t>
  </si>
  <si>
    <t>COLLER IX SER B</t>
  </si>
  <si>
    <t>Swish GP L.P.</t>
  </si>
  <si>
    <t>SWISH VENTURES</t>
  </si>
  <si>
    <t>Thoma Bravo Partners</t>
  </si>
  <si>
    <t>THOMA BRAVO FUND XVI-A, L.P.</t>
  </si>
  <si>
    <t>Ares ACIP Management II, L.P</t>
  </si>
  <si>
    <t>SB CO-INVESTMENT</t>
  </si>
  <si>
    <t>TruAmerica Workforce Housing Fund II GP, LLC</t>
  </si>
  <si>
    <t>TRUAMERICA FUND II-B</t>
  </si>
  <si>
    <t>TRUAMERICA FUND II-C</t>
  </si>
  <si>
    <t>NMI Co-Invest</t>
  </si>
  <si>
    <t>New Mountain Capital Wipfli</t>
  </si>
  <si>
    <t>Lindsay Goldberg</t>
  </si>
  <si>
    <t>LINDSAY GOLDBERG</t>
  </si>
  <si>
    <t>1L-MORE ALTERNATIVE CREDIT GP LTD</t>
  </si>
  <si>
    <t>1L MORE ALT CR FD LP (E) USD S</t>
  </si>
  <si>
    <t>XD1493478915</t>
  </si>
  <si>
    <t>מצלאוי אופ ל.ס</t>
  </si>
  <si>
    <t>סולאיר אופ ל.ס2</t>
  </si>
  <si>
    <t>רב בריח אופ ל.ס</t>
  </si>
  <si>
    <t>אקרו אופ ל.ס</t>
  </si>
  <si>
    <t>קבוצת גבאי קיקר</t>
  </si>
  <si>
    <t>קרסו נדלן ל.ס</t>
  </si>
  <si>
    <t>איסתא אופציה לס</t>
  </si>
  <si>
    <t>פז נפט אופ ל.ס</t>
  </si>
  <si>
    <t>גנרשן קפ אפ לס</t>
  </si>
  <si>
    <t>הכשרת ישוב אופ</t>
  </si>
  <si>
    <t>IL0006120104</t>
  </si>
  <si>
    <t>CANDID 2 WARRANTS</t>
  </si>
  <si>
    <t>BBG01PNPZ3H9</t>
  </si>
  <si>
    <t>MIZ EQ.SW 1 P</t>
  </si>
  <si>
    <t>MIZ EQ.SW 1 R</t>
  </si>
  <si>
    <t>HYGUS</t>
  </si>
  <si>
    <t>MIZBILIT</t>
  </si>
  <si>
    <t>ILSUSD</t>
  </si>
  <si>
    <t>ILSEUR</t>
  </si>
  <si>
    <t>FIRBILIT</t>
  </si>
  <si>
    <t>USDILS</t>
  </si>
  <si>
    <t>EURILS</t>
  </si>
  <si>
    <t>קבועה</t>
  </si>
  <si>
    <t>אשראי אחר בענף הנדל"ן (לרבות אשראי לכל מטרה) - אחר/לא מסווג</t>
  </si>
  <si>
    <t>JPM 7.95 01/34</t>
  </si>
  <si>
    <t>ZD6998698</t>
  </si>
  <si>
    <t>A</t>
  </si>
  <si>
    <t>בנק הבינלאומי הראשון לישראל</t>
  </si>
  <si>
    <t>כנפי רוח בניית ירושלים 2</t>
  </si>
  <si>
    <t>פינת הרחובות כנפי נשרים, פרבשטיין , בית הדפוס א.ת. גבעת שאול, ירושלים</t>
  </si>
  <si>
    <t>רחוב כרמל 20, גני תקווה</t>
  </si>
  <si>
    <t>כנפי רוח 2</t>
  </si>
  <si>
    <t>חוז עמלות</t>
  </si>
  <si>
    <t>חייבים בגין תקבולים</t>
  </si>
  <si>
    <t>חוז שונות</t>
  </si>
  <si>
    <t>TEMP_MATACH $</t>
  </si>
  <si>
    <t>SIXGILL נאמנות</t>
  </si>
  <si>
    <t>חייבים בנאמנות</t>
  </si>
  <si>
    <t>ליאת דוידוב</t>
  </si>
  <si>
    <t>liat.davidov@more.co.il</t>
  </si>
  <si>
    <t>(Hedge Fund) קרן גידור</t>
  </si>
  <si>
    <t>קרנות השקעה אחרות</t>
  </si>
  <si>
    <t>אשראי תשואה גבוהה</t>
  </si>
  <si>
    <t>EQT Infrastructure VI (General Partner) S.à r.l.</t>
  </si>
  <si>
    <t xml:space="preserve">TruAmerica Workforce Housing Fund II GP, LLC </t>
  </si>
  <si>
    <t>HP Islazul Co-Invest GP S.?.r.l</t>
  </si>
  <si>
    <t>Coller International Partners IX - A, L.P.</t>
  </si>
  <si>
    <t>OEP IX General Partner, L.P</t>
  </si>
  <si>
    <t>ECP GP V Co-Investment (California), LLC</t>
  </si>
  <si>
    <t>קוגיטו קפיטל 3 שותף כללי בע"מ</t>
  </si>
  <si>
    <t>R-Squared Ventures GP III, LLC</t>
  </si>
  <si>
    <t>MAPLE CAPITAL FUND II GP, LIMITED PARTNERSHIP</t>
  </si>
  <si>
    <t>Digital Realty DC Partners NA GP, LP</t>
  </si>
  <si>
    <t xml:space="preserve">Starlight Bond 2 GP Ltd </t>
  </si>
  <si>
    <t>HGI Multifamily Credit Fund GP, LLC</t>
  </si>
  <si>
    <t>Thoma Bravo Partners XVI, L.P.</t>
  </si>
  <si>
    <t>Trident Capital X L. P</t>
  </si>
  <si>
    <t>LUCID ALTERNATIVE GP LTD</t>
  </si>
  <si>
    <t>Secret Chord Ventures II G.P., Ltd.</t>
  </si>
  <si>
    <t>Lindsay Goldberg GP VI LLC</t>
  </si>
  <si>
    <t>New Mountain Strategic Investments GP II, L.L.C.</t>
  </si>
  <si>
    <t>ויולה קרדיט איי.אל.אף 3 ג'י.פי ג'י.פי בע"מ</t>
  </si>
  <si>
    <t>Green Lantern Management VI Ltd.</t>
  </si>
  <si>
    <t>Vine Ventures III GP LLC</t>
  </si>
  <si>
    <t>שם קרן ההשקעה</t>
  </si>
  <si>
    <t>מטבע הפעילות</t>
  </si>
  <si>
    <t>HGI Multifamily Credit Fund LP HGI Multifamily Cr</t>
  </si>
  <si>
    <t>Dover Street XI L.P Dover Street XI L.P</t>
  </si>
  <si>
    <t>Pantheon Global Infrastructure Fund IV -Luxembourg</t>
  </si>
  <si>
    <t>MORETECH VENTURES II, L.P</t>
  </si>
  <si>
    <t>HPS Specialty Loan International Fund VI-L, SCSp</t>
  </si>
  <si>
    <t>Henderson Park Real Estate Fund II</t>
  </si>
  <si>
    <t>HV Gondor Feeder L.P</t>
  </si>
  <si>
    <t>Pantheon Zilker, L.P</t>
  </si>
  <si>
    <t>EQT Infrastructure VI Co-Investment</t>
  </si>
  <si>
    <t>LCN European Fund IV SLP</t>
  </si>
  <si>
    <t>EQT Infrastructure VI (No.1) USD SCSp</t>
  </si>
  <si>
    <t>Qumra Capital IV</t>
  </si>
  <si>
    <t>Greenfield Partners Fund III, L.P</t>
  </si>
  <si>
    <t>TruAmerica Workforce Housing Fund II-B פנסיה</t>
  </si>
  <si>
    <t>Henderson Park Real Estate Fund II (Co-Invest )</t>
  </si>
  <si>
    <t>The Access Fund</t>
  </si>
  <si>
    <t>SHARK TOPCO, LIMITED PARTNERSHIP</t>
  </si>
  <si>
    <t>TWHF II Riverhurst Co-Invest</t>
  </si>
  <si>
    <t>Quantum Capital Co-Invest Cogentrix</t>
  </si>
  <si>
    <t>Coller International Partners IX series A</t>
  </si>
  <si>
    <t>Coller   IX series B</t>
  </si>
  <si>
    <t>Swish Ventures L.P</t>
  </si>
  <si>
    <t>Red Dot 3 Capital Partners (Israel), L.P.</t>
  </si>
  <si>
    <t>Cerca 4 Partners Cerca 4 Partners Cerca 4 partne</t>
  </si>
  <si>
    <t>One Equity Partners IX, L.P. OEP IX,LP.</t>
  </si>
  <si>
    <t>Cerca Opportunity Cerca Opportunity Cerca Opport</t>
  </si>
  <si>
    <t>ECP V (CALIFORNIA CO-INVEST), LP ECP V (CALIFORNI</t>
  </si>
  <si>
    <t>קוגיטו קפיטל 3 שותפות מוגבלת</t>
  </si>
  <si>
    <t>R-Squared Ventures III, LP</t>
  </si>
  <si>
    <t>MAPLE CAPITAL II, LIMITED PARTN</t>
  </si>
  <si>
    <t>Digital Realty DC Partners NA F</t>
  </si>
  <si>
    <t>Starlight Bond FP 2 LP</t>
  </si>
  <si>
    <t>HGI Multifamily Credit Fund II, LP</t>
  </si>
  <si>
    <t>Thoma Bravo Fund XVI-A, L.P.</t>
  </si>
  <si>
    <t>Trident X Parallel Fund L.P</t>
  </si>
  <si>
    <t>LUCID ALTERNATI</t>
  </si>
  <si>
    <t>Secret Chord Ventures II - Limi</t>
  </si>
  <si>
    <t>TruAmerica Workforce Housing Fund II-C</t>
  </si>
  <si>
    <t>Lindsay Goldberg VI L.P.</t>
  </si>
  <si>
    <t>New Mountain Strategic Equity Fund II</t>
  </si>
  <si>
    <t>Viola Credit ALF III , L.P.</t>
  </si>
  <si>
    <t>Green Lantern VI Tapugan Limited Partnership</t>
  </si>
  <si>
    <t>Vine Ventures III-B, LP</t>
  </si>
  <si>
    <t>בנק הבינלאומי הראשון בע"מ</t>
  </si>
  <si>
    <t>הלוואה 1</t>
  </si>
  <si>
    <t>הלוואה 2</t>
  </si>
  <si>
    <t>הלוואה 3</t>
  </si>
  <si>
    <t>הלוואה 4</t>
  </si>
  <si>
    <t>הלוואה 5</t>
  </si>
  <si>
    <t>הלוואה 6</t>
  </si>
  <si>
    <t>הלוואה 7</t>
  </si>
  <si>
    <t>הלוואה 8</t>
  </si>
  <si>
    <t>הלוואה 9</t>
  </si>
  <si>
    <t>הלוואה 10</t>
  </si>
  <si>
    <t>הלוואה 11</t>
  </si>
  <si>
    <t>הלוואה 12</t>
  </si>
  <si>
    <t>הלוואה 13</t>
  </si>
  <si>
    <t>הלוואה 14</t>
  </si>
  <si>
    <t>הלוואה 15</t>
  </si>
  <si>
    <t>הלוואה 16</t>
  </si>
  <si>
    <t>הלוואה 17</t>
  </si>
  <si>
    <t>הלוואה 18</t>
  </si>
  <si>
    <t>הלוואה 19</t>
  </si>
  <si>
    <t>הלוואה 20</t>
  </si>
  <si>
    <t>הלוואה 21</t>
  </si>
  <si>
    <t>הלוואה 22</t>
  </si>
  <si>
    <t>הלוואה 23</t>
  </si>
  <si>
    <t>הלוואה 24</t>
  </si>
  <si>
    <t>הלוואה 25</t>
  </si>
  <si>
    <t>הלוואה 26</t>
  </si>
  <si>
    <t>הלוואה 27</t>
  </si>
  <si>
    <t>הלוואה 28</t>
  </si>
  <si>
    <t>הלוואה 29</t>
  </si>
  <si>
    <t>הלוואה 30</t>
  </si>
  <si>
    <t>הלוואה 31</t>
  </si>
  <si>
    <t>הלוואה 32</t>
  </si>
  <si>
    <t>Column1</t>
  </si>
  <si>
    <t>Column2</t>
  </si>
  <si>
    <t>Column3</t>
  </si>
  <si>
    <t>Column4</t>
  </si>
  <si>
    <t>ריק במקור</t>
  </si>
  <si>
    <t>שער חליפין2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</si>
</sst>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-* #,##0.00_-;\-* #,##0.00_-;_-* &quot;-&quot;??_-;_-@_-"/>
    <numFmt numFmtId="165" formatCode="#,##0.00%"/>
    <numFmt numFmtId="166" formatCode="0.000"/>
    <numFmt numFmtId="167" formatCode="#,##0.000"/>
    <numFmt numFmtId="168" formatCode="#0.000"/>
    <numFmt numFmtId="169" formatCode="0.0%"/>
    <numFmt numFmtId="170" formatCode="0.000%"/>
    <numFmt numFmtId="175" formatCode=";;;"/>
  </numFmts>
  <fonts count="2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0"/>
      <color theme="2" tint="-0.74999237037263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9" tint="-0.499984740745262"/>
      <name val="Arial"/>
      <family val="2"/>
    </font>
    <font>
      <sz val="11"/>
      <name val="Arial"/>
      <family val="2"/>
    </font>
    <font>
      <sz val="12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ptos"/>
      <family val="2"/>
    </font>
    <font>
      <u/>
      <sz val="11"/>
      <color theme="1"/>
      <name val="Arial"/>
      <family val="2"/>
    </font>
    <font>
      <u val="double"/>
      <sz val="11"/>
      <color theme="1"/>
      <name val="Arial"/>
      <family val="2"/>
    </font>
    <font>
      <sz val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200">
    <xf numFmtId="0" fontId="0" fillId="0" borderId="0" xfId="0"/>
    <xf numFmtId="0" fontId="3" fillId="0" borderId="0" xfId="0" applyFont="1"/>
    <xf numFmtId="0" fontId="3" fillId="0" borderId="2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8" fillId="4" borderId="0" xfId="0" applyFont="1" applyFill="1"/>
    <xf numFmtId="0" fontId="9" fillId="0" borderId="0" xfId="0" applyFont="1"/>
    <xf numFmtId="0" fontId="0" fillId="0" borderId="0" xfId="0" applyAlignment="1">
      <alignment horizontal="right"/>
    </xf>
    <xf numFmtId="0" fontId="4" fillId="4" borderId="0" xfId="0" applyFont="1" applyFill="1"/>
    <xf numFmtId="0" fontId="3" fillId="0" borderId="0" xfId="0" applyFont="1" applyProtection="1">
      <protection locked="0"/>
    </xf>
    <xf numFmtId="0" fontId="6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0" fillId="0" borderId="0" xfId="0" applyFont="1"/>
    <xf numFmtId="0" fontId="6" fillId="3" borderId="9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0" xfId="0" applyFont="1"/>
    <xf numFmtId="1" fontId="0" fillId="0" borderId="0" xfId="0" applyNumberFormat="1" applyAlignment="1">
      <alignment horizontal="right"/>
    </xf>
    <xf numFmtId="0" fontId="6" fillId="3" borderId="1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top"/>
    </xf>
    <xf numFmtId="0" fontId="6" fillId="3" borderId="3" xfId="0" applyFont="1" applyFill="1" applyBorder="1" applyAlignment="1">
      <alignment horizontal="center" vertical="center" wrapText="1" readingOrder="2"/>
    </xf>
    <xf numFmtId="0" fontId="15" fillId="5" borderId="0" xfId="1" applyFont="1" applyFill="1" applyAlignment="1" applyProtection="1">
      <alignment horizontal="left" vertical="center" wrapText="1" indent="1"/>
      <protection locked="0"/>
    </xf>
    <xf numFmtId="0" fontId="15" fillId="5" borderId="12" xfId="1" applyFont="1" applyFill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16" fillId="0" borderId="0" xfId="0" applyFont="1"/>
    <xf numFmtId="0" fontId="17" fillId="0" borderId="1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Protection="1">
      <protection locked="0"/>
    </xf>
    <xf numFmtId="0" fontId="3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0" fontId="3" fillId="2" borderId="5" xfId="0" applyFont="1" applyFill="1" applyBorder="1" applyAlignment="1">
      <alignment vertical="top"/>
    </xf>
    <xf numFmtId="0" fontId="3" fillId="0" borderId="6" xfId="0" applyFont="1" applyBorder="1" applyAlignment="1">
      <alignment horizontal="right" vertical="top"/>
    </xf>
    <xf numFmtId="0" fontId="3" fillId="2" borderId="6" xfId="0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right" vertical="top"/>
    </xf>
    <xf numFmtId="0" fontId="3" fillId="0" borderId="5" xfId="0" applyFont="1" applyBorder="1" applyAlignment="1">
      <alignment vertical="top"/>
    </xf>
    <xf numFmtId="0" fontId="3" fillId="2" borderId="5" xfId="0" applyFont="1" applyFill="1" applyBorder="1" applyAlignment="1">
      <alignment horizontal="right"/>
    </xf>
    <xf numFmtId="0" fontId="3" fillId="0" borderId="4" xfId="0" applyFont="1" applyBorder="1"/>
    <xf numFmtId="0" fontId="3" fillId="0" borderId="4" xfId="0" applyFont="1" applyBorder="1" applyAlignment="1">
      <alignment readingOrder="1"/>
    </xf>
    <xf numFmtId="0" fontId="3" fillId="0" borderId="4" xfId="0" applyFont="1" applyBorder="1" applyAlignment="1">
      <alignment horizontal="right" readingOrder="1"/>
    </xf>
    <xf numFmtId="0" fontId="3" fillId="2" borderId="6" xfId="0" applyFont="1" applyFill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3" fillId="2" borderId="10" xfId="0" applyFont="1" applyFill="1" applyBorder="1" applyAlignment="1">
      <alignment horizontal="right" vertical="top"/>
    </xf>
    <xf numFmtId="0" fontId="3" fillId="2" borderId="7" xfId="0" applyFont="1" applyFill="1" applyBorder="1" applyAlignment="1">
      <alignment horizontal="right"/>
    </xf>
    <xf numFmtId="0" fontId="3" fillId="0" borderId="10" xfId="0" applyFont="1" applyBorder="1" applyAlignment="1">
      <alignment horizontal="right" vertical="top"/>
    </xf>
    <xf numFmtId="0" fontId="3" fillId="0" borderId="7" xfId="0" applyFont="1" applyBorder="1" applyAlignment="1">
      <alignment horizontal="right"/>
    </xf>
    <xf numFmtId="0" fontId="3" fillId="2" borderId="5" xfId="0" applyFont="1" applyFill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2" borderId="5" xfId="0" applyFont="1" applyFill="1" applyBorder="1" applyAlignment="1">
      <alignment vertical="top" wrapText="1"/>
    </xf>
    <xf numFmtId="0" fontId="3" fillId="6" borderId="0" xfId="0" applyFont="1" applyFill="1"/>
    <xf numFmtId="0" fontId="18" fillId="0" borderId="0" xfId="0" applyFont="1"/>
    <xf numFmtId="0" fontId="19" fillId="0" borderId="1" xfId="0" applyFont="1" applyBorder="1" applyAlignment="1">
      <alignment vertical="center" wrapText="1" readingOrder="2"/>
    </xf>
    <xf numFmtId="0" fontId="19" fillId="0" borderId="1" xfId="0" applyFont="1" applyBorder="1" applyAlignment="1">
      <alignment horizontal="right" vertical="center" wrapText="1" readingOrder="2"/>
    </xf>
    <xf numFmtId="2" fontId="19" fillId="0" borderId="1" xfId="0" applyNumberFormat="1" applyFont="1" applyBorder="1" applyAlignment="1">
      <alignment vertical="center" wrapText="1" readingOrder="2"/>
    </xf>
    <xf numFmtId="0" fontId="20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166" fontId="19" fillId="0" borderId="1" xfId="0" applyNumberFormat="1" applyFont="1" applyBorder="1" applyAlignment="1">
      <alignment vertical="center" wrapText="1" readingOrder="2"/>
    </xf>
    <xf numFmtId="0" fontId="15" fillId="5" borderId="12" xfId="1" applyFont="1" applyFill="1" applyBorder="1" applyAlignment="1" applyProtection="1">
      <alignment horizontal="right" vertical="center" wrapText="1"/>
      <protection locked="0"/>
    </xf>
    <xf numFmtId="0" fontId="15" fillId="5" borderId="12" xfId="1" applyFont="1" applyFill="1" applyBorder="1" applyAlignment="1" applyProtection="1">
      <alignment horizontal="left" vertical="center" wrapText="1" indent="1"/>
      <protection locked="0"/>
    </xf>
    <xf numFmtId="0" fontId="15" fillId="5" borderId="12" xfId="1" applyFont="1" applyFill="1" applyBorder="1" applyAlignment="1" applyProtection="1">
      <alignment vertical="center" wrapText="1"/>
      <protection locked="0"/>
    </xf>
    <xf numFmtId="167" fontId="16" fillId="0" borderId="11" xfId="0" applyNumberFormat="1" applyFont="1" applyBorder="1" applyAlignment="1">
      <alignment horizontal="center" vertical="center" wrapText="1"/>
    </xf>
    <xf numFmtId="167" fontId="3" fillId="0" borderId="0" xfId="0" applyNumberFormat="1" applyFont="1"/>
    <xf numFmtId="10" fontId="3" fillId="0" borderId="0" xfId="0" applyNumberFormat="1" applyFont="1"/>
    <xf numFmtId="168" fontId="3" fillId="0" borderId="0" xfId="0" applyNumberFormat="1" applyFont="1"/>
    <xf numFmtId="14" fontId="3" fillId="0" borderId="0" xfId="0" applyNumberFormat="1" applyFont="1"/>
    <xf numFmtId="168" fontId="3" fillId="0" borderId="0" xfId="0" applyNumberFormat="1" applyFont="1" applyProtection="1">
      <protection locked="0"/>
    </xf>
    <xf numFmtId="14" fontId="3" fillId="0" borderId="0" xfId="0" applyNumberFormat="1" applyFont="1" applyProtection="1">
      <protection locked="0"/>
    </xf>
    <xf numFmtId="10" fontId="3" fillId="0" borderId="0" xfId="0" applyNumberFormat="1" applyFont="1" applyProtection="1">
      <protection locked="0"/>
    </xf>
    <xf numFmtId="167" fontId="3" fillId="0" borderId="0" xfId="0" applyNumberFormat="1" applyFont="1" applyProtection="1">
      <protection locked="0"/>
    </xf>
    <xf numFmtId="0" fontId="3" fillId="0" borderId="0" xfId="5" applyFont="1"/>
    <xf numFmtId="14" fontId="3" fillId="0" borderId="0" xfId="5" applyNumberFormat="1" applyFont="1"/>
    <xf numFmtId="167" fontId="3" fillId="0" borderId="0" xfId="5" applyNumberFormat="1" applyFont="1"/>
    <xf numFmtId="10" fontId="3" fillId="0" borderId="0" xfId="5" applyNumberFormat="1" applyFont="1"/>
    <xf numFmtId="164" fontId="3" fillId="0" borderId="0" xfId="6" applyFont="1"/>
    <xf numFmtId="164" fontId="3" fillId="0" borderId="0" xfId="6" applyFont="1" applyProtection="1">
      <protection locked="0"/>
    </xf>
    <xf numFmtId="164" fontId="3" fillId="0" borderId="0" xfId="6" applyFont="1" applyFill="1" applyBorder="1"/>
    <xf numFmtId="10" fontId="3" fillId="0" borderId="0" xfId="4" applyNumberFormat="1" applyFont="1"/>
    <xf numFmtId="166" fontId="3" fillId="0" borderId="0" xfId="5" applyNumberFormat="1" applyFont="1"/>
    <xf numFmtId="14" fontId="3" fillId="0" borderId="0" xfId="0" applyNumberFormat="1" applyFont="1" applyAlignment="1">
      <alignment horizontal="left"/>
    </xf>
    <xf numFmtId="166" fontId="3" fillId="0" borderId="0" xfId="0" applyNumberFormat="1" applyFont="1"/>
    <xf numFmtId="169" fontId="3" fillId="0" borderId="0" xfId="4" applyNumberFormat="1" applyFont="1" applyFill="1"/>
    <xf numFmtId="4" fontId="3" fillId="0" borderId="0" xfId="0" applyNumberFormat="1" applyFont="1"/>
    <xf numFmtId="164" fontId="3" fillId="0" borderId="0" xfId="3" applyFont="1" applyFill="1"/>
    <xf numFmtId="10" fontId="3" fillId="0" borderId="0" xfId="4" applyNumberFormat="1" applyFont="1" applyFill="1"/>
    <xf numFmtId="0" fontId="0" fillId="0" borderId="18" xfId="0" applyBorder="1"/>
    <xf numFmtId="9" fontId="3" fillId="0" borderId="0" xfId="4" applyFont="1" applyFill="1"/>
    <xf numFmtId="167" fontId="17" fillId="0" borderId="11" xfId="0" applyNumberFormat="1" applyFont="1" applyBorder="1" applyAlignment="1">
      <alignment horizontal="center" vertical="center" wrapText="1"/>
    </xf>
    <xf numFmtId="0" fontId="21" fillId="0" borderId="0" xfId="0" applyFont="1"/>
    <xf numFmtId="17" fontId="1" fillId="0" borderId="0" xfId="0" applyNumberFormat="1" applyFont="1"/>
    <xf numFmtId="170" fontId="3" fillId="0" borderId="0" xfId="4" applyNumberFormat="1" applyFont="1" applyProtection="1">
      <protection locked="0"/>
    </xf>
    <xf numFmtId="167" fontId="3" fillId="0" borderId="0" xfId="0" applyNumberFormat="1" applyFont="1" applyAlignment="1">
      <alignment horizontal="center"/>
    </xf>
    <xf numFmtId="0" fontId="21" fillId="0" borderId="0" xfId="0" applyFont="1" applyProtection="1">
      <protection locked="0"/>
    </xf>
    <xf numFmtId="14" fontId="21" fillId="0" borderId="0" xfId="0" applyNumberFormat="1" applyFont="1" applyProtection="1">
      <protection locked="0"/>
    </xf>
    <xf numFmtId="167" fontId="21" fillId="0" borderId="0" xfId="0" applyNumberFormat="1" applyFont="1" applyProtection="1">
      <protection locked="0"/>
    </xf>
    <xf numFmtId="10" fontId="21" fillId="0" borderId="0" xfId="0" applyNumberFormat="1" applyFont="1" applyProtection="1">
      <protection locked="0"/>
    </xf>
    <xf numFmtId="1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1" fillId="0" borderId="0" xfId="0" applyFont="1"/>
    <xf numFmtId="164" fontId="23" fillId="0" borderId="0" xfId="7" applyFont="1" applyFill="1" applyBorder="1" applyAlignment="1">
      <alignment horizontal="center" vertical="center"/>
    </xf>
    <xf numFmtId="164" fontId="1" fillId="0" borderId="0" xfId="3" applyFont="1" applyFill="1" applyBorder="1"/>
    <xf numFmtId="0" fontId="22" fillId="0" borderId="0" xfId="4" applyNumberFormat="1" applyFont="1" applyFill="1" applyBorder="1"/>
    <xf numFmtId="0" fontId="1" fillId="0" borderId="0" xfId="0" applyFont="1" applyProtection="1">
      <protection locked="0"/>
    </xf>
    <xf numFmtId="14" fontId="1" fillId="0" borderId="0" xfId="0" applyNumberFormat="1" applyFont="1" applyProtection="1">
      <protection locked="0"/>
    </xf>
    <xf numFmtId="167" fontId="1" fillId="0" borderId="0" xfId="0" applyNumberFormat="1" applyFont="1"/>
    <xf numFmtId="10" fontId="1" fillId="0" borderId="0" xfId="0" applyNumberFormat="1" applyFont="1" applyProtection="1">
      <protection locked="0"/>
    </xf>
    <xf numFmtId="14" fontId="1" fillId="0" borderId="0" xfId="0" applyNumberFormat="1" applyFont="1"/>
    <xf numFmtId="14" fontId="24" fillId="0" borderId="0" xfId="0" applyNumberFormat="1" applyFont="1"/>
    <xf numFmtId="4" fontId="25" fillId="0" borderId="0" xfId="0" applyNumberFormat="1" applyFont="1"/>
    <xf numFmtId="0" fontId="12" fillId="0" borderId="0" xfId="0" applyFont="1"/>
    <xf numFmtId="0" fontId="1" fillId="0" borderId="0" xfId="0" applyFont="1" applyAlignment="1">
      <alignment horizontal="center"/>
    </xf>
    <xf numFmtId="4" fontId="26" fillId="0" borderId="0" xfId="0" applyNumberFormat="1" applyFont="1"/>
    <xf numFmtId="0" fontId="2" fillId="0" borderId="0" xfId="0" applyFont="1"/>
    <xf numFmtId="0" fontId="16" fillId="0" borderId="14" xfId="0" applyFont="1" applyBorder="1"/>
    <xf numFmtId="0" fontId="6" fillId="3" borderId="14" xfId="0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 wrapText="1"/>
    </xf>
    <xf numFmtId="10" fontId="16" fillId="0" borderId="13" xfId="0" applyNumberFormat="1" applyFont="1" applyBorder="1" applyAlignment="1">
      <alignment horizontal="center" vertical="center" wrapText="1"/>
    </xf>
    <xf numFmtId="10" fontId="17" fillId="0" borderId="13" xfId="4" applyNumberFormat="1" applyFont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right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16" fillId="0" borderId="22" xfId="0" applyFont="1" applyBorder="1"/>
    <xf numFmtId="3" fontId="16" fillId="0" borderId="23" xfId="0" applyNumberFormat="1" applyFont="1" applyBorder="1" applyAlignment="1">
      <alignment horizontal="center" vertical="center" wrapText="1"/>
    </xf>
    <xf numFmtId="175" fontId="5" fillId="3" borderId="14" xfId="0" applyNumberFormat="1" applyFont="1" applyFill="1" applyBorder="1" applyAlignment="1">
      <alignment horizontal="center" vertical="center" wrapText="1"/>
    </xf>
    <xf numFmtId="175" fontId="16" fillId="0" borderId="11" xfId="0" applyNumberFormat="1" applyFont="1" applyBorder="1" applyAlignment="1">
      <alignment horizontal="center" vertical="center" wrapText="1"/>
    </xf>
    <xf numFmtId="175" fontId="17" fillId="0" borderId="11" xfId="0" applyNumberFormat="1" applyFont="1" applyBorder="1" applyAlignment="1">
      <alignment horizontal="center" vertical="center" wrapText="1"/>
    </xf>
    <xf numFmtId="175" fontId="16" fillId="0" borderId="13" xfId="0" applyNumberFormat="1" applyFont="1" applyBorder="1" applyAlignment="1">
      <alignment horizontal="center" vertical="center" wrapText="1"/>
    </xf>
    <xf numFmtId="175" fontId="16" fillId="0" borderId="23" xfId="0" applyNumberFormat="1" applyFont="1" applyBorder="1" applyAlignment="1">
      <alignment horizontal="center" vertical="center" wrapText="1"/>
    </xf>
    <xf numFmtId="175" fontId="16" fillId="0" borderId="24" xfId="0" applyNumberFormat="1" applyFont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175" fontId="3" fillId="0" borderId="0" xfId="0" applyNumberFormat="1" applyFont="1"/>
    <xf numFmtId="175" fontId="3" fillId="0" borderId="0" xfId="0" applyNumberFormat="1" applyFont="1" applyProtection="1">
      <protection locked="0"/>
    </xf>
    <xf numFmtId="175" fontId="21" fillId="0" borderId="0" xfId="0" applyNumberFormat="1" applyFont="1" applyProtection="1">
      <protection locked="0"/>
    </xf>
    <xf numFmtId="175" fontId="3" fillId="0" borderId="0" xfId="0" applyNumberFormat="1" applyFont="1" applyAlignment="1">
      <alignment horizontal="center"/>
    </xf>
    <xf numFmtId="175" fontId="3" fillId="0" borderId="0" xfId="5" applyNumberFormat="1" applyFont="1"/>
    <xf numFmtId="175" fontId="1" fillId="0" borderId="0" xfId="0" applyNumberFormat="1" applyFont="1"/>
    <xf numFmtId="175" fontId="1" fillId="0" borderId="0" xfId="0" applyNumberFormat="1" applyFont="1" applyProtection="1">
      <protection locked="0"/>
    </xf>
    <xf numFmtId="175" fontId="22" fillId="0" borderId="0" xfId="4" applyNumberFormat="1" applyFont="1" applyFill="1" applyBorder="1"/>
    <xf numFmtId="0" fontId="3" fillId="2" borderId="26" xfId="0" applyFont="1" applyFill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14" fillId="3" borderId="7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175" fontId="3" fillId="2" borderId="5" xfId="0" applyNumberFormat="1" applyFont="1" applyFill="1" applyBorder="1" applyAlignment="1">
      <alignment vertical="center" wrapText="1"/>
    </xf>
    <xf numFmtId="175" fontId="3" fillId="2" borderId="26" xfId="0" applyNumberFormat="1" applyFont="1" applyFill="1" applyBorder="1" applyAlignment="1">
      <alignment horizontal="right"/>
    </xf>
    <xf numFmtId="175" fontId="3" fillId="2" borderId="7" xfId="0" applyNumberFormat="1" applyFont="1" applyFill="1" applyBorder="1" applyAlignment="1">
      <alignment vertical="center" wrapText="1"/>
    </xf>
    <xf numFmtId="175" fontId="3" fillId="0" borderId="5" xfId="0" applyNumberFormat="1" applyFont="1" applyBorder="1" applyAlignment="1">
      <alignment horizontal="center"/>
    </xf>
    <xf numFmtId="175" fontId="3" fillId="0" borderId="26" xfId="0" applyNumberFormat="1" applyFont="1" applyBorder="1" applyAlignment="1">
      <alignment horizontal="right"/>
    </xf>
    <xf numFmtId="175" fontId="3" fillId="0" borderId="6" xfId="0" applyNumberFormat="1" applyFont="1" applyBorder="1" applyAlignment="1">
      <alignment horizontal="center"/>
    </xf>
    <xf numFmtId="175" fontId="3" fillId="0" borderId="6" xfId="0" applyNumberFormat="1" applyFont="1" applyBorder="1" applyAlignment="1">
      <alignment vertical="top" wrapText="1"/>
    </xf>
    <xf numFmtId="175" fontId="3" fillId="2" borderId="5" xfId="0" applyNumberFormat="1" applyFont="1" applyFill="1" applyBorder="1" applyAlignment="1">
      <alignment vertical="top"/>
    </xf>
    <xf numFmtId="175" fontId="3" fillId="2" borderId="6" xfId="0" applyNumberFormat="1" applyFont="1" applyFill="1" applyBorder="1" applyAlignment="1">
      <alignment vertical="top"/>
    </xf>
    <xf numFmtId="175" fontId="3" fillId="2" borderId="7" xfId="0" applyNumberFormat="1" applyFont="1" applyFill="1" applyBorder="1" applyAlignment="1">
      <alignment vertical="top"/>
    </xf>
    <xf numFmtId="175" fontId="3" fillId="0" borderId="6" xfId="0" applyNumberFormat="1" applyFont="1" applyBorder="1" applyAlignment="1">
      <alignment horizontal="right" vertical="top"/>
    </xf>
    <xf numFmtId="175" fontId="3" fillId="0" borderId="7" xfId="0" applyNumberFormat="1" applyFont="1" applyBorder="1" applyAlignment="1">
      <alignment horizontal="right" vertical="top"/>
    </xf>
    <xf numFmtId="175" fontId="3" fillId="2" borderId="6" xfId="0" applyNumberFormat="1" applyFont="1" applyFill="1" applyBorder="1" applyAlignment="1">
      <alignment horizontal="right" vertical="top"/>
    </xf>
    <xf numFmtId="175" fontId="3" fillId="0" borderId="15" xfId="0" applyNumberFormat="1" applyFont="1" applyBorder="1" applyAlignment="1">
      <alignment horizontal="right" vertical="top"/>
    </xf>
    <xf numFmtId="175" fontId="3" fillId="0" borderId="7" xfId="0" applyNumberFormat="1" applyFont="1" applyBorder="1" applyAlignment="1">
      <alignment horizontal="center"/>
    </xf>
    <xf numFmtId="175" fontId="3" fillId="2" borderId="5" xfId="0" applyNumberFormat="1" applyFont="1" applyFill="1" applyBorder="1" applyAlignment="1">
      <alignment horizontal="right" vertical="top"/>
    </xf>
    <xf numFmtId="175" fontId="3" fillId="0" borderId="7" xfId="0" applyNumberFormat="1" applyFont="1" applyBorder="1" applyAlignment="1">
      <alignment vertical="top"/>
    </xf>
    <xf numFmtId="175" fontId="3" fillId="2" borderId="5" xfId="0" applyNumberFormat="1" applyFont="1" applyFill="1" applyBorder="1" applyAlignment="1">
      <alignment horizontal="center"/>
    </xf>
    <xf numFmtId="175" fontId="3" fillId="2" borderId="6" xfId="0" applyNumberFormat="1" applyFont="1" applyFill="1" applyBorder="1" applyAlignment="1">
      <alignment horizontal="center"/>
    </xf>
    <xf numFmtId="175" fontId="3" fillId="0" borderId="26" xfId="0" applyNumberFormat="1" applyFont="1" applyBorder="1"/>
    <xf numFmtId="175" fontId="3" fillId="0" borderId="6" xfId="0" applyNumberFormat="1" applyFont="1" applyBorder="1" applyAlignment="1">
      <alignment vertical="top"/>
    </xf>
    <xf numFmtId="175" fontId="3" fillId="2" borderId="5" xfId="0" applyNumberFormat="1" applyFont="1" applyFill="1" applyBorder="1" applyAlignment="1">
      <alignment horizontal="right"/>
    </xf>
    <xf numFmtId="175" fontId="3" fillId="2" borderId="6" xfId="0" applyNumberFormat="1" applyFont="1" applyFill="1" applyBorder="1" applyAlignment="1">
      <alignment horizontal="right"/>
    </xf>
    <xf numFmtId="175" fontId="3" fillId="0" borderId="27" xfId="0" applyNumberFormat="1" applyFont="1" applyBorder="1" applyAlignment="1">
      <alignment horizontal="right"/>
    </xf>
    <xf numFmtId="175" fontId="3" fillId="0" borderId="5" xfId="0" applyNumberFormat="1" applyFont="1" applyBorder="1" applyAlignment="1">
      <alignment horizontal="center" vertical="top"/>
    </xf>
    <xf numFmtId="175" fontId="3" fillId="0" borderId="6" xfId="0" applyNumberFormat="1" applyFont="1" applyBorder="1" applyAlignment="1">
      <alignment horizontal="center" vertical="top"/>
    </xf>
    <xf numFmtId="175" fontId="3" fillId="0" borderId="7" xfId="0" applyNumberFormat="1" applyFont="1" applyBorder="1" applyAlignment="1">
      <alignment horizontal="center" vertical="top"/>
    </xf>
    <xf numFmtId="175" fontId="3" fillId="0" borderId="5" xfId="0" applyNumberFormat="1" applyFont="1" applyBorder="1" applyAlignment="1">
      <alignment horizontal="right" vertical="top"/>
    </xf>
    <xf numFmtId="175" fontId="3" fillId="0" borderId="16" xfId="0" applyNumberFormat="1" applyFont="1" applyBorder="1" applyAlignment="1">
      <alignment horizontal="right" vertical="top"/>
    </xf>
    <xf numFmtId="175" fontId="3" fillId="0" borderId="0" xfId="0" applyNumberFormat="1" applyFont="1" applyAlignment="1">
      <alignment vertical="top"/>
    </xf>
    <xf numFmtId="175" fontId="4" fillId="2" borderId="26" xfId="0" applyNumberFormat="1" applyFont="1" applyFill="1" applyBorder="1" applyAlignment="1">
      <alignment horizontal="right"/>
    </xf>
    <xf numFmtId="175" fontId="3" fillId="2" borderId="28" xfId="0" applyNumberFormat="1" applyFont="1" applyFill="1" applyBorder="1" applyAlignment="1">
      <alignment horizontal="right"/>
    </xf>
    <xf numFmtId="175" fontId="3" fillId="0" borderId="28" xfId="0" applyNumberFormat="1" applyFont="1" applyBorder="1" applyAlignment="1">
      <alignment horizontal="right"/>
    </xf>
    <xf numFmtId="175" fontId="3" fillId="2" borderId="6" xfId="0" applyNumberFormat="1" applyFont="1" applyFill="1" applyBorder="1" applyAlignment="1">
      <alignment horizontal="right" vertical="top" wrapText="1"/>
    </xf>
    <xf numFmtId="175" fontId="3" fillId="0" borderId="6" xfId="0" applyNumberFormat="1" applyFont="1" applyBorder="1" applyAlignment="1">
      <alignment horizontal="right" vertical="top" wrapText="1"/>
    </xf>
    <xf numFmtId="175" fontId="3" fillId="0" borderId="7" xfId="0" applyNumberFormat="1" applyFont="1" applyBorder="1" applyAlignment="1">
      <alignment horizontal="right" vertical="top" wrapText="1"/>
    </xf>
    <xf numFmtId="175" fontId="3" fillId="2" borderId="6" xfId="0" applyNumberFormat="1" applyFont="1" applyFill="1" applyBorder="1" applyAlignment="1">
      <alignment vertical="top" wrapText="1"/>
    </xf>
    <xf numFmtId="175" fontId="3" fillId="0" borderId="7" xfId="0" applyNumberFormat="1" applyFont="1" applyBorder="1" applyAlignment="1">
      <alignment vertical="top" wrapText="1"/>
    </xf>
    <xf numFmtId="0" fontId="18" fillId="0" borderId="29" xfId="0" applyFont="1" applyBorder="1"/>
    <xf numFmtId="0" fontId="18" fillId="0" borderId="0" xfId="0" applyFont="1" applyBorder="1"/>
    <xf numFmtId="0" fontId="18" fillId="0" borderId="30" xfId="0" applyFont="1" applyBorder="1" applyAlignment="1">
      <alignment horizontal="right"/>
    </xf>
    <xf numFmtId="0" fontId="18" fillId="0" borderId="31" xfId="0" applyFont="1" applyBorder="1" applyAlignment="1">
      <alignment vertical="center" wrapText="1" readingOrder="2"/>
    </xf>
    <xf numFmtId="175" fontId="20" fillId="0" borderId="1" xfId="0" applyNumberFormat="1" applyFont="1" applyBorder="1" applyAlignment="1">
      <alignment vertical="center" wrapText="1" readingOrder="2"/>
    </xf>
    <xf numFmtId="175" fontId="19" fillId="0" borderId="1" xfId="0" applyNumberFormat="1" applyFont="1" applyBorder="1" applyAlignment="1">
      <alignment horizontal="right" vertical="center" wrapText="1" readingOrder="2"/>
    </xf>
    <xf numFmtId="175" fontId="19" fillId="0" borderId="1" xfId="0" applyNumberFormat="1" applyFont="1" applyBorder="1" applyAlignment="1">
      <alignment vertical="center" wrapText="1" readingOrder="2"/>
    </xf>
    <xf numFmtId="175" fontId="20" fillId="0" borderId="1" xfId="0" applyNumberFormat="1" applyFont="1" applyBorder="1" applyAlignment="1">
      <alignment horizontal="center" vertical="center" wrapText="1" readingOrder="2"/>
    </xf>
    <xf numFmtId="175" fontId="19" fillId="0" borderId="31" xfId="0" applyNumberFormat="1" applyFont="1" applyBorder="1" applyAlignment="1">
      <alignment horizontal="right" vertical="center" wrapText="1" readingOrder="2"/>
    </xf>
    <xf numFmtId="175" fontId="19" fillId="0" borderId="31" xfId="0" applyNumberFormat="1" applyFont="1" applyBorder="1" applyAlignment="1">
      <alignment vertical="center" wrapText="1" readingOrder="2"/>
    </xf>
  </cellXfs>
  <cellStyles count="8">
    <cellStyle name="Comma" xfId="3" builtinId="3"/>
    <cellStyle name="Comma 2" xfId="6" xr:uid="{B983139D-9A12-437C-B057-FA27738396F9}"/>
    <cellStyle name="Comma 6" xfId="7" xr:uid="{C6A93D4C-7B87-42C7-AC5F-36116560B49C}"/>
    <cellStyle name="Normal" xfId="0" builtinId="0"/>
    <cellStyle name="Normal 2" xfId="5" xr:uid="{EA564ED3-3F0A-4CBB-A7F5-9DE6DE58D16F}"/>
    <cellStyle name="Normal 3" xfId="1" xr:uid="{00000000-0005-0000-0000-000001000000}"/>
    <cellStyle name="Normal 9" xfId="2" xr:uid="{00000000-0005-0000-0000-000002000000}"/>
    <cellStyle name="Percent" xfId="4" builtinId="5"/>
  </cellStyles>
  <dxfs count="72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top style="dashed">
          <color auto="1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4506668294322"/>
        </left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  <vertical/>
        <horizontal/>
      </border>
    </dxf>
    <dxf>
      <border outline="0">
        <bottom style="thin">
          <color theme="4" tint="0.39994506668294322"/>
        </bottom>
      </border>
    </dxf>
    <dxf>
      <border outline="0">
        <right style="thin">
          <color theme="4" tint="0.39994506668294322"/>
        </right>
        <top style="thin">
          <color theme="4" tint="0.39994506668294322"/>
        </top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5" formatCode=";;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5" formatCode=";;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#0.00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5" formatCode=";;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5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5" formatCode=";;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5" formatCode=";;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5" formatCode=";;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0.0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8" formatCode="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/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#,##0.000"/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top style="hair">
          <color theme="1"/>
        </top>
      </border>
    </dxf>
    <dxf>
      <border outline="0">
        <bottom style="hair">
          <color theme="1"/>
        </bottom>
      </border>
    </dxf>
    <dxf>
      <border outline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</border>
    </dxf>
  </dxfs>
  <tableStyles count="1" defaultTableStyle="TableStyleMedium2" defaultPivotStyle="PivotStyleLight16">
    <tableStyle name="Invisible" pivot="0" table="0" count="0" xr9:uid="{1727AA6F-AFB5-46B9-A7DF-235BDF1DB1EB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1493520</xdr:colOff>
      <xdr:row>16</xdr:row>
      <xdr:rowOff>121920</xdr:rowOff>
    </xdr:from>
    <xdr:to>
      <xdr:col>3</xdr:col>
      <xdr:colOff>1828800</xdr:colOff>
      <xdr:row>18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BA17D8-7D8D-09ED-1200-CAC128923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6843660" y="297180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089E5-833D-47DD-ACD3-CAE098864CC0}" name="TitleRegion1.a1.e32.1" displayName="TitleRegion1.a1.e32.1" ref="A1:E32" totalsRowShown="0" headerRowBorderDxfId="721" tableBorderDxfId="722" totalsRowBorderDxfId="720">
  <autoFilter ref="A1:E32" xr:uid="{A86089E5-833D-47DD-ACD3-CAE098864CC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664208C-BA43-4CE5-9A5D-E939F78FA564}" name="Column1" dataDxfId="719"/>
    <tableColumn id="2" xr3:uid="{05D645E1-9AF5-4565-867D-B75FDCDD52EA}" name="Column2" dataDxfId="718"/>
    <tableColumn id="3" xr3:uid="{3CB07D7E-9DAF-48A5-8851-33E988C1BAD6}" name="ידווח בקבצי נכסי הנוסטרו בלבד" dataDxfId="717"/>
    <tableColumn id="4" xr3:uid="{0B51B76E-3AC6-4A96-8A6B-D13846F032E7}" name="Column3" dataDxfId="716"/>
    <tableColumn id="5" xr3:uid="{E9274AB2-C64D-44BD-A347-5AC6F92330EC}" name="Column4" dataDxfId="71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BC6C46-46F4-4292-8096-042C6922B988}" name="TitleRegion1.a1.q15.1" displayName="TitleRegion1.a1.q15.1" ref="A1:Q15" totalsRowShown="0" headerRowDxfId="694" dataDxfId="695" headerRowBorderDxfId="713" tableBorderDxfId="714">
  <autoFilter ref="A1:Q15" xr:uid="{28BC6C46-46F4-4292-8096-042C6922B9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72919CD-DDCB-4AB4-9AB5-46668A69F33C}" name="מספר קופה/קרן/ח.פ. עבור חברת ביטוח" dataDxfId="712"/>
    <tableColumn id="2" xr3:uid="{FD1ED34D-AB8F-4B1F-8F4A-DA50D31D2C1A}" name="מספר מסלול" dataDxfId="711"/>
    <tableColumn id="3" xr3:uid="{00F82135-78BA-4CE6-B0FB-8895A1D5630C}" name="שם הבנק" dataDxfId="710"/>
    <tableColumn id="4" xr3:uid="{2323BFF2-B67E-4411-A975-6AE357E0705A}" name="מספר מזהה בנק" dataDxfId="709"/>
    <tableColumn id="5" xr3:uid="{918E2EE8-4C9C-4844-965A-9CAB9175B571}" name="סוג מספר מזהה בנק" dataDxfId="708"/>
    <tableColumn id="6" xr3:uid="{0BD1EDDD-CCB8-4AE5-AF23-9321AF3CDACE}" name="מאפיין עיקרי" dataDxfId="707"/>
    <tableColumn id="7" xr3:uid="{780E5822-E616-430D-B899-07E34B3F9BA4}" name="ישראל/חו&quot;ל" dataDxfId="706"/>
    <tableColumn id="8" xr3:uid="{64D47D60-C766-4F72-A91D-C3A7FCA1B731}" name="בעל עניין/צד קשור" dataDxfId="705"/>
    <tableColumn id="9" xr3:uid="{96DE8C48-4B02-4727-B3D6-7CE75114EFD0}" name="דירוג הבנק" dataDxfId="704"/>
    <tableColumn id="10" xr3:uid="{22E4F98C-960C-4D46-B121-03D155C738A8}" name="שם מדרג" dataDxfId="703"/>
    <tableColumn id="11" xr3:uid="{D7C2E7E8-3DB2-46E7-9036-9A6505C0B7AF}" name="מטבע פעילות" dataDxfId="702"/>
    <tableColumn id="12" xr3:uid="{FA2F7034-581B-4FFE-99D1-B44CFB79B173}" name="שווי מטבעי" dataDxfId="701"/>
    <tableColumn id="13" xr3:uid="{E03FDE07-A659-4B72-A101-390E39FB5154}" name="שער חליפין" dataDxfId="700"/>
    <tableColumn id="14" xr3:uid="{E87E1FA7-D851-45E8-93A5-B77D740B9BD2}" name="שיעור ריבית" dataDxfId="699"/>
    <tableColumn id="15" xr3:uid="{0629279A-4D90-4407-95A3-B4D4AB656FDA}" name="שווי הוגן (באלפי ש&quot;ח)" dataDxfId="698"/>
    <tableColumn id="16" xr3:uid="{35CC0B9E-5F16-4960-A40C-4F23AF9439F9}" name="שיעור מנכסי אפיק ההשקעה" dataDxfId="697"/>
    <tableColumn id="17" xr3:uid="{2858F1D3-A075-40BF-A9A4-D71857C1D843}" name="שיעור מסך נכסי ההשקעה" dataDxfId="696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CBFE4A-FFEE-4DEE-A25A-387BD363BF46}" name="TitleRegion1.a1.z31.1" displayName="TitleRegion1.a1.z31.1" ref="A1:Z31" totalsRowShown="0" headerRowDxfId="664" dataDxfId="665" headerRowBorderDxfId="692" tableBorderDxfId="693">
  <autoFilter ref="A1:Z31" xr:uid="{4ACBFE4A-FFEE-4DEE-A25A-387BD363BF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996B40E2-2194-41B5-BE31-DBA453455C81}" name="מספר קופה/קרן/ח.פ. עבור חברת ביטוח" dataDxfId="691"/>
    <tableColumn id="2" xr3:uid="{B22F297B-EF5B-4C15-8984-8E174A279936}" name="מספר מסלול" dataDxfId="690"/>
    <tableColumn id="3" xr3:uid="{CE482908-CB9F-41E5-8156-E94694B81F49}" name="שם מנפיק" dataDxfId="689"/>
    <tableColumn id="4" xr3:uid="{B0B69850-8AB1-4C55-9665-F884118C4ADC}" name="שם נייר ערך" dataDxfId="688"/>
    <tableColumn id="5" xr3:uid="{9ECE3718-28DA-4FB9-96AE-CDCD1258394A}" name="מספר נייר ערך" dataDxfId="687"/>
    <tableColumn id="6" xr3:uid="{A208393D-F252-4AA3-97A0-C53E6D80B30B}" name="מאפיין עיקרי" dataDxfId="686"/>
    <tableColumn id="7" xr3:uid="{8FD69580-3007-4FC4-A107-AC65F73F36DE}" name="ישראל/חו&quot;ל" dataDxfId="685"/>
    <tableColumn id="8" xr3:uid="{C7CA6856-D220-4366-973E-407EE8E77D0F}" name="מדינה לפי חשיפה כלכלית" dataDxfId="684"/>
    <tableColumn id="9" xr3:uid="{6ECAD9C8-608D-4FFD-9437-7BF291A1E66D}" name="זירת מסחר" dataDxfId="683"/>
    <tableColumn id="10" xr3:uid="{B345F1EE-E484-4C58-AB42-0D5E3071C487}" name="דירוג" dataDxfId="682"/>
    <tableColumn id="11" xr3:uid="{08A8C416-C0C5-485B-A596-EB30B691EA32}" name="שם מדרג" dataDxfId="681"/>
    <tableColumn id="12" xr3:uid="{CB4BE6F5-E9C8-41E0-BC74-25EF2B0077F3}" name="מטבע פעילות" dataDxfId="680"/>
    <tableColumn id="13" xr3:uid="{8887B1FB-6A55-47A4-8CB2-98F1E948658E}" name="מח&quot;מ" dataDxfId="679"/>
    <tableColumn id="14" xr3:uid="{78E68332-6F57-41D3-ADB0-CE9A3C0E9ABD}" name="מועד פדיון" dataDxfId="678"/>
    <tableColumn id="15" xr3:uid="{6772A242-90CA-4071-B5F3-3488097C637B}" name="שיעור ריבית" dataDxfId="677"/>
    <tableColumn id="16" xr3:uid="{153F07BE-D464-449A-A57A-2A75D8B4AF5A}" name="תשואה לפדיון" dataDxfId="676"/>
    <tableColumn id="17" xr3:uid="{6EA63CB3-AD0D-4C53-8E2C-DD8DF90C3F16}" name="סכום לקבל (במטבע הפעילות)" dataDxfId="675"/>
    <tableColumn id="18" xr3:uid="{527C1DF5-BED6-4123-B6F8-CD2ECCD66617}" name="ערך נקוב (יחידות)" dataDxfId="674"/>
    <tableColumn id="19" xr3:uid="{6F4BAA4D-B1D4-402A-8C76-E565BB773D23}" name="שער חליפין" dataDxfId="673"/>
    <tableColumn id="20" xr3:uid="{FB7A5253-F2C0-43CC-B0EC-18A0470142C2}" name="שער נייר הערך" dataDxfId="672"/>
    <tableColumn id="21" xr3:uid="{6F4796F8-6DD8-4EF6-BE1C-0BDA602919D7}" name="שווי הוגן (באלפי ש&quot;ח)" dataDxfId="671"/>
    <tableColumn id="22" xr3:uid="{EE5B195E-F100-44EF-9348-B9ACA2F34E59}" name="עלות מופחתת (באלפי ש&quot;ח)" dataDxfId="670"/>
    <tableColumn id="23" xr3:uid="{3835C91E-1776-45EC-8765-792A7B564490}" name="השיטה שיושמה בדוח הכספי" dataDxfId="669"/>
    <tableColumn id="24" xr3:uid="{333DE451-780B-42E2-AC57-36873AAD9601}" name="שיעור מערך נקוב מונפק" dataDxfId="668"/>
    <tableColumn id="25" xr3:uid="{AAC541F3-9C92-4AD2-8953-135D63810834}" name="שיעור מנכסי אפיק ההשקעה" dataDxfId="667"/>
    <tableColumn id="26" xr3:uid="{A77E27BE-025C-4950-A4E4-EB359E35CCB0}" name="שיעור מסך נכסי ההשקעה" dataDxfId="666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A9B293-C37A-4808-8F66-156C0DFF0AD1}" name="TitleRegion1.a1.aj296.1" displayName="TitleRegion1.a1.aj296.1" ref="A1:AJ296" totalsRowShown="0" headerRowDxfId="624" dataDxfId="625" headerRowBorderDxfId="662" tableBorderDxfId="663">
  <autoFilter ref="A1:AJ296" xr:uid="{75A9B293-C37A-4808-8F66-156C0DFF0A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xr3:uid="{31527BDE-1D92-42E3-8D10-F157658FAF92}" name="מספר קופה/קרן/ח.פ. עבור חברת ביטוח" dataDxfId="661"/>
    <tableColumn id="2" xr3:uid="{3C02AC74-066C-4D32-BA03-0369D00F6890}" name="מספר מסלול" dataDxfId="660"/>
    <tableColumn id="3" xr3:uid="{113E2B0E-5B7C-4CE2-9A88-1DB910D0517F}" name="שם מנפיק" dataDxfId="659"/>
    <tableColumn id="4" xr3:uid="{81FA3669-405C-4677-8690-BA002F63FA54}" name="מספר מנפיק" dataDxfId="658"/>
    <tableColumn id="5" xr3:uid="{B3B01661-6B64-43DC-91B2-C4C708FF7E5D}" name="סוג מספר מזהה מנפיק" dataDxfId="657"/>
    <tableColumn id="6" xr3:uid="{FDB5D692-9C2B-4331-BDCE-D0F2C6FE1A4D}" name="שם נייר ערך" dataDxfId="656"/>
    <tableColumn id="7" xr3:uid="{DA0EFB8F-D275-49FE-8B57-9D21B095A06C}" name="מספר נייר ערך" dataDxfId="655"/>
    <tableColumn id="8" xr3:uid="{BE8E5FF3-E317-43B2-BD98-0041D82D41F5}" name="סוג מספר נייר ערך" dataDxfId="654"/>
    <tableColumn id="9" xr3:uid="{DCF4AB94-1C8D-438B-9BEC-5E9E8BA9797B}" name="מאפיין עיקרי" dataDxfId="653"/>
    <tableColumn id="10" xr3:uid="{DE629192-7942-4A19-B6F6-1A994FE677E8}" name="ישראל/חו&quot;ל" dataDxfId="652"/>
    <tableColumn id="11" xr3:uid="{82D8390A-F41F-40E7-98B4-49F509996940}" name="מדינה לפי חשיפה כלכלית" dataDxfId="651"/>
    <tableColumn id="12" xr3:uid="{FCE959A6-7B6C-491C-87B3-FEB59A469123}" name="סטאטוס סחירות" dataDxfId="650"/>
    <tableColumn id="13" xr3:uid="{CC36DDBD-5D4B-4375-8EEB-72D43D75C55B}" name="זירת מסחר" dataDxfId="649"/>
    <tableColumn id="14" xr3:uid="{B06EB1AE-C1F6-41C5-A22E-B17D1F34F252}" name="ענף מסחר" dataDxfId="648"/>
    <tableColumn id="15" xr3:uid="{825EF15B-62FA-4F36-A0E5-43D184C47AE9}" name="בעל עניין/צד קשור" dataDxfId="647"/>
    <tableColumn id="16" xr3:uid="{443887A4-6FF0-4009-B139-0D303E2C0F03}" name="דירוג" dataDxfId="646"/>
    <tableColumn id="17" xr3:uid="{D90C8EF9-93F2-4CE4-B0DF-9BC64C5C66BB}" name="שם מדרג" dataDxfId="645"/>
    <tableColumn id="18" xr3:uid="{D9095D48-65BC-43F4-9943-19296932240A}" name="דירוג נייר הערך/המנפיק" dataDxfId="644"/>
    <tableColumn id="19" xr3:uid="{2B2A89E0-A06E-497A-BACC-C0201C8C0E15}" name="מטבע פעילות" dataDxfId="643"/>
    <tableColumn id="20" xr3:uid="{4914F0BB-7F56-4A74-94A6-CDD3F40C649F}" name="מח&quot;מ" dataDxfId="642"/>
    <tableColumn id="21" xr3:uid="{57C6CEDF-3A96-406A-A950-33C5CB98548E}" name="מועד פדיון" dataDxfId="641"/>
    <tableColumn id="22" xr3:uid="{ACD3E873-BADF-4F52-8455-CEC82A8AC897}" name="שיעור ריבית" dataDxfId="640"/>
    <tableColumn id="23" xr3:uid="{A8FCA515-43D9-43E2-8F68-4B5AE97DF97C}" name="תשואה לפדיון" dataDxfId="639"/>
    <tableColumn id="24" xr3:uid="{D103FCBE-083F-46C2-944E-9871D4CBFC8B}" name="נחיתות חוזית" dataDxfId="638"/>
    <tableColumn id="25" xr3:uid="{6DC7B663-2306-4445-B1EB-0EF9D34E6118}" name="האם סווג כחוב בעייתי" dataDxfId="637"/>
    <tableColumn id="26" xr3:uid="{B0D8A767-EA4F-41ED-9172-8670E5E8B33C}" name="ערך נקוב (יחידות)" dataDxfId="636"/>
    <tableColumn id="27" xr3:uid="{8357EFEE-020B-4A98-9BA8-22A404DFC51D}" name="שער חליפין" dataDxfId="635"/>
    <tableColumn id="28" xr3:uid="{59E0FCE9-21AD-4892-9C5A-1356B1F8272C}" name="שער נייר הערך" dataDxfId="634"/>
    <tableColumn id="29" xr3:uid="{AD8226DA-0379-4E4D-8339-96569F0F0EB9}" name="סכום לקבל (במטבע הפעילות)" dataDxfId="633"/>
    <tableColumn id="30" xr3:uid="{B9F2EAA0-F33B-406C-8D8E-0C2577712BBE}" name="שווי הוגן (באלפי ש&quot;ח)" dataDxfId="632"/>
    <tableColumn id="31" xr3:uid="{844267AE-F1D7-480A-944F-22D3C8812537}" name="עלות מופחתת (באלפי ש&quot;ח)" dataDxfId="631"/>
    <tableColumn id="32" xr3:uid="{E781228D-AF14-4EB9-A0E0-627573B6DC12}" name="עלות מופחתת (במטבע הפעילות)" dataDxfId="630"/>
    <tableColumn id="33" xr3:uid="{B2D98FE9-BF7A-4DED-A7A4-28A4AA3205A2}" name="השיטה שיושמה בדוח הכספי" dataDxfId="629"/>
    <tableColumn id="34" xr3:uid="{8A9EA30B-6C36-4665-B45F-0977A0B7E6CC}" name="שיעור מערך נקוב מונפק" dataDxfId="628"/>
    <tableColumn id="35" xr3:uid="{AAC4ECCF-E507-49C2-8E81-017E93131E68}" name="שיעור מנכסי אפיק ההשקעה" dataDxfId="627"/>
    <tableColumn id="36" xr3:uid="{834DD6B2-64EA-4B01-B140-C5058CD5C430}" name="שיעור מסך נכסי ההשקעה" dataDxfId="626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54E6C0-BDA6-45EB-BF12-054473D23173}" name="TitleRegion1.a1.x129.1" displayName="TitleRegion1.a1.x129.1" ref="A1:X129" totalsRowShown="0" headerRowDxfId="596" dataDxfId="597" headerRowBorderDxfId="622" tableBorderDxfId="623">
  <autoFilter ref="A1:X129" xr:uid="{00000000-0001-0000-0600-0000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C4E95EBD-B12D-4EA4-9169-8FDDBE916F8C}" name="מספר קופה/קרן/ח.פ. עבור חברת ביטוח" dataDxfId="621"/>
    <tableColumn id="2" xr3:uid="{835A3A7E-C14E-4829-9FA0-FA4B634BC935}" name="מספר מסלול" dataDxfId="620"/>
    <tableColumn id="3" xr3:uid="{54B8C564-DB16-4CD8-8F47-C9EA4ACDF708}" name="שם מנפיק" dataDxfId="619"/>
    <tableColumn id="4" xr3:uid="{5303C4ED-1ED3-4C8A-86B1-3E3B8656ECF2}" name="מספר מנפיק" dataDxfId="618"/>
    <tableColumn id="5" xr3:uid="{45842F23-9F1E-4715-B080-B7A0CC2DBA29}" name="סוג מספר מזהה מנפיק" dataDxfId="617"/>
    <tableColumn id="6" xr3:uid="{078BA867-BD2E-4038-ACF5-9466D36C6508}" name="שם נייר ערך" dataDxfId="616"/>
    <tableColumn id="7" xr3:uid="{91F6FA62-D2C8-4BE3-B491-59AEF459A422}" name="מספר נייר ערך" dataDxfId="615"/>
    <tableColumn id="8" xr3:uid="{A3404522-A19E-46F6-819E-F1782895A596}" name="סוג מספר נייר ערך" dataDxfId="614"/>
    <tableColumn id="9" xr3:uid="{F14176F4-4901-420A-AB4F-BC1F5F7E3370}" name="מאפיין עיקרי" dataDxfId="613"/>
    <tableColumn id="10" xr3:uid="{CF5F9320-6375-4510-827E-2A7A4486D22F}" name="ישראל/חו&quot;ל" dataDxfId="612"/>
    <tableColumn id="11" xr3:uid="{DF62A8A3-C4BD-4B65-A5CE-59A1CA646589}" name="מדינה לפי חשיפה כלכלית" dataDxfId="611"/>
    <tableColumn id="12" xr3:uid="{7E2C1C2D-439D-4DEE-9A1E-E9584C3C7D6C}" name="סטאטוס סחירות" dataDxfId="610"/>
    <tableColumn id="13" xr3:uid="{6E295F24-7C2A-4DA4-A606-BEA34790FB30}" name="זירת מסחר" dataDxfId="609"/>
    <tableColumn id="14" xr3:uid="{ED48176D-326E-4966-B2EC-C6A85ACE5095}" name="ענף מסחר" dataDxfId="608"/>
    <tableColumn id="15" xr3:uid="{D1F5666E-52D0-4AD3-85E5-E0952B1C9619}" name="בעל עניין/צד קשור" dataDxfId="607"/>
    <tableColumn id="16" xr3:uid="{384B9291-BF25-4E64-915B-0DDAD353C31A}" name="מטבע פעילות" dataDxfId="606"/>
    <tableColumn id="17" xr3:uid="{53024FCB-055F-41D4-98A2-7237BF96891C}" name="ערך נקוב (יחידות)" dataDxfId="605"/>
    <tableColumn id="18" xr3:uid="{2EFA7260-13F3-46D0-B648-B79E17675BD5}" name="שער חליפין" dataDxfId="604"/>
    <tableColumn id="19" xr3:uid="{4E0709FF-94B9-4942-80F6-D7DBAE5F79B3}" name="שער נייר הערך" dataDxfId="603"/>
    <tableColumn id="20" xr3:uid="{83BB5145-6EE5-4BAF-874C-67E1DD411D3E}" name="סכום לקבל (במטבע הפעילות)" dataDxfId="602"/>
    <tableColumn id="21" xr3:uid="{542EC685-2DC8-4294-A89A-A17BF24C9F8E}" name="שווי הוגן (באלפי ש&quot;ח)" dataDxfId="601"/>
    <tableColumn id="22" xr3:uid="{DE950E72-CA09-4087-9279-4497AAC2E78F}" name="שיעור מערך נקוב מונפק" dataDxfId="600"/>
    <tableColumn id="23" xr3:uid="{59990A3A-5EE9-4B45-BFA6-DCF95DDFF43F}" name="שיעור מנכסי אפיק ההשקעה" dataDxfId="599"/>
    <tableColumn id="24" xr3:uid="{9265B110-CB4B-473B-AEBF-538808370BA8}" name="שיעור מסך נכסי ההשקעה" dataDxfId="598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30547F-9B7F-4598-A155-48D9BAF15DC2}" name="TitleRegion1.a1.w16.1" displayName="TitleRegion1.a1.w16.1" ref="A1:W16" totalsRowShown="0" headerRowDxfId="569" dataDxfId="570" headerRowBorderDxfId="594" tableBorderDxfId="595">
  <autoFilter ref="A1:W16" xr:uid="{E030547F-9B7F-4598-A155-48D9BAF15D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D562D592-CC36-4E78-A386-50337984FE01}" name="מספר קופה/קרן/ח.פ. עבור חברת ביטוח" dataDxfId="593"/>
    <tableColumn id="2" xr3:uid="{831A660C-28A1-4B3C-BA80-561B9494053B}" name="מספר מסלול" dataDxfId="592"/>
    <tableColumn id="3" xr3:uid="{AEFB043A-F9BB-4F9D-B309-3FC55CAA5332}" name="שם מנפיק" dataDxfId="591"/>
    <tableColumn id="4" xr3:uid="{30339C8B-4164-497D-8CEF-BB92FD62BCD1}" name="מספר מנפיק" dataDxfId="590"/>
    <tableColumn id="5" xr3:uid="{9C7FABED-3D8C-4F03-A0B7-560E31E6017A}" name="סוג מספר מזהה מנפיק" dataDxfId="589"/>
    <tableColumn id="6" xr3:uid="{A9FF1CA1-9AA2-401A-B2C1-EEE5EFA607D5}" name="שם נייר ערך" dataDxfId="588"/>
    <tableColumn id="7" xr3:uid="{9A238130-6ABA-4B73-B5C2-FC4651724541}" name="מספר נייר ערך" dataDxfId="587"/>
    <tableColumn id="8" xr3:uid="{01FA45B1-7AA1-43F9-982D-434B7D3E8595}" name="סוג מספר נייר ערך" dataDxfId="586"/>
    <tableColumn id="9" xr3:uid="{0A0D7B93-D81A-467B-9E69-D84157F95EE4}" name="מאפיין עיקרי" dataDxfId="585"/>
    <tableColumn id="10" xr3:uid="{AC4F2A58-785E-4ECA-9DF8-C67F9278C456}" name="ישראל/חו&quot;ל" dataDxfId="584"/>
    <tableColumn id="11" xr3:uid="{D5886DB2-FEAA-4848-BD7E-7055F8BC8FD9}" name="מדינה לפי חשיפה כלכלית" dataDxfId="583"/>
    <tableColumn id="12" xr3:uid="{B994C5B8-C5C0-44E2-903E-2948795255BE}" name="זירת מסחר" dataDxfId="582"/>
    <tableColumn id="13" xr3:uid="{83242892-055C-49F1-8F6D-18EE8CB057BB}" name="סיווג הקרן" dataDxfId="581"/>
    <tableColumn id="14" xr3:uid="{E3D3AC19-9711-405F-87B9-DD80649A12EA}" name="בעל עניין/צד קשור" dataDxfId="580"/>
    <tableColumn id="15" xr3:uid="{5A46C52B-B26B-4C5F-AFF6-FD314651AFCC}" name="מטבע פעילות" dataDxfId="579"/>
    <tableColumn id="16" xr3:uid="{69FFCB70-86D7-4439-9EF5-AB08242D2D32}" name="ערך נקוב (יחידות)" dataDxfId="578"/>
    <tableColumn id="17" xr3:uid="{D4C4056C-C6B4-4F4F-99BF-609281876262}" name="שער חליפין" dataDxfId="577"/>
    <tableColumn id="18" xr3:uid="{8CE0950F-5738-4530-A4BE-DA698FEBF21E}" name="שער נייר הערך" dataDxfId="576"/>
    <tableColumn id="19" xr3:uid="{28736B94-84DC-4F19-9AE0-D7A3FDE892A4}" name="סכום לקבל (במטבע הפעילות)" dataDxfId="575"/>
    <tableColumn id="20" xr3:uid="{B2A05A54-17CF-4CF3-8C26-1E1EEBDBA3E8}" name="שווי הוגן (באלפי ש&quot;ח)" dataDxfId="574"/>
    <tableColumn id="21" xr3:uid="{5BE212F1-1A04-4468-B5F2-BB00485C1F87}" name="שיעור מערך נקוב מונפק" dataDxfId="573"/>
    <tableColumn id="22" xr3:uid="{B9232D57-E6D1-458B-A6DF-1C84F40B1847}" name="שיעור מנכסי אפיק ההשקעה" dataDxfId="572"/>
    <tableColumn id="23" xr3:uid="{8135FB0A-5782-4724-BA6F-B8C90AC914A9}" name="שיעור מסך נכסי ההשקעה" dataDxfId="571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76D496-E5F2-4B2A-8E36-3CC39A60FF55}" name="TitleRegion1.a1.w13.1" displayName="TitleRegion1.a1.w13.1" ref="A1:W13" totalsRowShown="0" headerRowDxfId="542" dataDxfId="543" headerRowBorderDxfId="567" tableBorderDxfId="568">
  <autoFilter ref="A1:W13" xr:uid="{2576D496-E5F2-4B2A-8E36-3CC39A60FF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F9147236-39AA-49E0-A945-2F47372BFF19}" name="מספר קופה/קרן/ח.פ. עבור חברת ביטוח" dataDxfId="566"/>
    <tableColumn id="2" xr3:uid="{8B73B7DB-B19E-47ED-A67C-04B6EC271D92}" name="מספר מסלול" dataDxfId="565"/>
    <tableColumn id="3" xr3:uid="{BF9574FC-FE8A-4EBB-AFE4-ED12CE02DB0C}" name="שם מנפיק" dataDxfId="564"/>
    <tableColumn id="4" xr3:uid="{24345D2D-CB19-4C64-96A5-410CCFF9E21A}" name="מספר מנפיק" dataDxfId="563"/>
    <tableColumn id="5" xr3:uid="{0537BAF6-888C-4C04-A697-AA3F19FE628A}" name="סוג מספר מזהה מנפיק" dataDxfId="562"/>
    <tableColumn id="6" xr3:uid="{82E3B418-67B8-40DD-A8D9-6A374ABE7A9E}" name="שם נייר ערך " dataDxfId="561"/>
    <tableColumn id="7" xr3:uid="{8FD8E555-DBF9-47FA-9B57-7B2D4F3503FD}" name="מספר נייר ערך" dataDxfId="560"/>
    <tableColumn id="8" xr3:uid="{38BB6536-1DC4-4BCE-8423-3A3B0BA89B55}" name="סוג מספר נייר ערך" dataDxfId="559"/>
    <tableColumn id="9" xr3:uid="{7057FEA7-E246-4543-8D77-59298D1CEA7D}" name="מאפיין עיקרי" dataDxfId="558"/>
    <tableColumn id="10" xr3:uid="{27319EF9-D911-4DFA-BE88-B687C02A4512}" name="ישראל/חו&quot;ל" dataDxfId="557"/>
    <tableColumn id="11" xr3:uid="{29533AF5-E7C1-425C-B5EC-6159C1F79431}" name="מדינה לפי חשיפה כלכלית" dataDxfId="556"/>
    <tableColumn id="12" xr3:uid="{8283ADBA-C166-42F2-A1AD-1562DA793CFC}" name="סטאטוס סחירות" dataDxfId="555"/>
    <tableColumn id="13" xr3:uid="{E9E0DD52-A559-47A9-813F-28D92D80FDFA}" name="זירת מסחר" dataDxfId="554"/>
    <tableColumn id="14" xr3:uid="{9C96CCA2-31BF-41E1-9E58-630DE4115CE8}" name="סיווג הקרן" dataDxfId="553"/>
    <tableColumn id="15" xr3:uid="{59F3716A-41EA-4F27-B1D6-341E366C09FE}" name="בעל עניין/צד קשור" dataDxfId="552"/>
    <tableColumn id="16" xr3:uid="{F18FE83E-1124-465B-8309-4E184929294B}" name="מטבע פעילות" dataDxfId="551"/>
    <tableColumn id="17" xr3:uid="{F2ED673C-FEDA-4285-AFAA-2196F5C69643}" name="ערך נקוב (יחידות)" dataDxfId="550"/>
    <tableColumn id="18" xr3:uid="{354BF6A4-B747-439F-92D7-5398FADF8D7F}" name="שער חליפין" dataDxfId="549"/>
    <tableColumn id="19" xr3:uid="{3F071C5D-3A4D-4C02-8D7D-227649F774AD}" name="שער נייר הערך" dataDxfId="548"/>
    <tableColumn id="20" xr3:uid="{90259ED1-D89F-4F46-B765-4C18D5DD4860}" name="שווי הוגן (באלפי ש&quot;ח)" dataDxfId="547"/>
    <tableColumn id="21" xr3:uid="{0AA540D7-7077-4E59-A99F-11F1BDBFC6B7}" name="שיעור מערך נקוב מונפק" dataDxfId="546"/>
    <tableColumn id="22" xr3:uid="{570ECEB5-4776-42F7-8024-8AF6997C91AC}" name="שיעור מנכסי אפיק ההשקעה" dataDxfId="545"/>
    <tableColumn id="23" xr3:uid="{B4B67BC9-0235-4D54-9A13-F6F1B94A981A}" name="שיעור מסך נכסי ההשקעה" dataDxfId="544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671FFB1-F201-49AB-B415-4A18DBE63204}" name="TitleRegion1.a1.y8.1" displayName="TitleRegion1.a1.y8.1" ref="A1:Y8" totalsRowShown="0" headerRowDxfId="513" dataDxfId="514" headerRowBorderDxfId="540" tableBorderDxfId="541">
  <autoFilter ref="A1:Y8" xr:uid="{E671FFB1-F201-49AB-B415-4A18DBE632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CC1FE30-F522-42EF-AD50-81169FDDBC03}" name="מספר קופה/קרן/ח.פ. עבור חברת ביטוח" dataDxfId="539"/>
    <tableColumn id="2" xr3:uid="{A10E20DB-F7D4-4AA1-A646-74CE0410D193}" name="מספר מסלול" dataDxfId="538"/>
    <tableColumn id="3" xr3:uid="{4EE9ED0E-088F-49DC-8C9D-7123454FDD7A}" name="שם מנפיק" dataDxfId="537"/>
    <tableColumn id="4" xr3:uid="{AC9F34B0-EFB3-43D9-A089-49B23F3B71FC}" name="מספר מנפיק" dataDxfId="536"/>
    <tableColumn id="5" xr3:uid="{B9C25F65-007E-49F9-A7B6-50698E98D7E5}" name="סוג מספר מזהה מנפיק" dataDxfId="535"/>
    <tableColumn id="6" xr3:uid="{6E6EAB93-7B63-4A2D-B7E5-08A205FB67E4}" name="שם נייר ערך" dataDxfId="534"/>
    <tableColumn id="7" xr3:uid="{70F5A637-F120-4C02-8A4C-BCFECDDBC51B}" name="מספר נייר ערך" dataDxfId="533"/>
    <tableColumn id="8" xr3:uid="{CF46B11C-E34A-474F-A5CB-998DF4976374}" name="סוג מספר נייר ערך" dataDxfId="532"/>
    <tableColumn id="9" xr3:uid="{994AE7D6-778E-475A-B60A-3CC648D57CE2}" name="ישראל/חו&quot;ל" dataDxfId="531"/>
    <tableColumn id="10" xr3:uid="{C569185E-4AD5-47D0-8869-C52EE264D460}" name="מדינה לפי חשיפה כלכלית" dataDxfId="530"/>
    <tableColumn id="11" xr3:uid="{2FC72688-9061-4544-A73A-19E637ADA075}" name="סטאטוס סחירות" dataDxfId="529"/>
    <tableColumn id="12" xr3:uid="{67460B39-A985-4EC8-A750-9FDBC53C6054}" name="זירת מסחר" dataDxfId="528"/>
    <tableColumn id="13" xr3:uid="{AF403E97-23F7-475D-9ADD-E7D04CB4C326}" name="נכס בסיס (כתב אופציה)" dataDxfId="527"/>
    <tableColumn id="14" xr3:uid="{D5D68EF5-9480-4361-8C9A-0E1E9E954B2A}" name="ענף מסחר" dataDxfId="526"/>
    <tableColumn id="15" xr3:uid="{5ED4340E-E238-46E5-81F2-29786CA13C14}" name="תאריך פקיעה" dataDxfId="525"/>
    <tableColumn id="16" xr3:uid="{C6F3D6B8-1B88-4BEF-8440-39B303CE8DDA}" name="בעל עניין/צד קשור" dataDxfId="524"/>
    <tableColumn id="17" xr3:uid="{9D8B586E-3047-4B17-9E62-C6BFD6F0D563}" name="מטבע פעילות" dataDxfId="523"/>
    <tableColumn id="18" xr3:uid="{174FC765-9A70-4BBB-8EC5-A49BAA51C9F4}" name="שער מימוש" dataDxfId="522"/>
    <tableColumn id="19" xr3:uid="{07511B64-03AB-48BF-828D-EC8D14EDA138}" name="יחס המרה" dataDxfId="521"/>
    <tableColumn id="20" xr3:uid="{F0C7AA63-54DC-48B8-B3FD-3308E1CB183B}" name="ערך נקוב (יחידות)" dataDxfId="520"/>
    <tableColumn id="21" xr3:uid="{E69AD679-604B-4400-BCB6-622FD8B12E49}" name="שער חליפין" dataDxfId="519"/>
    <tableColumn id="22" xr3:uid="{D318B476-6AB3-4CD0-8D3F-C64D8098DDCB}" name="שער נייר הערך" dataDxfId="518"/>
    <tableColumn id="23" xr3:uid="{AA9BF735-5ECF-47F7-9A48-A1BBBFF8176C}" name="שווי הוגן (באלפי ש&quot;ח)" dataDxfId="517"/>
    <tableColumn id="24" xr3:uid="{3F69C699-8B15-491E-812B-738B8EA0E4A0}" name="שיעור מנכסי אפיק ההשקעה" dataDxfId="516"/>
    <tableColumn id="25" xr3:uid="{1E560E0F-71F7-4FA9-A3FC-7146AE2D634B}" name="שיעור מסך נכסי ההשקעה" dataDxfId="515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22EFED-0183-4C2B-BA99-5AF0ACDA76FB}" name="TitleRegion1.a1.t10.1" displayName="TitleRegion1.a1.t10.1" ref="A1:T10" totalsRowShown="0" headerRowDxfId="489" dataDxfId="490" headerRowBorderDxfId="511" tableBorderDxfId="512">
  <autoFilter ref="A1:T10" xr:uid="{0022EFED-0183-4C2B-BA99-5AF0ACDA76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98A26C98-D2F1-41A1-915B-2A4CB94BBE58}" name="מספר קופה/קרן/ח.פ. עבור חברת ביטוח" dataDxfId="510"/>
    <tableColumn id="2" xr3:uid="{652EB3BB-C9F8-427B-879C-E07A3BB7A251}" name="מספר מסלול" dataDxfId="509"/>
    <tableColumn id="3" xr3:uid="{DF1AE77E-8424-4EE4-8BB2-513709BBD1DB}" name="שם מנפיק" dataDxfId="508"/>
    <tableColumn id="4" xr3:uid="{5E46B022-11E8-425E-8202-FF69AE59539D}" name="מספר מנפיק" dataDxfId="507"/>
    <tableColumn id="5" xr3:uid="{DE1C25B4-6FB6-41A5-8A25-A30A47AC0BF4}" name="סוג מספר מזהה מנפיק" dataDxfId="506"/>
    <tableColumn id="6" xr3:uid="{EE7ACD22-0420-4DC8-BFCB-E71B6C128655}" name="שם נייר ערך" dataDxfId="505"/>
    <tableColumn id="7" xr3:uid="{BA95EFE8-4F0B-4E59-A4A2-141F63A744D2}" name="מספר נייר ערך" dataDxfId="504"/>
    <tableColumn id="8" xr3:uid="{56BF43BE-FA5E-4C46-BE1E-84B624E6F0B1}" name="סוג מספר נייר ערך" dataDxfId="503"/>
    <tableColumn id="9" xr3:uid="{4A8C9EA5-260F-41B7-A686-24977F910813}" name="ישראל/חו&quot;ל" dataDxfId="502"/>
    <tableColumn id="10" xr3:uid="{5B1AF653-AF4D-47AD-AFF5-42495C24163E}" name="מדינה לפי חשיפה כלכלית" dataDxfId="501"/>
    <tableColumn id="11" xr3:uid="{FD3DC15E-BCDE-4D1C-A642-96ECF3F117D8}" name="זירת מסחר" dataDxfId="500"/>
    <tableColumn id="12" xr3:uid="{A06F114B-BC3E-49F3-8E9E-8E36434DE23F}" name="נכס בסיס" dataDxfId="499"/>
    <tableColumn id="13" xr3:uid="{93E1C798-E02B-4727-9DD7-F184A3B375C6}" name="בעל עניין/צד קשור" dataDxfId="498"/>
    <tableColumn id="14" xr3:uid="{4DC50403-2F40-4BAF-9B37-3D36463B8F57}" name="מטבע פעילות" dataDxfId="497"/>
    <tableColumn id="15" xr3:uid="{8BA1B0C1-D55F-4A52-A109-2F364BC41CA7}" name="ערך נקוב (יחידות)" dataDxfId="496"/>
    <tableColumn id="16" xr3:uid="{7AD026B4-C998-457D-83A9-969BED5675FA}" name="שער חליפין" dataDxfId="495"/>
    <tableColumn id="17" xr3:uid="{46D38D1C-B1BA-423D-831A-4113F89869E6}" name="שער נייר הערך" dataDxfId="494"/>
    <tableColumn id="18" xr3:uid="{C16B2F7A-12BE-4E83-B6D9-11AF8EA0B220}" name="שווי הוגן (באלפי ש&quot;ח)" dataDxfId="493"/>
    <tableColumn id="19" xr3:uid="{9801420C-8A66-4407-BBDB-2262EE335655}" name="שיעור מנכסי אפיק ההשקעה" dataDxfId="492"/>
    <tableColumn id="20" xr3:uid="{E37AEFA8-6E92-47D8-938C-C33EC1FF9FED}" name="שיעור מסך נכסי ההשקעה" dataDxfId="491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B35A6F-1DA7-40D1-BFC6-3EF488571E28}" name="TitleRegion1.a1.ab2.1" displayName="TitleRegion1.a1.ab2.1" ref="A1:AB2" totalsRowShown="0" headerRowDxfId="457" dataDxfId="458" headerRowBorderDxfId="487" tableBorderDxfId="488">
  <autoFilter ref="A1:AB2" xr:uid="{3FB35A6F-1DA7-40D1-BFC6-3EF488571E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E786B769-7DE1-47C6-BB72-70BB7ECD5D8B}" name="מספר קופה/קרן/ח.פ. עבור חברת ביטוח" dataDxfId="486"/>
    <tableColumn id="2" xr3:uid="{7B468D00-C162-40ED-87A3-E9C48EAFE8A1}" name="מספר מסלול" dataDxfId="485"/>
    <tableColumn id="3" xr3:uid="{00ACE4F1-080B-4D0B-987F-88E5934D9AFC}" name="שם מנפיק" dataDxfId="484"/>
    <tableColumn id="4" xr3:uid="{EE6AD918-0CC8-4B15-906B-A885389CBB02}" name="מספר מנפיק" dataDxfId="483"/>
    <tableColumn id="5" xr3:uid="{23E5FCC1-9D14-4DD2-A4E7-C234A4230BF9}" name="סוג מספר מזהה מנפיק" dataDxfId="482"/>
    <tableColumn id="6" xr3:uid="{1D33C8BE-B914-445E-A0A1-AB1F227A57BA}" name="שם נייר ערך" dataDxfId="481"/>
    <tableColumn id="7" xr3:uid="{0F8B374C-B94A-4658-8B9E-EFED6363E024}" name="מספר נייר ערך" dataDxfId="480"/>
    <tableColumn id="8" xr3:uid="{710E31F6-8778-4631-9D83-1FFA82D9F6CA}" name="סוג מספר נייר ערך" dataDxfId="479"/>
    <tableColumn id="9" xr3:uid="{EF10EA93-B390-40E6-A79D-3D076468242D}" name="מאפיין עיקרי" dataDxfId="478"/>
    <tableColumn id="10" xr3:uid="{47F48ADD-50E8-4264-8317-29CCEF0BA9A3}" name="ישראל/חו&quot;ל" dataDxfId="477"/>
    <tableColumn id="11" xr3:uid="{AF0A16E0-C3C7-4136-AE96-E384F637EA6F}" name="מדינה לפי חשיפה כלכלית" dataDxfId="476"/>
    <tableColumn id="12" xr3:uid="{8A6C2958-F134-4CE5-A502-474599C7EEE8}" name="סטאטוס סחירות" dataDxfId="475"/>
    <tableColumn id="13" xr3:uid="{4DBA6A24-11A2-4C6B-AE0D-DCFFA28F5C0B}" name="זירת מסחר" dataDxfId="474"/>
    <tableColumn id="14" xr3:uid="{C7B59054-71E1-488B-9E1A-4F601FD86D5C}" name="נכס בסיס" dataDxfId="473"/>
    <tableColumn id="15" xr3:uid="{73A791DE-9572-4243-B1DF-7E3953D634E2}" name="בעל עניין/צד קשור" dataDxfId="472"/>
    <tableColumn id="16" xr3:uid="{D6313020-D156-4364-BE95-D8D4C116491B}" name="מח&quot;מ" dataDxfId="471"/>
    <tableColumn id="17" xr3:uid="{C17BF3DB-0459-4BC9-835C-4DB664ECA17C}" name="שיעור ריבית" dataDxfId="470"/>
    <tableColumn id="18" xr3:uid="{83C8109B-9700-49FA-B64A-4BF7B280FBF9}" name="תשואה לפדיון" dataDxfId="469"/>
    <tableColumn id="19" xr3:uid="{6D95C86B-AE58-4105-83CB-44A6BA495D07}" name="דירוג" dataDxfId="468"/>
    <tableColumn id="20" xr3:uid="{F2BA4413-D825-4B6B-AFDE-6160A72EF52C}" name="שם מדרג" dataDxfId="467"/>
    <tableColumn id="21" xr3:uid="{C2A4CC32-D520-4773-BE21-1C73B9771DB4}" name="דירוג נייר הערך/המנפיק" dataDxfId="466"/>
    <tableColumn id="22" xr3:uid="{1D3C333C-7BCE-4515-9828-4D8913D0D31D}" name="מטבע פעילות" dataDxfId="465"/>
    <tableColumn id="23" xr3:uid="{3580B75C-A75C-431A-9AB4-633B7F145058}" name="ערך נקוב (יחידות)" dataDxfId="464"/>
    <tableColumn id="24" xr3:uid="{7F36CE34-5482-4AEF-828F-7CC377C28465}" name="שער חליפין" dataDxfId="463"/>
    <tableColumn id="25" xr3:uid="{A46CB626-4493-46A6-A1C4-A15DE5E5A124}" name="שער נייר הערך" dataDxfId="462"/>
    <tableColumn id="26" xr3:uid="{ADC2CE9E-CB1F-448E-9629-4EEDAED7C2ED}" name="שווי הוגן (באלפי ש&quot;ח)" dataDxfId="461"/>
    <tableColumn id="27" xr3:uid="{C6EC0306-23D6-4846-895C-E45CF50BC18E}" name="שיעור מנכסי אפיק ההשקעה" dataDxfId="460"/>
    <tableColumn id="28" xr3:uid="{3521DC0C-D57C-494C-A667-42AEA6E70B46}" name="שיעור מסך נכסי ההשקעה" dataDxfId="459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B96CA95-F6A8-4A02-8566-3FE2682FBE96}" name="TitleRegion1.a1.g40.1" displayName="TitleRegion1.a1.g40.1" ref="A1:G40" totalsRowShown="0" headerRowDxfId="446" dataDxfId="447" headerRowBorderDxfId="455" tableBorderDxfId="456">
  <autoFilter ref="A1:G40" xr:uid="{8B96CA95-F6A8-4A02-8566-3FE2682FBE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E0C50C2-26D2-4FAF-9687-AA330D243122}" name="מספר קרן" dataDxfId="454"/>
    <tableColumn id="2" xr3:uid="{F63073F1-87D5-46F0-B0D2-915F038EA1B2}" name="מספר מסלול" dataDxfId="453"/>
    <tableColumn id="3" xr3:uid="{A05710B9-81B9-4852-9E37-3F786F923C62}" name="מאפיין עיקרי" dataDxfId="452"/>
    <tableColumn id="4" xr3:uid="{846A74D3-971E-4A15-9F70-5AE844E6C0F2}" name="חודש הנפקת שכבה" dataDxfId="451"/>
    <tableColumn id="5" xr3:uid="{C74C82D2-7E96-4647-913C-E66B182D74D7}" name="חודש הבדיקה" dataDxfId="450"/>
    <tableColumn id="6" xr3:uid="{61ED6094-7C56-4C1B-8CAF-25CD12A72D95}" name="שווי הנכסים באפיק (באלפי ש&quot;ח)" dataDxfId="449"/>
    <tableColumn id="7" xr3:uid="{7677E841-B922-427A-9D81-1E157BFACFA7}" name="שיעור מסך נכסי ההשקעה" dataDxfId="448" dataCellStyle="Percent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F96B632-799B-44A7-B73D-DC0789238B4B}" name="TitleRegion1.a1.an2.1" displayName="TitleRegion1.a1.an2.1" ref="A1:AN2" totalsRowShown="0" headerRowDxfId="414" dataDxfId="415" headerRowBorderDxfId="444" tableBorderDxfId="445">
  <autoFilter ref="A1:AN2" xr:uid="{BF96B632-799B-44A7-B73D-DC0789238B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</autoFilter>
  <tableColumns count="40">
    <tableColumn id="1" xr3:uid="{45C4F75A-AB5B-4661-A61E-9CA5246390B8}" name="מספר קופה/קרן/ח.פ. עבור חברת ביטוח" dataDxfId="443"/>
    <tableColumn id="2" xr3:uid="{D99D1F44-8D02-4E0D-B2B2-4218D19AEF24}" name="מספר מסלול" dataDxfId="442"/>
    <tableColumn id="3" xr3:uid="{E71EE51B-B7AD-4BE5-A8DA-46C42BF50EBC}" name="שם מנפיק" dataDxfId="441"/>
    <tableColumn id="4" xr3:uid="{9C47BC59-1F82-4674-86D4-684AC63014D0}" name="מספר מנפיק" dataDxfId="440"/>
    <tableColumn id="5" xr3:uid="{1C7A0723-2B02-419A-8DB4-58E9FDC35DBD}" name="סוג מספר מזהה מנפיק" dataDxfId="439"/>
    <tableColumn id="6" xr3:uid="{FE3CBDAF-5614-45BF-AB07-8E044BEBEA5C}" name="שם נייר ערך" dataDxfId="438"/>
    <tableColumn id="7" xr3:uid="{113DD3EF-AD44-4250-A5C2-35E80CC2EEFB}" name="מספר נייר ערך" dataDxfId="437"/>
    <tableColumn id="8" xr3:uid="{E1FD2BCF-C30C-47EA-8193-2A7953E45D86}" name="סוג מספר נייר ערך" dataDxfId="436"/>
    <tableColumn id="9" xr3:uid="{3214A050-917F-4157-9622-E41656023E00}" name="מאפיין עיקרי" dataDxfId="435"/>
    <tableColumn id="10" xr3:uid="{31E5835B-366C-49DC-B22E-FF8F5EF7F136}" name="ישראל/חו&quot;ל" dataDxfId="434"/>
    <tableColumn id="11" xr3:uid="{2A3B0365-AAB1-423A-A3A5-C74F2BD0D734}" name="מדינה לפי חשיפה כלכלית" dataDxfId="433"/>
    <tableColumn id="12" xr3:uid="{E548F912-0A83-4762-9CC9-CF303EE4D1A9}" name="ענף מסחר" dataDxfId="432"/>
    <tableColumn id="13" xr3:uid="{4757EB88-A341-4B3D-AE1C-37E276339DE6}" name="בעל עניין/צד קשור" dataDxfId="431"/>
    <tableColumn id="14" xr3:uid="{406C6C7D-16FE-4D2E-A778-A39062822BB9}" name="תאריך רכישה" dataDxfId="430"/>
    <tableColumn id="15" xr3:uid="{7D15E651-2B1B-4671-9B89-764B0781E25A}" name="דירוג" dataDxfId="429"/>
    <tableColumn id="16" xr3:uid="{E96F415C-4DE2-421B-90D4-43693A26DBDB}" name="שם מדרג" dataDxfId="428"/>
    <tableColumn id="17" xr3:uid="{C8DF885C-D908-45F2-B652-87E659DD67DC}" name="דירוג נייר הערך/המנפיק" dataDxfId="427"/>
    <tableColumn id="18" xr3:uid="{B43A35DE-9833-4F51-B12C-63EEC997FDBA}" name="מטבע פעילות" dataDxfId="426"/>
    <tableColumn id="19" xr3:uid="{A9B696DA-0A19-4F3E-A918-D5612A302B1E}" name="מח&quot;מ" dataDxfId="425"/>
    <tableColumn id="20" xr3:uid="{8A2A6630-CF77-4A17-937B-BE2C0A95ED72}" name="סוג הצמדה" dataDxfId="424"/>
    <tableColumn id="21" xr3:uid="{43BE1CF2-9F1F-4EF5-BF80-BB19DFCA5701}" name="ריבית עוגן" dataDxfId="423"/>
    <tableColumn id="22" xr3:uid="{3A515EA3-55E2-4AE8-B87B-8AA4F48E10C9}" name="מועד פדיון" dataDxfId="422"/>
    <tableColumn id="23" xr3:uid="{884D8E71-94AE-4D6F-BD03-DEE718D1A219}" name="שיעור ריבית" dataDxfId="421"/>
    <tableColumn id="24" xr3:uid="{992CADA6-D030-4476-9691-1EE2E2590618}" name="תשואה לפדיון" dataDxfId="420"/>
    <tableColumn id="25" xr3:uid="{DC3CFB11-1709-445B-B68C-DA51BB8B65FC}" name="נחיתות חוזית" dataDxfId="413"/>
    <tableColumn id="26" xr3:uid="{D08B9A5B-C145-4E95-A4FC-5A2628D357A7}" name="האם סווג כחוב בעייתי" dataDxfId="411"/>
    <tableColumn id="27" xr3:uid="{8CDEDBEB-A598-4237-9FD0-0622C7A0CBD1}" name="סוג גורם משערך" dataDxfId="412"/>
    <tableColumn id="28" xr3:uid="{D0D3D471-EF9B-4105-A8BD-77616C5A4D83}" name="תלות/אי-תלות המשערך" dataDxfId="410"/>
    <tableColumn id="29" xr3:uid="{8F33D1FC-09DE-4F40-BD00-065E527748ED}" name="שם גורם משערך" dataDxfId="409"/>
    <tableColumn id="30" xr3:uid="{2696B449-2C49-425C-93A2-0C46FBA0FD60}" name="תאריך שערוך אחרון" dataDxfId="408"/>
    <tableColumn id="31" xr3:uid="{89897266-DBAF-44FC-A158-2CA000E0973F}" name="תאריך אחרון בו נבחנה בפועל ירידת ערך" dataDxfId="406"/>
    <tableColumn id="32" xr3:uid="{05F2B9D0-B91A-4193-B288-7A98EFBD892F}" name="ערך נקוב (יחידות)" dataDxfId="407"/>
    <tableColumn id="33" xr3:uid="{653D1A81-A89A-4D65-AB6F-E8AD4949F247}" name="שער חליפין" dataDxfId="419"/>
    <tableColumn id="34" xr3:uid="{D999347E-7682-4C4E-8EC9-79793BF25E81}" name="שער נייר הערך" dataDxfId="418"/>
    <tableColumn id="35" xr3:uid="{5392461A-ED37-40BA-B596-CB3865FA5572}" name="שווי הוגן (באלפי ש&quot;ח)" dataDxfId="405"/>
    <tableColumn id="36" xr3:uid="{4A81CDB6-A039-49B6-8983-1F090C9611C3}" name="עלות מופחתת (באלפי ש&quot;ח)" dataDxfId="404"/>
    <tableColumn id="37" xr3:uid="{1D99D931-8B56-4ABC-92BB-9BB1077D9B9E}" name="עלות מופחתת (במטבע הפעילות)" dataDxfId="402"/>
    <tableColumn id="38" xr3:uid="{60E2D790-816B-48BB-B3E0-B8CFFAE3164E}" name="השיטה שיושמה בדוח הכספי" dataDxfId="403"/>
    <tableColumn id="39" xr3:uid="{E3C65FCA-4640-495E-B3DF-B690C714F547}" name="שיעור מנכסי אפיק ההשקעה" dataDxfId="417"/>
    <tableColumn id="40" xr3:uid="{6819F7F1-C2E0-4441-B67C-176EDC141A46}" name="שיעור מסך נכסי ההשקעה" dataDxfId="416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E954E68-2131-4C6A-A67D-81339EC23B26}" name="TitleRegion1.a1.al33.1" displayName="TitleRegion1.a1.al33.1" ref="A1:AL33" totalsRowShown="0" headerRowDxfId="360" dataDxfId="361" headerRowBorderDxfId="400" tableBorderDxfId="401">
  <autoFilter ref="A1:AL33" xr:uid="{00000000-0001-0000-1100-0000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D5CFF21D-E41B-4B87-8F79-61E6FCB55698}" name="מספר קופה/קרן/ח.פ. עבור חברת ביטוח" dataDxfId="399"/>
    <tableColumn id="2" xr3:uid="{7E9D3C2D-53A6-48B7-96C5-EAC91BC3DEE6}" name="מספר מסלול" dataDxfId="398"/>
    <tableColumn id="3" xr3:uid="{C1EBF2B1-8A13-4231-9BD2-ADA5D24710A9}" name="שם מנפיק" dataDxfId="397"/>
    <tableColumn id="4" xr3:uid="{75DD8124-513F-48E0-9B37-9D8DD99342AA}" name="מספר מנפיק" dataDxfId="396"/>
    <tableColumn id="5" xr3:uid="{DA6D1833-69A3-44ED-A383-F0B55DB883B2}" name="סוג מספר מזהה מנפיק" dataDxfId="395"/>
    <tableColumn id="6" xr3:uid="{EB72B34C-59B9-4B38-A84C-DCF189088804}" name="שם נייר ערך" dataDxfId="394"/>
    <tableColumn id="7" xr3:uid="{99B1BA23-A61D-4058-A7E8-CB4729EF125E}" name="מספר נייר ערך" dataDxfId="393"/>
    <tableColumn id="8" xr3:uid="{73C07209-02B4-4911-A7CF-0F5F53F4E31A}" name="סוג מספר נייר ערך" dataDxfId="392"/>
    <tableColumn id="9" xr3:uid="{8D7B6331-7750-400D-B9FA-947A417D7954}" name="מאפיין עיקרי" dataDxfId="391"/>
    <tableColumn id="10" xr3:uid="{8921C171-7FFF-414E-BD66-DC0480C7F694}" name="ישראל/חו&quot;ל" dataDxfId="390"/>
    <tableColumn id="11" xr3:uid="{96E5625F-1037-48C0-8458-D726043E7962}" name="מדינה לפי חשיפה כלכלית" dataDxfId="389"/>
    <tableColumn id="12" xr3:uid="{99D58F2B-D074-473D-8227-F2486FE2EA9D}" name="סטאטוס סחירות" dataDxfId="388"/>
    <tableColumn id="13" xr3:uid="{E79FC2B6-2140-46AA-A304-60739D845018}" name="ענף מסחר" dataDxfId="387"/>
    <tableColumn id="14" xr3:uid="{B979AF02-2446-4284-A96B-C486E19FEEFE}" name="בעל עניין/צד קשור" dataDxfId="386"/>
    <tableColumn id="15" xr3:uid="{E2FD953D-7C97-45F2-802C-A41BF57B2E8E}" name="תאריך רכישה" dataDxfId="385"/>
    <tableColumn id="16" xr3:uid="{E5278C79-6FCF-47C8-8808-E3B93C71B995}" name="דירוג" dataDxfId="384"/>
    <tableColumn id="17" xr3:uid="{71DFFF3E-A895-4D4E-9720-2D9F416198FE}" name="שם מדרג" dataDxfId="383"/>
    <tableColumn id="18" xr3:uid="{7234D5E1-8943-4502-9CDC-592F6A3F238C}" name="דירוג נייר הערך/המנפיק" dataDxfId="382"/>
    <tableColumn id="19" xr3:uid="{69213861-607C-4FCD-A1DD-188735BEA143}" name="מטבע פעילות" dataDxfId="381"/>
    <tableColumn id="20" xr3:uid="{EBAB1940-A685-4442-96E2-8BF4ED1301E8}" name="מח&quot;מ" dataDxfId="380"/>
    <tableColumn id="21" xr3:uid="{7E68A1F1-E270-4753-A4E2-299D10B81F53}" name="מועד פדיון" dataDxfId="379"/>
    <tableColumn id="22" xr3:uid="{FB028451-2F52-4F50-B3FA-1E0E28B861E4}" name="תשואה לפדיון" dataDxfId="378"/>
    <tableColumn id="23" xr3:uid="{2A0B1C65-BC40-4249-8CB4-817E76E109D0}" name="שיעור ריבית" dataDxfId="377"/>
    <tableColumn id="24" xr3:uid="{CB5445BD-5C7E-467C-8A5C-48C0A21A5C77}" name="נחיתות חוזית" dataDxfId="376"/>
    <tableColumn id="25" xr3:uid="{862920B6-A18A-4416-AA73-FE8AD1527D08}" name="האם סווג כחוב בעייתי" dataDxfId="375"/>
    <tableColumn id="26" xr3:uid="{F00B0EDD-91D7-4429-85D7-12F8EDEC2545}" name="סוג גורם משערך" dataDxfId="374"/>
    <tableColumn id="27" xr3:uid="{88791198-5E26-4736-AC6A-EB963AEB839A}" name="תלות/אי-תלות המשערך" dataDxfId="373"/>
    <tableColumn id="28" xr3:uid="{7C20B687-F5F4-4257-BD97-49A984AD5F2B}" name="תאריך שערוך אחרון" dataDxfId="372"/>
    <tableColumn id="29" xr3:uid="{3B26F8C4-C9B1-4B39-85C9-3FE3033B76C0}" name="תאריך אחרון בו נבחנה בפועל ירידת ערך" dataDxfId="371"/>
    <tableColumn id="30" xr3:uid="{1836D127-FDF1-4595-9AE5-C076877959E0}" name="ערך נקוב (יחידות)" dataDxfId="370"/>
    <tableColumn id="31" xr3:uid="{C5652F9D-8146-41C9-901A-0A2E1ED30D27}" name="שער חליפין" dataDxfId="369"/>
    <tableColumn id="32" xr3:uid="{FA4946D1-0070-4CE8-A35C-011E1D6C9E66}" name="שער נייר הערך" dataDxfId="368"/>
    <tableColumn id="33" xr3:uid="{A5ACADEB-A21B-4725-9568-9651EF89003E}" name="שווי הוגן (באלפי ש&quot;ח)" dataDxfId="367"/>
    <tableColumn id="34" xr3:uid="{D015B434-1BBE-48C7-9664-E53FF2270C86}" name="עלות מופחתת (באלפי ש&quot;ח)" dataDxfId="366"/>
    <tableColumn id="35" xr3:uid="{EE9DB831-4EC7-4CBA-8085-3CC024BC9F98}" name="עלות מופחתת (במטבע הפעילות)" dataDxfId="365"/>
    <tableColumn id="36" xr3:uid="{80E3D1EA-3A7E-4DEE-B7EF-B407CE9152C0}" name="השיטה שיושמה בדוח הכספי" dataDxfId="364"/>
    <tableColumn id="37" xr3:uid="{EA38445C-4890-4071-84CF-E81D9C1F2539}" name="שיעור מנכסי אפיק ההשקעה" dataDxfId="363"/>
    <tableColumn id="38" xr3:uid="{06DD698A-A894-4B49-B303-51473927AF21}" name="שיעור מסך נכסי ההשקעה" dataDxfId="362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79D772B-C1B0-47EA-BACA-D2723812B209}" name="TitleRegion1.a1.z17.1" displayName="TitleRegion1.a1.z17.1" ref="A1:Z17" totalsRowShown="0" headerRowDxfId="330" dataDxfId="331" headerRowBorderDxfId="358" tableBorderDxfId="359">
  <autoFilter ref="A1:Z17" xr:uid="{479D772B-C1B0-47EA-BACA-D2723812B2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8C60EBE2-9037-4CDA-A368-3EC3FA71B9EF}" name="מספר קופה/קרן/ח.פ. עבור חברת ביטוח" dataDxfId="357"/>
    <tableColumn id="2" xr3:uid="{3C821738-D93F-4D54-9F01-39DAA21A1E6F}" name="מספר מסלול" dataDxfId="356"/>
    <tableColumn id="3" xr3:uid="{C08255E1-FE74-4155-BE63-19FD3C4FF746}" name="שם מנפיק" dataDxfId="355"/>
    <tableColumn id="4" xr3:uid="{19828D19-2BDA-443B-9C25-2EB6DDEB9A64}" name="מספר מנפיק" dataDxfId="354"/>
    <tableColumn id="5" xr3:uid="{20066D3E-ADCD-453F-9F0C-DA3C54F495A0}" name="סוג מספר מזהה מנפיק" dataDxfId="353"/>
    <tableColumn id="6" xr3:uid="{6A33D8C6-82FF-4A45-8097-DEE07C3186D7}" name="שם נייר ערך" dataDxfId="352"/>
    <tableColumn id="7" xr3:uid="{9707315D-12FB-4CE9-9F06-9AD9D8E17B7D}" name="מספר נייר ערך" dataDxfId="351"/>
    <tableColumn id="8" xr3:uid="{3635703A-8BD3-4E0F-8C0D-4D630239590C}" name="סוג מספר נייר ערך" dataDxfId="350"/>
    <tableColumn id="9" xr3:uid="{4E292A61-268D-4230-8FD1-08CD3E835F21}" name="מאפיין עיקרי" dataDxfId="349"/>
    <tableColumn id="10" xr3:uid="{A9137C7C-8D76-4B9E-8857-E58268862888}" name="ישראל/חו&quot;ל" dataDxfId="348"/>
    <tableColumn id="11" xr3:uid="{A9FF193B-6879-4DCA-A2DB-A6558078A6D1}" name="מדינה לפי חשיפה כלכלית" dataDxfId="347"/>
    <tableColumn id="12" xr3:uid="{32876B55-5E48-4672-9A02-0A0B0D6C5A6E}" name="סטאטוס סחירות" dataDxfId="346"/>
    <tableColumn id="13" xr3:uid="{9E22E1D8-D8C1-44AA-B7AA-CFC6DD0C854B}" name="ענף מסחר" dataDxfId="345"/>
    <tableColumn id="14" xr3:uid="{76402CD9-83F0-462A-BC92-8CCEF66E0013}" name="בעל עניין/צד קשור" dataDxfId="344"/>
    <tableColumn id="15" xr3:uid="{A612E154-7345-4383-A5F5-FBC04D2F006E}" name="תאריך רכישה" dataDxfId="343"/>
    <tableColumn id="16" xr3:uid="{97E7C128-E8C7-41C1-AE45-55B9ED45BC33}" name="מטבע פעילות" dataDxfId="342"/>
    <tableColumn id="17" xr3:uid="{75E9FCB3-C05F-45A9-8139-0A7AE8B5B851}" name="סוג גורם משערך" dataDxfId="341"/>
    <tableColumn id="18" xr3:uid="{41FA98FC-7A9B-4398-8AC2-81D8EC51BEB0}" name="תלות/אי-תלות המשערך" dataDxfId="340"/>
    <tableColumn id="19" xr3:uid="{0995DD22-3112-42FF-8479-CB0BB4141691}" name="תאריך שערוך אחרון" dataDxfId="339"/>
    <tableColumn id="20" xr3:uid="{18B9647B-D94F-4417-A5EA-44D6C6B1882D}" name="תאריך אחרון בו נבחנה בפועל ירידת ערך" dataDxfId="338"/>
    <tableColumn id="21" xr3:uid="{4757BDCD-F870-4F25-AB61-FB7EE3A37F07}" name="ערך נקוב (יחידות)" dataDxfId="337"/>
    <tableColumn id="22" xr3:uid="{9C4134F3-15D0-4E2B-BCFB-2B621A44C14D}" name="שער חליפין" dataDxfId="336"/>
    <tableColumn id="23" xr3:uid="{CE39A45C-D25B-4BDF-B9EF-0709E6CEF1F1}" name="שער נייר הערך" dataDxfId="335"/>
    <tableColumn id="24" xr3:uid="{E4513110-FE74-452A-AA54-8348500C21DB}" name="שווי הוגן (באלפי ש&quot;ח)" dataDxfId="334"/>
    <tableColumn id="25" xr3:uid="{5FF8FF60-52A3-40EE-B80F-CDC6E975A0A4}" name="שיעור מנכסי אפיק ההשקעה" dataDxfId="333"/>
    <tableColumn id="26" xr3:uid="{BBA80997-5771-445A-8B13-992CC16279DF}" name="שיעור מסך נכסי ההשקעה" dataDxfId="332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8C5B8AD-61ED-476C-AEBA-70EB8A3F8258}" name="TitleRegion1.a1.z58.1" displayName="TitleRegion1.a1.z58.1" ref="A1:Z58" totalsRowShown="0" headerRowDxfId="302" dataDxfId="303">
  <autoFilter ref="A1:Z58" xr:uid="{00000000-0001-0000-1300-0000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A710E5E8-1E46-45EB-807F-CC952C4E643F}" name="מספר קופה/קרן/ח.פ. עבור חברת ביטוח" dataDxfId="329"/>
    <tableColumn id="2" xr3:uid="{CF51369D-29DB-49E5-8BE3-F1F5084067A3}" name="מספר מסלול" dataDxfId="328"/>
    <tableColumn id="3" xr3:uid="{EA760C47-FA63-40C8-88F2-186C28610F7A}" name="שם שותף כללי קרן השקעות" dataDxfId="327"/>
    <tableColumn id="4" xr3:uid="{2934F8CE-4A0D-4749-A925-638F0823596D}" name="מספר מזהה שותף כללי קרן השקעות" dataDxfId="326"/>
    <tableColumn id="5" xr3:uid="{06D7145E-C36B-4BCD-ABDE-31550290F43B}" name="סוג מספר מזהה שותף כללי קרן השקעות" dataDxfId="325"/>
    <tableColumn id="6" xr3:uid="{2EEB7694-62C2-4897-9498-42F34C3B79B5}" name="שם קרן השקעה" dataDxfId="324"/>
    <tableColumn id="7" xr3:uid="{A9A1AFBB-AD8E-464A-9D9B-7D51044612B2}" name="מספר מזהה קרן השקעה" dataDxfId="323"/>
    <tableColumn id="8" xr3:uid="{30F36EDC-1BA9-4B22-A0C8-B91BBB6FB5A5}" name="סוג מספר מזהה קרן השקעות" dataDxfId="322"/>
    <tableColumn id="9" xr3:uid="{6E5FFE5A-E645-4AEA-83C5-88081F6A8D74}" name="מאפיין עיקרי" dataDxfId="321"/>
    <tableColumn id="10" xr3:uid="{01B80B44-C779-4523-BB40-0EBBF435EC42}" name="אסטרטגיית קרן ההשקעה" dataDxfId="320"/>
    <tableColumn id="11" xr3:uid="{EACB2D77-5F8B-4FB0-B750-7C6E1C45D3FA}" name="ישראל/חו&quot;ל" dataDxfId="319"/>
    <tableColumn id="12" xr3:uid="{80D1B6AC-D193-4F82-B181-71C6F4D4BC01}" name="מדינת התאגדות קרן השקעה" dataDxfId="318"/>
    <tableColumn id="13" xr3:uid="{B974195B-0F26-48A4-B6D3-416FB8302EA4}" name="מיקום משרד השותף הכללי" dataDxfId="317"/>
    <tableColumn id="14" xr3:uid="{C9C221DF-834C-42C4-A378-D774E45BDCD8}" name="מדינה לפי חשיפה כלכלית" dataDxfId="316"/>
    <tableColumn id="15" xr3:uid="{4C51AD4A-3C78-4BBF-95CD-7DDED27CB927}" name="בעל עניין/צד קשור" dataDxfId="315"/>
    <tableColumn id="16" xr3:uid="{E298402C-18D6-463C-97C5-81B4D8C5C19B}" name="תאריך רכישה" dataDxfId="314"/>
    <tableColumn id="17" xr3:uid="{062266FC-7570-4C22-82B8-E63EC1D8B23C}" name="מטבע פעילות" dataDxfId="313"/>
    <tableColumn id="18" xr3:uid="{DB26484A-8707-41B4-9341-2026E21AF8CB}" name="סוג גורם משערך" dataDxfId="312"/>
    <tableColumn id="19" xr3:uid="{B7779231-22E0-4435-8260-7811AD311340}" name="תלות/אי-תלות המשערך" dataDxfId="311"/>
    <tableColumn id="20" xr3:uid="{4C0E1D73-095E-4477-93D2-6222BCD31963}" name="תאריך שערוך אחרון" dataDxfId="310"/>
    <tableColumn id="21" xr3:uid="{44167B3B-8737-4CF5-AD27-F9ACFA405743}" name="שער חליפין" dataDxfId="309"/>
    <tableColumn id="22" xr3:uid="{CA2BE5E7-67BD-4A4A-B732-CC7FC7A83DA8}" name="NAV_x000a_(במטבע הדיווח של קרן ההשקעה)" dataDxfId="308"/>
    <tableColumn id="23" xr3:uid="{5B6CA5E4-7981-4D39-AB90-F65934138BAE}" name="שווי הוגן (באלפי ש&quot;ח)" dataDxfId="307"/>
    <tableColumn id="24" xr3:uid="{23D700EA-476C-4500-B50C-D71586EF2BAC}" name="שיעור החזקה בקרן השקעה" dataDxfId="306"/>
    <tableColumn id="25" xr3:uid="{87F8A731-A1C6-42BB-B7CA-A150CADC90F5}" name="שיעור מנכסי אפיק ההשקעה" dataDxfId="305"/>
    <tableColumn id="26" xr3:uid="{7D276BDD-9819-4102-81BB-EC9C12787992}" name="שיעור מסך נכסי ההשקעה" dataDxfId="304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00F3A81-066E-418B-95F4-5F8E48B6F5FD}" name="TitleRegion1.a1.ab12.1" displayName="TitleRegion1.a1.ab12.1" ref="A1:AB12" totalsRowShown="0" headerRowDxfId="270" dataDxfId="271" headerRowBorderDxfId="300" tableBorderDxfId="301">
  <autoFilter ref="A1:AB12" xr:uid="{A00F3A81-066E-418B-95F4-5F8E48B6F5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A65181AE-0D8D-4F70-8C48-A450A3717DDE}" name="מספר קופה/קרן/ח.פ. עבור חברת ביטוח" dataDxfId="299"/>
    <tableColumn id="2" xr3:uid="{0858B15A-279C-4C93-824F-FB978B8C7A93}" name="מספר מסלול" dataDxfId="298"/>
    <tableColumn id="3" xr3:uid="{E18D5E12-6E29-42C5-8CBF-D5299B141369}" name="שם מנפיק" dataDxfId="297"/>
    <tableColumn id="4" xr3:uid="{D5471768-32E2-429B-B98E-BC77988DF98A}" name="מספר מנפיק" dataDxfId="296"/>
    <tableColumn id="5" xr3:uid="{4896A747-4061-49F6-A6C0-B43F58990548}" name="סוג מספר מזהה מנפיק" dataDxfId="295"/>
    <tableColumn id="6" xr3:uid="{33F4C97E-AD61-4ECE-9465-30684C5E0E35}" name="שם נייר ערך" dataDxfId="294"/>
    <tableColumn id="7" xr3:uid="{556D196E-2A08-45BE-9B27-CB9C08017D60}" name="מספר נייר ערך" dataDxfId="293"/>
    <tableColumn id="8" xr3:uid="{FB172BC7-9D10-402E-9361-BB107648D408}" name="סוג מספר נייר ערך" dataDxfId="292"/>
    <tableColumn id="9" xr3:uid="{269B7BE1-4DC7-4417-B7C4-6979110568F2}" name="ישראל/חו&quot;ל" dataDxfId="291"/>
    <tableColumn id="10" xr3:uid="{FFF7EE3C-758B-4D49-93E5-E35C815EB1D8}" name="מדינה לפי חשיפה כלכלית" dataDxfId="290"/>
    <tableColumn id="11" xr3:uid="{30AEF56F-E51B-41EE-AEDB-0230F96C8E98}" name="סטאטוס סחירות" dataDxfId="289"/>
    <tableColumn id="12" xr3:uid="{8AEB517E-EEF5-443B-A5A6-B0393735AB8A}" name="נכס בסיס (כתב אופציה)" dataDxfId="288"/>
    <tableColumn id="13" xr3:uid="{6EBE5ADC-D37E-45D8-B372-44615D4B2319}" name="ענף מסחר" dataDxfId="287"/>
    <tableColumn id="14" xr3:uid="{084EC690-BFEA-47BF-AFD2-CE8D30CC8A03}" name="תאריך פקיעה" dataDxfId="286"/>
    <tableColumn id="15" xr3:uid="{0249D598-F234-4849-A7B9-9760269E806E}" name="בעל עניין/צד קשור" dataDxfId="285"/>
    <tableColumn id="16" xr3:uid="{CF17683E-B842-4817-A24E-6E10BC9A5D0D}" name="תאריך רכישה" dataDxfId="284"/>
    <tableColumn id="17" xr3:uid="{45EBD6BF-51AC-43DF-9FD5-FECFC4BAA288}" name="מטבע פעילות" dataDxfId="283"/>
    <tableColumn id="18" xr3:uid="{29B25795-2448-4888-86C1-0D6FA9CA29FD}" name="סוג גורם משערך" dataDxfId="282"/>
    <tableColumn id="19" xr3:uid="{35BC8600-CAE7-4BC1-A98F-FA235AFEFAE3}" name="תלות/אי-תלות המשערך" dataDxfId="281"/>
    <tableColumn id="20" xr3:uid="{FD472EF1-1278-4927-A6D1-BA927139D902}" name="תאריך שערוך אחרון" dataDxfId="280"/>
    <tableColumn id="21" xr3:uid="{94408EFC-0544-4B62-B42F-D686B4126C19}" name="שער מימוש" dataDxfId="279"/>
    <tableColumn id="22" xr3:uid="{21751BBA-BEE2-477B-8209-D2FF6362635E}" name="יחס המרה" dataDxfId="278"/>
    <tableColumn id="23" xr3:uid="{5CDFD570-26AD-4585-85FC-D84C6D9F9D3F}" name="ערך נקוב (יחידות)" dataDxfId="277"/>
    <tableColumn id="24" xr3:uid="{2B48D085-21BB-4ECE-9D9F-092FADBD7833}" name="שער נייר הערך" dataDxfId="276"/>
    <tableColumn id="25" xr3:uid="{62A86800-9DB3-495B-A092-273C788AD54B}" name="שער חליפין" dataDxfId="275"/>
    <tableColumn id="26" xr3:uid="{6D8968EC-B173-4511-9107-1C8C1D74A334}" name="שווי הוגן (באלפי ש&quot;ח)" dataDxfId="274"/>
    <tableColumn id="27" xr3:uid="{67DEFFF0-26A6-4A96-A9FF-CB9009EC1D8A}" name="שיעור מנכסי אפיק ההשקעה" dataDxfId="273"/>
    <tableColumn id="28" xr3:uid="{9C2A136D-43B1-4693-8CD0-7C72A41542A3}" name="שיעור מסך נכסי ההשקעה" dataDxfId="272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C5DEF52-D6AA-406F-B1F5-A2B234E434B1}" name="TitleRegion1.a1.ao10.1" displayName="TitleRegion1.a1.ao10.1" ref="A1:AO10" totalsRowShown="0" headerRowDxfId="225" dataDxfId="226" headerRowBorderDxfId="268" tableBorderDxfId="269">
  <autoFilter ref="A1:AO10" xr:uid="{EC5DEF52-D6AA-406F-B1F5-A2B234E434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</autoFilter>
  <tableColumns count="41">
    <tableColumn id="1" xr3:uid="{1017F9A6-EB09-4016-91C4-EA57A6B66169}" name="מספר קופה/קרן/ח.פ. עבור חברת ביטוח" dataDxfId="267"/>
    <tableColumn id="2" xr3:uid="{AF15292E-9478-4EC9-B05B-9F6BD5114430}" name="מספר מסלול" dataDxfId="266"/>
    <tableColumn id="3" xr3:uid="{A201F7D9-F4EC-4F92-99F6-E7E075092643}" name="מאפיין עיקרי" dataDxfId="265"/>
    <tableColumn id="4" xr3:uid="{FDB5E0D8-E2E0-49A2-A3EA-4FD73B151555}" name="מספר עסקה (רגל 1)" dataDxfId="264"/>
    <tableColumn id="5" xr3:uid="{00312D1D-23A9-4D57-BC49-716BF5B11B28}" name="מטבע פעילות (רגל 1)" dataDxfId="263"/>
    <tableColumn id="6" xr3:uid="{A39E628F-E898-4D1A-A05A-4A53B80FC3D0}" name="שער חליפין" dataDxfId="262"/>
    <tableColumn id="7" xr3:uid="{C5573677-E3CA-48B6-889A-2708DA78C5D7}" name="ערך נקוב (רגל 1)" dataDxfId="261"/>
    <tableColumn id="8" xr3:uid="{60127E26-983D-49D3-B94E-2F57C01E26EC}" name="שווי הוגן במטבע הנסחר (רגל 1)" dataDxfId="260"/>
    <tableColumn id="9" xr3:uid="{1002AFFA-80E3-4972-B9C5-05D27AE02E95}" name="שיעור מנכסי אפיק ההשקעה (רגל 1)" dataDxfId="259"/>
    <tableColumn id="10" xr3:uid="{E9CC3D6F-0187-4EB5-A99D-CCE57CEC5CA2}" name="שיעור מסך נכסי ההשקעה (רגל 1)" dataDxfId="258"/>
    <tableColumn id="11" xr3:uid="{EA231204-51B4-435F-8C3F-F207236EA601}" name="מספר עסקה (רגל 2)" dataDxfId="257"/>
    <tableColumn id="12" xr3:uid="{79EC8250-6235-4D10-877F-5AE7E8D67AA0}" name="מטבע פעילות (רגל 2)" dataDxfId="256"/>
    <tableColumn id="13" xr3:uid="{33B38251-CE2F-4C5F-9042-B4AB207827B7}" name="שער חליפין2" dataDxfId="255"/>
    <tableColumn id="14" xr3:uid="{A5087A82-CA1F-40D4-BD23-D16A084F53B6}" name="ערך נקוב (רגל 2)" dataDxfId="254"/>
    <tableColumn id="15" xr3:uid="{A4CBEA71-A0AD-4D15-B144-FDDF2EEA2209}" name="שווי הוגן במטבע הנסחר (רגל 2)" dataDxfId="253"/>
    <tableColumn id="16" xr3:uid="{C08F794B-E3ED-406D-9F00-46E75D0D72B8}" name="שיעור מנכסי ההשקעה (רגל 2)" dataDxfId="252"/>
    <tableColumn id="17" xr3:uid="{36F19CA6-40A5-4460-858C-3CC1C0B0CB44}" name="שיעור מסך אפיק ההשקעה (רגל 2)" dataDxfId="251"/>
    <tableColumn id="18" xr3:uid="{04B8D605-4596-4340-921C-87725DE24090}" name="שווי הוגן (נטו  באלפי ש&quot;ח)" dataDxfId="250"/>
    <tableColumn id="19" xr3:uid="{7B69267B-4B8C-4235-B72B-F25380DE4E6E}" name="ישראל/חו&quot;ל" dataDxfId="249"/>
    <tableColumn id="20" xr3:uid="{8DC38F81-B852-4D4C-8B97-DC5915E4E164}" name="מדינה לפי חשיפה כלכלית" dataDxfId="248"/>
    <tableColumn id="21" xr3:uid="{220A3632-6D2B-4CAE-B590-E967C7B7CA02}" name="סוג הנכס" dataDxfId="247"/>
    <tableColumn id="22" xr3:uid="{B9B29307-9085-4296-83BA-CED2C3B5D470}" name="פקטור מוביל" dataDxfId="246"/>
    <tableColumn id="23" xr3:uid="{C3A12D96-CB9C-4FFC-895E-419D3503BB70}" name="פקטור נוסף" dataDxfId="245"/>
    <tableColumn id="24" xr3:uid="{A6EEB551-1FF2-4E05-B3D1-D0B92D2AB0C6}" name="טיקר" dataDxfId="244"/>
    <tableColumn id="25" xr3:uid="{B0CE63FB-4FEB-4FBC-8274-181CC52F5DB9}" name="בעל עניין/צד קשור" dataDxfId="243"/>
    <tableColumn id="26" xr3:uid="{D800893E-9191-482F-8B5B-9171C46B30A2}" name="מועד ההתקשרות בעסקה" dataDxfId="242"/>
    <tableColumn id="27" xr3:uid="{D750C298-39F6-4C64-832D-C798D78A2C51}" name="מועד סיום חוזי" dataDxfId="241"/>
    <tableColumn id="28" xr3:uid="{670F7EF3-D46A-461A-9144-1CB4804EC22D}" name="תדירות Reset" dataDxfId="240"/>
    <tableColumn id="29" xr3:uid="{0F0995CE-0A68-4FC3-AF95-528B0026760B}" name="סוג הסליקה" dataDxfId="239"/>
    <tableColumn id="30" xr3:uid="{8B3475A3-36C9-41DE-8E68-20849CD554A5}" name="נספח התחשבנות בטחונות - CSA" dataDxfId="238"/>
    <tableColumn id="31" xr3:uid="{04388FFC-461F-4B1D-8127-CFCD00255547}" name="גורם מצטט" dataDxfId="237"/>
    <tableColumn id="32" xr3:uid="{2DA5F460-B60A-4A11-9764-48D9A2260856}" name="ריבית עוגן" dataDxfId="236"/>
    <tableColumn id="33" xr3:uid="{3E354128-350C-4AFB-BD91-68A0ACACFF22}" name="תקופת ריבית עוגן" dataDxfId="235"/>
    <tableColumn id="34" xr3:uid="{3B89A9EB-08A1-47A5-8407-6890FD78FCD5}" name="שיעור ריבית עוגן" dataDxfId="234"/>
    <tableColumn id="35" xr3:uid="{4137AC1D-2DC6-4000-AD32-F278E413F6AC}" name="שער נכס הבסיס במועד ההתקשרות בעסקה" dataDxfId="233"/>
    <tableColumn id="36" xr3:uid="{F53D69C1-9014-4CB5-9816-B64FCBA473A8}" name="שער הנגזר במועד ההתקשרות בעסקה" dataDxfId="232"/>
    <tableColumn id="37" xr3:uid="{726355CD-9CC1-4B10-8500-E79C9CB01CE2}" name="האם קיים קנס בגין יציאה מוקדמת" dataDxfId="231"/>
    <tableColumn id="38" xr3:uid="{7D728274-4B33-4FC1-9DD8-596972019526}" name="שיעור הקנס בגין יציאה מוקדמת" dataDxfId="230"/>
    <tableColumn id="39" xr3:uid="{EC73574E-DF9F-428E-B7DF-0E9DE66325CE}" name="צד נגדי - Counterparty" dataDxfId="229"/>
    <tableColumn id="40" xr3:uid="{8234648F-2B3A-4E99-B1CE-FA7341C41888}" name="שיעור מנכסי אפיק ההשקעה" dataDxfId="228"/>
    <tableColumn id="41" xr3:uid="{CF6B006B-58B3-4313-AB2E-87231EF1453C}" name="שיעור מסך נכסי ההשקעה" dataDxfId="227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99F1D8B-CE1C-400E-97AD-16FA26876725}" name="TitleRegion1.a1.ba33.1" displayName="TitleRegion1.a1.ba33.1" ref="A1:BA33" totalsRowShown="0" headerRowDxfId="168" dataDxfId="169" headerRowBorderDxfId="223" tableBorderDxfId="224">
  <autoFilter ref="A1:BA33" xr:uid="{00000000-0001-0000-1700-0000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</autoFilter>
  <tableColumns count="53">
    <tableColumn id="1" xr3:uid="{F60EA4C9-3BA0-4E39-978F-B68630C7B1A6}" name="מספר קופה/קרן/ח.פ. עבור חברת ביטוח" dataDxfId="222"/>
    <tableColumn id="2" xr3:uid="{72A01634-061C-4347-8E19-B4AE7A0DB3BA}" name="מספר מסלול" dataDxfId="221"/>
    <tableColumn id="3" xr3:uid="{C19E4663-DDDA-400F-8A3A-1152ED2A5B43}" name="מספר מזהה לווה" dataDxfId="220"/>
    <tableColumn id="4" xr3:uid="{5A5E0138-95F4-4D3D-8BE1-84905C957B45}" name="סוג מספר מזהה לווה" dataDxfId="219"/>
    <tableColumn id="5" xr3:uid="{355B9C86-743F-4358-B8C2-41FDB0D21DC7}" name="שם הלוואה" dataDxfId="218"/>
    <tableColumn id="6" xr3:uid="{4B7F18AC-CC18-4698-AED9-A7884F855C72}" name="מספר הלוואה" dataDxfId="217"/>
    <tableColumn id="7" xr3:uid="{93098046-2C58-42A3-BF69-5BBC6E0319BD}" name="מאפיין עיקרי" dataDxfId="216"/>
    <tableColumn id="8" xr3:uid="{E217B90E-4BA6-47A1-A602-D3B99CCD0C96}" name="מאפיין הלוואות מתואמות עבור זכויות מקרקעין" dataDxfId="215"/>
    <tableColumn id="9" xr3:uid="{D2335AC5-BCA6-45B0-BCAB-D07BBAB0510E}" name="ישראל/חו&quot;ל" dataDxfId="214"/>
    <tableColumn id="10" xr3:uid="{B0586B64-3823-474F-8DA0-64AB4977BE75}" name="מדינה לפי חשיפה כלכלית" dataDxfId="213"/>
    <tableColumn id="11" xr3:uid="{81E8AF04-2A25-4C78-B537-966583901750}" name="ענף מסחר" dataDxfId="212"/>
    <tableColumn id="12" xr3:uid="{3F248C59-F328-4DD4-8F74-7DBA98468F5E}" name="בעל עניין/צד קשור" dataDxfId="211"/>
    <tableColumn id="13" xr3:uid="{939DB23E-2E1A-4550-BFA9-23C9C09BA393}" name="קונסורציום/ סינדיקציה" dataDxfId="210"/>
    <tableColumn id="14" xr3:uid="{BD779675-3B68-4191-BB2A-7AFE82D8F671}" name="מספר קונסורציום/ סינדיקציה" dataDxfId="209"/>
    <tableColumn id="15" xr3:uid="{C446F074-6059-4E78-BBEA-2A791154F812}" name="תאריך העמדת הלוואה" dataDxfId="208"/>
    <tableColumn id="16" xr3:uid="{140B9913-A54F-43D0-A2A9-DFC906A86702}" name="דירוג" dataDxfId="207"/>
    <tableColumn id="17" xr3:uid="{180967BB-00B0-48D0-A16C-69006A08AAEA}" name="שם מדרג" dataDxfId="206"/>
    <tableColumn id="18" xr3:uid="{2F10A136-2F3A-443E-ADD1-FD372C98008D}" name="דירוג הלוואה/המנפיק" dataDxfId="205"/>
    <tableColumn id="19" xr3:uid="{DD845E45-1269-4B0E-BF58-A108461B8A74}" name="מטבע פעילות" dataDxfId="204"/>
    <tableColumn id="20" xr3:uid="{C270309F-2DA9-482E-9538-E466940CA4C4}" name="מח&quot;מ" dataDxfId="203"/>
    <tableColumn id="21" xr3:uid="{DE59D5D5-5057-463A-A4B6-117CC7F2BEEB}" name="סוג הריבית" dataDxfId="202"/>
    <tableColumn id="22" xr3:uid="{A33690AA-A092-4FCC-86E8-77BAA3E1E469}" name="שיעור ריבית" dataDxfId="201"/>
    <tableColumn id="23" xr3:uid="{A034FBB2-7E25-49AF-8F42-A32802F862D3}" name="סוג הצמדה" dataDxfId="200"/>
    <tableColumn id="24" xr3:uid="{0BCDE4EB-D72D-48C7-988B-729D21A8FD65}" name="ריבית עוגן" dataDxfId="199"/>
    <tableColumn id="25" xr3:uid="{F4858455-B6F5-4D3B-8F44-F0479771DA12}" name="שיעור תוספת/הפחתה לריבית העוגן" dataDxfId="198"/>
    <tableColumn id="26" xr3:uid="{F4E967AD-216B-4891-AD13-ABA76186B278}" name="תשואה לפדיון" dataDxfId="197"/>
    <tableColumn id="27" xr3:uid="{450129F1-EDB7-421C-AC19-829BCC47E78D}" name="מועד פדיון" dataDxfId="196"/>
    <tableColumn id="28" xr3:uid="{299B07F0-C601-48AB-B07C-43D6CD5A7ACA}" name="נחיתות חוזית" dataDxfId="195"/>
    <tableColumn id="29" xr3:uid="{84D03601-C8E1-4604-96EB-0AF2EA34A689}" name="סוג בטוחה" dataDxfId="194"/>
    <tableColumn id="30" xr3:uid="{0E571DE7-ECE5-44FA-A0C5-467A077027B5}" name="שווי הבטוחות העומדות כנגד ההלוואה" dataDxfId="193"/>
    <tableColumn id="31" xr3:uid="{4697C897-435C-408B-8C3A-E9335523BCD5}" name="שיעור הבטוחות מהחוב" dataDxfId="192"/>
    <tableColumn id="32" xr3:uid="{B3DEE174-4541-4F5C-9E19-C6DDD06A63B1}" name="מועד עדכון אחרון לשווי הבטוחות" dataDxfId="191"/>
    <tableColumn id="33" xr3:uid="{3F2CDAB9-2874-419C-89DF-2555CE65BAD1}" name="זכות חזרה" dataDxfId="190"/>
    <tableColumn id="34" xr3:uid="{68A3A7D7-520E-4F2A-8A61-B0AAB5C842C6}" name="מבנה לוח סילוקין" dataDxfId="189"/>
    <tableColumn id="35" xr3:uid="{29557ED9-62A0-45C1-9E2E-A5B3FC827ABB}" name="יעוד הלוואה" dataDxfId="188"/>
    <tableColumn id="36" xr3:uid="{9669BE05-5D3E-457C-8744-5094BCF69E28}" name="זכות פירעון מוקדם" dataDxfId="187"/>
    <tableColumn id="37" xr3:uid="{81D54B9F-6FCA-44A1-BAAE-31A3000A946A}" name="סוג גורם משערך" dataDxfId="186"/>
    <tableColumn id="38" xr3:uid="{8E6F7BD4-5FF0-4A2B-96AE-7C963FF25551}" name="שם גורם משערך" dataDxfId="185"/>
    <tableColumn id="39" xr3:uid="{26F3715C-346D-4436-800D-FFBB16D4A52A}" name="תלות/אי-תלות המשערך" dataDxfId="184"/>
    <tableColumn id="40" xr3:uid="{E62DDFB8-6D59-44D4-9A7D-7E640E4475E6}" name="תאריך שערוך אחרון" dataDxfId="183"/>
    <tableColumn id="41" xr3:uid="{E61CE901-EB30-4E08-86FB-F9A8D6C58409}" name="תאריך אחרון בו נבחנה בפועל ירידת ערך" dataDxfId="182"/>
    <tableColumn id="42" xr3:uid="{43C31807-F270-4C62-9CAD-D8268D851580}" name="שיעור ריבית בגין אי-ניצול מסגרת האשראי" dataDxfId="181"/>
    <tableColumn id="43" xr3:uid="{0C50C998-04B0-476E-A224-12584F949C07}" name="ערך נקוב" dataDxfId="180"/>
    <tableColumn id="44" xr3:uid="{DAC3D4DF-FF60-4F05-8B4B-2ED8ED43CA34}" name="שער הלוואה" dataDxfId="179"/>
    <tableColumn id="45" xr3:uid="{82BC8A5A-FBCD-4DBA-8FD0-8A2B05E15576}" name="שער חליפין" dataDxfId="178"/>
    <tableColumn id="46" xr3:uid="{15A7D1B2-2C6A-4294-940B-B59D71BF0FD4}" name="שווי הוגן (באלפי ש&quot;ח)" dataDxfId="177"/>
    <tableColumn id="47" xr3:uid="{0577EC91-ED42-4B01-A4F7-AECE24B02DE2}" name="שווי הוגן (במטבע הפעילות)" dataDxfId="176"/>
    <tableColumn id="48" xr3:uid="{AB291BFA-47E9-4013-8D3A-791CDED9E4DA}" name="עלות מופחתת (באלפי ש&quot;ח)" dataDxfId="175"/>
    <tableColumn id="49" xr3:uid="{4465DFA2-4C04-4DD2-B574-C98C17D00999}" name="עלות מופחתת (במטבע הפעילות)" dataDxfId="174"/>
    <tableColumn id="50" xr3:uid="{EBA34337-C53E-421B-969C-D153EA847D45}" name="האם סווג כחוב בעייתי" dataDxfId="173"/>
    <tableColumn id="51" xr3:uid="{0D4CF9A6-DA34-45CF-9D3E-38506A58C32B}" name="השיטה שיושמה בדוח הכספי" dataDxfId="172"/>
    <tableColumn id="52" xr3:uid="{C4544A41-9FFC-4ADB-A1B3-73AF452A5B8F}" name="שיעור מנכסי אפיק ההשקעה" dataDxfId="171"/>
    <tableColumn id="53" xr3:uid="{BCECF9D9-FB20-4529-A4D0-44CBAA36805E}" name="שיעור מסך נכסי ההשקעה" dataDxfId="170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6E9D280-9ED8-4EB6-8CFE-5D2B4C23B2E1}" name="TitleRegion1.a1.ad2.1" displayName="TitleRegion1.a1.ad2.1" ref="A1:AD2" totalsRowShown="0" headerRowDxfId="134" dataDxfId="135" headerRowBorderDxfId="166" tableBorderDxfId="167">
  <autoFilter ref="A1:AD2" xr:uid="{E6E9D280-9ED8-4EB6-8CFE-5D2B4C23B2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7ADCC723-FA6D-4F79-8A5A-43840FADA735}" name="מספר קופה/קרן/ח.פ. עבור חברת ביטוח" dataDxfId="165"/>
    <tableColumn id="2" xr3:uid="{1416AFAF-0F44-4064-9341-DED76593B995}" name="מספר מסלול" dataDxfId="164"/>
    <tableColumn id="3" xr3:uid="{DBE50444-1298-4930-A035-5AC8E96E6EE9}" name="שם מנפיק" dataDxfId="163"/>
    <tableColumn id="4" xr3:uid="{782E9878-1A98-49EA-AB7F-FDD2EEE816D9}" name="מספר מנפיק" dataDxfId="162"/>
    <tableColumn id="5" xr3:uid="{F2532EC6-5AC0-41A3-A8EC-68401729C526}" name="סוג מספר מזהה מנפיק" dataDxfId="161"/>
    <tableColumn id="6" xr3:uid="{B65AED8F-5D32-4914-828E-674857AD073C}" name="שם נייר ערך" dataDxfId="160"/>
    <tableColumn id="7" xr3:uid="{3AF5E3FB-A004-405E-B786-EEE5E1F1DE69}" name="מספר נייר ערך" dataDxfId="159"/>
    <tableColumn id="8" xr3:uid="{872B02C6-857D-47F6-AC9E-5A71BF940498}" name="סוג מספר נייר ערך" dataDxfId="158"/>
    <tableColumn id="9" xr3:uid="{A1C0E382-508F-4070-99B5-81CA29AA1B12}" name="מאפיין עיקרי" dataDxfId="157"/>
    <tableColumn id="10" xr3:uid="{91190569-63C0-4EA1-A8E0-552D90F41B05}" name="ישראל/חו&quot;ל" dataDxfId="156"/>
    <tableColumn id="11" xr3:uid="{9802BEC8-DADE-4E2A-8CD7-7E9E4CB880D8}" name="מדינה לפי חשיפה כלכלית" dataDxfId="155"/>
    <tableColumn id="12" xr3:uid="{576AC9B0-6AB3-4133-9C1B-DFF46B9B91E4}" name="בעל עניין/צד קשור" dataDxfId="154"/>
    <tableColumn id="13" xr3:uid="{8F4214B0-9BFC-4A60-87D8-8B83F97ABF86}" name="נכס בסיס" dataDxfId="153"/>
    <tableColumn id="14" xr3:uid="{101B1ECD-81B7-44A3-BD34-7470AA7BE7B1}" name="תאריך רכישה" dataDxfId="152"/>
    <tableColumn id="15" xr3:uid="{BF965F88-125E-41D7-9DDE-109E92DD3B95}" name="דירוג" dataDxfId="151"/>
    <tableColumn id="16" xr3:uid="{0E7355D2-3CB1-499A-9874-8A002082BFF6}" name="שם מדרג" dataDxfId="150"/>
    <tableColumn id="17" xr3:uid="{A26BB18F-46E7-4AB5-AC2D-B0E08041AF58}" name="דירוג נייר הערך/המנפיק" dataDxfId="149"/>
    <tableColumn id="18" xr3:uid="{4F94386C-128A-49CB-A3E3-40DD6CAB8808}" name="מטבע פעילות" dataDxfId="148"/>
    <tableColumn id="19" xr3:uid="{68343F7A-2203-4C87-81C9-BC20A3B9BEB5}" name="מח&quot;מ" dataDxfId="147"/>
    <tableColumn id="20" xr3:uid="{0CB9C3D2-26C5-4BDA-BC24-09D39DED4FE6}" name="שיעור ריבית" dataDxfId="146"/>
    <tableColumn id="21" xr3:uid="{70042F9A-FE51-4189-8787-ABA3D6C6368B}" name="תשואה לפדיון" dataDxfId="145"/>
    <tableColumn id="22" xr3:uid="{247BCA5A-3551-4F2F-AE66-1BE9541520A1}" name="סוג גורם משערך" dataDxfId="144"/>
    <tableColumn id="23" xr3:uid="{2338E24A-6F6F-4CE1-9D8B-8CF37D3513C7}" name="תלות/אי-תלות המשערך" dataDxfId="143"/>
    <tableColumn id="24" xr3:uid="{66F763BB-6F99-4582-8ED0-FD0E7E41C260}" name="תאריך שערוך אחרון" dataDxfId="142"/>
    <tableColumn id="25" xr3:uid="{E743B12D-2989-431E-80A3-7AF6D071CF61}" name="ערך נקוב (יחידות)" dataDxfId="141"/>
    <tableColumn id="26" xr3:uid="{01F5D901-5D3C-430A-B7DF-1C7F26D42243}" name="שער חליפין" dataDxfId="140"/>
    <tableColumn id="27" xr3:uid="{D2F1F778-F008-48C8-858B-0315040BC37B}" name="שער נייר הערך" dataDxfId="139"/>
    <tableColumn id="28" xr3:uid="{700A7196-EBFD-4844-BF03-26F5D3F1B660}" name="שווי הוגן (באלפי ש&quot;ח)" dataDxfId="138"/>
    <tableColumn id="29" xr3:uid="{0E94EDD6-6280-44F6-8386-168A762CDBCB}" name="שיעור מנכסי אפיק ההשקעה" dataDxfId="137"/>
    <tableColumn id="30" xr3:uid="{9EA21E59-AF41-465D-AFE0-1EB35D3ADF92}" name="שיעור מסך נכסי ההשקעה" dataDxfId="136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05ADC88-2FE3-421D-9332-0E0AA286F5D7}" name="TitleRegion1.a1.v2.1" displayName="TitleRegion1.a1.v2.1" ref="A1:V2" totalsRowShown="0" headerRowDxfId="115" headerRowBorderDxfId="132" tableBorderDxfId="133">
  <autoFilter ref="A1:V2" xr:uid="{305ADC88-2FE3-421D-9332-0E0AA286F5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D6023C9D-BFBB-4158-8A78-10739287EA34}" name="מספר קופה/קרן/ח.פ. עבור חברת ביטוח" dataDxfId="131"/>
    <tableColumn id="2" xr3:uid="{B12438FC-A617-44AC-8631-98FE0E997C7C}" name="מספר מסלול" dataDxfId="130"/>
    <tableColumn id="3" xr3:uid="{3F3532B9-0CA6-43A8-9E2C-7A4780E414DF}" name="שם הבנק" dataDxfId="129"/>
    <tableColumn id="4" xr3:uid="{B604F3D5-312C-4C35-BA61-F0C35E2D4DD1}" name="מספר מזהה בנק" dataDxfId="128"/>
    <tableColumn id="5" xr3:uid="{EFD40AFB-F9F8-4F25-868B-595EA708FD49}" name="סוג מספר מזהה בנק" dataDxfId="127"/>
    <tableColumn id="6" xr3:uid="{A9E281DB-3C6E-42B2-B073-6F6596E76B48}" name="מאפיין עיקרי" dataDxfId="126"/>
    <tableColumn id="7" xr3:uid="{2FA8BBAE-E323-48F2-98F7-EA8B09E843C0}" name="תאריך פקיעת פיקדון" dataDxfId="125"/>
    <tableColumn id="8" xr3:uid="{8521089D-09BA-4081-807B-755E38675ACE}" name="ישראל/חו&quot;ל" dataDxfId="124"/>
    <tableColumn id="9" xr3:uid="{4B2BBA6C-B6C2-4366-A4D4-02C62891774D}" name="מדינה לפי חשיפה כלכלית" dataDxfId="123"/>
    <tableColumn id="10" xr3:uid="{3E300F5B-56DC-42E6-B17B-00929F4710DA}" name="בעל עניין/צד קשור" dataDxfId="122"/>
    <tableColumn id="11" xr3:uid="{52E0053F-E115-42A3-A2CE-FE59843B0850}" name="דירוג הבנק" dataDxfId="121"/>
    <tableColumn id="12" xr3:uid="{67520DBD-3FA1-43B6-8BC7-23D91E64DDA2}" name="שם מדרג" dataDxfId="120"/>
    <tableColumn id="13" xr3:uid="{329762CB-2542-4CFB-9DB0-02E09D696FD0}" name="מטבע פעילות" dataDxfId="119"/>
    <tableColumn id="14" xr3:uid="{BC081A53-273E-4E1A-92B7-D7011D09C304}" name="מח&quot;מ" dataDxfId="114"/>
    <tableColumn id="15" xr3:uid="{6D5BFD1C-D67C-4E3E-9B5E-91A8B2A55C1F}" name="שיעור ריבית" dataDxfId="112"/>
    <tableColumn id="16" xr3:uid="{DBE70A9F-D9DE-4B02-BFF0-ABEFD78EA1F8}" name="תשואה לפדיון" dataDxfId="113"/>
    <tableColumn id="17" xr3:uid="{F3E73E68-8FFB-41C7-8748-F9B00A908103}" name="שווי מטבעי" dataDxfId="118"/>
    <tableColumn id="18" xr3:uid="{7010B047-6E11-4FB7-A545-356B97BF64BB}" name="שער חליפין" dataDxfId="111"/>
    <tableColumn id="19" xr3:uid="{8FB260AA-692C-4B11-B1A4-01B85B4835B0}" name="שער פיקדון" dataDxfId="109"/>
    <tableColumn id="20" xr3:uid="{13D9D5BF-CF59-4C61-BDCF-491FD507EA8C}" name="שווי הוגן (באלפי ש&quot;ח)" dataDxfId="110"/>
    <tableColumn id="21" xr3:uid="{C5ED304A-9A40-44D8-89BE-BEA6CB5DB222}" name="שיעור מנכסי אפיק ההשקעה" dataDxfId="117"/>
    <tableColumn id="22" xr3:uid="{F99BD9EE-1FEA-4879-AF4F-228100F3BEEA}" name="שיעור מסך נכסי ההשקעה" dataDxfId="116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4709D69-98D0-4395-9BDA-F7D42A668F9B}" name="TitleRegion1.a1.x4.1" displayName="TitleRegion1.a1.x4.1" ref="A1:X4" totalsRowShown="0" headerRowDxfId="83" headerRowBorderDxfId="107" tableBorderDxfId="108">
  <autoFilter ref="A1:X4" xr:uid="{94709D69-98D0-4395-9BDA-F7D42A668F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9F43810E-DCC8-4694-AFEE-64A2AA8AEE71}" name="מספר קופה/קרן/ח.פ. עבור חברת ביטוח" dataDxfId="106"/>
    <tableColumn id="2" xr3:uid="{A6CC878B-B4D9-436F-AFB6-FEDC32F7C94D}" name="מספר מסלול" dataDxfId="105"/>
    <tableColumn id="3" xr3:uid="{29E5A06A-D074-4DDD-B134-E80899915EFB}" name="שם הנכס" dataDxfId="104"/>
    <tableColumn id="4" xr3:uid="{491B1BC7-4CF5-451F-BE73-B65A6943472D}" name="מאפיין עיקרי" dataDxfId="103"/>
    <tableColumn id="5" xr3:uid="{4C316DED-BDC2-42F9-83B4-EABE4A53FC97}" name="מדינת מיקום נדל&quot;ן" dataDxfId="102"/>
    <tableColumn id="6" xr3:uid="{97EF1DBA-9C45-45AF-8214-6429478D45C0}" name="בעל עניין/צד קשור" dataDxfId="101"/>
    <tableColumn id="7" xr3:uid="{A61B1637-DC25-4560-8454-8F4E5BDE16DD}" name="תאריך רכישה" dataDxfId="100"/>
    <tableColumn id="8" xr3:uid="{8F40C8E3-F062-46A9-98CA-EF6B2AE39F03}" name="שימוש עיקרי בנכס" dataDxfId="99"/>
    <tableColumn id="9" xr3:uid="{A4E158FF-0D10-449E-99DF-9342B12AAC7F}" name="מחזור חיי הנכס" dataDxfId="98"/>
    <tableColumn id="10" xr3:uid="{BDF6AD58-357E-448A-B994-F0CABEC4A01B}" name="כתובת הנכס" dataDxfId="97"/>
    <tableColumn id="11" xr3:uid="{65815D68-751E-4029-AAFA-BC5D840C1AE5}" name="שיעור תשואה בפועל במהלך הרבעון" dataDxfId="96"/>
    <tableColumn id="12" xr3:uid="{0391F39F-C1E9-42C4-A30B-466D40401E2E}" name="השיטה שבאמצעותה נקבע שווי הנכס" dataDxfId="95"/>
    <tableColumn id="13" xr3:uid="{920B90A7-9879-4ECF-B987-2A1E7959D317}" name="סוג גורם משערך" dataDxfId="94"/>
    <tableColumn id="14" xr3:uid="{FABAE23F-0CB5-47E5-B9BC-D2EC43E19082}" name="שם גורם משערך" dataDxfId="93"/>
    <tableColumn id="15" xr3:uid="{662B7206-6A0F-46E4-9FD3-B2384920F129}" name="תלות/אי-תלות המשערך" dataDxfId="92"/>
    <tableColumn id="16" xr3:uid="{536A1252-6237-4464-AA52-3A72BE991F05}" name="תאריך שערוך אחרון"/>
    <tableColumn id="17" xr3:uid="{5B71DA32-E8C6-4D14-B55A-1745E5449FBA}" name="מטבע פעילות" dataDxfId="91"/>
    <tableColumn id="18" xr3:uid="{C6C847B3-8F74-4FB3-A0A2-160BC58159DD}" name="שווי הוגן (במטבע הפעילות)" dataDxfId="90"/>
    <tableColumn id="19" xr3:uid="{3085D64F-04A2-4B8A-8C47-185D8923E9B2}" name="שווי הוגן (באלפי ש&quot;ח)" dataDxfId="89"/>
    <tableColumn id="20" xr3:uid="{C40171FE-C7B5-49AD-AA97-D46C8B58A962}" name="עלות מופחתת (באלפי ש&quot;ח)" dataDxfId="88"/>
    <tableColumn id="21" xr3:uid="{EEB5FFD3-F724-43B0-8AEC-5184FF37F9B1}" name="עלות מופחתת (במטבע הפעילות)" dataDxfId="87"/>
    <tableColumn id="22" xr3:uid="{26937D91-DAAC-41E5-86F9-F5BF76DAFF48}" name="השיטה שיושמה בדוח הכספי" dataDxfId="86"/>
    <tableColumn id="23" xr3:uid="{E151089E-232D-457C-9807-1FD609507949}" name="שיעור מנכסי אפיק ההשקעה" dataDxfId="85"/>
    <tableColumn id="24" xr3:uid="{A3840B15-C980-4E8C-B8C0-AE7148D6DDC9}" name="שיעור מסך נכסי ההשקעה" dataDxfId="84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F22F66B-3E8F-4A3A-BD83-48D556B45564}" name="TitleRegion1.a1.r5.1" displayName="TitleRegion1.a1.r5.1" ref="A1:R5" totalsRowShown="0" headerRowDxfId="62" headerRowBorderDxfId="81" tableBorderDxfId="82">
  <autoFilter ref="A1:R5" xr:uid="{5F22F66B-3E8F-4A3A-BD83-48D556B455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6AE3A104-85EA-40A5-B35E-EF0618BBFEDC}" name="מספר קופה/קרן/ח.פ. עבור חברת ביטוח" dataDxfId="80"/>
    <tableColumn id="2" xr3:uid="{DC44545A-0E11-43B7-86A5-F6E7F3DBF387}" name="מספר מסלול" dataDxfId="79"/>
    <tableColumn id="3" xr3:uid="{8D4B0436-1368-4AF1-88C3-7E9FD14508D2}" name="שם הנכס האחר" dataDxfId="78"/>
    <tableColumn id="4" xr3:uid="{C7BC1DBA-80F3-4BED-BB0A-10B38776E122}" name="מספר הנכס האחר" dataDxfId="77"/>
    <tableColumn id="5" xr3:uid="{9DD4DFE6-412A-472A-9325-BCD715A4CDEA}" name="מאפיין עיקרי" dataDxfId="76"/>
    <tableColumn id="6" xr3:uid="{447DE506-88BB-4572-8834-38B71DC7E8B3}" name="ישראל/חו&quot;ל" dataDxfId="75"/>
    <tableColumn id="7" xr3:uid="{7E9B0D04-2802-4403-BE9E-5CFFF8F2E565}" name="מדינה לפי חשיפה כלכלית" dataDxfId="74"/>
    <tableColumn id="8" xr3:uid="{7D8909A5-AF8D-4664-A0A9-1CEF80DCB85A}" name="בעל עניין/צד קשור" dataDxfId="73"/>
    <tableColumn id="9" xr3:uid="{6A812486-BF81-4EA1-B070-6084E561FBD6}" name="תאריך עסקה" dataDxfId="72"/>
    <tableColumn id="10" xr3:uid="{9B1DF308-B26A-404F-95D6-2641AF3F4C55}" name="מטבע פעילות" dataDxfId="71"/>
    <tableColumn id="11" xr3:uid="{276BF799-6AC8-44F1-9DA0-116D9264F257}" name="תאריך שערוך אחרון" dataDxfId="70"/>
    <tableColumn id="12" xr3:uid="{529A295F-7167-423F-BD0B-8AC31DA4D617}" name="שווי מטבעי" dataDxfId="69"/>
    <tableColumn id="13" xr3:uid="{8C5BC759-AEE9-41AF-9270-42813B2E7FE8}" name="שער חליפין" dataDxfId="68"/>
    <tableColumn id="14" xr3:uid="{04E8445E-85D7-4784-9981-9A068A19B595}" name="שווי הוגן (באלפי ש&quot;ח)" dataDxfId="67"/>
    <tableColumn id="15" xr3:uid="{E89F9C77-8AF4-467A-A215-27FA196A1053}" name="עלות מופחתת (באלפי ש&quot;ח)" dataDxfId="66"/>
    <tableColumn id="16" xr3:uid="{9D6E025A-B5C6-4C88-A63D-A6613689E61D}" name="השיטה שיושמה בדוח הכספי" dataDxfId="65"/>
    <tableColumn id="17" xr3:uid="{16D9D434-8272-4294-91D7-6C4F8383616F}" name="שיעור מנכסי אפיק ההשקעה" dataDxfId="64"/>
    <tableColumn id="18" xr3:uid="{61AE4BD2-F568-41F4-B70A-32F78D4C6DA5}" name="שיעור מסך נכסי ההשקעה" dataDxfId="63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6C3ED85-B1B9-4AC5-8B06-335F7089EAF6}" name="TitleRegion1.a1.t8.1" displayName="TitleRegion1.a1.t8.1" ref="A1:T8" totalsRowShown="0" headerRowDxfId="41" headerRowBorderDxfId="60" tableBorderDxfId="61">
  <autoFilter ref="A1:T8" xr:uid="{C6C3ED85-B1B9-4AC5-8B06-335F7089EA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CFF9A2F6-F2DE-486F-B889-DDD79DC28B4B}" name="מספר קופה/קרן/ח.פ. עבור חברת ביטוח" dataDxfId="59" dataCellStyle="Normal 2"/>
    <tableColumn id="2" xr3:uid="{CA122D40-9AD2-4929-981A-615A7F4522E1}" name="מספר מסלול" dataDxfId="58"/>
    <tableColumn id="3" xr3:uid="{F18A4690-0A12-4C7D-8CC0-7A7D73BC2BBF}" name="מספר מזהה לווה" dataDxfId="57"/>
    <tableColumn id="4" xr3:uid="{0EF42F40-B7A8-4947-ABB1-6C065F895F58}" name="סוג מספר מזהה לווה" dataDxfId="56"/>
    <tableColumn id="5" xr3:uid="{05FFF348-41FF-4284-9311-AE06A59FB186}" name="שם הלוואה" dataDxfId="55" dataCellStyle="Normal 2"/>
    <tableColumn id="6" xr3:uid="{6D5F2091-9ACE-46CB-B38B-6D5045AD0123}" name="מספר הלוואה" dataDxfId="54"/>
    <tableColumn id="7" xr3:uid="{1D16BD7E-B921-48FF-AF11-8E0628F240AE}" name="תאריך העמדת מסגרת אשראי" dataDxfId="53"/>
    <tableColumn id="8" xr3:uid="{BCE2E517-0770-43C2-A9F8-C87E4439B1FB}" name="ישראל/חו&quot;ל" dataDxfId="52"/>
    <tableColumn id="9" xr3:uid="{C0E54375-6B2F-4E94-B436-2C99C71AF09E}" name="מדינה לפי חשיפה כלכלית" dataDxfId="51"/>
    <tableColumn id="10" xr3:uid="{80F2505C-5D90-496B-92B1-77D1CDCC2E08}" name="בעל עניין/צד קשור" dataDxfId="50"/>
    <tableColumn id="11" xr3:uid="{1F7CBCD4-B3DC-46B4-B5CB-BA87218DF61A}" name="דירוג" dataDxfId="49"/>
    <tableColumn id="12" xr3:uid="{8618E15E-6964-4FA9-A41B-16B66959D3D0}" name="שם מדרג" dataDxfId="48"/>
    <tableColumn id="13" xr3:uid="{FDA98900-5364-4825-98B8-0FD6330C86A0}" name="דירוג הלוואה/המנפיק" dataDxfId="47"/>
    <tableColumn id="14" xr3:uid="{B956A74F-271B-43CB-BE01-3BF94C036348}" name="מטבע פעילות" dataDxfId="46"/>
    <tableColumn id="15" xr3:uid="{EB770477-E718-4749-9667-F11BCFFF9D55}" name="שער חליפין" dataDxfId="45"/>
    <tableColumn id="16" xr3:uid="{D2E44CEB-E1D7-4715-A1B4-C2CD9B87689B}" name="שיעור ריבית"/>
    <tableColumn id="17" xr3:uid="{4733C974-81E2-41C4-9B6D-48A58B14AFC4}" name="סוג הריבית" dataDxfId="44"/>
    <tableColumn id="18" xr3:uid="{8796AFDE-4AE9-42E4-B87B-FBBA80CD41D4}" name="סכום מסגרת האשראי הראשוני (במטבע הפעילות)" dataDxfId="43" dataCellStyle="Comma"/>
    <tableColumn id="19" xr3:uid="{48771BF2-466F-4E43-9F26-C9A441EF7C25}" name="סכום מסגרת האשראי הראשוני (באלפי ש&quot;ח)" dataDxfId="42" dataCellStyle="Comma"/>
    <tableColumn id="20" xr3:uid="{B4BC401E-C824-4856-936D-3B1AE0531C05}" name="שיעור יתרת מסגרת אשראי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42CD743-F6B7-4278-AE9B-DF2CEA4A81DF}" name="TitleRegion1.a1.q46.1" displayName="TitleRegion1.a1.q46.1" ref="A1:Q46" totalsRowShown="0" headerRowDxfId="22" dataDxfId="23">
  <autoFilter ref="A1:Q46" xr:uid="{D42CD743-F6B7-4278-AE9B-DF2CEA4A81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359A6357-880E-4300-B707-85DFDAB57B9F}" name="מספר קופה/קרן/ח.פ. עבור חברת ביטוח" dataDxfId="40"/>
    <tableColumn id="2" xr3:uid="{A1A4E301-0BEC-4D83-B715-8A5F816EEFC6}" name="מספר מסלול" dataDxfId="39"/>
    <tableColumn id="3" xr3:uid="{1C9B9648-B1DE-4DBC-A13F-EFF7826AB2BE}" name="מאפיין עיקרי" dataDxfId="38"/>
    <tableColumn id="4" xr3:uid="{EB8AF66E-F4E1-47DD-AC1E-4366CE28433C}" name="שם שותף כללי קרן השקעות" dataDxfId="37"/>
    <tableColumn id="5" xr3:uid="{120C54F0-07EC-4D7B-979A-A96150AE38D3}" name="מספר מזהה שותף כללי קרן השקעות" dataDxfId="36"/>
    <tableColumn id="6" xr3:uid="{B2E69679-21A7-4ECB-A104-7BDD7E66636E}" name="סוג מספר מזהה שותף כללי קרן השקעות" dataDxfId="35"/>
    <tableColumn id="7" xr3:uid="{82111DD5-A1F2-422A-B9FF-3340287968D2}" name="שם קרן ההשקעה" dataDxfId="34" dataCellStyle="Comma 6"/>
    <tableColumn id="8" xr3:uid="{35409DD2-5734-4C83-AB39-C0122162306A}" name="מספר מזהה קרן השקעה" dataDxfId="33"/>
    <tableColumn id="9" xr3:uid="{5BD12FE2-7854-4E9A-982A-075AE34EF140}" name="סוג מספר מזהה קרן השקעות" dataDxfId="32"/>
    <tableColumn id="10" xr3:uid="{F993D89E-FF4F-430D-B836-58AE723A8D57}" name="מטבע הפעילות" dataDxfId="31"/>
    <tableColumn id="11" xr3:uid="{BA18BB12-5DE8-4C54-B314-1A4B0842C7A2}" name="תאריך העמדת התחייבות לקרן השקעה" dataDxfId="30"/>
    <tableColumn id="12" xr3:uid="{8575F6B4-FE89-4845-9A8E-199E48C8290C}" name="סכום המחויבות הראשוני (במטבע הדיווח של קרן ההשקעה)" dataDxfId="29"/>
    <tableColumn id="13" xr3:uid="{ED6E8DF6-A185-4C07-BDB8-642C2BD2FB90}" name="סכום המחויבות הראשוני (באלפי ש&quot;ח)" dataDxfId="28"/>
    <tableColumn id="14" xr3:uid="{A9CBA008-9415-48A4-8AC4-6548DF5A9451}" name="יתרת המחויבות לתקופת הדיווח (במטבע הדיווח של קרן ההשקעה)" dataDxfId="27"/>
    <tableColumn id="15" xr3:uid="{61B0C1C4-86C8-4B9A-B918-802E77A4A829}" name="יתרת המחויבות לתקופת הדיווח (באלפי ש&quot;ח)" dataDxfId="26" dataCellStyle="Comma"/>
    <tableColumn id="16" xr3:uid="{9D326991-DC09-4169-AFC3-5C4F5DE16153}" name="שיעור יתרת המחויבות" dataDxfId="25"/>
    <tableColumn id="17" xr3:uid="{8A9C12B6-D50F-4B20-8244-932103806061}" name="תאריך פקיעת מחויבות להשקעה" dataDxfId="24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6FE1870-80CA-4F05-9F25-6F42C4C04949}" name="TitleRegion1.a1.d1040.1" displayName="TitleRegion1.a1.d1040.1" ref="A1:D1040" totalsRowShown="0" headerRowDxfId="7" headerRowBorderDxfId="12" tableBorderDxfId="13">
  <autoFilter ref="A1:D1040" xr:uid="{00000000-0009-0000-0000-00001F000000}">
    <filterColumn colId="0" hiddenButton="1"/>
    <filterColumn colId="1" hiddenButton="1"/>
    <filterColumn colId="2" hiddenButton="1"/>
    <filterColumn colId="3" hiddenButton="1"/>
  </autoFilter>
  <tableColumns count="4">
    <tableColumn id="1" xr3:uid="{3E875155-38C8-456D-84BD-C24AACBEC453}" name="שם גיליון_x000a_(רלוונטי לגיליונות עם עמודה &quot;מאפיין עיקרי&quot;)" dataDxfId="11"/>
    <tableColumn id="2" xr3:uid="{181320D5-ACCC-40E5-84DB-8B0CC6898164}" name="שם עמודה" dataDxfId="10"/>
    <tableColumn id="3" xr3:uid="{1AEEBE58-0C74-4D5C-A1B7-0B99F4AFE809}" name="אפשרות בחירה" dataDxfId="9"/>
    <tableColumn id="4" xr3:uid="{84C6DEC9-8579-4C9D-BCDA-141CC30FFDAC}" name="הערות והסברים" dataDxfId="8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F21CC3D-04FB-491D-A36C-6E8A1DEB3FE7}" name="TitleRegion1.a1.d795.1" displayName="TitleRegion1.a1.d795.1" ref="A1:D795" totalsRowShown="0" headerRowDxfId="0" dataDxfId="1" tableBorderDxfId="6">
  <autoFilter ref="A1:D795" xr:uid="{00000000-0009-0000-0000-000020000000}">
    <filterColumn colId="0" hiddenButton="1"/>
    <filterColumn colId="1" hiddenButton="1"/>
    <filterColumn colId="2" hiddenButton="1"/>
    <filterColumn colId="3" hiddenButton="1"/>
  </autoFilter>
  <tableColumns count="4">
    <tableColumn id="1" xr3:uid="{F00E277F-A572-4E97-94D4-EBCF27DAA644}" name="שם גיליון" dataDxfId="5"/>
    <tableColumn id="2" xr3:uid="{DD3EB9AE-A469-4F19-88CA-CE5A804FD725}" name="שם סעיף" dataDxfId="4"/>
    <tableColumn id="3" xr3:uid="{29D3C45B-CA05-443C-A2E4-0EE181EBF4EC}" name="מספר סעיף" dataDxfId="3"/>
    <tableColumn id="4" xr3:uid="{55471ABB-4BE0-49AE-A0CD-BCC8323F3869}" name="מידע שניתן לדווח רק לרשות" dataDxfId="2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9"/>
  <sheetViews>
    <sheetView rightToLeft="1" topLeftCell="A12" workbookViewId="0">
      <selection activeCell="G17" sqref="G17"/>
    </sheetView>
  </sheetViews>
  <sheetFormatPr defaultColWidth="8.796875" defaultRowHeight="13.8" x14ac:dyDescent="0.25"/>
  <cols>
    <col min="1" max="1" width="31.19921875" style="1" customWidth="1"/>
    <col min="2" max="2" width="11" style="1" customWidth="1"/>
    <col min="3" max="3" width="67.3984375" style="1" customWidth="1"/>
    <col min="4" max="4" width="34.69921875" style="1" customWidth="1"/>
    <col min="5" max="5" width="25.796875" style="1" customWidth="1"/>
    <col min="6" max="6" width="21.3984375" style="1" customWidth="1"/>
    <col min="7" max="16384" width="8.796875" style="1"/>
  </cols>
  <sheetData>
    <row r="1" spans="1:3" ht="17.399999999999999" x14ac:dyDescent="0.25">
      <c r="A1" s="14" t="s">
        <v>872</v>
      </c>
      <c r="B1" s="15"/>
      <c r="C1" s="15"/>
    </row>
    <row r="3" spans="1:3" x14ac:dyDescent="0.25">
      <c r="A3" s="1" t="s">
        <v>507</v>
      </c>
      <c r="C3" s="63" t="s">
        <v>825</v>
      </c>
    </row>
    <row r="5" spans="1:3" x14ac:dyDescent="0.25">
      <c r="A5" s="1" t="s">
        <v>613</v>
      </c>
      <c r="C5" s="63" t="s">
        <v>615</v>
      </c>
    </row>
    <row r="7" spans="1:3" x14ac:dyDescent="0.25">
      <c r="A7" s="1" t="s">
        <v>601</v>
      </c>
      <c r="C7" s="63" t="s">
        <v>1204</v>
      </c>
    </row>
    <row r="8" spans="1:3" x14ac:dyDescent="0.25">
      <c r="C8" s="23"/>
    </row>
    <row r="9" spans="1:3" x14ac:dyDescent="0.25">
      <c r="A9" s="1" t="s">
        <v>602</v>
      </c>
      <c r="C9" s="63">
        <v>2025</v>
      </c>
    </row>
    <row r="11" spans="1:3" x14ac:dyDescent="0.25">
      <c r="A11" s="1" t="s">
        <v>581</v>
      </c>
      <c r="C11" s="63" t="s">
        <v>820</v>
      </c>
    </row>
    <row r="13" spans="1:3" x14ac:dyDescent="0.25">
      <c r="A13" s="1" t="s">
        <v>509</v>
      </c>
      <c r="C13" s="24">
        <f>IFERROR(VLOOKUP(C11,'File Name Info'!A35:B121,2,0),"תא מחושב")</f>
        <v>514956465</v>
      </c>
    </row>
    <row r="15" spans="1:3" x14ac:dyDescent="0.25">
      <c r="A15" s="7" t="s">
        <v>371</v>
      </c>
      <c r="C15" s="24" t="str">
        <f>IF(C5="לממונה",CONCATENATE(C13, "_",VLOOKUP(C3,Full_Type,2,0),"_",C7,VLOOKUP(C9,Full_Year,2,0),".xlxs"),IF(C5="לציבור",CONCATENATE(C13,"_",VLOOKUP(C3,Full_Type_Nostro,2,0),"_",VLOOKUP(C5,Full_File_Type,2,0),"_",C7,VLOOKUP(C9,Full_Year,2,0),".xlsx"),"שם קובץ לשמירה"))</f>
        <v>514956465_ca_p_Q425.xlsx</v>
      </c>
    </row>
    <row r="16" spans="1:3" x14ac:dyDescent="0.25">
      <c r="A16" s="7"/>
      <c r="C16" s="23"/>
    </row>
    <row r="17" spans="1:3" x14ac:dyDescent="0.25">
      <c r="A17" s="7" t="s">
        <v>437</v>
      </c>
      <c r="B17" s="25" t="s">
        <v>345</v>
      </c>
      <c r="C17" s="64" t="s">
        <v>2745</v>
      </c>
    </row>
    <row r="18" spans="1:3" x14ac:dyDescent="0.25">
      <c r="A18" s="4"/>
      <c r="C18" s="8"/>
    </row>
    <row r="19" spans="1:3" x14ac:dyDescent="0.25">
      <c r="A19" s="4"/>
      <c r="B19" s="25" t="s">
        <v>346</v>
      </c>
      <c r="C19" s="64" t="s">
        <v>1203</v>
      </c>
    </row>
    <row r="20" spans="1:3" x14ac:dyDescent="0.25">
      <c r="A20" s="4"/>
      <c r="C20" s="8"/>
    </row>
    <row r="21" spans="1:3" x14ac:dyDescent="0.25">
      <c r="A21" s="4"/>
      <c r="B21" s="25" t="s">
        <v>347</v>
      </c>
      <c r="C21" s="65" t="s">
        <v>2746</v>
      </c>
    </row>
    <row r="22" spans="1:3" x14ac:dyDescent="0.25">
      <c r="A22" s="4"/>
      <c r="B22" s="5"/>
    </row>
    <row r="23" spans="1:3" x14ac:dyDescent="0.25">
      <c r="A23" s="7" t="s">
        <v>415</v>
      </c>
      <c r="C23" s="1" t="s">
        <v>508</v>
      </c>
    </row>
    <row r="25" spans="1:3" x14ac:dyDescent="0.25">
      <c r="C25" s="26"/>
    </row>
    <row r="28" spans="1:3" ht="14.1" customHeight="1" x14ac:dyDescent="0.25">
      <c r="A28" s="27"/>
      <c r="C28" s="28"/>
    </row>
    <row r="29" spans="1:3" x14ac:dyDescent="0.25">
      <c r="C29" s="25"/>
    </row>
  </sheetData>
  <conditionalFormatting sqref="C3">
    <cfRule type="containsText" dxfId="21" priority="13" operator="containsText" text="Please fill in data">
      <formula>NOT(ISERROR(SEARCH("Please fill in data",C3)))</formula>
    </cfRule>
  </conditionalFormatting>
  <conditionalFormatting sqref="C5">
    <cfRule type="containsText" dxfId="20" priority="7" operator="containsText" text="Please fill in data">
      <formula>NOT(ISERROR(SEARCH("Please fill in data",C5)))</formula>
    </cfRule>
  </conditionalFormatting>
  <conditionalFormatting sqref="C7:C9">
    <cfRule type="containsText" dxfId="19" priority="5" operator="containsText" text="Please fill in data">
      <formula>NOT(ISERROR(SEARCH("Please fill in data",C7)))</formula>
    </cfRule>
  </conditionalFormatting>
  <conditionalFormatting sqref="C11">
    <cfRule type="containsText" dxfId="18" priority="4" operator="containsText" text="Please fill in data">
      <formula>NOT(ISERROR(SEARCH("Please fill in data",C11)))</formula>
    </cfRule>
  </conditionalFormatting>
  <conditionalFormatting sqref="C13">
    <cfRule type="containsText" dxfId="17" priority="3" operator="containsText" text="Please fill in data">
      <formula>NOT(ISERROR(SEARCH("Please fill in data",C13)))</formula>
    </cfRule>
  </conditionalFormatting>
  <conditionalFormatting sqref="C15:C17">
    <cfRule type="containsText" dxfId="16" priority="1" operator="containsText" text="Please fill in data">
      <formula>NOT(ISERROR(SEARCH("Please fill in data",C15)))</formula>
    </cfRule>
  </conditionalFormatting>
  <conditionalFormatting sqref="C19">
    <cfRule type="containsText" dxfId="15" priority="20" operator="containsText" text="Please fill in data">
      <formula>NOT(ISERROR(SEARCH("Please fill in data",C19)))</formula>
    </cfRule>
  </conditionalFormatting>
  <conditionalFormatting sqref="C21">
    <cfRule type="containsText" dxfId="14" priority="19" operator="containsText" text="Please fill in data">
      <formula>NOT(ISERROR(SEARCH("Please fill in data",C21)))</formula>
    </cfRule>
  </conditionalFormatting>
  <dataValidations count="5">
    <dataValidation type="list" allowBlank="1" showInputMessage="1" showErrorMessage="1" sqref="C3" xr:uid="{00000000-0002-0000-0000-000000000000}">
      <formula1>Type</formula1>
    </dataValidation>
    <dataValidation type="list" allowBlank="1" showInputMessage="1" showErrorMessage="1" sqref="C5" xr:uid="{00000000-0002-0000-0000-000001000000}">
      <formula1>File_Type</formula1>
    </dataValidation>
    <dataValidation type="list" allowBlank="1" showInputMessage="1" showErrorMessage="1" sqref="C7" xr:uid="{00000000-0002-0000-0000-000002000000}">
      <formula1>QTR</formula1>
    </dataValidation>
    <dataValidation type="list" allowBlank="1" showInputMessage="1" showErrorMessage="1" sqref="C9" xr:uid="{00000000-0002-0000-0000-000003000000}">
      <formula1>YEAR</formula1>
    </dataValidation>
    <dataValidation type="list" allowBlank="1" showInputMessage="1" showErrorMessage="1" sqref="C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Z10000"/>
  <sheetViews>
    <sheetView rightToLeft="1" zoomScale="70" zoomScaleNormal="70" workbookViewId="0">
      <selection activeCell="A2" sqref="A2:E32"/>
    </sheetView>
  </sheetViews>
  <sheetFormatPr defaultColWidth="9" defaultRowHeight="13.2" x14ac:dyDescent="0.25"/>
  <cols>
    <col min="1" max="1" width="42.69921875" style="29" customWidth="1"/>
    <col min="2" max="2" width="13" style="31" customWidth="1"/>
    <col min="3" max="3" width="24.3984375" style="31" customWidth="1"/>
    <col min="4" max="5" width="13" style="31" customWidth="1"/>
    <col min="6" max="6" width="11.19921875" style="29" customWidth="1"/>
    <col min="7" max="8" width="8.69921875" style="29" customWidth="1"/>
    <col min="9" max="10" width="9" style="29"/>
    <col min="11" max="12" width="8.69921875" style="29" customWidth="1"/>
    <col min="13" max="16384" width="9" style="29"/>
  </cols>
  <sheetData>
    <row r="1" spans="1:5" ht="18.75" customHeight="1" x14ac:dyDescent="0.25">
      <c r="A1" s="126" t="s">
        <v>2849</v>
      </c>
      <c r="B1" s="127" t="s">
        <v>2850</v>
      </c>
      <c r="C1" s="128" t="s">
        <v>936</v>
      </c>
      <c r="D1" s="129" t="s">
        <v>2851</v>
      </c>
      <c r="E1" s="130" t="s">
        <v>2852</v>
      </c>
    </row>
    <row r="2" spans="1:5" ht="39.75" customHeight="1" x14ac:dyDescent="0.25">
      <c r="A2" s="133" t="s">
        <v>2853</v>
      </c>
      <c r="B2" s="20" t="s">
        <v>17</v>
      </c>
      <c r="C2" s="20" t="s">
        <v>27</v>
      </c>
      <c r="D2" s="20" t="s">
        <v>26</v>
      </c>
      <c r="E2" s="123" t="s">
        <v>934</v>
      </c>
    </row>
    <row r="3" spans="1:5" x14ac:dyDescent="0.25">
      <c r="A3" s="121" t="s">
        <v>31</v>
      </c>
      <c r="B3" s="66">
        <v>924895.26319000009</v>
      </c>
      <c r="C3" s="134" t="s">
        <v>2853</v>
      </c>
      <c r="D3" s="134" t="s">
        <v>2853</v>
      </c>
      <c r="E3" s="124">
        <v>0.21461938790434809</v>
      </c>
    </row>
    <row r="4" spans="1:5" x14ac:dyDescent="0.25">
      <c r="A4" s="121" t="s">
        <v>40</v>
      </c>
      <c r="B4" s="66">
        <v>1042136.2763100001</v>
      </c>
      <c r="C4" s="134" t="s">
        <v>2853</v>
      </c>
      <c r="D4" s="134" t="s">
        <v>2853</v>
      </c>
      <c r="E4" s="124">
        <v>0.24182484075347899</v>
      </c>
    </row>
    <row r="5" spans="1:5" x14ac:dyDescent="0.25">
      <c r="A5" s="121" t="s">
        <v>32</v>
      </c>
      <c r="B5" s="66">
        <v>0</v>
      </c>
      <c r="C5" s="134" t="s">
        <v>2853</v>
      </c>
      <c r="D5" s="134" t="s">
        <v>2853</v>
      </c>
      <c r="E5" s="124">
        <v>0</v>
      </c>
    </row>
    <row r="6" spans="1:5" x14ac:dyDescent="0.25">
      <c r="A6" s="121" t="s">
        <v>33</v>
      </c>
      <c r="B6" s="66">
        <v>530457.50833000033</v>
      </c>
      <c r="C6" s="134" t="s">
        <v>2853</v>
      </c>
      <c r="D6" s="134" t="s">
        <v>2853</v>
      </c>
      <c r="E6" s="124">
        <v>0.1230911977583163</v>
      </c>
    </row>
    <row r="7" spans="1:5" x14ac:dyDescent="0.25">
      <c r="A7" s="121" t="s">
        <v>459</v>
      </c>
      <c r="B7" s="66">
        <v>831025.91707000032</v>
      </c>
      <c r="C7" s="134" t="s">
        <v>2853</v>
      </c>
      <c r="D7" s="134" t="s">
        <v>2853</v>
      </c>
      <c r="E7" s="124">
        <v>0.19283726574516352</v>
      </c>
    </row>
    <row r="8" spans="1:5" x14ac:dyDescent="0.25">
      <c r="A8" s="121" t="s">
        <v>34</v>
      </c>
      <c r="B8" s="66">
        <v>346255.48012000008</v>
      </c>
      <c r="C8" s="134" t="s">
        <v>2853</v>
      </c>
      <c r="D8" s="134" t="s">
        <v>2853</v>
      </c>
      <c r="E8" s="124">
        <v>8.0347626547001283E-2</v>
      </c>
    </row>
    <row r="9" spans="1:5" x14ac:dyDescent="0.25">
      <c r="A9" s="121" t="s">
        <v>35</v>
      </c>
      <c r="B9" s="66">
        <v>650118.66665999999</v>
      </c>
      <c r="C9" s="134" t="s">
        <v>2853</v>
      </c>
      <c r="D9" s="134" t="s">
        <v>2853</v>
      </c>
      <c r="E9" s="124">
        <v>0.15085823861019929</v>
      </c>
    </row>
    <row r="10" spans="1:5" x14ac:dyDescent="0.25">
      <c r="A10" s="121" t="s">
        <v>36</v>
      </c>
      <c r="B10" s="66">
        <v>3549.43651</v>
      </c>
      <c r="C10" s="134" t="s">
        <v>2853</v>
      </c>
      <c r="D10" s="134" t="s">
        <v>2853</v>
      </c>
      <c r="E10" s="124">
        <v>8.2363692571431671E-4</v>
      </c>
    </row>
    <row r="11" spans="1:5" x14ac:dyDescent="0.25">
      <c r="A11" s="121" t="s">
        <v>37</v>
      </c>
      <c r="B11" s="66">
        <v>0</v>
      </c>
      <c r="C11" s="134" t="s">
        <v>2853</v>
      </c>
      <c r="D11" s="134" t="s">
        <v>2853</v>
      </c>
      <c r="E11" s="124">
        <v>0</v>
      </c>
    </row>
    <row r="12" spans="1:5" x14ac:dyDescent="0.25">
      <c r="A12" s="121" t="s">
        <v>38</v>
      </c>
      <c r="B12" s="66">
        <v>4574.5951500000001</v>
      </c>
      <c r="C12" s="134" t="s">
        <v>2853</v>
      </c>
      <c r="D12" s="134" t="s">
        <v>2853</v>
      </c>
      <c r="E12" s="124">
        <v>1.0615221529159352E-3</v>
      </c>
    </row>
    <row r="13" spans="1:5" x14ac:dyDescent="0.25">
      <c r="A13" s="121" t="s">
        <v>39</v>
      </c>
      <c r="B13" s="66">
        <v>7.4629200000000004</v>
      </c>
      <c r="C13" s="134" t="s">
        <v>2853</v>
      </c>
      <c r="D13" s="134" t="s">
        <v>2853</v>
      </c>
      <c r="E13" s="124">
        <v>1.7317499463180674E-6</v>
      </c>
    </row>
    <row r="14" spans="1:5" x14ac:dyDescent="0.25">
      <c r="A14" s="121" t="s">
        <v>41</v>
      </c>
      <c r="B14" s="66">
        <v>0</v>
      </c>
      <c r="C14" s="134" t="s">
        <v>2853</v>
      </c>
      <c r="D14" s="134" t="s">
        <v>2853</v>
      </c>
      <c r="E14" s="124">
        <v>0</v>
      </c>
    </row>
    <row r="15" spans="1:5" x14ac:dyDescent="0.25">
      <c r="A15" s="121" t="s">
        <v>42</v>
      </c>
      <c r="B15" s="66">
        <v>0</v>
      </c>
      <c r="C15" s="134" t="s">
        <v>2853</v>
      </c>
      <c r="D15" s="134" t="s">
        <v>2853</v>
      </c>
      <c r="E15" s="124">
        <v>0</v>
      </c>
    </row>
    <row r="16" spans="1:5" x14ac:dyDescent="0.25">
      <c r="A16" s="121" t="s">
        <v>683</v>
      </c>
      <c r="B16" s="66">
        <v>-461384.60700000002</v>
      </c>
      <c r="C16" s="134" t="s">
        <v>2853</v>
      </c>
      <c r="D16" s="134" t="s">
        <v>2853</v>
      </c>
      <c r="E16" s="124">
        <v>-0.10706302203483793</v>
      </c>
    </row>
    <row r="17" spans="1:5" x14ac:dyDescent="0.25">
      <c r="A17" s="121" t="s">
        <v>43</v>
      </c>
      <c r="B17" s="66">
        <v>4520.0640000000003</v>
      </c>
      <c r="C17" s="134" t="s">
        <v>2853</v>
      </c>
      <c r="D17" s="134" t="s">
        <v>2853</v>
      </c>
      <c r="E17" s="124">
        <v>1.0488683503714672E-3</v>
      </c>
    </row>
    <row r="18" spans="1:5" x14ac:dyDescent="0.25">
      <c r="A18" s="121" t="s">
        <v>44</v>
      </c>
      <c r="B18" s="66">
        <v>105727.35190000001</v>
      </c>
      <c r="C18" s="134" t="s">
        <v>2853</v>
      </c>
      <c r="D18" s="134" t="s">
        <v>2853</v>
      </c>
      <c r="E18" s="124">
        <v>2.453373960556678E-2</v>
      </c>
    </row>
    <row r="19" spans="1:5" x14ac:dyDescent="0.25">
      <c r="A19" s="121" t="s">
        <v>462</v>
      </c>
      <c r="B19" s="66">
        <v>29833.661530000005</v>
      </c>
      <c r="C19" s="134" t="s">
        <v>2853</v>
      </c>
      <c r="D19" s="134" t="s">
        <v>2853</v>
      </c>
      <c r="E19" s="124">
        <v>6.9228186491412077E-3</v>
      </c>
    </row>
    <row r="20" spans="1:5" x14ac:dyDescent="0.25">
      <c r="A20" s="121" t="s">
        <v>45</v>
      </c>
      <c r="B20" s="66">
        <v>168743.47009000002</v>
      </c>
      <c r="C20" s="134" t="s">
        <v>2853</v>
      </c>
      <c r="D20" s="134" t="s">
        <v>2853</v>
      </c>
      <c r="E20" s="124">
        <v>3.9156455552234508E-2</v>
      </c>
    </row>
    <row r="21" spans="1:5" x14ac:dyDescent="0.25">
      <c r="A21" s="121" t="s">
        <v>46</v>
      </c>
      <c r="B21" s="66">
        <v>2778.58959</v>
      </c>
      <c r="C21" s="134" t="s">
        <v>2853</v>
      </c>
      <c r="D21" s="134" t="s">
        <v>2853</v>
      </c>
      <c r="E21" s="124">
        <v>6.4476402980635479E-4</v>
      </c>
    </row>
    <row r="22" spans="1:5" x14ac:dyDescent="0.25">
      <c r="A22" s="121" t="s">
        <v>47</v>
      </c>
      <c r="B22" s="66">
        <v>0</v>
      </c>
      <c r="C22" s="134" t="s">
        <v>2853</v>
      </c>
      <c r="D22" s="134" t="s">
        <v>2853</v>
      </c>
      <c r="E22" s="124">
        <v>0</v>
      </c>
    </row>
    <row r="23" spans="1:5" x14ac:dyDescent="0.25">
      <c r="A23" s="121" t="s">
        <v>461</v>
      </c>
      <c r="B23" s="66">
        <v>5152.6725999999999</v>
      </c>
      <c r="C23" s="134" t="s">
        <v>2853</v>
      </c>
      <c r="D23" s="134" t="s">
        <v>2853</v>
      </c>
      <c r="E23" s="124">
        <v>1.1956634264395942E-3</v>
      </c>
    </row>
    <row r="24" spans="1:5" x14ac:dyDescent="0.25">
      <c r="A24" s="121" t="s">
        <v>48</v>
      </c>
      <c r="B24" s="66">
        <v>49953.275119999998</v>
      </c>
      <c r="C24" s="134" t="s">
        <v>2853</v>
      </c>
      <c r="D24" s="134" t="s">
        <v>2853</v>
      </c>
      <c r="E24" s="124">
        <v>1.1591519339276268E-2</v>
      </c>
    </row>
    <row r="25" spans="1:5" x14ac:dyDescent="0.25">
      <c r="A25" s="121" t="s">
        <v>49</v>
      </c>
      <c r="B25" s="66">
        <v>3736.94301</v>
      </c>
      <c r="C25" s="134" t="s">
        <v>2853</v>
      </c>
      <c r="D25" s="134" t="s">
        <v>2853</v>
      </c>
      <c r="E25" s="124">
        <v>8.6714729046555197E-4</v>
      </c>
    </row>
    <row r="26" spans="1:5" x14ac:dyDescent="0.25">
      <c r="A26" s="121" t="s">
        <v>50</v>
      </c>
      <c r="B26" s="66">
        <v>43185</v>
      </c>
      <c r="C26" s="134" t="s">
        <v>2853</v>
      </c>
      <c r="D26" s="134" t="s">
        <v>2853</v>
      </c>
      <c r="E26" s="124">
        <v>1.0020959816230877E-2</v>
      </c>
    </row>
    <row r="27" spans="1:5" x14ac:dyDescent="0.25">
      <c r="A27" s="121" t="s">
        <v>51</v>
      </c>
      <c r="B27" s="66">
        <v>22339.433730000001</v>
      </c>
      <c r="C27" s="134" t="s">
        <v>2853</v>
      </c>
      <c r="D27" s="134" t="s">
        <v>2853</v>
      </c>
      <c r="E27" s="124">
        <v>5.1838038144189575E-3</v>
      </c>
    </row>
    <row r="28" spans="1:5" x14ac:dyDescent="0.25">
      <c r="A28" s="121" t="s">
        <v>506</v>
      </c>
      <c r="B28" s="66">
        <v>0</v>
      </c>
      <c r="C28" s="134" t="s">
        <v>2853</v>
      </c>
      <c r="D28" s="134" t="s">
        <v>2853</v>
      </c>
      <c r="E28" s="124">
        <v>0</v>
      </c>
    </row>
    <row r="29" spans="1:5" x14ac:dyDescent="0.25">
      <c r="A29" s="121" t="s">
        <v>52</v>
      </c>
      <c r="B29" s="66">
        <v>1860.9746200000002</v>
      </c>
      <c r="C29" s="134" t="s">
        <v>2853</v>
      </c>
      <c r="D29" s="134" t="s">
        <v>2853</v>
      </c>
      <c r="E29" s="124">
        <v>4.3183401380214261E-4</v>
      </c>
    </row>
    <row r="30" spans="1:5" x14ac:dyDescent="0.25">
      <c r="A30" s="122" t="s">
        <v>619</v>
      </c>
      <c r="B30" s="92">
        <v>4309467.4354500016</v>
      </c>
      <c r="C30" s="30">
        <v>0</v>
      </c>
      <c r="D30" s="135" t="s">
        <v>2853</v>
      </c>
      <c r="E30" s="125">
        <v>1.0000000000000002</v>
      </c>
    </row>
    <row r="31" spans="1:5" x14ac:dyDescent="0.25">
      <c r="A31" s="121" t="s">
        <v>771</v>
      </c>
      <c r="B31" s="66">
        <v>58597.759230769232</v>
      </c>
      <c r="C31" s="134" t="s">
        <v>2853</v>
      </c>
      <c r="D31" s="134" t="s">
        <v>2853</v>
      </c>
      <c r="E31" s="136" t="s">
        <v>2853</v>
      </c>
    </row>
    <row r="32" spans="1:5" x14ac:dyDescent="0.25">
      <c r="A32" s="131" t="s">
        <v>772</v>
      </c>
      <c r="B32" s="132">
        <v>189226.27494602936</v>
      </c>
      <c r="C32" s="137" t="s">
        <v>2853</v>
      </c>
      <c r="D32" s="137" t="s">
        <v>2853</v>
      </c>
      <c r="E32" s="138" t="s">
        <v>2853</v>
      </c>
    </row>
    <row r="10000" spans="52:52" x14ac:dyDescent="0.25">
      <c r="AZ10000" s="29">
        <v>1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Z10000"/>
  <sheetViews>
    <sheetView rightToLeft="1" zoomScale="40" zoomScaleNormal="40" workbookViewId="0">
      <selection activeCell="A2" sqref="A2:Q15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23.19921875" style="1" bestFit="1" customWidth="1"/>
    <col min="4" max="4" width="14.5" style="1" customWidth="1"/>
    <col min="5" max="5" width="17" style="1" customWidth="1"/>
    <col min="6" max="6" width="20.59765625" style="1" bestFit="1" customWidth="1"/>
    <col min="7" max="7" width="10.5" style="1" customWidth="1"/>
    <col min="8" max="8" width="15.296875" style="1" customWidth="1"/>
    <col min="9" max="9" width="10.5" style="1" customWidth="1"/>
    <col min="10" max="10" width="11.19921875" style="1" bestFit="1" customWidth="1"/>
    <col min="11" max="11" width="19.796875" style="1" bestFit="1" customWidth="1"/>
    <col min="12" max="12" width="14.19921875" style="1" bestFit="1" customWidth="1"/>
    <col min="13" max="13" width="14.3984375" style="1" bestFit="1" customWidth="1"/>
    <col min="14" max="14" width="15.3984375" style="1" bestFit="1" customWidth="1"/>
    <col min="15" max="15" width="16.796875" style="1" customWidth="1"/>
    <col min="16" max="16" width="21.5" style="1" customWidth="1"/>
    <col min="17" max="17" width="20.296875" style="1" customWidth="1"/>
    <col min="18" max="18" width="11.69921875" style="1" customWidth="1"/>
    <col min="19" max="16384" width="9" style="1"/>
  </cols>
  <sheetData>
    <row r="1" spans="1:17" s="32" customFormat="1" ht="66.75" customHeight="1" x14ac:dyDescent="0.25">
      <c r="A1" s="139" t="s">
        <v>667</v>
      </c>
      <c r="B1" s="139" t="s">
        <v>0</v>
      </c>
      <c r="C1" s="139" t="s">
        <v>739</v>
      </c>
      <c r="D1" s="139" t="s">
        <v>757</v>
      </c>
      <c r="E1" s="139" t="s">
        <v>758</v>
      </c>
      <c r="F1" s="139" t="s">
        <v>1</v>
      </c>
      <c r="G1" s="139" t="s">
        <v>620</v>
      </c>
      <c r="H1" s="139" t="s">
        <v>622</v>
      </c>
      <c r="I1" s="139" t="s">
        <v>788</v>
      </c>
      <c r="J1" s="139" t="s">
        <v>8</v>
      </c>
      <c r="K1" s="139" t="s">
        <v>396</v>
      </c>
      <c r="L1" s="139" t="s">
        <v>937</v>
      </c>
      <c r="M1" s="139" t="s">
        <v>11</v>
      </c>
      <c r="N1" s="139" t="s">
        <v>14</v>
      </c>
      <c r="O1" s="139" t="s">
        <v>1162</v>
      </c>
      <c r="P1" s="139" t="s">
        <v>19</v>
      </c>
      <c r="Q1" s="139" t="s">
        <v>30</v>
      </c>
    </row>
    <row r="2" spans="1:17" x14ac:dyDescent="0.25">
      <c r="A2" s="1">
        <v>13908</v>
      </c>
      <c r="B2" s="1">
        <v>13908</v>
      </c>
      <c r="C2" s="106" t="s">
        <v>2816</v>
      </c>
      <c r="D2" s="1">
        <v>31</v>
      </c>
      <c r="E2" s="1" t="s">
        <v>792</v>
      </c>
      <c r="F2" s="1" t="s">
        <v>213</v>
      </c>
      <c r="G2" s="1" t="s">
        <v>53</v>
      </c>
      <c r="H2" s="1" t="s">
        <v>62</v>
      </c>
      <c r="I2" s="1" t="s">
        <v>1205</v>
      </c>
      <c r="J2" s="1" t="s">
        <v>65</v>
      </c>
      <c r="K2" s="1" t="s">
        <v>1206</v>
      </c>
      <c r="L2" s="96">
        <v>668867.30131000001</v>
      </c>
      <c r="M2" s="67">
        <v>1</v>
      </c>
      <c r="N2" s="140" t="s">
        <v>2853</v>
      </c>
      <c r="O2" s="67">
        <v>668867.30131000001</v>
      </c>
      <c r="P2" s="68">
        <v>0.72318167032562197</v>
      </c>
      <c r="Q2" s="68">
        <v>0.15520880742892904</v>
      </c>
    </row>
    <row r="3" spans="1:17" x14ac:dyDescent="0.25">
      <c r="A3" s="1">
        <v>13908</v>
      </c>
      <c r="B3" s="1">
        <v>13908</v>
      </c>
      <c r="C3" s="106" t="s">
        <v>2816</v>
      </c>
      <c r="D3" s="1">
        <v>31</v>
      </c>
      <c r="E3" s="8" t="s">
        <v>792</v>
      </c>
      <c r="F3" s="1" t="s">
        <v>218</v>
      </c>
      <c r="G3" s="1" t="s">
        <v>53</v>
      </c>
      <c r="H3" s="1" t="s">
        <v>62</v>
      </c>
      <c r="I3" s="1" t="s">
        <v>1205</v>
      </c>
      <c r="J3" s="1" t="s">
        <v>65</v>
      </c>
      <c r="K3" s="1" t="s">
        <v>1207</v>
      </c>
      <c r="L3" s="67">
        <f>44594.5536708464-175.90482</f>
        <v>44418.648850846395</v>
      </c>
      <c r="M3" s="67">
        <v>3.19</v>
      </c>
      <c r="N3" s="140" t="s">
        <v>2853</v>
      </c>
      <c r="O3" s="67">
        <f>142256.62621-175.90482*3.19</f>
        <v>141695.48983419998</v>
      </c>
      <c r="P3" s="68">
        <v>0.15380836281867344</v>
      </c>
      <c r="Q3" s="68">
        <v>3.3010256682713582E-2</v>
      </c>
    </row>
    <row r="4" spans="1:17" x14ac:dyDescent="0.25">
      <c r="A4" s="1">
        <v>13908</v>
      </c>
      <c r="B4" s="1">
        <v>13908</v>
      </c>
      <c r="C4" s="106" t="s">
        <v>2816</v>
      </c>
      <c r="D4" s="1">
        <v>31</v>
      </c>
      <c r="E4" s="8" t="s">
        <v>792</v>
      </c>
      <c r="F4" s="1" t="s">
        <v>218</v>
      </c>
      <c r="G4" s="1" t="s">
        <v>53</v>
      </c>
      <c r="H4" s="1" t="s">
        <v>62</v>
      </c>
      <c r="I4" s="1" t="s">
        <v>1205</v>
      </c>
      <c r="J4" s="1" t="s">
        <v>65</v>
      </c>
      <c r="K4" s="1" t="s">
        <v>1208</v>
      </c>
      <c r="L4" s="67">
        <v>49.010819884116998</v>
      </c>
      <c r="M4" s="67">
        <v>4.0213000000000001</v>
      </c>
      <c r="N4" s="140" t="s">
        <v>2853</v>
      </c>
      <c r="O4" s="67">
        <v>197.08721</v>
      </c>
      <c r="P4" s="68">
        <v>2.1309138217471077E-4</v>
      </c>
      <c r="Q4" s="68">
        <v>4.5733542010027935E-5</v>
      </c>
    </row>
    <row r="5" spans="1:17" x14ac:dyDescent="0.25">
      <c r="A5" s="1">
        <v>13908</v>
      </c>
      <c r="B5" s="1">
        <v>13908</v>
      </c>
      <c r="C5" s="106" t="s">
        <v>2816</v>
      </c>
      <c r="D5" s="1">
        <v>31</v>
      </c>
      <c r="E5" s="8" t="s">
        <v>792</v>
      </c>
      <c r="F5" s="1" t="s">
        <v>218</v>
      </c>
      <c r="G5" s="1" t="s">
        <v>53</v>
      </c>
      <c r="H5" s="1" t="s">
        <v>62</v>
      </c>
      <c r="I5" s="1" t="s">
        <v>1205</v>
      </c>
      <c r="J5" s="1" t="s">
        <v>65</v>
      </c>
      <c r="K5" s="1" t="s">
        <v>1209</v>
      </c>
      <c r="L5" s="67">
        <v>366.10245920745899</v>
      </c>
      <c r="M5" s="67">
        <v>4.29</v>
      </c>
      <c r="N5" s="140" t="s">
        <v>2853</v>
      </c>
      <c r="O5" s="67">
        <v>1570.5795499999999</v>
      </c>
      <c r="P5" s="68">
        <v>1.69811611379975E-3</v>
      </c>
      <c r="Q5" s="68">
        <v>3.6444864093421268E-4</v>
      </c>
    </row>
    <row r="6" spans="1:17" x14ac:dyDescent="0.25">
      <c r="A6" s="1">
        <v>13908</v>
      </c>
      <c r="B6" s="1">
        <v>13908</v>
      </c>
      <c r="C6" s="106" t="s">
        <v>2816</v>
      </c>
      <c r="D6" s="1">
        <v>31</v>
      </c>
      <c r="E6" s="8" t="s">
        <v>792</v>
      </c>
      <c r="F6" s="1" t="s">
        <v>218</v>
      </c>
      <c r="G6" s="1" t="s">
        <v>53</v>
      </c>
      <c r="H6" s="1" t="s">
        <v>62</v>
      </c>
      <c r="I6" s="1" t="s">
        <v>1205</v>
      </c>
      <c r="J6" s="1" t="s">
        <v>65</v>
      </c>
      <c r="K6" s="1" t="s">
        <v>1210</v>
      </c>
      <c r="L6" s="67">
        <v>963382.37466241105</v>
      </c>
      <c r="M6" s="67">
        <v>2.0365000000000001E-2</v>
      </c>
      <c r="N6" s="140" t="s">
        <v>2853</v>
      </c>
      <c r="O6" s="67">
        <v>19619.282060000001</v>
      </c>
      <c r="P6" s="68">
        <v>2.1212436522090435E-2</v>
      </c>
      <c r="Q6" s="68">
        <v>4.5526001423308871E-3</v>
      </c>
    </row>
    <row r="7" spans="1:17" x14ac:dyDescent="0.25">
      <c r="A7" s="1">
        <v>13908</v>
      </c>
      <c r="B7" s="1">
        <v>13908</v>
      </c>
      <c r="C7" s="106" t="s">
        <v>2816</v>
      </c>
      <c r="D7" s="1">
        <v>31</v>
      </c>
      <c r="E7" s="8" t="s">
        <v>792</v>
      </c>
      <c r="F7" s="1" t="s">
        <v>218</v>
      </c>
      <c r="G7" s="1" t="s">
        <v>53</v>
      </c>
      <c r="H7" s="1" t="s">
        <v>62</v>
      </c>
      <c r="I7" s="1" t="s">
        <v>1205</v>
      </c>
      <c r="J7" s="1" t="s">
        <v>65</v>
      </c>
      <c r="K7" s="1" t="s">
        <v>1211</v>
      </c>
      <c r="L7" s="67">
        <v>13.840661654134999</v>
      </c>
      <c r="M7" s="67">
        <v>2.3275000000000001</v>
      </c>
      <c r="N7" s="140" t="s">
        <v>2853</v>
      </c>
      <c r="O7" s="67">
        <v>32.21414</v>
      </c>
      <c r="P7" s="68">
        <v>3.4830041067452509E-5</v>
      </c>
      <c r="Q7" s="68">
        <v>7.4752020945799645E-6</v>
      </c>
    </row>
    <row r="8" spans="1:17" x14ac:dyDescent="0.25">
      <c r="A8" s="1">
        <v>13908</v>
      </c>
      <c r="B8" s="1">
        <v>13908</v>
      </c>
      <c r="C8" s="106" t="s">
        <v>2816</v>
      </c>
      <c r="D8" s="1">
        <v>31</v>
      </c>
      <c r="E8" s="8" t="s">
        <v>792</v>
      </c>
      <c r="F8" s="1" t="s">
        <v>218</v>
      </c>
      <c r="G8" s="1" t="s">
        <v>53</v>
      </c>
      <c r="H8" s="1" t="s">
        <v>62</v>
      </c>
      <c r="I8" s="1" t="s">
        <v>1205</v>
      </c>
      <c r="J8" s="1" t="s">
        <v>65</v>
      </c>
      <c r="K8" s="1" t="s">
        <v>1212</v>
      </c>
      <c r="L8" s="67">
        <v>1.06794820451208E-5</v>
      </c>
      <c r="M8" s="67">
        <v>3.7454999999999998</v>
      </c>
      <c r="N8" s="140" t="s">
        <v>2853</v>
      </c>
      <c r="O8" s="67">
        <v>4.0000000000000003E-5</v>
      </c>
      <c r="P8" s="68">
        <v>4.3248140186207065E-11</v>
      </c>
      <c r="Q8" s="68">
        <v>9.2818893747651988E-12</v>
      </c>
    </row>
    <row r="9" spans="1:17" x14ac:dyDescent="0.25">
      <c r="A9" s="1">
        <v>13908</v>
      </c>
      <c r="B9" s="1">
        <v>13908</v>
      </c>
      <c r="C9" s="106" t="s">
        <v>2816</v>
      </c>
      <c r="D9" s="1">
        <v>31</v>
      </c>
      <c r="E9" s="8" t="s">
        <v>792</v>
      </c>
      <c r="F9" s="1" t="s">
        <v>218</v>
      </c>
      <c r="G9" s="1" t="s">
        <v>53</v>
      </c>
      <c r="H9" s="1" t="s">
        <v>62</v>
      </c>
      <c r="I9" s="1" t="s">
        <v>1205</v>
      </c>
      <c r="J9" s="1" t="s">
        <v>65</v>
      </c>
      <c r="K9" s="1" t="s">
        <v>1212</v>
      </c>
      <c r="L9" s="67">
        <v>7065.9400293685803</v>
      </c>
      <c r="M9" s="67">
        <v>3.7454999999999998</v>
      </c>
      <c r="N9" s="140" t="s">
        <v>2853</v>
      </c>
      <c r="O9" s="67">
        <v>26465.47838</v>
      </c>
      <c r="P9" s="68">
        <v>2.8614567976831803E-2</v>
      </c>
      <c r="Q9" s="68">
        <v>6.1412410643350021E-3</v>
      </c>
    </row>
    <row r="10" spans="1:17" x14ac:dyDescent="0.25">
      <c r="A10" s="1">
        <v>13908</v>
      </c>
      <c r="B10" s="1">
        <v>13908</v>
      </c>
      <c r="C10" s="106" t="s">
        <v>2816</v>
      </c>
      <c r="D10" s="1">
        <v>31</v>
      </c>
      <c r="E10" s="8" t="s">
        <v>792</v>
      </c>
      <c r="F10" s="1" t="s">
        <v>218</v>
      </c>
      <c r="G10" s="1" t="s">
        <v>53</v>
      </c>
      <c r="H10" s="1" t="s">
        <v>62</v>
      </c>
      <c r="I10" s="1" t="s">
        <v>1205</v>
      </c>
      <c r="J10" s="1" t="s">
        <v>65</v>
      </c>
      <c r="K10" s="1" t="s">
        <v>1207</v>
      </c>
      <c r="L10" s="67">
        <v>-4.017699059561</v>
      </c>
      <c r="M10" s="67">
        <v>3.19</v>
      </c>
      <c r="N10" s="140" t="s">
        <v>2853</v>
      </c>
      <c r="O10" s="67">
        <v>-12.816459999999999</v>
      </c>
      <c r="P10" s="68">
        <v>-1.3857201469272883E-5</v>
      </c>
      <c r="Q10" s="68">
        <v>-2.9740240974025794E-6</v>
      </c>
    </row>
    <row r="11" spans="1:17" x14ac:dyDescent="0.25">
      <c r="A11" s="1">
        <v>13908</v>
      </c>
      <c r="B11" s="1">
        <v>13908</v>
      </c>
      <c r="C11" s="106" t="s">
        <v>2816</v>
      </c>
      <c r="D11" s="1">
        <v>31</v>
      </c>
      <c r="E11" s="8" t="s">
        <v>792</v>
      </c>
      <c r="F11" s="1" t="s">
        <v>218</v>
      </c>
      <c r="G11" s="1" t="s">
        <v>53</v>
      </c>
      <c r="H11" s="1" t="s">
        <v>62</v>
      </c>
      <c r="I11" s="1" t="s">
        <v>1205</v>
      </c>
      <c r="J11" s="1" t="s">
        <v>65</v>
      </c>
      <c r="K11" s="1" t="s">
        <v>1207</v>
      </c>
      <c r="L11" s="67">
        <v>470.86920062695901</v>
      </c>
      <c r="M11" s="67">
        <v>3.19</v>
      </c>
      <c r="N11" s="140" t="s">
        <v>2853</v>
      </c>
      <c r="O11" s="67">
        <v>1502.07275</v>
      </c>
      <c r="P11" s="68">
        <v>1.6240463215470389E-3</v>
      </c>
      <c r="Q11" s="68">
        <v>3.4855182745873359E-4</v>
      </c>
    </row>
    <row r="12" spans="1:17" x14ac:dyDescent="0.25">
      <c r="A12" s="1">
        <v>13908</v>
      </c>
      <c r="B12" s="1">
        <v>13908</v>
      </c>
      <c r="C12" s="106" t="s">
        <v>2816</v>
      </c>
      <c r="D12" s="1">
        <v>31</v>
      </c>
      <c r="E12" s="8" t="s">
        <v>792</v>
      </c>
      <c r="F12" s="1" t="s">
        <v>218</v>
      </c>
      <c r="G12" s="1" t="s">
        <v>53</v>
      </c>
      <c r="H12" s="1" t="s">
        <v>62</v>
      </c>
      <c r="I12" s="1" t="s">
        <v>1205</v>
      </c>
      <c r="J12" s="1" t="s">
        <v>65</v>
      </c>
      <c r="K12" s="1" t="s">
        <v>1213</v>
      </c>
      <c r="L12" s="67">
        <v>47.942211173132002</v>
      </c>
      <c r="M12" s="67">
        <v>2.1318999999999999</v>
      </c>
      <c r="N12" s="140" t="s">
        <v>2853</v>
      </c>
      <c r="O12" s="67">
        <v>102.208</v>
      </c>
      <c r="P12" s="68">
        <v>1.1050764780379629E-4</v>
      </c>
      <c r="Q12" s="68">
        <v>2.3717083730400035E-5</v>
      </c>
    </row>
    <row r="13" spans="1:17" x14ac:dyDescent="0.25">
      <c r="A13" s="1">
        <v>13908</v>
      </c>
      <c r="B13" s="1">
        <v>13908</v>
      </c>
      <c r="C13" s="106" t="s">
        <v>2816</v>
      </c>
      <c r="D13" s="1">
        <v>31</v>
      </c>
      <c r="E13" s="8" t="s">
        <v>792</v>
      </c>
      <c r="F13" s="1" t="s">
        <v>213</v>
      </c>
      <c r="G13" s="1" t="s">
        <v>53</v>
      </c>
      <c r="H13" s="1" t="s">
        <v>62</v>
      </c>
      <c r="I13" s="1" t="s">
        <v>1205</v>
      </c>
      <c r="J13" s="1" t="s">
        <v>65</v>
      </c>
      <c r="K13" s="1" t="s">
        <v>1206</v>
      </c>
      <c r="L13" s="67">
        <v>32395.23</v>
      </c>
      <c r="M13" s="67">
        <v>1</v>
      </c>
      <c r="N13" s="140" t="s">
        <v>2853</v>
      </c>
      <c r="O13" s="67">
        <v>32395.23</v>
      </c>
      <c r="P13" s="68">
        <v>3.5025836210110517E-2</v>
      </c>
      <c r="Q13" s="68">
        <v>7.5172235282518702E-3</v>
      </c>
    </row>
    <row r="14" spans="1:17" x14ac:dyDescent="0.25">
      <c r="A14" s="1">
        <v>13908</v>
      </c>
      <c r="B14" s="1">
        <v>13908</v>
      </c>
      <c r="C14" s="106" t="s">
        <v>2816</v>
      </c>
      <c r="D14" s="1">
        <v>31</v>
      </c>
      <c r="E14" s="8" t="s">
        <v>792</v>
      </c>
      <c r="F14" s="1" t="s">
        <v>218</v>
      </c>
      <c r="G14" s="1" t="s">
        <v>53</v>
      </c>
      <c r="H14" s="1" t="s">
        <v>62</v>
      </c>
      <c r="I14" s="1" t="s">
        <v>1205</v>
      </c>
      <c r="J14" s="1" t="s">
        <v>65</v>
      </c>
      <c r="K14" s="1" t="s">
        <v>1207</v>
      </c>
      <c r="L14" s="67">
        <v>10000</v>
      </c>
      <c r="M14" s="67">
        <v>3.19</v>
      </c>
      <c r="N14" s="140" t="s">
        <v>2853</v>
      </c>
      <c r="O14" s="67">
        <v>31900</v>
      </c>
      <c r="P14" s="68">
        <v>3.4490391798500129E-2</v>
      </c>
      <c r="Q14" s="68">
        <v>7.4023067763752462E-3</v>
      </c>
    </row>
    <row r="15" spans="1:17" x14ac:dyDescent="0.25">
      <c r="A15" s="1">
        <v>13908</v>
      </c>
      <c r="B15" s="1">
        <v>13908</v>
      </c>
      <c r="C15" s="106" t="s">
        <v>2136</v>
      </c>
      <c r="D15" s="1">
        <v>20</v>
      </c>
      <c r="E15" s="8" t="s">
        <v>792</v>
      </c>
      <c r="F15" s="1" t="s">
        <v>218</v>
      </c>
      <c r="G15" s="1" t="s">
        <v>53</v>
      </c>
      <c r="H15" s="1" t="s">
        <v>62</v>
      </c>
      <c r="I15" s="1" t="s">
        <v>1205</v>
      </c>
      <c r="J15" s="1" t="s">
        <v>65</v>
      </c>
      <c r="K15" s="1" t="s">
        <v>1207</v>
      </c>
      <c r="L15" s="67">
        <v>175.90482</v>
      </c>
      <c r="M15" s="67">
        <v>3.19</v>
      </c>
      <c r="N15" s="140" t="s">
        <v>2853</v>
      </c>
      <c r="O15" s="67">
        <f>175.90482*3.19</f>
        <v>561.1363758</v>
      </c>
      <c r="P15" s="68">
        <v>0.15380836281867344</v>
      </c>
      <c r="Q15" s="68">
        <v>3.3010256682713582E-2</v>
      </c>
    </row>
    <row r="16" spans="1:17" x14ac:dyDescent="0.25">
      <c r="E16" s="8"/>
    </row>
    <row r="17" spans="5:13" x14ac:dyDescent="0.25">
      <c r="E17" s="8"/>
      <c r="K17" s="117"/>
      <c r="L17" s="118"/>
    </row>
    <row r="18" spans="5:13" x14ac:dyDescent="0.25">
      <c r="L18" s="87"/>
    </row>
    <row r="19" spans="5:13" x14ac:dyDescent="0.25">
      <c r="L19" s="87"/>
    </row>
    <row r="20" spans="5:13" x14ac:dyDescent="0.25">
      <c r="L20" s="116"/>
    </row>
    <row r="21" spans="5:13" x14ac:dyDescent="0.25">
      <c r="K21" s="106"/>
      <c r="L21" s="87"/>
      <c r="M21" s="67"/>
    </row>
    <row r="22" spans="5:13" x14ac:dyDescent="0.25">
      <c r="K22" s="106"/>
      <c r="L22" s="87"/>
      <c r="M22" s="67"/>
    </row>
    <row r="23" spans="5:13" x14ac:dyDescent="0.25">
      <c r="K23" s="117"/>
      <c r="L23" s="87"/>
      <c r="M23" s="112"/>
    </row>
    <row r="24" spans="5:13" x14ac:dyDescent="0.25">
      <c r="K24" s="106"/>
      <c r="L24" s="87"/>
    </row>
    <row r="25" spans="5:13" x14ac:dyDescent="0.25">
      <c r="K25" s="106"/>
      <c r="L25" s="87"/>
    </row>
    <row r="26" spans="5:13" x14ac:dyDescent="0.25">
      <c r="K26" s="106"/>
      <c r="L26" s="87"/>
    </row>
    <row r="27" spans="5:13" x14ac:dyDescent="0.25">
      <c r="K27" s="106"/>
      <c r="L27" s="116"/>
      <c r="M27" s="67"/>
    </row>
    <row r="28" spans="5:13" x14ac:dyDescent="0.25">
      <c r="L28" s="116"/>
      <c r="M28" s="67"/>
    </row>
    <row r="29" spans="5:13" x14ac:dyDescent="0.25">
      <c r="L29" s="87"/>
      <c r="M29" s="67"/>
    </row>
    <row r="30" spans="5:13" x14ac:dyDescent="0.25">
      <c r="K30" s="106"/>
      <c r="L30" s="119"/>
    </row>
    <row r="31" spans="5:13" x14ac:dyDescent="0.25">
      <c r="M31" s="67"/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17" xr:uid="{00000000-0002-0000-0200-000000000000}">
      <formula1>israel_abroad</formula1>
    </dataValidation>
    <dataValidation type="list" allowBlank="1" showInputMessage="1" showErrorMessage="1" sqref="H2:H17" xr:uid="{00000000-0002-0000-0200-000001000000}">
      <formula1>Holding_interest</formula1>
    </dataValidation>
    <dataValidation type="list" allowBlank="1" showInputMessage="1" showErrorMessage="1" sqref="J2:J18" xr:uid="{00000000-0002-0000-0200-000002000000}">
      <formula1>Rating_Agency</formula1>
    </dataValidation>
    <dataValidation type="list" allowBlank="1" showInputMessage="1" showErrorMessage="1" sqref="E2:E17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Z10000"/>
  <sheetViews>
    <sheetView rightToLeft="1" zoomScale="40" zoomScaleNormal="40" workbookViewId="0">
      <selection activeCell="A2" sqref="A2:Z31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4" width="19.3984375" style="1" bestFit="1" customWidth="1"/>
    <col min="5" max="5" width="16.59765625" style="1" bestFit="1" customWidth="1"/>
    <col min="6" max="6" width="38.3984375" style="1" bestFit="1" customWidth="1"/>
    <col min="7" max="7" width="10.5" style="1" customWidth="1"/>
    <col min="8" max="8" width="19.5" style="1" customWidth="1"/>
    <col min="9" max="9" width="10.796875" style="1" customWidth="1"/>
    <col min="10" max="10" width="6.296875" style="1" customWidth="1"/>
    <col min="11" max="11" width="9.5" style="1" customWidth="1"/>
    <col min="12" max="12" width="12" style="1" customWidth="1"/>
    <col min="13" max="13" width="7.19921875" style="1" bestFit="1" customWidth="1"/>
    <col min="14" max="14" width="11.19921875" style="1" bestFit="1" customWidth="1"/>
    <col min="15" max="15" width="11" style="1" customWidth="1"/>
    <col min="16" max="16" width="11.796875" style="1" customWidth="1"/>
    <col min="17" max="17" width="22.5" style="1" customWidth="1"/>
    <col min="18" max="18" width="16.59765625" style="1" bestFit="1" customWidth="1"/>
    <col min="19" max="19" width="10.296875" style="1" customWidth="1"/>
    <col min="20" max="20" width="13.5" style="1" customWidth="1"/>
    <col min="21" max="21" width="16.796875" style="1" customWidth="1"/>
    <col min="22" max="22" width="21.5" style="1" customWidth="1"/>
    <col min="23" max="23" width="21.296875" style="1" customWidth="1"/>
    <col min="24" max="24" width="19.296875" style="1" customWidth="1"/>
    <col min="25" max="25" width="21.5" style="1" customWidth="1"/>
    <col min="26" max="26" width="20.296875" style="1" customWidth="1"/>
    <col min="27" max="30" width="11.69921875" style="1" customWidth="1"/>
    <col min="31" max="16384" width="9" style="1"/>
  </cols>
  <sheetData>
    <row r="1" spans="1:26" ht="66.75" customHeight="1" x14ac:dyDescent="0.25">
      <c r="A1" s="139" t="s">
        <v>667</v>
      </c>
      <c r="B1" s="139" t="s">
        <v>0</v>
      </c>
      <c r="C1" s="139" t="s">
        <v>740</v>
      </c>
      <c r="D1" s="139" t="s">
        <v>1154</v>
      </c>
      <c r="E1" s="139" t="s">
        <v>29</v>
      </c>
      <c r="F1" s="139" t="s">
        <v>1</v>
      </c>
      <c r="G1" s="139" t="s">
        <v>620</v>
      </c>
      <c r="H1" s="139" t="s">
        <v>621</v>
      </c>
      <c r="I1" s="139" t="s">
        <v>5</v>
      </c>
      <c r="J1" s="139" t="s">
        <v>6</v>
      </c>
      <c r="K1" s="139" t="s">
        <v>8</v>
      </c>
      <c r="L1" s="139" t="s">
        <v>396</v>
      </c>
      <c r="M1" s="139" t="s">
        <v>13</v>
      </c>
      <c r="N1" s="139" t="s">
        <v>421</v>
      </c>
      <c r="O1" s="139" t="s">
        <v>14</v>
      </c>
      <c r="P1" s="139" t="s">
        <v>637</v>
      </c>
      <c r="Q1" s="139" t="s">
        <v>954</v>
      </c>
      <c r="R1" s="139" t="s">
        <v>789</v>
      </c>
      <c r="S1" s="139" t="s">
        <v>11</v>
      </c>
      <c r="T1" s="139" t="s">
        <v>15</v>
      </c>
      <c r="U1" s="139" t="s">
        <v>1162</v>
      </c>
      <c r="V1" s="139" t="s">
        <v>1163</v>
      </c>
      <c r="W1" s="139" t="s">
        <v>26</v>
      </c>
      <c r="X1" s="139" t="s">
        <v>18</v>
      </c>
      <c r="Y1" s="139" t="s">
        <v>19</v>
      </c>
      <c r="Z1" s="139" t="s">
        <v>30</v>
      </c>
    </row>
    <row r="2" spans="1:26" x14ac:dyDescent="0.25">
      <c r="A2" s="8">
        <v>13908</v>
      </c>
      <c r="B2" s="8">
        <v>13908</v>
      </c>
      <c r="C2" s="8" t="s">
        <v>1214</v>
      </c>
      <c r="D2" s="8" t="s">
        <v>1215</v>
      </c>
      <c r="E2" s="8" t="s">
        <v>1216</v>
      </c>
      <c r="F2" s="8" t="s">
        <v>223</v>
      </c>
      <c r="G2" s="8" t="s">
        <v>53</v>
      </c>
      <c r="H2" s="8" t="s">
        <v>53</v>
      </c>
      <c r="I2" s="8" t="s">
        <v>311</v>
      </c>
      <c r="J2" s="8" t="s">
        <v>298</v>
      </c>
      <c r="K2" s="8" t="s">
        <v>298</v>
      </c>
      <c r="L2" s="1" t="s">
        <v>1206</v>
      </c>
      <c r="M2" s="69">
        <v>10.981</v>
      </c>
      <c r="N2" s="70">
        <v>51897</v>
      </c>
      <c r="O2" s="68">
        <v>5.5E-2</v>
      </c>
      <c r="P2" s="68">
        <v>4.1700000000000001E-2</v>
      </c>
      <c r="Q2" s="67">
        <v>0</v>
      </c>
      <c r="R2" s="67">
        <v>3800000</v>
      </c>
      <c r="S2" s="67">
        <v>1</v>
      </c>
      <c r="T2" s="67">
        <v>120.4</v>
      </c>
      <c r="U2" s="67">
        <v>4575.2</v>
      </c>
      <c r="V2" s="140" t="s">
        <v>2853</v>
      </c>
      <c r="W2" s="8" t="s">
        <v>17</v>
      </c>
      <c r="X2" s="68">
        <v>1.17460445E-4</v>
      </c>
      <c r="Y2" s="68">
        <v>4.3902127811920001E-3</v>
      </c>
      <c r="Z2" s="68">
        <v>1.0616625066856434E-3</v>
      </c>
    </row>
    <row r="3" spans="1:26" x14ac:dyDescent="0.25">
      <c r="A3" s="8">
        <v>13908</v>
      </c>
      <c r="B3" s="8">
        <v>13908</v>
      </c>
      <c r="C3" s="8" t="s">
        <v>1214</v>
      </c>
      <c r="D3" s="8" t="s">
        <v>1217</v>
      </c>
      <c r="E3" s="8" t="s">
        <v>1218</v>
      </c>
      <c r="F3" s="8" t="s">
        <v>223</v>
      </c>
      <c r="G3" s="8" t="s">
        <v>53</v>
      </c>
      <c r="H3" s="8" t="s">
        <v>53</v>
      </c>
      <c r="I3" s="8" t="s">
        <v>311</v>
      </c>
      <c r="J3" s="8" t="s">
        <v>298</v>
      </c>
      <c r="K3" s="8" t="s">
        <v>298</v>
      </c>
      <c r="L3" s="1" t="s">
        <v>1206</v>
      </c>
      <c r="M3" s="69">
        <v>1.224</v>
      </c>
      <c r="N3" s="70">
        <v>46477</v>
      </c>
      <c r="O3" s="68">
        <v>0.02</v>
      </c>
      <c r="P3" s="68">
        <v>3.7600000000000001E-2</v>
      </c>
      <c r="Q3" s="67">
        <v>0</v>
      </c>
      <c r="R3" s="67">
        <v>8178400</v>
      </c>
      <c r="S3" s="67">
        <v>1</v>
      </c>
      <c r="T3" s="67">
        <v>99.41</v>
      </c>
      <c r="U3" s="67">
        <v>8130.1474399999997</v>
      </c>
      <c r="V3" s="140" t="s">
        <v>2853</v>
      </c>
      <c r="W3" s="8" t="s">
        <v>17</v>
      </c>
      <c r="X3" s="68">
        <v>2.8972246300000001E-4</v>
      </c>
      <c r="Y3" s="68">
        <v>7.8014244632067268E-3</v>
      </c>
      <c r="Z3" s="68">
        <v>1.886578228465262E-3</v>
      </c>
    </row>
    <row r="4" spans="1:26" x14ac:dyDescent="0.25">
      <c r="A4" s="8">
        <v>13908</v>
      </c>
      <c r="B4" s="8">
        <v>13908</v>
      </c>
      <c r="C4" s="8" t="s">
        <v>1214</v>
      </c>
      <c r="D4" s="8" t="s">
        <v>1219</v>
      </c>
      <c r="E4" s="8" t="s">
        <v>1220</v>
      </c>
      <c r="F4" s="8" t="s">
        <v>223</v>
      </c>
      <c r="G4" s="8" t="s">
        <v>53</v>
      </c>
      <c r="H4" s="8" t="s">
        <v>53</v>
      </c>
      <c r="I4" s="8" t="s">
        <v>311</v>
      </c>
      <c r="J4" s="8" t="s">
        <v>298</v>
      </c>
      <c r="K4" s="8" t="s">
        <v>298</v>
      </c>
      <c r="L4" s="1" t="s">
        <v>1206</v>
      </c>
      <c r="M4" s="69">
        <v>14.301</v>
      </c>
      <c r="N4" s="70">
        <v>53782</v>
      </c>
      <c r="O4" s="68">
        <v>3.7499999999999999E-2</v>
      </c>
      <c r="P4" s="68">
        <v>4.3099999999999999E-2</v>
      </c>
      <c r="Q4" s="67">
        <v>0</v>
      </c>
      <c r="R4" s="67">
        <v>5370250</v>
      </c>
      <c r="S4" s="67">
        <v>1</v>
      </c>
      <c r="T4" s="67">
        <v>95.14</v>
      </c>
      <c r="U4" s="67">
        <v>5109.2558499999996</v>
      </c>
      <c r="V4" s="140" t="s">
        <v>2853</v>
      </c>
      <c r="W4" s="8" t="s">
        <v>17</v>
      </c>
      <c r="X4" s="68">
        <v>1.98139483E-4</v>
      </c>
      <c r="Y4" s="68">
        <v>4.9026753661151412E-3</v>
      </c>
      <c r="Z4" s="68">
        <v>1.1855886896767983E-3</v>
      </c>
    </row>
    <row r="5" spans="1:26" x14ac:dyDescent="0.25">
      <c r="A5" s="8">
        <v>13908</v>
      </c>
      <c r="B5" s="8">
        <v>13908</v>
      </c>
      <c r="C5" s="8" t="s">
        <v>1214</v>
      </c>
      <c r="D5" s="8" t="s">
        <v>1221</v>
      </c>
      <c r="E5" s="8" t="s">
        <v>1222</v>
      </c>
      <c r="F5" s="8" t="s">
        <v>221</v>
      </c>
      <c r="G5" s="8" t="s">
        <v>53</v>
      </c>
      <c r="H5" s="8" t="s">
        <v>53</v>
      </c>
      <c r="I5" s="8" t="s">
        <v>311</v>
      </c>
      <c r="J5" s="8" t="s">
        <v>298</v>
      </c>
      <c r="K5" s="8" t="s">
        <v>298</v>
      </c>
      <c r="L5" s="1" t="s">
        <v>1206</v>
      </c>
      <c r="M5" s="69">
        <v>1.403</v>
      </c>
      <c r="N5" s="70">
        <v>46538</v>
      </c>
      <c r="O5" s="68">
        <v>7.4999999999999997E-3</v>
      </c>
      <c r="P5" s="68">
        <v>1.9199999999999998E-2</v>
      </c>
      <c r="Q5" s="67">
        <v>0</v>
      </c>
      <c r="R5" s="67">
        <v>94877805</v>
      </c>
      <c r="S5" s="67">
        <v>1</v>
      </c>
      <c r="T5" s="67">
        <v>117.85</v>
      </c>
      <c r="U5" s="67">
        <v>111813.49318999999</v>
      </c>
      <c r="V5" s="140" t="s">
        <v>2853</v>
      </c>
      <c r="W5" s="8" t="s">
        <v>17</v>
      </c>
      <c r="X5" s="68">
        <v>3.8953858809999999E-3</v>
      </c>
      <c r="Y5" s="68">
        <v>0.10729258325591506</v>
      </c>
      <c r="Z5" s="68">
        <v>2.5946011859891045E-2</v>
      </c>
    </row>
    <row r="6" spans="1:26" x14ac:dyDescent="0.25">
      <c r="A6" s="8">
        <v>13908</v>
      </c>
      <c r="B6" s="8">
        <v>13908</v>
      </c>
      <c r="C6" s="8" t="s">
        <v>1214</v>
      </c>
      <c r="D6" s="8" t="s">
        <v>1223</v>
      </c>
      <c r="E6" s="8" t="s">
        <v>1224</v>
      </c>
      <c r="F6" s="8" t="s">
        <v>223</v>
      </c>
      <c r="G6" s="8" t="s">
        <v>53</v>
      </c>
      <c r="H6" s="8" t="s">
        <v>53</v>
      </c>
      <c r="I6" s="8" t="s">
        <v>311</v>
      </c>
      <c r="J6" s="8" t="s">
        <v>298</v>
      </c>
      <c r="K6" s="8" t="s">
        <v>298</v>
      </c>
      <c r="L6" s="1" t="s">
        <v>1206</v>
      </c>
      <c r="M6" s="69">
        <v>2.6760000000000002</v>
      </c>
      <c r="N6" s="70">
        <v>47024</v>
      </c>
      <c r="O6" s="68">
        <v>2.2499999999999999E-2</v>
      </c>
      <c r="P6" s="68">
        <v>3.73E-2</v>
      </c>
      <c r="Q6" s="67">
        <v>0</v>
      </c>
      <c r="R6" s="67">
        <v>71135295</v>
      </c>
      <c r="S6" s="67">
        <v>1</v>
      </c>
      <c r="T6" s="67">
        <v>96.78</v>
      </c>
      <c r="U6" s="67">
        <v>68844.738500000007</v>
      </c>
      <c r="V6" s="140" t="s">
        <v>2853</v>
      </c>
      <c r="W6" s="8" t="s">
        <v>17</v>
      </c>
      <c r="X6" s="68">
        <v>2.0487379229999999E-3</v>
      </c>
      <c r="Y6" s="68">
        <v>6.6061166917407099E-2</v>
      </c>
      <c r="Z6" s="68">
        <v>1.5975231169790965E-2</v>
      </c>
    </row>
    <row r="7" spans="1:26" x14ac:dyDescent="0.25">
      <c r="A7" s="8">
        <v>13908</v>
      </c>
      <c r="B7" s="8">
        <v>13908</v>
      </c>
      <c r="C7" s="8" t="s">
        <v>1214</v>
      </c>
      <c r="D7" s="8" t="s">
        <v>1225</v>
      </c>
      <c r="E7" s="8" t="s">
        <v>1226</v>
      </c>
      <c r="F7" s="8" t="s">
        <v>221</v>
      </c>
      <c r="G7" s="8" t="s">
        <v>53</v>
      </c>
      <c r="H7" s="8" t="s">
        <v>53</v>
      </c>
      <c r="I7" s="8" t="s">
        <v>311</v>
      </c>
      <c r="J7" s="8" t="s">
        <v>298</v>
      </c>
      <c r="K7" s="8" t="s">
        <v>298</v>
      </c>
      <c r="L7" s="1" t="s">
        <v>1206</v>
      </c>
      <c r="M7" s="69">
        <v>3.383</v>
      </c>
      <c r="N7" s="70">
        <v>47269</v>
      </c>
      <c r="O7" s="68">
        <v>5.0000000000000001E-3</v>
      </c>
      <c r="P7" s="68">
        <v>1.7100000000000001E-2</v>
      </c>
      <c r="Q7" s="67">
        <v>0</v>
      </c>
      <c r="R7" s="67">
        <v>50817851</v>
      </c>
      <c r="S7" s="67">
        <v>1</v>
      </c>
      <c r="T7" s="67">
        <v>113.71</v>
      </c>
      <c r="U7" s="67">
        <v>57784.978369999997</v>
      </c>
      <c r="V7" s="140" t="s">
        <v>2853</v>
      </c>
      <c r="W7" s="8" t="s">
        <v>17</v>
      </c>
      <c r="X7" s="68">
        <v>1.688410107E-3</v>
      </c>
      <c r="Y7" s="68">
        <v>5.5448581614110252E-2</v>
      </c>
      <c r="Z7" s="68">
        <v>1.3408844418838495E-2</v>
      </c>
    </row>
    <row r="8" spans="1:26" x14ac:dyDescent="0.25">
      <c r="A8" s="8">
        <v>13908</v>
      </c>
      <c r="B8" s="8">
        <v>13908</v>
      </c>
      <c r="C8" s="8" t="s">
        <v>1214</v>
      </c>
      <c r="D8" s="8" t="s">
        <v>1227</v>
      </c>
      <c r="E8" s="8" t="s">
        <v>1228</v>
      </c>
      <c r="F8" s="8" t="s">
        <v>223</v>
      </c>
      <c r="G8" s="8" t="s">
        <v>53</v>
      </c>
      <c r="H8" s="8" t="s">
        <v>53</v>
      </c>
      <c r="I8" s="8" t="s">
        <v>311</v>
      </c>
      <c r="J8" s="8" t="s">
        <v>298</v>
      </c>
      <c r="K8" s="8" t="s">
        <v>298</v>
      </c>
      <c r="L8" s="1" t="s">
        <v>1206</v>
      </c>
      <c r="M8" s="69">
        <v>10.317</v>
      </c>
      <c r="N8" s="70">
        <v>50191</v>
      </c>
      <c r="O8" s="68">
        <v>1.4999999999999999E-2</v>
      </c>
      <c r="P8" s="68">
        <v>4.0399999999999998E-2</v>
      </c>
      <c r="Q8" s="67">
        <v>0</v>
      </c>
      <c r="R8" s="67">
        <v>27617147</v>
      </c>
      <c r="S8" s="67">
        <v>1</v>
      </c>
      <c r="T8" s="67">
        <v>78</v>
      </c>
      <c r="U8" s="67">
        <v>21541.374660000001</v>
      </c>
      <c r="V8" s="140" t="s">
        <v>2853</v>
      </c>
      <c r="W8" s="8" t="s">
        <v>17</v>
      </c>
      <c r="X8" s="68">
        <v>6.59120657E-4</v>
      </c>
      <c r="Y8" s="68">
        <v>2.0670400934773885E-2</v>
      </c>
      <c r="Z8" s="68">
        <v>4.998616414362258E-3</v>
      </c>
    </row>
    <row r="9" spans="1:26" x14ac:dyDescent="0.25">
      <c r="A9" s="8">
        <v>13908</v>
      </c>
      <c r="B9" s="8">
        <v>13908</v>
      </c>
      <c r="C9" s="8" t="s">
        <v>1214</v>
      </c>
      <c r="D9" s="8" t="s">
        <v>1229</v>
      </c>
      <c r="E9" s="8" t="s">
        <v>1230</v>
      </c>
      <c r="F9" s="8" t="s">
        <v>224</v>
      </c>
      <c r="G9" s="8" t="s">
        <v>53</v>
      </c>
      <c r="H9" s="8" t="s">
        <v>53</v>
      </c>
      <c r="I9" s="8" t="s">
        <v>311</v>
      </c>
      <c r="J9" s="8" t="s">
        <v>298</v>
      </c>
      <c r="K9" s="8" t="s">
        <v>298</v>
      </c>
      <c r="L9" s="1" t="s">
        <v>1206</v>
      </c>
      <c r="M9" s="69">
        <v>4.4850000000000003</v>
      </c>
      <c r="N9" s="70">
        <v>47816</v>
      </c>
      <c r="O9" s="68">
        <v>3.7843000000000002E-2</v>
      </c>
      <c r="P9" s="68">
        <v>4.2200000000000001E-2</v>
      </c>
      <c r="Q9" s="67">
        <v>0</v>
      </c>
      <c r="R9" s="67">
        <v>41429977</v>
      </c>
      <c r="S9" s="67">
        <v>1</v>
      </c>
      <c r="T9" s="67">
        <v>98.79</v>
      </c>
      <c r="U9" s="67">
        <v>40928.674279999999</v>
      </c>
      <c r="V9" s="140" t="s">
        <v>2853</v>
      </c>
      <c r="W9" s="8" t="s">
        <v>17</v>
      </c>
      <c r="X9" s="68">
        <v>1.2404803849999999E-3</v>
      </c>
      <c r="Y9" s="68">
        <v>3.927382167802506E-2</v>
      </c>
      <c r="Z9" s="68">
        <v>9.4973856730689414E-3</v>
      </c>
    </row>
    <row r="10" spans="1:26" x14ac:dyDescent="0.25">
      <c r="A10" s="8">
        <v>13908</v>
      </c>
      <c r="B10" s="8">
        <v>13908</v>
      </c>
      <c r="C10" s="8" t="s">
        <v>1214</v>
      </c>
      <c r="D10" s="8" t="s">
        <v>1231</v>
      </c>
      <c r="E10" s="8" t="s">
        <v>1232</v>
      </c>
      <c r="F10" s="8" t="s">
        <v>221</v>
      </c>
      <c r="G10" s="8" t="s">
        <v>53</v>
      </c>
      <c r="H10" s="8" t="s">
        <v>53</v>
      </c>
      <c r="I10" s="8" t="s">
        <v>311</v>
      </c>
      <c r="J10" s="8" t="s">
        <v>298</v>
      </c>
      <c r="K10" s="8" t="s">
        <v>298</v>
      </c>
      <c r="L10" s="1" t="s">
        <v>1206</v>
      </c>
      <c r="M10" s="69">
        <v>0.57799999999999996</v>
      </c>
      <c r="N10" s="70">
        <v>46234</v>
      </c>
      <c r="O10" s="68">
        <v>1E-3</v>
      </c>
      <c r="P10" s="68">
        <v>2.58E-2</v>
      </c>
      <c r="Q10" s="67">
        <v>0</v>
      </c>
      <c r="R10" s="67">
        <v>70544896</v>
      </c>
      <c r="S10" s="67">
        <v>1</v>
      </c>
      <c r="T10" s="67">
        <v>116.46</v>
      </c>
      <c r="U10" s="67">
        <v>82156.585879999999</v>
      </c>
      <c r="V10" s="140" t="s">
        <v>2853</v>
      </c>
      <c r="W10" s="8" t="s">
        <v>17</v>
      </c>
      <c r="X10" s="68">
        <v>3.4915325319999999E-3</v>
      </c>
      <c r="Y10" s="68">
        <v>7.8834781734016909E-2</v>
      </c>
      <c r="Z10" s="68">
        <v>1.9064208538663915E-2</v>
      </c>
    </row>
    <row r="11" spans="1:26" x14ac:dyDescent="0.25">
      <c r="A11" s="8">
        <v>13908</v>
      </c>
      <c r="B11" s="8">
        <v>13908</v>
      </c>
      <c r="C11" s="8" t="s">
        <v>1214</v>
      </c>
      <c r="D11" s="8" t="s">
        <v>1233</v>
      </c>
      <c r="E11" s="8" t="s">
        <v>1234</v>
      </c>
      <c r="F11" s="8" t="s">
        <v>221</v>
      </c>
      <c r="G11" s="8" t="s">
        <v>53</v>
      </c>
      <c r="H11" s="8" t="s">
        <v>53</v>
      </c>
      <c r="I11" s="8" t="s">
        <v>311</v>
      </c>
      <c r="J11" s="8" t="s">
        <v>298</v>
      </c>
      <c r="K11" s="8" t="s">
        <v>298</v>
      </c>
      <c r="L11" s="1" t="s">
        <v>1206</v>
      </c>
      <c r="M11" s="69">
        <v>5.899</v>
      </c>
      <c r="N11" s="70">
        <v>48182</v>
      </c>
      <c r="O11" s="68">
        <v>1E-3</v>
      </c>
      <c r="P11" s="68">
        <v>1.7000000000000001E-2</v>
      </c>
      <c r="Q11" s="67">
        <v>0</v>
      </c>
      <c r="R11" s="67">
        <v>15892000</v>
      </c>
      <c r="S11" s="67">
        <v>1</v>
      </c>
      <c r="T11" s="67">
        <v>107.5</v>
      </c>
      <c r="U11" s="67">
        <v>17083.900000000001</v>
      </c>
      <c r="V11" s="140" t="s">
        <v>2853</v>
      </c>
      <c r="W11" s="8" t="s">
        <v>17</v>
      </c>
      <c r="X11" s="68">
        <v>4.6429175100000001E-4</v>
      </c>
      <c r="Y11" s="68">
        <v>1.6393153552326897E-2</v>
      </c>
      <c r="Z11" s="68">
        <v>3.9642717472387796E-3</v>
      </c>
    </row>
    <row r="12" spans="1:26" x14ac:dyDescent="0.25">
      <c r="A12" s="8">
        <v>13908</v>
      </c>
      <c r="B12" s="8">
        <v>13908</v>
      </c>
      <c r="C12" s="8" t="s">
        <v>1214</v>
      </c>
      <c r="D12" s="8" t="s">
        <v>1235</v>
      </c>
      <c r="E12" s="8" t="s">
        <v>1236</v>
      </c>
      <c r="F12" s="8" t="s">
        <v>223</v>
      </c>
      <c r="G12" s="8" t="s">
        <v>53</v>
      </c>
      <c r="H12" s="8" t="s">
        <v>53</v>
      </c>
      <c r="I12" s="8" t="s">
        <v>311</v>
      </c>
      <c r="J12" s="8" t="s">
        <v>298</v>
      </c>
      <c r="K12" s="8" t="s">
        <v>298</v>
      </c>
      <c r="L12" s="1" t="s">
        <v>1206</v>
      </c>
      <c r="M12" s="69">
        <v>6.04</v>
      </c>
      <c r="N12" s="70">
        <v>48334</v>
      </c>
      <c r="O12" s="68">
        <v>1.2999999999999999E-2</v>
      </c>
      <c r="P12" s="68">
        <v>3.7900000000000003E-2</v>
      </c>
      <c r="Q12" s="67">
        <v>0</v>
      </c>
      <c r="R12" s="67">
        <v>82012941</v>
      </c>
      <c r="S12" s="67">
        <v>1</v>
      </c>
      <c r="T12" s="67">
        <v>87.06</v>
      </c>
      <c r="U12" s="67">
        <v>71400.46643</v>
      </c>
      <c r="V12" s="140" t="s">
        <v>2853</v>
      </c>
      <c r="W12" s="8" t="s">
        <v>17</v>
      </c>
      <c r="X12" s="68">
        <v>1.995995423E-3</v>
      </c>
      <c r="Y12" s="68">
        <v>6.8513560129405557E-2</v>
      </c>
      <c r="Z12" s="68">
        <v>1.6568280767747405E-2</v>
      </c>
    </row>
    <row r="13" spans="1:26" x14ac:dyDescent="0.25">
      <c r="A13" s="8">
        <v>13908</v>
      </c>
      <c r="B13" s="8">
        <v>13908</v>
      </c>
      <c r="C13" s="8" t="s">
        <v>1214</v>
      </c>
      <c r="D13" s="8" t="s">
        <v>1237</v>
      </c>
      <c r="E13" s="8" t="s">
        <v>1238</v>
      </c>
      <c r="F13" s="8" t="s">
        <v>223</v>
      </c>
      <c r="G13" s="8" t="s">
        <v>53</v>
      </c>
      <c r="H13" s="8" t="s">
        <v>53</v>
      </c>
      <c r="I13" s="8" t="s">
        <v>311</v>
      </c>
      <c r="J13" s="8" t="s">
        <v>298</v>
      </c>
      <c r="K13" s="8" t="s">
        <v>298</v>
      </c>
      <c r="L13" s="1" t="s">
        <v>1206</v>
      </c>
      <c r="M13" s="69">
        <v>17.815999999999999</v>
      </c>
      <c r="N13" s="70">
        <v>55852</v>
      </c>
      <c r="O13" s="68">
        <v>2.8000000000000001E-2</v>
      </c>
      <c r="P13" s="68">
        <v>4.4400000000000002E-2</v>
      </c>
      <c r="Q13" s="67">
        <v>0</v>
      </c>
      <c r="R13" s="67">
        <v>3329807</v>
      </c>
      <c r="S13" s="67">
        <v>1</v>
      </c>
      <c r="T13" s="67">
        <v>74.760000000000005</v>
      </c>
      <c r="U13" s="67">
        <v>2489.3637100000001</v>
      </c>
      <c r="V13" s="140" t="s">
        <v>2853</v>
      </c>
      <c r="W13" s="8" t="s">
        <v>17</v>
      </c>
      <c r="X13" s="68">
        <v>1.11001706E-4</v>
      </c>
      <c r="Y13" s="68">
        <v>2.3887122697756461E-3</v>
      </c>
      <c r="Z13" s="68">
        <v>5.776499642443769E-4</v>
      </c>
    </row>
    <row r="14" spans="1:26" x14ac:dyDescent="0.25">
      <c r="A14" s="8">
        <v>13908</v>
      </c>
      <c r="B14" s="8">
        <v>13908</v>
      </c>
      <c r="C14" s="8" t="s">
        <v>1214</v>
      </c>
      <c r="D14" s="8" t="s">
        <v>1239</v>
      </c>
      <c r="E14" s="8" t="s">
        <v>1240</v>
      </c>
      <c r="F14" s="8" t="s">
        <v>223</v>
      </c>
      <c r="G14" s="8" t="s">
        <v>53</v>
      </c>
      <c r="H14" s="8" t="s">
        <v>53</v>
      </c>
      <c r="I14" s="8" t="s">
        <v>311</v>
      </c>
      <c r="J14" s="8" t="s">
        <v>298</v>
      </c>
      <c r="K14" s="8" t="s">
        <v>298</v>
      </c>
      <c r="L14" s="1" t="s">
        <v>1206</v>
      </c>
      <c r="M14" s="69">
        <v>2.95</v>
      </c>
      <c r="N14" s="70">
        <v>47177</v>
      </c>
      <c r="O14" s="68">
        <v>3.7499999999999999E-2</v>
      </c>
      <c r="P14" s="68">
        <v>3.7100000000000001E-2</v>
      </c>
      <c r="Q14" s="67">
        <v>0</v>
      </c>
      <c r="R14" s="67">
        <v>40799074</v>
      </c>
      <c r="S14" s="67">
        <v>1</v>
      </c>
      <c r="T14" s="67">
        <v>103.23</v>
      </c>
      <c r="U14" s="67">
        <v>42116.88409</v>
      </c>
      <c r="V14" s="140" t="s">
        <v>2853</v>
      </c>
      <c r="W14" s="8" t="s">
        <v>17</v>
      </c>
      <c r="X14" s="68">
        <v>1.1648436209999999E-3</v>
      </c>
      <c r="Y14" s="68">
        <v>4.0413989079362646E-2</v>
      </c>
      <c r="Z14" s="68">
        <v>9.7731064733297107E-3</v>
      </c>
    </row>
    <row r="15" spans="1:26" x14ac:dyDescent="0.25">
      <c r="A15" s="8">
        <v>13908</v>
      </c>
      <c r="B15" s="8">
        <v>13908</v>
      </c>
      <c r="C15" s="8" t="s">
        <v>1214</v>
      </c>
      <c r="D15" s="8" t="s">
        <v>1241</v>
      </c>
      <c r="E15" s="8" t="s">
        <v>1242</v>
      </c>
      <c r="F15" s="8" t="s">
        <v>221</v>
      </c>
      <c r="G15" s="8" t="s">
        <v>53</v>
      </c>
      <c r="H15" s="8" t="s">
        <v>53</v>
      </c>
      <c r="I15" s="8" t="s">
        <v>311</v>
      </c>
      <c r="J15" s="8" t="s">
        <v>298</v>
      </c>
      <c r="K15" s="8" t="s">
        <v>298</v>
      </c>
      <c r="L15" s="1" t="s">
        <v>1206</v>
      </c>
      <c r="M15" s="69">
        <v>2.8</v>
      </c>
      <c r="N15" s="70">
        <v>47057</v>
      </c>
      <c r="O15" s="68">
        <v>1.0999999999999999E-2</v>
      </c>
      <c r="P15" s="68">
        <v>1.7600000000000001E-2</v>
      </c>
      <c r="Q15" s="67">
        <v>0</v>
      </c>
      <c r="R15" s="67">
        <v>111745976</v>
      </c>
      <c r="S15" s="67">
        <v>1</v>
      </c>
      <c r="T15" s="67">
        <v>105.04</v>
      </c>
      <c r="U15" s="67">
        <v>117377.97319</v>
      </c>
      <c r="V15" s="140" t="s">
        <v>2853</v>
      </c>
      <c r="W15" s="8" t="s">
        <v>17</v>
      </c>
      <c r="X15" s="68">
        <v>3.3162828010000001E-3</v>
      </c>
      <c r="Y15" s="68">
        <v>0.11263207687732775</v>
      </c>
      <c r="Z15" s="68">
        <v>2.7237234054593384E-2</v>
      </c>
    </row>
    <row r="16" spans="1:26" x14ac:dyDescent="0.25">
      <c r="A16" s="8">
        <v>13908</v>
      </c>
      <c r="B16" s="8">
        <v>13908</v>
      </c>
      <c r="C16" s="8" t="s">
        <v>1214</v>
      </c>
      <c r="D16" s="8" t="s">
        <v>1243</v>
      </c>
      <c r="E16" s="8" t="s">
        <v>1244</v>
      </c>
      <c r="F16" s="8" t="s">
        <v>223</v>
      </c>
      <c r="G16" s="8" t="s">
        <v>53</v>
      </c>
      <c r="H16" s="8" t="s">
        <v>53</v>
      </c>
      <c r="I16" s="8" t="s">
        <v>311</v>
      </c>
      <c r="J16" s="8" t="s">
        <v>298</v>
      </c>
      <c r="K16" s="8" t="s">
        <v>298</v>
      </c>
      <c r="L16" s="1" t="s">
        <v>1206</v>
      </c>
      <c r="M16" s="69">
        <v>7.6890000000000001</v>
      </c>
      <c r="N16" s="70">
        <v>49398</v>
      </c>
      <c r="O16" s="68">
        <v>0.04</v>
      </c>
      <c r="P16" s="68">
        <v>3.9100000000000003E-2</v>
      </c>
      <c r="Q16" s="67">
        <v>0</v>
      </c>
      <c r="R16" s="67">
        <v>94610365</v>
      </c>
      <c r="S16" s="67">
        <v>1</v>
      </c>
      <c r="T16" s="67">
        <v>103.69</v>
      </c>
      <c r="U16" s="67">
        <v>98101.487469999993</v>
      </c>
      <c r="V16" s="140" t="s">
        <v>2853</v>
      </c>
      <c r="W16" s="8" t="s">
        <v>17</v>
      </c>
      <c r="X16" s="68">
        <v>2.5800482719999999E-3</v>
      </c>
      <c r="Y16" s="68">
        <v>9.4134989540291314E-2</v>
      </c>
      <c r="Z16" s="68">
        <v>2.2764178854911356E-2</v>
      </c>
    </row>
    <row r="17" spans="1:26" x14ac:dyDescent="0.25">
      <c r="A17" s="8">
        <v>13908</v>
      </c>
      <c r="B17" s="8">
        <v>13908</v>
      </c>
      <c r="C17" s="8" t="s">
        <v>1214</v>
      </c>
      <c r="D17" s="8" t="s">
        <v>1245</v>
      </c>
      <c r="E17" s="8" t="s">
        <v>1246</v>
      </c>
      <c r="F17" s="8" t="s">
        <v>223</v>
      </c>
      <c r="G17" s="8" t="s">
        <v>53</v>
      </c>
      <c r="H17" s="8" t="s">
        <v>53</v>
      </c>
      <c r="I17" s="8" t="s">
        <v>311</v>
      </c>
      <c r="J17" s="8" t="s">
        <v>298</v>
      </c>
      <c r="K17" s="8" t="s">
        <v>298</v>
      </c>
      <c r="L17" s="1" t="s">
        <v>1206</v>
      </c>
      <c r="M17" s="69">
        <v>1.7090000000000001</v>
      </c>
      <c r="N17" s="70">
        <v>46660</v>
      </c>
      <c r="O17" s="68">
        <v>3.7499999999999999E-2</v>
      </c>
      <c r="P17" s="68">
        <v>3.7400000000000003E-2</v>
      </c>
      <c r="Q17" s="67">
        <v>0</v>
      </c>
      <c r="R17" s="67">
        <v>66377541</v>
      </c>
      <c r="S17" s="67">
        <v>1</v>
      </c>
      <c r="T17" s="67">
        <v>100.96</v>
      </c>
      <c r="U17" s="67">
        <v>67014.76539</v>
      </c>
      <c r="V17" s="140" t="s">
        <v>2853</v>
      </c>
      <c r="W17" s="8" t="s">
        <v>17</v>
      </c>
      <c r="X17" s="68">
        <v>1.830696406E-3</v>
      </c>
      <c r="Y17" s="68">
        <v>6.4305184373089977E-2</v>
      </c>
      <c r="Z17" s="68">
        <v>1.5550590970645589E-2</v>
      </c>
    </row>
    <row r="18" spans="1:26" x14ac:dyDescent="0.25">
      <c r="A18" s="8">
        <v>13908</v>
      </c>
      <c r="B18" s="8">
        <v>13908</v>
      </c>
      <c r="C18" s="8" t="s">
        <v>1214</v>
      </c>
      <c r="D18" s="8" t="s">
        <v>1247</v>
      </c>
      <c r="E18" s="8" t="s">
        <v>1248</v>
      </c>
      <c r="F18" s="8" t="s">
        <v>221</v>
      </c>
      <c r="G18" s="8" t="s">
        <v>53</v>
      </c>
      <c r="H18" s="8" t="s">
        <v>53</v>
      </c>
      <c r="I18" s="8" t="s">
        <v>311</v>
      </c>
      <c r="J18" s="8" t="s">
        <v>298</v>
      </c>
      <c r="K18" s="8" t="s">
        <v>298</v>
      </c>
      <c r="L18" s="1" t="s">
        <v>1206</v>
      </c>
      <c r="M18" s="69">
        <v>7.4050000000000002</v>
      </c>
      <c r="N18" s="70">
        <v>48883</v>
      </c>
      <c r="O18" s="68">
        <v>1.6E-2</v>
      </c>
      <c r="P18" s="68">
        <v>1.7899999999999999E-2</v>
      </c>
      <c r="Q18" s="67">
        <v>0</v>
      </c>
      <c r="R18" s="67">
        <v>10697170</v>
      </c>
      <c r="S18" s="67">
        <v>1</v>
      </c>
      <c r="T18" s="67">
        <v>104.8</v>
      </c>
      <c r="U18" s="67">
        <v>11210.63416</v>
      </c>
      <c r="V18" s="140" t="s">
        <v>2853</v>
      </c>
      <c r="W18" s="8" t="s">
        <v>17</v>
      </c>
      <c r="X18" s="68">
        <v>3.7175979899999999E-4</v>
      </c>
      <c r="Y18" s="68">
        <v>1.0757359104410657E-2</v>
      </c>
      <c r="Z18" s="68">
        <v>2.6013966523520944E-3</v>
      </c>
    </row>
    <row r="19" spans="1:26" x14ac:dyDescent="0.25">
      <c r="A19" s="8">
        <v>13908</v>
      </c>
      <c r="B19" s="8">
        <v>13908</v>
      </c>
      <c r="C19" s="8" t="s">
        <v>1214</v>
      </c>
      <c r="D19" s="8" t="s">
        <v>1249</v>
      </c>
      <c r="E19" s="8" t="s">
        <v>1250</v>
      </c>
      <c r="F19" s="8" t="s">
        <v>224</v>
      </c>
      <c r="G19" s="8" t="s">
        <v>53</v>
      </c>
      <c r="H19" s="8" t="s">
        <v>53</v>
      </c>
      <c r="I19" s="8" t="s">
        <v>311</v>
      </c>
      <c r="J19" s="8" t="s">
        <v>298</v>
      </c>
      <c r="K19" s="8" t="s">
        <v>298</v>
      </c>
      <c r="L19" s="1" t="s">
        <v>1206</v>
      </c>
      <c r="M19" s="69">
        <v>7.5510000000000002</v>
      </c>
      <c r="N19" s="70">
        <v>49278</v>
      </c>
      <c r="O19" s="68">
        <v>3.7843000000000002E-2</v>
      </c>
      <c r="P19" s="68">
        <v>4.3099999999999999E-2</v>
      </c>
      <c r="Q19" s="67">
        <v>0</v>
      </c>
      <c r="R19" s="67">
        <v>19000000</v>
      </c>
      <c r="S19" s="67">
        <v>1</v>
      </c>
      <c r="T19" s="67">
        <v>97.1</v>
      </c>
      <c r="U19" s="67">
        <v>18449</v>
      </c>
      <c r="V19" s="140" t="s">
        <v>2853</v>
      </c>
      <c r="W19" s="8" t="s">
        <v>17</v>
      </c>
      <c r="X19" s="68">
        <v>7.55080349E-4</v>
      </c>
      <c r="Y19" s="68">
        <v>1.7703059013859768E-2</v>
      </c>
      <c r="Z19" s="68">
        <v>4.2810394268760791E-3</v>
      </c>
    </row>
    <row r="20" spans="1:26" x14ac:dyDescent="0.25">
      <c r="A20" s="1">
        <v>13908</v>
      </c>
      <c r="B20" s="1">
        <v>13908</v>
      </c>
      <c r="C20" s="1" t="s">
        <v>1214</v>
      </c>
      <c r="D20" s="1" t="s">
        <v>1251</v>
      </c>
      <c r="E20" s="1" t="s">
        <v>1252</v>
      </c>
      <c r="F20" s="8" t="s">
        <v>221</v>
      </c>
      <c r="G20" s="8" t="s">
        <v>53</v>
      </c>
      <c r="H20" s="8" t="s">
        <v>53</v>
      </c>
      <c r="I20" s="8" t="s">
        <v>311</v>
      </c>
      <c r="J20" s="1" t="s">
        <v>298</v>
      </c>
      <c r="K20" s="8" t="s">
        <v>298</v>
      </c>
      <c r="L20" s="1" t="s">
        <v>1206</v>
      </c>
      <c r="M20" s="69">
        <v>5.0460000000000003</v>
      </c>
      <c r="N20" s="70">
        <v>47968</v>
      </c>
      <c r="O20" s="68">
        <v>0.02</v>
      </c>
      <c r="P20" s="68">
        <v>1.8100000000000002E-2</v>
      </c>
      <c r="Q20" s="67">
        <v>0</v>
      </c>
      <c r="R20" s="67">
        <v>9641400</v>
      </c>
      <c r="S20" s="67">
        <v>1</v>
      </c>
      <c r="T20" s="67">
        <v>103.86</v>
      </c>
      <c r="U20" s="67">
        <v>10013.55804</v>
      </c>
      <c r="V20" s="140" t="s">
        <v>2853</v>
      </c>
      <c r="W20" s="8" t="s">
        <v>17</v>
      </c>
      <c r="X20" s="68">
        <v>9.5763240800000003E-4</v>
      </c>
      <c r="Y20" s="68">
        <v>9.6086838810141434E-3</v>
      </c>
      <c r="Z20" s="68">
        <v>2.3236184493767658E-3</v>
      </c>
    </row>
    <row r="21" spans="1:26" x14ac:dyDescent="0.25">
      <c r="A21" s="1">
        <v>13908</v>
      </c>
      <c r="B21" s="1">
        <v>13908</v>
      </c>
      <c r="C21" s="1" t="s">
        <v>1214</v>
      </c>
      <c r="D21" s="1" t="s">
        <v>1253</v>
      </c>
      <c r="E21" s="1" t="s">
        <v>1254</v>
      </c>
      <c r="F21" s="1" t="s">
        <v>223</v>
      </c>
      <c r="G21" s="1" t="s">
        <v>53</v>
      </c>
      <c r="H21" s="1" t="s">
        <v>53</v>
      </c>
      <c r="I21" s="1" t="s">
        <v>311</v>
      </c>
      <c r="J21" s="1" t="s">
        <v>298</v>
      </c>
      <c r="K21" s="1" t="s">
        <v>298</v>
      </c>
      <c r="L21" s="8" t="s">
        <v>1206</v>
      </c>
      <c r="M21" s="69">
        <v>0.41099999999999998</v>
      </c>
      <c r="N21" s="70">
        <v>46173</v>
      </c>
      <c r="O21" s="68">
        <v>0</v>
      </c>
      <c r="P21" s="68">
        <v>3.95E-2</v>
      </c>
      <c r="Q21" s="67">
        <v>0</v>
      </c>
      <c r="R21" s="67">
        <v>59250000</v>
      </c>
      <c r="S21" s="67">
        <v>1</v>
      </c>
      <c r="T21" s="67">
        <v>98.42</v>
      </c>
      <c r="U21" s="67">
        <v>58313.85</v>
      </c>
      <c r="V21" s="140" t="s">
        <v>2853</v>
      </c>
      <c r="W21" s="1" t="s">
        <v>17</v>
      </c>
      <c r="X21" s="68">
        <v>1.5250831781E-2</v>
      </c>
      <c r="Y21" s="68">
        <v>5.5956069590512567E-2</v>
      </c>
      <c r="Z21" s="68">
        <v>1.3531567617916289E-2</v>
      </c>
    </row>
    <row r="22" spans="1:26" x14ac:dyDescent="0.25">
      <c r="A22" s="1">
        <v>13908</v>
      </c>
      <c r="B22" s="1">
        <v>13908</v>
      </c>
      <c r="C22" s="1" t="s">
        <v>1214</v>
      </c>
      <c r="D22" s="1" t="s">
        <v>1255</v>
      </c>
      <c r="E22" s="1" t="s">
        <v>1256</v>
      </c>
      <c r="F22" s="1" t="s">
        <v>223</v>
      </c>
      <c r="G22" s="1" t="s">
        <v>53</v>
      </c>
      <c r="H22" s="1" t="s">
        <v>53</v>
      </c>
      <c r="I22" s="1" t="s">
        <v>311</v>
      </c>
      <c r="J22" s="1" t="s">
        <v>298</v>
      </c>
      <c r="K22" s="1" t="s">
        <v>298</v>
      </c>
      <c r="L22" s="8" t="s">
        <v>1206</v>
      </c>
      <c r="M22" s="69">
        <v>8.2349999999999994</v>
      </c>
      <c r="N22" s="70">
        <v>49613</v>
      </c>
      <c r="O22" s="68">
        <v>4.1500000000000002E-2</v>
      </c>
      <c r="P22" s="68">
        <v>3.95E-2</v>
      </c>
      <c r="Q22" s="67">
        <v>0</v>
      </c>
      <c r="R22" s="67">
        <v>36006000</v>
      </c>
      <c r="S22" s="67">
        <v>1</v>
      </c>
      <c r="T22" s="67">
        <v>102.25</v>
      </c>
      <c r="U22" s="67">
        <v>36816.135000000002</v>
      </c>
      <c r="V22" s="140" t="s">
        <v>2853</v>
      </c>
      <c r="W22" s="1" t="s">
        <v>17</v>
      </c>
      <c r="X22" s="68">
        <v>7.0244644729999996E-3</v>
      </c>
      <c r="Y22" s="68">
        <v>3.532756304229108E-2</v>
      </c>
      <c r="Z22" s="68">
        <v>8.5430823069105287E-3</v>
      </c>
    </row>
    <row r="23" spans="1:26" x14ac:dyDescent="0.25">
      <c r="A23" s="1">
        <v>13908</v>
      </c>
      <c r="B23" s="1">
        <v>13908</v>
      </c>
      <c r="C23" s="1" t="s">
        <v>1257</v>
      </c>
      <c r="D23" s="1" t="s">
        <v>1258</v>
      </c>
      <c r="E23" s="1" t="s">
        <v>1259</v>
      </c>
      <c r="F23" s="1" t="s">
        <v>227</v>
      </c>
      <c r="G23" s="1" t="s">
        <v>53</v>
      </c>
      <c r="H23" s="1" t="s">
        <v>53</v>
      </c>
      <c r="I23" s="1" t="s">
        <v>311</v>
      </c>
      <c r="J23" s="1" t="s">
        <v>298</v>
      </c>
      <c r="K23" s="1" t="s">
        <v>298</v>
      </c>
      <c r="L23" s="8" t="s">
        <v>1206</v>
      </c>
      <c r="M23" s="69">
        <v>0.34</v>
      </c>
      <c r="N23" s="70">
        <v>46148</v>
      </c>
      <c r="O23" s="68">
        <v>0</v>
      </c>
      <c r="P23" s="68">
        <v>3.9899999999999998E-2</v>
      </c>
      <c r="Q23" s="67">
        <v>0</v>
      </c>
      <c r="R23" s="67">
        <v>5000000</v>
      </c>
      <c r="S23" s="67">
        <v>1</v>
      </c>
      <c r="T23" s="67">
        <v>98.67</v>
      </c>
      <c r="U23" s="67">
        <v>4933.5</v>
      </c>
      <c r="V23" s="140" t="s">
        <v>2853</v>
      </c>
      <c r="W23" s="1" t="s">
        <v>17</v>
      </c>
      <c r="X23" s="68">
        <v>2.7777777699999998E-4</v>
      </c>
      <c r="Y23" s="68">
        <v>4.7340257816075211E-3</v>
      </c>
      <c r="Z23" s="68">
        <v>1.1448050307601026E-3</v>
      </c>
    </row>
    <row r="24" spans="1:26" x14ac:dyDescent="0.25">
      <c r="A24" s="1">
        <v>13908</v>
      </c>
      <c r="B24" s="1">
        <v>13908</v>
      </c>
      <c r="C24" s="1" t="s">
        <v>1257</v>
      </c>
      <c r="D24" s="1" t="s">
        <v>1260</v>
      </c>
      <c r="E24" s="1" t="s">
        <v>1261</v>
      </c>
      <c r="F24" s="1" t="s">
        <v>227</v>
      </c>
      <c r="G24" s="1" t="s">
        <v>53</v>
      </c>
      <c r="H24" s="1" t="s">
        <v>53</v>
      </c>
      <c r="I24" s="1" t="s">
        <v>311</v>
      </c>
      <c r="J24" s="1" t="s">
        <v>298</v>
      </c>
      <c r="K24" s="1" t="s">
        <v>298</v>
      </c>
      <c r="L24" s="8" t="s">
        <v>1206</v>
      </c>
      <c r="M24" s="69">
        <v>0.42</v>
      </c>
      <c r="N24" s="70">
        <v>46176</v>
      </c>
      <c r="O24" s="68">
        <v>0</v>
      </c>
      <c r="P24" s="68">
        <v>4.02E-2</v>
      </c>
      <c r="Q24" s="67">
        <v>0</v>
      </c>
      <c r="R24" s="67">
        <v>10000000</v>
      </c>
      <c r="S24" s="67">
        <v>1</v>
      </c>
      <c r="T24" s="67">
        <v>98.36</v>
      </c>
      <c r="U24" s="67">
        <v>9836</v>
      </c>
      <c r="V24" s="140" t="s">
        <v>2853</v>
      </c>
      <c r="W24" s="1" t="s">
        <v>17</v>
      </c>
      <c r="X24" s="68">
        <v>5.5555555499999995E-4</v>
      </c>
      <c r="Y24" s="68">
        <v>9.4383049737289098E-3</v>
      </c>
      <c r="Z24" s="68">
        <v>2.2824165972547624E-3</v>
      </c>
    </row>
    <row r="25" spans="1:26" x14ac:dyDescent="0.25">
      <c r="A25" s="1">
        <v>13908</v>
      </c>
      <c r="B25" s="1">
        <v>13908</v>
      </c>
      <c r="C25" s="1" t="s">
        <v>1257</v>
      </c>
      <c r="D25" s="1" t="s">
        <v>1262</v>
      </c>
      <c r="E25" s="1" t="s">
        <v>1263</v>
      </c>
      <c r="F25" s="1" t="s">
        <v>227</v>
      </c>
      <c r="G25" s="1" t="s">
        <v>53</v>
      </c>
      <c r="H25" s="1" t="s">
        <v>53</v>
      </c>
      <c r="I25" s="1" t="s">
        <v>311</v>
      </c>
      <c r="J25" s="1" t="s">
        <v>298</v>
      </c>
      <c r="K25" s="1" t="s">
        <v>298</v>
      </c>
      <c r="L25" s="8" t="s">
        <v>1206</v>
      </c>
      <c r="M25" s="69">
        <v>0.76</v>
      </c>
      <c r="N25" s="70">
        <v>46302</v>
      </c>
      <c r="O25" s="68">
        <v>0</v>
      </c>
      <c r="P25" s="68">
        <v>3.8800000000000001E-2</v>
      </c>
      <c r="Q25" s="67">
        <v>0</v>
      </c>
      <c r="R25" s="67">
        <v>33500000</v>
      </c>
      <c r="S25" s="67">
        <v>1</v>
      </c>
      <c r="T25" s="67">
        <v>97.13</v>
      </c>
      <c r="U25" s="67">
        <v>32538.55</v>
      </c>
      <c r="V25" s="140" t="s">
        <v>2853</v>
      </c>
      <c r="W25" s="1" t="s">
        <v>17</v>
      </c>
      <c r="X25" s="68">
        <v>1.8611111109999999E-3</v>
      </c>
      <c r="Y25" s="68">
        <v>3.1222931913676987E-2</v>
      </c>
      <c r="Z25" s="68">
        <v>7.5504805378816542E-3</v>
      </c>
    </row>
    <row r="26" spans="1:26" x14ac:dyDescent="0.25">
      <c r="A26" s="1">
        <v>13908</v>
      </c>
      <c r="B26" s="1">
        <v>13908</v>
      </c>
      <c r="C26" s="1" t="s">
        <v>1264</v>
      </c>
      <c r="D26" s="1" t="s">
        <v>1264</v>
      </c>
      <c r="E26" s="1" t="s">
        <v>1265</v>
      </c>
      <c r="F26" s="1" t="s">
        <v>246</v>
      </c>
      <c r="G26" s="1" t="s">
        <v>61</v>
      </c>
      <c r="H26" s="1" t="s">
        <v>53</v>
      </c>
      <c r="I26" s="1" t="s">
        <v>494</v>
      </c>
      <c r="J26" s="1" t="s">
        <v>1266</v>
      </c>
      <c r="K26" s="1" t="s">
        <v>84</v>
      </c>
      <c r="L26" s="8" t="s">
        <v>1212</v>
      </c>
      <c r="M26" s="69">
        <v>9.468</v>
      </c>
      <c r="N26" s="70">
        <v>50058</v>
      </c>
      <c r="O26" s="68">
        <v>2.375E-2</v>
      </c>
      <c r="P26" s="68">
        <v>3.9870000000000003E-2</v>
      </c>
      <c r="Q26" s="67">
        <v>0</v>
      </c>
      <c r="R26" s="67">
        <v>675000</v>
      </c>
      <c r="S26" s="67">
        <v>3.7454999999999998</v>
      </c>
      <c r="T26" s="67">
        <v>88.117400000000004</v>
      </c>
      <c r="U26" s="67">
        <v>2227.7951200000002</v>
      </c>
      <c r="V26" s="140" t="s">
        <v>2853</v>
      </c>
      <c r="W26" s="1" t="s">
        <v>17</v>
      </c>
      <c r="X26" s="68">
        <v>8.9999999999999998E-4</v>
      </c>
      <c r="Y26" s="68">
        <v>2.1377195772209227E-3</v>
      </c>
      <c r="Z26" s="68">
        <v>5.1695369633704402E-4</v>
      </c>
    </row>
    <row r="27" spans="1:26" x14ac:dyDescent="0.25">
      <c r="A27" s="1">
        <v>13908</v>
      </c>
      <c r="B27" s="1">
        <v>13908</v>
      </c>
      <c r="C27" s="1" t="s">
        <v>1264</v>
      </c>
      <c r="D27" s="1" t="s">
        <v>1267</v>
      </c>
      <c r="E27" s="1" t="s">
        <v>1268</v>
      </c>
      <c r="F27" s="1" t="s">
        <v>246</v>
      </c>
      <c r="G27" s="1" t="s">
        <v>61</v>
      </c>
      <c r="H27" s="1" t="s">
        <v>53</v>
      </c>
      <c r="I27" s="1" t="s">
        <v>494</v>
      </c>
      <c r="J27" s="1" t="s">
        <v>1269</v>
      </c>
      <c r="K27" s="1" t="s">
        <v>84</v>
      </c>
      <c r="L27" s="1" t="s">
        <v>1207</v>
      </c>
      <c r="M27" s="69">
        <v>4.95</v>
      </c>
      <c r="N27" s="70">
        <v>48158</v>
      </c>
      <c r="O27" s="68">
        <v>6.5000000000000002E-2</v>
      </c>
      <c r="P27" s="68">
        <v>4.6059999999999997E-2</v>
      </c>
      <c r="Q27" s="67">
        <v>0</v>
      </c>
      <c r="R27" s="67">
        <v>100000</v>
      </c>
      <c r="S27" s="67">
        <v>3.19</v>
      </c>
      <c r="T27" s="67">
        <v>109.8283</v>
      </c>
      <c r="U27" s="67">
        <v>350.35228000000001</v>
      </c>
      <c r="V27" s="140" t="s">
        <v>2853</v>
      </c>
      <c r="W27" s="1" t="s">
        <v>17</v>
      </c>
      <c r="X27" s="68">
        <v>6.6666666666666697E-5</v>
      </c>
      <c r="Y27" s="68">
        <v>3.3618662737711102E-4</v>
      </c>
      <c r="Z27" s="68">
        <v>8.1298277628919047E-5</v>
      </c>
    </row>
    <row r="28" spans="1:26" x14ac:dyDescent="0.25">
      <c r="A28" s="1">
        <v>13908</v>
      </c>
      <c r="B28" s="1">
        <v>13908</v>
      </c>
      <c r="C28" s="1" t="s">
        <v>1264</v>
      </c>
      <c r="D28" s="1" t="s">
        <v>1270</v>
      </c>
      <c r="E28" s="1" t="s">
        <v>1271</v>
      </c>
      <c r="F28" s="1" t="s">
        <v>246</v>
      </c>
      <c r="G28" s="1" t="s">
        <v>61</v>
      </c>
      <c r="H28" s="1" t="s">
        <v>53</v>
      </c>
      <c r="I28" s="1" t="s">
        <v>494</v>
      </c>
      <c r="J28" s="1" t="s">
        <v>1269</v>
      </c>
      <c r="K28" s="1" t="s">
        <v>84</v>
      </c>
      <c r="L28" s="1" t="s">
        <v>1207</v>
      </c>
      <c r="M28" s="69">
        <v>13.765000000000001</v>
      </c>
      <c r="N28" s="70">
        <v>56320</v>
      </c>
      <c r="O28" s="68">
        <v>5.7500000000000002E-2</v>
      </c>
      <c r="P28" s="68">
        <v>6.0299999999999999E-2</v>
      </c>
      <c r="Q28" s="67">
        <v>0</v>
      </c>
      <c r="R28" s="67">
        <v>561000</v>
      </c>
      <c r="S28" s="67">
        <v>3.19</v>
      </c>
      <c r="T28" s="67">
        <v>98.247399999999999</v>
      </c>
      <c r="U28" s="67">
        <v>1758.2256500000001</v>
      </c>
      <c r="V28" s="140" t="s">
        <v>2853</v>
      </c>
      <c r="W28" s="1" t="s">
        <v>17</v>
      </c>
      <c r="X28" s="68">
        <v>1.8699999999999999E-4</v>
      </c>
      <c r="Y28" s="68">
        <v>1.6871360204689658E-3</v>
      </c>
      <c r="Z28" s="68">
        <v>4.0799139947936589E-4</v>
      </c>
    </row>
    <row r="29" spans="1:26" x14ac:dyDescent="0.25">
      <c r="A29" s="1">
        <v>13908</v>
      </c>
      <c r="B29" s="1">
        <v>13908</v>
      </c>
      <c r="C29" s="1" t="s">
        <v>1264</v>
      </c>
      <c r="D29" s="1" t="s">
        <v>1272</v>
      </c>
      <c r="E29" s="1" t="s">
        <v>1273</v>
      </c>
      <c r="F29" s="1" t="s">
        <v>246</v>
      </c>
      <c r="G29" s="1" t="s">
        <v>61</v>
      </c>
      <c r="H29" s="1" t="s">
        <v>53</v>
      </c>
      <c r="I29" s="1" t="s">
        <v>494</v>
      </c>
      <c r="J29" s="1" t="s">
        <v>1269</v>
      </c>
      <c r="K29" s="1" t="s">
        <v>84</v>
      </c>
      <c r="L29" s="1" t="s">
        <v>1207</v>
      </c>
      <c r="M29" s="69">
        <v>6.6319999999999997</v>
      </c>
      <c r="N29" s="70">
        <v>49015</v>
      </c>
      <c r="O29" s="68">
        <v>5.5E-2</v>
      </c>
      <c r="P29" s="68">
        <v>4.9419999999999999E-2</v>
      </c>
      <c r="Q29" s="67">
        <v>0</v>
      </c>
      <c r="R29" s="67">
        <v>862000</v>
      </c>
      <c r="S29" s="67">
        <v>3.19</v>
      </c>
      <c r="T29" s="67">
        <v>104.9941</v>
      </c>
      <c r="U29" s="67">
        <v>2887.1067600000001</v>
      </c>
      <c r="V29" s="140" t="s">
        <v>2853</v>
      </c>
      <c r="W29" s="1" t="s">
        <v>17</v>
      </c>
      <c r="X29" s="68">
        <v>2.8733333299999999E-4</v>
      </c>
      <c r="Y29" s="68">
        <v>2.7703735352373284E-3</v>
      </c>
      <c r="Z29" s="68">
        <v>6.6994513898641951E-4</v>
      </c>
    </row>
    <row r="30" spans="1:26" x14ac:dyDescent="0.25">
      <c r="A30" s="1">
        <v>13908</v>
      </c>
      <c r="B30" s="1">
        <v>13908</v>
      </c>
      <c r="C30" s="1" t="s">
        <v>1264</v>
      </c>
      <c r="D30" s="1" t="s">
        <v>1274</v>
      </c>
      <c r="E30" s="1" t="s">
        <v>1275</v>
      </c>
      <c r="F30" s="1" t="s">
        <v>246</v>
      </c>
      <c r="G30" s="1" t="s">
        <v>61</v>
      </c>
      <c r="H30" s="1" t="s">
        <v>53</v>
      </c>
      <c r="I30" s="1" t="s">
        <v>494</v>
      </c>
      <c r="J30" s="1" t="s">
        <v>1269</v>
      </c>
      <c r="K30" s="1" t="s">
        <v>84</v>
      </c>
      <c r="L30" s="1" t="s">
        <v>1207</v>
      </c>
      <c r="M30" s="69">
        <v>2.9359999999999999</v>
      </c>
      <c r="N30" s="70">
        <v>47189</v>
      </c>
      <c r="O30" s="68">
        <v>5.3749999999999999E-2</v>
      </c>
      <c r="P30" s="68">
        <v>4.394E-2</v>
      </c>
      <c r="Q30" s="67">
        <v>0</v>
      </c>
      <c r="R30" s="67">
        <v>200000</v>
      </c>
      <c r="S30" s="67">
        <v>3.19</v>
      </c>
      <c r="T30" s="67">
        <v>103.94</v>
      </c>
      <c r="U30" s="67">
        <v>663.13720000000001</v>
      </c>
      <c r="V30" s="140" t="s">
        <v>2853</v>
      </c>
      <c r="W30" s="1" t="s">
        <v>17</v>
      </c>
      <c r="X30" s="68">
        <v>1E-4</v>
      </c>
      <c r="Y30" s="68">
        <v>6.3632484068977871E-4</v>
      </c>
      <c r="Z30" s="68">
        <v>1.5387915326728861E-4</v>
      </c>
    </row>
    <row r="31" spans="1:26" x14ac:dyDescent="0.25">
      <c r="A31" s="1">
        <v>13908</v>
      </c>
      <c r="B31" s="1">
        <v>13908</v>
      </c>
      <c r="C31" s="1" t="s">
        <v>1264</v>
      </c>
      <c r="D31" s="1" t="s">
        <v>1276</v>
      </c>
      <c r="E31" s="1" t="s">
        <v>1277</v>
      </c>
      <c r="F31" s="1" t="s">
        <v>246</v>
      </c>
      <c r="G31" s="1" t="s">
        <v>61</v>
      </c>
      <c r="H31" s="1" t="s">
        <v>53</v>
      </c>
      <c r="I31" s="1" t="s">
        <v>494</v>
      </c>
      <c r="J31" s="1" t="s">
        <v>1266</v>
      </c>
      <c r="K31" s="1" t="s">
        <v>84</v>
      </c>
      <c r="L31" s="1" t="s">
        <v>1207</v>
      </c>
      <c r="M31" s="69">
        <v>7.17</v>
      </c>
      <c r="N31" s="70">
        <v>49359</v>
      </c>
      <c r="O31" s="68">
        <v>5.6250000000000001E-2</v>
      </c>
      <c r="P31" s="68">
        <v>5.0070000000000003E-2</v>
      </c>
      <c r="Q31" s="67">
        <v>0</v>
      </c>
      <c r="R31" s="67">
        <v>10519000</v>
      </c>
      <c r="S31" s="67">
        <v>3.19</v>
      </c>
      <c r="T31" s="67">
        <v>106.29859999999999</v>
      </c>
      <c r="U31" s="67">
        <v>35669.143649999998</v>
      </c>
      <c r="V31" s="140" t="s">
        <v>2853</v>
      </c>
      <c r="W31" s="1" t="s">
        <v>17</v>
      </c>
      <c r="X31" s="68">
        <v>4.2075999999999997E-3</v>
      </c>
      <c r="Y31" s="68">
        <v>3.4226947531562218E-2</v>
      </c>
      <c r="Z31" s="68">
        <v>8.2769261362977131E-3</v>
      </c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40" zoomScaleNormal="40" workbookViewId="0">
      <selection activeCell="B2" sqref="B2"/>
    </sheetView>
  </sheetViews>
  <sheetFormatPr defaultColWidth="11.69921875" defaultRowHeight="13.8" x14ac:dyDescent="0.25"/>
  <cols>
    <col min="1" max="3" width="11.69921875" style="1"/>
    <col min="4" max="6" width="11.69921875" style="1" customWidth="1"/>
    <col min="7" max="9" width="11.69921875" style="1"/>
    <col min="10" max="11" width="11.69921875" style="1" customWidth="1"/>
    <col min="12" max="30" width="11.69921875" style="1"/>
    <col min="31" max="31" width="11.69921875" style="1" customWidth="1"/>
    <col min="32" max="16384" width="11.69921875" style="1"/>
  </cols>
  <sheetData>
    <row r="1" spans="1:36" ht="66.75" customHeight="1" x14ac:dyDescent="0.25">
      <c r="A1" s="9" t="s">
        <v>667</v>
      </c>
      <c r="B1" s="9" t="s">
        <v>0</v>
      </c>
      <c r="C1" s="9" t="s">
        <v>740</v>
      </c>
      <c r="D1" s="9" t="s">
        <v>2</v>
      </c>
      <c r="E1" s="9" t="s">
        <v>756</v>
      </c>
      <c r="F1" s="9" t="s">
        <v>1154</v>
      </c>
      <c r="G1" s="9" t="s">
        <v>29</v>
      </c>
      <c r="H1" s="9" t="s">
        <v>28</v>
      </c>
      <c r="I1" s="9" t="s">
        <v>1</v>
      </c>
      <c r="J1" s="9" t="s">
        <v>620</v>
      </c>
      <c r="K1" s="9" t="s">
        <v>621</v>
      </c>
      <c r="L1" s="9" t="s">
        <v>5</v>
      </c>
      <c r="M1" s="9" t="s">
        <v>9</v>
      </c>
      <c r="N1" s="9" t="s">
        <v>622</v>
      </c>
      <c r="O1" s="9" t="s">
        <v>6</v>
      </c>
      <c r="P1" s="9" t="s">
        <v>8</v>
      </c>
      <c r="Q1" s="9" t="s">
        <v>1155</v>
      </c>
      <c r="R1" s="9" t="s">
        <v>396</v>
      </c>
      <c r="S1" s="9" t="s">
        <v>13</v>
      </c>
      <c r="T1" s="9" t="s">
        <v>309</v>
      </c>
      <c r="U1" s="9" t="s">
        <v>421</v>
      </c>
      <c r="V1" s="9" t="s">
        <v>14</v>
      </c>
      <c r="W1" s="9" t="s">
        <v>637</v>
      </c>
      <c r="X1" s="9" t="s">
        <v>941</v>
      </c>
      <c r="Y1" s="9" t="s">
        <v>685</v>
      </c>
      <c r="Z1" s="9" t="s">
        <v>789</v>
      </c>
      <c r="AA1" s="9" t="s">
        <v>11</v>
      </c>
      <c r="AB1" s="9" t="s">
        <v>15</v>
      </c>
      <c r="AC1" s="9" t="s">
        <v>954</v>
      </c>
      <c r="AD1" s="9" t="s">
        <v>1162</v>
      </c>
      <c r="AE1" s="9" t="s">
        <v>1163</v>
      </c>
      <c r="AF1" s="9" t="s">
        <v>804</v>
      </c>
      <c r="AG1" s="9" t="s">
        <v>26</v>
      </c>
      <c r="AH1" s="9" t="s">
        <v>18</v>
      </c>
      <c r="AI1" s="9" t="s">
        <v>19</v>
      </c>
      <c r="AJ1" s="9" t="s">
        <v>30</v>
      </c>
    </row>
    <row r="2" spans="1:3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P2" s="8"/>
      <c r="Q2" s="8"/>
      <c r="R2" s="8"/>
      <c r="S2" s="8"/>
      <c r="T2" s="8"/>
      <c r="U2" s="8"/>
      <c r="V2" s="8"/>
      <c r="X2" s="8"/>
      <c r="Y2" s="8"/>
      <c r="Z2" s="8"/>
      <c r="AA2" s="8"/>
      <c r="AB2" s="8"/>
      <c r="AC2" s="8"/>
      <c r="AD2" s="8"/>
      <c r="AE2" s="8"/>
      <c r="AG2" s="8"/>
    </row>
    <row r="3" spans="1:3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G3" s="8"/>
    </row>
    <row r="4" spans="1:36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G4" s="8"/>
    </row>
    <row r="5" spans="1:36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G5" s="8"/>
    </row>
    <row r="6" spans="1:36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G6" s="8"/>
    </row>
    <row r="7" spans="1:36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6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36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B9" s="8"/>
      <c r="AC9" s="8"/>
      <c r="AD9" s="8"/>
      <c r="AG9" s="8"/>
    </row>
    <row r="10" spans="1:36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G10" s="8"/>
    </row>
    <row r="11" spans="1:3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G11" s="8"/>
    </row>
    <row r="12" spans="1:36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G12" s="8"/>
    </row>
    <row r="13" spans="1:36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G13" s="8"/>
    </row>
    <row r="14" spans="1:36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G14" s="8"/>
    </row>
    <row r="15" spans="1:36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G15" s="8"/>
    </row>
    <row r="16" spans="1:36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G16" s="8"/>
    </row>
    <row r="17" spans="1:3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G17" s="8"/>
    </row>
    <row r="18" spans="1:3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G18" s="8"/>
    </row>
    <row r="19" spans="1:3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G19" s="8"/>
    </row>
    <row r="20" spans="1:33" x14ac:dyDescent="0.25">
      <c r="E20" s="8"/>
      <c r="H20" s="8"/>
      <c r="I20" s="8"/>
      <c r="J20" s="8"/>
      <c r="K20" s="8"/>
      <c r="L20" s="8"/>
      <c r="M20" s="8"/>
      <c r="N20" s="8"/>
      <c r="P20" s="8"/>
      <c r="Q20" s="8"/>
      <c r="T20" s="8"/>
      <c r="X20" s="8"/>
      <c r="Y20" s="8"/>
      <c r="AG20" s="8"/>
    </row>
    <row r="1048572" spans="12:14" x14ac:dyDescent="0.25">
      <c r="L1048572" s="3"/>
      <c r="N1048572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Z10000"/>
  <sheetViews>
    <sheetView rightToLeft="1" topLeftCell="A195" zoomScale="25" zoomScaleNormal="25" workbookViewId="0">
      <selection activeCell="A2" sqref="A2:AJ296"/>
    </sheetView>
  </sheetViews>
  <sheetFormatPr defaultColWidth="11.69921875" defaultRowHeight="13.8" x14ac:dyDescent="0.25"/>
  <cols>
    <col min="1" max="1" width="26.3984375" style="1" customWidth="1"/>
    <col min="2" max="2" width="11.19921875" style="1" customWidth="1"/>
    <col min="3" max="3" width="42.796875" style="1" bestFit="1" customWidth="1"/>
    <col min="4" max="4" width="18.3984375" style="1" bestFit="1" customWidth="1"/>
    <col min="5" max="5" width="17.59765625" style="1" customWidth="1"/>
    <col min="6" max="6" width="22.3984375" style="1" bestFit="1" customWidth="1"/>
    <col min="7" max="7" width="16.3984375" style="1" bestFit="1" customWidth="1"/>
    <col min="8" max="8" width="14.796875" style="1" customWidth="1"/>
    <col min="9" max="9" width="37.59765625" style="1" bestFit="1" customWidth="1"/>
    <col min="10" max="10" width="10.3984375" style="1" customWidth="1"/>
    <col min="11" max="11" width="19.19921875" style="1" customWidth="1"/>
    <col min="12" max="12" width="13.19921875" style="1" customWidth="1"/>
    <col min="13" max="13" width="12.59765625" style="1" bestFit="1" customWidth="1"/>
    <col min="14" max="14" width="40.19921875" style="1" bestFit="1" customWidth="1"/>
    <col min="15" max="15" width="14.3984375" style="1" customWidth="1"/>
    <col min="16" max="16" width="7.3984375" style="1" bestFit="1" customWidth="1"/>
    <col min="17" max="17" width="14.19921875" style="1" bestFit="1" customWidth="1"/>
    <col min="18" max="18" width="18" style="1" customWidth="1"/>
    <col min="19" max="19" width="12" style="1" customWidth="1"/>
    <col min="20" max="20" width="7.19921875" style="1" bestFit="1" customWidth="1"/>
    <col min="21" max="21" width="11.19921875" style="1" bestFit="1" customWidth="1"/>
    <col min="22" max="22" width="10.796875" style="1" customWidth="1"/>
    <col min="23" max="23" width="11.59765625" style="1" customWidth="1"/>
    <col min="24" max="24" width="12.19921875" style="1" bestFit="1" customWidth="1"/>
    <col min="25" max="25" width="16" style="1" customWidth="1"/>
    <col min="26" max="26" width="15.3984375" style="1" bestFit="1" customWidth="1"/>
    <col min="27" max="27" width="10" style="1" customWidth="1"/>
    <col min="28" max="28" width="12.3984375" style="1" customWidth="1"/>
    <col min="29" max="29" width="21.19921875" style="1" customWidth="1"/>
    <col min="30" max="30" width="16.3984375" style="1" customWidth="1"/>
    <col min="31" max="31" width="20.3984375" style="1" customWidth="1"/>
    <col min="32" max="32" width="24" style="1" customWidth="1"/>
    <col min="33" max="33" width="20.3984375" style="1" customWidth="1"/>
    <col min="34" max="34" width="18.3984375" style="1" customWidth="1"/>
    <col min="35" max="35" width="20" style="1" customWidth="1"/>
    <col min="36" max="36" width="18.796875" style="1" customWidth="1"/>
    <col min="37" max="16384" width="11.69921875" style="1"/>
  </cols>
  <sheetData>
    <row r="1" spans="1:36" ht="66.75" customHeight="1" x14ac:dyDescent="0.25">
      <c r="A1" s="139" t="s">
        <v>667</v>
      </c>
      <c r="B1" s="139" t="s">
        <v>0</v>
      </c>
      <c r="C1" s="139" t="s">
        <v>740</v>
      </c>
      <c r="D1" s="139" t="s">
        <v>2</v>
      </c>
      <c r="E1" s="139" t="s">
        <v>756</v>
      </c>
      <c r="F1" s="139" t="s">
        <v>1154</v>
      </c>
      <c r="G1" s="139" t="s">
        <v>29</v>
      </c>
      <c r="H1" s="139" t="s">
        <v>28</v>
      </c>
      <c r="I1" s="139" t="s">
        <v>1</v>
      </c>
      <c r="J1" s="139" t="s">
        <v>620</v>
      </c>
      <c r="K1" s="139" t="s">
        <v>621</v>
      </c>
      <c r="L1" s="139" t="s">
        <v>625</v>
      </c>
      <c r="M1" s="139" t="s">
        <v>5</v>
      </c>
      <c r="N1" s="139" t="s">
        <v>9</v>
      </c>
      <c r="O1" s="139" t="s">
        <v>622</v>
      </c>
      <c r="P1" s="139" t="s">
        <v>6</v>
      </c>
      <c r="Q1" s="139" t="s">
        <v>8</v>
      </c>
      <c r="R1" s="139" t="s">
        <v>1155</v>
      </c>
      <c r="S1" s="139" t="s">
        <v>396</v>
      </c>
      <c r="T1" s="139" t="s">
        <v>13</v>
      </c>
      <c r="U1" s="139" t="s">
        <v>421</v>
      </c>
      <c r="V1" s="139" t="s">
        <v>14</v>
      </c>
      <c r="W1" s="139" t="s">
        <v>637</v>
      </c>
      <c r="X1" s="139" t="s">
        <v>941</v>
      </c>
      <c r="Y1" s="139" t="s">
        <v>685</v>
      </c>
      <c r="Z1" s="139" t="s">
        <v>789</v>
      </c>
      <c r="AA1" s="139" t="s">
        <v>11</v>
      </c>
      <c r="AB1" s="139" t="s">
        <v>15</v>
      </c>
      <c r="AC1" s="139" t="s">
        <v>954</v>
      </c>
      <c r="AD1" s="139" t="s">
        <v>1162</v>
      </c>
      <c r="AE1" s="139" t="s">
        <v>1163</v>
      </c>
      <c r="AF1" s="139" t="s">
        <v>804</v>
      </c>
      <c r="AG1" s="139" t="s">
        <v>26</v>
      </c>
      <c r="AH1" s="139" t="s">
        <v>18</v>
      </c>
      <c r="AI1" s="139" t="s">
        <v>19</v>
      </c>
      <c r="AJ1" s="139" t="s">
        <v>30</v>
      </c>
    </row>
    <row r="2" spans="1:36" x14ac:dyDescent="0.25">
      <c r="A2" s="1">
        <v>13908</v>
      </c>
      <c r="B2" s="8">
        <v>13908</v>
      </c>
      <c r="C2" s="8" t="s">
        <v>1278</v>
      </c>
      <c r="D2" s="8">
        <v>520043605</v>
      </c>
      <c r="E2" s="8" t="s">
        <v>429</v>
      </c>
      <c r="F2" s="8" t="s">
        <v>1279</v>
      </c>
      <c r="G2" s="8" t="s">
        <v>1280</v>
      </c>
      <c r="H2" s="8" t="s">
        <v>76</v>
      </c>
      <c r="I2" s="8" t="s">
        <v>229</v>
      </c>
      <c r="J2" s="8" t="s">
        <v>53</v>
      </c>
      <c r="K2" s="8" t="s">
        <v>53</v>
      </c>
      <c r="L2" s="8" t="s">
        <v>821</v>
      </c>
      <c r="M2" s="8" t="s">
        <v>311</v>
      </c>
      <c r="N2" s="8" t="s">
        <v>265</v>
      </c>
      <c r="O2" s="8" t="s">
        <v>62</v>
      </c>
      <c r="P2" s="8" t="s">
        <v>1281</v>
      </c>
      <c r="Q2" s="8" t="s">
        <v>65</v>
      </c>
      <c r="R2" s="8" t="s">
        <v>57</v>
      </c>
      <c r="S2" s="8" t="s">
        <v>1206</v>
      </c>
      <c r="T2" s="71">
        <v>5.1340000000000003</v>
      </c>
      <c r="U2" s="72">
        <v>50009</v>
      </c>
      <c r="V2" s="73">
        <v>5.1499999999999997E-2</v>
      </c>
      <c r="W2" s="73">
        <v>3.3700000000000001E-2</v>
      </c>
      <c r="X2" s="8" t="s">
        <v>636</v>
      </c>
      <c r="Y2" s="141" t="s">
        <v>2853</v>
      </c>
      <c r="Z2" s="74">
        <v>338274.88</v>
      </c>
      <c r="AA2" s="74">
        <v>1</v>
      </c>
      <c r="AB2" s="74">
        <v>156.16999999999999</v>
      </c>
      <c r="AC2" s="74">
        <v>0</v>
      </c>
      <c r="AD2" s="74">
        <v>528.28387999999995</v>
      </c>
      <c r="AE2" s="141" t="s">
        <v>2853</v>
      </c>
      <c r="AF2" s="141" t="s">
        <v>2853</v>
      </c>
      <c r="AG2" s="8" t="s">
        <v>17</v>
      </c>
      <c r="AH2" s="68">
        <v>1.9230141599999999E-4</v>
      </c>
      <c r="AI2" s="68">
        <f>+AD2/SUM(AD:AD)</f>
        <v>9.9590235165707532E-4</v>
      </c>
      <c r="AJ2" s="68">
        <f>+AD2/'סכום נכסים'!$B$30</f>
        <v>1.2258681331579332E-4</v>
      </c>
    </row>
    <row r="3" spans="1:36" x14ac:dyDescent="0.25">
      <c r="A3" s="8">
        <v>13908</v>
      </c>
      <c r="B3" s="8">
        <v>13908</v>
      </c>
      <c r="C3" s="8" t="s">
        <v>1282</v>
      </c>
      <c r="D3" s="8">
        <v>520026683</v>
      </c>
      <c r="E3" s="8" t="s">
        <v>429</v>
      </c>
      <c r="F3" s="8" t="s">
        <v>1283</v>
      </c>
      <c r="G3" s="8" t="s">
        <v>1284</v>
      </c>
      <c r="H3" s="8" t="s">
        <v>76</v>
      </c>
      <c r="I3" s="8" t="s">
        <v>229</v>
      </c>
      <c r="J3" s="8" t="s">
        <v>53</v>
      </c>
      <c r="K3" s="8" t="s">
        <v>53</v>
      </c>
      <c r="L3" s="8" t="s">
        <v>821</v>
      </c>
      <c r="M3" s="8" t="s">
        <v>311</v>
      </c>
      <c r="N3" s="8" t="s">
        <v>651</v>
      </c>
      <c r="O3" s="8" t="s">
        <v>62</v>
      </c>
      <c r="P3" s="8" t="s">
        <v>1285</v>
      </c>
      <c r="Q3" s="8" t="s">
        <v>65</v>
      </c>
      <c r="R3" s="8" t="s">
        <v>57</v>
      </c>
      <c r="S3" s="8" t="s">
        <v>1206</v>
      </c>
      <c r="T3" s="71">
        <v>1.462</v>
      </c>
      <c r="U3" s="72">
        <v>46936</v>
      </c>
      <c r="V3" s="73">
        <v>3.2000000000000001E-2</v>
      </c>
      <c r="W3" s="73">
        <v>2.6100000000000002E-2</v>
      </c>
      <c r="X3" s="8" t="s">
        <v>636</v>
      </c>
      <c r="Y3" s="141" t="s">
        <v>2853</v>
      </c>
      <c r="Z3" s="74">
        <v>542283.75</v>
      </c>
      <c r="AA3" s="74">
        <v>1</v>
      </c>
      <c r="AB3" s="74">
        <v>120.58</v>
      </c>
      <c r="AC3" s="74">
        <v>0</v>
      </c>
      <c r="AD3" s="74">
        <v>653.88575000000003</v>
      </c>
      <c r="AE3" s="141" t="s">
        <v>2853</v>
      </c>
      <c r="AF3" s="140" t="s">
        <v>2853</v>
      </c>
      <c r="AG3" s="8" t="s">
        <v>17</v>
      </c>
      <c r="AH3" s="68">
        <v>1.3095457580000001E-3</v>
      </c>
      <c r="AI3" s="68">
        <f t="shared" ref="AI3:AI66" si="0">+AD3/SUM(AD:AD)</f>
        <v>1.2326826178002072E-3</v>
      </c>
      <c r="AJ3" s="68">
        <f>+AD3/'סכום נכסים'!$B$30</f>
        <v>1.5173237988088433E-4</v>
      </c>
    </row>
    <row r="4" spans="1:36" x14ac:dyDescent="0.25">
      <c r="A4" s="8">
        <v>13908</v>
      </c>
      <c r="B4" s="8">
        <v>13908</v>
      </c>
      <c r="C4" s="8" t="s">
        <v>1286</v>
      </c>
      <c r="D4" s="8">
        <v>511659401</v>
      </c>
      <c r="E4" s="8" t="s">
        <v>429</v>
      </c>
      <c r="F4" s="8" t="s">
        <v>1287</v>
      </c>
      <c r="G4" s="8" t="s">
        <v>1288</v>
      </c>
      <c r="H4" s="8" t="s">
        <v>76</v>
      </c>
      <c r="I4" s="8" t="s">
        <v>229</v>
      </c>
      <c r="J4" s="8" t="s">
        <v>53</v>
      </c>
      <c r="K4" s="8" t="s">
        <v>53</v>
      </c>
      <c r="L4" s="8" t="s">
        <v>821</v>
      </c>
      <c r="M4" s="8" t="s">
        <v>311</v>
      </c>
      <c r="N4" s="8" t="s">
        <v>651</v>
      </c>
      <c r="O4" s="8" t="s">
        <v>62</v>
      </c>
      <c r="P4" s="8" t="s">
        <v>1285</v>
      </c>
      <c r="Q4" s="8" t="s">
        <v>65</v>
      </c>
      <c r="R4" s="8" t="s">
        <v>57</v>
      </c>
      <c r="S4" s="8" t="s">
        <v>1206</v>
      </c>
      <c r="T4" s="71">
        <v>1.5149999999999999</v>
      </c>
      <c r="U4" s="72">
        <v>47177</v>
      </c>
      <c r="V4" s="73">
        <v>2.3400000000000001E-2</v>
      </c>
      <c r="W4" s="73">
        <v>2.6200000000000001E-2</v>
      </c>
      <c r="X4" s="8" t="s">
        <v>636</v>
      </c>
      <c r="Y4" s="141" t="s">
        <v>2853</v>
      </c>
      <c r="Z4" s="74">
        <v>2144034.4300000002</v>
      </c>
      <c r="AA4" s="74">
        <v>1</v>
      </c>
      <c r="AB4" s="74">
        <v>119.52</v>
      </c>
      <c r="AC4" s="74">
        <v>0</v>
      </c>
      <c r="AD4" s="74">
        <v>2562.5499500000001</v>
      </c>
      <c r="AE4" s="141" t="s">
        <v>2853</v>
      </c>
      <c r="AF4" s="140" t="s">
        <v>2853</v>
      </c>
      <c r="AG4" s="8" t="s">
        <v>17</v>
      </c>
      <c r="AH4" s="68">
        <v>1.315267907E-3</v>
      </c>
      <c r="AI4" s="68">
        <f t="shared" si="0"/>
        <v>4.830829820973756E-3</v>
      </c>
      <c r="AJ4" s="68">
        <f>+AD4/'סכום נכסים'!$B$30</f>
        <v>5.946326288302523E-4</v>
      </c>
    </row>
    <row r="5" spans="1:36" x14ac:dyDescent="0.25">
      <c r="A5" s="8">
        <v>13908</v>
      </c>
      <c r="B5" s="8">
        <v>13908</v>
      </c>
      <c r="C5" s="8" t="s">
        <v>1289</v>
      </c>
      <c r="D5" s="8">
        <v>520036104</v>
      </c>
      <c r="E5" s="8" t="s">
        <v>429</v>
      </c>
      <c r="F5" s="8" t="s">
        <v>1290</v>
      </c>
      <c r="G5" s="8" t="s">
        <v>1291</v>
      </c>
      <c r="H5" s="8" t="s">
        <v>76</v>
      </c>
      <c r="I5" s="8" t="s">
        <v>229</v>
      </c>
      <c r="J5" s="8" t="s">
        <v>53</v>
      </c>
      <c r="K5" s="8" t="s">
        <v>53</v>
      </c>
      <c r="L5" s="8" t="s">
        <v>821</v>
      </c>
      <c r="M5" s="8" t="s">
        <v>311</v>
      </c>
      <c r="N5" s="8" t="s">
        <v>140</v>
      </c>
      <c r="O5" s="8" t="s">
        <v>62</v>
      </c>
      <c r="P5" s="8" t="s">
        <v>1292</v>
      </c>
      <c r="Q5" s="8" t="s">
        <v>65</v>
      </c>
      <c r="R5" s="8" t="s">
        <v>57</v>
      </c>
      <c r="S5" s="8" t="s">
        <v>1206</v>
      </c>
      <c r="T5" s="71">
        <v>1.7629999999999999</v>
      </c>
      <c r="U5" s="72">
        <v>47239</v>
      </c>
      <c r="V5" s="73">
        <v>3.9E-2</v>
      </c>
      <c r="W5" s="73">
        <v>2.9600000000000001E-2</v>
      </c>
      <c r="X5" s="8" t="s">
        <v>636</v>
      </c>
      <c r="Y5" s="141" t="s">
        <v>2853</v>
      </c>
      <c r="Z5" s="74">
        <v>1563836.31</v>
      </c>
      <c r="AA5" s="74">
        <v>1</v>
      </c>
      <c r="AB5" s="74">
        <v>121.31</v>
      </c>
      <c r="AC5" s="74">
        <v>0</v>
      </c>
      <c r="AD5" s="74">
        <v>1897.0898299999999</v>
      </c>
      <c r="AE5" s="141" t="s">
        <v>2853</v>
      </c>
      <c r="AF5" s="140" t="s">
        <v>2853</v>
      </c>
      <c r="AG5" s="8" t="s">
        <v>17</v>
      </c>
      <c r="AH5" s="68">
        <v>1.1329610950000001E-3</v>
      </c>
      <c r="AI5" s="68">
        <f t="shared" si="0"/>
        <v>3.576327604396563E-3</v>
      </c>
      <c r="AJ5" s="68">
        <f>+AD5/'סכום נכסים'!$B$30</f>
        <v>4.4021444840130293E-4</v>
      </c>
    </row>
    <row r="6" spans="1:36" x14ac:dyDescent="0.25">
      <c r="A6" s="8">
        <v>13908</v>
      </c>
      <c r="B6" s="8">
        <v>13908</v>
      </c>
      <c r="C6" s="8" t="s">
        <v>1293</v>
      </c>
      <c r="D6" s="8">
        <v>514065283</v>
      </c>
      <c r="E6" s="8" t="s">
        <v>429</v>
      </c>
      <c r="F6" s="8" t="s">
        <v>1294</v>
      </c>
      <c r="G6" s="8" t="s">
        <v>1295</v>
      </c>
      <c r="H6" s="8" t="s">
        <v>76</v>
      </c>
      <c r="I6" s="8" t="s">
        <v>228</v>
      </c>
      <c r="J6" s="8" t="s">
        <v>53</v>
      </c>
      <c r="K6" s="8" t="s">
        <v>53</v>
      </c>
      <c r="L6" s="8" t="s">
        <v>821</v>
      </c>
      <c r="M6" s="8" t="s">
        <v>311</v>
      </c>
      <c r="N6" s="8" t="s">
        <v>75</v>
      </c>
      <c r="O6" s="8" t="s">
        <v>62</v>
      </c>
      <c r="P6" s="8" t="s">
        <v>1281</v>
      </c>
      <c r="Q6" s="8" t="s">
        <v>65</v>
      </c>
      <c r="R6" s="8" t="s">
        <v>57</v>
      </c>
      <c r="S6" s="8" t="s">
        <v>1206</v>
      </c>
      <c r="T6" s="71">
        <v>0.41199999999999998</v>
      </c>
      <c r="U6" s="72">
        <v>46266</v>
      </c>
      <c r="V6" s="73">
        <v>2.75E-2</v>
      </c>
      <c r="W6" s="73">
        <v>4.9000000000000002E-2</v>
      </c>
      <c r="X6" s="8" t="s">
        <v>636</v>
      </c>
      <c r="Y6" s="141" t="s">
        <v>2853</v>
      </c>
      <c r="Z6" s="67">
        <v>672514.62</v>
      </c>
      <c r="AA6" s="67">
        <v>1</v>
      </c>
      <c r="AB6" s="67">
        <v>100.07</v>
      </c>
      <c r="AC6" s="74">
        <v>0</v>
      </c>
      <c r="AD6" s="67">
        <v>672.98537999999996</v>
      </c>
      <c r="AE6" s="140" t="s">
        <v>2853</v>
      </c>
      <c r="AF6" s="140" t="s">
        <v>2853</v>
      </c>
      <c r="AG6" s="1" t="s">
        <v>17</v>
      </c>
      <c r="AH6" s="68">
        <v>7.4077451759999996E-3</v>
      </c>
      <c r="AI6" s="68">
        <f t="shared" si="0"/>
        <v>1.2686885743567085E-3</v>
      </c>
      <c r="AJ6" s="68">
        <f>+AD6/'סכום נכסים'!$B$30</f>
        <v>1.5616439619985797E-4</v>
      </c>
    </row>
    <row r="7" spans="1:36" x14ac:dyDescent="0.25">
      <c r="A7" s="8">
        <v>13908</v>
      </c>
      <c r="B7" s="8">
        <v>13908</v>
      </c>
      <c r="C7" s="8" t="s">
        <v>1296</v>
      </c>
      <c r="D7" s="8">
        <v>513821488</v>
      </c>
      <c r="E7" s="8" t="s">
        <v>429</v>
      </c>
      <c r="F7" s="8" t="s">
        <v>1297</v>
      </c>
      <c r="G7" s="8" t="s">
        <v>1298</v>
      </c>
      <c r="H7" s="8" t="s">
        <v>76</v>
      </c>
      <c r="I7" s="8" t="s">
        <v>229</v>
      </c>
      <c r="J7" s="8" t="s">
        <v>53</v>
      </c>
      <c r="K7" s="8" t="s">
        <v>53</v>
      </c>
      <c r="L7" s="8" t="s">
        <v>821</v>
      </c>
      <c r="M7" s="8" t="s">
        <v>311</v>
      </c>
      <c r="N7" s="8" t="s">
        <v>651</v>
      </c>
      <c r="O7" s="8" t="s">
        <v>62</v>
      </c>
      <c r="P7" s="8" t="s">
        <v>1285</v>
      </c>
      <c r="Q7" s="8" t="s">
        <v>65</v>
      </c>
      <c r="R7" s="8" t="s">
        <v>57</v>
      </c>
      <c r="S7" s="8" t="s">
        <v>1206</v>
      </c>
      <c r="T7" s="71">
        <v>1.421</v>
      </c>
      <c r="U7" s="72">
        <v>47016</v>
      </c>
      <c r="V7" s="73">
        <v>0.04</v>
      </c>
      <c r="W7" s="73">
        <v>2.6100000000000002E-2</v>
      </c>
      <c r="X7" s="8" t="s">
        <v>636</v>
      </c>
      <c r="Y7" s="141" t="s">
        <v>2853</v>
      </c>
      <c r="Z7" s="67">
        <v>1821756.52</v>
      </c>
      <c r="AA7" s="67">
        <v>1</v>
      </c>
      <c r="AB7" s="67">
        <v>122.36</v>
      </c>
      <c r="AC7" s="74">
        <v>0</v>
      </c>
      <c r="AD7" s="67">
        <v>2229.1012799999999</v>
      </c>
      <c r="AE7" s="140" t="s">
        <v>2853</v>
      </c>
      <c r="AF7" s="140" t="s">
        <v>2853</v>
      </c>
      <c r="AG7" s="1" t="s">
        <v>17</v>
      </c>
      <c r="AH7" s="68">
        <v>2.5235063970000002E-3</v>
      </c>
      <c r="AI7" s="68">
        <f t="shared" si="0"/>
        <v>4.2022240141679065E-3</v>
      </c>
      <c r="AJ7" s="68">
        <f>+AD7/'סכום נכסים'!$B$30</f>
        <v>5.1725678715268755E-4</v>
      </c>
    </row>
    <row r="8" spans="1:36" x14ac:dyDescent="0.25">
      <c r="A8" s="8">
        <v>13908</v>
      </c>
      <c r="B8" s="8">
        <v>13908</v>
      </c>
      <c r="C8" s="8" t="s">
        <v>1296</v>
      </c>
      <c r="D8" s="8">
        <v>513821488</v>
      </c>
      <c r="E8" s="8" t="s">
        <v>429</v>
      </c>
      <c r="F8" s="8" t="s">
        <v>1299</v>
      </c>
      <c r="G8" s="8" t="s">
        <v>1300</v>
      </c>
      <c r="H8" s="8" t="s">
        <v>76</v>
      </c>
      <c r="I8" s="8" t="s">
        <v>229</v>
      </c>
      <c r="J8" s="8" t="s">
        <v>53</v>
      </c>
      <c r="K8" s="8" t="s">
        <v>53</v>
      </c>
      <c r="L8" s="8" t="s">
        <v>821</v>
      </c>
      <c r="M8" s="8" t="s">
        <v>311</v>
      </c>
      <c r="N8" s="8" t="s">
        <v>651</v>
      </c>
      <c r="O8" s="8" t="s">
        <v>62</v>
      </c>
      <c r="P8" s="8" t="s">
        <v>1285</v>
      </c>
      <c r="Q8" s="8" t="s">
        <v>65</v>
      </c>
      <c r="R8" s="8" t="s">
        <v>57</v>
      </c>
      <c r="S8" s="8" t="s">
        <v>1206</v>
      </c>
      <c r="T8" s="71">
        <v>2.8</v>
      </c>
      <c r="U8" s="72">
        <v>48112</v>
      </c>
      <c r="V8" s="73">
        <v>3.5000000000000003E-2</v>
      </c>
      <c r="W8" s="73">
        <v>2.5000000000000001E-2</v>
      </c>
      <c r="X8" s="8" t="s">
        <v>636</v>
      </c>
      <c r="Y8" s="141" t="s">
        <v>2853</v>
      </c>
      <c r="Z8" s="74">
        <v>231988.13</v>
      </c>
      <c r="AA8" s="74">
        <v>1</v>
      </c>
      <c r="AB8" s="74">
        <v>124.44</v>
      </c>
      <c r="AC8" s="74">
        <v>0</v>
      </c>
      <c r="AD8" s="74">
        <v>288.68603000000002</v>
      </c>
      <c r="AE8" s="141" t="s">
        <v>2853</v>
      </c>
      <c r="AF8" s="140" t="s">
        <v>2853</v>
      </c>
      <c r="AG8" s="8" t="s">
        <v>17</v>
      </c>
      <c r="AH8" s="68">
        <v>3.1430709200000001E-4</v>
      </c>
      <c r="AI8" s="68">
        <f t="shared" si="0"/>
        <v>5.4422083855283458E-4</v>
      </c>
      <c r="AJ8" s="68">
        <f>+AD8/'סכום נכסים'!$B$30</f>
        <v>6.6988794862503687E-5</v>
      </c>
    </row>
    <row r="9" spans="1:36" x14ac:dyDescent="0.25">
      <c r="A9" s="8">
        <v>13908</v>
      </c>
      <c r="B9" s="8">
        <v>13908</v>
      </c>
      <c r="C9" s="8" t="s">
        <v>1301</v>
      </c>
      <c r="D9" s="8">
        <v>510960719</v>
      </c>
      <c r="E9" s="8" t="s">
        <v>429</v>
      </c>
      <c r="F9" s="8" t="s">
        <v>1302</v>
      </c>
      <c r="G9" s="8" t="s">
        <v>1303</v>
      </c>
      <c r="H9" s="8" t="s">
        <v>76</v>
      </c>
      <c r="I9" s="8" t="s">
        <v>229</v>
      </c>
      <c r="J9" s="8" t="s">
        <v>53</v>
      </c>
      <c r="K9" s="8" t="s">
        <v>53</v>
      </c>
      <c r="L9" s="8" t="s">
        <v>821</v>
      </c>
      <c r="M9" s="8" t="s">
        <v>311</v>
      </c>
      <c r="N9" s="8" t="s">
        <v>651</v>
      </c>
      <c r="O9" s="8" t="s">
        <v>62</v>
      </c>
      <c r="P9" s="8" t="s">
        <v>1304</v>
      </c>
      <c r="Q9" s="8" t="s">
        <v>70</v>
      </c>
      <c r="R9" s="8" t="s">
        <v>57</v>
      </c>
      <c r="S9" s="8" t="s">
        <v>1206</v>
      </c>
      <c r="T9" s="71">
        <v>2.4470000000000001</v>
      </c>
      <c r="U9" s="72">
        <v>47669</v>
      </c>
      <c r="V9" s="73">
        <v>1.34E-2</v>
      </c>
      <c r="W9" s="73">
        <v>2.5499999999999998E-2</v>
      </c>
      <c r="X9" s="8" t="s">
        <v>636</v>
      </c>
      <c r="Y9" s="141" t="s">
        <v>2853</v>
      </c>
      <c r="Z9" s="74">
        <v>2803899.22</v>
      </c>
      <c r="AA9" s="74">
        <v>1</v>
      </c>
      <c r="AB9" s="74">
        <v>116.05</v>
      </c>
      <c r="AC9" s="74">
        <v>32.084769999999999</v>
      </c>
      <c r="AD9" s="74">
        <v>3286.00981</v>
      </c>
      <c r="AE9" s="141" t="s">
        <v>2853</v>
      </c>
      <c r="AF9" s="140" t="s">
        <v>2853</v>
      </c>
      <c r="AG9" s="8" t="s">
        <v>17</v>
      </c>
      <c r="AH9" s="68">
        <v>1.4104131690000001E-3</v>
      </c>
      <c r="AI9" s="68">
        <f t="shared" si="0"/>
        <v>6.1946711252049173E-3</v>
      </c>
      <c r="AJ9" s="68">
        <f>+AD9/'סכום נכסים'!$B$30</f>
        <v>7.6250948852033028E-4</v>
      </c>
    </row>
    <row r="10" spans="1:36" x14ac:dyDescent="0.25">
      <c r="A10" s="8">
        <v>13908</v>
      </c>
      <c r="B10" s="8">
        <v>13908</v>
      </c>
      <c r="C10" s="8" t="s">
        <v>1305</v>
      </c>
      <c r="D10" s="8">
        <v>513623314</v>
      </c>
      <c r="E10" s="8" t="s">
        <v>429</v>
      </c>
      <c r="F10" s="8" t="s">
        <v>1306</v>
      </c>
      <c r="G10" s="8" t="s">
        <v>1307</v>
      </c>
      <c r="H10" s="8" t="s">
        <v>76</v>
      </c>
      <c r="I10" s="8" t="s">
        <v>229</v>
      </c>
      <c r="J10" s="8" t="s">
        <v>53</v>
      </c>
      <c r="K10" s="8" t="s">
        <v>53</v>
      </c>
      <c r="L10" s="8" t="s">
        <v>821</v>
      </c>
      <c r="M10" s="8" t="s">
        <v>311</v>
      </c>
      <c r="N10" s="8" t="s">
        <v>651</v>
      </c>
      <c r="O10" s="8" t="s">
        <v>62</v>
      </c>
      <c r="P10" s="8" t="s">
        <v>1285</v>
      </c>
      <c r="Q10" s="8" t="s">
        <v>65</v>
      </c>
      <c r="R10" s="8" t="s">
        <v>57</v>
      </c>
      <c r="S10" s="8" t="s">
        <v>1206</v>
      </c>
      <c r="T10" s="71">
        <v>0.27700000000000002</v>
      </c>
      <c r="U10" s="72">
        <v>46124</v>
      </c>
      <c r="V10" s="73">
        <v>1.34E-2</v>
      </c>
      <c r="W10" s="73">
        <v>5.1799999999999999E-2</v>
      </c>
      <c r="X10" s="8" t="s">
        <v>636</v>
      </c>
      <c r="Y10" s="141" t="s">
        <v>2853</v>
      </c>
      <c r="Z10" s="74">
        <v>63642.87</v>
      </c>
      <c r="AA10" s="74">
        <v>1</v>
      </c>
      <c r="AB10" s="74">
        <v>118.26</v>
      </c>
      <c r="AC10" s="74">
        <v>0</v>
      </c>
      <c r="AD10" s="74">
        <v>75.264060000000001</v>
      </c>
      <c r="AE10" s="141" t="s">
        <v>2853</v>
      </c>
      <c r="AF10" s="140" t="s">
        <v>2853</v>
      </c>
      <c r="AG10" s="8" t="s">
        <v>17</v>
      </c>
      <c r="AH10" s="68">
        <v>1.4106660499999999E-4</v>
      </c>
      <c r="AI10" s="68">
        <f t="shared" si="0"/>
        <v>1.4188518178760107E-4</v>
      </c>
      <c r="AJ10" s="68">
        <f>+AD10/'סכום נכסים'!$B$30</f>
        <v>1.7464816970392261E-5</v>
      </c>
    </row>
    <row r="11" spans="1:36" x14ac:dyDescent="0.25">
      <c r="A11" s="8">
        <v>13908</v>
      </c>
      <c r="B11" s="8">
        <v>13908</v>
      </c>
      <c r="C11" s="8" t="s">
        <v>1308</v>
      </c>
      <c r="D11" s="8">
        <v>513992529</v>
      </c>
      <c r="E11" s="8" t="s">
        <v>429</v>
      </c>
      <c r="F11" s="8" t="s">
        <v>1309</v>
      </c>
      <c r="G11" s="8" t="s">
        <v>1310</v>
      </c>
      <c r="H11" s="8" t="s">
        <v>76</v>
      </c>
      <c r="I11" s="8" t="s">
        <v>229</v>
      </c>
      <c r="J11" s="8" t="s">
        <v>53</v>
      </c>
      <c r="K11" s="8" t="s">
        <v>53</v>
      </c>
      <c r="L11" s="8" t="s">
        <v>821</v>
      </c>
      <c r="M11" s="8" t="s">
        <v>311</v>
      </c>
      <c r="N11" s="8" t="s">
        <v>651</v>
      </c>
      <c r="O11" s="8" t="s">
        <v>62</v>
      </c>
      <c r="P11" s="8" t="s">
        <v>1311</v>
      </c>
      <c r="Q11" s="8" t="s">
        <v>70</v>
      </c>
      <c r="R11" s="8" t="s">
        <v>57</v>
      </c>
      <c r="S11" s="8" t="s">
        <v>1206</v>
      </c>
      <c r="T11" s="71">
        <v>1.7310000000000001</v>
      </c>
      <c r="U11" s="72">
        <v>47221</v>
      </c>
      <c r="V11" s="73">
        <v>1.9599999999999999E-2</v>
      </c>
      <c r="W11" s="73">
        <v>2.69E-2</v>
      </c>
      <c r="X11" s="8" t="s">
        <v>636</v>
      </c>
      <c r="Y11" s="141" t="s">
        <v>2853</v>
      </c>
      <c r="Z11" s="74">
        <v>3000000</v>
      </c>
      <c r="AA11" s="74">
        <v>1</v>
      </c>
      <c r="AB11" s="74">
        <v>117.7</v>
      </c>
      <c r="AC11" s="74">
        <v>0</v>
      </c>
      <c r="AD11" s="74">
        <v>3531</v>
      </c>
      <c r="AE11" s="141" t="s">
        <v>2853</v>
      </c>
      <c r="AF11" s="140" t="s">
        <v>2853</v>
      </c>
      <c r="AG11" s="8" t="s">
        <v>17</v>
      </c>
      <c r="AH11" s="68">
        <v>2.6198755650000002E-3</v>
      </c>
      <c r="AI11" s="68">
        <f t="shared" si="0"/>
        <v>6.6565180896701473E-3</v>
      </c>
      <c r="AJ11" s="68">
        <f>+AD11/'סכום נכסים'!$B$30</f>
        <v>8.1935878455739795E-4</v>
      </c>
    </row>
    <row r="12" spans="1:36" x14ac:dyDescent="0.25">
      <c r="A12" s="8">
        <v>13908</v>
      </c>
      <c r="B12" s="8">
        <v>13908</v>
      </c>
      <c r="C12" s="8" t="s">
        <v>1312</v>
      </c>
      <c r="D12" s="8">
        <v>510381601</v>
      </c>
      <c r="E12" s="8" t="s">
        <v>429</v>
      </c>
      <c r="F12" s="8" t="s">
        <v>1313</v>
      </c>
      <c r="G12" s="8" t="s">
        <v>1314</v>
      </c>
      <c r="H12" s="8" t="s">
        <v>76</v>
      </c>
      <c r="I12" s="8" t="s">
        <v>228</v>
      </c>
      <c r="J12" s="8" t="s">
        <v>53</v>
      </c>
      <c r="K12" s="8" t="s">
        <v>53</v>
      </c>
      <c r="L12" s="8" t="s">
        <v>821</v>
      </c>
      <c r="M12" s="8" t="s">
        <v>311</v>
      </c>
      <c r="N12" s="8" t="s">
        <v>140</v>
      </c>
      <c r="O12" s="8" t="s">
        <v>62</v>
      </c>
      <c r="P12" s="8" t="s">
        <v>1292</v>
      </c>
      <c r="Q12" s="8" t="s">
        <v>65</v>
      </c>
      <c r="R12" s="8" t="s">
        <v>57</v>
      </c>
      <c r="S12" s="8" t="s">
        <v>1206</v>
      </c>
      <c r="T12" s="71">
        <v>1.452</v>
      </c>
      <c r="U12" s="72">
        <v>47133</v>
      </c>
      <c r="V12" s="73">
        <v>4.2999999999999997E-2</v>
      </c>
      <c r="W12" s="73">
        <v>4.6800000000000001E-2</v>
      </c>
      <c r="X12" s="8" t="s">
        <v>636</v>
      </c>
      <c r="Y12" s="141" t="s">
        <v>2853</v>
      </c>
      <c r="Z12" s="74">
        <v>8022320.4199999999</v>
      </c>
      <c r="AA12" s="74">
        <v>1</v>
      </c>
      <c r="AB12" s="74">
        <v>101.52</v>
      </c>
      <c r="AC12" s="74">
        <v>0</v>
      </c>
      <c r="AD12" s="74">
        <v>8144.2596899999999</v>
      </c>
      <c r="AE12" s="141" t="s">
        <v>2853</v>
      </c>
      <c r="AF12" s="140" t="s">
        <v>2853</v>
      </c>
      <c r="AG12" s="8" t="s">
        <v>17</v>
      </c>
      <c r="AH12" s="68">
        <v>1.1355826407000001E-2</v>
      </c>
      <c r="AI12" s="68">
        <f t="shared" si="0"/>
        <v>1.5353274413326646E-2</v>
      </c>
      <c r="AJ12" s="68">
        <f>+AD12/'סכום נכסים'!$B$30</f>
        <v>1.8898529370484877E-3</v>
      </c>
    </row>
    <row r="13" spans="1:36" x14ac:dyDescent="0.25">
      <c r="A13" s="8">
        <v>13908</v>
      </c>
      <c r="B13" s="8">
        <v>13908</v>
      </c>
      <c r="C13" s="8" t="s">
        <v>1315</v>
      </c>
      <c r="D13" s="8">
        <v>513765859</v>
      </c>
      <c r="E13" s="8" t="s">
        <v>429</v>
      </c>
      <c r="F13" s="8" t="s">
        <v>1316</v>
      </c>
      <c r="G13" s="8" t="s">
        <v>1317</v>
      </c>
      <c r="H13" s="8" t="s">
        <v>76</v>
      </c>
      <c r="I13" s="8" t="s">
        <v>229</v>
      </c>
      <c r="J13" s="8" t="s">
        <v>53</v>
      </c>
      <c r="K13" s="8" t="s">
        <v>53</v>
      </c>
      <c r="L13" s="8" t="s">
        <v>821</v>
      </c>
      <c r="M13" s="8" t="s">
        <v>311</v>
      </c>
      <c r="N13" s="8" t="s">
        <v>651</v>
      </c>
      <c r="O13" s="8" t="s">
        <v>62</v>
      </c>
      <c r="P13" s="8" t="s">
        <v>1285</v>
      </c>
      <c r="Q13" s="8" t="s">
        <v>65</v>
      </c>
      <c r="R13" s="8" t="s">
        <v>57</v>
      </c>
      <c r="S13" s="8" t="s">
        <v>1206</v>
      </c>
      <c r="T13" s="71">
        <v>0.90700000000000003</v>
      </c>
      <c r="U13" s="72">
        <v>46356</v>
      </c>
      <c r="V13" s="73">
        <v>2.1499999999999998E-2</v>
      </c>
      <c r="W13" s="73">
        <v>2.7900000000000001E-2</v>
      </c>
      <c r="X13" s="8" t="s">
        <v>636</v>
      </c>
      <c r="Y13" s="141" t="s">
        <v>2853</v>
      </c>
      <c r="Z13" s="74">
        <v>196428.57</v>
      </c>
      <c r="AA13" s="74">
        <v>1</v>
      </c>
      <c r="AB13" s="74">
        <v>119.17</v>
      </c>
      <c r="AC13" s="74">
        <v>0</v>
      </c>
      <c r="AD13" s="74">
        <v>234.08393000000001</v>
      </c>
      <c r="AE13" s="141" t="s">
        <v>2853</v>
      </c>
      <c r="AF13" s="140" t="s">
        <v>2853</v>
      </c>
      <c r="AG13" s="8" t="s">
        <v>17</v>
      </c>
      <c r="AH13" s="68">
        <v>2.8042635999999999E-4</v>
      </c>
      <c r="AI13" s="68">
        <f t="shared" si="0"/>
        <v>4.41286863366208E-4</v>
      </c>
      <c r="AJ13" s="68">
        <f>+AD13/'סכום נכסים'!$B$30</f>
        <v>5.4318528566757018E-5</v>
      </c>
    </row>
    <row r="14" spans="1:36" x14ac:dyDescent="0.25">
      <c r="A14" s="8">
        <v>13908</v>
      </c>
      <c r="B14" s="8">
        <v>13908</v>
      </c>
      <c r="C14" s="8" t="s">
        <v>1305</v>
      </c>
      <c r="D14" s="8">
        <v>513623314</v>
      </c>
      <c r="E14" s="8" t="s">
        <v>429</v>
      </c>
      <c r="F14" s="8" t="s">
        <v>1318</v>
      </c>
      <c r="G14" s="8" t="s">
        <v>1319</v>
      </c>
      <c r="H14" s="8" t="s">
        <v>76</v>
      </c>
      <c r="I14" s="8" t="s">
        <v>229</v>
      </c>
      <c r="J14" s="8" t="s">
        <v>53</v>
      </c>
      <c r="K14" s="8" t="s">
        <v>53</v>
      </c>
      <c r="L14" s="8" t="s">
        <v>821</v>
      </c>
      <c r="M14" s="8" t="s">
        <v>311</v>
      </c>
      <c r="N14" s="8" t="s">
        <v>651</v>
      </c>
      <c r="O14" s="8" t="s">
        <v>62</v>
      </c>
      <c r="P14" s="8" t="s">
        <v>1281</v>
      </c>
      <c r="Q14" s="8" t="s">
        <v>65</v>
      </c>
      <c r="R14" s="8" t="s">
        <v>57</v>
      </c>
      <c r="S14" s="8" t="s">
        <v>1206</v>
      </c>
      <c r="T14" s="71">
        <v>0.96199999999999997</v>
      </c>
      <c r="U14" s="72">
        <v>46376</v>
      </c>
      <c r="V14" s="73">
        <v>1.95E-2</v>
      </c>
      <c r="W14" s="73">
        <v>2.9600000000000001E-2</v>
      </c>
      <c r="X14" s="8" t="s">
        <v>636</v>
      </c>
      <c r="Y14" s="141" t="s">
        <v>2853</v>
      </c>
      <c r="Z14" s="74">
        <v>66676.05</v>
      </c>
      <c r="AA14" s="74">
        <v>1</v>
      </c>
      <c r="AB14" s="74">
        <v>117.97</v>
      </c>
      <c r="AC14" s="74">
        <v>0</v>
      </c>
      <c r="AD14" s="74">
        <v>78.657740000000004</v>
      </c>
      <c r="AE14" s="141" t="s">
        <v>2853</v>
      </c>
      <c r="AF14" s="140" t="s">
        <v>2853</v>
      </c>
      <c r="AG14" s="8" t="s">
        <v>17</v>
      </c>
      <c r="AH14" s="68">
        <v>3.9599536300000002E-4</v>
      </c>
      <c r="AI14" s="68">
        <f t="shared" si="0"/>
        <v>1.4828282900101138E-4</v>
      </c>
      <c r="AJ14" s="68">
        <f>+AD14/'סכום נכסים'!$B$30</f>
        <v>1.8252311028726091E-5</v>
      </c>
    </row>
    <row r="15" spans="1:36" x14ac:dyDescent="0.25">
      <c r="A15" s="8">
        <v>13908</v>
      </c>
      <c r="B15" s="8">
        <v>13908</v>
      </c>
      <c r="C15" s="8" t="s">
        <v>1320</v>
      </c>
      <c r="D15" s="8">
        <v>515334662</v>
      </c>
      <c r="E15" s="8" t="s">
        <v>429</v>
      </c>
      <c r="F15" s="8" t="s">
        <v>1321</v>
      </c>
      <c r="G15" s="8" t="s">
        <v>1322</v>
      </c>
      <c r="H15" s="8" t="s">
        <v>76</v>
      </c>
      <c r="I15" s="8" t="s">
        <v>230</v>
      </c>
      <c r="J15" s="8" t="s">
        <v>53</v>
      </c>
      <c r="K15" s="8" t="s">
        <v>53</v>
      </c>
      <c r="L15" s="8" t="s">
        <v>821</v>
      </c>
      <c r="M15" s="8" t="s">
        <v>311</v>
      </c>
      <c r="N15" s="8" t="s">
        <v>267</v>
      </c>
      <c r="O15" s="8" t="s">
        <v>62</v>
      </c>
      <c r="P15" s="8" t="s">
        <v>1323</v>
      </c>
      <c r="Q15" s="8" t="s">
        <v>70</v>
      </c>
      <c r="R15" s="8" t="s">
        <v>57</v>
      </c>
      <c r="S15" s="8" t="s">
        <v>1206</v>
      </c>
      <c r="T15" s="71">
        <v>2.105</v>
      </c>
      <c r="U15" s="72">
        <v>46995</v>
      </c>
      <c r="V15" s="73">
        <v>4.6899999999999997E-2</v>
      </c>
      <c r="W15" s="73">
        <v>5.8999999999999997E-2</v>
      </c>
      <c r="X15" s="8" t="s">
        <v>636</v>
      </c>
      <c r="Y15" s="141" t="s">
        <v>2853</v>
      </c>
      <c r="Z15" s="74">
        <v>1403883.88</v>
      </c>
      <c r="AA15" s="74">
        <v>1</v>
      </c>
      <c r="AB15" s="74">
        <v>89.9</v>
      </c>
      <c r="AC15" s="74">
        <v>0</v>
      </c>
      <c r="AD15" s="74">
        <v>1262.0916099999999</v>
      </c>
      <c r="AE15" s="141" t="s">
        <v>2853</v>
      </c>
      <c r="AF15" s="140" t="s">
        <v>2853</v>
      </c>
      <c r="AG15" s="8" t="s">
        <v>17</v>
      </c>
      <c r="AH15" s="68">
        <v>1.1404509189999999E-3</v>
      </c>
      <c r="AI15" s="68">
        <f t="shared" si="0"/>
        <v>2.3792510996278448E-3</v>
      </c>
      <c r="AJ15" s="68">
        <f>+AD15/'סכום נכסים'!$B$30</f>
        <v>2.9286486762098254E-4</v>
      </c>
    </row>
    <row r="16" spans="1:36" x14ac:dyDescent="0.25">
      <c r="A16" s="8">
        <v>13908</v>
      </c>
      <c r="B16" s="8">
        <v>13908</v>
      </c>
      <c r="C16" s="8" t="s">
        <v>1293</v>
      </c>
      <c r="D16" s="8">
        <v>514065283</v>
      </c>
      <c r="E16" s="8" t="s">
        <v>429</v>
      </c>
      <c r="F16" s="8" t="s">
        <v>1324</v>
      </c>
      <c r="G16" s="8" t="s">
        <v>1325</v>
      </c>
      <c r="H16" s="8" t="s">
        <v>76</v>
      </c>
      <c r="I16" s="8" t="s">
        <v>228</v>
      </c>
      <c r="J16" s="8" t="s">
        <v>53</v>
      </c>
      <c r="K16" s="8" t="s">
        <v>53</v>
      </c>
      <c r="L16" s="8" t="s">
        <v>821</v>
      </c>
      <c r="M16" s="8" t="s">
        <v>311</v>
      </c>
      <c r="N16" s="8" t="s">
        <v>75</v>
      </c>
      <c r="O16" s="8" t="s">
        <v>62</v>
      </c>
      <c r="P16" s="8" t="s">
        <v>1281</v>
      </c>
      <c r="Q16" s="8" t="s">
        <v>65</v>
      </c>
      <c r="R16" s="8" t="s">
        <v>57</v>
      </c>
      <c r="S16" s="8" t="s">
        <v>1206</v>
      </c>
      <c r="T16" s="71">
        <v>1.141</v>
      </c>
      <c r="U16" s="72">
        <v>46631</v>
      </c>
      <c r="V16" s="73">
        <v>2.3E-2</v>
      </c>
      <c r="W16" s="73">
        <v>4.41E-2</v>
      </c>
      <c r="X16" s="8" t="s">
        <v>636</v>
      </c>
      <c r="Y16" s="141" t="s">
        <v>2853</v>
      </c>
      <c r="Z16" s="74">
        <v>1071273.94</v>
      </c>
      <c r="AA16" s="74">
        <v>1</v>
      </c>
      <c r="AB16" s="74">
        <v>98.46</v>
      </c>
      <c r="AC16" s="74">
        <v>0</v>
      </c>
      <c r="AD16" s="74">
        <v>1054.7763199999999</v>
      </c>
      <c r="AE16" s="141" t="s">
        <v>2853</v>
      </c>
      <c r="AF16" s="140" t="s">
        <v>2853</v>
      </c>
      <c r="AG16" s="8" t="s">
        <v>17</v>
      </c>
      <c r="AH16" s="68">
        <v>1.299495896E-3</v>
      </c>
      <c r="AI16" s="68">
        <f t="shared" si="0"/>
        <v>1.9884275430857284E-3</v>
      </c>
      <c r="AJ16" s="68">
        <f>+AD16/'סכום נכסים'!$B$30</f>
        <v>2.4475792793404841E-4</v>
      </c>
    </row>
    <row r="17" spans="1:36" x14ac:dyDescent="0.25">
      <c r="A17" s="8">
        <v>13908</v>
      </c>
      <c r="B17" s="8">
        <v>13908</v>
      </c>
      <c r="C17" s="8" t="s">
        <v>1326</v>
      </c>
      <c r="D17" s="8">
        <v>510560188</v>
      </c>
      <c r="E17" s="8" t="s">
        <v>429</v>
      </c>
      <c r="F17" s="8" t="s">
        <v>1327</v>
      </c>
      <c r="G17" s="8" t="s">
        <v>1328</v>
      </c>
      <c r="H17" s="8" t="s">
        <v>76</v>
      </c>
      <c r="I17" s="8" t="s">
        <v>229</v>
      </c>
      <c r="J17" s="8" t="s">
        <v>53</v>
      </c>
      <c r="K17" s="8" t="s">
        <v>53</v>
      </c>
      <c r="L17" s="8" t="s">
        <v>821</v>
      </c>
      <c r="M17" s="8" t="s">
        <v>311</v>
      </c>
      <c r="N17" s="8" t="s">
        <v>652</v>
      </c>
      <c r="O17" s="8" t="s">
        <v>62</v>
      </c>
      <c r="P17" s="8" t="s">
        <v>1329</v>
      </c>
      <c r="Q17" s="8" t="s">
        <v>65</v>
      </c>
      <c r="R17" s="8" t="s">
        <v>57</v>
      </c>
      <c r="S17" s="8" t="s">
        <v>1206</v>
      </c>
      <c r="T17" s="71">
        <v>0.78</v>
      </c>
      <c r="U17" s="72">
        <v>46310</v>
      </c>
      <c r="V17" s="73">
        <v>2.5700000000000001E-2</v>
      </c>
      <c r="W17" s="73">
        <v>2.98E-2</v>
      </c>
      <c r="X17" s="8" t="s">
        <v>636</v>
      </c>
      <c r="Y17" s="141" t="s">
        <v>2853</v>
      </c>
      <c r="Z17" s="74">
        <v>90685.94</v>
      </c>
      <c r="AA17" s="74">
        <v>1</v>
      </c>
      <c r="AB17" s="74">
        <v>119.3</v>
      </c>
      <c r="AC17" s="74">
        <v>0</v>
      </c>
      <c r="AD17" s="74">
        <v>108.18832999999999</v>
      </c>
      <c r="AE17" s="141" t="s">
        <v>2853</v>
      </c>
      <c r="AF17" s="140" t="s">
        <v>2853</v>
      </c>
      <c r="AG17" s="8" t="s">
        <v>17</v>
      </c>
      <c r="AH17" s="68">
        <v>1.09286867E-4</v>
      </c>
      <c r="AI17" s="68">
        <f t="shared" si="0"/>
        <v>2.039528676681403E-4</v>
      </c>
      <c r="AJ17" s="68">
        <f>+AD17/'סכום נכסים'!$B$30</f>
        <v>2.5104802767514774E-5</v>
      </c>
    </row>
    <row r="18" spans="1:36" x14ac:dyDescent="0.25">
      <c r="A18" s="8">
        <v>13908</v>
      </c>
      <c r="B18" s="8">
        <v>13908</v>
      </c>
      <c r="C18" s="8" t="s">
        <v>1320</v>
      </c>
      <c r="D18" s="8">
        <v>515334662</v>
      </c>
      <c r="E18" s="8" t="s">
        <v>429</v>
      </c>
      <c r="F18" s="8" t="s">
        <v>1330</v>
      </c>
      <c r="G18" s="8" t="s">
        <v>1331</v>
      </c>
      <c r="H18" s="8" t="s">
        <v>76</v>
      </c>
      <c r="I18" s="8" t="s">
        <v>230</v>
      </c>
      <c r="J18" s="8" t="s">
        <v>53</v>
      </c>
      <c r="K18" s="8" t="s">
        <v>53</v>
      </c>
      <c r="L18" s="8" t="s">
        <v>821</v>
      </c>
      <c r="M18" s="8" t="s">
        <v>311</v>
      </c>
      <c r="N18" s="8" t="s">
        <v>267</v>
      </c>
      <c r="O18" s="8" t="s">
        <v>62</v>
      </c>
      <c r="P18" s="8" t="s">
        <v>1323</v>
      </c>
      <c r="Q18" s="8" t="s">
        <v>70</v>
      </c>
      <c r="R18" s="8" t="s">
        <v>57</v>
      </c>
      <c r="S18" s="8" t="s">
        <v>1206</v>
      </c>
      <c r="T18" s="71">
        <v>2.2570000000000001</v>
      </c>
      <c r="U18" s="72">
        <v>46995</v>
      </c>
      <c r="V18" s="73">
        <v>4.6899999999999997E-2</v>
      </c>
      <c r="W18" s="73">
        <v>5.9499999999999997E-2</v>
      </c>
      <c r="X18" s="8" t="s">
        <v>636</v>
      </c>
      <c r="Y18" s="141" t="s">
        <v>2853</v>
      </c>
      <c r="Z18" s="74">
        <v>2344502.87</v>
      </c>
      <c r="AA18" s="74">
        <v>1</v>
      </c>
      <c r="AB18" s="74">
        <v>91.28</v>
      </c>
      <c r="AC18" s="74">
        <v>0</v>
      </c>
      <c r="AD18" s="74">
        <v>2140.0622199999998</v>
      </c>
      <c r="AE18" s="141" t="s">
        <v>2853</v>
      </c>
      <c r="AF18" s="140" t="s">
        <v>2853</v>
      </c>
      <c r="AG18" s="8" t="s">
        <v>17</v>
      </c>
      <c r="AH18" s="68">
        <v>2.2198840379999999E-3</v>
      </c>
      <c r="AI18" s="68">
        <f t="shared" si="0"/>
        <v>4.0343706826535411E-3</v>
      </c>
      <c r="AJ18" s="68">
        <f>+AD18/'סכום נכסים'!$B$30</f>
        <v>4.9659551952886054E-4</v>
      </c>
    </row>
    <row r="19" spans="1:36" x14ac:dyDescent="0.25">
      <c r="A19" s="8">
        <v>13908</v>
      </c>
      <c r="B19" s="8">
        <v>13908</v>
      </c>
      <c r="C19" s="8" t="s">
        <v>1332</v>
      </c>
      <c r="D19" s="8">
        <v>513569780</v>
      </c>
      <c r="E19" s="8" t="s">
        <v>429</v>
      </c>
      <c r="F19" s="8" t="s">
        <v>1333</v>
      </c>
      <c r="G19" s="8" t="s">
        <v>1334</v>
      </c>
      <c r="H19" s="8" t="s">
        <v>76</v>
      </c>
      <c r="I19" s="8" t="s">
        <v>229</v>
      </c>
      <c r="J19" s="8" t="s">
        <v>53</v>
      </c>
      <c r="K19" s="8" t="s">
        <v>53</v>
      </c>
      <c r="L19" s="8" t="s">
        <v>821</v>
      </c>
      <c r="M19" s="8" t="s">
        <v>311</v>
      </c>
      <c r="N19" s="8" t="s">
        <v>651</v>
      </c>
      <c r="O19" s="8" t="s">
        <v>62</v>
      </c>
      <c r="P19" s="8" t="s">
        <v>1205</v>
      </c>
      <c r="Q19" s="8" t="s">
        <v>65</v>
      </c>
      <c r="R19" s="8" t="s">
        <v>57</v>
      </c>
      <c r="S19" s="8" t="s">
        <v>1206</v>
      </c>
      <c r="T19" s="71">
        <v>3.86</v>
      </c>
      <c r="U19" s="72">
        <v>48213</v>
      </c>
      <c r="V19" s="73">
        <v>1.6500000000000001E-2</v>
      </c>
      <c r="W19" s="73">
        <v>2.1899999999999999E-2</v>
      </c>
      <c r="X19" s="8" t="s">
        <v>636</v>
      </c>
      <c r="Y19" s="141" t="s">
        <v>2853</v>
      </c>
      <c r="Z19" s="74">
        <v>3097105</v>
      </c>
      <c r="AA19" s="74">
        <v>1</v>
      </c>
      <c r="AB19" s="74">
        <v>116.63</v>
      </c>
      <c r="AC19" s="74">
        <v>0</v>
      </c>
      <c r="AD19" s="74">
        <v>3612.1535600000002</v>
      </c>
      <c r="AE19" s="141" t="s">
        <v>2853</v>
      </c>
      <c r="AF19" s="140" t="s">
        <v>2853</v>
      </c>
      <c r="AG19" s="8" t="s">
        <v>17</v>
      </c>
      <c r="AH19" s="68">
        <v>1.463920337E-3</v>
      </c>
      <c r="AI19" s="68">
        <f t="shared" si="0"/>
        <v>6.8095059515169707E-3</v>
      </c>
      <c r="AJ19" s="68">
        <f>+AD19/'סכום נכסים'!$B$30</f>
        <v>8.3819024371460725E-4</v>
      </c>
    </row>
    <row r="20" spans="1:36" x14ac:dyDescent="0.25">
      <c r="A20" s="1">
        <v>13908</v>
      </c>
      <c r="B20" s="1">
        <v>13908</v>
      </c>
      <c r="C20" s="1" t="s">
        <v>1335</v>
      </c>
      <c r="D20" s="1">
        <v>513436394</v>
      </c>
      <c r="E20" s="8" t="s">
        <v>429</v>
      </c>
      <c r="F20" s="1" t="s">
        <v>1336</v>
      </c>
      <c r="G20" s="1" t="s">
        <v>1337</v>
      </c>
      <c r="H20" s="8" t="s">
        <v>76</v>
      </c>
      <c r="I20" s="8" t="s">
        <v>229</v>
      </c>
      <c r="J20" s="8" t="s">
        <v>53</v>
      </c>
      <c r="K20" s="8" t="s">
        <v>53</v>
      </c>
      <c r="L20" s="8" t="s">
        <v>821</v>
      </c>
      <c r="M20" s="8" t="s">
        <v>311</v>
      </c>
      <c r="N20" s="8" t="s">
        <v>258</v>
      </c>
      <c r="O20" s="8" t="s">
        <v>62</v>
      </c>
      <c r="P20" s="1" t="s">
        <v>1205</v>
      </c>
      <c r="Q20" s="8" t="s">
        <v>65</v>
      </c>
      <c r="R20" s="8" t="s">
        <v>57</v>
      </c>
      <c r="S20" s="1" t="s">
        <v>1206</v>
      </c>
      <c r="T20" s="69">
        <v>4.7460000000000004</v>
      </c>
      <c r="U20" s="70">
        <v>48760</v>
      </c>
      <c r="V20" s="68">
        <v>2.6499999999999999E-2</v>
      </c>
      <c r="W20" s="68">
        <v>2.1999999999999999E-2</v>
      </c>
      <c r="X20" s="8" t="s">
        <v>636</v>
      </c>
      <c r="Y20" s="141" t="s">
        <v>2853</v>
      </c>
      <c r="Z20" s="67">
        <v>3284789.9</v>
      </c>
      <c r="AA20" s="67">
        <v>1</v>
      </c>
      <c r="AB20" s="67">
        <v>121.24</v>
      </c>
      <c r="AC20" s="67">
        <v>0</v>
      </c>
      <c r="AD20" s="67">
        <v>3982.4792699999998</v>
      </c>
      <c r="AE20" s="140" t="s">
        <v>2853</v>
      </c>
      <c r="AF20" s="140" t="s">
        <v>2853</v>
      </c>
      <c r="AG20" s="1" t="s">
        <v>17</v>
      </c>
      <c r="AH20" s="68">
        <v>2.3782500919999998E-3</v>
      </c>
      <c r="AI20" s="68">
        <f t="shared" si="0"/>
        <v>7.5076310683917756E-3</v>
      </c>
      <c r="AJ20" s="68">
        <f>+AD20/'סכום נכסים'!$B$30</f>
        <v>9.2412330053589153E-4</v>
      </c>
    </row>
    <row r="21" spans="1:36" x14ac:dyDescent="0.25">
      <c r="A21" s="1">
        <v>13908</v>
      </c>
      <c r="B21" s="1">
        <v>13908</v>
      </c>
      <c r="C21" s="1" t="s">
        <v>1305</v>
      </c>
      <c r="D21" s="1">
        <v>513623314</v>
      </c>
      <c r="E21" s="1" t="s">
        <v>429</v>
      </c>
      <c r="F21" s="1" t="s">
        <v>1338</v>
      </c>
      <c r="G21" s="1" t="s">
        <v>1339</v>
      </c>
      <c r="H21" s="1" t="s">
        <v>76</v>
      </c>
      <c r="I21" s="1" t="s">
        <v>229</v>
      </c>
      <c r="J21" s="1" t="s">
        <v>53</v>
      </c>
      <c r="K21" s="1" t="s">
        <v>53</v>
      </c>
      <c r="L21" s="1" t="s">
        <v>821</v>
      </c>
      <c r="M21" s="1" t="s">
        <v>311</v>
      </c>
      <c r="N21" s="1" t="s">
        <v>651</v>
      </c>
      <c r="O21" s="1" t="s">
        <v>62</v>
      </c>
      <c r="P21" s="1" t="s">
        <v>1285</v>
      </c>
      <c r="Q21" s="1" t="s">
        <v>65</v>
      </c>
      <c r="R21" s="1" t="s">
        <v>57</v>
      </c>
      <c r="S21" s="1" t="s">
        <v>1206</v>
      </c>
      <c r="T21" s="69">
        <v>1.7070000000000001</v>
      </c>
      <c r="U21" s="70">
        <v>46680</v>
      </c>
      <c r="V21" s="68">
        <v>1.8200000000000001E-2</v>
      </c>
      <c r="W21" s="68">
        <v>2.5100000000000001E-2</v>
      </c>
      <c r="X21" s="1" t="s">
        <v>636</v>
      </c>
      <c r="Y21" s="140" t="s">
        <v>2853</v>
      </c>
      <c r="Z21" s="67">
        <v>843750</v>
      </c>
      <c r="AA21" s="67">
        <v>1</v>
      </c>
      <c r="AB21" s="67">
        <v>116.93</v>
      </c>
      <c r="AC21" s="67">
        <v>0</v>
      </c>
      <c r="AD21" s="67">
        <v>986.59686999999997</v>
      </c>
      <c r="AE21" s="140" t="s">
        <v>2853</v>
      </c>
      <c r="AF21" s="140" t="s">
        <v>2853</v>
      </c>
      <c r="AG21" s="1" t="s">
        <v>17</v>
      </c>
      <c r="AH21" s="68">
        <v>1.6859426099999999E-3</v>
      </c>
      <c r="AI21" s="68">
        <f t="shared" si="0"/>
        <v>1.8598980210611572E-3</v>
      </c>
      <c r="AJ21" s="68">
        <f>+AD21/'סכום נכסים'!$B$30</f>
        <v>2.2893707512074005E-4</v>
      </c>
    </row>
    <row r="22" spans="1:36" x14ac:dyDescent="0.25">
      <c r="A22" s="1">
        <v>13908</v>
      </c>
      <c r="B22" s="1">
        <v>13908</v>
      </c>
      <c r="C22" s="1" t="s">
        <v>1340</v>
      </c>
      <c r="D22" s="1">
        <v>515327120</v>
      </c>
      <c r="E22" s="1" t="s">
        <v>429</v>
      </c>
      <c r="F22" s="1" t="s">
        <v>1341</v>
      </c>
      <c r="G22" s="1" t="s">
        <v>1342</v>
      </c>
      <c r="H22" s="1" t="s">
        <v>76</v>
      </c>
      <c r="I22" s="1" t="s">
        <v>229</v>
      </c>
      <c r="J22" s="1" t="s">
        <v>53</v>
      </c>
      <c r="K22" s="1" t="s">
        <v>53</v>
      </c>
      <c r="L22" s="1" t="s">
        <v>821</v>
      </c>
      <c r="M22" s="1" t="s">
        <v>311</v>
      </c>
      <c r="N22" s="1" t="s">
        <v>651</v>
      </c>
      <c r="O22" s="1" t="s">
        <v>62</v>
      </c>
      <c r="P22" s="1" t="s">
        <v>1311</v>
      </c>
      <c r="Q22" s="1" t="s">
        <v>70</v>
      </c>
      <c r="R22" s="1" t="s">
        <v>57</v>
      </c>
      <c r="S22" s="1" t="s">
        <v>1206</v>
      </c>
      <c r="T22" s="69">
        <v>1.893</v>
      </c>
      <c r="U22" s="70">
        <v>46752</v>
      </c>
      <c r="V22" s="68">
        <v>2.75E-2</v>
      </c>
      <c r="W22" s="68">
        <v>2.63E-2</v>
      </c>
      <c r="X22" s="1" t="s">
        <v>636</v>
      </c>
      <c r="Y22" s="140" t="s">
        <v>2853</v>
      </c>
      <c r="Z22" s="67">
        <v>166666.67000000001</v>
      </c>
      <c r="AA22" s="67">
        <v>1</v>
      </c>
      <c r="AB22" s="67">
        <v>117.56</v>
      </c>
      <c r="AC22" s="67">
        <v>0</v>
      </c>
      <c r="AD22" s="67">
        <v>195.93333999999999</v>
      </c>
      <c r="AE22" s="140" t="s">
        <v>2853</v>
      </c>
      <c r="AF22" s="140" t="s">
        <v>2853</v>
      </c>
      <c r="AG22" s="1" t="s">
        <v>17</v>
      </c>
      <c r="AH22" s="68">
        <v>3.17715906E-4</v>
      </c>
      <c r="AI22" s="68">
        <f t="shared" si="0"/>
        <v>3.6936670124029775E-4</v>
      </c>
      <c r="AJ22" s="68">
        <f>+AD22/'סכום נכסים'!$B$30</f>
        <v>4.5465789667706427E-5</v>
      </c>
    </row>
    <row r="23" spans="1:36" x14ac:dyDescent="0.25">
      <c r="A23" s="1">
        <v>13908</v>
      </c>
      <c r="B23" s="1">
        <v>13908</v>
      </c>
      <c r="C23" s="1" t="s">
        <v>1343</v>
      </c>
      <c r="D23" s="1">
        <v>633896</v>
      </c>
      <c r="E23" s="1" t="s">
        <v>430</v>
      </c>
      <c r="F23" s="1" t="s">
        <v>1344</v>
      </c>
      <c r="G23" s="1" t="s">
        <v>1345</v>
      </c>
      <c r="H23" s="1" t="s">
        <v>76</v>
      </c>
      <c r="I23" s="1" t="s">
        <v>230</v>
      </c>
      <c r="J23" s="1" t="s">
        <v>53</v>
      </c>
      <c r="K23" s="1" t="s">
        <v>315</v>
      </c>
      <c r="L23" s="1" t="s">
        <v>821</v>
      </c>
      <c r="M23" s="1" t="s">
        <v>311</v>
      </c>
      <c r="N23" s="1" t="s">
        <v>652</v>
      </c>
      <c r="O23" s="1" t="s">
        <v>62</v>
      </c>
      <c r="P23" s="1" t="s">
        <v>1311</v>
      </c>
      <c r="Q23" s="1" t="s">
        <v>70</v>
      </c>
      <c r="R23" s="1" t="s">
        <v>57</v>
      </c>
      <c r="S23" s="1" t="s">
        <v>1206</v>
      </c>
      <c r="T23" s="69">
        <v>2.1019999999999999</v>
      </c>
      <c r="U23" s="70">
        <v>46944</v>
      </c>
      <c r="V23" s="68">
        <v>4.2999999999999997E-2</v>
      </c>
      <c r="W23" s="68">
        <v>7.3800000000000004E-2</v>
      </c>
      <c r="X23" s="1" t="s">
        <v>636</v>
      </c>
      <c r="Y23" s="140" t="s">
        <v>2853</v>
      </c>
      <c r="Z23" s="67">
        <v>441812.95</v>
      </c>
      <c r="AA23" s="67">
        <v>1</v>
      </c>
      <c r="AB23" s="67">
        <v>85.4</v>
      </c>
      <c r="AC23" s="67">
        <v>0</v>
      </c>
      <c r="AD23" s="67">
        <v>377.30826000000002</v>
      </c>
      <c r="AE23" s="140" t="s">
        <v>2853</v>
      </c>
      <c r="AF23" s="140" t="s">
        <v>2853</v>
      </c>
      <c r="AG23" s="1" t="s">
        <v>17</v>
      </c>
      <c r="AH23" s="68">
        <v>4.36265318E-4</v>
      </c>
      <c r="AI23" s="68">
        <f t="shared" si="0"/>
        <v>7.1128837668421618E-4</v>
      </c>
      <c r="AJ23" s="68">
        <f>+AD23/'סכום נכסים'!$B$30</f>
        <v>8.7553338237628627E-5</v>
      </c>
    </row>
    <row r="24" spans="1:36" x14ac:dyDescent="0.25">
      <c r="A24" s="1">
        <v>13908</v>
      </c>
      <c r="B24" s="1">
        <v>13908</v>
      </c>
      <c r="C24" s="1" t="s">
        <v>1346</v>
      </c>
      <c r="D24" s="1">
        <v>520044314</v>
      </c>
      <c r="E24" s="1" t="s">
        <v>429</v>
      </c>
      <c r="F24" s="1" t="s">
        <v>1347</v>
      </c>
      <c r="G24" s="1" t="s">
        <v>1348</v>
      </c>
      <c r="H24" s="1" t="s">
        <v>76</v>
      </c>
      <c r="I24" s="1" t="s">
        <v>228</v>
      </c>
      <c r="J24" s="1" t="s">
        <v>53</v>
      </c>
      <c r="K24" s="1" t="s">
        <v>53</v>
      </c>
      <c r="L24" s="1" t="s">
        <v>821</v>
      </c>
      <c r="M24" s="1" t="s">
        <v>311</v>
      </c>
      <c r="N24" s="1" t="s">
        <v>260</v>
      </c>
      <c r="O24" s="1" t="s">
        <v>62</v>
      </c>
      <c r="P24" s="1" t="s">
        <v>1281</v>
      </c>
      <c r="Q24" s="1" t="s">
        <v>65</v>
      </c>
      <c r="R24" s="1" t="s">
        <v>57</v>
      </c>
      <c r="S24" s="1" t="s">
        <v>1206</v>
      </c>
      <c r="T24" s="69">
        <v>1.1200000000000001</v>
      </c>
      <c r="U24" s="70">
        <v>46563</v>
      </c>
      <c r="V24" s="68">
        <v>0.04</v>
      </c>
      <c r="W24" s="68">
        <v>4.1799999999999997E-2</v>
      </c>
      <c r="X24" s="1" t="s">
        <v>636</v>
      </c>
      <c r="Y24" s="140" t="s">
        <v>2853</v>
      </c>
      <c r="Z24" s="67">
        <v>1353333.39</v>
      </c>
      <c r="AA24" s="67">
        <v>1</v>
      </c>
      <c r="AB24" s="67">
        <v>101.86</v>
      </c>
      <c r="AC24" s="67">
        <v>0</v>
      </c>
      <c r="AD24" s="67">
        <v>1378.50539</v>
      </c>
      <c r="AE24" s="140" t="s">
        <v>2853</v>
      </c>
      <c r="AF24" s="140" t="s">
        <v>2853</v>
      </c>
      <c r="AG24" s="1" t="s">
        <v>17</v>
      </c>
      <c r="AH24" s="68">
        <v>2.6509919199999999E-3</v>
      </c>
      <c r="AI24" s="68">
        <f t="shared" si="0"/>
        <v>2.5987102988509776E-3</v>
      </c>
      <c r="AJ24" s="68">
        <f>+AD24/'סכום נכסים'!$B$30</f>
        <v>3.1987836331243889E-4</v>
      </c>
    </row>
    <row r="25" spans="1:36" x14ac:dyDescent="0.25">
      <c r="A25" s="1">
        <v>13908</v>
      </c>
      <c r="B25" s="1">
        <v>13908</v>
      </c>
      <c r="C25" s="1" t="s">
        <v>1301</v>
      </c>
      <c r="D25" s="1">
        <v>510960719</v>
      </c>
      <c r="E25" s="1" t="s">
        <v>429</v>
      </c>
      <c r="F25" s="1" t="s">
        <v>1349</v>
      </c>
      <c r="G25" s="1" t="s">
        <v>1350</v>
      </c>
      <c r="H25" s="1" t="s">
        <v>76</v>
      </c>
      <c r="I25" s="1" t="s">
        <v>229</v>
      </c>
      <c r="J25" s="1" t="s">
        <v>53</v>
      </c>
      <c r="K25" s="1" t="s">
        <v>53</v>
      </c>
      <c r="L25" s="1" t="s">
        <v>821</v>
      </c>
      <c r="M25" s="1" t="s">
        <v>311</v>
      </c>
      <c r="N25" s="1" t="s">
        <v>651</v>
      </c>
      <c r="O25" s="1" t="s">
        <v>62</v>
      </c>
      <c r="P25" s="1" t="s">
        <v>1304</v>
      </c>
      <c r="Q25" s="1" t="s">
        <v>70</v>
      </c>
      <c r="R25" s="1" t="s">
        <v>57</v>
      </c>
      <c r="S25" s="1" t="s">
        <v>1206</v>
      </c>
      <c r="T25" s="69">
        <v>1.47</v>
      </c>
      <c r="U25" s="70">
        <v>46934</v>
      </c>
      <c r="V25" s="68">
        <v>1.77E-2</v>
      </c>
      <c r="W25" s="68">
        <v>2.5700000000000001E-2</v>
      </c>
      <c r="X25" s="1" t="s">
        <v>636</v>
      </c>
      <c r="Y25" s="140" t="s">
        <v>2853</v>
      </c>
      <c r="Z25" s="67">
        <v>972727.5</v>
      </c>
      <c r="AA25" s="67">
        <v>1</v>
      </c>
      <c r="AB25" s="67">
        <v>116.62</v>
      </c>
      <c r="AC25" s="67">
        <v>0</v>
      </c>
      <c r="AD25" s="67">
        <v>1134.39481</v>
      </c>
      <c r="AE25" s="140" t="s">
        <v>2853</v>
      </c>
      <c r="AF25" s="140" t="s">
        <v>2853</v>
      </c>
      <c r="AG25" s="1" t="s">
        <v>17</v>
      </c>
      <c r="AH25" s="68">
        <v>3.9988086499999999E-4</v>
      </c>
      <c r="AI25" s="68">
        <f t="shared" si="0"/>
        <v>2.138521544489643E-3</v>
      </c>
      <c r="AJ25" s="68">
        <f>+AD25/'סכום נכסים'!$B$30</f>
        <v>2.6323317834319468E-4</v>
      </c>
    </row>
    <row r="26" spans="1:36" x14ac:dyDescent="0.25">
      <c r="A26" s="1">
        <v>13908</v>
      </c>
      <c r="B26" s="1">
        <v>13908</v>
      </c>
      <c r="C26" s="1" t="s">
        <v>1301</v>
      </c>
      <c r="D26" s="1">
        <v>510960719</v>
      </c>
      <c r="E26" s="1" t="s">
        <v>429</v>
      </c>
      <c r="F26" s="1" t="s">
        <v>1351</v>
      </c>
      <c r="G26" s="1" t="s">
        <v>1352</v>
      </c>
      <c r="H26" s="1" t="s">
        <v>76</v>
      </c>
      <c r="I26" s="1" t="s">
        <v>229</v>
      </c>
      <c r="J26" s="1" t="s">
        <v>53</v>
      </c>
      <c r="K26" s="1" t="s">
        <v>53</v>
      </c>
      <c r="L26" s="1" t="s">
        <v>821</v>
      </c>
      <c r="M26" s="1" t="s">
        <v>311</v>
      </c>
      <c r="N26" s="1" t="s">
        <v>651</v>
      </c>
      <c r="O26" s="1" t="s">
        <v>62</v>
      </c>
      <c r="P26" s="1" t="s">
        <v>1304</v>
      </c>
      <c r="Q26" s="1" t="s">
        <v>70</v>
      </c>
      <c r="R26" s="1" t="s">
        <v>57</v>
      </c>
      <c r="S26" s="1" t="s">
        <v>1206</v>
      </c>
      <c r="T26" s="69">
        <v>4.5410000000000004</v>
      </c>
      <c r="U26" s="70">
        <v>48579</v>
      </c>
      <c r="V26" s="68">
        <v>2.4799999999999999E-2</v>
      </c>
      <c r="W26" s="68">
        <v>2.4500000000000001E-2</v>
      </c>
      <c r="X26" s="1" t="s">
        <v>636</v>
      </c>
      <c r="Y26" s="140" t="s">
        <v>2853</v>
      </c>
      <c r="Z26" s="67">
        <v>369235.42</v>
      </c>
      <c r="AA26" s="67">
        <v>1</v>
      </c>
      <c r="AB26" s="67">
        <v>118.21</v>
      </c>
      <c r="AC26" s="67">
        <v>0</v>
      </c>
      <c r="AD26" s="67">
        <v>436.47318999999999</v>
      </c>
      <c r="AE26" s="140" t="s">
        <v>2853</v>
      </c>
      <c r="AF26" s="140" t="s">
        <v>2853</v>
      </c>
      <c r="AG26" s="1" t="s">
        <v>17</v>
      </c>
      <c r="AH26" s="68">
        <v>1.14950415E-4</v>
      </c>
      <c r="AI26" s="68">
        <f t="shared" si="0"/>
        <v>8.2282403990117112E-4</v>
      </c>
      <c r="AJ26" s="68">
        <f>+AD26/'סכום נכסים'!$B$30</f>
        <v>1.012823966157718E-4</v>
      </c>
    </row>
    <row r="27" spans="1:36" x14ac:dyDescent="0.25">
      <c r="A27" s="1">
        <v>13908</v>
      </c>
      <c r="B27" s="1">
        <v>13908</v>
      </c>
      <c r="C27" s="1" t="s">
        <v>1315</v>
      </c>
      <c r="D27" s="1">
        <v>513765859</v>
      </c>
      <c r="E27" s="1" t="s">
        <v>429</v>
      </c>
      <c r="F27" s="1" t="s">
        <v>1353</v>
      </c>
      <c r="G27" s="1" t="s">
        <v>1354</v>
      </c>
      <c r="H27" s="1" t="s">
        <v>76</v>
      </c>
      <c r="I27" s="1" t="s">
        <v>229</v>
      </c>
      <c r="J27" s="1" t="s">
        <v>53</v>
      </c>
      <c r="K27" s="1" t="s">
        <v>53</v>
      </c>
      <c r="L27" s="1" t="s">
        <v>821</v>
      </c>
      <c r="M27" s="1" t="s">
        <v>311</v>
      </c>
      <c r="N27" s="1" t="s">
        <v>651</v>
      </c>
      <c r="O27" s="1" t="s">
        <v>62</v>
      </c>
      <c r="P27" s="1" t="s">
        <v>1285</v>
      </c>
      <c r="Q27" s="1" t="s">
        <v>65</v>
      </c>
      <c r="R27" s="1" t="s">
        <v>57</v>
      </c>
      <c r="S27" s="1" t="s">
        <v>1206</v>
      </c>
      <c r="T27" s="69">
        <v>1.962</v>
      </c>
      <c r="U27" s="70">
        <v>47057</v>
      </c>
      <c r="V27" s="68">
        <v>1.4200000000000001E-2</v>
      </c>
      <c r="W27" s="68">
        <v>2.4799999999999999E-2</v>
      </c>
      <c r="X27" s="1" t="s">
        <v>636</v>
      </c>
      <c r="Y27" s="140" t="s">
        <v>2853</v>
      </c>
      <c r="Z27" s="67">
        <v>409629.5</v>
      </c>
      <c r="AA27" s="67">
        <v>1</v>
      </c>
      <c r="AB27" s="67">
        <v>115.85</v>
      </c>
      <c r="AC27" s="67">
        <v>0</v>
      </c>
      <c r="AD27" s="67">
        <v>474.55578000000003</v>
      </c>
      <c r="AE27" s="140" t="s">
        <v>2853</v>
      </c>
      <c r="AF27" s="140" t="s">
        <v>2853</v>
      </c>
      <c r="AG27" s="1" t="s">
        <v>17</v>
      </c>
      <c r="AH27" s="68">
        <v>4.9303431799999997E-4</v>
      </c>
      <c r="AI27" s="68">
        <f t="shared" si="0"/>
        <v>8.9461601079794022E-4</v>
      </c>
      <c r="AJ27" s="68">
        <f>+AD27/'סכום נכסים'!$B$30</f>
        <v>1.1011935630288529E-4</v>
      </c>
    </row>
    <row r="28" spans="1:36" x14ac:dyDescent="0.25">
      <c r="A28" s="1">
        <v>13908</v>
      </c>
      <c r="B28" s="1">
        <v>13908</v>
      </c>
      <c r="C28" s="1" t="s">
        <v>1355</v>
      </c>
      <c r="D28" s="1">
        <v>513957472</v>
      </c>
      <c r="E28" s="1" t="s">
        <v>429</v>
      </c>
      <c r="F28" s="1" t="s">
        <v>1356</v>
      </c>
      <c r="G28" s="1" t="s">
        <v>1357</v>
      </c>
      <c r="H28" s="1" t="s">
        <v>76</v>
      </c>
      <c r="I28" s="1" t="s">
        <v>228</v>
      </c>
      <c r="J28" s="1" t="s">
        <v>53</v>
      </c>
      <c r="K28" s="1" t="s">
        <v>53</v>
      </c>
      <c r="L28" s="1" t="s">
        <v>821</v>
      </c>
      <c r="M28" s="1" t="s">
        <v>311</v>
      </c>
      <c r="N28" s="1" t="s">
        <v>651</v>
      </c>
      <c r="O28" s="1" t="s">
        <v>62</v>
      </c>
      <c r="P28" s="1" t="s">
        <v>1358</v>
      </c>
      <c r="Q28" s="1" t="s">
        <v>70</v>
      </c>
      <c r="R28" s="1" t="s">
        <v>57</v>
      </c>
      <c r="S28" s="1" t="s">
        <v>1206</v>
      </c>
      <c r="T28" s="69">
        <v>2.6349999999999998</v>
      </c>
      <c r="U28" s="70">
        <v>47787</v>
      </c>
      <c r="V28" s="68">
        <v>4.1000000000000002E-2</v>
      </c>
      <c r="W28" s="68">
        <v>4.8099999999999997E-2</v>
      </c>
      <c r="X28" s="1" t="s">
        <v>636</v>
      </c>
      <c r="Y28" s="140" t="s">
        <v>2853</v>
      </c>
      <c r="Z28" s="67">
        <v>90625</v>
      </c>
      <c r="AA28" s="67">
        <v>1</v>
      </c>
      <c r="AB28" s="67">
        <v>98.99</v>
      </c>
      <c r="AC28" s="67">
        <v>0</v>
      </c>
      <c r="AD28" s="67">
        <v>89.709689999999995</v>
      </c>
      <c r="AE28" s="140" t="s">
        <v>2853</v>
      </c>
      <c r="AF28" s="140" t="s">
        <v>2853</v>
      </c>
      <c r="AG28" s="1" t="s">
        <v>17</v>
      </c>
      <c r="AH28" s="68">
        <v>1.6784272699999999E-4</v>
      </c>
      <c r="AI28" s="68">
        <f t="shared" si="0"/>
        <v>1.6911757980846815E-4</v>
      </c>
      <c r="AJ28" s="68">
        <f>+AD28/'סכום נכסים'!$B$30</f>
        <v>2.0816885460611993E-5</v>
      </c>
    </row>
    <row r="29" spans="1:36" x14ac:dyDescent="0.25">
      <c r="A29" s="1">
        <v>13908</v>
      </c>
      <c r="B29" s="1">
        <v>13908</v>
      </c>
      <c r="C29" s="1" t="s">
        <v>1359</v>
      </c>
      <c r="D29" s="1">
        <v>520043878</v>
      </c>
      <c r="E29" s="1" t="s">
        <v>429</v>
      </c>
      <c r="F29" s="1" t="s">
        <v>1360</v>
      </c>
      <c r="G29" s="1" t="s">
        <v>1361</v>
      </c>
      <c r="H29" s="1" t="s">
        <v>76</v>
      </c>
      <c r="I29" s="1" t="s">
        <v>228</v>
      </c>
      <c r="J29" s="1" t="s">
        <v>53</v>
      </c>
      <c r="K29" s="1" t="s">
        <v>53</v>
      </c>
      <c r="L29" s="1" t="s">
        <v>821</v>
      </c>
      <c r="M29" s="1" t="s">
        <v>311</v>
      </c>
      <c r="N29" s="1" t="s">
        <v>156</v>
      </c>
      <c r="O29" s="1" t="s">
        <v>62</v>
      </c>
      <c r="P29" s="1" t="s">
        <v>1358</v>
      </c>
      <c r="Q29" s="1" t="s">
        <v>70</v>
      </c>
      <c r="R29" s="1" t="s">
        <v>57</v>
      </c>
      <c r="S29" s="1" t="s">
        <v>1206</v>
      </c>
      <c r="T29" s="69">
        <v>1.214</v>
      </c>
      <c r="U29" s="70">
        <v>46660</v>
      </c>
      <c r="V29" s="68">
        <v>3.2899999999999999E-2</v>
      </c>
      <c r="W29" s="68">
        <v>4.53E-2</v>
      </c>
      <c r="X29" s="1" t="s">
        <v>636</v>
      </c>
      <c r="Y29" s="140" t="s">
        <v>2853</v>
      </c>
      <c r="Z29" s="67">
        <v>4020133.53</v>
      </c>
      <c r="AA29" s="67">
        <v>1</v>
      </c>
      <c r="AB29" s="67">
        <v>99.42</v>
      </c>
      <c r="AC29" s="67">
        <v>0</v>
      </c>
      <c r="AD29" s="67">
        <v>3996.8167600000002</v>
      </c>
      <c r="AE29" s="140" t="s">
        <v>2853</v>
      </c>
      <c r="AF29" s="140" t="s">
        <v>2853</v>
      </c>
      <c r="AG29" s="1" t="s">
        <v>17</v>
      </c>
      <c r="AH29" s="68">
        <v>8.4286697179999995E-3</v>
      </c>
      <c r="AI29" s="68">
        <f t="shared" si="0"/>
        <v>7.5346596046550066E-3</v>
      </c>
      <c r="AJ29" s="68">
        <f>+AD29/'סכום נכסים'!$B$30</f>
        <v>9.2745027543818671E-4</v>
      </c>
    </row>
    <row r="30" spans="1:36" x14ac:dyDescent="0.25">
      <c r="A30" s="1">
        <v>13908</v>
      </c>
      <c r="B30" s="1">
        <v>13908</v>
      </c>
      <c r="C30" s="1" t="s">
        <v>1362</v>
      </c>
      <c r="D30" s="1">
        <v>520010869</v>
      </c>
      <c r="E30" s="1" t="s">
        <v>429</v>
      </c>
      <c r="F30" s="1" t="s">
        <v>1363</v>
      </c>
      <c r="G30" s="1" t="s">
        <v>1364</v>
      </c>
      <c r="H30" s="1" t="s">
        <v>76</v>
      </c>
      <c r="I30" s="1" t="s">
        <v>229</v>
      </c>
      <c r="J30" s="1" t="s">
        <v>53</v>
      </c>
      <c r="K30" s="1" t="s">
        <v>53</v>
      </c>
      <c r="L30" s="1" t="s">
        <v>821</v>
      </c>
      <c r="M30" s="1" t="s">
        <v>311</v>
      </c>
      <c r="N30" s="1" t="s">
        <v>258</v>
      </c>
      <c r="O30" s="1" t="s">
        <v>62</v>
      </c>
      <c r="P30" s="1" t="s">
        <v>1205</v>
      </c>
      <c r="Q30" s="1" t="s">
        <v>65</v>
      </c>
      <c r="R30" s="1" t="s">
        <v>57</v>
      </c>
      <c r="S30" s="1" t="s">
        <v>1206</v>
      </c>
      <c r="T30" s="69">
        <v>11.851000000000001</v>
      </c>
      <c r="U30" s="70">
        <v>56249</v>
      </c>
      <c r="V30" s="68">
        <v>2.07E-2</v>
      </c>
      <c r="W30" s="68">
        <v>2.6700000000000002E-2</v>
      </c>
      <c r="X30" s="1" t="s">
        <v>636</v>
      </c>
      <c r="Y30" s="140" t="s">
        <v>2853</v>
      </c>
      <c r="Z30" s="67">
        <v>1568116.27</v>
      </c>
      <c r="AA30" s="67">
        <v>1</v>
      </c>
      <c r="AB30" s="67">
        <v>108.47</v>
      </c>
      <c r="AC30" s="67">
        <v>0</v>
      </c>
      <c r="AD30" s="67">
        <v>1700.9357199999999</v>
      </c>
      <c r="AE30" s="140" t="s">
        <v>2853</v>
      </c>
      <c r="AF30" s="140" t="s">
        <v>2853</v>
      </c>
      <c r="AG30" s="1" t="s">
        <v>17</v>
      </c>
      <c r="AH30" s="68">
        <v>2.3767008199999999E-4</v>
      </c>
      <c r="AI30" s="68">
        <f t="shared" si="0"/>
        <v>3.2065447152495371E-3</v>
      </c>
      <c r="AJ30" s="68">
        <f>+AD30/'סכום נכסים'!$B$30</f>
        <v>3.9469742966566482E-4</v>
      </c>
    </row>
    <row r="31" spans="1:36" x14ac:dyDescent="0.25">
      <c r="A31" s="1">
        <v>13908</v>
      </c>
      <c r="B31" s="1">
        <v>13908</v>
      </c>
      <c r="C31" s="1" t="s">
        <v>1282</v>
      </c>
      <c r="D31" s="1">
        <v>520026683</v>
      </c>
      <c r="E31" s="1" t="s">
        <v>429</v>
      </c>
      <c r="F31" s="1" t="s">
        <v>1365</v>
      </c>
      <c r="G31" s="1" t="s">
        <v>1366</v>
      </c>
      <c r="H31" s="1" t="s">
        <v>76</v>
      </c>
      <c r="I31" s="1" t="s">
        <v>229</v>
      </c>
      <c r="J31" s="1" t="s">
        <v>53</v>
      </c>
      <c r="K31" s="1" t="s">
        <v>53</v>
      </c>
      <c r="L31" s="1" t="s">
        <v>821</v>
      </c>
      <c r="M31" s="1" t="s">
        <v>311</v>
      </c>
      <c r="N31" s="1" t="s">
        <v>651</v>
      </c>
      <c r="O31" s="1" t="s">
        <v>62</v>
      </c>
      <c r="P31" s="1" t="s">
        <v>1285</v>
      </c>
      <c r="Q31" s="1" t="s">
        <v>65</v>
      </c>
      <c r="R31" s="1" t="s">
        <v>57</v>
      </c>
      <c r="S31" s="1" t="s">
        <v>1206</v>
      </c>
      <c r="T31" s="69">
        <v>2.38</v>
      </c>
      <c r="U31" s="70">
        <v>47394</v>
      </c>
      <c r="V31" s="68">
        <v>1.14E-2</v>
      </c>
      <c r="W31" s="68">
        <v>2.46E-2</v>
      </c>
      <c r="X31" s="1" t="s">
        <v>636</v>
      </c>
      <c r="Y31" s="140" t="s">
        <v>2853</v>
      </c>
      <c r="Z31" s="67">
        <v>7751527.2000000002</v>
      </c>
      <c r="AA31" s="67">
        <v>1</v>
      </c>
      <c r="AB31" s="67">
        <v>112.98</v>
      </c>
      <c r="AC31" s="67">
        <v>0</v>
      </c>
      <c r="AD31" s="67">
        <v>8757.6754299999993</v>
      </c>
      <c r="AE31" s="140" t="s">
        <v>2853</v>
      </c>
      <c r="AF31" s="140" t="s">
        <v>2853</v>
      </c>
      <c r="AG31" s="1" t="s">
        <v>17</v>
      </c>
      <c r="AH31" s="68">
        <v>3.644887838E-3</v>
      </c>
      <c r="AI31" s="68">
        <f t="shared" si="0"/>
        <v>1.6509664379284843E-2</v>
      </c>
      <c r="AJ31" s="68">
        <f>+AD31/'סכום נכסים'!$B$30</f>
        <v>2.0321943630339811E-3</v>
      </c>
    </row>
    <row r="32" spans="1:36" x14ac:dyDescent="0.25">
      <c r="A32" s="1">
        <v>13908</v>
      </c>
      <c r="B32" s="1">
        <v>13908</v>
      </c>
      <c r="C32" s="1" t="s">
        <v>1367</v>
      </c>
      <c r="D32" s="1">
        <v>1665</v>
      </c>
      <c r="E32" s="1" t="s">
        <v>2</v>
      </c>
      <c r="F32" s="1" t="s">
        <v>1368</v>
      </c>
      <c r="G32" s="1" t="s">
        <v>1369</v>
      </c>
      <c r="H32" s="1" t="s">
        <v>76</v>
      </c>
      <c r="I32" s="1" t="s">
        <v>228</v>
      </c>
      <c r="J32" s="1" t="s">
        <v>53</v>
      </c>
      <c r="K32" s="1" t="s">
        <v>314</v>
      </c>
      <c r="L32" s="1" t="s">
        <v>821</v>
      </c>
      <c r="M32" s="1" t="s">
        <v>311</v>
      </c>
      <c r="N32" s="1" t="s">
        <v>652</v>
      </c>
      <c r="O32" s="1" t="s">
        <v>62</v>
      </c>
      <c r="P32" s="1" t="s">
        <v>1281</v>
      </c>
      <c r="Q32" s="1" t="s">
        <v>65</v>
      </c>
      <c r="R32" s="1" t="s">
        <v>57</v>
      </c>
      <c r="S32" s="1" t="s">
        <v>1206</v>
      </c>
      <c r="T32" s="69">
        <v>3.173</v>
      </c>
      <c r="U32" s="70">
        <v>48502</v>
      </c>
      <c r="V32" s="68">
        <v>4.4999999999999998E-2</v>
      </c>
      <c r="W32" s="68">
        <v>5.1900000000000002E-2</v>
      </c>
      <c r="X32" s="1" t="s">
        <v>636</v>
      </c>
      <c r="Y32" s="140" t="s">
        <v>2853</v>
      </c>
      <c r="Z32" s="67">
        <v>1085365.72</v>
      </c>
      <c r="AA32" s="67">
        <v>1</v>
      </c>
      <c r="AB32" s="67">
        <v>99</v>
      </c>
      <c r="AC32" s="67">
        <v>0</v>
      </c>
      <c r="AD32" s="67">
        <v>1074.51206</v>
      </c>
      <c r="AE32" s="140" t="s">
        <v>2853</v>
      </c>
      <c r="AF32" s="140" t="s">
        <v>2853</v>
      </c>
      <c r="AG32" s="1" t="s">
        <v>17</v>
      </c>
      <c r="AH32" s="68">
        <v>1.4364815490000001E-3</v>
      </c>
      <c r="AI32" s="68">
        <f t="shared" si="0"/>
        <v>2.0256326720358921E-3</v>
      </c>
      <c r="AJ32" s="68">
        <f>+AD32/'סכום נכסים'!$B$30</f>
        <v>2.4933755181927666E-4</v>
      </c>
    </row>
    <row r="33" spans="1:36" x14ac:dyDescent="0.25">
      <c r="A33" s="1">
        <v>13908</v>
      </c>
      <c r="B33" s="1">
        <v>13908</v>
      </c>
      <c r="C33" s="1" t="s">
        <v>1370</v>
      </c>
      <c r="D33" s="1">
        <v>1737</v>
      </c>
      <c r="E33" s="1" t="s">
        <v>2</v>
      </c>
      <c r="F33" s="1" t="s">
        <v>1371</v>
      </c>
      <c r="G33" s="1" t="s">
        <v>1372</v>
      </c>
      <c r="H33" s="1" t="s">
        <v>76</v>
      </c>
      <c r="I33" s="1" t="s">
        <v>228</v>
      </c>
      <c r="J33" s="1" t="s">
        <v>53</v>
      </c>
      <c r="K33" s="1" t="s">
        <v>314</v>
      </c>
      <c r="L33" s="1" t="s">
        <v>821</v>
      </c>
      <c r="M33" s="1" t="s">
        <v>311</v>
      </c>
      <c r="N33" s="1" t="s">
        <v>652</v>
      </c>
      <c r="O33" s="1" t="s">
        <v>62</v>
      </c>
      <c r="P33" s="1" t="s">
        <v>1285</v>
      </c>
      <c r="Q33" s="1" t="s">
        <v>65</v>
      </c>
      <c r="R33" s="1" t="s">
        <v>57</v>
      </c>
      <c r="S33" s="1" t="s">
        <v>1206</v>
      </c>
      <c r="T33" s="69">
        <v>1.464</v>
      </c>
      <c r="U33" s="70">
        <v>46752</v>
      </c>
      <c r="V33" s="68">
        <v>3.49E-2</v>
      </c>
      <c r="W33" s="68">
        <v>5.1799999999999999E-2</v>
      </c>
      <c r="X33" s="1" t="s">
        <v>636</v>
      </c>
      <c r="Y33" s="140" t="s">
        <v>2853</v>
      </c>
      <c r="Z33" s="67">
        <v>200100</v>
      </c>
      <c r="AA33" s="67">
        <v>1</v>
      </c>
      <c r="AB33" s="67">
        <v>97.7</v>
      </c>
      <c r="AC33" s="67">
        <v>0</v>
      </c>
      <c r="AD33" s="67">
        <v>195.49770000000001</v>
      </c>
      <c r="AE33" s="140" t="s">
        <v>2853</v>
      </c>
      <c r="AF33" s="140" t="s">
        <v>2853</v>
      </c>
      <c r="AG33" s="1" t="s">
        <v>17</v>
      </c>
      <c r="AH33" s="68">
        <v>3.1729165800000001E-4</v>
      </c>
      <c r="AI33" s="68">
        <f t="shared" si="0"/>
        <v>3.6854544790113498E-4</v>
      </c>
      <c r="AJ33" s="68">
        <f>+AD33/'סכום נכסים'!$B$30</f>
        <v>4.5364700610525861E-5</v>
      </c>
    </row>
    <row r="34" spans="1:36" x14ac:dyDescent="0.25">
      <c r="A34" s="1">
        <v>13908</v>
      </c>
      <c r="B34" s="1">
        <v>13908</v>
      </c>
      <c r="C34" s="1" t="s">
        <v>1286</v>
      </c>
      <c r="D34" s="1">
        <v>511659401</v>
      </c>
      <c r="E34" s="1" t="s">
        <v>429</v>
      </c>
      <c r="F34" s="1" t="s">
        <v>1373</v>
      </c>
      <c r="G34" s="1" t="s">
        <v>1374</v>
      </c>
      <c r="H34" s="1" t="s">
        <v>76</v>
      </c>
      <c r="I34" s="1" t="s">
        <v>229</v>
      </c>
      <c r="J34" s="1" t="s">
        <v>53</v>
      </c>
      <c r="K34" s="1" t="s">
        <v>53</v>
      </c>
      <c r="L34" s="1" t="s">
        <v>821</v>
      </c>
      <c r="M34" s="1" t="s">
        <v>311</v>
      </c>
      <c r="N34" s="1" t="s">
        <v>651</v>
      </c>
      <c r="O34" s="1" t="s">
        <v>62</v>
      </c>
      <c r="P34" s="1" t="s">
        <v>1285</v>
      </c>
      <c r="Q34" s="1" t="s">
        <v>65</v>
      </c>
      <c r="R34" s="1" t="s">
        <v>57</v>
      </c>
      <c r="S34" s="1" t="s">
        <v>1206</v>
      </c>
      <c r="T34" s="69">
        <v>4.6379999999999999</v>
      </c>
      <c r="U34" s="70">
        <v>49551</v>
      </c>
      <c r="V34" s="68">
        <v>6.4999999999999997E-3</v>
      </c>
      <c r="W34" s="68">
        <v>2.4899999999999999E-2</v>
      </c>
      <c r="X34" s="1" t="s">
        <v>636</v>
      </c>
      <c r="Y34" s="140" t="s">
        <v>2853</v>
      </c>
      <c r="Z34" s="67">
        <v>159550.54999999999</v>
      </c>
      <c r="AA34" s="67">
        <v>1</v>
      </c>
      <c r="AB34" s="67">
        <v>107.91</v>
      </c>
      <c r="AC34" s="67">
        <v>0</v>
      </c>
      <c r="AD34" s="67">
        <v>172.17099999999999</v>
      </c>
      <c r="AE34" s="140" t="s">
        <v>2853</v>
      </c>
      <c r="AF34" s="140" t="s">
        <v>2853</v>
      </c>
      <c r="AG34" s="1" t="s">
        <v>17</v>
      </c>
      <c r="AH34" s="68">
        <v>7.6608007518131702E-5</v>
      </c>
      <c r="AI34" s="68">
        <f t="shared" si="0"/>
        <v>3.2457076635984108E-4</v>
      </c>
      <c r="AJ34" s="68">
        <f>+AD34/'סכום נכסים'!$B$30</f>
        <v>3.9951804388567471E-5</v>
      </c>
    </row>
    <row r="35" spans="1:36" x14ac:dyDescent="0.25">
      <c r="A35" s="1">
        <v>13908</v>
      </c>
      <c r="B35" s="1">
        <v>13908</v>
      </c>
      <c r="C35" s="1" t="s">
        <v>1375</v>
      </c>
      <c r="D35" s="1">
        <v>1991033</v>
      </c>
      <c r="E35" s="1" t="s">
        <v>430</v>
      </c>
      <c r="F35" s="1" t="s">
        <v>1376</v>
      </c>
      <c r="G35" s="1" t="s">
        <v>1377</v>
      </c>
      <c r="H35" s="1" t="s">
        <v>76</v>
      </c>
      <c r="I35" s="1" t="s">
        <v>228</v>
      </c>
      <c r="J35" s="1" t="s">
        <v>53</v>
      </c>
      <c r="K35" s="1" t="s">
        <v>314</v>
      </c>
      <c r="L35" s="1" t="s">
        <v>821</v>
      </c>
      <c r="M35" s="1" t="s">
        <v>311</v>
      </c>
      <c r="N35" s="1" t="s">
        <v>652</v>
      </c>
      <c r="O35" s="1" t="s">
        <v>62</v>
      </c>
      <c r="P35" s="1" t="s">
        <v>1329</v>
      </c>
      <c r="Q35" s="1" t="s">
        <v>65</v>
      </c>
      <c r="R35" s="1" t="s">
        <v>57</v>
      </c>
      <c r="S35" s="1" t="s">
        <v>1206</v>
      </c>
      <c r="T35" s="69">
        <v>1.498</v>
      </c>
      <c r="U35" s="70">
        <v>46965</v>
      </c>
      <c r="V35" s="68">
        <v>4.3499999999999997E-2</v>
      </c>
      <c r="W35" s="68">
        <v>5.1799999999999999E-2</v>
      </c>
      <c r="X35" s="1" t="s">
        <v>636</v>
      </c>
      <c r="Y35" s="140" t="s">
        <v>2853</v>
      </c>
      <c r="Z35" s="67">
        <v>1213815.75</v>
      </c>
      <c r="AA35" s="67">
        <v>1</v>
      </c>
      <c r="AB35" s="67">
        <v>100.7</v>
      </c>
      <c r="AC35" s="67">
        <v>0</v>
      </c>
      <c r="AD35" s="67">
        <v>1222.3124600000001</v>
      </c>
      <c r="AE35" s="140" t="s">
        <v>2853</v>
      </c>
      <c r="AF35" s="140" t="s">
        <v>2853</v>
      </c>
      <c r="AG35" s="1" t="s">
        <v>17</v>
      </c>
      <c r="AH35" s="68">
        <v>4.1711881439999996E-3</v>
      </c>
      <c r="AI35" s="68">
        <f t="shared" si="0"/>
        <v>2.3042608329706085E-3</v>
      </c>
      <c r="AJ35" s="68">
        <f>+AD35/'סכום נכסים'!$B$30</f>
        <v>2.836342258779278E-4</v>
      </c>
    </row>
    <row r="36" spans="1:36" x14ac:dyDescent="0.25">
      <c r="A36" s="1">
        <v>13908</v>
      </c>
      <c r="B36" s="1">
        <v>13908</v>
      </c>
      <c r="C36" s="1" t="s">
        <v>1378</v>
      </c>
      <c r="D36" s="1">
        <v>513901371</v>
      </c>
      <c r="E36" s="1" t="s">
        <v>429</v>
      </c>
      <c r="F36" s="1" t="s">
        <v>1379</v>
      </c>
      <c r="G36" s="1" t="s">
        <v>1380</v>
      </c>
      <c r="H36" s="1" t="s">
        <v>76</v>
      </c>
      <c r="I36" s="1" t="s">
        <v>228</v>
      </c>
      <c r="J36" s="1" t="s">
        <v>53</v>
      </c>
      <c r="K36" s="1" t="s">
        <v>53</v>
      </c>
      <c r="L36" s="1" t="s">
        <v>821</v>
      </c>
      <c r="M36" s="1" t="s">
        <v>311</v>
      </c>
      <c r="N36" s="1" t="s">
        <v>647</v>
      </c>
      <c r="O36" s="1" t="s">
        <v>62</v>
      </c>
      <c r="P36" s="1" t="s">
        <v>1292</v>
      </c>
      <c r="Q36" s="1" t="s">
        <v>65</v>
      </c>
      <c r="R36" s="1" t="s">
        <v>57</v>
      </c>
      <c r="S36" s="1" t="s">
        <v>1206</v>
      </c>
      <c r="T36" s="69">
        <v>2.2000000000000002</v>
      </c>
      <c r="U36" s="70">
        <v>47696</v>
      </c>
      <c r="V36" s="68">
        <v>2.0500000000000001E-2</v>
      </c>
      <c r="W36" s="68">
        <v>4.6800000000000001E-2</v>
      </c>
      <c r="X36" s="1" t="s">
        <v>636</v>
      </c>
      <c r="Y36" s="140" t="s">
        <v>2853</v>
      </c>
      <c r="Z36" s="67">
        <v>1818182.2</v>
      </c>
      <c r="AA36" s="67">
        <v>1</v>
      </c>
      <c r="AB36" s="67">
        <v>95.33</v>
      </c>
      <c r="AC36" s="67">
        <v>0</v>
      </c>
      <c r="AD36" s="67">
        <v>1733.2730899999999</v>
      </c>
      <c r="AE36" s="140" t="s">
        <v>2853</v>
      </c>
      <c r="AF36" s="140" t="s">
        <v>2853</v>
      </c>
      <c r="AG36" s="1" t="s">
        <v>17</v>
      </c>
      <c r="AH36" s="68">
        <v>2.0859966129999998E-3</v>
      </c>
      <c r="AI36" s="68">
        <f t="shared" si="0"/>
        <v>3.2675059977126798E-3</v>
      </c>
      <c r="AJ36" s="68">
        <f>+AD36/'סכום נכסים'!$B$30</f>
        <v>4.0220122694093608E-4</v>
      </c>
    </row>
    <row r="37" spans="1:36" x14ac:dyDescent="0.25">
      <c r="A37" s="1">
        <v>13908</v>
      </c>
      <c r="B37" s="1">
        <v>13908</v>
      </c>
      <c r="C37" s="1" t="s">
        <v>1282</v>
      </c>
      <c r="D37" s="1">
        <v>520026683</v>
      </c>
      <c r="E37" s="1" t="s">
        <v>429</v>
      </c>
      <c r="F37" s="1" t="s">
        <v>1381</v>
      </c>
      <c r="G37" s="1" t="s">
        <v>1382</v>
      </c>
      <c r="H37" s="1" t="s">
        <v>76</v>
      </c>
      <c r="I37" s="1" t="s">
        <v>228</v>
      </c>
      <c r="J37" s="1" t="s">
        <v>53</v>
      </c>
      <c r="K37" s="1" t="s">
        <v>53</v>
      </c>
      <c r="L37" s="1" t="s">
        <v>821</v>
      </c>
      <c r="M37" s="1" t="s">
        <v>311</v>
      </c>
      <c r="N37" s="1" t="s">
        <v>651</v>
      </c>
      <c r="O37" s="1" t="s">
        <v>62</v>
      </c>
      <c r="P37" s="1" t="s">
        <v>1285</v>
      </c>
      <c r="Q37" s="1" t="s">
        <v>65</v>
      </c>
      <c r="R37" s="1" t="s">
        <v>57</v>
      </c>
      <c r="S37" s="1" t="s">
        <v>1206</v>
      </c>
      <c r="T37" s="69">
        <v>4.2859999999999996</v>
      </c>
      <c r="U37" s="70">
        <v>48218</v>
      </c>
      <c r="V37" s="68">
        <v>2.4400000000000002E-2</v>
      </c>
      <c r="W37" s="68">
        <v>4.3700000000000003E-2</v>
      </c>
      <c r="X37" s="1" t="s">
        <v>636</v>
      </c>
      <c r="Y37" s="140" t="s">
        <v>2853</v>
      </c>
      <c r="Z37" s="67">
        <v>109300</v>
      </c>
      <c r="AA37" s="67">
        <v>1</v>
      </c>
      <c r="AB37" s="67">
        <v>92.24</v>
      </c>
      <c r="AC37" s="67">
        <v>2.6669200000000002</v>
      </c>
      <c r="AD37" s="67">
        <v>103.48524</v>
      </c>
      <c r="AE37" s="140" t="s">
        <v>2853</v>
      </c>
      <c r="AF37" s="140" t="s">
        <v>2853</v>
      </c>
      <c r="AG37" s="1" t="s">
        <v>17</v>
      </c>
      <c r="AH37" s="68">
        <v>8.9933829107622694E-5</v>
      </c>
      <c r="AI37" s="68">
        <f t="shared" si="0"/>
        <v>1.9508676637605685E-4</v>
      </c>
      <c r="AJ37" s="68">
        <f>+AD37/'סכום נכסים'!$B$30</f>
        <v>2.4013463740025664E-5</v>
      </c>
    </row>
    <row r="38" spans="1:36" x14ac:dyDescent="0.25">
      <c r="A38" s="1">
        <v>13908</v>
      </c>
      <c r="B38" s="1">
        <v>13908</v>
      </c>
      <c r="C38" s="1" t="s">
        <v>1383</v>
      </c>
      <c r="D38" s="1">
        <v>513257873</v>
      </c>
      <c r="E38" s="1" t="s">
        <v>429</v>
      </c>
      <c r="F38" s="1" t="s">
        <v>1384</v>
      </c>
      <c r="G38" s="1" t="s">
        <v>1385</v>
      </c>
      <c r="H38" s="1" t="s">
        <v>76</v>
      </c>
      <c r="I38" s="1" t="s">
        <v>229</v>
      </c>
      <c r="J38" s="1" t="s">
        <v>53</v>
      </c>
      <c r="K38" s="1" t="s">
        <v>53</v>
      </c>
      <c r="L38" s="1" t="s">
        <v>821</v>
      </c>
      <c r="M38" s="1" t="s">
        <v>311</v>
      </c>
      <c r="N38" s="1" t="s">
        <v>651</v>
      </c>
      <c r="O38" s="1" t="s">
        <v>62</v>
      </c>
      <c r="P38" s="1" t="s">
        <v>1329</v>
      </c>
      <c r="Q38" s="1" t="s">
        <v>65</v>
      </c>
      <c r="R38" s="1" t="s">
        <v>57</v>
      </c>
      <c r="S38" s="1" t="s">
        <v>1206</v>
      </c>
      <c r="T38" s="69">
        <v>3.101</v>
      </c>
      <c r="U38" s="70">
        <v>47542</v>
      </c>
      <c r="V38" s="68">
        <v>8.3999999999999995E-3</v>
      </c>
      <c r="W38" s="68">
        <v>2.6100000000000002E-2</v>
      </c>
      <c r="X38" s="1" t="s">
        <v>636</v>
      </c>
      <c r="Y38" s="140" t="s">
        <v>2853</v>
      </c>
      <c r="Z38" s="67">
        <v>2330400</v>
      </c>
      <c r="AA38" s="67">
        <v>1</v>
      </c>
      <c r="AB38" s="67">
        <v>111.83</v>
      </c>
      <c r="AC38" s="67">
        <v>0</v>
      </c>
      <c r="AD38" s="67">
        <v>2606.0863199999999</v>
      </c>
      <c r="AE38" s="140" t="s">
        <v>2853</v>
      </c>
      <c r="AF38" s="140" t="s">
        <v>2853</v>
      </c>
      <c r="AG38" s="1" t="s">
        <v>17</v>
      </c>
      <c r="AH38" s="68">
        <v>1.864803267E-3</v>
      </c>
      <c r="AI38" s="68">
        <f t="shared" si="0"/>
        <v>4.9129030677773728E-3</v>
      </c>
      <c r="AJ38" s="68">
        <f>+AD38/'סכום נכסים'!$B$30</f>
        <v>6.0473512308322343E-4</v>
      </c>
    </row>
    <row r="39" spans="1:36" x14ac:dyDescent="0.25">
      <c r="A39" s="1">
        <v>13908</v>
      </c>
      <c r="B39" s="1">
        <v>13908</v>
      </c>
      <c r="C39" s="1" t="s">
        <v>1386</v>
      </c>
      <c r="D39" s="1">
        <v>513141879</v>
      </c>
      <c r="E39" s="1" t="s">
        <v>429</v>
      </c>
      <c r="F39" s="1" t="s">
        <v>1387</v>
      </c>
      <c r="G39" s="1" t="s">
        <v>1388</v>
      </c>
      <c r="H39" s="1" t="s">
        <v>76</v>
      </c>
      <c r="I39" s="1" t="s">
        <v>229</v>
      </c>
      <c r="J39" s="1" t="s">
        <v>53</v>
      </c>
      <c r="K39" s="1" t="s">
        <v>53</v>
      </c>
      <c r="L39" s="1" t="s">
        <v>821</v>
      </c>
      <c r="M39" s="1" t="s">
        <v>311</v>
      </c>
      <c r="N39" s="1" t="s">
        <v>256</v>
      </c>
      <c r="O39" s="1" t="s">
        <v>62</v>
      </c>
      <c r="P39" s="1" t="s">
        <v>1281</v>
      </c>
      <c r="Q39" s="1" t="s">
        <v>65</v>
      </c>
      <c r="R39" s="1" t="s">
        <v>57</v>
      </c>
      <c r="S39" s="1" t="s">
        <v>1206</v>
      </c>
      <c r="T39" s="69">
        <v>0.47399999999999998</v>
      </c>
      <c r="U39" s="70">
        <v>48022</v>
      </c>
      <c r="V39" s="68">
        <v>2.3199999999999998E-2</v>
      </c>
      <c r="W39" s="68">
        <v>3.1600000000000003E-2</v>
      </c>
      <c r="X39" s="1" t="s">
        <v>636</v>
      </c>
      <c r="Y39" s="140" t="s">
        <v>2853</v>
      </c>
      <c r="Z39" s="67">
        <v>492009</v>
      </c>
      <c r="AA39" s="67">
        <v>1</v>
      </c>
      <c r="AB39" s="67">
        <v>119.04</v>
      </c>
      <c r="AC39" s="67">
        <v>0</v>
      </c>
      <c r="AD39" s="67">
        <v>585.68750999999997</v>
      </c>
      <c r="AE39" s="140" t="s">
        <v>2853</v>
      </c>
      <c r="AF39" s="140" t="s">
        <v>2853</v>
      </c>
      <c r="AG39" s="1" t="s">
        <v>17</v>
      </c>
      <c r="AH39" s="68">
        <v>1.64003E-3</v>
      </c>
      <c r="AI39" s="68">
        <f t="shared" si="0"/>
        <v>1.1041176735227599E-3</v>
      </c>
      <c r="AJ39" s="68">
        <f>+AD39/'סכום נכסים'!$B$30</f>
        <v>1.3590716690004215E-4</v>
      </c>
    </row>
    <row r="40" spans="1:36" x14ac:dyDescent="0.25">
      <c r="A40" s="1">
        <v>13908</v>
      </c>
      <c r="B40" s="1">
        <v>13908</v>
      </c>
      <c r="C40" s="1" t="s">
        <v>1308</v>
      </c>
      <c r="D40" s="1">
        <v>513992529</v>
      </c>
      <c r="E40" s="1" t="s">
        <v>429</v>
      </c>
      <c r="F40" s="1" t="s">
        <v>1389</v>
      </c>
      <c r="G40" s="1" t="s">
        <v>1390</v>
      </c>
      <c r="H40" s="1" t="s">
        <v>76</v>
      </c>
      <c r="I40" s="1" t="s">
        <v>229</v>
      </c>
      <c r="J40" s="1" t="s">
        <v>53</v>
      </c>
      <c r="K40" s="1" t="s">
        <v>53</v>
      </c>
      <c r="L40" s="1" t="s">
        <v>821</v>
      </c>
      <c r="M40" s="1" t="s">
        <v>311</v>
      </c>
      <c r="N40" s="1" t="s">
        <v>651</v>
      </c>
      <c r="O40" s="1" t="s">
        <v>62</v>
      </c>
      <c r="P40" s="1" t="s">
        <v>1311</v>
      </c>
      <c r="Q40" s="1" t="s">
        <v>70</v>
      </c>
      <c r="R40" s="1" t="s">
        <v>57</v>
      </c>
      <c r="S40" s="1" t="s">
        <v>1206</v>
      </c>
      <c r="T40" s="69">
        <v>5.4560000000000004</v>
      </c>
      <c r="U40" s="70">
        <v>48665</v>
      </c>
      <c r="V40" s="68">
        <v>1.5800000000000002E-2</v>
      </c>
      <c r="W40" s="68">
        <v>2.5899999999999999E-2</v>
      </c>
      <c r="X40" s="1" t="s">
        <v>636</v>
      </c>
      <c r="Y40" s="140" t="s">
        <v>2853</v>
      </c>
      <c r="Z40" s="67">
        <v>460282.07</v>
      </c>
      <c r="AA40" s="67">
        <v>1</v>
      </c>
      <c r="AB40" s="67">
        <v>112.35</v>
      </c>
      <c r="AC40" s="67">
        <v>0</v>
      </c>
      <c r="AD40" s="67">
        <v>517.12690999999995</v>
      </c>
      <c r="AE40" s="140" t="s">
        <v>2853</v>
      </c>
      <c r="AF40" s="140" t="s">
        <v>2853</v>
      </c>
      <c r="AG40" s="1" t="s">
        <v>17</v>
      </c>
      <c r="AH40" s="68">
        <v>4.1738667600000001E-4</v>
      </c>
      <c r="AI40" s="68">
        <f t="shared" si="0"/>
        <v>9.7486962080720074E-4</v>
      </c>
      <c r="AJ40" s="68">
        <f>+AD40/'סכום נכסים'!$B$30</f>
        <v>1.1999786928335397E-4</v>
      </c>
    </row>
    <row r="41" spans="1:36" x14ac:dyDescent="0.25">
      <c r="A41" s="1">
        <v>13908</v>
      </c>
      <c r="B41" s="1">
        <v>13908</v>
      </c>
      <c r="C41" s="1" t="s">
        <v>1289</v>
      </c>
      <c r="D41" s="1">
        <v>520036104</v>
      </c>
      <c r="E41" s="1" t="s">
        <v>429</v>
      </c>
      <c r="F41" s="1" t="s">
        <v>1391</v>
      </c>
      <c r="G41" s="1" t="s">
        <v>1392</v>
      </c>
      <c r="H41" s="1" t="s">
        <v>76</v>
      </c>
      <c r="I41" s="1" t="s">
        <v>229</v>
      </c>
      <c r="J41" s="1" t="s">
        <v>53</v>
      </c>
      <c r="K41" s="1" t="s">
        <v>53</v>
      </c>
      <c r="L41" s="1" t="s">
        <v>821</v>
      </c>
      <c r="M41" s="1" t="s">
        <v>311</v>
      </c>
      <c r="N41" s="1" t="s">
        <v>140</v>
      </c>
      <c r="O41" s="1" t="s">
        <v>62</v>
      </c>
      <c r="P41" s="1" t="s">
        <v>1292</v>
      </c>
      <c r="Q41" s="1" t="s">
        <v>65</v>
      </c>
      <c r="R41" s="1" t="s">
        <v>57</v>
      </c>
      <c r="S41" s="1" t="s">
        <v>1206</v>
      </c>
      <c r="T41" s="69">
        <v>3.3130000000000002</v>
      </c>
      <c r="U41" s="70">
        <v>47938</v>
      </c>
      <c r="V41" s="68">
        <v>3.2500000000000001E-2</v>
      </c>
      <c r="W41" s="68">
        <v>2.9100000000000001E-2</v>
      </c>
      <c r="X41" s="1" t="s">
        <v>636</v>
      </c>
      <c r="Y41" s="140" t="s">
        <v>2853</v>
      </c>
      <c r="Z41" s="67">
        <v>81555.78</v>
      </c>
      <c r="AA41" s="67">
        <v>1</v>
      </c>
      <c r="AB41" s="67">
        <v>120.46</v>
      </c>
      <c r="AC41" s="67">
        <v>0</v>
      </c>
      <c r="AD41" s="67">
        <v>98.242090000000005</v>
      </c>
      <c r="AE41" s="140" t="s">
        <v>2853</v>
      </c>
      <c r="AF41" s="140" t="s">
        <v>2853</v>
      </c>
      <c r="AG41" s="1" t="s">
        <v>17</v>
      </c>
      <c r="AH41" s="68">
        <v>2.38821315E-4</v>
      </c>
      <c r="AI41" s="68">
        <f t="shared" si="0"/>
        <v>1.8520256280147343E-4</v>
      </c>
      <c r="AJ41" s="68">
        <f>+AD41/'סכום נכסים'!$B$30</f>
        <v>2.279680528314316E-5</v>
      </c>
    </row>
    <row r="42" spans="1:36" x14ac:dyDescent="0.25">
      <c r="A42" s="1">
        <v>13908</v>
      </c>
      <c r="B42" s="1">
        <v>13908</v>
      </c>
      <c r="C42" s="1" t="s">
        <v>1378</v>
      </c>
      <c r="D42" s="1">
        <v>513901371</v>
      </c>
      <c r="E42" s="1" t="s">
        <v>429</v>
      </c>
      <c r="F42" s="1" t="s">
        <v>1393</v>
      </c>
      <c r="G42" s="1" t="s">
        <v>1394</v>
      </c>
      <c r="H42" s="1" t="s">
        <v>76</v>
      </c>
      <c r="I42" s="1" t="s">
        <v>623</v>
      </c>
      <c r="J42" s="1" t="s">
        <v>53</v>
      </c>
      <c r="K42" s="1" t="s">
        <v>53</v>
      </c>
      <c r="L42" s="1" t="s">
        <v>821</v>
      </c>
      <c r="M42" s="1" t="s">
        <v>311</v>
      </c>
      <c r="N42" s="1" t="s">
        <v>647</v>
      </c>
      <c r="O42" s="1" t="s">
        <v>62</v>
      </c>
      <c r="P42" s="1" t="s">
        <v>1292</v>
      </c>
      <c r="Q42" s="1" t="s">
        <v>65</v>
      </c>
      <c r="R42" s="1" t="s">
        <v>57</v>
      </c>
      <c r="S42" s="1" t="s">
        <v>1206</v>
      </c>
      <c r="T42" s="69">
        <v>1.577</v>
      </c>
      <c r="U42" s="70">
        <v>46600</v>
      </c>
      <c r="V42" s="68">
        <v>2.5000000000000001E-3</v>
      </c>
      <c r="W42" s="68">
        <v>4.9000000000000002E-2</v>
      </c>
      <c r="X42" s="1" t="s">
        <v>636</v>
      </c>
      <c r="Y42" s="140" t="s">
        <v>2853</v>
      </c>
      <c r="Z42" s="67">
        <v>2679900</v>
      </c>
      <c r="AA42" s="67">
        <v>1</v>
      </c>
      <c r="AB42" s="67">
        <v>93.2</v>
      </c>
      <c r="AC42" s="67">
        <v>0</v>
      </c>
      <c r="AD42" s="67">
        <v>2497.6668</v>
      </c>
      <c r="AE42" s="140" t="s">
        <v>2853</v>
      </c>
      <c r="AF42" s="140" t="s">
        <v>2853</v>
      </c>
      <c r="AG42" s="1" t="s">
        <v>17</v>
      </c>
      <c r="AH42" s="68">
        <v>4.7297750440000001E-3</v>
      </c>
      <c r="AI42" s="68">
        <f t="shared" si="0"/>
        <v>4.7085143687818042E-3</v>
      </c>
      <c r="AJ42" s="68">
        <f>+AD42/'סכום נכסים'!$B$30</f>
        <v>5.7957667331559484E-4</v>
      </c>
    </row>
    <row r="43" spans="1:36" x14ac:dyDescent="0.25">
      <c r="A43" s="1">
        <v>13908</v>
      </c>
      <c r="B43" s="1">
        <v>13908</v>
      </c>
      <c r="C43" s="1" t="s">
        <v>1395</v>
      </c>
      <c r="D43" s="1">
        <v>520042847</v>
      </c>
      <c r="E43" s="1" t="s">
        <v>429</v>
      </c>
      <c r="F43" s="1" t="s">
        <v>1396</v>
      </c>
      <c r="G43" s="1" t="s">
        <v>1397</v>
      </c>
      <c r="H43" s="1" t="s">
        <v>76</v>
      </c>
      <c r="I43" s="1" t="s">
        <v>228</v>
      </c>
      <c r="J43" s="1" t="s">
        <v>53</v>
      </c>
      <c r="K43" s="1" t="s">
        <v>53</v>
      </c>
      <c r="L43" s="1" t="s">
        <v>821</v>
      </c>
      <c r="M43" s="1" t="s">
        <v>311</v>
      </c>
      <c r="N43" s="1" t="s">
        <v>708</v>
      </c>
      <c r="O43" s="1" t="s">
        <v>62</v>
      </c>
      <c r="P43" s="1" t="s">
        <v>1281</v>
      </c>
      <c r="Q43" s="1" t="s">
        <v>65</v>
      </c>
      <c r="R43" s="1" t="s">
        <v>57</v>
      </c>
      <c r="S43" s="1" t="s">
        <v>1206</v>
      </c>
      <c r="T43" s="69">
        <v>0.73599999999999999</v>
      </c>
      <c r="U43" s="70">
        <v>46295</v>
      </c>
      <c r="V43" s="68">
        <v>3.9E-2</v>
      </c>
      <c r="W43" s="68">
        <v>4.82E-2</v>
      </c>
      <c r="X43" s="1" t="s">
        <v>636</v>
      </c>
      <c r="Y43" s="140" t="s">
        <v>2853</v>
      </c>
      <c r="Z43" s="67">
        <v>593195</v>
      </c>
      <c r="AA43" s="67">
        <v>1</v>
      </c>
      <c r="AB43" s="67">
        <v>100.36</v>
      </c>
      <c r="AC43" s="67">
        <v>0</v>
      </c>
      <c r="AD43" s="67">
        <v>595.33050000000003</v>
      </c>
      <c r="AE43" s="140" t="s">
        <v>2853</v>
      </c>
      <c r="AF43" s="140" t="s">
        <v>2853</v>
      </c>
      <c r="AG43" s="1" t="s">
        <v>17</v>
      </c>
      <c r="AH43" s="68">
        <v>2.0589513129999999E-3</v>
      </c>
      <c r="AI43" s="68">
        <f t="shared" si="0"/>
        <v>1.1222963020624112E-3</v>
      </c>
      <c r="AJ43" s="68">
        <f>+AD43/'סכום נכסים'!$B$30</f>
        <v>1.3814479606059134E-4</v>
      </c>
    </row>
    <row r="44" spans="1:36" x14ac:dyDescent="0.25">
      <c r="A44" s="1">
        <v>13908</v>
      </c>
      <c r="B44" s="1">
        <v>13908</v>
      </c>
      <c r="C44" s="1" t="s">
        <v>1296</v>
      </c>
      <c r="D44" s="1">
        <v>513821488</v>
      </c>
      <c r="E44" s="1" t="s">
        <v>429</v>
      </c>
      <c r="F44" s="1" t="s">
        <v>1398</v>
      </c>
      <c r="G44" s="1" t="s">
        <v>1399</v>
      </c>
      <c r="H44" s="1" t="s">
        <v>76</v>
      </c>
      <c r="I44" s="1" t="s">
        <v>229</v>
      </c>
      <c r="J44" s="1" t="s">
        <v>53</v>
      </c>
      <c r="K44" s="1" t="s">
        <v>53</v>
      </c>
      <c r="L44" s="1" t="s">
        <v>821</v>
      </c>
      <c r="M44" s="1" t="s">
        <v>311</v>
      </c>
      <c r="N44" s="1" t="s">
        <v>651</v>
      </c>
      <c r="O44" s="1" t="s">
        <v>62</v>
      </c>
      <c r="P44" s="1" t="s">
        <v>1285</v>
      </c>
      <c r="Q44" s="1" t="s">
        <v>65</v>
      </c>
      <c r="R44" s="1" t="s">
        <v>57</v>
      </c>
      <c r="S44" s="1" t="s">
        <v>1206</v>
      </c>
      <c r="T44" s="69">
        <v>5.5910000000000002</v>
      </c>
      <c r="U44" s="70">
        <v>49207</v>
      </c>
      <c r="V44" s="68">
        <v>2.5000000000000001E-2</v>
      </c>
      <c r="W44" s="68">
        <v>2.53E-2</v>
      </c>
      <c r="X44" s="1" t="s">
        <v>636</v>
      </c>
      <c r="Y44" s="140" t="s">
        <v>2853</v>
      </c>
      <c r="Z44" s="67">
        <v>1195944.3999999999</v>
      </c>
      <c r="AA44" s="67">
        <v>1</v>
      </c>
      <c r="AB44" s="67">
        <v>118.69</v>
      </c>
      <c r="AC44" s="67">
        <v>0</v>
      </c>
      <c r="AD44" s="67">
        <v>1419.46641</v>
      </c>
      <c r="AE44" s="140" t="s">
        <v>2853</v>
      </c>
      <c r="AF44" s="140" t="s">
        <v>2853</v>
      </c>
      <c r="AG44" s="1" t="s">
        <v>17</v>
      </c>
      <c r="AH44" s="68">
        <v>8.8622243999999996E-4</v>
      </c>
      <c r="AI44" s="68">
        <f t="shared" si="0"/>
        <v>2.6759285856256419E-3</v>
      </c>
      <c r="AJ44" s="68">
        <f>+AD44/'סכום נכסים'!$B$30</f>
        <v>3.2938325472037754E-4</v>
      </c>
    </row>
    <row r="45" spans="1:36" x14ac:dyDescent="0.25">
      <c r="A45" s="1">
        <v>13908</v>
      </c>
      <c r="B45" s="1">
        <v>13908</v>
      </c>
      <c r="C45" s="1" t="s">
        <v>1282</v>
      </c>
      <c r="D45" s="1">
        <v>520026683</v>
      </c>
      <c r="E45" s="1" t="s">
        <v>429</v>
      </c>
      <c r="F45" s="1" t="s">
        <v>1400</v>
      </c>
      <c r="G45" s="1" t="s">
        <v>1401</v>
      </c>
      <c r="H45" s="1" t="s">
        <v>76</v>
      </c>
      <c r="I45" s="1" t="s">
        <v>229</v>
      </c>
      <c r="J45" s="1" t="s">
        <v>53</v>
      </c>
      <c r="K45" s="1" t="s">
        <v>53</v>
      </c>
      <c r="L45" s="1" t="s">
        <v>821</v>
      </c>
      <c r="M45" s="1" t="s">
        <v>311</v>
      </c>
      <c r="N45" s="1" t="s">
        <v>651</v>
      </c>
      <c r="O45" s="1" t="s">
        <v>62</v>
      </c>
      <c r="P45" s="1" t="s">
        <v>1285</v>
      </c>
      <c r="Q45" s="1" t="s">
        <v>65</v>
      </c>
      <c r="R45" s="1" t="s">
        <v>57</v>
      </c>
      <c r="S45" s="1" t="s">
        <v>1206</v>
      </c>
      <c r="T45" s="69">
        <v>4.415</v>
      </c>
      <c r="U45" s="70">
        <v>48218</v>
      </c>
      <c r="V45" s="68">
        <v>9.1999999999999998E-3</v>
      </c>
      <c r="W45" s="68">
        <v>2.4899999999999999E-2</v>
      </c>
      <c r="X45" s="1" t="s">
        <v>636</v>
      </c>
      <c r="Y45" s="140" t="s">
        <v>2853</v>
      </c>
      <c r="Z45" s="67">
        <v>1559390</v>
      </c>
      <c r="AA45" s="67">
        <v>1</v>
      </c>
      <c r="AB45" s="67">
        <v>110.35</v>
      </c>
      <c r="AC45" s="67">
        <v>16.955369999999998</v>
      </c>
      <c r="AD45" s="67">
        <v>1737.7422300000001</v>
      </c>
      <c r="AE45" s="140" t="s">
        <v>2853</v>
      </c>
      <c r="AF45" s="140" t="s">
        <v>2853</v>
      </c>
      <c r="AG45" s="1" t="s">
        <v>17</v>
      </c>
      <c r="AH45" s="68">
        <v>6.0284615999999999E-4</v>
      </c>
      <c r="AI45" s="68">
        <f t="shared" si="0"/>
        <v>3.2759310646215639E-3</v>
      </c>
      <c r="AJ45" s="68">
        <f>+AD45/'סכום נכסים'!$B$30</f>
        <v>4.0323827851794459E-4</v>
      </c>
    </row>
    <row r="46" spans="1:36" x14ac:dyDescent="0.25">
      <c r="A46" s="1">
        <v>13908</v>
      </c>
      <c r="B46" s="1">
        <v>13908</v>
      </c>
      <c r="C46" s="1" t="s">
        <v>1293</v>
      </c>
      <c r="D46" s="1">
        <v>514065283</v>
      </c>
      <c r="E46" s="1" t="s">
        <v>429</v>
      </c>
      <c r="F46" s="1" t="s">
        <v>1402</v>
      </c>
      <c r="G46" s="1" t="s">
        <v>1403</v>
      </c>
      <c r="H46" s="1" t="s">
        <v>76</v>
      </c>
      <c r="I46" s="1" t="s">
        <v>228</v>
      </c>
      <c r="J46" s="1" t="s">
        <v>53</v>
      </c>
      <c r="K46" s="1" t="s">
        <v>53</v>
      </c>
      <c r="L46" s="1" t="s">
        <v>821</v>
      </c>
      <c r="M46" s="1" t="s">
        <v>311</v>
      </c>
      <c r="N46" s="1" t="s">
        <v>75</v>
      </c>
      <c r="O46" s="1" t="s">
        <v>62</v>
      </c>
      <c r="P46" s="1" t="s">
        <v>1281</v>
      </c>
      <c r="Q46" s="1" t="s">
        <v>65</v>
      </c>
      <c r="R46" s="1" t="s">
        <v>57</v>
      </c>
      <c r="S46" s="1" t="s">
        <v>1206</v>
      </c>
      <c r="T46" s="69">
        <v>1.4610000000000001</v>
      </c>
      <c r="U46" s="70">
        <v>47027</v>
      </c>
      <c r="V46" s="68">
        <v>2.1499999999999998E-2</v>
      </c>
      <c r="W46" s="68">
        <v>4.4900000000000002E-2</v>
      </c>
      <c r="X46" s="1" t="s">
        <v>636</v>
      </c>
      <c r="Y46" s="140" t="s">
        <v>2853</v>
      </c>
      <c r="Z46" s="67">
        <v>1830277.03</v>
      </c>
      <c r="AA46" s="67">
        <v>1</v>
      </c>
      <c r="AB46" s="67">
        <v>96.76</v>
      </c>
      <c r="AC46" s="67">
        <v>14.767150000000001</v>
      </c>
      <c r="AD46" s="67">
        <v>1785.7431999999999</v>
      </c>
      <c r="AE46" s="140" t="s">
        <v>2853</v>
      </c>
      <c r="AF46" s="140" t="s">
        <v>2853</v>
      </c>
      <c r="AG46" s="1" t="s">
        <v>17</v>
      </c>
      <c r="AH46" s="68">
        <v>3.0643051540000001E-3</v>
      </c>
      <c r="AI46" s="68">
        <f t="shared" si="0"/>
        <v>3.3664208196843544E-3</v>
      </c>
      <c r="AJ46" s="68">
        <f>+AD46/'סכום נכסים'!$B$30</f>
        <v>4.1437677085348011E-4</v>
      </c>
    </row>
    <row r="47" spans="1:36" x14ac:dyDescent="0.25">
      <c r="A47" s="1">
        <v>13908</v>
      </c>
      <c r="B47" s="1">
        <v>13908</v>
      </c>
      <c r="C47" s="1" t="s">
        <v>1326</v>
      </c>
      <c r="D47" s="1">
        <v>510560188</v>
      </c>
      <c r="E47" s="1" t="s">
        <v>429</v>
      </c>
      <c r="F47" s="1" t="s">
        <v>1404</v>
      </c>
      <c r="G47" s="1" t="s">
        <v>1405</v>
      </c>
      <c r="H47" s="1" t="s">
        <v>76</v>
      </c>
      <c r="I47" s="1" t="s">
        <v>228</v>
      </c>
      <c r="J47" s="1" t="s">
        <v>53</v>
      </c>
      <c r="K47" s="1" t="s">
        <v>53</v>
      </c>
      <c r="L47" s="1" t="s">
        <v>821</v>
      </c>
      <c r="M47" s="1" t="s">
        <v>311</v>
      </c>
      <c r="N47" s="1" t="s">
        <v>652</v>
      </c>
      <c r="O47" s="1" t="s">
        <v>62</v>
      </c>
      <c r="P47" s="1" t="s">
        <v>1329</v>
      </c>
      <c r="Q47" s="1" t="s">
        <v>65</v>
      </c>
      <c r="R47" s="1" t="s">
        <v>57</v>
      </c>
      <c r="S47" s="1" t="s">
        <v>1206</v>
      </c>
      <c r="T47" s="69">
        <v>1.579</v>
      </c>
      <c r="U47" s="70">
        <v>46645</v>
      </c>
      <c r="V47" s="68">
        <v>2.3E-2</v>
      </c>
      <c r="W47" s="68">
        <v>4.5400000000000003E-2</v>
      </c>
      <c r="X47" s="1" t="s">
        <v>636</v>
      </c>
      <c r="Y47" s="140" t="s">
        <v>2853</v>
      </c>
      <c r="Z47" s="67">
        <v>4747246.2699999996</v>
      </c>
      <c r="AA47" s="67">
        <v>1</v>
      </c>
      <c r="AB47" s="67">
        <v>97.31</v>
      </c>
      <c r="AC47" s="67">
        <v>0</v>
      </c>
      <c r="AD47" s="67">
        <v>4619.5453500000003</v>
      </c>
      <c r="AE47" s="140" t="s">
        <v>2853</v>
      </c>
      <c r="AF47" s="140" t="s">
        <v>2853</v>
      </c>
      <c r="AG47" s="1" t="s">
        <v>17</v>
      </c>
      <c r="AH47" s="68">
        <v>6.780629703E-3</v>
      </c>
      <c r="AI47" s="68">
        <f t="shared" si="0"/>
        <v>8.7086058307353758E-3</v>
      </c>
      <c r="AJ47" s="68">
        <f>+AD47/'סכום נכסים'!$B$30</f>
        <v>1.0719527225102746E-3</v>
      </c>
    </row>
    <row r="48" spans="1:36" x14ac:dyDescent="0.25">
      <c r="A48" s="1">
        <v>13908</v>
      </c>
      <c r="B48" s="1">
        <v>13908</v>
      </c>
      <c r="C48" s="1" t="s">
        <v>1289</v>
      </c>
      <c r="D48" s="1">
        <v>520036104</v>
      </c>
      <c r="E48" s="1" t="s">
        <v>429</v>
      </c>
      <c r="F48" s="1" t="s">
        <v>1406</v>
      </c>
      <c r="G48" s="1" t="s">
        <v>1407</v>
      </c>
      <c r="H48" s="1" t="s">
        <v>76</v>
      </c>
      <c r="I48" s="1" t="s">
        <v>228</v>
      </c>
      <c r="J48" s="1" t="s">
        <v>53</v>
      </c>
      <c r="K48" s="1" t="s">
        <v>53</v>
      </c>
      <c r="L48" s="1" t="s">
        <v>821</v>
      </c>
      <c r="M48" s="1" t="s">
        <v>311</v>
      </c>
      <c r="N48" s="1" t="s">
        <v>140</v>
      </c>
      <c r="O48" s="1" t="s">
        <v>62</v>
      </c>
      <c r="P48" s="1" t="s">
        <v>1292</v>
      </c>
      <c r="Q48" s="1" t="s">
        <v>65</v>
      </c>
      <c r="R48" s="1" t="s">
        <v>57</v>
      </c>
      <c r="S48" s="1" t="s">
        <v>1206</v>
      </c>
      <c r="T48" s="69">
        <v>2.1960000000000002</v>
      </c>
      <c r="U48" s="70">
        <v>47603</v>
      </c>
      <c r="V48" s="68">
        <v>2.8000000000000001E-2</v>
      </c>
      <c r="W48" s="68">
        <v>4.8099999999999997E-2</v>
      </c>
      <c r="X48" s="1" t="s">
        <v>636</v>
      </c>
      <c r="Y48" s="140" t="s">
        <v>2853</v>
      </c>
      <c r="Z48" s="67">
        <v>5304519</v>
      </c>
      <c r="AA48" s="67">
        <v>1</v>
      </c>
      <c r="AB48" s="67">
        <v>96.3</v>
      </c>
      <c r="AC48" s="67">
        <v>0</v>
      </c>
      <c r="AD48" s="67">
        <v>5108.2518</v>
      </c>
      <c r="AE48" s="140" t="s">
        <v>2853</v>
      </c>
      <c r="AF48" s="140" t="s">
        <v>2853</v>
      </c>
      <c r="AG48" s="1" t="s">
        <v>17</v>
      </c>
      <c r="AH48" s="68">
        <v>3.404088099E-3</v>
      </c>
      <c r="AI48" s="68">
        <f t="shared" si="0"/>
        <v>9.6298981912461314E-3</v>
      </c>
      <c r="AJ48" s="68">
        <f>+AD48/'סכום נכסים'!$B$30</f>
        <v>1.1853557026511301E-3</v>
      </c>
    </row>
    <row r="49" spans="1:36" x14ac:dyDescent="0.25">
      <c r="A49" s="1">
        <v>13908</v>
      </c>
      <c r="B49" s="1">
        <v>13908</v>
      </c>
      <c r="C49" s="1" t="s">
        <v>1408</v>
      </c>
      <c r="D49" s="1">
        <v>513893123</v>
      </c>
      <c r="E49" s="1" t="s">
        <v>429</v>
      </c>
      <c r="F49" s="1" t="s">
        <v>1409</v>
      </c>
      <c r="G49" s="1" t="s">
        <v>1410</v>
      </c>
      <c r="H49" s="1" t="s">
        <v>76</v>
      </c>
      <c r="I49" s="1" t="s">
        <v>229</v>
      </c>
      <c r="J49" s="1" t="s">
        <v>53</v>
      </c>
      <c r="K49" s="1" t="s">
        <v>53</v>
      </c>
      <c r="L49" s="1" t="s">
        <v>821</v>
      </c>
      <c r="M49" s="1" t="s">
        <v>311</v>
      </c>
      <c r="N49" s="1" t="s">
        <v>649</v>
      </c>
      <c r="O49" s="1" t="s">
        <v>62</v>
      </c>
      <c r="P49" s="1" t="s">
        <v>1323</v>
      </c>
      <c r="Q49" s="1" t="s">
        <v>70</v>
      </c>
      <c r="R49" s="1" t="s">
        <v>57</v>
      </c>
      <c r="S49" s="1" t="s">
        <v>1206</v>
      </c>
      <c r="T49" s="69">
        <v>8.5000000000000006E-2</v>
      </c>
      <c r="U49" s="70">
        <v>46054</v>
      </c>
      <c r="V49" s="68">
        <v>0.01</v>
      </c>
      <c r="W49" s="68">
        <v>7.7799999999999994E-2</v>
      </c>
      <c r="X49" s="1" t="s">
        <v>636</v>
      </c>
      <c r="Y49" s="140" t="s">
        <v>2853</v>
      </c>
      <c r="Z49" s="67">
        <v>32235.72</v>
      </c>
      <c r="AA49" s="67">
        <v>1</v>
      </c>
      <c r="AB49" s="67">
        <v>116.62</v>
      </c>
      <c r="AC49" s="67">
        <v>0</v>
      </c>
      <c r="AD49" s="67">
        <v>37.593299999999999</v>
      </c>
      <c r="AE49" s="140" t="s">
        <v>2853</v>
      </c>
      <c r="AF49" s="140" t="s">
        <v>2853</v>
      </c>
      <c r="AG49" s="1" t="s">
        <v>17</v>
      </c>
      <c r="AH49" s="68">
        <v>9.5300888600000002E-4</v>
      </c>
      <c r="AI49" s="68">
        <f t="shared" si="0"/>
        <v>7.0869578448144082E-5</v>
      </c>
      <c r="AJ49" s="68">
        <f>+AD49/'סכום נכסים'!$B$30</f>
        <v>8.7234212958090139E-6</v>
      </c>
    </row>
    <row r="50" spans="1:36" x14ac:dyDescent="0.25">
      <c r="A50" s="1">
        <v>13908</v>
      </c>
      <c r="B50" s="1">
        <v>13908</v>
      </c>
      <c r="C50" s="1" t="s">
        <v>1411</v>
      </c>
      <c r="D50" s="1">
        <v>516117181</v>
      </c>
      <c r="E50" s="1" t="s">
        <v>429</v>
      </c>
      <c r="F50" s="1" t="s">
        <v>1412</v>
      </c>
      <c r="G50" s="1" t="s">
        <v>1413</v>
      </c>
      <c r="H50" s="1" t="s">
        <v>76</v>
      </c>
      <c r="I50" s="1" t="s">
        <v>229</v>
      </c>
      <c r="J50" s="1" t="s">
        <v>53</v>
      </c>
      <c r="K50" s="1" t="s">
        <v>53</v>
      </c>
      <c r="L50" s="1" t="s">
        <v>821</v>
      </c>
      <c r="M50" s="1" t="s">
        <v>311</v>
      </c>
      <c r="N50" s="1" t="s">
        <v>651</v>
      </c>
      <c r="O50" s="1" t="s">
        <v>62</v>
      </c>
      <c r="P50" s="1" t="s">
        <v>1414</v>
      </c>
      <c r="Q50" s="1" t="s">
        <v>65</v>
      </c>
      <c r="R50" s="1" t="s">
        <v>57</v>
      </c>
      <c r="S50" s="1" t="s">
        <v>1206</v>
      </c>
      <c r="T50" s="69">
        <v>4.234</v>
      </c>
      <c r="U50" s="70">
        <v>47664</v>
      </c>
      <c r="V50" s="68">
        <v>6.4000000000000003E-3</v>
      </c>
      <c r="W50" s="68">
        <v>2.8799999999999999E-2</v>
      </c>
      <c r="X50" s="1" t="s">
        <v>636</v>
      </c>
      <c r="Y50" s="140" t="s">
        <v>2853</v>
      </c>
      <c r="Z50" s="67">
        <v>469696.98</v>
      </c>
      <c r="AA50" s="67">
        <v>1</v>
      </c>
      <c r="AB50" s="67">
        <v>106.36</v>
      </c>
      <c r="AC50" s="67">
        <v>0</v>
      </c>
      <c r="AD50" s="67">
        <v>499.56970999999999</v>
      </c>
      <c r="AE50" s="140" t="s">
        <v>2853</v>
      </c>
      <c r="AF50" s="140" t="s">
        <v>2853</v>
      </c>
      <c r="AG50" s="1" t="s">
        <v>17</v>
      </c>
      <c r="AH50" s="68">
        <v>1.554424597E-3</v>
      </c>
      <c r="AI50" s="68">
        <f t="shared" si="0"/>
        <v>9.4177139950899727E-4</v>
      </c>
      <c r="AJ50" s="68">
        <f>+AD50/'סכום נכסים'!$B$30</f>
        <v>1.1592376958008829E-4</v>
      </c>
    </row>
    <row r="51" spans="1:36" x14ac:dyDescent="0.25">
      <c r="A51" s="1">
        <v>13908</v>
      </c>
      <c r="B51" s="1">
        <v>13908</v>
      </c>
      <c r="C51" s="1" t="s">
        <v>1415</v>
      </c>
      <c r="D51" s="1">
        <v>515434074</v>
      </c>
      <c r="E51" s="1" t="s">
        <v>429</v>
      </c>
      <c r="F51" s="1" t="s">
        <v>1416</v>
      </c>
      <c r="G51" s="1" t="s">
        <v>1417</v>
      </c>
      <c r="H51" s="1" t="s">
        <v>76</v>
      </c>
      <c r="I51" s="1" t="s">
        <v>229</v>
      </c>
      <c r="J51" s="1" t="s">
        <v>53</v>
      </c>
      <c r="K51" s="1" t="s">
        <v>53</v>
      </c>
      <c r="L51" s="1" t="s">
        <v>821</v>
      </c>
      <c r="M51" s="1" t="s">
        <v>311</v>
      </c>
      <c r="N51" s="1" t="s">
        <v>651</v>
      </c>
      <c r="O51" s="120" t="s">
        <v>55</v>
      </c>
      <c r="P51" s="1" t="s">
        <v>1414</v>
      </c>
      <c r="Q51" s="1" t="s">
        <v>65</v>
      </c>
      <c r="R51" s="1" t="s">
        <v>57</v>
      </c>
      <c r="S51" s="1" t="s">
        <v>1206</v>
      </c>
      <c r="T51" s="69">
        <v>2.7360000000000002</v>
      </c>
      <c r="U51" s="70">
        <v>47027</v>
      </c>
      <c r="V51" s="68">
        <v>3.0000000000000001E-3</v>
      </c>
      <c r="W51" s="68">
        <v>2.6599999999999999E-2</v>
      </c>
      <c r="X51" s="1" t="s">
        <v>636</v>
      </c>
      <c r="Y51" s="140" t="s">
        <v>2853</v>
      </c>
      <c r="Z51" s="67">
        <v>50000</v>
      </c>
      <c r="AA51" s="67">
        <v>1</v>
      </c>
      <c r="AB51" s="67">
        <v>109.67</v>
      </c>
      <c r="AC51" s="67">
        <v>0</v>
      </c>
      <c r="AD51" s="67">
        <v>54.835000000000001</v>
      </c>
      <c r="AE51" s="140" t="s">
        <v>2853</v>
      </c>
      <c r="AF51" s="140" t="s">
        <v>2853</v>
      </c>
      <c r="AG51" s="1" t="s">
        <v>17</v>
      </c>
      <c r="AH51" s="68">
        <v>8.8684874262585293E-5</v>
      </c>
      <c r="AI51" s="68">
        <f t="shared" si="0"/>
        <v>1.0337303014643515E-4</v>
      </c>
      <c r="AJ51" s="68">
        <f>+AD51/'סכום נכסים'!$B$30</f>
        <v>1.2724310096631242E-5</v>
      </c>
    </row>
    <row r="52" spans="1:36" x14ac:dyDescent="0.25">
      <c r="A52" s="1">
        <v>13908</v>
      </c>
      <c r="B52" s="1">
        <v>13908</v>
      </c>
      <c r="C52" s="1" t="s">
        <v>1418</v>
      </c>
      <c r="D52" s="1">
        <v>520043027</v>
      </c>
      <c r="E52" s="1" t="s">
        <v>429</v>
      </c>
      <c r="F52" s="1" t="s">
        <v>1419</v>
      </c>
      <c r="G52" s="1" t="s">
        <v>1420</v>
      </c>
      <c r="H52" s="1" t="s">
        <v>76</v>
      </c>
      <c r="I52" s="1" t="s">
        <v>228</v>
      </c>
      <c r="J52" s="1" t="s">
        <v>53</v>
      </c>
      <c r="K52" s="1" t="s">
        <v>53</v>
      </c>
      <c r="L52" s="1" t="s">
        <v>821</v>
      </c>
      <c r="M52" s="1" t="s">
        <v>311</v>
      </c>
      <c r="N52" s="1" t="s">
        <v>654</v>
      </c>
      <c r="O52" s="1" t="s">
        <v>62</v>
      </c>
      <c r="P52" s="1" t="s">
        <v>1421</v>
      </c>
      <c r="Q52" s="1" t="s">
        <v>65</v>
      </c>
      <c r="R52" s="1" t="s">
        <v>57</v>
      </c>
      <c r="S52" s="1" t="s">
        <v>1206</v>
      </c>
      <c r="T52" s="69">
        <v>1.9370000000000001</v>
      </c>
      <c r="U52" s="70">
        <v>47300</v>
      </c>
      <c r="V52" s="68">
        <v>1.0800000000000001E-2</v>
      </c>
      <c r="W52" s="68">
        <v>3.9300000000000002E-2</v>
      </c>
      <c r="X52" s="1" t="s">
        <v>636</v>
      </c>
      <c r="Y52" s="140" t="s">
        <v>2853</v>
      </c>
      <c r="Z52" s="67">
        <v>6442500</v>
      </c>
      <c r="AA52" s="67">
        <v>1</v>
      </c>
      <c r="AB52" s="67">
        <v>94.72</v>
      </c>
      <c r="AC52" s="67">
        <v>0</v>
      </c>
      <c r="AD52" s="67">
        <v>6102.3360000000002</v>
      </c>
      <c r="AE52" s="140" t="s">
        <v>2853</v>
      </c>
      <c r="AF52" s="140" t="s">
        <v>2853</v>
      </c>
      <c r="AG52" s="1" t="s">
        <v>17</v>
      </c>
      <c r="AH52" s="68">
        <v>8.5900000000000004E-3</v>
      </c>
      <c r="AI52" s="68">
        <f t="shared" si="0"/>
        <v>1.1503911065773257E-2</v>
      </c>
      <c r="AJ52" s="68">
        <f>+AD52/'סכום נכסים'!$B$30</f>
        <v>1.4160301919911792E-3</v>
      </c>
    </row>
    <row r="53" spans="1:36" x14ac:dyDescent="0.25">
      <c r="A53" s="1">
        <v>13908</v>
      </c>
      <c r="B53" s="1">
        <v>13908</v>
      </c>
      <c r="C53" s="1" t="s">
        <v>1422</v>
      </c>
      <c r="D53" s="1">
        <v>514892801</v>
      </c>
      <c r="E53" s="1" t="s">
        <v>429</v>
      </c>
      <c r="F53" s="1" t="s">
        <v>1423</v>
      </c>
      <c r="G53" s="1" t="s">
        <v>1424</v>
      </c>
      <c r="H53" s="1" t="s">
        <v>76</v>
      </c>
      <c r="I53" s="1" t="s">
        <v>228</v>
      </c>
      <c r="J53" s="1" t="s">
        <v>53</v>
      </c>
      <c r="K53" s="1" t="s">
        <v>53</v>
      </c>
      <c r="L53" s="1" t="s">
        <v>821</v>
      </c>
      <c r="M53" s="1" t="s">
        <v>311</v>
      </c>
      <c r="N53" s="1" t="s">
        <v>263</v>
      </c>
      <c r="O53" s="1" t="s">
        <v>62</v>
      </c>
      <c r="P53" s="1" t="s">
        <v>1329</v>
      </c>
      <c r="Q53" s="1" t="s">
        <v>65</v>
      </c>
      <c r="R53" s="1" t="s">
        <v>57</v>
      </c>
      <c r="S53" s="1" t="s">
        <v>1206</v>
      </c>
      <c r="T53" s="69">
        <v>5.63</v>
      </c>
      <c r="U53" s="70">
        <v>50374</v>
      </c>
      <c r="V53" s="68">
        <v>2.3400000000000001E-2</v>
      </c>
      <c r="W53" s="68">
        <v>4.3999999999999997E-2</v>
      </c>
      <c r="X53" s="1" t="s">
        <v>636</v>
      </c>
      <c r="Y53" s="140" t="s">
        <v>2853</v>
      </c>
      <c r="Z53" s="67">
        <v>131200</v>
      </c>
      <c r="AA53" s="67">
        <v>1</v>
      </c>
      <c r="AB53" s="67">
        <v>89.42</v>
      </c>
      <c r="AC53" s="67">
        <v>0</v>
      </c>
      <c r="AD53" s="67">
        <v>117.31904</v>
      </c>
      <c r="AE53" s="140" t="s">
        <v>2853</v>
      </c>
      <c r="AF53" s="140" t="s">
        <v>2853</v>
      </c>
      <c r="AG53" s="1" t="s">
        <v>17</v>
      </c>
      <c r="AH53" s="68">
        <v>1.37106878E-4</v>
      </c>
      <c r="AI53" s="68">
        <f t="shared" si="0"/>
        <v>2.2116576381272601E-4</v>
      </c>
      <c r="AJ53" s="68">
        <f>+AD53/'סכום נכסים'!$B$30</f>
        <v>2.7223558770841334E-5</v>
      </c>
    </row>
    <row r="54" spans="1:36" x14ac:dyDescent="0.25">
      <c r="A54" s="1">
        <v>13908</v>
      </c>
      <c r="B54" s="1">
        <v>13908</v>
      </c>
      <c r="C54" s="1" t="s">
        <v>1301</v>
      </c>
      <c r="D54" s="1">
        <v>510960719</v>
      </c>
      <c r="E54" s="1" t="s">
        <v>429</v>
      </c>
      <c r="F54" s="1" t="s">
        <v>1425</v>
      </c>
      <c r="G54" s="1" t="s">
        <v>1426</v>
      </c>
      <c r="H54" s="1" t="s">
        <v>76</v>
      </c>
      <c r="I54" s="1" t="s">
        <v>229</v>
      </c>
      <c r="J54" s="1" t="s">
        <v>53</v>
      </c>
      <c r="K54" s="1" t="s">
        <v>53</v>
      </c>
      <c r="L54" s="1" t="s">
        <v>821</v>
      </c>
      <c r="M54" s="1" t="s">
        <v>311</v>
      </c>
      <c r="N54" s="1" t="s">
        <v>651</v>
      </c>
      <c r="O54" s="1" t="s">
        <v>62</v>
      </c>
      <c r="P54" s="1" t="s">
        <v>1421</v>
      </c>
      <c r="Q54" s="1" t="s">
        <v>65</v>
      </c>
      <c r="R54" s="1" t="s">
        <v>57</v>
      </c>
      <c r="S54" s="1" t="s">
        <v>1206</v>
      </c>
      <c r="T54" s="69">
        <v>5.9690000000000003</v>
      </c>
      <c r="U54" s="70">
        <v>49858</v>
      </c>
      <c r="V54" s="68">
        <v>8.9999999999999993E-3</v>
      </c>
      <c r="W54" s="68">
        <v>2.4199999999999999E-2</v>
      </c>
      <c r="X54" s="1" t="s">
        <v>636</v>
      </c>
      <c r="Y54" s="140" t="s">
        <v>2853</v>
      </c>
      <c r="Z54" s="67">
        <v>1247999.95</v>
      </c>
      <c r="AA54" s="67">
        <v>1</v>
      </c>
      <c r="AB54" s="67">
        <v>106.24</v>
      </c>
      <c r="AC54" s="67">
        <v>6.5260300000000004</v>
      </c>
      <c r="AD54" s="67">
        <v>1332.4011800000001</v>
      </c>
      <c r="AE54" s="140" t="s">
        <v>2853</v>
      </c>
      <c r="AF54" s="140" t="s">
        <v>2853</v>
      </c>
      <c r="AG54" s="1" t="s">
        <v>17</v>
      </c>
      <c r="AH54" s="68">
        <v>4.6297459300000002E-4</v>
      </c>
      <c r="AI54" s="68">
        <f t="shared" si="0"/>
        <v>2.5117962496085671E-3</v>
      </c>
      <c r="AJ54" s="68">
        <f>+AD54/'סכום נכסים'!$B$30</f>
        <v>3.0918000888916533E-4</v>
      </c>
    </row>
    <row r="55" spans="1:36" x14ac:dyDescent="0.25">
      <c r="A55" s="1">
        <v>13908</v>
      </c>
      <c r="B55" s="1">
        <v>13908</v>
      </c>
      <c r="C55" s="1" t="s">
        <v>1301</v>
      </c>
      <c r="D55" s="1">
        <v>510960719</v>
      </c>
      <c r="E55" s="1" t="s">
        <v>429</v>
      </c>
      <c r="F55" s="1" t="s">
        <v>1427</v>
      </c>
      <c r="G55" s="1" t="s">
        <v>1428</v>
      </c>
      <c r="H55" s="1" t="s">
        <v>76</v>
      </c>
      <c r="I55" s="1" t="s">
        <v>229</v>
      </c>
      <c r="J55" s="1" t="s">
        <v>53</v>
      </c>
      <c r="K55" s="1" t="s">
        <v>53</v>
      </c>
      <c r="L55" s="1" t="s">
        <v>821</v>
      </c>
      <c r="M55" s="1" t="s">
        <v>311</v>
      </c>
      <c r="N55" s="1" t="s">
        <v>651</v>
      </c>
      <c r="O55" s="1" t="s">
        <v>62</v>
      </c>
      <c r="P55" s="1" t="s">
        <v>1421</v>
      </c>
      <c r="Q55" s="1" t="s">
        <v>65</v>
      </c>
      <c r="R55" s="1" t="s">
        <v>57</v>
      </c>
      <c r="S55" s="1" t="s">
        <v>1206</v>
      </c>
      <c r="T55" s="69">
        <v>9.4939999999999998</v>
      </c>
      <c r="U55" s="70">
        <v>51503</v>
      </c>
      <c r="V55" s="68">
        <v>1.6899999999999998E-2</v>
      </c>
      <c r="W55" s="68">
        <v>2.7300000000000001E-2</v>
      </c>
      <c r="X55" s="1" t="s">
        <v>636</v>
      </c>
      <c r="Y55" s="140" t="s">
        <v>2853</v>
      </c>
      <c r="Z55" s="67">
        <v>1053524</v>
      </c>
      <c r="AA55" s="67">
        <v>1</v>
      </c>
      <c r="AB55" s="67">
        <v>105.51</v>
      </c>
      <c r="AC55" s="67">
        <v>10.34482</v>
      </c>
      <c r="AD55" s="67">
        <v>1121.9179899999999</v>
      </c>
      <c r="AE55" s="140" t="s">
        <v>2853</v>
      </c>
      <c r="AF55" s="140" t="s">
        <v>2853</v>
      </c>
      <c r="AG55" s="1" t="s">
        <v>17</v>
      </c>
      <c r="AH55" s="68">
        <v>2.4147001099999999E-4</v>
      </c>
      <c r="AI55" s="68">
        <f t="shared" si="0"/>
        <v>2.1150006784370918E-3</v>
      </c>
      <c r="AJ55" s="68">
        <f>+AD55/'סכום נכסים'!$B$30</f>
        <v>2.6033796676847319E-4</v>
      </c>
    </row>
    <row r="56" spans="1:36" x14ac:dyDescent="0.25">
      <c r="A56" s="1">
        <v>13908</v>
      </c>
      <c r="B56" s="1">
        <v>13908</v>
      </c>
      <c r="C56" s="1" t="s">
        <v>1429</v>
      </c>
      <c r="D56" s="1">
        <v>1863501</v>
      </c>
      <c r="E56" s="1" t="s">
        <v>430</v>
      </c>
      <c r="F56" s="1" t="s">
        <v>1430</v>
      </c>
      <c r="G56" s="1" t="s">
        <v>1431</v>
      </c>
      <c r="H56" s="1" t="s">
        <v>76</v>
      </c>
      <c r="I56" s="1" t="s">
        <v>228</v>
      </c>
      <c r="J56" s="1" t="s">
        <v>53</v>
      </c>
      <c r="K56" s="1" t="s">
        <v>314</v>
      </c>
      <c r="L56" s="1" t="s">
        <v>821</v>
      </c>
      <c r="M56" s="1" t="s">
        <v>311</v>
      </c>
      <c r="N56" s="1" t="s">
        <v>652</v>
      </c>
      <c r="O56" s="1" t="s">
        <v>62</v>
      </c>
      <c r="P56" s="1" t="s">
        <v>1281</v>
      </c>
      <c r="Q56" s="1" t="s">
        <v>65</v>
      </c>
      <c r="R56" s="1" t="s">
        <v>57</v>
      </c>
      <c r="S56" s="1" t="s">
        <v>1206</v>
      </c>
      <c r="T56" s="69">
        <v>0.56399999999999995</v>
      </c>
      <c r="U56" s="70">
        <v>46234</v>
      </c>
      <c r="V56" s="68">
        <v>5.7000000000000002E-2</v>
      </c>
      <c r="W56" s="68">
        <v>0.06</v>
      </c>
      <c r="X56" s="1" t="s">
        <v>636</v>
      </c>
      <c r="Y56" s="140" t="s">
        <v>2853</v>
      </c>
      <c r="Z56" s="67">
        <v>363829.81</v>
      </c>
      <c r="AA56" s="67">
        <v>1</v>
      </c>
      <c r="AB56" s="67">
        <v>102.28</v>
      </c>
      <c r="AC56" s="67">
        <v>0</v>
      </c>
      <c r="AD56" s="67">
        <v>372.12513000000001</v>
      </c>
      <c r="AE56" s="140" t="s">
        <v>2853</v>
      </c>
      <c r="AF56" s="140" t="s">
        <v>2853</v>
      </c>
      <c r="AG56" s="1" t="s">
        <v>17</v>
      </c>
      <c r="AH56" s="68">
        <v>1.4677431569999999E-3</v>
      </c>
      <c r="AI56" s="68">
        <f t="shared" si="0"/>
        <v>7.0151732072100122E-4</v>
      </c>
      <c r="AJ56" s="68">
        <f>+AD56/'סכום נכסים'!$B$30</f>
        <v>8.6350607255752964E-5</v>
      </c>
    </row>
    <row r="57" spans="1:36" x14ac:dyDescent="0.25">
      <c r="A57" s="1">
        <v>13908</v>
      </c>
      <c r="B57" s="1">
        <v>13908</v>
      </c>
      <c r="C57" s="1" t="s">
        <v>1432</v>
      </c>
      <c r="D57" s="1">
        <v>515364891</v>
      </c>
      <c r="E57" s="1" t="s">
        <v>429</v>
      </c>
      <c r="F57" s="1" t="s">
        <v>1433</v>
      </c>
      <c r="G57" s="1" t="s">
        <v>1434</v>
      </c>
      <c r="H57" s="1" t="s">
        <v>76</v>
      </c>
      <c r="I57" s="1" t="s">
        <v>229</v>
      </c>
      <c r="J57" s="1" t="s">
        <v>53</v>
      </c>
      <c r="K57" s="1" t="s">
        <v>53</v>
      </c>
      <c r="L57" s="1" t="s">
        <v>821</v>
      </c>
      <c r="M57" s="1" t="s">
        <v>311</v>
      </c>
      <c r="N57" s="1" t="s">
        <v>647</v>
      </c>
      <c r="O57" s="1" t="s">
        <v>62</v>
      </c>
      <c r="P57" s="1" t="s">
        <v>298</v>
      </c>
      <c r="Q57" s="1" t="s">
        <v>298</v>
      </c>
      <c r="R57" s="1" t="s">
        <v>298</v>
      </c>
      <c r="S57" s="1" t="s">
        <v>1206</v>
      </c>
      <c r="T57" s="69">
        <v>1.956</v>
      </c>
      <c r="U57" s="70">
        <v>46934</v>
      </c>
      <c r="V57" s="68">
        <v>1.5800000000000002E-2</v>
      </c>
      <c r="W57" s="68">
        <v>3.4500000000000003E-2</v>
      </c>
      <c r="X57" s="1" t="s">
        <v>636</v>
      </c>
      <c r="Y57" s="140" t="s">
        <v>2853</v>
      </c>
      <c r="Z57" s="67">
        <v>690068.64</v>
      </c>
      <c r="AA57" s="67">
        <v>1</v>
      </c>
      <c r="AB57" s="67">
        <v>112.14</v>
      </c>
      <c r="AC57" s="67">
        <v>0</v>
      </c>
      <c r="AD57" s="67">
        <v>773.84297000000004</v>
      </c>
      <c r="AE57" s="140" t="s">
        <v>2853</v>
      </c>
      <c r="AF57" s="140" t="s">
        <v>2853</v>
      </c>
      <c r="AG57" s="1" t="s">
        <v>17</v>
      </c>
      <c r="AH57" s="68">
        <v>2.226394335E-3</v>
      </c>
      <c r="AI57" s="68">
        <f t="shared" si="0"/>
        <v>1.4588217865672821E-3</v>
      </c>
      <c r="AJ57" s="68">
        <f>+AD57/'סכום נכסים'!$B$30</f>
        <v>1.7956812102449361E-4</v>
      </c>
    </row>
    <row r="58" spans="1:36" x14ac:dyDescent="0.25">
      <c r="A58" s="1">
        <v>13908</v>
      </c>
      <c r="B58" s="1">
        <v>13908</v>
      </c>
      <c r="C58" s="1" t="s">
        <v>1435</v>
      </c>
      <c r="D58" s="1">
        <v>514599943</v>
      </c>
      <c r="E58" s="1" t="s">
        <v>429</v>
      </c>
      <c r="F58" s="1" t="s">
        <v>1436</v>
      </c>
      <c r="G58" s="1" t="s">
        <v>1437</v>
      </c>
      <c r="H58" s="1" t="s">
        <v>76</v>
      </c>
      <c r="I58" s="1" t="s">
        <v>229</v>
      </c>
      <c r="J58" s="1" t="s">
        <v>53</v>
      </c>
      <c r="K58" s="1" t="s">
        <v>53</v>
      </c>
      <c r="L58" s="1" t="s">
        <v>821</v>
      </c>
      <c r="M58" s="1" t="s">
        <v>311</v>
      </c>
      <c r="N58" s="1" t="s">
        <v>647</v>
      </c>
      <c r="O58" s="1" t="s">
        <v>62</v>
      </c>
      <c r="P58" s="1" t="s">
        <v>1438</v>
      </c>
      <c r="Q58" s="1" t="s">
        <v>70</v>
      </c>
      <c r="R58" s="1" t="s">
        <v>57</v>
      </c>
      <c r="S58" s="1" t="s">
        <v>1206</v>
      </c>
      <c r="T58" s="69">
        <v>1.7809999999999999</v>
      </c>
      <c r="U58" s="70">
        <v>46752</v>
      </c>
      <c r="V58" s="68">
        <v>1.4800000000000001E-2</v>
      </c>
      <c r="W58" s="68">
        <v>3.44E-2</v>
      </c>
      <c r="X58" s="1" t="s">
        <v>636</v>
      </c>
      <c r="Y58" s="140" t="s">
        <v>2853</v>
      </c>
      <c r="Z58" s="67">
        <v>2527062.14</v>
      </c>
      <c r="AA58" s="67">
        <v>1</v>
      </c>
      <c r="AB58" s="67">
        <v>111.89</v>
      </c>
      <c r="AC58" s="67">
        <v>0</v>
      </c>
      <c r="AD58" s="67">
        <v>2827.5298299999999</v>
      </c>
      <c r="AE58" s="140" t="s">
        <v>2853</v>
      </c>
      <c r="AF58" s="140" t="s">
        <v>2853</v>
      </c>
      <c r="AG58" s="1" t="s">
        <v>17</v>
      </c>
      <c r="AH58" s="68">
        <v>9.2484994330000007E-3</v>
      </c>
      <c r="AI58" s="68">
        <f t="shared" si="0"/>
        <v>5.3303606520750373E-3</v>
      </c>
      <c r="AJ58" s="68">
        <f>+AD58/'סכום נכסים'!$B$30</f>
        <v>6.5612047714771625E-4</v>
      </c>
    </row>
    <row r="59" spans="1:36" x14ac:dyDescent="0.25">
      <c r="A59" s="1">
        <v>13908</v>
      </c>
      <c r="B59" s="1">
        <v>13908</v>
      </c>
      <c r="C59" s="1" t="s">
        <v>1305</v>
      </c>
      <c r="D59" s="1">
        <v>513623314</v>
      </c>
      <c r="E59" s="1" t="s">
        <v>429</v>
      </c>
      <c r="F59" s="1" t="s">
        <v>1439</v>
      </c>
      <c r="G59" s="1" t="s">
        <v>1440</v>
      </c>
      <c r="H59" s="1" t="s">
        <v>76</v>
      </c>
      <c r="I59" s="1" t="s">
        <v>228</v>
      </c>
      <c r="J59" s="1" t="s">
        <v>53</v>
      </c>
      <c r="K59" s="1" t="s">
        <v>53</v>
      </c>
      <c r="L59" s="1" t="s">
        <v>821</v>
      </c>
      <c r="M59" s="1" t="s">
        <v>311</v>
      </c>
      <c r="N59" s="1" t="s">
        <v>651</v>
      </c>
      <c r="O59" s="1" t="s">
        <v>62</v>
      </c>
      <c r="P59" s="1" t="s">
        <v>1281</v>
      </c>
      <c r="Q59" s="1" t="s">
        <v>65</v>
      </c>
      <c r="R59" s="1" t="s">
        <v>57</v>
      </c>
      <c r="S59" s="1" t="s">
        <v>1206</v>
      </c>
      <c r="T59" s="69">
        <v>3.4129999999999998</v>
      </c>
      <c r="U59" s="70">
        <v>47421</v>
      </c>
      <c r="V59" s="68">
        <v>2.0899999999999998E-2</v>
      </c>
      <c r="W59" s="68">
        <v>4.1599999999999998E-2</v>
      </c>
      <c r="X59" s="1" t="s">
        <v>636</v>
      </c>
      <c r="Y59" s="140" t="s">
        <v>2853</v>
      </c>
      <c r="Z59" s="67">
        <v>2000000</v>
      </c>
      <c r="AA59" s="67">
        <v>1</v>
      </c>
      <c r="AB59" s="67">
        <v>93.74</v>
      </c>
      <c r="AC59" s="67">
        <v>0</v>
      </c>
      <c r="AD59" s="67">
        <v>1874.8</v>
      </c>
      <c r="AE59" s="140" t="s">
        <v>2853</v>
      </c>
      <c r="AF59" s="140" t="s">
        <v>2853</v>
      </c>
      <c r="AG59" s="1" t="s">
        <v>17</v>
      </c>
      <c r="AH59" s="68">
        <v>6.2814070350000004E-3</v>
      </c>
      <c r="AI59" s="68">
        <f t="shared" si="0"/>
        <v>3.5343075940282051E-3</v>
      </c>
      <c r="AJ59" s="68">
        <f>+AD59/'סכום נכסים'!$B$30</f>
        <v>4.3504215499524484E-4</v>
      </c>
    </row>
    <row r="60" spans="1:36" x14ac:dyDescent="0.25">
      <c r="A60" s="1">
        <v>13908</v>
      </c>
      <c r="B60" s="1">
        <v>13908</v>
      </c>
      <c r="C60" s="1" t="s">
        <v>1408</v>
      </c>
      <c r="D60" s="1">
        <v>513893123</v>
      </c>
      <c r="E60" s="1" t="s">
        <v>429</v>
      </c>
      <c r="F60" s="1" t="s">
        <v>1441</v>
      </c>
      <c r="G60" s="1" t="s">
        <v>1442</v>
      </c>
      <c r="H60" s="1" t="s">
        <v>76</v>
      </c>
      <c r="I60" s="1" t="s">
        <v>229</v>
      </c>
      <c r="J60" s="1" t="s">
        <v>53</v>
      </c>
      <c r="K60" s="1" t="s">
        <v>53</v>
      </c>
      <c r="L60" s="1" t="s">
        <v>821</v>
      </c>
      <c r="M60" s="1" t="s">
        <v>311</v>
      </c>
      <c r="N60" s="1" t="s">
        <v>649</v>
      </c>
      <c r="O60" s="1" t="s">
        <v>62</v>
      </c>
      <c r="P60" s="1" t="s">
        <v>1323</v>
      </c>
      <c r="Q60" s="1" t="s">
        <v>70</v>
      </c>
      <c r="R60" s="1" t="s">
        <v>57</v>
      </c>
      <c r="S60" s="1" t="s">
        <v>1206</v>
      </c>
      <c r="T60" s="69">
        <v>2.5609999999999999</v>
      </c>
      <c r="U60" s="70">
        <v>48060</v>
      </c>
      <c r="V60" s="68">
        <v>0.01</v>
      </c>
      <c r="W60" s="68">
        <v>2.7400000000000001E-2</v>
      </c>
      <c r="X60" s="1" t="s">
        <v>636</v>
      </c>
      <c r="Y60" s="140" t="s">
        <v>2853</v>
      </c>
      <c r="Z60" s="67">
        <v>2801981.43</v>
      </c>
      <c r="AA60" s="67">
        <v>1</v>
      </c>
      <c r="AB60" s="67">
        <v>110.57</v>
      </c>
      <c r="AC60" s="67">
        <v>0</v>
      </c>
      <c r="AD60" s="67">
        <v>3098.1508699999999</v>
      </c>
      <c r="AE60" s="140" t="s">
        <v>2853</v>
      </c>
      <c r="AF60" s="140" t="s">
        <v>2853</v>
      </c>
      <c r="AG60" s="1" t="s">
        <v>17</v>
      </c>
      <c r="AH60" s="68">
        <v>1.5118473560000001E-3</v>
      </c>
      <c r="AI60" s="68">
        <f t="shared" si="0"/>
        <v>5.840526001326056E-3</v>
      </c>
      <c r="AJ60" s="68">
        <f>+AD60/'סכום נכסים'!$B$30</f>
        <v>7.1891734104181395E-4</v>
      </c>
    </row>
    <row r="61" spans="1:36" x14ac:dyDescent="0.25">
      <c r="A61" s="1">
        <v>13908</v>
      </c>
      <c r="B61" s="1">
        <v>13908</v>
      </c>
      <c r="C61" s="1" t="s">
        <v>1408</v>
      </c>
      <c r="D61" s="1">
        <v>513893123</v>
      </c>
      <c r="E61" s="1" t="s">
        <v>429</v>
      </c>
      <c r="F61" s="1" t="s">
        <v>1443</v>
      </c>
      <c r="G61" s="1" t="s">
        <v>1442</v>
      </c>
      <c r="H61" s="1" t="s">
        <v>76</v>
      </c>
      <c r="I61" s="1" t="s">
        <v>229</v>
      </c>
      <c r="J61" s="1" t="s">
        <v>53</v>
      </c>
      <c r="K61" s="1" t="s">
        <v>53</v>
      </c>
      <c r="L61" s="1" t="s">
        <v>54</v>
      </c>
      <c r="M61" s="1" t="s">
        <v>311</v>
      </c>
      <c r="N61" s="1" t="s">
        <v>649</v>
      </c>
      <c r="O61" s="1" t="s">
        <v>62</v>
      </c>
      <c r="P61" s="1" t="s">
        <v>298</v>
      </c>
      <c r="Q61" s="1" t="s">
        <v>298</v>
      </c>
      <c r="R61" s="1" t="s">
        <v>298</v>
      </c>
      <c r="S61" s="1" t="s">
        <v>1206</v>
      </c>
      <c r="T61" s="69">
        <v>2.5609999999999999</v>
      </c>
      <c r="U61" s="70">
        <v>48060</v>
      </c>
      <c r="V61" s="68">
        <v>0.01</v>
      </c>
      <c r="W61" s="68">
        <v>2.7400000000000001E-2</v>
      </c>
      <c r="X61" s="1" t="s">
        <v>636</v>
      </c>
      <c r="Y61" s="140" t="s">
        <v>2853</v>
      </c>
      <c r="Z61" s="67">
        <v>1000000</v>
      </c>
      <c r="AA61" s="67">
        <v>1</v>
      </c>
      <c r="AB61" s="67">
        <v>109.9192</v>
      </c>
      <c r="AC61" s="67">
        <v>0</v>
      </c>
      <c r="AD61" s="67">
        <v>1099.192</v>
      </c>
      <c r="AE61" s="140" t="s">
        <v>2853</v>
      </c>
      <c r="AF61" s="140" t="s">
        <v>2853</v>
      </c>
      <c r="AG61" s="1" t="s">
        <v>17</v>
      </c>
      <c r="AH61" s="68">
        <v>5.3956366000000003E-4</v>
      </c>
      <c r="AI61" s="68">
        <f t="shared" si="0"/>
        <v>2.0721584344437012E-3</v>
      </c>
      <c r="AJ61" s="68">
        <f>+AD61/'סכום נכסים'!$B$30</f>
        <v>2.5506446364067273E-4</v>
      </c>
    </row>
    <row r="62" spans="1:36" x14ac:dyDescent="0.25">
      <c r="A62" s="1">
        <v>13908</v>
      </c>
      <c r="B62" s="1">
        <v>13908</v>
      </c>
      <c r="C62" s="1" t="s">
        <v>1312</v>
      </c>
      <c r="D62" s="1">
        <v>510381601</v>
      </c>
      <c r="E62" s="1" t="s">
        <v>429</v>
      </c>
      <c r="F62" s="1" t="s">
        <v>1444</v>
      </c>
      <c r="G62" s="1" t="s">
        <v>1445</v>
      </c>
      <c r="H62" s="1" t="s">
        <v>76</v>
      </c>
      <c r="I62" s="1" t="s">
        <v>229</v>
      </c>
      <c r="J62" s="1" t="s">
        <v>53</v>
      </c>
      <c r="K62" s="1" t="s">
        <v>53</v>
      </c>
      <c r="L62" s="1" t="s">
        <v>821</v>
      </c>
      <c r="M62" s="1" t="s">
        <v>311</v>
      </c>
      <c r="N62" s="1" t="s">
        <v>140</v>
      </c>
      <c r="O62" s="1" t="s">
        <v>62</v>
      </c>
      <c r="P62" s="1" t="s">
        <v>1292</v>
      </c>
      <c r="Q62" s="1" t="s">
        <v>65</v>
      </c>
      <c r="R62" s="1" t="s">
        <v>57</v>
      </c>
      <c r="S62" s="1" t="s">
        <v>1206</v>
      </c>
      <c r="T62" s="69">
        <v>2.5369999999999999</v>
      </c>
      <c r="U62" s="70">
        <v>47483</v>
      </c>
      <c r="V62" s="68">
        <v>7.4999999999999997E-3</v>
      </c>
      <c r="W62" s="68">
        <v>2.7199999999999998E-2</v>
      </c>
      <c r="X62" s="1" t="s">
        <v>636</v>
      </c>
      <c r="Y62" s="140" t="s">
        <v>2853</v>
      </c>
      <c r="Z62" s="67">
        <v>849999.98</v>
      </c>
      <c r="AA62" s="67">
        <v>1</v>
      </c>
      <c r="AB62" s="67">
        <v>109.65</v>
      </c>
      <c r="AC62" s="67">
        <v>0</v>
      </c>
      <c r="AD62" s="67">
        <v>932.02498000000003</v>
      </c>
      <c r="AE62" s="140" t="s">
        <v>2853</v>
      </c>
      <c r="AF62" s="140" t="s">
        <v>2853</v>
      </c>
      <c r="AG62" s="1" t="s">
        <v>17</v>
      </c>
      <c r="AH62" s="68">
        <v>6.4978987499999998E-4</v>
      </c>
      <c r="AI62" s="68">
        <f t="shared" si="0"/>
        <v>1.7570209967132419E-3</v>
      </c>
      <c r="AJ62" s="68">
        <f>+AD62/'סכום נכסים'!$B$30</f>
        <v>2.1627381897194368E-4</v>
      </c>
    </row>
    <row r="63" spans="1:36" x14ac:dyDescent="0.25">
      <c r="A63" s="1">
        <v>13908</v>
      </c>
      <c r="B63" s="1">
        <v>13908</v>
      </c>
      <c r="C63" s="1" t="s">
        <v>1446</v>
      </c>
      <c r="D63" s="1">
        <v>513817817</v>
      </c>
      <c r="E63" s="1" t="s">
        <v>429</v>
      </c>
      <c r="F63" s="1" t="s">
        <v>1447</v>
      </c>
      <c r="G63" s="1" t="s">
        <v>1448</v>
      </c>
      <c r="H63" s="1" t="s">
        <v>76</v>
      </c>
      <c r="I63" s="1" t="s">
        <v>228</v>
      </c>
      <c r="J63" s="1" t="s">
        <v>53</v>
      </c>
      <c r="K63" s="1" t="s">
        <v>53</v>
      </c>
      <c r="L63" s="1" t="s">
        <v>821</v>
      </c>
      <c r="M63" s="1" t="s">
        <v>311</v>
      </c>
      <c r="N63" s="1" t="s">
        <v>140</v>
      </c>
      <c r="O63" s="1" t="s">
        <v>62</v>
      </c>
      <c r="P63" s="1" t="s">
        <v>1358</v>
      </c>
      <c r="Q63" s="1" t="s">
        <v>70</v>
      </c>
      <c r="R63" s="1" t="s">
        <v>57</v>
      </c>
      <c r="S63" s="1" t="s">
        <v>1206</v>
      </c>
      <c r="T63" s="69">
        <v>0.99199999999999999</v>
      </c>
      <c r="U63" s="70">
        <v>46387</v>
      </c>
      <c r="V63" s="68">
        <v>0.02</v>
      </c>
      <c r="W63" s="68">
        <v>4.6100000000000002E-2</v>
      </c>
      <c r="X63" s="1" t="s">
        <v>636</v>
      </c>
      <c r="Y63" s="140" t="s">
        <v>2853</v>
      </c>
      <c r="Z63" s="67">
        <v>68000</v>
      </c>
      <c r="AA63" s="67">
        <v>1</v>
      </c>
      <c r="AB63" s="67">
        <v>97.54</v>
      </c>
      <c r="AC63" s="67">
        <v>0</v>
      </c>
      <c r="AD63" s="67">
        <v>66.327200000000005</v>
      </c>
      <c r="AE63" s="140" t="s">
        <v>2853</v>
      </c>
      <c r="AF63" s="140" t="s">
        <v>2853</v>
      </c>
      <c r="AG63" s="1" t="s">
        <v>17</v>
      </c>
      <c r="AH63" s="68">
        <v>5.7142857100000001E-4</v>
      </c>
      <c r="AI63" s="68">
        <f t="shared" si="0"/>
        <v>1.2503772490432449E-4</v>
      </c>
      <c r="AJ63" s="68">
        <f>+AD63/'סכום נכסים'!$B$30</f>
        <v>1.5391043323448157E-5</v>
      </c>
    </row>
    <row r="64" spans="1:36" x14ac:dyDescent="0.25">
      <c r="A64" s="1">
        <v>13908</v>
      </c>
      <c r="B64" s="1">
        <v>13908</v>
      </c>
      <c r="C64" s="1" t="s">
        <v>1449</v>
      </c>
      <c r="D64" s="1">
        <v>516046307</v>
      </c>
      <c r="E64" s="1" t="s">
        <v>429</v>
      </c>
      <c r="F64" s="1" t="s">
        <v>1450</v>
      </c>
      <c r="G64" s="1" t="s">
        <v>1451</v>
      </c>
      <c r="H64" s="1" t="s">
        <v>76</v>
      </c>
      <c r="I64" s="1" t="s">
        <v>229</v>
      </c>
      <c r="J64" s="1" t="s">
        <v>53</v>
      </c>
      <c r="K64" s="1" t="s">
        <v>53</v>
      </c>
      <c r="L64" s="1" t="s">
        <v>821</v>
      </c>
      <c r="M64" s="1" t="s">
        <v>311</v>
      </c>
      <c r="N64" s="1" t="s">
        <v>647</v>
      </c>
      <c r="O64" s="120" t="s">
        <v>55</v>
      </c>
      <c r="P64" s="1" t="s">
        <v>298</v>
      </c>
      <c r="Q64" s="1" t="s">
        <v>298</v>
      </c>
      <c r="R64" s="1" t="s">
        <v>298</v>
      </c>
      <c r="S64" s="1" t="s">
        <v>1206</v>
      </c>
      <c r="T64" s="69">
        <v>1.639</v>
      </c>
      <c r="U64" s="70">
        <v>46752</v>
      </c>
      <c r="V64" s="68">
        <v>2.3E-2</v>
      </c>
      <c r="W64" s="68">
        <v>2.5600000000000001E-2</v>
      </c>
      <c r="X64" s="1" t="s">
        <v>636</v>
      </c>
      <c r="Y64" s="140" t="s">
        <v>2853</v>
      </c>
      <c r="Z64" s="67">
        <v>205230.19</v>
      </c>
      <c r="AA64" s="67">
        <v>1</v>
      </c>
      <c r="AB64" s="67">
        <v>114.4</v>
      </c>
      <c r="AC64" s="67">
        <v>0</v>
      </c>
      <c r="AD64" s="67">
        <v>234.78334000000001</v>
      </c>
      <c r="AE64" s="140" t="s">
        <v>2853</v>
      </c>
      <c r="AF64" s="140" t="s">
        <v>2853</v>
      </c>
      <c r="AG64" s="1" t="s">
        <v>17</v>
      </c>
      <c r="AH64" s="68">
        <v>3.7837424410000001E-3</v>
      </c>
      <c r="AI64" s="68">
        <f t="shared" si="0"/>
        <v>4.426053667128793E-4</v>
      </c>
      <c r="AJ64" s="68">
        <f>+AD64/'סכום נכסים'!$B$30</f>
        <v>5.4480824722947128E-5</v>
      </c>
    </row>
    <row r="65" spans="1:36" x14ac:dyDescent="0.25">
      <c r="A65" s="1">
        <v>13908</v>
      </c>
      <c r="B65" s="1">
        <v>13908</v>
      </c>
      <c r="C65" s="1" t="s">
        <v>1452</v>
      </c>
      <c r="D65" s="1">
        <v>520043720</v>
      </c>
      <c r="E65" s="1" t="s">
        <v>429</v>
      </c>
      <c r="F65" s="1" t="s">
        <v>1453</v>
      </c>
      <c r="G65" s="1" t="s">
        <v>1454</v>
      </c>
      <c r="H65" s="1" t="s">
        <v>76</v>
      </c>
      <c r="I65" s="1" t="s">
        <v>228</v>
      </c>
      <c r="J65" s="1" t="s">
        <v>53</v>
      </c>
      <c r="K65" s="1" t="s">
        <v>53</v>
      </c>
      <c r="L65" s="1" t="s">
        <v>821</v>
      </c>
      <c r="M65" s="1" t="s">
        <v>311</v>
      </c>
      <c r="N65" s="1" t="s">
        <v>652</v>
      </c>
      <c r="O65" s="1" t="s">
        <v>62</v>
      </c>
      <c r="P65" s="1" t="s">
        <v>1455</v>
      </c>
      <c r="Q65" s="1" t="s">
        <v>70</v>
      </c>
      <c r="R65" s="1" t="s">
        <v>57</v>
      </c>
      <c r="S65" s="1" t="s">
        <v>1206</v>
      </c>
      <c r="T65" s="69">
        <v>4.984</v>
      </c>
      <c r="U65" s="70">
        <v>48122</v>
      </c>
      <c r="V65" s="68">
        <v>2.8000000000000001E-2</v>
      </c>
      <c r="W65" s="68">
        <v>4.5400000000000003E-2</v>
      </c>
      <c r="X65" s="1" t="s">
        <v>636</v>
      </c>
      <c r="Y65" s="140" t="s">
        <v>2853</v>
      </c>
      <c r="Z65" s="67">
        <v>333227.78999999998</v>
      </c>
      <c r="AA65" s="67">
        <v>1</v>
      </c>
      <c r="AB65" s="67">
        <v>92.65</v>
      </c>
      <c r="AC65" s="67">
        <v>0</v>
      </c>
      <c r="AD65" s="67">
        <v>308.73554999999999</v>
      </c>
      <c r="AE65" s="140" t="s">
        <v>2853</v>
      </c>
      <c r="AF65" s="140" t="s">
        <v>2853</v>
      </c>
      <c r="AG65" s="1" t="s">
        <v>17</v>
      </c>
      <c r="AH65" s="68">
        <v>4.1647055999999999E-4</v>
      </c>
      <c r="AI65" s="68">
        <f t="shared" si="0"/>
        <v>5.8201749461887916E-4</v>
      </c>
      <c r="AJ65" s="68">
        <f>+AD65/'סכום נכסים'!$B$30</f>
        <v>7.1641230528932248E-5</v>
      </c>
    </row>
    <row r="66" spans="1:36" x14ac:dyDescent="0.25">
      <c r="A66" s="1">
        <v>13908</v>
      </c>
      <c r="B66" s="1">
        <v>13908</v>
      </c>
      <c r="C66" s="1" t="s">
        <v>1326</v>
      </c>
      <c r="D66" s="1">
        <v>510560188</v>
      </c>
      <c r="E66" s="1" t="s">
        <v>429</v>
      </c>
      <c r="F66" s="1" t="s">
        <v>1456</v>
      </c>
      <c r="G66" s="1" t="s">
        <v>1457</v>
      </c>
      <c r="H66" s="1" t="s">
        <v>76</v>
      </c>
      <c r="I66" s="1" t="s">
        <v>229</v>
      </c>
      <c r="J66" s="1" t="s">
        <v>53</v>
      </c>
      <c r="K66" s="1" t="s">
        <v>53</v>
      </c>
      <c r="L66" s="1" t="s">
        <v>821</v>
      </c>
      <c r="M66" s="1" t="s">
        <v>311</v>
      </c>
      <c r="N66" s="1" t="s">
        <v>652</v>
      </c>
      <c r="O66" s="1" t="s">
        <v>62</v>
      </c>
      <c r="P66" s="1" t="s">
        <v>1329</v>
      </c>
      <c r="Q66" s="1" t="s">
        <v>65</v>
      </c>
      <c r="R66" s="1" t="s">
        <v>57</v>
      </c>
      <c r="S66" s="1" t="s">
        <v>1206</v>
      </c>
      <c r="T66" s="69">
        <v>3.9910000000000001</v>
      </c>
      <c r="U66" s="70">
        <v>47937</v>
      </c>
      <c r="V66" s="68">
        <v>1.54E-2</v>
      </c>
      <c r="W66" s="68">
        <v>2.7300000000000001E-2</v>
      </c>
      <c r="X66" s="1" t="s">
        <v>636</v>
      </c>
      <c r="Y66" s="140" t="s">
        <v>2853</v>
      </c>
      <c r="Z66" s="67">
        <v>204000</v>
      </c>
      <c r="AA66" s="67">
        <v>1</v>
      </c>
      <c r="AB66" s="67">
        <v>109.86</v>
      </c>
      <c r="AC66" s="67">
        <v>0</v>
      </c>
      <c r="AD66" s="67">
        <v>224.11439999999999</v>
      </c>
      <c r="AE66" s="140" t="s">
        <v>2853</v>
      </c>
      <c r="AF66" s="140" t="s">
        <v>2853</v>
      </c>
      <c r="AG66" s="1" t="s">
        <v>17</v>
      </c>
      <c r="AH66" s="68">
        <v>3.4202879999999997E-4</v>
      </c>
      <c r="AI66" s="68">
        <f t="shared" si="0"/>
        <v>4.2249265300356025E-4</v>
      </c>
      <c r="AJ66" s="68">
        <f>+AD66/'סכום נכסים'!$B$30</f>
        <v>5.2005126702296937E-5</v>
      </c>
    </row>
    <row r="67" spans="1:36" x14ac:dyDescent="0.25">
      <c r="A67" s="1">
        <v>13908</v>
      </c>
      <c r="B67" s="1">
        <v>13908</v>
      </c>
      <c r="C67" s="1" t="s">
        <v>1458</v>
      </c>
      <c r="D67" s="1">
        <v>510454333</v>
      </c>
      <c r="E67" s="1" t="s">
        <v>429</v>
      </c>
      <c r="F67" s="1" t="s">
        <v>1459</v>
      </c>
      <c r="G67" s="1" t="s">
        <v>1460</v>
      </c>
      <c r="H67" s="1" t="s">
        <v>76</v>
      </c>
      <c r="I67" s="1" t="s">
        <v>229</v>
      </c>
      <c r="J67" s="1" t="s">
        <v>53</v>
      </c>
      <c r="K67" s="1" t="s">
        <v>53</v>
      </c>
      <c r="L67" s="1" t="s">
        <v>821</v>
      </c>
      <c r="M67" s="1" t="s">
        <v>311</v>
      </c>
      <c r="N67" s="1" t="s">
        <v>258</v>
      </c>
      <c r="O67" s="1" t="s">
        <v>62</v>
      </c>
      <c r="P67" s="1" t="s">
        <v>1329</v>
      </c>
      <c r="Q67" s="1" t="s">
        <v>65</v>
      </c>
      <c r="R67" s="1" t="s">
        <v>57</v>
      </c>
      <c r="S67" s="1" t="s">
        <v>1206</v>
      </c>
      <c r="T67" s="69">
        <v>1.661</v>
      </c>
      <c r="U67" s="70">
        <v>47300</v>
      </c>
      <c r="V67" s="68">
        <v>0.01</v>
      </c>
      <c r="W67" s="68">
        <v>2.9399999999999999E-2</v>
      </c>
      <c r="X67" s="1" t="s">
        <v>636</v>
      </c>
      <c r="Y67" s="140" t="s">
        <v>2853</v>
      </c>
      <c r="Z67" s="67">
        <v>25000</v>
      </c>
      <c r="AA67" s="67">
        <v>1</v>
      </c>
      <c r="AB67" s="67">
        <v>111.05</v>
      </c>
      <c r="AC67" s="67">
        <v>0</v>
      </c>
      <c r="AD67" s="67">
        <v>27.762499999999999</v>
      </c>
      <c r="AE67" s="140" t="s">
        <v>2853</v>
      </c>
      <c r="AF67" s="140" t="s">
        <v>2853</v>
      </c>
      <c r="AG67" s="1" t="s">
        <v>17</v>
      </c>
      <c r="AH67" s="68">
        <v>1.08321237E-4</v>
      </c>
      <c r="AI67" s="68">
        <f t="shared" ref="AI67:AI130" si="1">+AD67/SUM(AD:AD)</f>
        <v>5.2336897044595711E-5</v>
      </c>
      <c r="AJ67" s="68">
        <f>+AD67/'סכום נכסים'!$B$30</f>
        <v>6.4422113441729705E-6</v>
      </c>
    </row>
    <row r="68" spans="1:36" x14ac:dyDescent="0.25">
      <c r="A68" s="1">
        <v>13908</v>
      </c>
      <c r="B68" s="1">
        <v>13908</v>
      </c>
      <c r="C68" s="1" t="s">
        <v>1415</v>
      </c>
      <c r="D68" s="1">
        <v>515434074</v>
      </c>
      <c r="E68" s="1" t="s">
        <v>429</v>
      </c>
      <c r="F68" s="1" t="s">
        <v>1461</v>
      </c>
      <c r="G68" s="1" t="s">
        <v>1462</v>
      </c>
      <c r="H68" s="1" t="s">
        <v>76</v>
      </c>
      <c r="I68" s="1" t="s">
        <v>229</v>
      </c>
      <c r="J68" s="1" t="s">
        <v>53</v>
      </c>
      <c r="K68" s="1" t="s">
        <v>53</v>
      </c>
      <c r="L68" s="1" t="s">
        <v>821</v>
      </c>
      <c r="M68" s="1" t="s">
        <v>311</v>
      </c>
      <c r="N68" s="1" t="s">
        <v>651</v>
      </c>
      <c r="O68" s="120" t="s">
        <v>55</v>
      </c>
      <c r="P68" s="1" t="s">
        <v>1414</v>
      </c>
      <c r="Q68" s="1" t="s">
        <v>65</v>
      </c>
      <c r="R68" s="1" t="s">
        <v>57</v>
      </c>
      <c r="S68" s="1" t="s">
        <v>1206</v>
      </c>
      <c r="T68" s="69">
        <v>1.242</v>
      </c>
      <c r="U68" s="70">
        <v>46477</v>
      </c>
      <c r="V68" s="68">
        <v>3.0000000000000001E-3</v>
      </c>
      <c r="W68" s="68">
        <v>2.7799999999999998E-2</v>
      </c>
      <c r="X68" s="1" t="s">
        <v>636</v>
      </c>
      <c r="Y68" s="140" t="s">
        <v>2853</v>
      </c>
      <c r="Z68" s="67">
        <v>1210949</v>
      </c>
      <c r="AA68" s="67">
        <v>1</v>
      </c>
      <c r="AB68" s="67">
        <v>110.53</v>
      </c>
      <c r="AC68" s="67">
        <v>0</v>
      </c>
      <c r="AD68" s="67">
        <v>1338.4619299999999</v>
      </c>
      <c r="AE68" s="140" t="s">
        <v>2853</v>
      </c>
      <c r="AF68" s="140" t="s">
        <v>2853</v>
      </c>
      <c r="AG68" s="1" t="s">
        <v>17</v>
      </c>
      <c r="AH68" s="68">
        <v>2.3809457329999999E-3</v>
      </c>
      <c r="AI68" s="68">
        <f t="shared" si="1"/>
        <v>2.5232217641970598E-3</v>
      </c>
      <c r="AJ68" s="68">
        <f>+AD68/'סכום נכסים'!$B$30</f>
        <v>3.1058638916486804E-4</v>
      </c>
    </row>
    <row r="69" spans="1:36" x14ac:dyDescent="0.25">
      <c r="A69" s="1">
        <v>13908</v>
      </c>
      <c r="B69" s="1">
        <v>13908</v>
      </c>
      <c r="C69" s="1" t="s">
        <v>1463</v>
      </c>
      <c r="D69" s="1">
        <v>512764408</v>
      </c>
      <c r="E69" s="1" t="s">
        <v>429</v>
      </c>
      <c r="F69" s="1" t="s">
        <v>1464</v>
      </c>
      <c r="G69" s="1" t="s">
        <v>1465</v>
      </c>
      <c r="H69" s="1" t="s">
        <v>76</v>
      </c>
      <c r="I69" s="1" t="s">
        <v>228</v>
      </c>
      <c r="J69" s="1" t="s">
        <v>53</v>
      </c>
      <c r="K69" s="1" t="s">
        <v>53</v>
      </c>
      <c r="L69" s="1" t="s">
        <v>821</v>
      </c>
      <c r="M69" s="1" t="s">
        <v>311</v>
      </c>
      <c r="N69" s="1" t="s">
        <v>649</v>
      </c>
      <c r="O69" s="1" t="s">
        <v>62</v>
      </c>
      <c r="P69" s="1" t="s">
        <v>1438</v>
      </c>
      <c r="Q69" s="1" t="s">
        <v>70</v>
      </c>
      <c r="R69" s="1" t="s">
        <v>57</v>
      </c>
      <c r="S69" s="1" t="s">
        <v>1206</v>
      </c>
      <c r="T69" s="69">
        <v>0.72899999999999998</v>
      </c>
      <c r="U69" s="70">
        <v>46295</v>
      </c>
      <c r="V69" s="68">
        <v>6.6500000000000004E-2</v>
      </c>
      <c r="W69" s="68">
        <v>6.1499999999999999E-2</v>
      </c>
      <c r="X69" s="1" t="s">
        <v>636</v>
      </c>
      <c r="Y69" s="140" t="s">
        <v>2853</v>
      </c>
      <c r="Z69" s="67">
        <v>25160</v>
      </c>
      <c r="AA69" s="67">
        <v>1</v>
      </c>
      <c r="AB69" s="67">
        <v>102.14</v>
      </c>
      <c r="AC69" s="67">
        <v>0</v>
      </c>
      <c r="AD69" s="67">
        <v>25.698419999999999</v>
      </c>
      <c r="AE69" s="140" t="s">
        <v>2853</v>
      </c>
      <c r="AF69" s="140" t="s">
        <v>2853</v>
      </c>
      <c r="AG69" s="1" t="s">
        <v>17</v>
      </c>
      <c r="AH69" s="68">
        <v>2.0509977799999999E-4</v>
      </c>
      <c r="AI69" s="68">
        <f t="shared" si="1"/>
        <v>4.8445765393922715E-5</v>
      </c>
      <c r="AJ69" s="68">
        <f>+AD69/'סכום נכסים'!$B$30</f>
        <v>5.9632472886563365E-6</v>
      </c>
    </row>
    <row r="70" spans="1:36" x14ac:dyDescent="0.25">
      <c r="A70" s="1">
        <v>13908</v>
      </c>
      <c r="B70" s="1">
        <v>13908</v>
      </c>
      <c r="C70" s="1" t="s">
        <v>1466</v>
      </c>
      <c r="D70" s="1">
        <v>512882747</v>
      </c>
      <c r="E70" s="1" t="s">
        <v>429</v>
      </c>
      <c r="F70" s="1" t="s">
        <v>1467</v>
      </c>
      <c r="G70" s="1" t="s">
        <v>1468</v>
      </c>
      <c r="H70" s="1" t="s">
        <v>76</v>
      </c>
      <c r="I70" s="1" t="s">
        <v>229</v>
      </c>
      <c r="J70" s="1" t="s">
        <v>53</v>
      </c>
      <c r="K70" s="1" t="s">
        <v>53</v>
      </c>
      <c r="L70" s="1" t="s">
        <v>821</v>
      </c>
      <c r="M70" s="1" t="s">
        <v>311</v>
      </c>
      <c r="N70" s="1" t="s">
        <v>647</v>
      </c>
      <c r="O70" s="1" t="s">
        <v>62</v>
      </c>
      <c r="P70" s="1" t="s">
        <v>298</v>
      </c>
      <c r="Q70" s="1" t="s">
        <v>298</v>
      </c>
      <c r="R70" s="1" t="s">
        <v>298</v>
      </c>
      <c r="S70" s="1" t="s">
        <v>1206</v>
      </c>
      <c r="T70" s="69">
        <v>1.5820000000000001</v>
      </c>
      <c r="U70" s="70">
        <v>46752</v>
      </c>
      <c r="V70" s="68">
        <v>2.9499999999999998E-2</v>
      </c>
      <c r="W70" s="68">
        <v>3.5700000000000003E-2</v>
      </c>
      <c r="X70" s="1" t="s">
        <v>636</v>
      </c>
      <c r="Y70" s="140" t="s">
        <v>2853</v>
      </c>
      <c r="Z70" s="67">
        <v>380776.84</v>
      </c>
      <c r="AA70" s="67">
        <v>1</v>
      </c>
      <c r="AB70" s="67">
        <v>112.17</v>
      </c>
      <c r="AC70" s="67">
        <v>0</v>
      </c>
      <c r="AD70" s="67">
        <v>427.11738000000003</v>
      </c>
      <c r="AE70" s="140" t="s">
        <v>2853</v>
      </c>
      <c r="AF70" s="140" t="s">
        <v>2853</v>
      </c>
      <c r="AG70" s="1" t="s">
        <v>17</v>
      </c>
      <c r="AH70" s="68">
        <v>1.922825647E-3</v>
      </c>
      <c r="AI70" s="68">
        <f t="shared" si="1"/>
        <v>8.051867930848254E-4</v>
      </c>
      <c r="AJ70" s="68">
        <f>+AD70/'סכום נכסים'!$B$30</f>
        <v>9.9111406779988756E-5</v>
      </c>
    </row>
    <row r="71" spans="1:36" x14ac:dyDescent="0.25">
      <c r="A71" s="1">
        <v>13908</v>
      </c>
      <c r="B71" s="1">
        <v>13908</v>
      </c>
      <c r="C71" s="1" t="s">
        <v>1469</v>
      </c>
      <c r="D71" s="1">
        <v>514625094</v>
      </c>
      <c r="E71" s="1" t="s">
        <v>429</v>
      </c>
      <c r="F71" s="1" t="s">
        <v>1470</v>
      </c>
      <c r="G71" s="1" t="s">
        <v>1471</v>
      </c>
      <c r="H71" s="1" t="s">
        <v>76</v>
      </c>
      <c r="I71" s="1" t="s">
        <v>228</v>
      </c>
      <c r="J71" s="1" t="s">
        <v>53</v>
      </c>
      <c r="K71" s="1" t="s">
        <v>53</v>
      </c>
      <c r="L71" s="1" t="s">
        <v>821</v>
      </c>
      <c r="M71" s="1" t="s">
        <v>311</v>
      </c>
      <c r="N71" s="1" t="s">
        <v>140</v>
      </c>
      <c r="O71" s="1" t="s">
        <v>62</v>
      </c>
      <c r="P71" s="1" t="s">
        <v>298</v>
      </c>
      <c r="Q71" s="1" t="s">
        <v>298</v>
      </c>
      <c r="R71" s="1" t="s">
        <v>298</v>
      </c>
      <c r="S71" s="1" t="s">
        <v>1206</v>
      </c>
      <c r="T71" s="69">
        <v>0.50700000000000001</v>
      </c>
      <c r="U71" s="70">
        <v>46208</v>
      </c>
      <c r="V71" s="68">
        <v>5.6000000000000001E-2</v>
      </c>
      <c r="W71" s="68">
        <v>6.7100000000000007E-2</v>
      </c>
      <c r="X71" s="1" t="s">
        <v>636</v>
      </c>
      <c r="Y71" s="140" t="s">
        <v>2853</v>
      </c>
      <c r="Z71" s="67">
        <v>548160</v>
      </c>
      <c r="AA71" s="67">
        <v>1</v>
      </c>
      <c r="AB71" s="67">
        <v>99.47</v>
      </c>
      <c r="AC71" s="67">
        <v>15.34848</v>
      </c>
      <c r="AD71" s="67">
        <v>560.60323000000005</v>
      </c>
      <c r="AE71" s="140" t="s">
        <v>2853</v>
      </c>
      <c r="AF71" s="140" t="s">
        <v>2853</v>
      </c>
      <c r="AG71" s="1" t="s">
        <v>17</v>
      </c>
      <c r="AH71" s="68">
        <v>4.0305882350000002E-3</v>
      </c>
      <c r="AI71" s="68">
        <f t="shared" si="1"/>
        <v>1.0568296634444958E-3</v>
      </c>
      <c r="AJ71" s="68">
        <f>+AD71/'סכום נכסים'!$B$30</f>
        <v>1.300864290999013E-4</v>
      </c>
    </row>
    <row r="72" spans="1:36" x14ac:dyDescent="0.25">
      <c r="A72" s="1">
        <v>13908</v>
      </c>
      <c r="B72" s="1">
        <v>13908</v>
      </c>
      <c r="C72" s="1" t="s">
        <v>1472</v>
      </c>
      <c r="D72" s="1">
        <v>515763845</v>
      </c>
      <c r="E72" s="1" t="s">
        <v>429</v>
      </c>
      <c r="F72" s="1" t="s">
        <v>1473</v>
      </c>
      <c r="G72" s="1" t="s">
        <v>1474</v>
      </c>
      <c r="H72" s="1" t="s">
        <v>76</v>
      </c>
      <c r="I72" s="1" t="s">
        <v>228</v>
      </c>
      <c r="J72" s="1" t="s">
        <v>53</v>
      </c>
      <c r="K72" s="1" t="s">
        <v>53</v>
      </c>
      <c r="L72" s="1" t="s">
        <v>821</v>
      </c>
      <c r="M72" s="1" t="s">
        <v>311</v>
      </c>
      <c r="N72" s="1" t="s">
        <v>649</v>
      </c>
      <c r="O72" s="1" t="s">
        <v>62</v>
      </c>
      <c r="P72" s="1" t="s">
        <v>1358</v>
      </c>
      <c r="Q72" s="1" t="s">
        <v>70</v>
      </c>
      <c r="R72" s="1" t="s">
        <v>57</v>
      </c>
      <c r="S72" s="1" t="s">
        <v>1206</v>
      </c>
      <c r="T72" s="69">
        <v>0.48799999999999999</v>
      </c>
      <c r="U72" s="70">
        <v>46203</v>
      </c>
      <c r="V72" s="68">
        <v>9.1999999999999998E-2</v>
      </c>
      <c r="W72" s="68">
        <v>7.0099999999999996E-2</v>
      </c>
      <c r="X72" s="1" t="s">
        <v>636</v>
      </c>
      <c r="Y72" s="140" t="s">
        <v>2853</v>
      </c>
      <c r="Z72" s="67">
        <v>17695.5</v>
      </c>
      <c r="AA72" s="67">
        <v>1</v>
      </c>
      <c r="AB72" s="67">
        <v>101.2</v>
      </c>
      <c r="AC72" s="67">
        <v>0</v>
      </c>
      <c r="AD72" s="67">
        <v>17.90785</v>
      </c>
      <c r="AE72" s="140" t="s">
        <v>2853</v>
      </c>
      <c r="AF72" s="140" t="s">
        <v>2853</v>
      </c>
      <c r="AG72" s="1" t="s">
        <v>17</v>
      </c>
      <c r="AH72" s="68">
        <v>7.61096774E-4</v>
      </c>
      <c r="AI72" s="68">
        <f t="shared" si="1"/>
        <v>3.3759254452591206E-5</v>
      </c>
      <c r="AJ72" s="68">
        <f>+AD72/'סכום נכסים'!$B$30</f>
        <v>4.1554670659972243E-6</v>
      </c>
    </row>
    <row r="73" spans="1:36" x14ac:dyDescent="0.25">
      <c r="A73" s="1">
        <v>13908</v>
      </c>
      <c r="B73" s="1">
        <v>13908</v>
      </c>
      <c r="C73" s="1" t="s">
        <v>1475</v>
      </c>
      <c r="D73" s="1">
        <v>513201582</v>
      </c>
      <c r="E73" s="1" t="s">
        <v>429</v>
      </c>
      <c r="F73" s="1" t="s">
        <v>1476</v>
      </c>
      <c r="G73" s="1" t="s">
        <v>1477</v>
      </c>
      <c r="H73" s="1" t="s">
        <v>76</v>
      </c>
      <c r="I73" s="1" t="s">
        <v>228</v>
      </c>
      <c r="J73" s="1" t="s">
        <v>53</v>
      </c>
      <c r="K73" s="1" t="s">
        <v>53</v>
      </c>
      <c r="L73" s="1" t="s">
        <v>821</v>
      </c>
      <c r="M73" s="1" t="s">
        <v>311</v>
      </c>
      <c r="N73" s="1" t="s">
        <v>140</v>
      </c>
      <c r="O73" s="1" t="s">
        <v>62</v>
      </c>
      <c r="P73" s="1" t="s">
        <v>1438</v>
      </c>
      <c r="Q73" s="1" t="s">
        <v>70</v>
      </c>
      <c r="R73" s="1" t="s">
        <v>57</v>
      </c>
      <c r="S73" s="1" t="s">
        <v>1206</v>
      </c>
      <c r="T73" s="69">
        <v>0.91300000000000003</v>
      </c>
      <c r="U73" s="70">
        <v>46538</v>
      </c>
      <c r="V73" s="68">
        <v>0.06</v>
      </c>
      <c r="W73" s="68">
        <v>4.87E-2</v>
      </c>
      <c r="X73" s="1" t="s">
        <v>636</v>
      </c>
      <c r="Y73" s="140" t="s">
        <v>2853</v>
      </c>
      <c r="Z73" s="67">
        <v>872722.24</v>
      </c>
      <c r="AA73" s="67">
        <v>1</v>
      </c>
      <c r="AB73" s="67">
        <v>101.59</v>
      </c>
      <c r="AC73" s="67">
        <v>0</v>
      </c>
      <c r="AD73" s="67">
        <v>886.59852000000001</v>
      </c>
      <c r="AE73" s="140" t="s">
        <v>2853</v>
      </c>
      <c r="AF73" s="140" t="s">
        <v>2853</v>
      </c>
      <c r="AG73" s="1" t="s">
        <v>17</v>
      </c>
      <c r="AH73" s="68">
        <v>5.1628010889999999E-3</v>
      </c>
      <c r="AI73" s="68">
        <f t="shared" si="1"/>
        <v>1.6713846181406909E-3</v>
      </c>
      <c r="AJ73" s="68">
        <f>+AD73/'סכום נכסים'!$B$30</f>
        <v>2.0573273456176377E-4</v>
      </c>
    </row>
    <row r="74" spans="1:36" x14ac:dyDescent="0.25">
      <c r="A74" s="1">
        <v>13908</v>
      </c>
      <c r="B74" s="1">
        <v>13908</v>
      </c>
      <c r="C74" s="1" t="s">
        <v>1478</v>
      </c>
      <c r="D74" s="1">
        <v>511996803</v>
      </c>
      <c r="E74" s="1" t="s">
        <v>429</v>
      </c>
      <c r="F74" s="1" t="s">
        <v>1479</v>
      </c>
      <c r="G74" s="1" t="s">
        <v>1480</v>
      </c>
      <c r="H74" s="1" t="s">
        <v>76</v>
      </c>
      <c r="I74" s="1" t="s">
        <v>228</v>
      </c>
      <c r="J74" s="1" t="s">
        <v>53</v>
      </c>
      <c r="K74" s="1" t="s">
        <v>53</v>
      </c>
      <c r="L74" s="1" t="s">
        <v>821</v>
      </c>
      <c r="M74" s="1" t="s">
        <v>311</v>
      </c>
      <c r="N74" s="1" t="s">
        <v>140</v>
      </c>
      <c r="O74" s="1" t="s">
        <v>62</v>
      </c>
      <c r="P74" s="1" t="s">
        <v>1438</v>
      </c>
      <c r="Q74" s="1" t="s">
        <v>70</v>
      </c>
      <c r="R74" s="1" t="s">
        <v>57</v>
      </c>
      <c r="S74" s="1" t="s">
        <v>1206</v>
      </c>
      <c r="T74" s="69">
        <v>1.5169999999999999</v>
      </c>
      <c r="U74" s="70">
        <v>46752</v>
      </c>
      <c r="V74" s="68">
        <v>4.53E-2</v>
      </c>
      <c r="W74" s="68">
        <v>4.9099999999999998E-2</v>
      </c>
      <c r="X74" s="1" t="s">
        <v>636</v>
      </c>
      <c r="Y74" s="140" t="s">
        <v>2853</v>
      </c>
      <c r="Z74" s="67">
        <v>442579.92</v>
      </c>
      <c r="AA74" s="67">
        <v>1</v>
      </c>
      <c r="AB74" s="67">
        <v>99.54</v>
      </c>
      <c r="AC74" s="67">
        <v>0</v>
      </c>
      <c r="AD74" s="67">
        <v>440.54405000000003</v>
      </c>
      <c r="AE74" s="140" t="s">
        <v>2853</v>
      </c>
      <c r="AF74" s="140" t="s">
        <v>2853</v>
      </c>
      <c r="AG74" s="1" t="s">
        <v>17</v>
      </c>
      <c r="AH74" s="68">
        <v>7.9032128500000002E-4</v>
      </c>
      <c r="AI74" s="68">
        <f t="shared" si="1"/>
        <v>8.3049828324031438E-4</v>
      </c>
      <c r="AJ74" s="68">
        <f>+AD74/'סכום נכסים'!$B$30</f>
        <v>1.0222702842027572E-4</v>
      </c>
    </row>
    <row r="75" spans="1:36" x14ac:dyDescent="0.25">
      <c r="A75" s="1">
        <v>13908</v>
      </c>
      <c r="B75" s="1">
        <v>13908</v>
      </c>
      <c r="C75" s="1" t="s">
        <v>1481</v>
      </c>
      <c r="D75" s="1">
        <v>513988824</v>
      </c>
      <c r="E75" s="1" t="s">
        <v>429</v>
      </c>
      <c r="F75" s="1" t="s">
        <v>1482</v>
      </c>
      <c r="G75" s="1" t="s">
        <v>1483</v>
      </c>
      <c r="H75" s="1" t="s">
        <v>76</v>
      </c>
      <c r="I75" s="1" t="s">
        <v>228</v>
      </c>
      <c r="J75" s="1" t="s">
        <v>53</v>
      </c>
      <c r="K75" s="1" t="s">
        <v>53</v>
      </c>
      <c r="L75" s="1" t="s">
        <v>821</v>
      </c>
      <c r="M75" s="1" t="s">
        <v>311</v>
      </c>
      <c r="N75" s="1" t="s">
        <v>140</v>
      </c>
      <c r="O75" s="1" t="s">
        <v>62</v>
      </c>
      <c r="P75" s="1" t="s">
        <v>298</v>
      </c>
      <c r="Q75" s="1" t="s">
        <v>298</v>
      </c>
      <c r="R75" s="1" t="s">
        <v>298</v>
      </c>
      <c r="S75" s="1" t="s">
        <v>1206</v>
      </c>
      <c r="T75" s="69">
        <v>0.68799999999999994</v>
      </c>
      <c r="U75" s="70">
        <v>46477</v>
      </c>
      <c r="V75" s="68">
        <v>6.7000000000000004E-2</v>
      </c>
      <c r="W75" s="68">
        <v>7.4099999999999999E-2</v>
      </c>
      <c r="X75" s="1" t="s">
        <v>636</v>
      </c>
      <c r="Y75" s="140" t="s">
        <v>2853</v>
      </c>
      <c r="Z75" s="67">
        <v>350000</v>
      </c>
      <c r="AA75" s="67">
        <v>1</v>
      </c>
      <c r="AB75" s="67">
        <v>101.31</v>
      </c>
      <c r="AC75" s="67">
        <v>0</v>
      </c>
      <c r="AD75" s="67">
        <v>354.58499999999998</v>
      </c>
      <c r="AE75" s="140" t="s">
        <v>2853</v>
      </c>
      <c r="AF75" s="140" t="s">
        <v>2853</v>
      </c>
      <c r="AG75" s="1" t="s">
        <v>17</v>
      </c>
      <c r="AH75" s="68">
        <v>4.2892583680000001E-3</v>
      </c>
      <c r="AI75" s="68">
        <f t="shared" si="1"/>
        <v>6.6845127919164227E-4</v>
      </c>
      <c r="AJ75" s="68">
        <f>+AD75/'סכום נכסים'!$B$30</f>
        <v>8.228046859877795E-5</v>
      </c>
    </row>
    <row r="76" spans="1:36" x14ac:dyDescent="0.25">
      <c r="A76" s="1">
        <v>13908</v>
      </c>
      <c r="B76" s="1">
        <v>13908</v>
      </c>
      <c r="C76" s="1" t="s">
        <v>1484</v>
      </c>
      <c r="D76" s="1">
        <v>510488190</v>
      </c>
      <c r="E76" s="1" t="s">
        <v>429</v>
      </c>
      <c r="F76" s="1" t="s">
        <v>1485</v>
      </c>
      <c r="G76" s="1" t="s">
        <v>1486</v>
      </c>
      <c r="H76" s="1" t="s">
        <v>76</v>
      </c>
      <c r="I76" s="1" t="s">
        <v>228</v>
      </c>
      <c r="J76" s="1" t="s">
        <v>53</v>
      </c>
      <c r="K76" s="1" t="s">
        <v>53</v>
      </c>
      <c r="L76" s="1" t="s">
        <v>821</v>
      </c>
      <c r="M76" s="1" t="s">
        <v>311</v>
      </c>
      <c r="N76" s="1" t="s">
        <v>140</v>
      </c>
      <c r="O76" s="1" t="s">
        <v>62</v>
      </c>
      <c r="P76" s="1" t="s">
        <v>1292</v>
      </c>
      <c r="Q76" s="1" t="s">
        <v>65</v>
      </c>
      <c r="R76" s="1" t="s">
        <v>57</v>
      </c>
      <c r="S76" s="1" t="s">
        <v>1206</v>
      </c>
      <c r="T76" s="69">
        <v>2.266</v>
      </c>
      <c r="U76" s="70">
        <v>47452</v>
      </c>
      <c r="V76" s="68">
        <v>5.3400000000000003E-2</v>
      </c>
      <c r="W76" s="68">
        <v>4.7100000000000003E-2</v>
      </c>
      <c r="X76" s="1" t="s">
        <v>636</v>
      </c>
      <c r="Y76" s="140" t="s">
        <v>2853</v>
      </c>
      <c r="Z76" s="67">
        <v>800000</v>
      </c>
      <c r="AA76" s="67">
        <v>1</v>
      </c>
      <c r="AB76" s="67">
        <v>101.99</v>
      </c>
      <c r="AC76" s="67">
        <v>0</v>
      </c>
      <c r="AD76" s="67">
        <v>815.92</v>
      </c>
      <c r="AE76" s="140" t="s">
        <v>2853</v>
      </c>
      <c r="AF76" s="140" t="s">
        <v>2853</v>
      </c>
      <c r="AG76" s="1" t="s">
        <v>17</v>
      </c>
      <c r="AH76" s="68">
        <v>1.4354822499999999E-3</v>
      </c>
      <c r="AI76" s="68">
        <f t="shared" si="1"/>
        <v>1.5381439364836212E-3</v>
      </c>
      <c r="AJ76" s="68">
        <f>+AD76/'סכום נכסים'!$B$30</f>
        <v>1.8933197946646051E-4</v>
      </c>
    </row>
    <row r="77" spans="1:36" x14ac:dyDescent="0.25">
      <c r="A77" s="1">
        <v>13908</v>
      </c>
      <c r="B77" s="1">
        <v>13908</v>
      </c>
      <c r="C77" s="1" t="s">
        <v>1487</v>
      </c>
      <c r="D77" s="1">
        <v>1630</v>
      </c>
      <c r="E77" s="1" t="s">
        <v>2</v>
      </c>
      <c r="F77" s="1" t="s">
        <v>1488</v>
      </c>
      <c r="G77" s="1" t="s">
        <v>1489</v>
      </c>
      <c r="H77" s="1" t="s">
        <v>76</v>
      </c>
      <c r="I77" s="1" t="s">
        <v>228</v>
      </c>
      <c r="J77" s="1" t="s">
        <v>53</v>
      </c>
      <c r="K77" s="1" t="s">
        <v>314</v>
      </c>
      <c r="L77" s="1" t="s">
        <v>821</v>
      </c>
      <c r="M77" s="1" t="s">
        <v>311</v>
      </c>
      <c r="N77" s="1" t="s">
        <v>652</v>
      </c>
      <c r="O77" s="1" t="s">
        <v>62</v>
      </c>
      <c r="P77" s="1" t="s">
        <v>1329</v>
      </c>
      <c r="Q77" s="1" t="s">
        <v>65</v>
      </c>
      <c r="R77" s="1" t="s">
        <v>57</v>
      </c>
      <c r="S77" s="1" t="s">
        <v>1206</v>
      </c>
      <c r="T77" s="69">
        <v>1.26</v>
      </c>
      <c r="U77" s="70">
        <v>46873</v>
      </c>
      <c r="V77" s="68">
        <v>5.7500000000000002E-2</v>
      </c>
      <c r="W77" s="68">
        <v>5.5500000000000001E-2</v>
      </c>
      <c r="X77" s="1" t="s">
        <v>636</v>
      </c>
      <c r="Y77" s="140" t="s">
        <v>2853</v>
      </c>
      <c r="Z77" s="67">
        <v>7465765</v>
      </c>
      <c r="AA77" s="67">
        <v>1</v>
      </c>
      <c r="AB77" s="67">
        <v>101.33</v>
      </c>
      <c r="AC77" s="67">
        <v>0</v>
      </c>
      <c r="AD77" s="67">
        <v>7565.0596699999996</v>
      </c>
      <c r="AE77" s="140" t="s">
        <v>2853</v>
      </c>
      <c r="AF77" s="140" t="s">
        <v>2853</v>
      </c>
      <c r="AG77" s="1" t="s">
        <v>17</v>
      </c>
      <c r="AH77" s="68">
        <v>8.2952944439999999E-3</v>
      </c>
      <c r="AI77" s="68">
        <f t="shared" si="1"/>
        <v>1.4261386729761844E-2</v>
      </c>
      <c r="AJ77" s="68">
        <f>+AD77/'סכום נכסים'!$B$30</f>
        <v>1.755451174260943E-3</v>
      </c>
    </row>
    <row r="78" spans="1:36" x14ac:dyDescent="0.25">
      <c r="A78" s="1">
        <v>13908</v>
      </c>
      <c r="B78" s="1">
        <v>13908</v>
      </c>
      <c r="C78" s="1" t="s">
        <v>1490</v>
      </c>
      <c r="D78" s="1">
        <v>515682292</v>
      </c>
      <c r="E78" s="1" t="s">
        <v>429</v>
      </c>
      <c r="F78" s="1" t="s">
        <v>1491</v>
      </c>
      <c r="G78" s="1" t="s">
        <v>1492</v>
      </c>
      <c r="H78" s="1" t="s">
        <v>76</v>
      </c>
      <c r="I78" s="1" t="s">
        <v>228</v>
      </c>
      <c r="J78" s="1" t="s">
        <v>53</v>
      </c>
      <c r="K78" s="1" t="s">
        <v>53</v>
      </c>
      <c r="L78" s="1" t="s">
        <v>821</v>
      </c>
      <c r="M78" s="1" t="s">
        <v>311</v>
      </c>
      <c r="N78" s="1" t="s">
        <v>140</v>
      </c>
      <c r="O78" s="1" t="s">
        <v>62</v>
      </c>
      <c r="P78" s="1" t="s">
        <v>298</v>
      </c>
      <c r="Q78" s="1" t="s">
        <v>298</v>
      </c>
      <c r="R78" s="1" t="s">
        <v>298</v>
      </c>
      <c r="S78" s="1" t="s">
        <v>1206</v>
      </c>
      <c r="T78" s="69">
        <v>0.5</v>
      </c>
      <c r="U78" s="70">
        <v>46204</v>
      </c>
      <c r="V78" s="68">
        <v>8.2400000000000001E-2</v>
      </c>
      <c r="W78" s="68">
        <v>3.9300000000000002E-2</v>
      </c>
      <c r="X78" s="1" t="s">
        <v>636</v>
      </c>
      <c r="Y78" s="140" t="s">
        <v>2853</v>
      </c>
      <c r="Z78" s="67">
        <v>263200</v>
      </c>
      <c r="AA78" s="67">
        <v>1</v>
      </c>
      <c r="AB78" s="67">
        <v>99.89</v>
      </c>
      <c r="AC78" s="67">
        <v>0</v>
      </c>
      <c r="AD78" s="67">
        <v>262.91048000000001</v>
      </c>
      <c r="AE78" s="140" t="s">
        <v>2853</v>
      </c>
      <c r="AF78" s="140" t="s">
        <v>2853</v>
      </c>
      <c r="AG78" s="1" t="s">
        <v>17</v>
      </c>
      <c r="AH78" s="68">
        <v>5.5543362650000002E-3</v>
      </c>
      <c r="AI78" s="68">
        <f t="shared" si="1"/>
        <v>4.9562967037209327E-4</v>
      </c>
      <c r="AJ78" s="68">
        <f>+AD78/'סכום נכסים'!$B$30</f>
        <v>6.1007649770660461E-5</v>
      </c>
    </row>
    <row r="79" spans="1:36" x14ac:dyDescent="0.25">
      <c r="A79" s="1">
        <v>13908</v>
      </c>
      <c r="B79" s="1">
        <v>13908</v>
      </c>
      <c r="C79" s="1" t="s">
        <v>1493</v>
      </c>
      <c r="D79" s="1">
        <v>520033424</v>
      </c>
      <c r="E79" s="1" t="s">
        <v>429</v>
      </c>
      <c r="F79" s="1" t="s">
        <v>1494</v>
      </c>
      <c r="G79" s="1" t="s">
        <v>1495</v>
      </c>
      <c r="H79" s="1" t="s">
        <v>76</v>
      </c>
      <c r="I79" s="1" t="s">
        <v>228</v>
      </c>
      <c r="J79" s="1" t="s">
        <v>53</v>
      </c>
      <c r="K79" s="1" t="s">
        <v>53</v>
      </c>
      <c r="L79" s="1" t="s">
        <v>821</v>
      </c>
      <c r="M79" s="1" t="s">
        <v>311</v>
      </c>
      <c r="N79" s="1" t="s">
        <v>140</v>
      </c>
      <c r="O79" s="1" t="s">
        <v>62</v>
      </c>
      <c r="P79" s="1" t="s">
        <v>1329</v>
      </c>
      <c r="Q79" s="1" t="s">
        <v>65</v>
      </c>
      <c r="R79" s="1" t="s">
        <v>57</v>
      </c>
      <c r="S79" s="1" t="s">
        <v>1206</v>
      </c>
      <c r="T79" s="69">
        <v>2.5499999999999998</v>
      </c>
      <c r="U79" s="70">
        <v>48029</v>
      </c>
      <c r="V79" s="68">
        <v>0.05</v>
      </c>
      <c r="W79" s="68">
        <v>4.6399999999999997E-2</v>
      </c>
      <c r="X79" s="1" t="s">
        <v>636</v>
      </c>
      <c r="Y79" s="140" t="s">
        <v>2853</v>
      </c>
      <c r="Z79" s="67">
        <v>800000.01</v>
      </c>
      <c r="AA79" s="67">
        <v>1</v>
      </c>
      <c r="AB79" s="67">
        <v>101.05</v>
      </c>
      <c r="AC79" s="67">
        <v>0</v>
      </c>
      <c r="AD79" s="67">
        <v>808.40000999999995</v>
      </c>
      <c r="AE79" s="140" t="s">
        <v>2853</v>
      </c>
      <c r="AF79" s="140" t="s">
        <v>2853</v>
      </c>
      <c r="AG79" s="1" t="s">
        <v>17</v>
      </c>
      <c r="AH79" s="68">
        <v>3.3860427740000001E-3</v>
      </c>
      <c r="AI79" s="68">
        <f t="shared" si="1"/>
        <v>1.5239675135243634E-3</v>
      </c>
      <c r="AJ79" s="68">
        <f>+AD79/'סכום נכסים'!$B$30</f>
        <v>1.8758698658447699E-4</v>
      </c>
    </row>
    <row r="80" spans="1:36" x14ac:dyDescent="0.25">
      <c r="A80" s="1">
        <v>13908</v>
      </c>
      <c r="B80" s="1">
        <v>13908</v>
      </c>
      <c r="C80" s="1" t="s">
        <v>1496</v>
      </c>
      <c r="D80" s="1">
        <v>520029935</v>
      </c>
      <c r="E80" s="1" t="s">
        <v>429</v>
      </c>
      <c r="F80" s="1" t="s">
        <v>1497</v>
      </c>
      <c r="G80" s="1" t="s">
        <v>1498</v>
      </c>
      <c r="H80" s="1" t="s">
        <v>76</v>
      </c>
      <c r="I80" s="1" t="s">
        <v>229</v>
      </c>
      <c r="J80" s="1" t="s">
        <v>53</v>
      </c>
      <c r="K80" s="1" t="s">
        <v>53</v>
      </c>
      <c r="L80" s="1" t="s">
        <v>821</v>
      </c>
      <c r="M80" s="1" t="s">
        <v>311</v>
      </c>
      <c r="N80" s="1" t="s">
        <v>256</v>
      </c>
      <c r="O80" s="1" t="s">
        <v>62</v>
      </c>
      <c r="P80" s="1" t="s">
        <v>1281</v>
      </c>
      <c r="Q80" s="1" t="s">
        <v>65</v>
      </c>
      <c r="R80" s="1" t="s">
        <v>57</v>
      </c>
      <c r="S80" s="1" t="s">
        <v>1206</v>
      </c>
      <c r="T80" s="69">
        <v>2.8250000000000002</v>
      </c>
      <c r="U80" s="70">
        <v>48913</v>
      </c>
      <c r="V80" s="68">
        <v>3.1699999999999999E-2</v>
      </c>
      <c r="W80" s="68">
        <v>2.4299999999999999E-2</v>
      </c>
      <c r="X80" s="1" t="s">
        <v>636</v>
      </c>
      <c r="Y80" s="140" t="s">
        <v>2853</v>
      </c>
      <c r="Z80" s="67">
        <v>3150000</v>
      </c>
      <c r="AA80" s="67">
        <v>1</v>
      </c>
      <c r="AB80" s="67">
        <v>112.06</v>
      </c>
      <c r="AC80" s="67">
        <v>0</v>
      </c>
      <c r="AD80" s="67">
        <v>3529.89</v>
      </c>
      <c r="AE80" s="140" t="s">
        <v>2853</v>
      </c>
      <c r="AF80" s="140" t="s">
        <v>2853</v>
      </c>
      <c r="AG80" s="1" t="s">
        <v>17</v>
      </c>
      <c r="AH80" s="68">
        <v>3.730017761E-3</v>
      </c>
      <c r="AI80" s="68">
        <f t="shared" si="1"/>
        <v>6.6544255563709305E-3</v>
      </c>
      <c r="AJ80" s="68">
        <f>+AD80/'סכום נכסים'!$B$30</f>
        <v>8.191012121272482E-4</v>
      </c>
    </row>
    <row r="81" spans="1:36" x14ac:dyDescent="0.25">
      <c r="A81" s="1">
        <v>13908</v>
      </c>
      <c r="B81" s="1">
        <v>13908</v>
      </c>
      <c r="C81" s="1" t="s">
        <v>1499</v>
      </c>
      <c r="D81" s="1">
        <v>520000118</v>
      </c>
      <c r="E81" s="1" t="s">
        <v>429</v>
      </c>
      <c r="F81" s="1" t="s">
        <v>1500</v>
      </c>
      <c r="G81" s="1" t="s">
        <v>1501</v>
      </c>
      <c r="H81" s="1" t="s">
        <v>76</v>
      </c>
      <c r="I81" s="1" t="s">
        <v>229</v>
      </c>
      <c r="J81" s="1" t="s">
        <v>53</v>
      </c>
      <c r="K81" s="1" t="s">
        <v>53</v>
      </c>
      <c r="L81" s="1" t="s">
        <v>821</v>
      </c>
      <c r="M81" s="1" t="s">
        <v>311</v>
      </c>
      <c r="N81" s="1" t="s">
        <v>256</v>
      </c>
      <c r="O81" s="1" t="s">
        <v>62</v>
      </c>
      <c r="P81" s="1" t="s">
        <v>1205</v>
      </c>
      <c r="Q81" s="1" t="s">
        <v>65</v>
      </c>
      <c r="R81" s="1" t="s">
        <v>57</v>
      </c>
      <c r="S81" s="1" t="s">
        <v>1206</v>
      </c>
      <c r="T81" s="69">
        <v>3.7719999999999998</v>
      </c>
      <c r="U81" s="70">
        <v>48547</v>
      </c>
      <c r="V81" s="68">
        <v>1.3899999999999999E-2</v>
      </c>
      <c r="W81" s="68">
        <v>2.1899999999999999E-2</v>
      </c>
      <c r="X81" s="1" t="s">
        <v>636</v>
      </c>
      <c r="Y81" s="140" t="s">
        <v>2853</v>
      </c>
      <c r="Z81" s="67">
        <v>783222.22</v>
      </c>
      <c r="AA81" s="67">
        <v>1</v>
      </c>
      <c r="AB81" s="67">
        <v>106.41</v>
      </c>
      <c r="AC81" s="67">
        <v>0</v>
      </c>
      <c r="AD81" s="67">
        <v>833.42675999999994</v>
      </c>
      <c r="AE81" s="140" t="s">
        <v>2853</v>
      </c>
      <c r="AF81" s="140" t="s">
        <v>2853</v>
      </c>
      <c r="AG81" s="1" t="s">
        <v>17</v>
      </c>
      <c r="AH81" s="68">
        <v>5.5944444199999995E-4</v>
      </c>
      <c r="AI81" s="68">
        <f t="shared" si="1"/>
        <v>1.571147070052444E-3</v>
      </c>
      <c r="AJ81" s="68">
        <f>+AD81/'סכום נכסים'!$B$30</f>
        <v>1.9339437470722461E-4</v>
      </c>
    </row>
    <row r="82" spans="1:36" x14ac:dyDescent="0.25">
      <c r="A82" s="1">
        <v>13908</v>
      </c>
      <c r="B82" s="1">
        <v>13908</v>
      </c>
      <c r="C82" s="1" t="s">
        <v>1502</v>
      </c>
      <c r="D82" s="1">
        <v>520020116</v>
      </c>
      <c r="E82" s="1" t="s">
        <v>429</v>
      </c>
      <c r="F82" s="1" t="s">
        <v>1503</v>
      </c>
      <c r="G82" s="1" t="s">
        <v>1504</v>
      </c>
      <c r="H82" s="1" t="s">
        <v>76</v>
      </c>
      <c r="I82" s="1" t="s">
        <v>229</v>
      </c>
      <c r="J82" s="1" t="s">
        <v>53</v>
      </c>
      <c r="K82" s="1" t="s">
        <v>53</v>
      </c>
      <c r="L82" s="1" t="s">
        <v>821</v>
      </c>
      <c r="M82" s="1" t="s">
        <v>311</v>
      </c>
      <c r="N82" s="1" t="s">
        <v>651</v>
      </c>
      <c r="O82" s="1" t="s">
        <v>62</v>
      </c>
      <c r="P82" s="1" t="s">
        <v>1292</v>
      </c>
      <c r="Q82" s="1" t="s">
        <v>65</v>
      </c>
      <c r="R82" s="1" t="s">
        <v>57</v>
      </c>
      <c r="S82" s="1" t="s">
        <v>1206</v>
      </c>
      <c r="T82" s="69">
        <v>2.7090000000000001</v>
      </c>
      <c r="U82" s="70">
        <v>47483</v>
      </c>
      <c r="V82" s="68">
        <v>2.7E-2</v>
      </c>
      <c r="W82" s="68">
        <v>2.63E-2</v>
      </c>
      <c r="X82" s="1" t="s">
        <v>636</v>
      </c>
      <c r="Y82" s="140" t="s">
        <v>2853</v>
      </c>
      <c r="Z82" s="67">
        <v>732000.01</v>
      </c>
      <c r="AA82" s="67">
        <v>1</v>
      </c>
      <c r="AB82" s="67">
        <v>109.76</v>
      </c>
      <c r="AC82" s="67">
        <v>0</v>
      </c>
      <c r="AD82" s="67">
        <v>803.44321000000002</v>
      </c>
      <c r="AE82" s="140" t="s">
        <v>2853</v>
      </c>
      <c r="AF82" s="140" t="s">
        <v>2853</v>
      </c>
      <c r="AG82" s="1" t="s">
        <v>17</v>
      </c>
      <c r="AH82" s="68">
        <v>1.735348709E-3</v>
      </c>
      <c r="AI82" s="68">
        <f t="shared" si="1"/>
        <v>1.514623126986024E-3</v>
      </c>
      <c r="AJ82" s="68">
        <f>+AD82/'סכום נכסים'!$B$30</f>
        <v>1.8643677485315611E-4</v>
      </c>
    </row>
    <row r="83" spans="1:36" x14ac:dyDescent="0.25">
      <c r="A83" s="1">
        <v>13908</v>
      </c>
      <c r="B83" s="1">
        <v>13908</v>
      </c>
      <c r="C83" s="1" t="s">
        <v>1408</v>
      </c>
      <c r="D83" s="1">
        <v>513893123</v>
      </c>
      <c r="E83" s="1" t="s">
        <v>429</v>
      </c>
      <c r="F83" s="1" t="s">
        <v>1505</v>
      </c>
      <c r="G83" s="1" t="s">
        <v>1506</v>
      </c>
      <c r="H83" s="1" t="s">
        <v>76</v>
      </c>
      <c r="I83" s="1" t="s">
        <v>229</v>
      </c>
      <c r="J83" s="1" t="s">
        <v>53</v>
      </c>
      <c r="K83" s="1" t="s">
        <v>53</v>
      </c>
      <c r="L83" s="1" t="s">
        <v>821</v>
      </c>
      <c r="M83" s="1" t="s">
        <v>311</v>
      </c>
      <c r="N83" s="1" t="s">
        <v>649</v>
      </c>
      <c r="O83" s="1" t="s">
        <v>62</v>
      </c>
      <c r="P83" s="1" t="s">
        <v>1323</v>
      </c>
      <c r="Q83" s="1" t="s">
        <v>70</v>
      </c>
      <c r="R83" s="1" t="s">
        <v>57</v>
      </c>
      <c r="S83" s="1" t="s">
        <v>1206</v>
      </c>
      <c r="T83" s="69">
        <v>0.73299999999999998</v>
      </c>
      <c r="U83" s="70">
        <v>46477</v>
      </c>
      <c r="V83" s="68">
        <v>3.5400000000000001E-2</v>
      </c>
      <c r="W83" s="68">
        <v>3.2099999999999997E-2</v>
      </c>
      <c r="X83" s="1" t="s">
        <v>636</v>
      </c>
      <c r="Y83" s="140" t="s">
        <v>2853</v>
      </c>
      <c r="Z83" s="67">
        <v>1053182.21</v>
      </c>
      <c r="AA83" s="67">
        <v>1</v>
      </c>
      <c r="AB83" s="67">
        <v>110.78</v>
      </c>
      <c r="AC83" s="67">
        <v>0</v>
      </c>
      <c r="AD83" s="67">
        <v>1166.71525</v>
      </c>
      <c r="AE83" s="140" t="s">
        <v>2853</v>
      </c>
      <c r="AF83" s="140" t="s">
        <v>2853</v>
      </c>
      <c r="AG83" s="1" t="s">
        <v>17</v>
      </c>
      <c r="AH83" s="68">
        <v>1.257144471E-3</v>
      </c>
      <c r="AI83" s="68">
        <f t="shared" si="1"/>
        <v>2.19945091110706E-3</v>
      </c>
      <c r="AJ83" s="68">
        <f>+AD83/'סכום נכסים'!$B$30</f>
        <v>2.7073304705878807E-4</v>
      </c>
    </row>
    <row r="84" spans="1:36" x14ac:dyDescent="0.25">
      <c r="A84" s="1">
        <v>13908</v>
      </c>
      <c r="B84" s="1">
        <v>13908</v>
      </c>
      <c r="C84" s="1" t="s">
        <v>1507</v>
      </c>
      <c r="D84" s="1">
        <v>520032046</v>
      </c>
      <c r="E84" s="1" t="s">
        <v>429</v>
      </c>
      <c r="F84" s="1" t="s">
        <v>1508</v>
      </c>
      <c r="G84" s="1" t="s">
        <v>1509</v>
      </c>
      <c r="H84" s="1" t="s">
        <v>76</v>
      </c>
      <c r="I84" s="1" t="s">
        <v>229</v>
      </c>
      <c r="J84" s="1" t="s">
        <v>53</v>
      </c>
      <c r="K84" s="1" t="s">
        <v>53</v>
      </c>
      <c r="L84" s="1" t="s">
        <v>821</v>
      </c>
      <c r="M84" s="1" t="s">
        <v>311</v>
      </c>
      <c r="N84" s="1" t="s">
        <v>256</v>
      </c>
      <c r="O84" s="1" t="s">
        <v>62</v>
      </c>
      <c r="P84" s="1" t="s">
        <v>1205</v>
      </c>
      <c r="Q84" s="1" t="s">
        <v>65</v>
      </c>
      <c r="R84" s="1" t="s">
        <v>57</v>
      </c>
      <c r="S84" s="1" t="s">
        <v>1206</v>
      </c>
      <c r="T84" s="69">
        <v>3.3279999999999998</v>
      </c>
      <c r="U84" s="70">
        <v>48190</v>
      </c>
      <c r="V84" s="68">
        <v>1.6400000000000001E-2</v>
      </c>
      <c r="W84" s="68">
        <v>2.1899999999999999E-2</v>
      </c>
      <c r="X84" s="1" t="s">
        <v>636</v>
      </c>
      <c r="Y84" s="140" t="s">
        <v>2853</v>
      </c>
      <c r="Z84" s="67">
        <v>340554.43</v>
      </c>
      <c r="AA84" s="67">
        <v>1</v>
      </c>
      <c r="AB84" s="67">
        <v>107.68</v>
      </c>
      <c r="AC84" s="67">
        <v>0</v>
      </c>
      <c r="AD84" s="67">
        <v>366.70900999999998</v>
      </c>
      <c r="AE84" s="140" t="s">
        <v>2853</v>
      </c>
      <c r="AF84" s="140" t="s">
        <v>2853</v>
      </c>
      <c r="AG84" s="1" t="s">
        <v>17</v>
      </c>
      <c r="AH84" s="68">
        <v>4.2215380500000002E-4</v>
      </c>
      <c r="AI84" s="68">
        <f t="shared" si="1"/>
        <v>6.9130704013311553E-4</v>
      </c>
      <c r="AJ84" s="68">
        <f>+AD84/'סכום נכסים'!$B$30</f>
        <v>8.5093811588741626E-5</v>
      </c>
    </row>
    <row r="85" spans="1:36" x14ac:dyDescent="0.25">
      <c r="A85" s="1">
        <v>13908</v>
      </c>
      <c r="B85" s="1">
        <v>13908</v>
      </c>
      <c r="C85" s="1" t="s">
        <v>1507</v>
      </c>
      <c r="D85" s="1">
        <v>520032046</v>
      </c>
      <c r="E85" s="1" t="s">
        <v>429</v>
      </c>
      <c r="F85" s="1" t="s">
        <v>1510</v>
      </c>
      <c r="G85" s="1" t="s">
        <v>1511</v>
      </c>
      <c r="H85" s="1" t="s">
        <v>76</v>
      </c>
      <c r="I85" s="1" t="s">
        <v>229</v>
      </c>
      <c r="J85" s="1" t="s">
        <v>53</v>
      </c>
      <c r="K85" s="1" t="s">
        <v>53</v>
      </c>
      <c r="L85" s="1" t="s">
        <v>821</v>
      </c>
      <c r="M85" s="1" t="s">
        <v>311</v>
      </c>
      <c r="N85" s="1" t="s">
        <v>256</v>
      </c>
      <c r="O85" s="1" t="s">
        <v>62</v>
      </c>
      <c r="P85" s="1" t="s">
        <v>1281</v>
      </c>
      <c r="Q85" s="1" t="s">
        <v>65</v>
      </c>
      <c r="R85" s="1" t="s">
        <v>57</v>
      </c>
      <c r="S85" s="1" t="s">
        <v>1206</v>
      </c>
      <c r="T85" s="69">
        <v>2.3420000000000001</v>
      </c>
      <c r="U85" s="70">
        <v>48738</v>
      </c>
      <c r="V85" s="68">
        <v>3.3099999999999997E-2</v>
      </c>
      <c r="W85" s="68">
        <v>2.5100000000000001E-2</v>
      </c>
      <c r="X85" s="1" t="s">
        <v>636</v>
      </c>
      <c r="Y85" s="140" t="s">
        <v>2853</v>
      </c>
      <c r="Z85" s="67">
        <v>50000</v>
      </c>
      <c r="AA85" s="67">
        <v>1</v>
      </c>
      <c r="AB85" s="67">
        <v>113.58</v>
      </c>
      <c r="AC85" s="67">
        <v>0</v>
      </c>
      <c r="AD85" s="67">
        <v>56.79</v>
      </c>
      <c r="AE85" s="140" t="s">
        <v>2853</v>
      </c>
      <c r="AF85" s="140" t="s">
        <v>2853</v>
      </c>
      <c r="AG85" s="1" t="s">
        <v>17</v>
      </c>
      <c r="AH85" s="68">
        <v>7.1280918098225098E-5</v>
      </c>
      <c r="AI85" s="68">
        <f t="shared" si="1"/>
        <v>1.0705852798424459E-4</v>
      </c>
      <c r="AJ85" s="68">
        <f>+AD85/'סכום נכסים'!$B$30</f>
        <v>1.317796243982289E-5</v>
      </c>
    </row>
    <row r="86" spans="1:36" x14ac:dyDescent="0.25">
      <c r="A86" s="1">
        <v>13908</v>
      </c>
      <c r="B86" s="1">
        <v>13908</v>
      </c>
      <c r="C86" s="1" t="s">
        <v>1512</v>
      </c>
      <c r="D86" s="1">
        <v>512025891</v>
      </c>
      <c r="E86" s="1" t="s">
        <v>429</v>
      </c>
      <c r="F86" s="1" t="s">
        <v>1513</v>
      </c>
      <c r="G86" s="1" t="s">
        <v>1514</v>
      </c>
      <c r="H86" s="1" t="s">
        <v>76</v>
      </c>
      <c r="I86" s="1" t="s">
        <v>229</v>
      </c>
      <c r="J86" s="1" t="s">
        <v>53</v>
      </c>
      <c r="K86" s="1" t="s">
        <v>53</v>
      </c>
      <c r="L86" s="1" t="s">
        <v>821</v>
      </c>
      <c r="M86" s="1" t="s">
        <v>311</v>
      </c>
      <c r="N86" s="1" t="s">
        <v>258</v>
      </c>
      <c r="O86" s="1" t="s">
        <v>62</v>
      </c>
      <c r="P86" s="1" t="s">
        <v>1329</v>
      </c>
      <c r="Q86" s="1" t="s">
        <v>65</v>
      </c>
      <c r="R86" s="1" t="s">
        <v>57</v>
      </c>
      <c r="S86" s="1" t="s">
        <v>1206</v>
      </c>
      <c r="T86" s="69">
        <v>1.2150000000000001</v>
      </c>
      <c r="U86" s="70">
        <v>46888</v>
      </c>
      <c r="V86" s="68">
        <v>3.2000000000000001E-2</v>
      </c>
      <c r="W86" s="68">
        <v>2.9600000000000001E-2</v>
      </c>
      <c r="X86" s="1" t="s">
        <v>636</v>
      </c>
      <c r="Y86" s="140" t="s">
        <v>2853</v>
      </c>
      <c r="Z86" s="67">
        <v>1028710.51</v>
      </c>
      <c r="AA86" s="67">
        <v>1</v>
      </c>
      <c r="AB86" s="67">
        <v>110.32</v>
      </c>
      <c r="AC86" s="67">
        <v>0</v>
      </c>
      <c r="AD86" s="67">
        <v>1134.8734300000001</v>
      </c>
      <c r="AE86" s="140" t="s">
        <v>2853</v>
      </c>
      <c r="AF86" s="140" t="s">
        <v>2853</v>
      </c>
      <c r="AG86" s="1" t="s">
        <v>17</v>
      </c>
      <c r="AH86" s="68">
        <v>1.875390809E-3</v>
      </c>
      <c r="AI86" s="68">
        <f t="shared" si="1"/>
        <v>2.1394238222262837E-3</v>
      </c>
      <c r="AJ86" s="68">
        <f>+AD86/'סכום נכסים'!$B$30</f>
        <v>2.6334424079050845E-4</v>
      </c>
    </row>
    <row r="87" spans="1:36" x14ac:dyDescent="0.25">
      <c r="A87" s="1">
        <v>13908</v>
      </c>
      <c r="B87" s="1">
        <v>13908</v>
      </c>
      <c r="C87" s="1" t="s">
        <v>1512</v>
      </c>
      <c r="D87" s="1">
        <v>512025891</v>
      </c>
      <c r="E87" s="1" t="s">
        <v>429</v>
      </c>
      <c r="F87" s="1" t="s">
        <v>1515</v>
      </c>
      <c r="G87" s="1" t="s">
        <v>1516</v>
      </c>
      <c r="H87" s="1" t="s">
        <v>76</v>
      </c>
      <c r="I87" s="1" t="s">
        <v>228</v>
      </c>
      <c r="J87" s="1" t="s">
        <v>53</v>
      </c>
      <c r="K87" s="1" t="s">
        <v>53</v>
      </c>
      <c r="L87" s="1" t="s">
        <v>821</v>
      </c>
      <c r="M87" s="1" t="s">
        <v>311</v>
      </c>
      <c r="N87" s="1" t="s">
        <v>258</v>
      </c>
      <c r="O87" s="1" t="s">
        <v>62</v>
      </c>
      <c r="P87" s="1" t="s">
        <v>1329</v>
      </c>
      <c r="Q87" s="1" t="s">
        <v>65</v>
      </c>
      <c r="R87" s="1" t="s">
        <v>57</v>
      </c>
      <c r="S87" s="1" t="s">
        <v>1206</v>
      </c>
      <c r="T87" s="69">
        <v>1.29</v>
      </c>
      <c r="U87" s="70">
        <v>46924</v>
      </c>
      <c r="V87" s="68">
        <v>5.7000000000000002E-2</v>
      </c>
      <c r="W87" s="68">
        <v>4.8000000000000001E-2</v>
      </c>
      <c r="X87" s="1" t="s">
        <v>636</v>
      </c>
      <c r="Y87" s="140" t="s">
        <v>2853</v>
      </c>
      <c r="Z87" s="67">
        <v>895131.55</v>
      </c>
      <c r="AA87" s="67">
        <v>1</v>
      </c>
      <c r="AB87" s="67">
        <v>101.45</v>
      </c>
      <c r="AC87" s="67">
        <v>0</v>
      </c>
      <c r="AD87" s="67">
        <v>908.11095999999998</v>
      </c>
      <c r="AE87" s="140" t="s">
        <v>2853</v>
      </c>
      <c r="AF87" s="140" t="s">
        <v>2853</v>
      </c>
      <c r="AG87" s="1" t="s">
        <v>17</v>
      </c>
      <c r="AH87" s="68">
        <v>1.3634959799999999E-3</v>
      </c>
      <c r="AI87" s="68">
        <f t="shared" si="1"/>
        <v>1.711939119985195E-3</v>
      </c>
      <c r="AJ87" s="68">
        <f>+AD87/'סכום נכסים'!$B$30</f>
        <v>2.1072463676829561E-4</v>
      </c>
    </row>
    <row r="88" spans="1:36" x14ac:dyDescent="0.25">
      <c r="A88" s="1">
        <v>13908</v>
      </c>
      <c r="B88" s="1">
        <v>13908</v>
      </c>
      <c r="C88" s="1" t="s">
        <v>1415</v>
      </c>
      <c r="D88" s="1">
        <v>515434074</v>
      </c>
      <c r="E88" s="1" t="s">
        <v>429</v>
      </c>
      <c r="F88" s="1" t="s">
        <v>1517</v>
      </c>
      <c r="G88" s="1" t="s">
        <v>1518</v>
      </c>
      <c r="H88" s="1" t="s">
        <v>76</v>
      </c>
      <c r="I88" s="1" t="s">
        <v>229</v>
      </c>
      <c r="J88" s="1" t="s">
        <v>53</v>
      </c>
      <c r="K88" s="1" t="s">
        <v>53</v>
      </c>
      <c r="L88" s="1" t="s">
        <v>821</v>
      </c>
      <c r="M88" s="1" t="s">
        <v>311</v>
      </c>
      <c r="N88" s="1" t="s">
        <v>651</v>
      </c>
      <c r="O88" s="120" t="s">
        <v>55</v>
      </c>
      <c r="P88" s="1" t="s">
        <v>1414</v>
      </c>
      <c r="Q88" s="1" t="s">
        <v>65</v>
      </c>
      <c r="R88" s="1" t="s">
        <v>57</v>
      </c>
      <c r="S88" s="1" t="s">
        <v>1206</v>
      </c>
      <c r="T88" s="69">
        <v>0.74399999999999999</v>
      </c>
      <c r="U88" s="70">
        <v>46295</v>
      </c>
      <c r="V88" s="68">
        <v>3.0000000000000001E-3</v>
      </c>
      <c r="W88" s="68">
        <v>3.0599999999999999E-2</v>
      </c>
      <c r="X88" s="1" t="s">
        <v>636</v>
      </c>
      <c r="Y88" s="140" t="s">
        <v>2853</v>
      </c>
      <c r="Z88" s="67">
        <v>199000</v>
      </c>
      <c r="AA88" s="67">
        <v>1</v>
      </c>
      <c r="AB88" s="67">
        <v>107.3</v>
      </c>
      <c r="AC88" s="67">
        <v>0</v>
      </c>
      <c r="AD88" s="67">
        <v>213.52699999999999</v>
      </c>
      <c r="AE88" s="140" t="s">
        <v>2853</v>
      </c>
      <c r="AF88" s="140" t="s">
        <v>2853</v>
      </c>
      <c r="AG88" s="1" t="s">
        <v>17</v>
      </c>
      <c r="AH88" s="68">
        <v>4.3005640400000002E-4</v>
      </c>
      <c r="AI88" s="68">
        <f t="shared" si="1"/>
        <v>4.0253365565930257E-4</v>
      </c>
      <c r="AJ88" s="68">
        <f>+AD88/'סכום נכסים'!$B$30</f>
        <v>4.9548349813137211E-5</v>
      </c>
    </row>
    <row r="89" spans="1:36" x14ac:dyDescent="0.25">
      <c r="A89" s="1">
        <v>13908</v>
      </c>
      <c r="B89" s="1">
        <v>13908</v>
      </c>
      <c r="C89" s="1" t="s">
        <v>1458</v>
      </c>
      <c r="D89" s="1">
        <v>510454333</v>
      </c>
      <c r="E89" s="1" t="s">
        <v>429</v>
      </c>
      <c r="F89" s="1" t="s">
        <v>1519</v>
      </c>
      <c r="G89" s="1" t="s">
        <v>1520</v>
      </c>
      <c r="H89" s="1" t="s">
        <v>76</v>
      </c>
      <c r="I89" s="1" t="s">
        <v>229</v>
      </c>
      <c r="J89" s="1" t="s">
        <v>53</v>
      </c>
      <c r="K89" s="1" t="s">
        <v>53</v>
      </c>
      <c r="L89" s="1" t="s">
        <v>821</v>
      </c>
      <c r="M89" s="1" t="s">
        <v>311</v>
      </c>
      <c r="N89" s="1" t="s">
        <v>258</v>
      </c>
      <c r="O89" s="1" t="s">
        <v>62</v>
      </c>
      <c r="P89" s="1" t="s">
        <v>1329</v>
      </c>
      <c r="Q89" s="1" t="s">
        <v>65</v>
      </c>
      <c r="R89" s="1" t="s">
        <v>57</v>
      </c>
      <c r="S89" s="1" t="s">
        <v>1206</v>
      </c>
      <c r="T89" s="69">
        <v>2.1579999999999999</v>
      </c>
      <c r="U89" s="70">
        <v>47391</v>
      </c>
      <c r="V89" s="68">
        <v>3.2300000000000002E-2</v>
      </c>
      <c r="W89" s="68">
        <v>2.5999999999999999E-2</v>
      </c>
      <c r="X89" s="1" t="s">
        <v>636</v>
      </c>
      <c r="Y89" s="140" t="s">
        <v>2853</v>
      </c>
      <c r="Z89" s="67">
        <v>1074777.52</v>
      </c>
      <c r="AA89" s="67">
        <v>1</v>
      </c>
      <c r="AB89" s="67">
        <v>111.83</v>
      </c>
      <c r="AC89" s="67">
        <v>0</v>
      </c>
      <c r="AD89" s="67">
        <v>1201.9237000000001</v>
      </c>
      <c r="AE89" s="140" t="s">
        <v>2853</v>
      </c>
      <c r="AF89" s="140" t="s">
        <v>2853</v>
      </c>
      <c r="AG89" s="1" t="s">
        <v>17</v>
      </c>
      <c r="AH89" s="68">
        <v>2.5727223249999999E-3</v>
      </c>
      <c r="AI89" s="68">
        <f t="shared" si="1"/>
        <v>2.26582465348436E-3</v>
      </c>
      <c r="AJ89" s="68">
        <f>+AD89/'סכום נכסים'!$B$30</f>
        <v>2.7890307050771186E-4</v>
      </c>
    </row>
    <row r="90" spans="1:36" x14ac:dyDescent="0.25">
      <c r="A90" s="1">
        <v>13908</v>
      </c>
      <c r="B90" s="1">
        <v>13908</v>
      </c>
      <c r="C90" s="1" t="s">
        <v>1458</v>
      </c>
      <c r="D90" s="1">
        <v>510454333</v>
      </c>
      <c r="E90" s="1" t="s">
        <v>429</v>
      </c>
      <c r="F90" s="1" t="s">
        <v>1521</v>
      </c>
      <c r="G90" s="1" t="s">
        <v>1522</v>
      </c>
      <c r="H90" s="1" t="s">
        <v>76</v>
      </c>
      <c r="I90" s="1" t="s">
        <v>228</v>
      </c>
      <c r="J90" s="1" t="s">
        <v>53</v>
      </c>
      <c r="K90" s="1" t="s">
        <v>53</v>
      </c>
      <c r="L90" s="1" t="s">
        <v>821</v>
      </c>
      <c r="M90" s="1" t="s">
        <v>311</v>
      </c>
      <c r="N90" s="1" t="s">
        <v>258</v>
      </c>
      <c r="O90" s="1" t="s">
        <v>62</v>
      </c>
      <c r="P90" s="1" t="s">
        <v>1329</v>
      </c>
      <c r="Q90" s="1" t="s">
        <v>65</v>
      </c>
      <c r="R90" s="1" t="s">
        <v>57</v>
      </c>
      <c r="S90" s="1" t="s">
        <v>1206</v>
      </c>
      <c r="T90" s="69">
        <v>2.306</v>
      </c>
      <c r="U90" s="70">
        <v>47756</v>
      </c>
      <c r="V90" s="68">
        <v>5.6500000000000002E-2</v>
      </c>
      <c r="W90" s="68">
        <v>4.6199999999999998E-2</v>
      </c>
      <c r="X90" s="1" t="s">
        <v>636</v>
      </c>
      <c r="Y90" s="140" t="s">
        <v>2853</v>
      </c>
      <c r="Z90" s="67">
        <v>238820.82</v>
      </c>
      <c r="AA90" s="67">
        <v>1</v>
      </c>
      <c r="AB90" s="67">
        <v>103.91</v>
      </c>
      <c r="AC90" s="67">
        <v>0</v>
      </c>
      <c r="AD90" s="67">
        <v>248.15871000000001</v>
      </c>
      <c r="AE90" s="140" t="s">
        <v>2853</v>
      </c>
      <c r="AF90" s="140" t="s">
        <v>2853</v>
      </c>
      <c r="AG90" s="1" t="s">
        <v>17</v>
      </c>
      <c r="AH90" s="68">
        <v>6.1258236600000003E-4</v>
      </c>
      <c r="AI90" s="68">
        <f t="shared" si="1"/>
        <v>4.6782014789697199E-4</v>
      </c>
      <c r="AJ90" s="68">
        <f>+AD90/'סכום נכסים'!$B$30</f>
        <v>5.7584542340110961E-5</v>
      </c>
    </row>
    <row r="91" spans="1:36" x14ac:dyDescent="0.25">
      <c r="A91" s="1">
        <v>13908</v>
      </c>
      <c r="B91" s="1">
        <v>13908</v>
      </c>
      <c r="C91" s="1" t="s">
        <v>1523</v>
      </c>
      <c r="D91" s="1">
        <v>511809071</v>
      </c>
      <c r="E91" s="1" t="s">
        <v>429</v>
      </c>
      <c r="F91" s="1" t="s">
        <v>1524</v>
      </c>
      <c r="G91" s="1" t="s">
        <v>1525</v>
      </c>
      <c r="H91" s="1" t="s">
        <v>76</v>
      </c>
      <c r="I91" s="1" t="s">
        <v>229</v>
      </c>
      <c r="J91" s="1" t="s">
        <v>53</v>
      </c>
      <c r="K91" s="1" t="s">
        <v>53</v>
      </c>
      <c r="L91" s="1" t="s">
        <v>821</v>
      </c>
      <c r="M91" s="1" t="s">
        <v>311</v>
      </c>
      <c r="N91" s="1" t="s">
        <v>75</v>
      </c>
      <c r="O91" s="1" t="s">
        <v>62</v>
      </c>
      <c r="P91" s="1" t="s">
        <v>1281</v>
      </c>
      <c r="Q91" s="1" t="s">
        <v>65</v>
      </c>
      <c r="R91" s="1" t="s">
        <v>57</v>
      </c>
      <c r="S91" s="1" t="s">
        <v>1206</v>
      </c>
      <c r="T91" s="69">
        <v>2.5009999999999999</v>
      </c>
      <c r="U91" s="70">
        <v>47889</v>
      </c>
      <c r="V91" s="68">
        <v>2.1999999999999999E-2</v>
      </c>
      <c r="W91" s="68">
        <v>2.6200000000000001E-2</v>
      </c>
      <c r="X91" s="1" t="s">
        <v>636</v>
      </c>
      <c r="Y91" s="140" t="s">
        <v>2853</v>
      </c>
      <c r="Z91" s="67">
        <v>36206.879999999997</v>
      </c>
      <c r="AA91" s="67">
        <v>1</v>
      </c>
      <c r="AB91" s="67">
        <v>108.67</v>
      </c>
      <c r="AC91" s="67">
        <v>0</v>
      </c>
      <c r="AD91" s="67">
        <v>39.346020000000003</v>
      </c>
      <c r="AE91" s="140" t="s">
        <v>2853</v>
      </c>
      <c r="AF91" s="140" t="s">
        <v>2853</v>
      </c>
      <c r="AG91" s="1" t="s">
        <v>17</v>
      </c>
      <c r="AH91" s="68">
        <v>1.3271534900000001E-4</v>
      </c>
      <c r="AI91" s="68">
        <f t="shared" si="1"/>
        <v>7.4173745082561156E-5</v>
      </c>
      <c r="AJ91" s="68">
        <f>+AD91/'סכום נכסים'!$B$30</f>
        <v>9.1301351244324755E-6</v>
      </c>
    </row>
    <row r="92" spans="1:36" x14ac:dyDescent="0.25">
      <c r="A92" s="1">
        <v>13908</v>
      </c>
      <c r="B92" s="1">
        <v>13908</v>
      </c>
      <c r="C92" s="1" t="s">
        <v>1523</v>
      </c>
      <c r="D92" s="1">
        <v>511809071</v>
      </c>
      <c r="E92" s="1" t="s">
        <v>429</v>
      </c>
      <c r="F92" s="1" t="s">
        <v>1526</v>
      </c>
      <c r="G92" s="1" t="s">
        <v>1527</v>
      </c>
      <c r="H92" s="1" t="s">
        <v>76</v>
      </c>
      <c r="I92" s="1" t="s">
        <v>228</v>
      </c>
      <c r="J92" s="1" t="s">
        <v>53</v>
      </c>
      <c r="K92" s="1" t="s">
        <v>53</v>
      </c>
      <c r="L92" s="1" t="s">
        <v>821</v>
      </c>
      <c r="M92" s="1" t="s">
        <v>311</v>
      </c>
      <c r="N92" s="1" t="s">
        <v>75</v>
      </c>
      <c r="O92" s="1" t="s">
        <v>62</v>
      </c>
      <c r="P92" s="1" t="s">
        <v>1281</v>
      </c>
      <c r="Q92" s="1" t="s">
        <v>65</v>
      </c>
      <c r="R92" s="1" t="s">
        <v>57</v>
      </c>
      <c r="S92" s="1" t="s">
        <v>1206</v>
      </c>
      <c r="T92" s="69">
        <v>2.4119999999999999</v>
      </c>
      <c r="U92" s="70">
        <v>47889</v>
      </c>
      <c r="V92" s="68">
        <v>4.6800000000000001E-2</v>
      </c>
      <c r="W92" s="68">
        <v>4.53E-2</v>
      </c>
      <c r="X92" s="1" t="s">
        <v>636</v>
      </c>
      <c r="Y92" s="140" t="s">
        <v>2853</v>
      </c>
      <c r="Z92" s="67">
        <v>182898.12</v>
      </c>
      <c r="AA92" s="67">
        <v>1</v>
      </c>
      <c r="AB92" s="67">
        <v>101.21</v>
      </c>
      <c r="AC92" s="67">
        <v>0</v>
      </c>
      <c r="AD92" s="67">
        <v>185.11118999999999</v>
      </c>
      <c r="AE92" s="140" t="s">
        <v>2853</v>
      </c>
      <c r="AF92" s="140" t="s">
        <v>2853</v>
      </c>
      <c r="AG92" s="1" t="s">
        <v>17</v>
      </c>
      <c r="AH92" s="68">
        <v>5.3874665999999996E-4</v>
      </c>
      <c r="AI92" s="68">
        <f t="shared" si="1"/>
        <v>3.4896516138073285E-4</v>
      </c>
      <c r="AJ92" s="68">
        <f>+AD92/'סכום נכסים'!$B$30</f>
        <v>4.2954539690278547E-5</v>
      </c>
    </row>
    <row r="93" spans="1:36" x14ac:dyDescent="0.25">
      <c r="A93" s="1">
        <v>13908</v>
      </c>
      <c r="B93" s="1">
        <v>13908</v>
      </c>
      <c r="C93" s="1" t="s">
        <v>1528</v>
      </c>
      <c r="D93" s="1">
        <v>520034372</v>
      </c>
      <c r="E93" s="1" t="s">
        <v>429</v>
      </c>
      <c r="F93" s="1" t="s">
        <v>1529</v>
      </c>
      <c r="G93" s="1" t="s">
        <v>1530</v>
      </c>
      <c r="H93" s="1" t="s">
        <v>76</v>
      </c>
      <c r="I93" s="1" t="s">
        <v>228</v>
      </c>
      <c r="J93" s="1" t="s">
        <v>53</v>
      </c>
      <c r="K93" s="1" t="s">
        <v>53</v>
      </c>
      <c r="L93" s="1" t="s">
        <v>821</v>
      </c>
      <c r="M93" s="1" t="s">
        <v>311</v>
      </c>
      <c r="N93" s="1" t="s">
        <v>258</v>
      </c>
      <c r="O93" s="1" t="s">
        <v>62</v>
      </c>
      <c r="P93" s="1" t="s">
        <v>1285</v>
      </c>
      <c r="Q93" s="1" t="s">
        <v>65</v>
      </c>
      <c r="R93" s="1" t="s">
        <v>57</v>
      </c>
      <c r="S93" s="1" t="s">
        <v>1206</v>
      </c>
      <c r="T93" s="69">
        <v>2.8460000000000001</v>
      </c>
      <c r="U93" s="70">
        <v>48203</v>
      </c>
      <c r="V93" s="68">
        <v>4.5600000000000002E-2</v>
      </c>
      <c r="W93" s="68">
        <v>4.3799999999999999E-2</v>
      </c>
      <c r="X93" s="1" t="s">
        <v>636</v>
      </c>
      <c r="Y93" s="140" t="s">
        <v>2853</v>
      </c>
      <c r="Z93" s="67">
        <v>419284.32</v>
      </c>
      <c r="AA93" s="67">
        <v>1</v>
      </c>
      <c r="AB93" s="67">
        <v>100.86</v>
      </c>
      <c r="AC93" s="67">
        <v>0</v>
      </c>
      <c r="AD93" s="67">
        <v>422.89017000000001</v>
      </c>
      <c r="AE93" s="140" t="s">
        <v>2853</v>
      </c>
      <c r="AF93" s="140" t="s">
        <v>2853</v>
      </c>
      <c r="AG93" s="1" t="s">
        <v>17</v>
      </c>
      <c r="AH93" s="68">
        <v>5.5489812999999998E-4</v>
      </c>
      <c r="AI93" s="68">
        <f t="shared" si="1"/>
        <v>7.972178041769141E-4</v>
      </c>
      <c r="AJ93" s="68">
        <f>+AD93/'סכום נכסים'!$B$30</f>
        <v>9.8130494390391213E-5</v>
      </c>
    </row>
    <row r="94" spans="1:36" x14ac:dyDescent="0.25">
      <c r="A94" s="1">
        <v>13908</v>
      </c>
      <c r="B94" s="1">
        <v>13908</v>
      </c>
      <c r="C94" s="1" t="s">
        <v>1531</v>
      </c>
      <c r="D94" s="1">
        <v>520032178</v>
      </c>
      <c r="E94" s="1" t="s">
        <v>429</v>
      </c>
      <c r="F94" s="1" t="s">
        <v>1532</v>
      </c>
      <c r="G94" s="1" t="s">
        <v>1533</v>
      </c>
      <c r="H94" s="1" t="s">
        <v>76</v>
      </c>
      <c r="I94" s="1" t="s">
        <v>228</v>
      </c>
      <c r="J94" s="1" t="s">
        <v>53</v>
      </c>
      <c r="K94" s="1" t="s">
        <v>53</v>
      </c>
      <c r="L94" s="1" t="s">
        <v>821</v>
      </c>
      <c r="M94" s="1" t="s">
        <v>311</v>
      </c>
      <c r="N94" s="1" t="s">
        <v>140</v>
      </c>
      <c r="O94" s="1" t="s">
        <v>62</v>
      </c>
      <c r="P94" s="1" t="s">
        <v>298</v>
      </c>
      <c r="Q94" s="1" t="s">
        <v>298</v>
      </c>
      <c r="R94" s="1" t="s">
        <v>298</v>
      </c>
      <c r="S94" s="1" t="s">
        <v>1206</v>
      </c>
      <c r="T94" s="69">
        <v>1.867</v>
      </c>
      <c r="U94" s="70">
        <v>46752</v>
      </c>
      <c r="V94" s="68">
        <v>6.3E-2</v>
      </c>
      <c r="W94" s="68">
        <v>5.33E-2</v>
      </c>
      <c r="X94" s="1" t="s">
        <v>636</v>
      </c>
      <c r="Y94" s="140" t="s">
        <v>2853</v>
      </c>
      <c r="Z94" s="67">
        <v>209668.5</v>
      </c>
      <c r="AA94" s="67">
        <v>1</v>
      </c>
      <c r="AB94" s="67">
        <v>101.92</v>
      </c>
      <c r="AC94" s="67">
        <v>0</v>
      </c>
      <c r="AD94" s="67">
        <v>213.69414</v>
      </c>
      <c r="AE94" s="140" t="s">
        <v>2853</v>
      </c>
      <c r="AF94" s="140" t="s">
        <v>2853</v>
      </c>
      <c r="AG94" s="1" t="s">
        <v>17</v>
      </c>
      <c r="AH94" s="68">
        <v>1.1779892850000001E-3</v>
      </c>
      <c r="AI94" s="68">
        <f t="shared" si="1"/>
        <v>4.0284874215987113E-4</v>
      </c>
      <c r="AJ94" s="68">
        <f>+AD94/'סכום נכסים'!$B$30</f>
        <v>4.9587134187889673E-5</v>
      </c>
    </row>
    <row r="95" spans="1:36" x14ac:dyDescent="0.25">
      <c r="A95" s="1">
        <v>13908</v>
      </c>
      <c r="B95" s="1">
        <v>13908</v>
      </c>
      <c r="C95" s="1" t="s">
        <v>1534</v>
      </c>
      <c r="D95" s="1">
        <v>520039868</v>
      </c>
      <c r="E95" s="1" t="s">
        <v>429</v>
      </c>
      <c r="F95" s="1" t="s">
        <v>1535</v>
      </c>
      <c r="G95" s="1" t="s">
        <v>1536</v>
      </c>
      <c r="H95" s="1" t="s">
        <v>76</v>
      </c>
      <c r="I95" s="1" t="s">
        <v>228</v>
      </c>
      <c r="J95" s="1" t="s">
        <v>53</v>
      </c>
      <c r="K95" s="1" t="s">
        <v>53</v>
      </c>
      <c r="L95" s="1" t="s">
        <v>821</v>
      </c>
      <c r="M95" s="1" t="s">
        <v>311</v>
      </c>
      <c r="N95" s="1" t="s">
        <v>647</v>
      </c>
      <c r="O95" s="1" t="s">
        <v>62</v>
      </c>
      <c r="P95" s="1" t="s">
        <v>298</v>
      </c>
      <c r="Q95" s="1" t="s">
        <v>298</v>
      </c>
      <c r="R95" s="1" t="s">
        <v>298</v>
      </c>
      <c r="S95" s="1" t="s">
        <v>1206</v>
      </c>
      <c r="T95" s="69">
        <v>1.637</v>
      </c>
      <c r="U95" s="70">
        <v>47209</v>
      </c>
      <c r="V95" s="68">
        <v>6.0499999999999998E-2</v>
      </c>
      <c r="W95" s="68">
        <v>5.1499999999999997E-2</v>
      </c>
      <c r="X95" s="1" t="s">
        <v>636</v>
      </c>
      <c r="Y95" s="140" t="s">
        <v>2853</v>
      </c>
      <c r="Z95" s="67">
        <v>91000</v>
      </c>
      <c r="AA95" s="67">
        <v>1</v>
      </c>
      <c r="AB95" s="67">
        <v>103.1</v>
      </c>
      <c r="AC95" s="67">
        <v>0</v>
      </c>
      <c r="AD95" s="67">
        <v>93.820999999999998</v>
      </c>
      <c r="AE95" s="140" t="s">
        <v>2853</v>
      </c>
      <c r="AF95" s="140" t="s">
        <v>2853</v>
      </c>
      <c r="AG95" s="1" t="s">
        <v>17</v>
      </c>
      <c r="AH95" s="68">
        <v>4.1363636300000001E-4</v>
      </c>
      <c r="AI95" s="68">
        <f t="shared" si="1"/>
        <v>1.7686807807729902E-4</v>
      </c>
      <c r="AJ95" s="68">
        <f>+AD95/'סכום נכסים'!$B$30</f>
        <v>2.1770903575746143E-5</v>
      </c>
    </row>
    <row r="96" spans="1:36" x14ac:dyDescent="0.25">
      <c r="A96" s="1">
        <v>13908</v>
      </c>
      <c r="B96" s="1">
        <v>13908</v>
      </c>
      <c r="C96" s="1" t="s">
        <v>1537</v>
      </c>
      <c r="D96" s="1">
        <v>520034257</v>
      </c>
      <c r="E96" s="1" t="s">
        <v>429</v>
      </c>
      <c r="F96" s="1" t="s">
        <v>1538</v>
      </c>
      <c r="G96" s="1" t="s">
        <v>1539</v>
      </c>
      <c r="H96" s="1" t="s">
        <v>76</v>
      </c>
      <c r="I96" s="1" t="s">
        <v>229</v>
      </c>
      <c r="J96" s="1" t="s">
        <v>53</v>
      </c>
      <c r="K96" s="1" t="s">
        <v>53</v>
      </c>
      <c r="L96" s="1" t="s">
        <v>821</v>
      </c>
      <c r="M96" s="1" t="s">
        <v>311</v>
      </c>
      <c r="N96" s="1" t="s">
        <v>708</v>
      </c>
      <c r="O96" s="120" t="s">
        <v>55</v>
      </c>
      <c r="P96" s="1" t="s">
        <v>1358</v>
      </c>
      <c r="Q96" s="1" t="s">
        <v>70</v>
      </c>
      <c r="R96" s="1" t="s">
        <v>57</v>
      </c>
      <c r="S96" s="1" t="s">
        <v>1206</v>
      </c>
      <c r="T96" s="69">
        <v>2.0910000000000002</v>
      </c>
      <c r="U96" s="70">
        <v>46944</v>
      </c>
      <c r="V96" s="68">
        <v>3.73E-2</v>
      </c>
      <c r="W96" s="68">
        <v>2.75E-2</v>
      </c>
      <c r="X96" s="1" t="s">
        <v>636</v>
      </c>
      <c r="Y96" s="140" t="s">
        <v>2853</v>
      </c>
      <c r="Z96" s="67">
        <v>497241.58</v>
      </c>
      <c r="AA96" s="67">
        <v>1</v>
      </c>
      <c r="AB96" s="67">
        <v>113.35</v>
      </c>
      <c r="AC96" s="67">
        <v>0</v>
      </c>
      <c r="AD96" s="67">
        <v>563.62333000000001</v>
      </c>
      <c r="AE96" s="140" t="s">
        <v>2853</v>
      </c>
      <c r="AF96" s="140" t="s">
        <v>2853</v>
      </c>
      <c r="AG96" s="1" t="s">
        <v>17</v>
      </c>
      <c r="AH96" s="68">
        <v>1.182705768E-3</v>
      </c>
      <c r="AI96" s="68">
        <f t="shared" si="1"/>
        <v>1.0625230506669859E-3</v>
      </c>
      <c r="AJ96" s="68">
        <f>+AD96/'סכום נכסים'!$B$30</f>
        <v>1.3078723495241949E-4</v>
      </c>
    </row>
    <row r="97" spans="1:36" x14ac:dyDescent="0.25">
      <c r="A97" s="1">
        <v>13908</v>
      </c>
      <c r="B97" s="1">
        <v>13908</v>
      </c>
      <c r="C97" s="1" t="s">
        <v>1540</v>
      </c>
      <c r="D97" s="1">
        <v>520036120</v>
      </c>
      <c r="E97" s="1" t="s">
        <v>429</v>
      </c>
      <c r="F97" s="1" t="s">
        <v>1541</v>
      </c>
      <c r="G97" s="1" t="s">
        <v>1542</v>
      </c>
      <c r="H97" s="1" t="s">
        <v>76</v>
      </c>
      <c r="I97" s="1" t="s">
        <v>228</v>
      </c>
      <c r="J97" s="1" t="s">
        <v>53</v>
      </c>
      <c r="K97" s="1" t="s">
        <v>53</v>
      </c>
      <c r="L97" s="1" t="s">
        <v>821</v>
      </c>
      <c r="M97" s="1" t="s">
        <v>311</v>
      </c>
      <c r="N97" s="1" t="s">
        <v>269</v>
      </c>
      <c r="O97" s="1" t="s">
        <v>62</v>
      </c>
      <c r="P97" s="1" t="s">
        <v>1281</v>
      </c>
      <c r="Q97" s="1" t="s">
        <v>65</v>
      </c>
      <c r="R97" s="1" t="s">
        <v>57</v>
      </c>
      <c r="S97" s="1" t="s">
        <v>1206</v>
      </c>
      <c r="T97" s="69">
        <v>2.0270000000000001</v>
      </c>
      <c r="U97" s="70">
        <v>46811</v>
      </c>
      <c r="V97" s="68">
        <v>4.7E-2</v>
      </c>
      <c r="W97" s="68">
        <v>4.1799999999999997E-2</v>
      </c>
      <c r="X97" s="1" t="s">
        <v>636</v>
      </c>
      <c r="Y97" s="140" t="s">
        <v>2853</v>
      </c>
      <c r="Z97" s="67">
        <v>213752.66</v>
      </c>
      <c r="AA97" s="67">
        <v>1</v>
      </c>
      <c r="AB97" s="67">
        <v>105</v>
      </c>
      <c r="AC97" s="67">
        <v>0</v>
      </c>
      <c r="AD97" s="67">
        <v>224.44029</v>
      </c>
      <c r="AE97" s="140" t="s">
        <v>2853</v>
      </c>
      <c r="AF97" s="140" t="s">
        <v>2853</v>
      </c>
      <c r="AG97" s="1" t="s">
        <v>17</v>
      </c>
      <c r="AH97" s="68">
        <v>3.8927815799999997E-4</v>
      </c>
      <c r="AI97" s="68">
        <f t="shared" si="1"/>
        <v>4.2310700946921945E-4</v>
      </c>
      <c r="AJ97" s="68">
        <f>+AD97/'סכום נכסים'!$B$30</f>
        <v>5.20807485755055E-5</v>
      </c>
    </row>
    <row r="98" spans="1:36" x14ac:dyDescent="0.25">
      <c r="A98" s="1">
        <v>13908</v>
      </c>
      <c r="B98" s="1">
        <v>13908</v>
      </c>
      <c r="C98" s="1" t="s">
        <v>1543</v>
      </c>
      <c r="D98" s="1">
        <v>520038274</v>
      </c>
      <c r="E98" s="1" t="s">
        <v>429</v>
      </c>
      <c r="F98" s="1" t="s">
        <v>1544</v>
      </c>
      <c r="G98" s="1" t="s">
        <v>1545</v>
      </c>
      <c r="H98" s="1" t="s">
        <v>76</v>
      </c>
      <c r="I98" s="1" t="s">
        <v>229</v>
      </c>
      <c r="J98" s="1" t="s">
        <v>53</v>
      </c>
      <c r="K98" s="1" t="s">
        <v>53</v>
      </c>
      <c r="L98" s="1" t="s">
        <v>821</v>
      </c>
      <c r="M98" s="1" t="s">
        <v>311</v>
      </c>
      <c r="N98" s="1" t="s">
        <v>140</v>
      </c>
      <c r="O98" s="1" t="s">
        <v>62</v>
      </c>
      <c r="P98" s="1" t="s">
        <v>1358</v>
      </c>
      <c r="Q98" s="1" t="s">
        <v>70</v>
      </c>
      <c r="R98" s="1" t="s">
        <v>57</v>
      </c>
      <c r="S98" s="1" t="s">
        <v>1206</v>
      </c>
      <c r="T98" s="69">
        <v>1.6559999999999999</v>
      </c>
      <c r="U98" s="70">
        <v>47149</v>
      </c>
      <c r="V98" s="68">
        <v>3.85E-2</v>
      </c>
      <c r="W98" s="68">
        <v>2.9600000000000001E-2</v>
      </c>
      <c r="X98" s="1" t="s">
        <v>636</v>
      </c>
      <c r="Y98" s="140" t="s">
        <v>2853</v>
      </c>
      <c r="Z98" s="67">
        <v>2335000</v>
      </c>
      <c r="AA98" s="67">
        <v>1</v>
      </c>
      <c r="AB98" s="67">
        <v>112.15</v>
      </c>
      <c r="AC98" s="67">
        <v>0</v>
      </c>
      <c r="AD98" s="67">
        <v>2618.7024999999999</v>
      </c>
      <c r="AE98" s="140" t="s">
        <v>2853</v>
      </c>
      <c r="AF98" s="140" t="s">
        <v>2853</v>
      </c>
      <c r="AG98" s="1" t="s">
        <v>17</v>
      </c>
      <c r="AH98" s="68">
        <v>7.7833333329999999E-3</v>
      </c>
      <c r="AI98" s="68">
        <f t="shared" si="1"/>
        <v>4.9366866504430579E-3</v>
      </c>
      <c r="AJ98" s="68">
        <f>+AD98/'סכום נכסים'!$B$30</f>
        <v>6.0766267276052657E-4</v>
      </c>
    </row>
    <row r="99" spans="1:36" x14ac:dyDescent="0.25">
      <c r="A99" s="1">
        <v>13908</v>
      </c>
      <c r="B99" s="1">
        <v>13908</v>
      </c>
      <c r="C99" s="1" t="s">
        <v>1546</v>
      </c>
      <c r="D99" s="1">
        <v>516269248</v>
      </c>
      <c r="E99" s="1" t="s">
        <v>429</v>
      </c>
      <c r="F99" s="1" t="s">
        <v>1547</v>
      </c>
      <c r="G99" s="1" t="s">
        <v>1548</v>
      </c>
      <c r="H99" s="1" t="s">
        <v>76</v>
      </c>
      <c r="I99" s="1" t="s">
        <v>229</v>
      </c>
      <c r="J99" s="1" t="s">
        <v>53</v>
      </c>
      <c r="K99" s="1" t="s">
        <v>53</v>
      </c>
      <c r="L99" s="1" t="s">
        <v>821</v>
      </c>
      <c r="M99" s="1" t="s">
        <v>311</v>
      </c>
      <c r="N99" s="1" t="s">
        <v>156</v>
      </c>
      <c r="O99" s="1" t="s">
        <v>62</v>
      </c>
      <c r="P99" s="1" t="s">
        <v>1438</v>
      </c>
      <c r="Q99" s="1" t="s">
        <v>70</v>
      </c>
      <c r="R99" s="1" t="s">
        <v>57</v>
      </c>
      <c r="S99" s="1" t="s">
        <v>1206</v>
      </c>
      <c r="T99" s="69">
        <v>5.3319999999999999</v>
      </c>
      <c r="U99" s="70">
        <v>49218</v>
      </c>
      <c r="V99" s="68">
        <v>3.3000000000000002E-2</v>
      </c>
      <c r="W99" s="68">
        <v>2.8400000000000002E-2</v>
      </c>
      <c r="X99" s="1" t="s">
        <v>636</v>
      </c>
      <c r="Y99" s="140" t="s">
        <v>2853</v>
      </c>
      <c r="Z99" s="67">
        <v>403846.16</v>
      </c>
      <c r="AA99" s="67">
        <v>1</v>
      </c>
      <c r="AB99" s="67">
        <v>112.78</v>
      </c>
      <c r="AC99" s="67">
        <v>0</v>
      </c>
      <c r="AD99" s="67">
        <v>455.45769999999999</v>
      </c>
      <c r="AE99" s="140" t="s">
        <v>2853</v>
      </c>
      <c r="AF99" s="140" t="s">
        <v>2853</v>
      </c>
      <c r="AG99" s="1" t="s">
        <v>17</v>
      </c>
      <c r="AH99" s="68">
        <v>3.5019455700000001E-4</v>
      </c>
      <c r="AI99" s="68">
        <f t="shared" si="1"/>
        <v>8.5861297624739708E-4</v>
      </c>
      <c r="AJ99" s="68">
        <f>+AD99/'סכום נכסים'!$B$30</f>
        <v>1.0568769965712489E-4</v>
      </c>
    </row>
    <row r="100" spans="1:36" x14ac:dyDescent="0.25">
      <c r="A100" s="1">
        <v>13908</v>
      </c>
      <c r="B100" s="1">
        <v>13908</v>
      </c>
      <c r="C100" s="1" t="s">
        <v>1549</v>
      </c>
      <c r="D100" s="1">
        <v>520025438</v>
      </c>
      <c r="E100" s="1" t="s">
        <v>429</v>
      </c>
      <c r="F100" s="1" t="s">
        <v>1550</v>
      </c>
      <c r="G100" s="1" t="s">
        <v>1551</v>
      </c>
      <c r="H100" s="1" t="s">
        <v>76</v>
      </c>
      <c r="I100" s="1" t="s">
        <v>229</v>
      </c>
      <c r="J100" s="1" t="s">
        <v>53</v>
      </c>
      <c r="K100" s="1" t="s">
        <v>53</v>
      </c>
      <c r="L100" s="1" t="s">
        <v>821</v>
      </c>
      <c r="M100" s="1" t="s">
        <v>311</v>
      </c>
      <c r="N100" s="1" t="s">
        <v>651</v>
      </c>
      <c r="O100" s="1" t="s">
        <v>62</v>
      </c>
      <c r="P100" s="1" t="s">
        <v>1292</v>
      </c>
      <c r="Q100" s="1" t="s">
        <v>65</v>
      </c>
      <c r="R100" s="1" t="s">
        <v>57</v>
      </c>
      <c r="S100" s="1" t="s">
        <v>1206</v>
      </c>
      <c r="T100" s="69">
        <v>3.161</v>
      </c>
      <c r="U100" s="70">
        <v>47300</v>
      </c>
      <c r="V100" s="68">
        <v>3.6200000000000003E-2</v>
      </c>
      <c r="W100" s="68">
        <v>2.5899999999999999E-2</v>
      </c>
      <c r="X100" s="1" t="s">
        <v>636</v>
      </c>
      <c r="Y100" s="140" t="s">
        <v>2853</v>
      </c>
      <c r="Z100" s="67">
        <v>436800.03</v>
      </c>
      <c r="AA100" s="67">
        <v>1</v>
      </c>
      <c r="AB100" s="67">
        <v>112.39</v>
      </c>
      <c r="AC100" s="67">
        <v>0</v>
      </c>
      <c r="AD100" s="67">
        <v>490.91955000000002</v>
      </c>
      <c r="AE100" s="140" t="s">
        <v>2853</v>
      </c>
      <c r="AF100" s="140" t="s">
        <v>2853</v>
      </c>
      <c r="AG100" s="1" t="s">
        <v>17</v>
      </c>
      <c r="AH100" s="68">
        <v>2.4473169199999998E-4</v>
      </c>
      <c r="AI100" s="68">
        <f t="shared" si="1"/>
        <v>9.2546441946976163E-4</v>
      </c>
      <c r="AJ100" s="68">
        <f>+AD100/'סכום נכסים'!$B$30</f>
        <v>1.1391652387523783E-4</v>
      </c>
    </row>
    <row r="101" spans="1:36" x14ac:dyDescent="0.25">
      <c r="A101" s="1">
        <v>13908</v>
      </c>
      <c r="B101" s="1">
        <v>13908</v>
      </c>
      <c r="C101" s="1" t="s">
        <v>1340</v>
      </c>
      <c r="D101" s="1">
        <v>515327120</v>
      </c>
      <c r="E101" s="1" t="s">
        <v>429</v>
      </c>
      <c r="F101" s="1" t="s">
        <v>1552</v>
      </c>
      <c r="G101" s="1" t="s">
        <v>1553</v>
      </c>
      <c r="H101" s="1" t="s">
        <v>76</v>
      </c>
      <c r="I101" s="1" t="s">
        <v>229</v>
      </c>
      <c r="J101" s="1" t="s">
        <v>53</v>
      </c>
      <c r="K101" s="1" t="s">
        <v>53</v>
      </c>
      <c r="L101" s="1" t="s">
        <v>821</v>
      </c>
      <c r="M101" s="1" t="s">
        <v>311</v>
      </c>
      <c r="N101" s="1" t="s">
        <v>651</v>
      </c>
      <c r="O101" s="1" t="s">
        <v>62</v>
      </c>
      <c r="P101" s="1" t="s">
        <v>1311</v>
      </c>
      <c r="Q101" s="1" t="s">
        <v>70</v>
      </c>
      <c r="R101" s="1" t="s">
        <v>57</v>
      </c>
      <c r="S101" s="1" t="s">
        <v>1206</v>
      </c>
      <c r="T101" s="69">
        <v>5.0540000000000003</v>
      </c>
      <c r="U101" s="70">
        <v>48213</v>
      </c>
      <c r="V101" s="68">
        <v>3.1800000000000002E-2</v>
      </c>
      <c r="W101" s="68">
        <v>2.63E-2</v>
      </c>
      <c r="X101" s="1" t="s">
        <v>636</v>
      </c>
      <c r="Y101" s="140" t="s">
        <v>2853</v>
      </c>
      <c r="Z101" s="67">
        <v>164350</v>
      </c>
      <c r="AA101" s="67">
        <v>1</v>
      </c>
      <c r="AB101" s="67">
        <v>111.73</v>
      </c>
      <c r="AC101" s="67">
        <v>0</v>
      </c>
      <c r="AD101" s="67">
        <v>183.62825000000001</v>
      </c>
      <c r="AE101" s="140" t="s">
        <v>2853</v>
      </c>
      <c r="AF101" s="140" t="s">
        <v>2853</v>
      </c>
      <c r="AG101" s="1" t="s">
        <v>17</v>
      </c>
      <c r="AH101" s="68">
        <v>3.6019861199999999E-4</v>
      </c>
      <c r="AI101" s="68">
        <f t="shared" si="1"/>
        <v>3.4616957459628213E-4</v>
      </c>
      <c r="AJ101" s="68">
        <f>+AD101/'סכום נכסים'!$B$30</f>
        <v>4.2610427564543192E-5</v>
      </c>
    </row>
    <row r="102" spans="1:36" x14ac:dyDescent="0.25">
      <c r="A102" s="1">
        <v>13908</v>
      </c>
      <c r="B102" s="1">
        <v>13908</v>
      </c>
      <c r="C102" s="1" t="s">
        <v>1554</v>
      </c>
      <c r="D102" s="1">
        <v>520038910</v>
      </c>
      <c r="E102" s="1" t="s">
        <v>429</v>
      </c>
      <c r="F102" s="1" t="s">
        <v>1555</v>
      </c>
      <c r="G102" s="1" t="s">
        <v>1556</v>
      </c>
      <c r="H102" s="1" t="s">
        <v>76</v>
      </c>
      <c r="I102" s="1" t="s">
        <v>228</v>
      </c>
      <c r="J102" s="1" t="s">
        <v>53</v>
      </c>
      <c r="K102" s="1" t="s">
        <v>53</v>
      </c>
      <c r="L102" s="1" t="s">
        <v>821</v>
      </c>
      <c r="M102" s="1" t="s">
        <v>311</v>
      </c>
      <c r="N102" s="1" t="s">
        <v>651</v>
      </c>
      <c r="O102" s="120" t="s">
        <v>55</v>
      </c>
      <c r="P102" s="1" t="s">
        <v>1285</v>
      </c>
      <c r="Q102" s="1" t="s">
        <v>65</v>
      </c>
      <c r="R102" s="1" t="s">
        <v>57</v>
      </c>
      <c r="S102" s="1" t="s">
        <v>1206</v>
      </c>
      <c r="T102" s="69">
        <v>3.6539999999999999</v>
      </c>
      <c r="U102" s="70">
        <v>48213</v>
      </c>
      <c r="V102" s="68">
        <v>4.8899999999999999E-2</v>
      </c>
      <c r="W102" s="68">
        <v>4.3200000000000002E-2</v>
      </c>
      <c r="X102" s="1" t="s">
        <v>636</v>
      </c>
      <c r="Y102" s="140" t="s">
        <v>2853</v>
      </c>
      <c r="Z102" s="67">
        <v>4042000</v>
      </c>
      <c r="AA102" s="67">
        <v>1</v>
      </c>
      <c r="AB102" s="67">
        <v>102.23</v>
      </c>
      <c r="AC102" s="67">
        <v>0</v>
      </c>
      <c r="AD102" s="67">
        <v>4132.1365999999998</v>
      </c>
      <c r="AE102" s="140" t="s">
        <v>2853</v>
      </c>
      <c r="AF102" s="140" t="s">
        <v>2853</v>
      </c>
      <c r="AG102" s="1" t="s">
        <v>17</v>
      </c>
      <c r="AH102" s="68">
        <v>8.7869947260000008E-3</v>
      </c>
      <c r="AI102" s="68">
        <f t="shared" si="1"/>
        <v>7.7897598490195685E-3</v>
      </c>
      <c r="AJ102" s="68">
        <f>+AD102/'סכום נכסים'!$B$30</f>
        <v>9.5885087006545981E-4</v>
      </c>
    </row>
    <row r="103" spans="1:36" x14ac:dyDescent="0.25">
      <c r="A103" s="1">
        <v>13908</v>
      </c>
      <c r="B103" s="1">
        <v>13908</v>
      </c>
      <c r="C103" s="1" t="s">
        <v>1557</v>
      </c>
      <c r="D103" s="1" t="s">
        <v>1558</v>
      </c>
      <c r="E103" s="1" t="s">
        <v>430</v>
      </c>
      <c r="F103" s="1" t="s">
        <v>1559</v>
      </c>
      <c r="G103" s="1" t="s">
        <v>1560</v>
      </c>
      <c r="H103" s="1" t="s">
        <v>76</v>
      </c>
      <c r="I103" s="1" t="s">
        <v>230</v>
      </c>
      <c r="J103" s="1" t="s">
        <v>53</v>
      </c>
      <c r="K103" s="1" t="s">
        <v>314</v>
      </c>
      <c r="L103" s="1" t="s">
        <v>821</v>
      </c>
      <c r="M103" s="1" t="s">
        <v>311</v>
      </c>
      <c r="N103" s="1" t="s">
        <v>649</v>
      </c>
      <c r="O103" s="1" t="s">
        <v>62</v>
      </c>
      <c r="P103" s="1" t="s">
        <v>1323</v>
      </c>
      <c r="Q103" s="1" t="s">
        <v>70</v>
      </c>
      <c r="R103" s="1" t="s">
        <v>57</v>
      </c>
      <c r="S103" s="1" t="s">
        <v>1206</v>
      </c>
      <c r="T103" s="69">
        <v>0.64900000000000002</v>
      </c>
      <c r="U103" s="70">
        <v>46265</v>
      </c>
      <c r="V103" s="68">
        <v>7.5300000000000006E-2</v>
      </c>
      <c r="W103" s="68">
        <v>8.8599999999999998E-2</v>
      </c>
      <c r="X103" s="1" t="s">
        <v>636</v>
      </c>
      <c r="Y103" s="140" t="s">
        <v>2853</v>
      </c>
      <c r="Z103" s="67">
        <v>1201000</v>
      </c>
      <c r="AA103" s="67">
        <v>1</v>
      </c>
      <c r="AB103" s="67">
        <v>87</v>
      </c>
      <c r="AC103" s="67">
        <v>0</v>
      </c>
      <c r="AD103" s="67">
        <v>1044.8699999999999</v>
      </c>
      <c r="AE103" s="140" t="s">
        <v>2853</v>
      </c>
      <c r="AF103" s="140" t="s">
        <v>2853</v>
      </c>
      <c r="AG103" s="1" t="s">
        <v>17</v>
      </c>
      <c r="AH103" s="68">
        <v>2.852688306E-3</v>
      </c>
      <c r="AI103" s="68">
        <f t="shared" si="1"/>
        <v>1.9697524940112282E-3</v>
      </c>
      <c r="AJ103" s="68">
        <f>+AD103/'סכום נכסים'!$B$30</f>
        <v>2.4245919377527281E-4</v>
      </c>
    </row>
    <row r="104" spans="1:36" x14ac:dyDescent="0.25">
      <c r="A104" s="1">
        <v>13908</v>
      </c>
      <c r="B104" s="1">
        <v>13908</v>
      </c>
      <c r="C104" s="1" t="s">
        <v>1561</v>
      </c>
      <c r="D104" s="1">
        <v>520037789</v>
      </c>
      <c r="E104" s="1" t="s">
        <v>429</v>
      </c>
      <c r="F104" s="1" t="s">
        <v>1562</v>
      </c>
      <c r="G104" s="1" t="s">
        <v>1563</v>
      </c>
      <c r="H104" s="1" t="s">
        <v>76</v>
      </c>
      <c r="I104" s="1" t="s">
        <v>229</v>
      </c>
      <c r="J104" s="1" t="s">
        <v>53</v>
      </c>
      <c r="K104" s="1" t="s">
        <v>53</v>
      </c>
      <c r="L104" s="1" t="s">
        <v>821</v>
      </c>
      <c r="M104" s="1" t="s">
        <v>311</v>
      </c>
      <c r="N104" s="1" t="s">
        <v>651</v>
      </c>
      <c r="O104" s="1" t="s">
        <v>62</v>
      </c>
      <c r="P104" s="1" t="s">
        <v>1285</v>
      </c>
      <c r="Q104" s="1" t="s">
        <v>65</v>
      </c>
      <c r="R104" s="1" t="s">
        <v>57</v>
      </c>
      <c r="S104" s="1" t="s">
        <v>1206</v>
      </c>
      <c r="T104" s="69">
        <v>5.32</v>
      </c>
      <c r="U104" s="70">
        <v>50041</v>
      </c>
      <c r="V104" s="68">
        <v>3.61E-2</v>
      </c>
      <c r="W104" s="68">
        <v>2.5999999999999999E-2</v>
      </c>
      <c r="X104" s="1" t="s">
        <v>636</v>
      </c>
      <c r="Y104" s="140" t="s">
        <v>2853</v>
      </c>
      <c r="Z104" s="67">
        <v>2311884.2000000002</v>
      </c>
      <c r="AA104" s="67">
        <v>1</v>
      </c>
      <c r="AB104" s="67">
        <v>114.15</v>
      </c>
      <c r="AC104" s="67">
        <v>42.361550000000001</v>
      </c>
      <c r="AD104" s="67">
        <v>2681.37736</v>
      </c>
      <c r="AE104" s="140" t="s">
        <v>2853</v>
      </c>
      <c r="AF104" s="140" t="s">
        <v>2853</v>
      </c>
      <c r="AG104" s="1" t="s">
        <v>17</v>
      </c>
      <c r="AH104" s="68">
        <v>9.4613178700000001E-4</v>
      </c>
      <c r="AI104" s="68">
        <f t="shared" si="1"/>
        <v>5.0548391113203004E-3</v>
      </c>
      <c r="AJ104" s="68">
        <f>+AD104/'סכום נכסים'!$B$30</f>
        <v>6.2220620068799892E-4</v>
      </c>
    </row>
    <row r="105" spans="1:36" x14ac:dyDescent="0.25">
      <c r="A105" s="1">
        <v>13908</v>
      </c>
      <c r="B105" s="1">
        <v>13908</v>
      </c>
      <c r="C105" s="1" t="s">
        <v>1564</v>
      </c>
      <c r="D105" s="1">
        <v>514290345</v>
      </c>
      <c r="E105" s="1" t="s">
        <v>429</v>
      </c>
      <c r="F105" s="1" t="s">
        <v>1565</v>
      </c>
      <c r="G105" s="1" t="s">
        <v>1566</v>
      </c>
      <c r="H105" s="1" t="s">
        <v>76</v>
      </c>
      <c r="I105" s="1" t="s">
        <v>229</v>
      </c>
      <c r="J105" s="1" t="s">
        <v>53</v>
      </c>
      <c r="K105" s="1" t="s">
        <v>53</v>
      </c>
      <c r="L105" s="1" t="s">
        <v>821</v>
      </c>
      <c r="M105" s="1" t="s">
        <v>311</v>
      </c>
      <c r="N105" s="1" t="s">
        <v>269</v>
      </c>
      <c r="O105" s="1" t="s">
        <v>62</v>
      </c>
      <c r="P105" s="1" t="s">
        <v>1281</v>
      </c>
      <c r="Q105" s="1" t="s">
        <v>65</v>
      </c>
      <c r="R105" s="1" t="s">
        <v>57</v>
      </c>
      <c r="S105" s="1" t="s">
        <v>1206</v>
      </c>
      <c r="T105" s="69">
        <v>5.7039999999999997</v>
      </c>
      <c r="U105" s="70">
        <v>62494</v>
      </c>
      <c r="V105" s="68">
        <v>2.0899999999999998E-2</v>
      </c>
      <c r="W105" s="68">
        <v>2.4799999999999999E-2</v>
      </c>
      <c r="X105" s="1" t="s">
        <v>636</v>
      </c>
      <c r="Y105" s="140" t="s">
        <v>2853</v>
      </c>
      <c r="Z105" s="67">
        <v>50000</v>
      </c>
      <c r="AA105" s="67">
        <v>1</v>
      </c>
      <c r="AB105" s="67">
        <v>114.75</v>
      </c>
      <c r="AC105" s="67">
        <v>0</v>
      </c>
      <c r="AD105" s="67">
        <v>57.375</v>
      </c>
      <c r="AE105" s="140" t="s">
        <v>2853</v>
      </c>
      <c r="AF105" s="140" t="s">
        <v>2853</v>
      </c>
      <c r="AG105" s="1" t="s">
        <v>17</v>
      </c>
      <c r="AH105" s="68">
        <v>3.2390762154633499E-5</v>
      </c>
      <c r="AI105" s="68">
        <f t="shared" si="1"/>
        <v>1.0816134958788578E-4</v>
      </c>
      <c r="AJ105" s="68">
        <f>+AD105/'סכום נכסים'!$B$30</f>
        <v>1.3313710071928832E-5</v>
      </c>
    </row>
    <row r="106" spans="1:36" x14ac:dyDescent="0.25">
      <c r="A106" s="1">
        <v>13908</v>
      </c>
      <c r="B106" s="1">
        <v>13908</v>
      </c>
      <c r="C106" s="1" t="s">
        <v>1286</v>
      </c>
      <c r="D106" s="1">
        <v>511659401</v>
      </c>
      <c r="E106" s="1" t="s">
        <v>429</v>
      </c>
      <c r="F106" s="1" t="s">
        <v>1567</v>
      </c>
      <c r="G106" s="1" t="s">
        <v>1568</v>
      </c>
      <c r="H106" s="1" t="s">
        <v>76</v>
      </c>
      <c r="I106" s="1" t="s">
        <v>228</v>
      </c>
      <c r="J106" s="1" t="s">
        <v>53</v>
      </c>
      <c r="K106" s="1" t="s">
        <v>53</v>
      </c>
      <c r="L106" s="1" t="s">
        <v>821</v>
      </c>
      <c r="M106" s="1" t="s">
        <v>311</v>
      </c>
      <c r="N106" s="1" t="s">
        <v>651</v>
      </c>
      <c r="O106" s="1" t="s">
        <v>62</v>
      </c>
      <c r="P106" s="1" t="s">
        <v>1285</v>
      </c>
      <c r="Q106" s="1" t="s">
        <v>65</v>
      </c>
      <c r="R106" s="1" t="s">
        <v>57</v>
      </c>
      <c r="S106" s="1" t="s">
        <v>1206</v>
      </c>
      <c r="T106" s="69">
        <v>1.9359999999999999</v>
      </c>
      <c r="U106" s="70">
        <v>47238</v>
      </c>
      <c r="V106" s="68">
        <v>0.05</v>
      </c>
      <c r="W106" s="68">
        <v>4.24E-2</v>
      </c>
      <c r="X106" s="1" t="s">
        <v>636</v>
      </c>
      <c r="Y106" s="140" t="s">
        <v>2853</v>
      </c>
      <c r="Z106" s="67">
        <v>306250</v>
      </c>
      <c r="AA106" s="67">
        <v>1</v>
      </c>
      <c r="AB106" s="67">
        <v>102.39</v>
      </c>
      <c r="AC106" s="67">
        <v>0</v>
      </c>
      <c r="AD106" s="67">
        <v>313.56936999999999</v>
      </c>
      <c r="AE106" s="140" t="s">
        <v>2853</v>
      </c>
      <c r="AF106" s="140" t="s">
        <v>2853</v>
      </c>
      <c r="AG106" s="1" t="s">
        <v>17</v>
      </c>
      <c r="AH106" s="68">
        <v>6.2103929000000002E-4</v>
      </c>
      <c r="AI106" s="68">
        <f t="shared" si="1"/>
        <v>5.9113004354898651E-4</v>
      </c>
      <c r="AJ106" s="68">
        <f>+AD106/'סכום נכסים'!$B$30</f>
        <v>7.2762905091370428E-5</v>
      </c>
    </row>
    <row r="107" spans="1:36" x14ac:dyDescent="0.25">
      <c r="A107" s="1">
        <v>13908</v>
      </c>
      <c r="B107" s="1">
        <v>13908</v>
      </c>
      <c r="C107" s="1" t="s">
        <v>1286</v>
      </c>
      <c r="D107" s="1">
        <v>511659401</v>
      </c>
      <c r="E107" s="1" t="s">
        <v>429</v>
      </c>
      <c r="F107" s="1" t="s">
        <v>1569</v>
      </c>
      <c r="G107" s="1" t="s">
        <v>1570</v>
      </c>
      <c r="H107" s="1" t="s">
        <v>76</v>
      </c>
      <c r="I107" s="1" t="s">
        <v>229</v>
      </c>
      <c r="J107" s="1" t="s">
        <v>53</v>
      </c>
      <c r="K107" s="1" t="s">
        <v>53</v>
      </c>
      <c r="L107" s="1" t="s">
        <v>821</v>
      </c>
      <c r="M107" s="1" t="s">
        <v>311</v>
      </c>
      <c r="N107" s="1" t="s">
        <v>651</v>
      </c>
      <c r="O107" s="1" t="s">
        <v>62</v>
      </c>
      <c r="P107" s="1" t="s">
        <v>1285</v>
      </c>
      <c r="Q107" s="1" t="s">
        <v>65</v>
      </c>
      <c r="R107" s="1" t="s">
        <v>57</v>
      </c>
      <c r="S107" s="1" t="s">
        <v>1206</v>
      </c>
      <c r="T107" s="69">
        <v>7.1840000000000002</v>
      </c>
      <c r="U107" s="70">
        <v>50891</v>
      </c>
      <c r="V107" s="68">
        <v>2.64E-2</v>
      </c>
      <c r="W107" s="68">
        <v>2.3900000000000001E-2</v>
      </c>
      <c r="X107" s="1" t="s">
        <v>636</v>
      </c>
      <c r="Y107" s="140" t="s">
        <v>2853</v>
      </c>
      <c r="Z107" s="67">
        <v>422000</v>
      </c>
      <c r="AA107" s="67">
        <v>1</v>
      </c>
      <c r="AB107" s="67">
        <v>110.34</v>
      </c>
      <c r="AC107" s="67">
        <v>0</v>
      </c>
      <c r="AD107" s="67">
        <v>465.63479999999998</v>
      </c>
      <c r="AE107" s="140" t="s">
        <v>2853</v>
      </c>
      <c r="AF107" s="140" t="s">
        <v>2853</v>
      </c>
      <c r="AG107" s="1" t="s">
        <v>17</v>
      </c>
      <c r="AH107" s="68">
        <v>1.4066666659999999E-3</v>
      </c>
      <c r="AI107" s="68">
        <f t="shared" si="1"/>
        <v>8.7779849033699827E-4</v>
      </c>
      <c r="AJ107" s="68">
        <f>+AD107/'סכום נכסים'!$B$30</f>
        <v>1.0804926756602295E-4</v>
      </c>
    </row>
    <row r="108" spans="1:36" x14ac:dyDescent="0.25">
      <c r="A108" s="1">
        <v>13908</v>
      </c>
      <c r="B108" s="1">
        <v>13908</v>
      </c>
      <c r="C108" s="1" t="s">
        <v>1571</v>
      </c>
      <c r="D108" s="1">
        <v>520000472</v>
      </c>
      <c r="E108" s="1" t="s">
        <v>429</v>
      </c>
      <c r="F108" s="1" t="s">
        <v>1572</v>
      </c>
      <c r="G108" s="1" t="s">
        <v>1573</v>
      </c>
      <c r="H108" s="1" t="s">
        <v>76</v>
      </c>
      <c r="I108" s="1" t="s">
        <v>229</v>
      </c>
      <c r="J108" s="1" t="s">
        <v>53</v>
      </c>
      <c r="K108" s="1" t="s">
        <v>53</v>
      </c>
      <c r="L108" s="1" t="s">
        <v>821</v>
      </c>
      <c r="M108" s="1" t="s">
        <v>311</v>
      </c>
      <c r="N108" s="1" t="s">
        <v>156</v>
      </c>
      <c r="O108" s="1" t="s">
        <v>62</v>
      </c>
      <c r="P108" s="1" t="s">
        <v>1205</v>
      </c>
      <c r="Q108" s="1" t="s">
        <v>65</v>
      </c>
      <c r="R108" s="1" t="s">
        <v>57</v>
      </c>
      <c r="S108" s="1" t="s">
        <v>1206</v>
      </c>
      <c r="T108" s="69">
        <v>6.7389999999999999</v>
      </c>
      <c r="U108" s="70">
        <v>48742</v>
      </c>
      <c r="V108" s="68">
        <v>0.03</v>
      </c>
      <c r="W108" s="68">
        <v>2.3800000000000002E-2</v>
      </c>
      <c r="X108" s="1" t="s">
        <v>636</v>
      </c>
      <c r="Y108" s="140" t="s">
        <v>2853</v>
      </c>
      <c r="Z108" s="67">
        <v>1017000</v>
      </c>
      <c r="AA108" s="67">
        <v>1</v>
      </c>
      <c r="AB108" s="67">
        <v>111.73</v>
      </c>
      <c r="AC108" s="67">
        <v>0</v>
      </c>
      <c r="AD108" s="67">
        <v>1136.2941000000001</v>
      </c>
      <c r="AE108" s="140" t="s">
        <v>2853</v>
      </c>
      <c r="AF108" s="140" t="s">
        <v>2853</v>
      </c>
      <c r="AG108" s="1" t="s">
        <v>17</v>
      </c>
      <c r="AH108" s="68">
        <v>2.4927667999999998E-4</v>
      </c>
      <c r="AI108" s="68">
        <f t="shared" si="1"/>
        <v>2.1421020197778134E-3</v>
      </c>
      <c r="AJ108" s="68">
        <f>+AD108/'סכום נכסים'!$B$30</f>
        <v>2.6367390333495964E-4</v>
      </c>
    </row>
    <row r="109" spans="1:36" x14ac:dyDescent="0.25">
      <c r="A109" s="1">
        <v>13908</v>
      </c>
      <c r="B109" s="1">
        <v>13908</v>
      </c>
      <c r="C109" s="1" t="s">
        <v>1571</v>
      </c>
      <c r="D109" s="1">
        <v>520000472</v>
      </c>
      <c r="E109" s="1" t="s">
        <v>429</v>
      </c>
      <c r="F109" s="1" t="s">
        <v>1574</v>
      </c>
      <c r="G109" s="1" t="s">
        <v>1575</v>
      </c>
      <c r="H109" s="1" t="s">
        <v>76</v>
      </c>
      <c r="I109" s="1" t="s">
        <v>229</v>
      </c>
      <c r="J109" s="1" t="s">
        <v>53</v>
      </c>
      <c r="K109" s="1" t="s">
        <v>53</v>
      </c>
      <c r="L109" s="1" t="s">
        <v>821</v>
      </c>
      <c r="M109" s="1" t="s">
        <v>311</v>
      </c>
      <c r="N109" s="1" t="s">
        <v>156</v>
      </c>
      <c r="O109" s="1" t="s">
        <v>62</v>
      </c>
      <c r="P109" s="1" t="s">
        <v>1205</v>
      </c>
      <c r="Q109" s="1" t="s">
        <v>65</v>
      </c>
      <c r="R109" s="1" t="s">
        <v>57</v>
      </c>
      <c r="S109" s="1" t="s">
        <v>1206</v>
      </c>
      <c r="T109" s="69">
        <v>9.7279999999999998</v>
      </c>
      <c r="U109" s="70">
        <v>50203</v>
      </c>
      <c r="V109" s="68">
        <v>3.2000000000000001E-2</v>
      </c>
      <c r="W109" s="68">
        <v>2.5700000000000001E-2</v>
      </c>
      <c r="X109" s="1" t="s">
        <v>636</v>
      </c>
      <c r="Y109" s="140" t="s">
        <v>2853</v>
      </c>
      <c r="Z109" s="67">
        <v>1783900</v>
      </c>
      <c r="AA109" s="67">
        <v>1</v>
      </c>
      <c r="AB109" s="67">
        <v>113.96</v>
      </c>
      <c r="AC109" s="67">
        <v>0</v>
      </c>
      <c r="AD109" s="67">
        <v>2032.93244</v>
      </c>
      <c r="AE109" s="140" t="s">
        <v>2853</v>
      </c>
      <c r="AF109" s="140" t="s">
        <v>2853</v>
      </c>
      <c r="AG109" s="1" t="s">
        <v>17</v>
      </c>
      <c r="AH109" s="68">
        <v>3.6226814500000003E-4</v>
      </c>
      <c r="AI109" s="68">
        <f t="shared" si="1"/>
        <v>3.8324133565384513E-3</v>
      </c>
      <c r="AJ109" s="68">
        <f>+AD109/'סכום נכסים'!$B$30</f>
        <v>4.7173635036128723E-4</v>
      </c>
    </row>
    <row r="110" spans="1:36" x14ac:dyDescent="0.25">
      <c r="A110" s="1">
        <v>13908</v>
      </c>
      <c r="B110" s="1">
        <v>13908</v>
      </c>
      <c r="C110" s="1" t="s">
        <v>1507</v>
      </c>
      <c r="D110" s="1">
        <v>520032046</v>
      </c>
      <c r="E110" s="1" t="s">
        <v>429</v>
      </c>
      <c r="F110" s="1" t="s">
        <v>1576</v>
      </c>
      <c r="G110" s="1" t="s">
        <v>1577</v>
      </c>
      <c r="H110" s="1" t="s">
        <v>76</v>
      </c>
      <c r="I110" s="1" t="s">
        <v>229</v>
      </c>
      <c r="J110" s="1" t="s">
        <v>53</v>
      </c>
      <c r="K110" s="1" t="s">
        <v>53</v>
      </c>
      <c r="L110" s="1" t="s">
        <v>821</v>
      </c>
      <c r="M110" s="1" t="s">
        <v>311</v>
      </c>
      <c r="N110" s="1" t="s">
        <v>256</v>
      </c>
      <c r="O110" s="1" t="s">
        <v>62</v>
      </c>
      <c r="P110" s="1" t="s">
        <v>1205</v>
      </c>
      <c r="Q110" s="1" t="s">
        <v>65</v>
      </c>
      <c r="R110" s="1" t="s">
        <v>57</v>
      </c>
      <c r="S110" s="1" t="s">
        <v>1206</v>
      </c>
      <c r="T110" s="69">
        <v>3.7320000000000002</v>
      </c>
      <c r="U110" s="70">
        <v>48742</v>
      </c>
      <c r="V110" s="68">
        <v>2.06E-2</v>
      </c>
      <c r="W110" s="68">
        <v>2.2200000000000001E-2</v>
      </c>
      <c r="X110" s="1" t="s">
        <v>636</v>
      </c>
      <c r="Y110" s="140" t="s">
        <v>2853</v>
      </c>
      <c r="Z110" s="67">
        <v>3413707.6</v>
      </c>
      <c r="AA110" s="67">
        <v>1</v>
      </c>
      <c r="AB110" s="67">
        <v>107.55</v>
      </c>
      <c r="AC110" s="67">
        <v>0</v>
      </c>
      <c r="AD110" s="67">
        <v>3671.4425200000001</v>
      </c>
      <c r="AE110" s="140" t="s">
        <v>2853</v>
      </c>
      <c r="AF110" s="140" t="s">
        <v>2853</v>
      </c>
      <c r="AG110" s="1" t="s">
        <v>17</v>
      </c>
      <c r="AH110" s="68">
        <v>2.1334637769999999E-3</v>
      </c>
      <c r="AI110" s="68">
        <f t="shared" si="1"/>
        <v>6.9212754317655488E-3</v>
      </c>
      <c r="AJ110" s="68">
        <f>+AD110/'סכום נכסים'!$B$30</f>
        <v>8.5194808291122915E-4</v>
      </c>
    </row>
    <row r="111" spans="1:36" x14ac:dyDescent="0.25">
      <c r="A111" s="1">
        <v>13908</v>
      </c>
      <c r="B111" s="1">
        <v>13908</v>
      </c>
      <c r="C111" s="1" t="s">
        <v>1578</v>
      </c>
      <c r="D111" s="1">
        <v>520042763</v>
      </c>
      <c r="E111" s="1" t="s">
        <v>429</v>
      </c>
      <c r="F111" s="1" t="s">
        <v>1579</v>
      </c>
      <c r="G111" s="1" t="s">
        <v>1580</v>
      </c>
      <c r="H111" s="1" t="s">
        <v>76</v>
      </c>
      <c r="I111" s="1" t="s">
        <v>623</v>
      </c>
      <c r="J111" s="1" t="s">
        <v>53</v>
      </c>
      <c r="K111" s="1" t="s">
        <v>53</v>
      </c>
      <c r="L111" s="1" t="s">
        <v>821</v>
      </c>
      <c r="M111" s="1" t="s">
        <v>311</v>
      </c>
      <c r="N111" s="1" t="s">
        <v>259</v>
      </c>
      <c r="O111" s="120" t="s">
        <v>55</v>
      </c>
      <c r="P111" s="1" t="s">
        <v>298</v>
      </c>
      <c r="Q111" s="1" t="s">
        <v>298</v>
      </c>
      <c r="R111" s="1" t="s">
        <v>298</v>
      </c>
      <c r="S111" s="1" t="s">
        <v>1206</v>
      </c>
      <c r="T111" s="69">
        <v>2.39</v>
      </c>
      <c r="U111" s="70">
        <v>46934</v>
      </c>
      <c r="V111" s="68">
        <v>4.8500000000000001E-2</v>
      </c>
      <c r="W111" s="68">
        <v>-1.5900000000000001E-2</v>
      </c>
      <c r="X111" s="1" t="s">
        <v>636</v>
      </c>
      <c r="Y111" s="140" t="s">
        <v>2853</v>
      </c>
      <c r="Z111" s="67">
        <v>588000</v>
      </c>
      <c r="AA111" s="67">
        <v>1</v>
      </c>
      <c r="AB111" s="67">
        <v>116.5</v>
      </c>
      <c r="AC111" s="67">
        <v>0</v>
      </c>
      <c r="AD111" s="67">
        <v>685.02</v>
      </c>
      <c r="AE111" s="140" t="s">
        <v>2853</v>
      </c>
      <c r="AF111" s="140" t="s">
        <v>2853</v>
      </c>
      <c r="AG111" s="1" t="s">
        <v>17</v>
      </c>
      <c r="AH111" s="68">
        <v>1.9599999999999999E-3</v>
      </c>
      <c r="AI111" s="68">
        <f t="shared" si="1"/>
        <v>1.2913758203868151E-3</v>
      </c>
      <c r="AJ111" s="68">
        <f>+AD111/'סכום נכסים'!$B$30</f>
        <v>1.5895699648754141E-4</v>
      </c>
    </row>
    <row r="112" spans="1:36" x14ac:dyDescent="0.25">
      <c r="A112" s="1">
        <v>13908</v>
      </c>
      <c r="B112" s="1">
        <v>13908</v>
      </c>
      <c r="C112" s="1" t="s">
        <v>1395</v>
      </c>
      <c r="D112" s="1">
        <v>520042847</v>
      </c>
      <c r="E112" s="1" t="s">
        <v>429</v>
      </c>
      <c r="F112" s="1" t="s">
        <v>1581</v>
      </c>
      <c r="G112" s="1" t="s">
        <v>1582</v>
      </c>
      <c r="H112" s="1" t="s">
        <v>76</v>
      </c>
      <c r="I112" s="1" t="s">
        <v>228</v>
      </c>
      <c r="J112" s="1" t="s">
        <v>53</v>
      </c>
      <c r="K112" s="1" t="s">
        <v>53</v>
      </c>
      <c r="L112" s="1" t="s">
        <v>821</v>
      </c>
      <c r="M112" s="1" t="s">
        <v>311</v>
      </c>
      <c r="N112" s="1" t="s">
        <v>708</v>
      </c>
      <c r="O112" s="1" t="s">
        <v>62</v>
      </c>
      <c r="P112" s="1" t="s">
        <v>1281</v>
      </c>
      <c r="Q112" s="1" t="s">
        <v>65</v>
      </c>
      <c r="R112" s="1" t="s">
        <v>57</v>
      </c>
      <c r="S112" s="1" t="s">
        <v>1206</v>
      </c>
      <c r="T112" s="69">
        <v>2.8809999999999998</v>
      </c>
      <c r="U112" s="70">
        <v>47664</v>
      </c>
      <c r="V112" s="68">
        <v>5.5E-2</v>
      </c>
      <c r="W112" s="68">
        <v>4.6100000000000002E-2</v>
      </c>
      <c r="X112" s="1" t="s">
        <v>636</v>
      </c>
      <c r="Y112" s="140" t="s">
        <v>2853</v>
      </c>
      <c r="Z112" s="67">
        <v>885959.6</v>
      </c>
      <c r="AA112" s="67">
        <v>1</v>
      </c>
      <c r="AB112" s="67">
        <v>102.7</v>
      </c>
      <c r="AC112" s="67">
        <v>0</v>
      </c>
      <c r="AD112" s="67">
        <v>909.88050999999996</v>
      </c>
      <c r="AE112" s="140" t="s">
        <v>2853</v>
      </c>
      <c r="AF112" s="140" t="s">
        <v>2853</v>
      </c>
      <c r="AG112" s="1" t="s">
        <v>17</v>
      </c>
      <c r="AH112" s="68">
        <v>7.3092478599999999E-4</v>
      </c>
      <c r="AI112" s="68">
        <f t="shared" si="1"/>
        <v>1.7152750139488243E-3</v>
      </c>
      <c r="AJ112" s="68">
        <f>+AD112/'סכום נכסים'!$B$30</f>
        <v>2.1113525595187348E-4</v>
      </c>
    </row>
    <row r="113" spans="1:36" x14ac:dyDescent="0.25">
      <c r="A113" s="1">
        <v>13908</v>
      </c>
      <c r="B113" s="1">
        <v>13908</v>
      </c>
      <c r="C113" s="1" t="s">
        <v>1583</v>
      </c>
      <c r="D113" s="1">
        <v>550263107</v>
      </c>
      <c r="E113" s="1" t="s">
        <v>432</v>
      </c>
      <c r="F113" s="1" t="s">
        <v>1584</v>
      </c>
      <c r="G113" s="1" t="s">
        <v>1585</v>
      </c>
      <c r="H113" s="1" t="s">
        <v>76</v>
      </c>
      <c r="I113" s="1" t="s">
        <v>228</v>
      </c>
      <c r="J113" s="1" t="s">
        <v>53</v>
      </c>
      <c r="K113" s="1" t="s">
        <v>53</v>
      </c>
      <c r="L113" s="1" t="s">
        <v>821</v>
      </c>
      <c r="M113" s="1" t="s">
        <v>311</v>
      </c>
      <c r="N113" s="1" t="s">
        <v>267</v>
      </c>
      <c r="O113" s="1" t="s">
        <v>62</v>
      </c>
      <c r="P113" s="1" t="s">
        <v>1414</v>
      </c>
      <c r="Q113" s="1" t="s">
        <v>65</v>
      </c>
      <c r="R113" s="1" t="s">
        <v>57</v>
      </c>
      <c r="S113" s="1" t="s">
        <v>1206</v>
      </c>
      <c r="T113" s="69">
        <v>2.121</v>
      </c>
      <c r="U113" s="70">
        <v>47118</v>
      </c>
      <c r="V113" s="68">
        <v>6.5000000000000002E-2</v>
      </c>
      <c r="W113" s="68">
        <v>4.8099999999999997E-2</v>
      </c>
      <c r="X113" s="1" t="s">
        <v>636</v>
      </c>
      <c r="Y113" s="140" t="s">
        <v>2853</v>
      </c>
      <c r="Z113" s="67">
        <v>150000</v>
      </c>
      <c r="AA113" s="67">
        <v>1</v>
      </c>
      <c r="AB113" s="67">
        <v>103.66</v>
      </c>
      <c r="AC113" s="67">
        <v>0</v>
      </c>
      <c r="AD113" s="67">
        <v>155.49</v>
      </c>
      <c r="AE113" s="140" t="s">
        <v>2853</v>
      </c>
      <c r="AF113" s="140" t="s">
        <v>2853</v>
      </c>
      <c r="AG113" s="1" t="s">
        <v>17</v>
      </c>
      <c r="AH113" s="68">
        <v>2.9999999999999997E-4</v>
      </c>
      <c r="AI113" s="68">
        <f t="shared" si="1"/>
        <v>2.9312432675242462E-4</v>
      </c>
      <c r="AJ113" s="68">
        <f>+AD113/'סכום נכסים'!$B$30</f>
        <v>3.6081024472056023E-5</v>
      </c>
    </row>
    <row r="114" spans="1:36" x14ac:dyDescent="0.25">
      <c r="A114" s="1">
        <v>13908</v>
      </c>
      <c r="B114" s="1">
        <v>13908</v>
      </c>
      <c r="C114" s="1" t="s">
        <v>1586</v>
      </c>
      <c r="D114" s="1">
        <v>513754069</v>
      </c>
      <c r="E114" s="1" t="s">
        <v>429</v>
      </c>
      <c r="F114" s="1" t="s">
        <v>1587</v>
      </c>
      <c r="G114" s="1" t="s">
        <v>1588</v>
      </c>
      <c r="H114" s="1" t="s">
        <v>76</v>
      </c>
      <c r="I114" s="1" t="s">
        <v>228</v>
      </c>
      <c r="J114" s="1" t="s">
        <v>53</v>
      </c>
      <c r="K114" s="1" t="s">
        <v>53</v>
      </c>
      <c r="L114" s="1" t="s">
        <v>821</v>
      </c>
      <c r="M114" s="1" t="s">
        <v>311</v>
      </c>
      <c r="N114" s="1" t="s">
        <v>269</v>
      </c>
      <c r="O114" s="1" t="s">
        <v>62</v>
      </c>
      <c r="P114" s="1" t="s">
        <v>1281</v>
      </c>
      <c r="Q114" s="1" t="s">
        <v>65</v>
      </c>
      <c r="R114" s="1" t="s">
        <v>57</v>
      </c>
      <c r="S114" s="1" t="s">
        <v>1206</v>
      </c>
      <c r="T114" s="69">
        <v>6.9180000000000001</v>
      </c>
      <c r="U114" s="70">
        <v>50252</v>
      </c>
      <c r="V114" s="68">
        <v>5.3100000000000001E-2</v>
      </c>
      <c r="W114" s="68">
        <v>4.4600000000000001E-2</v>
      </c>
      <c r="X114" s="1" t="s">
        <v>636</v>
      </c>
      <c r="Y114" s="140" t="s">
        <v>2853</v>
      </c>
      <c r="Z114" s="67">
        <v>500000</v>
      </c>
      <c r="AA114" s="67">
        <v>1</v>
      </c>
      <c r="AB114" s="67">
        <v>108.58</v>
      </c>
      <c r="AC114" s="67">
        <v>0</v>
      </c>
      <c r="AD114" s="67">
        <v>542.9</v>
      </c>
      <c r="AE114" s="140" t="s">
        <v>2853</v>
      </c>
      <c r="AF114" s="140" t="s">
        <v>2853</v>
      </c>
      <c r="AG114" s="1" t="s">
        <v>17</v>
      </c>
      <c r="AH114" s="68">
        <v>3.9265552700000001E-4</v>
      </c>
      <c r="AI114" s="68">
        <f t="shared" si="1"/>
        <v>1.0234561514817114E-3</v>
      </c>
      <c r="AJ114" s="68">
        <f>+AD114/'סכום נכסים'!$B$30</f>
        <v>1.2597844353900064E-4</v>
      </c>
    </row>
    <row r="115" spans="1:36" x14ac:dyDescent="0.25">
      <c r="A115" s="1">
        <v>13908</v>
      </c>
      <c r="B115" s="1">
        <v>13908</v>
      </c>
      <c r="C115" s="1" t="s">
        <v>1435</v>
      </c>
      <c r="D115" s="1">
        <v>514599943</v>
      </c>
      <c r="E115" s="1" t="s">
        <v>429</v>
      </c>
      <c r="F115" s="1" t="s">
        <v>1589</v>
      </c>
      <c r="G115" s="1" t="s">
        <v>1590</v>
      </c>
      <c r="H115" s="1" t="s">
        <v>76</v>
      </c>
      <c r="I115" s="1" t="s">
        <v>228</v>
      </c>
      <c r="J115" s="1" t="s">
        <v>53</v>
      </c>
      <c r="K115" s="1" t="s">
        <v>53</v>
      </c>
      <c r="L115" s="1" t="s">
        <v>821</v>
      </c>
      <c r="M115" s="1" t="s">
        <v>311</v>
      </c>
      <c r="N115" s="1" t="s">
        <v>647</v>
      </c>
      <c r="O115" s="1" t="s">
        <v>62</v>
      </c>
      <c r="P115" s="1" t="s">
        <v>1438</v>
      </c>
      <c r="Q115" s="1" t="s">
        <v>70</v>
      </c>
      <c r="R115" s="1" t="s">
        <v>57</v>
      </c>
      <c r="S115" s="1" t="s">
        <v>1206</v>
      </c>
      <c r="T115" s="69">
        <v>2.8410000000000002</v>
      </c>
      <c r="U115" s="70">
        <v>47664</v>
      </c>
      <c r="V115" s="68">
        <v>6.9500000000000006E-2</v>
      </c>
      <c r="W115" s="68">
        <v>5.57E-2</v>
      </c>
      <c r="X115" s="1" t="s">
        <v>636</v>
      </c>
      <c r="Y115" s="140" t="s">
        <v>2853</v>
      </c>
      <c r="Z115" s="67">
        <v>1406950</v>
      </c>
      <c r="AA115" s="67">
        <v>1</v>
      </c>
      <c r="AB115" s="67">
        <v>104.11</v>
      </c>
      <c r="AC115" s="67">
        <v>0</v>
      </c>
      <c r="AD115" s="67">
        <v>1464.7756400000001</v>
      </c>
      <c r="AE115" s="140" t="s">
        <v>2853</v>
      </c>
      <c r="AF115" s="140" t="s">
        <v>2853</v>
      </c>
      <c r="AG115" s="1" t="s">
        <v>17</v>
      </c>
      <c r="AH115" s="68">
        <v>1.7519971699999999E-3</v>
      </c>
      <c r="AI115" s="68">
        <f t="shared" si="1"/>
        <v>2.7613439662894841E-3</v>
      </c>
      <c r="AJ115" s="68">
        <f>+AD115/'סכום נכסים'!$B$30</f>
        <v>3.3989713623327236E-4</v>
      </c>
    </row>
    <row r="116" spans="1:36" x14ac:dyDescent="0.25">
      <c r="A116" s="1">
        <v>13908</v>
      </c>
      <c r="B116" s="1">
        <v>13908</v>
      </c>
      <c r="C116" s="1" t="s">
        <v>1591</v>
      </c>
      <c r="D116" s="1">
        <v>512623950</v>
      </c>
      <c r="E116" s="1" t="s">
        <v>429</v>
      </c>
      <c r="F116" s="1" t="s">
        <v>1592</v>
      </c>
      <c r="G116" s="1" t="s">
        <v>1593</v>
      </c>
      <c r="H116" s="1" t="s">
        <v>76</v>
      </c>
      <c r="I116" s="1" t="s">
        <v>623</v>
      </c>
      <c r="J116" s="1" t="s">
        <v>53</v>
      </c>
      <c r="K116" s="1" t="s">
        <v>53</v>
      </c>
      <c r="L116" s="1" t="s">
        <v>821</v>
      </c>
      <c r="M116" s="1" t="s">
        <v>311</v>
      </c>
      <c r="N116" s="1" t="s">
        <v>263</v>
      </c>
      <c r="O116" s="1" t="s">
        <v>62</v>
      </c>
      <c r="P116" s="1" t="s">
        <v>298</v>
      </c>
      <c r="Q116" s="1" t="s">
        <v>298</v>
      </c>
      <c r="R116" s="1" t="s">
        <v>298</v>
      </c>
      <c r="S116" s="1" t="s">
        <v>1206</v>
      </c>
      <c r="T116" s="69">
        <v>0.49299999999999999</v>
      </c>
      <c r="U116" s="70">
        <v>46203</v>
      </c>
      <c r="V116" s="68">
        <v>6.6000000000000003E-2</v>
      </c>
      <c r="W116" s="68">
        <v>-2E-3</v>
      </c>
      <c r="X116" s="1" t="s">
        <v>636</v>
      </c>
      <c r="Y116" s="140" t="s">
        <v>2853</v>
      </c>
      <c r="Z116" s="67">
        <v>157000</v>
      </c>
      <c r="AA116" s="67">
        <v>1</v>
      </c>
      <c r="AB116" s="67">
        <v>103.4</v>
      </c>
      <c r="AC116" s="67">
        <v>0</v>
      </c>
      <c r="AD116" s="67">
        <v>162.33799999999999</v>
      </c>
      <c r="AE116" s="140" t="s">
        <v>2853</v>
      </c>
      <c r="AF116" s="140" t="s">
        <v>2853</v>
      </c>
      <c r="AG116" s="1" t="s">
        <v>17</v>
      </c>
      <c r="AH116" s="68">
        <v>1.0046963474E-2</v>
      </c>
      <c r="AI116" s="68">
        <f t="shared" si="1"/>
        <v>3.0603393759299699E-4</v>
      </c>
      <c r="AJ116" s="68">
        <f>+AD116/'סכום נכסים'!$B$30</f>
        <v>3.7670083933015821E-5</v>
      </c>
    </row>
    <row r="117" spans="1:36" x14ac:dyDescent="0.25">
      <c r="A117" s="1">
        <v>13908</v>
      </c>
      <c r="B117" s="1">
        <v>13908</v>
      </c>
      <c r="C117" s="1" t="s">
        <v>1594</v>
      </c>
      <c r="D117" s="1">
        <v>510459928</v>
      </c>
      <c r="E117" s="1" t="s">
        <v>429</v>
      </c>
      <c r="F117" s="1" t="s">
        <v>1595</v>
      </c>
      <c r="G117" s="1" t="s">
        <v>1596</v>
      </c>
      <c r="H117" s="1" t="s">
        <v>76</v>
      </c>
      <c r="I117" s="1" t="s">
        <v>228</v>
      </c>
      <c r="J117" s="1" t="s">
        <v>53</v>
      </c>
      <c r="K117" s="1" t="s">
        <v>53</v>
      </c>
      <c r="L117" s="1" t="s">
        <v>821</v>
      </c>
      <c r="M117" s="1" t="s">
        <v>311</v>
      </c>
      <c r="N117" s="1" t="s">
        <v>156</v>
      </c>
      <c r="O117" s="1" t="s">
        <v>62</v>
      </c>
      <c r="P117" s="1" t="s">
        <v>1438</v>
      </c>
      <c r="Q117" s="1" t="s">
        <v>70</v>
      </c>
      <c r="R117" s="1" t="s">
        <v>57</v>
      </c>
      <c r="S117" s="1" t="s">
        <v>1206</v>
      </c>
      <c r="T117" s="69">
        <v>3.903</v>
      </c>
      <c r="U117" s="70">
        <v>49125</v>
      </c>
      <c r="V117" s="68">
        <v>6.7699999999999996E-2</v>
      </c>
      <c r="W117" s="68">
        <v>4.82E-2</v>
      </c>
      <c r="X117" s="1" t="s">
        <v>636</v>
      </c>
      <c r="Y117" s="140" t="s">
        <v>2853</v>
      </c>
      <c r="Z117" s="67">
        <v>973665</v>
      </c>
      <c r="AA117" s="67">
        <v>1</v>
      </c>
      <c r="AB117" s="67">
        <v>107.83</v>
      </c>
      <c r="AC117" s="67">
        <v>0</v>
      </c>
      <c r="AD117" s="67">
        <v>1049.9029700000001</v>
      </c>
      <c r="AE117" s="140" t="s">
        <v>2853</v>
      </c>
      <c r="AF117" s="140" t="s">
        <v>2853</v>
      </c>
      <c r="AG117" s="1" t="s">
        <v>17</v>
      </c>
      <c r="AH117" s="68">
        <v>1.442466666E-3</v>
      </c>
      <c r="AI117" s="68">
        <f t="shared" si="1"/>
        <v>1.9792404735778572E-3</v>
      </c>
      <c r="AJ117" s="68">
        <f>+AD117/'סכום נכסים'!$B$30</f>
        <v>2.4362708054443565E-4</v>
      </c>
    </row>
    <row r="118" spans="1:36" x14ac:dyDescent="0.25">
      <c r="A118" s="1">
        <v>13908</v>
      </c>
      <c r="B118" s="1">
        <v>13908</v>
      </c>
      <c r="C118" s="1" t="s">
        <v>1597</v>
      </c>
      <c r="D118" s="1">
        <v>520038605</v>
      </c>
      <c r="E118" s="1" t="s">
        <v>429</v>
      </c>
      <c r="F118" s="1" t="s">
        <v>1598</v>
      </c>
      <c r="G118" s="1" t="s">
        <v>1599</v>
      </c>
      <c r="H118" s="1" t="s">
        <v>76</v>
      </c>
      <c r="I118" s="1" t="s">
        <v>228</v>
      </c>
      <c r="J118" s="1" t="s">
        <v>53</v>
      </c>
      <c r="K118" s="1" t="s">
        <v>53</v>
      </c>
      <c r="L118" s="1" t="s">
        <v>821</v>
      </c>
      <c r="M118" s="1" t="s">
        <v>311</v>
      </c>
      <c r="N118" s="1" t="s">
        <v>140</v>
      </c>
      <c r="O118" s="1" t="s">
        <v>62</v>
      </c>
      <c r="P118" s="1" t="s">
        <v>1438</v>
      </c>
      <c r="Q118" s="1" t="s">
        <v>70</v>
      </c>
      <c r="R118" s="1" t="s">
        <v>57</v>
      </c>
      <c r="S118" s="1" t="s">
        <v>1206</v>
      </c>
      <c r="T118" s="69">
        <v>0.98899999999999999</v>
      </c>
      <c r="U118" s="70">
        <v>46387</v>
      </c>
      <c r="V118" s="68">
        <v>3.4700000000000002E-2</v>
      </c>
      <c r="W118" s="68">
        <v>5.3199999999999997E-2</v>
      </c>
      <c r="X118" s="1" t="s">
        <v>636</v>
      </c>
      <c r="Y118" s="140" t="s">
        <v>2853</v>
      </c>
      <c r="Z118" s="67">
        <v>157270.39999999999</v>
      </c>
      <c r="AA118" s="67">
        <v>1</v>
      </c>
      <c r="AB118" s="67">
        <v>98.3</v>
      </c>
      <c r="AC118" s="67">
        <v>0</v>
      </c>
      <c r="AD118" s="67">
        <v>154.5968</v>
      </c>
      <c r="AE118" s="140" t="s">
        <v>2853</v>
      </c>
      <c r="AF118" s="140" t="s">
        <v>2853</v>
      </c>
      <c r="AG118" s="1" t="s">
        <v>17</v>
      </c>
      <c r="AH118" s="68">
        <v>3.146817774E-3</v>
      </c>
      <c r="AI118" s="68">
        <f t="shared" si="1"/>
        <v>2.9144049725435224E-4</v>
      </c>
      <c r="AJ118" s="68">
        <f>+AD118/'סכום נכסים'!$B$30</f>
        <v>3.5873759882317511E-5</v>
      </c>
    </row>
    <row r="119" spans="1:36" x14ac:dyDescent="0.25">
      <c r="A119" s="1">
        <v>13908</v>
      </c>
      <c r="B119" s="1">
        <v>13908</v>
      </c>
      <c r="C119" s="1" t="s">
        <v>1367</v>
      </c>
      <c r="D119" s="1">
        <v>1665</v>
      </c>
      <c r="E119" s="1" t="s">
        <v>2</v>
      </c>
      <c r="F119" s="1" t="s">
        <v>1600</v>
      </c>
      <c r="G119" s="1" t="s">
        <v>1601</v>
      </c>
      <c r="H119" s="1" t="s">
        <v>76</v>
      </c>
      <c r="I119" s="1" t="s">
        <v>228</v>
      </c>
      <c r="J119" s="1" t="s">
        <v>53</v>
      </c>
      <c r="K119" s="1" t="s">
        <v>314</v>
      </c>
      <c r="L119" s="1" t="s">
        <v>821</v>
      </c>
      <c r="M119" s="1" t="s">
        <v>311</v>
      </c>
      <c r="N119" s="1" t="s">
        <v>652</v>
      </c>
      <c r="O119" s="1" t="s">
        <v>62</v>
      </c>
      <c r="P119" s="1" t="s">
        <v>1285</v>
      </c>
      <c r="Q119" s="1" t="s">
        <v>65</v>
      </c>
      <c r="R119" s="1" t="s">
        <v>57</v>
      </c>
      <c r="S119" s="1" t="s">
        <v>1206</v>
      </c>
      <c r="T119" s="69">
        <v>1.419</v>
      </c>
      <c r="U119" s="70">
        <v>46568</v>
      </c>
      <c r="V119" s="68">
        <v>6.3500000000000001E-2</v>
      </c>
      <c r="W119" s="68">
        <v>5.0599999999999999E-2</v>
      </c>
      <c r="X119" s="1" t="s">
        <v>636</v>
      </c>
      <c r="Y119" s="140" t="s">
        <v>2853</v>
      </c>
      <c r="Z119" s="67">
        <v>1602149.97</v>
      </c>
      <c r="AA119" s="67">
        <v>1</v>
      </c>
      <c r="AB119" s="67">
        <v>101.93</v>
      </c>
      <c r="AC119" s="67">
        <v>0</v>
      </c>
      <c r="AD119" s="67">
        <v>1633.0714599999999</v>
      </c>
      <c r="AE119" s="140" t="s">
        <v>2853</v>
      </c>
      <c r="AF119" s="140" t="s">
        <v>2853</v>
      </c>
      <c r="AG119" s="1" t="s">
        <v>17</v>
      </c>
      <c r="AH119" s="68">
        <v>4.0285390240000002E-3</v>
      </c>
      <c r="AI119" s="68">
        <f t="shared" si="1"/>
        <v>3.0786093784236864E-3</v>
      </c>
      <c r="AJ119" s="68">
        <f>+AD119/'סכום נכסים'!$B$30</f>
        <v>3.7894971582015722E-4</v>
      </c>
    </row>
    <row r="120" spans="1:36" x14ac:dyDescent="0.25">
      <c r="A120" s="1">
        <v>13908</v>
      </c>
      <c r="B120" s="1">
        <v>13908</v>
      </c>
      <c r="C120" s="1" t="s">
        <v>1602</v>
      </c>
      <c r="D120" s="1">
        <v>520040304</v>
      </c>
      <c r="E120" s="1" t="s">
        <v>429</v>
      </c>
      <c r="F120" s="1" t="s">
        <v>1603</v>
      </c>
      <c r="G120" s="1" t="s">
        <v>1604</v>
      </c>
      <c r="H120" s="1" t="s">
        <v>76</v>
      </c>
      <c r="I120" s="1" t="s">
        <v>228</v>
      </c>
      <c r="J120" s="1" t="s">
        <v>53</v>
      </c>
      <c r="K120" s="1" t="s">
        <v>53</v>
      </c>
      <c r="L120" s="1" t="s">
        <v>821</v>
      </c>
      <c r="M120" s="1" t="s">
        <v>311</v>
      </c>
      <c r="N120" s="1" t="s">
        <v>140</v>
      </c>
      <c r="O120" s="1" t="s">
        <v>62</v>
      </c>
      <c r="P120" s="1" t="s">
        <v>298</v>
      </c>
      <c r="Q120" s="1" t="s">
        <v>298</v>
      </c>
      <c r="R120" s="1" t="s">
        <v>298</v>
      </c>
      <c r="S120" s="1" t="s">
        <v>1206</v>
      </c>
      <c r="T120" s="69">
        <v>1.9279999999999999</v>
      </c>
      <c r="U120" s="70">
        <v>46934</v>
      </c>
      <c r="V120" s="68">
        <v>7.7499999999999999E-2</v>
      </c>
      <c r="W120" s="68">
        <v>6.2700000000000006E-2</v>
      </c>
      <c r="X120" s="1" t="s">
        <v>636</v>
      </c>
      <c r="Y120" s="140" t="s">
        <v>2853</v>
      </c>
      <c r="Z120" s="67">
        <v>588000</v>
      </c>
      <c r="AA120" s="67">
        <v>1</v>
      </c>
      <c r="AB120" s="67">
        <v>103.01</v>
      </c>
      <c r="AC120" s="67">
        <v>0</v>
      </c>
      <c r="AD120" s="67">
        <v>605.69880000000001</v>
      </c>
      <c r="AE120" s="140" t="s">
        <v>2853</v>
      </c>
      <c r="AF120" s="140" t="s">
        <v>2853</v>
      </c>
      <c r="AG120" s="1" t="s">
        <v>17</v>
      </c>
      <c r="AH120" s="68">
        <v>5.2972972970000004E-3</v>
      </c>
      <c r="AI120" s="68">
        <f t="shared" si="1"/>
        <v>1.1418422597257152E-3</v>
      </c>
      <c r="AJ120" s="68">
        <f>+AD120/'סכום נכסים'!$B$30</f>
        <v>1.4055073140070077E-4</v>
      </c>
    </row>
    <row r="121" spans="1:36" x14ac:dyDescent="0.25">
      <c r="A121" s="1">
        <v>13908</v>
      </c>
      <c r="B121" s="1">
        <v>13908</v>
      </c>
      <c r="C121" s="1" t="s">
        <v>1463</v>
      </c>
      <c r="D121" s="1">
        <v>512764408</v>
      </c>
      <c r="E121" s="1" t="s">
        <v>429</v>
      </c>
      <c r="F121" s="1" t="s">
        <v>1605</v>
      </c>
      <c r="G121" s="1" t="s">
        <v>1606</v>
      </c>
      <c r="H121" s="1" t="s">
        <v>76</v>
      </c>
      <c r="I121" s="1" t="s">
        <v>228</v>
      </c>
      <c r="J121" s="1" t="s">
        <v>53</v>
      </c>
      <c r="K121" s="1" t="s">
        <v>53</v>
      </c>
      <c r="L121" s="1" t="s">
        <v>821</v>
      </c>
      <c r="M121" s="1" t="s">
        <v>311</v>
      </c>
      <c r="N121" s="1" t="s">
        <v>649</v>
      </c>
      <c r="O121" s="1" t="s">
        <v>62</v>
      </c>
      <c r="P121" s="1" t="s">
        <v>1438</v>
      </c>
      <c r="Q121" s="1" t="s">
        <v>70</v>
      </c>
      <c r="R121" s="1" t="s">
        <v>57</v>
      </c>
      <c r="S121" s="1" t="s">
        <v>1206</v>
      </c>
      <c r="T121" s="69">
        <v>1.4770000000000001</v>
      </c>
      <c r="U121" s="70">
        <v>46965</v>
      </c>
      <c r="V121" s="68">
        <v>7.22E-2</v>
      </c>
      <c r="W121" s="68">
        <v>5.5899999999999998E-2</v>
      </c>
      <c r="X121" s="1" t="s">
        <v>636</v>
      </c>
      <c r="Y121" s="140" t="s">
        <v>2853</v>
      </c>
      <c r="Z121" s="67">
        <v>302324</v>
      </c>
      <c r="AA121" s="67">
        <v>1</v>
      </c>
      <c r="AB121" s="67">
        <v>105.57</v>
      </c>
      <c r="AC121" s="67">
        <v>0</v>
      </c>
      <c r="AD121" s="67">
        <v>319.16345000000001</v>
      </c>
      <c r="AE121" s="140" t="s">
        <v>2853</v>
      </c>
      <c r="AF121" s="140" t="s">
        <v>2853</v>
      </c>
      <c r="AG121" s="1" t="s">
        <v>17</v>
      </c>
      <c r="AH121" s="68">
        <v>8.6852250799999997E-4</v>
      </c>
      <c r="AI121" s="68">
        <f t="shared" si="1"/>
        <v>6.0167580812419536E-4</v>
      </c>
      <c r="AJ121" s="68">
        <f>+AD121/'סכום נכסים'!$B$30</f>
        <v>7.4060995884210092E-5</v>
      </c>
    </row>
    <row r="122" spans="1:36" x14ac:dyDescent="0.25">
      <c r="A122" s="1">
        <v>13908</v>
      </c>
      <c r="B122" s="1">
        <v>13908</v>
      </c>
      <c r="C122" s="1" t="s">
        <v>1607</v>
      </c>
      <c r="D122" s="1">
        <v>515328250</v>
      </c>
      <c r="E122" s="1" t="s">
        <v>429</v>
      </c>
      <c r="F122" s="1" t="s">
        <v>1608</v>
      </c>
      <c r="G122" s="1" t="s">
        <v>1609</v>
      </c>
      <c r="H122" s="1" t="s">
        <v>76</v>
      </c>
      <c r="I122" s="1" t="s">
        <v>228</v>
      </c>
      <c r="J122" s="1" t="s">
        <v>53</v>
      </c>
      <c r="K122" s="1" t="s">
        <v>53</v>
      </c>
      <c r="L122" s="1" t="s">
        <v>821</v>
      </c>
      <c r="M122" s="1" t="s">
        <v>311</v>
      </c>
      <c r="N122" s="1" t="s">
        <v>652</v>
      </c>
      <c r="O122" s="1" t="s">
        <v>62</v>
      </c>
      <c r="P122" s="1" t="s">
        <v>1358</v>
      </c>
      <c r="Q122" s="1" t="s">
        <v>70</v>
      </c>
      <c r="R122" s="1" t="s">
        <v>57</v>
      </c>
      <c r="S122" s="1" t="s">
        <v>1206</v>
      </c>
      <c r="T122" s="69">
        <v>2.343</v>
      </c>
      <c r="U122" s="70">
        <v>47300</v>
      </c>
      <c r="V122" s="68">
        <v>6.3700000000000007E-2</v>
      </c>
      <c r="W122" s="68">
        <v>4.7600000000000003E-2</v>
      </c>
      <c r="X122" s="1" t="s">
        <v>636</v>
      </c>
      <c r="Y122" s="140" t="s">
        <v>2853</v>
      </c>
      <c r="Z122" s="67">
        <v>749850</v>
      </c>
      <c r="AA122" s="67">
        <v>1</v>
      </c>
      <c r="AB122" s="67">
        <v>103.88</v>
      </c>
      <c r="AC122" s="67">
        <v>0</v>
      </c>
      <c r="AD122" s="67">
        <v>778.94417999999996</v>
      </c>
      <c r="AE122" s="140" t="s">
        <v>2853</v>
      </c>
      <c r="AF122" s="140" t="s">
        <v>2853</v>
      </c>
      <c r="AG122" s="1" t="s">
        <v>17</v>
      </c>
      <c r="AH122" s="68">
        <v>1.798839876E-3</v>
      </c>
      <c r="AI122" s="68">
        <f t="shared" si="1"/>
        <v>1.4684384098026845E-3</v>
      </c>
      <c r="AJ122" s="68">
        <f>+AD122/'סכום נכסים'!$B$30</f>
        <v>1.8075184269692975E-4</v>
      </c>
    </row>
    <row r="123" spans="1:36" x14ac:dyDescent="0.25">
      <c r="A123" s="1">
        <v>13908</v>
      </c>
      <c r="B123" s="1">
        <v>13908</v>
      </c>
      <c r="C123" s="1" t="s">
        <v>1610</v>
      </c>
      <c r="D123" s="1">
        <v>513775163</v>
      </c>
      <c r="E123" s="1" t="s">
        <v>429</v>
      </c>
      <c r="F123" s="1" t="s">
        <v>1611</v>
      </c>
      <c r="G123" s="1" t="s">
        <v>1612</v>
      </c>
      <c r="H123" s="1" t="s">
        <v>76</v>
      </c>
      <c r="I123" s="1" t="s">
        <v>228</v>
      </c>
      <c r="J123" s="1" t="s">
        <v>53</v>
      </c>
      <c r="K123" s="1" t="s">
        <v>53</v>
      </c>
      <c r="L123" s="1" t="s">
        <v>821</v>
      </c>
      <c r="M123" s="1" t="s">
        <v>311</v>
      </c>
      <c r="N123" s="1" t="s">
        <v>156</v>
      </c>
      <c r="O123" s="120" t="s">
        <v>55</v>
      </c>
      <c r="P123" s="1" t="s">
        <v>1613</v>
      </c>
      <c r="Q123" s="1" t="s">
        <v>70</v>
      </c>
      <c r="R123" s="1" t="s">
        <v>57</v>
      </c>
      <c r="S123" s="1" t="s">
        <v>1206</v>
      </c>
      <c r="T123" s="69">
        <v>2.351</v>
      </c>
      <c r="U123" s="70">
        <v>47238</v>
      </c>
      <c r="V123" s="68">
        <v>7.4999999999999997E-2</v>
      </c>
      <c r="W123" s="68">
        <v>5.8000000000000003E-2</v>
      </c>
      <c r="X123" s="1" t="s">
        <v>636</v>
      </c>
      <c r="Y123" s="140" t="s">
        <v>2853</v>
      </c>
      <c r="Z123" s="67">
        <v>2150360.0299999998</v>
      </c>
      <c r="AA123" s="67">
        <v>1</v>
      </c>
      <c r="AB123" s="67">
        <v>105.31</v>
      </c>
      <c r="AC123" s="67">
        <v>0</v>
      </c>
      <c r="AD123" s="67">
        <v>2264.5441500000002</v>
      </c>
      <c r="AE123" s="140" t="s">
        <v>2853</v>
      </c>
      <c r="AF123" s="140" t="s">
        <v>2853</v>
      </c>
      <c r="AG123" s="1" t="s">
        <v>17</v>
      </c>
      <c r="AH123" s="68">
        <v>3.3599375459999999E-3</v>
      </c>
      <c r="AI123" s="68">
        <f t="shared" si="1"/>
        <v>4.2690396769560204E-3</v>
      </c>
      <c r="AJ123" s="68">
        <f>+AD123/'סכום נכסים'!$B$30</f>
        <v>5.2548120711429225E-4</v>
      </c>
    </row>
    <row r="124" spans="1:36" x14ac:dyDescent="0.25">
      <c r="A124" s="1">
        <v>13908</v>
      </c>
      <c r="B124" s="1">
        <v>13908</v>
      </c>
      <c r="C124" s="1" t="s">
        <v>1614</v>
      </c>
      <c r="D124" s="1">
        <v>520044322</v>
      </c>
      <c r="E124" s="1" t="s">
        <v>429</v>
      </c>
      <c r="F124" s="1" t="s">
        <v>1615</v>
      </c>
      <c r="G124" s="1" t="s">
        <v>1616</v>
      </c>
      <c r="H124" s="1" t="s">
        <v>76</v>
      </c>
      <c r="I124" s="1" t="s">
        <v>228</v>
      </c>
      <c r="J124" s="1" t="s">
        <v>53</v>
      </c>
      <c r="K124" s="1" t="s">
        <v>53</v>
      </c>
      <c r="L124" s="1" t="s">
        <v>821</v>
      </c>
      <c r="M124" s="1" t="s">
        <v>311</v>
      </c>
      <c r="N124" s="1" t="s">
        <v>267</v>
      </c>
      <c r="O124" s="1" t="s">
        <v>62</v>
      </c>
      <c r="P124" s="1" t="s">
        <v>1414</v>
      </c>
      <c r="Q124" s="1" t="s">
        <v>65</v>
      </c>
      <c r="R124" s="1" t="s">
        <v>57</v>
      </c>
      <c r="S124" s="1" t="s">
        <v>1206</v>
      </c>
      <c r="T124" s="69">
        <v>1.0999999999999999E-2</v>
      </c>
      <c r="U124" s="70">
        <v>48152</v>
      </c>
      <c r="V124" s="68">
        <v>6.5199999999999994E-2</v>
      </c>
      <c r="W124" s="68">
        <v>0.1158</v>
      </c>
      <c r="X124" s="1" t="s">
        <v>636</v>
      </c>
      <c r="Y124" s="140" t="s">
        <v>2853</v>
      </c>
      <c r="Z124" s="67">
        <v>101805.16</v>
      </c>
      <c r="AA124" s="67">
        <v>1</v>
      </c>
      <c r="AB124" s="67">
        <v>106.83</v>
      </c>
      <c r="AC124" s="67">
        <v>0.13064999999999999</v>
      </c>
      <c r="AD124" s="67">
        <v>108.8891</v>
      </c>
      <c r="AE124" s="140" t="s">
        <v>2853</v>
      </c>
      <c r="AF124" s="140" t="s">
        <v>2853</v>
      </c>
      <c r="AG124" s="1" t="s">
        <v>17</v>
      </c>
      <c r="AH124" s="68">
        <v>1.50162438E-4</v>
      </c>
      <c r="AI124" s="68">
        <f t="shared" si="1"/>
        <v>2.0527393483939441E-4</v>
      </c>
      <c r="AJ124" s="68">
        <f>+AD124/'סכום נכסים'!$B$30</f>
        <v>2.5267414507943628E-5</v>
      </c>
    </row>
    <row r="125" spans="1:36" x14ac:dyDescent="0.25">
      <c r="A125" s="1">
        <v>13908</v>
      </c>
      <c r="B125" s="1">
        <v>13908</v>
      </c>
      <c r="C125" s="1" t="s">
        <v>1617</v>
      </c>
      <c r="D125" s="1">
        <v>516581741</v>
      </c>
      <c r="E125" s="1" t="s">
        <v>429</v>
      </c>
      <c r="F125" s="1" t="s">
        <v>1618</v>
      </c>
      <c r="G125" s="1" t="s">
        <v>1619</v>
      </c>
      <c r="H125" s="1" t="s">
        <v>76</v>
      </c>
      <c r="I125" s="1" t="s">
        <v>229</v>
      </c>
      <c r="J125" s="1" t="s">
        <v>53</v>
      </c>
      <c r="K125" s="1" t="s">
        <v>53</v>
      </c>
      <c r="L125" s="1" t="s">
        <v>821</v>
      </c>
      <c r="M125" s="1" t="s">
        <v>311</v>
      </c>
      <c r="N125" s="1" t="s">
        <v>651</v>
      </c>
      <c r="O125" s="1" t="s">
        <v>62</v>
      </c>
      <c r="P125" s="1" t="s">
        <v>298</v>
      </c>
      <c r="Q125" s="1" t="s">
        <v>298</v>
      </c>
      <c r="R125" s="1" t="s">
        <v>298</v>
      </c>
      <c r="S125" s="1" t="s">
        <v>1206</v>
      </c>
      <c r="T125" s="69">
        <v>1.4630000000000001</v>
      </c>
      <c r="U125" s="70">
        <v>46568</v>
      </c>
      <c r="V125" s="68">
        <v>4.2000000000000003E-2</v>
      </c>
      <c r="W125" s="68">
        <v>3.2599999999999997E-2</v>
      </c>
      <c r="X125" s="1" t="s">
        <v>636</v>
      </c>
      <c r="Y125" s="140" t="s">
        <v>2853</v>
      </c>
      <c r="Z125" s="67">
        <v>487000</v>
      </c>
      <c r="AA125" s="67">
        <v>1</v>
      </c>
      <c r="AB125" s="67">
        <v>108</v>
      </c>
      <c r="AC125" s="67">
        <v>0</v>
      </c>
      <c r="AD125" s="67">
        <v>525.96</v>
      </c>
      <c r="AE125" s="140" t="s">
        <v>2853</v>
      </c>
      <c r="AF125" s="140" t="s">
        <v>2853</v>
      </c>
      <c r="AG125" s="1" t="s">
        <v>17</v>
      </c>
      <c r="AH125" s="68">
        <v>4.8700000000000002E-3</v>
      </c>
      <c r="AI125" s="68">
        <f t="shared" si="1"/>
        <v>9.9152145410447774E-4</v>
      </c>
      <c r="AJ125" s="68">
        <f>+AD125/'סכום נכסים'!$B$30</f>
        <v>1.220475633887876E-4</v>
      </c>
    </row>
    <row r="126" spans="1:36" x14ac:dyDescent="0.25">
      <c r="A126" s="1">
        <v>13908</v>
      </c>
      <c r="B126" s="1">
        <v>13908</v>
      </c>
      <c r="C126" s="1" t="s">
        <v>1312</v>
      </c>
      <c r="D126" s="1">
        <v>510381601</v>
      </c>
      <c r="E126" s="1" t="s">
        <v>429</v>
      </c>
      <c r="F126" s="1" t="s">
        <v>1620</v>
      </c>
      <c r="G126" s="1" t="s">
        <v>1621</v>
      </c>
      <c r="H126" s="1" t="s">
        <v>76</v>
      </c>
      <c r="I126" s="1" t="s">
        <v>229</v>
      </c>
      <c r="J126" s="1" t="s">
        <v>53</v>
      </c>
      <c r="K126" s="1" t="s">
        <v>53</v>
      </c>
      <c r="L126" s="1" t="s">
        <v>821</v>
      </c>
      <c r="M126" s="1" t="s">
        <v>311</v>
      </c>
      <c r="N126" s="1" t="s">
        <v>140</v>
      </c>
      <c r="O126" s="1" t="s">
        <v>62</v>
      </c>
      <c r="P126" s="1" t="s">
        <v>1292</v>
      </c>
      <c r="Q126" s="1" t="s">
        <v>65</v>
      </c>
      <c r="R126" s="1" t="s">
        <v>57</v>
      </c>
      <c r="S126" s="1" t="s">
        <v>1206</v>
      </c>
      <c r="T126" s="69">
        <v>4.7859999999999996</v>
      </c>
      <c r="U126" s="70">
        <v>48579</v>
      </c>
      <c r="V126" s="68">
        <v>4.0800000000000003E-2</v>
      </c>
      <c r="W126" s="68">
        <v>2.8799999999999999E-2</v>
      </c>
      <c r="X126" s="1" t="s">
        <v>636</v>
      </c>
      <c r="Y126" s="140" t="s">
        <v>2853</v>
      </c>
      <c r="Z126" s="67">
        <v>949050</v>
      </c>
      <c r="AA126" s="67">
        <v>1</v>
      </c>
      <c r="AB126" s="67">
        <v>112.75</v>
      </c>
      <c r="AC126" s="67">
        <v>0</v>
      </c>
      <c r="AD126" s="67">
        <v>1070.0538799999999</v>
      </c>
      <c r="AE126" s="140" t="s">
        <v>2853</v>
      </c>
      <c r="AF126" s="140" t="s">
        <v>2853</v>
      </c>
      <c r="AG126" s="1" t="s">
        <v>17</v>
      </c>
      <c r="AH126" s="68">
        <v>1.1502696619999999E-3</v>
      </c>
      <c r="AI126" s="68">
        <f t="shared" si="1"/>
        <v>2.0172282665368814E-3</v>
      </c>
      <c r="AJ126" s="68">
        <f>+AD126/'סכום נכסים'!$B$30</f>
        <v>2.4830304347995684E-4</v>
      </c>
    </row>
    <row r="127" spans="1:36" x14ac:dyDescent="0.25">
      <c r="A127" s="1">
        <v>13908</v>
      </c>
      <c r="B127" s="1">
        <v>13908</v>
      </c>
      <c r="C127" s="1" t="s">
        <v>1326</v>
      </c>
      <c r="D127" s="1">
        <v>510560188</v>
      </c>
      <c r="E127" s="1" t="s">
        <v>429</v>
      </c>
      <c r="F127" s="1" t="s">
        <v>1622</v>
      </c>
      <c r="G127" s="1" t="s">
        <v>1623</v>
      </c>
      <c r="H127" s="1" t="s">
        <v>76</v>
      </c>
      <c r="I127" s="1" t="s">
        <v>229</v>
      </c>
      <c r="J127" s="1" t="s">
        <v>53</v>
      </c>
      <c r="K127" s="1" t="s">
        <v>53</v>
      </c>
      <c r="L127" s="1" t="s">
        <v>821</v>
      </c>
      <c r="M127" s="1" t="s">
        <v>311</v>
      </c>
      <c r="N127" s="1" t="s">
        <v>652</v>
      </c>
      <c r="O127" s="1" t="s">
        <v>62</v>
      </c>
      <c r="P127" s="1" t="s">
        <v>1329</v>
      </c>
      <c r="Q127" s="1" t="s">
        <v>65</v>
      </c>
      <c r="R127" s="1" t="s">
        <v>57</v>
      </c>
      <c r="S127" s="1" t="s">
        <v>1206</v>
      </c>
      <c r="T127" s="69">
        <v>2.2799999999999998</v>
      </c>
      <c r="U127" s="70">
        <v>47406</v>
      </c>
      <c r="V127" s="68">
        <v>0.04</v>
      </c>
      <c r="W127" s="68">
        <v>2.7699999999999999E-2</v>
      </c>
      <c r="X127" s="1" t="s">
        <v>636</v>
      </c>
      <c r="Y127" s="140" t="s">
        <v>2853</v>
      </c>
      <c r="Z127" s="67">
        <v>661000</v>
      </c>
      <c r="AA127" s="67">
        <v>1</v>
      </c>
      <c r="AB127" s="67">
        <v>110.43</v>
      </c>
      <c r="AC127" s="67">
        <v>0</v>
      </c>
      <c r="AD127" s="67">
        <v>729.94230000000005</v>
      </c>
      <c r="AE127" s="140" t="s">
        <v>2853</v>
      </c>
      <c r="AF127" s="140" t="s">
        <v>2853</v>
      </c>
      <c r="AG127" s="1" t="s">
        <v>17</v>
      </c>
      <c r="AH127" s="68">
        <v>2.0884082279999999E-3</v>
      </c>
      <c r="AI127" s="68">
        <f t="shared" si="1"/>
        <v>1.3760617741051923E-3</v>
      </c>
      <c r="AJ127" s="68">
        <f>+AD127/'סכום נכסים'!$B$30</f>
        <v>1.6938109196404179E-4</v>
      </c>
    </row>
    <row r="128" spans="1:36" x14ac:dyDescent="0.25">
      <c r="A128" s="1">
        <v>13908</v>
      </c>
      <c r="B128" s="1">
        <v>13908</v>
      </c>
      <c r="C128" s="1" t="s">
        <v>1624</v>
      </c>
      <c r="D128" s="1">
        <v>512781386</v>
      </c>
      <c r="E128" s="1" t="s">
        <v>429</v>
      </c>
      <c r="F128" s="1" t="s">
        <v>1625</v>
      </c>
      <c r="G128" s="1" t="s">
        <v>1626</v>
      </c>
      <c r="H128" s="1" t="s">
        <v>76</v>
      </c>
      <c r="I128" s="1" t="s">
        <v>623</v>
      </c>
      <c r="J128" s="1" t="s">
        <v>53</v>
      </c>
      <c r="K128" s="1" t="s">
        <v>53</v>
      </c>
      <c r="L128" s="1" t="s">
        <v>821</v>
      </c>
      <c r="M128" s="1" t="s">
        <v>311</v>
      </c>
      <c r="N128" s="1" t="s">
        <v>140</v>
      </c>
      <c r="O128" s="120" t="s">
        <v>55</v>
      </c>
      <c r="P128" s="1" t="s">
        <v>298</v>
      </c>
      <c r="Q128" s="1" t="s">
        <v>298</v>
      </c>
      <c r="R128" s="1" t="s">
        <v>298</v>
      </c>
      <c r="S128" s="1" t="s">
        <v>1206</v>
      </c>
      <c r="T128" s="69">
        <v>2.5590000000000002</v>
      </c>
      <c r="U128" s="70">
        <v>47027</v>
      </c>
      <c r="V128" s="68">
        <v>7.0000000000000007E-2</v>
      </c>
      <c r="W128" s="68">
        <v>-8.2400000000000001E-2</v>
      </c>
      <c r="X128" s="1" t="s">
        <v>636</v>
      </c>
      <c r="Y128" s="140" t="s">
        <v>2853</v>
      </c>
      <c r="Z128" s="67">
        <v>607000</v>
      </c>
      <c r="AA128" s="67">
        <v>1</v>
      </c>
      <c r="AB128" s="67">
        <v>150.6</v>
      </c>
      <c r="AC128" s="67">
        <v>0</v>
      </c>
      <c r="AD128" s="67">
        <v>914.14200000000005</v>
      </c>
      <c r="AE128" s="140" t="s">
        <v>2853</v>
      </c>
      <c r="AF128" s="140" t="s">
        <v>2853</v>
      </c>
      <c r="AG128" s="1" t="s">
        <v>17</v>
      </c>
      <c r="AH128" s="68">
        <v>1.2161304903000001E-2</v>
      </c>
      <c r="AI128" s="68">
        <f t="shared" si="1"/>
        <v>1.7233086263175441E-3</v>
      </c>
      <c r="AJ128" s="68">
        <f>+AD128/'סכום נכסים'!$B$30</f>
        <v>2.1212412292066521E-4</v>
      </c>
    </row>
    <row r="129" spans="1:36" x14ac:dyDescent="0.25">
      <c r="A129" s="1">
        <v>13908</v>
      </c>
      <c r="B129" s="1">
        <v>13908</v>
      </c>
      <c r="C129" s="1" t="s">
        <v>1499</v>
      </c>
      <c r="D129" s="1">
        <v>520000118</v>
      </c>
      <c r="E129" s="1" t="s">
        <v>429</v>
      </c>
      <c r="F129" s="1" t="s">
        <v>1627</v>
      </c>
      <c r="G129" s="1" t="s">
        <v>1628</v>
      </c>
      <c r="H129" s="1" t="s">
        <v>76</v>
      </c>
      <c r="I129" s="1" t="s">
        <v>229</v>
      </c>
      <c r="J129" s="1" t="s">
        <v>53</v>
      </c>
      <c r="K129" s="1" t="s">
        <v>53</v>
      </c>
      <c r="L129" s="1" t="s">
        <v>821</v>
      </c>
      <c r="M129" s="1" t="s">
        <v>311</v>
      </c>
      <c r="N129" s="1" t="s">
        <v>256</v>
      </c>
      <c r="O129" s="1" t="s">
        <v>62</v>
      </c>
      <c r="P129" s="1" t="s">
        <v>1205</v>
      </c>
      <c r="Q129" s="1" t="s">
        <v>65</v>
      </c>
      <c r="R129" s="1" t="s">
        <v>57</v>
      </c>
      <c r="S129" s="1" t="s">
        <v>1206</v>
      </c>
      <c r="T129" s="69">
        <v>2.8450000000000002</v>
      </c>
      <c r="U129" s="70">
        <v>47819</v>
      </c>
      <c r="V129" s="68">
        <v>1.7500000000000002E-2</v>
      </c>
      <c r="W129" s="68">
        <v>2.1700000000000001E-2</v>
      </c>
      <c r="X129" s="1" t="s">
        <v>636</v>
      </c>
      <c r="Y129" s="140" t="s">
        <v>2853</v>
      </c>
      <c r="Z129" s="67">
        <v>306907.59000000003</v>
      </c>
      <c r="AA129" s="67">
        <v>1</v>
      </c>
      <c r="AB129" s="67">
        <v>116.05</v>
      </c>
      <c r="AC129" s="67">
        <v>0</v>
      </c>
      <c r="AD129" s="67">
        <v>356.16626000000002</v>
      </c>
      <c r="AE129" s="140" t="s">
        <v>2853</v>
      </c>
      <c r="AF129" s="140" t="s">
        <v>2853</v>
      </c>
      <c r="AG129" s="1" t="s">
        <v>17</v>
      </c>
      <c r="AH129" s="68">
        <v>1.6518786099999999E-4</v>
      </c>
      <c r="AI129" s="68">
        <f t="shared" si="1"/>
        <v>6.7143221541211015E-4</v>
      </c>
      <c r="AJ129" s="68">
        <f>+AD129/'סכום נכסים'!$B$30</f>
        <v>8.2647395608596483E-5</v>
      </c>
    </row>
    <row r="130" spans="1:36" x14ac:dyDescent="0.25">
      <c r="A130" s="1">
        <v>13908</v>
      </c>
      <c r="B130" s="1">
        <v>13908</v>
      </c>
      <c r="C130" s="1" t="s">
        <v>1499</v>
      </c>
      <c r="D130" s="1">
        <v>520000118</v>
      </c>
      <c r="E130" s="1" t="s">
        <v>429</v>
      </c>
      <c r="F130" s="1" t="s">
        <v>1629</v>
      </c>
      <c r="G130" s="1" t="s">
        <v>1630</v>
      </c>
      <c r="H130" s="1" t="s">
        <v>76</v>
      </c>
      <c r="I130" s="1" t="s">
        <v>229</v>
      </c>
      <c r="J130" s="1" t="s">
        <v>53</v>
      </c>
      <c r="K130" s="1" t="s">
        <v>53</v>
      </c>
      <c r="L130" s="1" t="s">
        <v>821</v>
      </c>
      <c r="M130" s="1" t="s">
        <v>311</v>
      </c>
      <c r="N130" s="1" t="s">
        <v>256</v>
      </c>
      <c r="O130" s="1" t="s">
        <v>62</v>
      </c>
      <c r="P130" s="1" t="s">
        <v>1281</v>
      </c>
      <c r="Q130" s="1" t="s">
        <v>65</v>
      </c>
      <c r="R130" s="1" t="s">
        <v>57</v>
      </c>
      <c r="S130" s="1" t="s">
        <v>1206</v>
      </c>
      <c r="T130" s="69">
        <v>0.373</v>
      </c>
      <c r="U130" s="70">
        <v>47986</v>
      </c>
      <c r="V130" s="68">
        <v>2.5899999999999999E-2</v>
      </c>
      <c r="W130" s="68">
        <v>2.8799999999999999E-2</v>
      </c>
      <c r="X130" s="1" t="s">
        <v>636</v>
      </c>
      <c r="Y130" s="140" t="s">
        <v>2853</v>
      </c>
      <c r="Z130" s="67">
        <v>4700000</v>
      </c>
      <c r="AA130" s="67">
        <v>1</v>
      </c>
      <c r="AB130" s="67">
        <v>119.49</v>
      </c>
      <c r="AC130" s="67">
        <v>0</v>
      </c>
      <c r="AD130" s="67">
        <v>5616.03</v>
      </c>
      <c r="AE130" s="140" t="s">
        <v>2853</v>
      </c>
      <c r="AF130" s="140" t="s">
        <v>2853</v>
      </c>
      <c r="AG130" s="1" t="s">
        <v>17</v>
      </c>
      <c r="AH130" s="68">
        <v>4.4501254549999996E-3</v>
      </c>
      <c r="AI130" s="68">
        <f t="shared" si="1"/>
        <v>1.0587143949909441E-2</v>
      </c>
      <c r="AJ130" s="68">
        <f>+AD130/'סכום נכסים'!$B$30</f>
        <v>1.303184229634065E-3</v>
      </c>
    </row>
    <row r="131" spans="1:36" x14ac:dyDescent="0.25">
      <c r="A131" s="1">
        <v>13908</v>
      </c>
      <c r="B131" s="1">
        <v>13908</v>
      </c>
      <c r="C131" s="1" t="s">
        <v>1540</v>
      </c>
      <c r="D131" s="1">
        <v>520036120</v>
      </c>
      <c r="E131" s="1" t="s">
        <v>429</v>
      </c>
      <c r="F131" s="1" t="s">
        <v>1631</v>
      </c>
      <c r="G131" s="1" t="s">
        <v>1632</v>
      </c>
      <c r="H131" s="1" t="s">
        <v>76</v>
      </c>
      <c r="I131" s="1" t="s">
        <v>228</v>
      </c>
      <c r="J131" s="1" t="s">
        <v>53</v>
      </c>
      <c r="K131" s="1" t="s">
        <v>53</v>
      </c>
      <c r="L131" s="1" t="s">
        <v>821</v>
      </c>
      <c r="M131" s="1" t="s">
        <v>311</v>
      </c>
      <c r="N131" s="1" t="s">
        <v>269</v>
      </c>
      <c r="O131" s="1" t="s">
        <v>62</v>
      </c>
      <c r="P131" s="1" t="s">
        <v>1281</v>
      </c>
      <c r="Q131" s="1" t="s">
        <v>65</v>
      </c>
      <c r="R131" s="1" t="s">
        <v>57</v>
      </c>
      <c r="S131" s="1" t="s">
        <v>1206</v>
      </c>
      <c r="T131" s="69">
        <v>4.3099999999999996</v>
      </c>
      <c r="U131" s="70">
        <v>48154</v>
      </c>
      <c r="V131" s="68">
        <v>5.2499999999999998E-2</v>
      </c>
      <c r="W131" s="68">
        <v>4.2900000000000001E-2</v>
      </c>
      <c r="X131" s="1" t="s">
        <v>636</v>
      </c>
      <c r="Y131" s="140" t="s">
        <v>2853</v>
      </c>
      <c r="Z131" s="67">
        <v>1087000</v>
      </c>
      <c r="AA131" s="67">
        <v>1</v>
      </c>
      <c r="AB131" s="67">
        <v>105.2</v>
      </c>
      <c r="AC131" s="67">
        <v>0</v>
      </c>
      <c r="AD131" s="67">
        <v>1143.5239999999999</v>
      </c>
      <c r="AE131" s="140" t="s">
        <v>2853</v>
      </c>
      <c r="AF131" s="140" t="s">
        <v>2853</v>
      </c>
      <c r="AG131" s="1" t="s">
        <v>17</v>
      </c>
      <c r="AH131" s="68">
        <v>1.278823529E-3</v>
      </c>
      <c r="AI131" s="68">
        <f t="shared" ref="AI131:AI194" si="2">+AD131/SUM(AD:AD)</f>
        <v>2.1557315751832241E-3</v>
      </c>
      <c r="AJ131" s="68">
        <f>+AD131/'סכום נכסים'!$B$30</f>
        <v>2.6535158163472496E-4</v>
      </c>
    </row>
    <row r="132" spans="1:36" x14ac:dyDescent="0.25">
      <c r="A132" s="1">
        <v>13908</v>
      </c>
      <c r="B132" s="1">
        <v>13908</v>
      </c>
      <c r="C132" s="1" t="s">
        <v>1481</v>
      </c>
      <c r="D132" s="1">
        <v>513988824</v>
      </c>
      <c r="E132" s="1" t="s">
        <v>429</v>
      </c>
      <c r="F132" s="1" t="s">
        <v>1633</v>
      </c>
      <c r="G132" s="1" t="s">
        <v>1634</v>
      </c>
      <c r="H132" s="1" t="s">
        <v>76</v>
      </c>
      <c r="I132" s="1" t="s">
        <v>228</v>
      </c>
      <c r="J132" s="1" t="s">
        <v>53</v>
      </c>
      <c r="K132" s="1" t="s">
        <v>53</v>
      </c>
      <c r="L132" s="1" t="s">
        <v>821</v>
      </c>
      <c r="M132" s="1" t="s">
        <v>311</v>
      </c>
      <c r="N132" s="1" t="s">
        <v>140</v>
      </c>
      <c r="O132" s="1" t="s">
        <v>62</v>
      </c>
      <c r="P132" s="1" t="s">
        <v>298</v>
      </c>
      <c r="Q132" s="1" t="s">
        <v>298</v>
      </c>
      <c r="R132" s="1" t="s">
        <v>298</v>
      </c>
      <c r="S132" s="1" t="s">
        <v>1206</v>
      </c>
      <c r="T132" s="69">
        <v>0.49299999999999999</v>
      </c>
      <c r="U132" s="70">
        <v>46203</v>
      </c>
      <c r="V132" s="68">
        <v>8.2000000000000003E-2</v>
      </c>
      <c r="W132" s="68">
        <v>8.0299999999999996E-2</v>
      </c>
      <c r="X132" s="1" t="s">
        <v>636</v>
      </c>
      <c r="Y132" s="140" t="s">
        <v>2853</v>
      </c>
      <c r="Z132" s="67">
        <v>21500</v>
      </c>
      <c r="AA132" s="67">
        <v>1</v>
      </c>
      <c r="AB132" s="67">
        <v>100.21</v>
      </c>
      <c r="AC132" s="67">
        <v>0</v>
      </c>
      <c r="AD132" s="67">
        <v>21.54515</v>
      </c>
      <c r="AE132" s="140" t="s">
        <v>2853</v>
      </c>
      <c r="AF132" s="140" t="s">
        <v>2853</v>
      </c>
      <c r="AG132" s="1" t="s">
        <v>17</v>
      </c>
      <c r="AH132" s="68">
        <v>4.1747572800000002E-4</v>
      </c>
      <c r="AI132" s="68">
        <f t="shared" si="2"/>
        <v>4.0616165596051193E-5</v>
      </c>
      <c r="AJ132" s="68">
        <f>+AD132/'סכום נכסים'!$B$30</f>
        <v>4.9994924715680606E-6</v>
      </c>
    </row>
    <row r="133" spans="1:36" x14ac:dyDescent="0.25">
      <c r="A133" s="1">
        <v>13908</v>
      </c>
      <c r="B133" s="1">
        <v>13908</v>
      </c>
      <c r="C133" s="1" t="s">
        <v>1635</v>
      </c>
      <c r="D133" s="1">
        <v>520018078</v>
      </c>
      <c r="E133" s="1" t="s">
        <v>429</v>
      </c>
      <c r="F133" s="1" t="s">
        <v>1636</v>
      </c>
      <c r="G133" s="1" t="s">
        <v>1637</v>
      </c>
      <c r="H133" s="1" t="s">
        <v>76</v>
      </c>
      <c r="I133" s="1" t="s">
        <v>229</v>
      </c>
      <c r="J133" s="1" t="s">
        <v>53</v>
      </c>
      <c r="K133" s="1" t="s">
        <v>53</v>
      </c>
      <c r="L133" s="1" t="s">
        <v>821</v>
      </c>
      <c r="M133" s="1" t="s">
        <v>311</v>
      </c>
      <c r="N133" s="1" t="s">
        <v>256</v>
      </c>
      <c r="O133" s="1" t="s">
        <v>62</v>
      </c>
      <c r="P133" s="1" t="s">
        <v>1205</v>
      </c>
      <c r="Q133" s="1" t="s">
        <v>65</v>
      </c>
      <c r="R133" s="1" t="s">
        <v>57</v>
      </c>
      <c r="S133" s="1" t="s">
        <v>1206</v>
      </c>
      <c r="T133" s="69">
        <v>1.8580000000000001</v>
      </c>
      <c r="U133" s="70">
        <v>47361</v>
      </c>
      <c r="V133" s="68">
        <v>1.8599999999999998E-2</v>
      </c>
      <c r="W133" s="68">
        <v>2.3599999999999999E-2</v>
      </c>
      <c r="X133" s="1" t="s">
        <v>636</v>
      </c>
      <c r="Y133" s="140" t="s">
        <v>2853</v>
      </c>
      <c r="Z133" s="67">
        <v>9853943.0299999993</v>
      </c>
      <c r="AA133" s="67">
        <v>1</v>
      </c>
      <c r="AB133" s="67">
        <v>105.58</v>
      </c>
      <c r="AC133" s="67">
        <v>0</v>
      </c>
      <c r="AD133" s="67">
        <v>10403.79305</v>
      </c>
      <c r="AE133" s="140" t="s">
        <v>2853</v>
      </c>
      <c r="AF133" s="140" t="s">
        <v>2853</v>
      </c>
      <c r="AG133" s="1" t="s">
        <v>17</v>
      </c>
      <c r="AH133" s="68">
        <v>3.8576145340000001E-3</v>
      </c>
      <c r="AI133" s="68">
        <f t="shared" si="2"/>
        <v>1.9612867923678719E-2</v>
      </c>
      <c r="AJ133" s="68">
        <f>+AD133/'סכום נכסים'!$B$30</f>
        <v>2.4141714042012754E-3</v>
      </c>
    </row>
    <row r="134" spans="1:36" x14ac:dyDescent="0.25">
      <c r="A134" s="1">
        <v>13908</v>
      </c>
      <c r="B134" s="1">
        <v>13908</v>
      </c>
      <c r="C134" s="1" t="s">
        <v>1635</v>
      </c>
      <c r="D134" s="1">
        <v>520018078</v>
      </c>
      <c r="E134" s="1" t="s">
        <v>429</v>
      </c>
      <c r="F134" s="1" t="s">
        <v>1638</v>
      </c>
      <c r="G134" s="1" t="s">
        <v>1639</v>
      </c>
      <c r="H134" s="1" t="s">
        <v>76</v>
      </c>
      <c r="I134" s="1" t="s">
        <v>229</v>
      </c>
      <c r="J134" s="1" t="s">
        <v>53</v>
      </c>
      <c r="K134" s="1" t="s">
        <v>53</v>
      </c>
      <c r="L134" s="1" t="s">
        <v>821</v>
      </c>
      <c r="M134" s="1" t="s">
        <v>311</v>
      </c>
      <c r="N134" s="1" t="s">
        <v>256</v>
      </c>
      <c r="O134" s="1" t="s">
        <v>62</v>
      </c>
      <c r="P134" s="1" t="s">
        <v>1205</v>
      </c>
      <c r="Q134" s="1" t="s">
        <v>65</v>
      </c>
      <c r="R134" s="1" t="s">
        <v>57</v>
      </c>
      <c r="S134" s="1" t="s">
        <v>1206</v>
      </c>
      <c r="T134" s="69">
        <v>3.9510000000000001</v>
      </c>
      <c r="U134" s="70">
        <v>48913</v>
      </c>
      <c r="V134" s="68">
        <v>2.0199999999999999E-2</v>
      </c>
      <c r="W134" s="68">
        <v>2.1899999999999999E-2</v>
      </c>
      <c r="X134" s="1" t="s">
        <v>636</v>
      </c>
      <c r="Y134" s="140" t="s">
        <v>2853</v>
      </c>
      <c r="Z134" s="67">
        <v>2394213</v>
      </c>
      <c r="AA134" s="67">
        <v>1</v>
      </c>
      <c r="AB134" s="67">
        <v>105.39</v>
      </c>
      <c r="AC134" s="67">
        <v>0</v>
      </c>
      <c r="AD134" s="67">
        <v>2523.2610800000002</v>
      </c>
      <c r="AE134" s="140" t="s">
        <v>2853</v>
      </c>
      <c r="AF134" s="140" t="s">
        <v>2853</v>
      </c>
      <c r="AG134" s="1" t="s">
        <v>17</v>
      </c>
      <c r="AH134" s="68">
        <v>6.7102081300000004E-4</v>
      </c>
      <c r="AI134" s="68">
        <f t="shared" si="2"/>
        <v>4.7567638130786277E-3</v>
      </c>
      <c r="AJ134" s="68">
        <f>+AD134/'סכום נכסים'!$B$30</f>
        <v>5.855157552052641E-4</v>
      </c>
    </row>
    <row r="135" spans="1:36" x14ac:dyDescent="0.25">
      <c r="A135" s="1">
        <v>13908</v>
      </c>
      <c r="B135" s="1">
        <v>13908</v>
      </c>
      <c r="C135" s="1" t="s">
        <v>1507</v>
      </c>
      <c r="D135" s="1">
        <v>520032046</v>
      </c>
      <c r="E135" s="1" t="s">
        <v>429</v>
      </c>
      <c r="F135" s="1" t="s">
        <v>1640</v>
      </c>
      <c r="G135" s="1" t="s">
        <v>1641</v>
      </c>
      <c r="H135" s="1" t="s">
        <v>76</v>
      </c>
      <c r="I135" s="1" t="s">
        <v>229</v>
      </c>
      <c r="J135" s="1" t="s">
        <v>53</v>
      </c>
      <c r="K135" s="1" t="s">
        <v>53</v>
      </c>
      <c r="L135" s="1" t="s">
        <v>821</v>
      </c>
      <c r="M135" s="1" t="s">
        <v>311</v>
      </c>
      <c r="N135" s="1" t="s">
        <v>256</v>
      </c>
      <c r="O135" s="1" t="s">
        <v>62</v>
      </c>
      <c r="P135" s="1" t="s">
        <v>1205</v>
      </c>
      <c r="Q135" s="1" t="s">
        <v>65</v>
      </c>
      <c r="R135" s="1" t="s">
        <v>57</v>
      </c>
      <c r="S135" s="1" t="s">
        <v>1206</v>
      </c>
      <c r="T135" s="69">
        <v>4.2699999999999996</v>
      </c>
      <c r="U135" s="70">
        <v>48938</v>
      </c>
      <c r="V135" s="68">
        <v>1.9900000000000001E-2</v>
      </c>
      <c r="W135" s="68">
        <v>2.2800000000000001E-2</v>
      </c>
      <c r="X135" s="1" t="s">
        <v>636</v>
      </c>
      <c r="Y135" s="140" t="s">
        <v>2853</v>
      </c>
      <c r="Z135" s="67">
        <v>4084279.16</v>
      </c>
      <c r="AA135" s="67">
        <v>1</v>
      </c>
      <c r="AB135" s="67">
        <v>104.63</v>
      </c>
      <c r="AC135" s="67">
        <v>0</v>
      </c>
      <c r="AD135" s="67">
        <v>4273.3812900000003</v>
      </c>
      <c r="AE135" s="140" t="s">
        <v>2853</v>
      </c>
      <c r="AF135" s="140" t="s">
        <v>2853</v>
      </c>
      <c r="AG135" s="1" t="s">
        <v>17</v>
      </c>
      <c r="AH135" s="68">
        <v>1.8908699810000001E-3</v>
      </c>
      <c r="AI135" s="68">
        <f t="shared" si="2"/>
        <v>8.0560294140308557E-3</v>
      </c>
      <c r="AJ135" s="68">
        <f>+AD135/'סכום נכסים'!$B$30</f>
        <v>9.9162630974928504E-4</v>
      </c>
    </row>
    <row r="136" spans="1:36" x14ac:dyDescent="0.25">
      <c r="A136" s="1">
        <v>13908</v>
      </c>
      <c r="B136" s="1">
        <v>13908</v>
      </c>
      <c r="C136" s="1" t="s">
        <v>1642</v>
      </c>
      <c r="D136" s="1">
        <v>516291754</v>
      </c>
      <c r="E136" s="1" t="s">
        <v>429</v>
      </c>
      <c r="F136" s="1" t="s">
        <v>1643</v>
      </c>
      <c r="G136" s="1" t="s">
        <v>1644</v>
      </c>
      <c r="H136" s="1" t="s">
        <v>76</v>
      </c>
      <c r="I136" s="1" t="s">
        <v>229</v>
      </c>
      <c r="J136" s="1" t="s">
        <v>53</v>
      </c>
      <c r="K136" s="1" t="s">
        <v>53</v>
      </c>
      <c r="L136" s="1" t="s">
        <v>821</v>
      </c>
      <c r="M136" s="1" t="s">
        <v>311</v>
      </c>
      <c r="N136" s="1" t="s">
        <v>651</v>
      </c>
      <c r="O136" s="1" t="s">
        <v>62</v>
      </c>
      <c r="P136" s="1" t="s">
        <v>298</v>
      </c>
      <c r="Q136" s="1" t="s">
        <v>298</v>
      </c>
      <c r="R136" s="1" t="s">
        <v>298</v>
      </c>
      <c r="S136" s="1" t="s">
        <v>1206</v>
      </c>
      <c r="T136" s="69">
        <v>1.913</v>
      </c>
      <c r="U136" s="70">
        <v>46752</v>
      </c>
      <c r="V136" s="68">
        <v>4.6098E-2</v>
      </c>
      <c r="W136" s="68">
        <v>3.1800000000000002E-2</v>
      </c>
      <c r="X136" s="1" t="s">
        <v>636</v>
      </c>
      <c r="Y136" s="140" t="s">
        <v>2853</v>
      </c>
      <c r="Z136" s="67">
        <v>13397462</v>
      </c>
      <c r="AA136" s="67">
        <v>1</v>
      </c>
      <c r="AB136" s="67">
        <v>108.81</v>
      </c>
      <c r="AC136" s="67">
        <v>0</v>
      </c>
      <c r="AD136" s="67">
        <v>14577.778399999999</v>
      </c>
      <c r="AE136" s="140" t="s">
        <v>2853</v>
      </c>
      <c r="AF136" s="140" t="s">
        <v>2853</v>
      </c>
      <c r="AG136" s="1" t="s">
        <v>17</v>
      </c>
      <c r="AH136" s="68">
        <v>1.3675638154999999E-2</v>
      </c>
      <c r="AI136" s="68">
        <f t="shared" si="2"/>
        <v>2.7481519577117738E-2</v>
      </c>
      <c r="AJ136" s="68">
        <f>+AD136/'סכום נכסים'!$B$30</f>
        <v>3.3827331609660402E-3</v>
      </c>
    </row>
    <row r="137" spans="1:36" x14ac:dyDescent="0.25">
      <c r="A137" s="1">
        <v>13908</v>
      </c>
      <c r="B137" s="1">
        <v>13908</v>
      </c>
      <c r="C137" s="1" t="s">
        <v>1645</v>
      </c>
      <c r="D137" s="1">
        <v>24310225</v>
      </c>
      <c r="E137" s="1" t="s">
        <v>430</v>
      </c>
      <c r="F137" s="1" t="s">
        <v>1646</v>
      </c>
      <c r="G137" s="1" t="s">
        <v>1647</v>
      </c>
      <c r="H137" s="1" t="s">
        <v>76</v>
      </c>
      <c r="I137" s="1" t="s">
        <v>228</v>
      </c>
      <c r="J137" s="1" t="s">
        <v>53</v>
      </c>
      <c r="K137" s="1" t="s">
        <v>314</v>
      </c>
      <c r="L137" s="1" t="s">
        <v>821</v>
      </c>
      <c r="M137" s="1" t="s">
        <v>311</v>
      </c>
      <c r="N137" s="1" t="s">
        <v>140</v>
      </c>
      <c r="O137" s="1" t="s">
        <v>62</v>
      </c>
      <c r="P137" s="1" t="s">
        <v>298</v>
      </c>
      <c r="Q137" s="1" t="s">
        <v>298</v>
      </c>
      <c r="R137" s="1" t="s">
        <v>298</v>
      </c>
      <c r="S137" s="1" t="s">
        <v>1206</v>
      </c>
      <c r="T137" s="69">
        <v>2.4359999999999999</v>
      </c>
      <c r="U137" s="70">
        <v>47751</v>
      </c>
      <c r="V137" s="68">
        <v>8.1500000000000003E-2</v>
      </c>
      <c r="W137" s="68">
        <v>5.8500000000000003E-2</v>
      </c>
      <c r="X137" s="1" t="s">
        <v>636</v>
      </c>
      <c r="Y137" s="140" t="s">
        <v>2853</v>
      </c>
      <c r="Z137" s="67">
        <v>1367000</v>
      </c>
      <c r="AA137" s="67">
        <v>1</v>
      </c>
      <c r="AB137" s="67">
        <v>108</v>
      </c>
      <c r="AC137" s="67">
        <v>0</v>
      </c>
      <c r="AD137" s="67">
        <v>1476.36</v>
      </c>
      <c r="AE137" s="140" t="s">
        <v>2853</v>
      </c>
      <c r="AF137" s="140" t="s">
        <v>2853</v>
      </c>
      <c r="AG137" s="1" t="s">
        <v>17</v>
      </c>
      <c r="AH137" s="68">
        <v>4.9709090900000004E-3</v>
      </c>
      <c r="AI137" s="68">
        <f t="shared" si="2"/>
        <v>2.7831823978661618E-3</v>
      </c>
      <c r="AJ137" s="68">
        <f>+AD137/'סכום נכסים'!$B$30</f>
        <v>3.4258525493320867E-4</v>
      </c>
    </row>
    <row r="138" spans="1:36" x14ac:dyDescent="0.25">
      <c r="A138" s="1">
        <v>13908</v>
      </c>
      <c r="B138" s="1">
        <v>13908</v>
      </c>
      <c r="C138" s="1" t="s">
        <v>1293</v>
      </c>
      <c r="D138" s="1">
        <v>514065283</v>
      </c>
      <c r="E138" s="1" t="s">
        <v>429</v>
      </c>
      <c r="F138" s="1" t="s">
        <v>1648</v>
      </c>
      <c r="G138" s="1" t="s">
        <v>1649</v>
      </c>
      <c r="H138" s="1" t="s">
        <v>76</v>
      </c>
      <c r="I138" s="1" t="s">
        <v>228</v>
      </c>
      <c r="J138" s="1" t="s">
        <v>53</v>
      </c>
      <c r="K138" s="1" t="s">
        <v>53</v>
      </c>
      <c r="L138" s="1" t="s">
        <v>821</v>
      </c>
      <c r="M138" s="1" t="s">
        <v>311</v>
      </c>
      <c r="N138" s="1" t="s">
        <v>75</v>
      </c>
      <c r="O138" s="1" t="s">
        <v>62</v>
      </c>
      <c r="P138" s="1" t="s">
        <v>1281</v>
      </c>
      <c r="Q138" s="1" t="s">
        <v>65</v>
      </c>
      <c r="R138" s="1" t="s">
        <v>57</v>
      </c>
      <c r="S138" s="1" t="s">
        <v>1206</v>
      </c>
      <c r="T138" s="69">
        <v>2.7719999999999998</v>
      </c>
      <c r="U138" s="70">
        <v>48026</v>
      </c>
      <c r="V138" s="68">
        <v>5.0500000000000003E-2</v>
      </c>
      <c r="W138" s="68">
        <v>4.4699999999999997E-2</v>
      </c>
      <c r="X138" s="1" t="s">
        <v>636</v>
      </c>
      <c r="Y138" s="140" t="s">
        <v>2853</v>
      </c>
      <c r="Z138" s="67">
        <v>168728.01</v>
      </c>
      <c r="AA138" s="67">
        <v>1</v>
      </c>
      <c r="AB138" s="67">
        <v>101.77</v>
      </c>
      <c r="AC138" s="67">
        <v>0</v>
      </c>
      <c r="AD138" s="67">
        <v>171.71449999999999</v>
      </c>
      <c r="AE138" s="140" t="s">
        <v>2853</v>
      </c>
      <c r="AF138" s="140" t="s">
        <v>2853</v>
      </c>
      <c r="AG138" s="1" t="s">
        <v>17</v>
      </c>
      <c r="AH138" s="68">
        <v>8.9812532500000005E-4</v>
      </c>
      <c r="AI138" s="68">
        <f t="shared" si="2"/>
        <v>3.2371018847597403E-4</v>
      </c>
      <c r="AJ138" s="68">
        <f>+AD138/'סכום נכסים'!$B$30</f>
        <v>3.9845874826077962E-5</v>
      </c>
    </row>
    <row r="139" spans="1:36" x14ac:dyDescent="0.25">
      <c r="A139" s="1">
        <v>13908</v>
      </c>
      <c r="B139" s="1">
        <v>13908</v>
      </c>
      <c r="C139" s="1" t="s">
        <v>1534</v>
      </c>
      <c r="D139" s="1">
        <v>520039868</v>
      </c>
      <c r="E139" s="1" t="s">
        <v>429</v>
      </c>
      <c r="F139" s="1" t="s">
        <v>1650</v>
      </c>
      <c r="G139" s="1" t="s">
        <v>1651</v>
      </c>
      <c r="H139" s="1" t="s">
        <v>76</v>
      </c>
      <c r="I139" s="1" t="s">
        <v>228</v>
      </c>
      <c r="J139" s="1" t="s">
        <v>53</v>
      </c>
      <c r="K139" s="1" t="s">
        <v>53</v>
      </c>
      <c r="L139" s="1" t="s">
        <v>821</v>
      </c>
      <c r="M139" s="1" t="s">
        <v>311</v>
      </c>
      <c r="N139" s="1" t="s">
        <v>647</v>
      </c>
      <c r="O139" s="1" t="s">
        <v>62</v>
      </c>
      <c r="P139" s="1" t="s">
        <v>298</v>
      </c>
      <c r="Q139" s="1" t="s">
        <v>298</v>
      </c>
      <c r="R139" s="1" t="s">
        <v>298</v>
      </c>
      <c r="S139" s="1" t="s">
        <v>1206</v>
      </c>
      <c r="T139" s="69">
        <v>2.31</v>
      </c>
      <c r="U139" s="70">
        <v>47573</v>
      </c>
      <c r="V139" s="68">
        <v>5.5E-2</v>
      </c>
      <c r="W139" s="68">
        <v>5.5300000000000002E-2</v>
      </c>
      <c r="X139" s="1" t="s">
        <v>636</v>
      </c>
      <c r="Y139" s="140" t="s">
        <v>2853</v>
      </c>
      <c r="Z139" s="67">
        <v>384000</v>
      </c>
      <c r="AA139" s="67">
        <v>1</v>
      </c>
      <c r="AB139" s="67">
        <v>101.5</v>
      </c>
      <c r="AC139" s="67">
        <v>0</v>
      </c>
      <c r="AD139" s="67">
        <v>389.76</v>
      </c>
      <c r="AE139" s="140" t="s">
        <v>2853</v>
      </c>
      <c r="AF139" s="140" t="s">
        <v>2853</v>
      </c>
      <c r="AG139" s="1" t="s">
        <v>17</v>
      </c>
      <c r="AH139" s="68">
        <v>1.170407932E-3</v>
      </c>
      <c r="AI139" s="68">
        <f t="shared" si="2"/>
        <v>7.3476196279519579E-4</v>
      </c>
      <c r="AJ139" s="68">
        <f>+AD139/'סכום נכסים'!$B$30</f>
        <v>9.0442730067712094E-5</v>
      </c>
    </row>
    <row r="140" spans="1:36" x14ac:dyDescent="0.25">
      <c r="A140" s="1">
        <v>13908</v>
      </c>
      <c r="B140" s="1">
        <v>13908</v>
      </c>
      <c r="C140" s="1" t="s">
        <v>1496</v>
      </c>
      <c r="D140" s="1">
        <v>520029935</v>
      </c>
      <c r="E140" s="1" t="s">
        <v>429</v>
      </c>
      <c r="F140" s="1" t="s">
        <v>1652</v>
      </c>
      <c r="G140" s="1" t="s">
        <v>1653</v>
      </c>
      <c r="H140" s="1" t="s">
        <v>76</v>
      </c>
      <c r="I140" s="1" t="s">
        <v>229</v>
      </c>
      <c r="J140" s="1" t="s">
        <v>53</v>
      </c>
      <c r="K140" s="1" t="s">
        <v>53</v>
      </c>
      <c r="L140" s="1" t="s">
        <v>821</v>
      </c>
      <c r="M140" s="1" t="s">
        <v>311</v>
      </c>
      <c r="N140" s="1" t="s">
        <v>256</v>
      </c>
      <c r="O140" s="1" t="s">
        <v>62</v>
      </c>
      <c r="P140" s="1" t="s">
        <v>1205</v>
      </c>
      <c r="Q140" s="1" t="s">
        <v>65</v>
      </c>
      <c r="R140" s="1" t="s">
        <v>57</v>
      </c>
      <c r="S140" s="1" t="s">
        <v>1206</v>
      </c>
      <c r="T140" s="69">
        <v>4.4180000000000001</v>
      </c>
      <c r="U140" s="70">
        <v>49388</v>
      </c>
      <c r="V140" s="68">
        <v>2.1100000000000001E-2</v>
      </c>
      <c r="W140" s="68">
        <v>2.29E-2</v>
      </c>
      <c r="X140" s="1" t="s">
        <v>636</v>
      </c>
      <c r="Y140" s="140" t="s">
        <v>2853</v>
      </c>
      <c r="Z140" s="67">
        <v>1853670</v>
      </c>
      <c r="AA140" s="67">
        <v>1</v>
      </c>
      <c r="AB140" s="67">
        <v>106.89</v>
      </c>
      <c r="AC140" s="67">
        <v>0</v>
      </c>
      <c r="AD140" s="67">
        <v>1981.38786</v>
      </c>
      <c r="AE140" s="140" t="s">
        <v>2853</v>
      </c>
      <c r="AF140" s="140" t="s">
        <v>2853</v>
      </c>
      <c r="AG140" s="1" t="s">
        <v>17</v>
      </c>
      <c r="AH140" s="68">
        <v>7.1250358000000003E-4</v>
      </c>
      <c r="AI140" s="68">
        <f t="shared" si="2"/>
        <v>3.7352433114536451E-3</v>
      </c>
      <c r="AJ140" s="68">
        <f>+AD140/'סכום נכסים'!$B$30</f>
        <v>4.5977557312556886E-4</v>
      </c>
    </row>
    <row r="141" spans="1:36" x14ac:dyDescent="0.25">
      <c r="A141" s="1">
        <v>13908</v>
      </c>
      <c r="B141" s="1">
        <v>13908</v>
      </c>
      <c r="C141" s="1" t="s">
        <v>1654</v>
      </c>
      <c r="D141" s="1">
        <v>514401702</v>
      </c>
      <c r="E141" s="1" t="s">
        <v>429</v>
      </c>
      <c r="F141" s="1" t="s">
        <v>1655</v>
      </c>
      <c r="G141" s="1" t="s">
        <v>1656</v>
      </c>
      <c r="H141" s="1" t="s">
        <v>76</v>
      </c>
      <c r="I141" s="1" t="s">
        <v>228</v>
      </c>
      <c r="J141" s="1" t="s">
        <v>53</v>
      </c>
      <c r="K141" s="1" t="s">
        <v>53</v>
      </c>
      <c r="L141" s="1" t="s">
        <v>821</v>
      </c>
      <c r="M141" s="1" t="s">
        <v>311</v>
      </c>
      <c r="N141" s="1" t="s">
        <v>156</v>
      </c>
      <c r="O141" s="1" t="s">
        <v>62</v>
      </c>
      <c r="P141" s="1" t="s">
        <v>1329</v>
      </c>
      <c r="Q141" s="1" t="s">
        <v>65</v>
      </c>
      <c r="R141" s="1" t="s">
        <v>57</v>
      </c>
      <c r="S141" s="1" t="s">
        <v>1206</v>
      </c>
      <c r="T141" s="69">
        <v>5.1130000000000004</v>
      </c>
      <c r="U141" s="70">
        <v>49212</v>
      </c>
      <c r="V141" s="68">
        <v>6.2E-2</v>
      </c>
      <c r="W141" s="68">
        <v>4.6699999999999998E-2</v>
      </c>
      <c r="X141" s="1" t="s">
        <v>636</v>
      </c>
      <c r="Y141" s="140" t="s">
        <v>2853</v>
      </c>
      <c r="Z141" s="67">
        <v>649000</v>
      </c>
      <c r="AA141" s="67">
        <v>1</v>
      </c>
      <c r="AB141" s="67">
        <v>109.88</v>
      </c>
      <c r="AC141" s="67">
        <v>0</v>
      </c>
      <c r="AD141" s="67">
        <v>713.12120000000004</v>
      </c>
      <c r="AE141" s="140" t="s">
        <v>2853</v>
      </c>
      <c r="AF141" s="140" t="s">
        <v>2853</v>
      </c>
      <c r="AG141" s="1" t="s">
        <v>17</v>
      </c>
      <c r="AH141" s="68">
        <v>9.8587869199999998E-4</v>
      </c>
      <c r="AI141" s="68">
        <f t="shared" si="2"/>
        <v>1.3443512228624422E-3</v>
      </c>
      <c r="AJ141" s="68">
        <f>+AD141/'סכום נכסים'!$B$30</f>
        <v>1.6547780222999522E-4</v>
      </c>
    </row>
    <row r="142" spans="1:36" x14ac:dyDescent="0.25">
      <c r="A142" s="1">
        <v>13908</v>
      </c>
      <c r="B142" s="1">
        <v>13908</v>
      </c>
      <c r="C142" s="1" t="s">
        <v>1657</v>
      </c>
      <c r="D142" s="1">
        <v>510607328</v>
      </c>
      <c r="E142" s="1" t="s">
        <v>429</v>
      </c>
      <c r="F142" s="1" t="s">
        <v>1658</v>
      </c>
      <c r="G142" s="1" t="s">
        <v>1659</v>
      </c>
      <c r="H142" s="1" t="s">
        <v>76</v>
      </c>
      <c r="I142" s="1" t="s">
        <v>228</v>
      </c>
      <c r="J142" s="1" t="s">
        <v>53</v>
      </c>
      <c r="K142" s="1" t="s">
        <v>53</v>
      </c>
      <c r="L142" s="1" t="s">
        <v>821</v>
      </c>
      <c r="M142" s="1" t="s">
        <v>311</v>
      </c>
      <c r="N142" s="1" t="s">
        <v>652</v>
      </c>
      <c r="O142" s="1" t="s">
        <v>62</v>
      </c>
      <c r="P142" s="1" t="s">
        <v>1438</v>
      </c>
      <c r="Q142" s="1" t="s">
        <v>70</v>
      </c>
      <c r="R142" s="1" t="s">
        <v>57</v>
      </c>
      <c r="S142" s="1" t="s">
        <v>1206</v>
      </c>
      <c r="T142" s="69">
        <v>3.907</v>
      </c>
      <c r="U142" s="70">
        <v>49278</v>
      </c>
      <c r="V142" s="68">
        <v>6.0699999999999997E-2</v>
      </c>
      <c r="W142" s="68">
        <v>5.0200000000000002E-2</v>
      </c>
      <c r="X142" s="1" t="s">
        <v>636</v>
      </c>
      <c r="Y142" s="140" t="s">
        <v>2853</v>
      </c>
      <c r="Z142" s="67">
        <v>322000</v>
      </c>
      <c r="AA142" s="67">
        <v>1</v>
      </c>
      <c r="AB142" s="67">
        <v>104.82</v>
      </c>
      <c r="AC142" s="67">
        <v>0</v>
      </c>
      <c r="AD142" s="67">
        <v>337.5204</v>
      </c>
      <c r="AE142" s="140" t="s">
        <v>2853</v>
      </c>
      <c r="AF142" s="140" t="s">
        <v>2853</v>
      </c>
      <c r="AG142" s="1" t="s">
        <v>17</v>
      </c>
      <c r="AH142" s="68">
        <v>8.2129322500000003E-4</v>
      </c>
      <c r="AI142" s="68">
        <f t="shared" si="2"/>
        <v>6.362816902386587E-4</v>
      </c>
      <c r="AJ142" s="68">
        <f>+AD142/'סכום נכסים'!$B$30</f>
        <v>7.8320675363162498E-5</v>
      </c>
    </row>
    <row r="143" spans="1:36" x14ac:dyDescent="0.25">
      <c r="A143" s="1">
        <v>13908</v>
      </c>
      <c r="B143" s="1">
        <v>13908</v>
      </c>
      <c r="C143" s="1" t="s">
        <v>1660</v>
      </c>
      <c r="D143" s="1">
        <v>520033234</v>
      </c>
      <c r="E143" s="1" t="s">
        <v>429</v>
      </c>
      <c r="F143" s="1" t="s">
        <v>1661</v>
      </c>
      <c r="G143" s="1" t="s">
        <v>1662</v>
      </c>
      <c r="H143" s="1" t="s">
        <v>76</v>
      </c>
      <c r="I143" s="1" t="s">
        <v>229</v>
      </c>
      <c r="J143" s="1" t="s">
        <v>53</v>
      </c>
      <c r="K143" s="1" t="s">
        <v>53</v>
      </c>
      <c r="L143" s="1" t="s">
        <v>821</v>
      </c>
      <c r="M143" s="1" t="s">
        <v>311</v>
      </c>
      <c r="N143" s="1" t="s">
        <v>652</v>
      </c>
      <c r="O143" s="1" t="s">
        <v>62</v>
      </c>
      <c r="P143" s="1" t="s">
        <v>1292</v>
      </c>
      <c r="Q143" s="1" t="s">
        <v>65</v>
      </c>
      <c r="R143" s="1" t="s">
        <v>57</v>
      </c>
      <c r="S143" s="1" t="s">
        <v>1206</v>
      </c>
      <c r="T143" s="69">
        <v>3.673</v>
      </c>
      <c r="U143" s="70">
        <v>48121</v>
      </c>
      <c r="V143" s="68">
        <v>4.8300000000000003E-2</v>
      </c>
      <c r="W143" s="68">
        <v>4.4999999999999998E-2</v>
      </c>
      <c r="X143" s="1" t="s">
        <v>636</v>
      </c>
      <c r="Y143" s="140" t="s">
        <v>2853</v>
      </c>
      <c r="Z143" s="67">
        <v>62000</v>
      </c>
      <c r="AA143" s="67">
        <v>1</v>
      </c>
      <c r="AB143" s="67">
        <v>108.73</v>
      </c>
      <c r="AC143" s="67">
        <v>0</v>
      </c>
      <c r="AD143" s="67">
        <v>67.412599999999998</v>
      </c>
      <c r="AE143" s="140" t="s">
        <v>2853</v>
      </c>
      <c r="AF143" s="140" t="s">
        <v>2853</v>
      </c>
      <c r="AG143" s="1" t="s">
        <v>17</v>
      </c>
      <c r="AH143" s="68">
        <v>1.51219512E-4</v>
      </c>
      <c r="AI143" s="68">
        <f t="shared" si="2"/>
        <v>1.2708388314123414E-4</v>
      </c>
      <c r="AJ143" s="68">
        <f>+AD143/'סכום נכסים'!$B$30</f>
        <v>1.564290739163241E-5</v>
      </c>
    </row>
    <row r="144" spans="1:36" x14ac:dyDescent="0.25">
      <c r="A144" s="1">
        <v>13908</v>
      </c>
      <c r="B144" s="1">
        <v>13908</v>
      </c>
      <c r="C144" s="1" t="s">
        <v>1469</v>
      </c>
      <c r="D144" s="1">
        <v>514625094</v>
      </c>
      <c r="E144" s="1" t="s">
        <v>429</v>
      </c>
      <c r="F144" s="1" t="s">
        <v>1663</v>
      </c>
      <c r="G144" s="1" t="s">
        <v>1664</v>
      </c>
      <c r="H144" s="1" t="s">
        <v>76</v>
      </c>
      <c r="I144" s="1" t="s">
        <v>228</v>
      </c>
      <c r="J144" s="1" t="s">
        <v>53</v>
      </c>
      <c r="K144" s="1" t="s">
        <v>53</v>
      </c>
      <c r="L144" s="1" t="s">
        <v>821</v>
      </c>
      <c r="M144" s="1" t="s">
        <v>311</v>
      </c>
      <c r="N144" s="1" t="s">
        <v>140</v>
      </c>
      <c r="O144" s="1" t="s">
        <v>62</v>
      </c>
      <c r="P144" s="1" t="s">
        <v>298</v>
      </c>
      <c r="Q144" s="1" t="s">
        <v>298</v>
      </c>
      <c r="R144" s="1" t="s">
        <v>298</v>
      </c>
      <c r="S144" s="1" t="s">
        <v>1206</v>
      </c>
      <c r="T144" s="69">
        <v>1.77</v>
      </c>
      <c r="U144" s="70">
        <v>46757</v>
      </c>
      <c r="V144" s="68">
        <v>7.5999999999999998E-2</v>
      </c>
      <c r="W144" s="68">
        <v>6.3899999999999998E-2</v>
      </c>
      <c r="X144" s="1" t="s">
        <v>636</v>
      </c>
      <c r="Y144" s="140" t="s">
        <v>2853</v>
      </c>
      <c r="Z144" s="67">
        <v>171000</v>
      </c>
      <c r="AA144" s="67">
        <v>1</v>
      </c>
      <c r="AB144" s="67">
        <v>102.18</v>
      </c>
      <c r="AC144" s="67">
        <v>6.4980000000000002</v>
      </c>
      <c r="AD144" s="67">
        <v>181.22579999999999</v>
      </c>
      <c r="AE144" s="140" t="s">
        <v>2853</v>
      </c>
      <c r="AF144" s="140" t="s">
        <v>2853</v>
      </c>
      <c r="AG144" s="1" t="s">
        <v>17</v>
      </c>
      <c r="AH144" s="68">
        <v>1.1126510369999999E-3</v>
      </c>
      <c r="AI144" s="68">
        <f t="shared" si="2"/>
        <v>3.4164055961907226E-4</v>
      </c>
      <c r="AJ144" s="68">
        <f>+AD144/'סכום נכסים'!$B$30</f>
        <v>4.2052945686333072E-5</v>
      </c>
    </row>
    <row r="145" spans="1:36" x14ac:dyDescent="0.25">
      <c r="A145" s="1">
        <v>13908</v>
      </c>
      <c r="B145" s="1">
        <v>13908</v>
      </c>
      <c r="C145" s="1" t="s">
        <v>1487</v>
      </c>
      <c r="D145" s="1">
        <v>1630</v>
      </c>
      <c r="E145" s="1" t="s">
        <v>2</v>
      </c>
      <c r="F145" s="1" t="s">
        <v>1665</v>
      </c>
      <c r="G145" s="1" t="s">
        <v>1666</v>
      </c>
      <c r="H145" s="1" t="s">
        <v>76</v>
      </c>
      <c r="I145" s="1" t="s">
        <v>228</v>
      </c>
      <c r="J145" s="1" t="s">
        <v>53</v>
      </c>
      <c r="K145" s="1" t="s">
        <v>314</v>
      </c>
      <c r="L145" s="1" t="s">
        <v>821</v>
      </c>
      <c r="M145" s="1" t="s">
        <v>311</v>
      </c>
      <c r="N145" s="1" t="s">
        <v>652</v>
      </c>
      <c r="O145" s="1" t="s">
        <v>62</v>
      </c>
      <c r="P145" s="1" t="s">
        <v>1285</v>
      </c>
      <c r="Q145" s="1" t="s">
        <v>65</v>
      </c>
      <c r="R145" s="1" t="s">
        <v>57</v>
      </c>
      <c r="S145" s="1" t="s">
        <v>1206</v>
      </c>
      <c r="T145" s="69">
        <v>1.929</v>
      </c>
      <c r="U145" s="70">
        <v>46798</v>
      </c>
      <c r="V145" s="68">
        <v>5.8999999999999997E-2</v>
      </c>
      <c r="W145" s="68">
        <v>5.0799999999999998E-2</v>
      </c>
      <c r="X145" s="1" t="s">
        <v>636</v>
      </c>
      <c r="Y145" s="140" t="s">
        <v>2853</v>
      </c>
      <c r="Z145" s="67">
        <v>355000</v>
      </c>
      <c r="AA145" s="67">
        <v>1</v>
      </c>
      <c r="AB145" s="67">
        <v>103.93</v>
      </c>
      <c r="AC145" s="67">
        <v>0</v>
      </c>
      <c r="AD145" s="67">
        <v>368.95150000000001</v>
      </c>
      <c r="AE145" s="140" t="s">
        <v>2853</v>
      </c>
      <c r="AF145" s="140" t="s">
        <v>2853</v>
      </c>
      <c r="AG145" s="1" t="s">
        <v>17</v>
      </c>
      <c r="AH145" s="68">
        <v>5.4615384600000005E-4</v>
      </c>
      <c r="AI145" s="68">
        <f t="shared" si="2"/>
        <v>6.9553450409542213E-4</v>
      </c>
      <c r="AJ145" s="68">
        <f>+AD145/'סכום נכסים'!$B$30</f>
        <v>8.5614175191342062E-5</v>
      </c>
    </row>
    <row r="146" spans="1:36" x14ac:dyDescent="0.25">
      <c r="A146" s="1">
        <v>13908</v>
      </c>
      <c r="B146" s="1">
        <v>13908</v>
      </c>
      <c r="C146" s="1" t="s">
        <v>1583</v>
      </c>
      <c r="D146" s="1">
        <v>550263107</v>
      </c>
      <c r="E146" s="1" t="s">
        <v>432</v>
      </c>
      <c r="F146" s="1" t="s">
        <v>1667</v>
      </c>
      <c r="G146" s="1" t="s">
        <v>1668</v>
      </c>
      <c r="H146" s="1" t="s">
        <v>76</v>
      </c>
      <c r="I146" s="1" t="s">
        <v>228</v>
      </c>
      <c r="J146" s="1" t="s">
        <v>53</v>
      </c>
      <c r="K146" s="1" t="s">
        <v>53</v>
      </c>
      <c r="L146" s="1" t="s">
        <v>821</v>
      </c>
      <c r="M146" s="1" t="s">
        <v>311</v>
      </c>
      <c r="N146" s="1" t="s">
        <v>267</v>
      </c>
      <c r="O146" s="1" t="s">
        <v>62</v>
      </c>
      <c r="P146" s="1" t="s">
        <v>1414</v>
      </c>
      <c r="Q146" s="1" t="s">
        <v>65</v>
      </c>
      <c r="R146" s="1" t="s">
        <v>57</v>
      </c>
      <c r="S146" s="1" t="s">
        <v>1206</v>
      </c>
      <c r="T146" s="69">
        <v>2.722</v>
      </c>
      <c r="U146" s="70">
        <v>47391</v>
      </c>
      <c r="V146" s="68">
        <v>6.7000000000000004E-2</v>
      </c>
      <c r="W146" s="68">
        <v>4.8099999999999997E-2</v>
      </c>
      <c r="X146" s="1" t="s">
        <v>636</v>
      </c>
      <c r="Y146" s="140" t="s">
        <v>2853</v>
      </c>
      <c r="Z146" s="67">
        <v>5079650</v>
      </c>
      <c r="AA146" s="67">
        <v>1</v>
      </c>
      <c r="AB146" s="67">
        <v>107.03</v>
      </c>
      <c r="AC146" s="67">
        <v>0</v>
      </c>
      <c r="AD146" s="67">
        <v>5436.7493899999999</v>
      </c>
      <c r="AE146" s="140" t="s">
        <v>2853</v>
      </c>
      <c r="AF146" s="140" t="s">
        <v>2853</v>
      </c>
      <c r="AG146" s="1" t="s">
        <v>17</v>
      </c>
      <c r="AH146" s="68">
        <v>5.5820329669999998E-3</v>
      </c>
      <c r="AI146" s="68">
        <f t="shared" si="2"/>
        <v>1.0249170394658209E-2</v>
      </c>
      <c r="AJ146" s="68">
        <f>+AD146/'סכום נכסים'!$B$30</f>
        <v>1.2615826599075544E-3</v>
      </c>
    </row>
    <row r="147" spans="1:36" x14ac:dyDescent="0.25">
      <c r="A147" s="1">
        <v>13908</v>
      </c>
      <c r="B147" s="1">
        <v>13908</v>
      </c>
      <c r="C147" s="1" t="s">
        <v>1282</v>
      </c>
      <c r="D147" s="1">
        <v>520026683</v>
      </c>
      <c r="E147" s="1" t="s">
        <v>429</v>
      </c>
      <c r="F147" s="1" t="s">
        <v>1669</v>
      </c>
      <c r="G147" s="1" t="s">
        <v>1670</v>
      </c>
      <c r="H147" s="1" t="s">
        <v>76</v>
      </c>
      <c r="I147" s="1" t="s">
        <v>229</v>
      </c>
      <c r="J147" s="1" t="s">
        <v>53</v>
      </c>
      <c r="K147" s="1" t="s">
        <v>53</v>
      </c>
      <c r="L147" s="1" t="s">
        <v>821</v>
      </c>
      <c r="M147" s="1" t="s">
        <v>311</v>
      </c>
      <c r="N147" s="1" t="s">
        <v>651</v>
      </c>
      <c r="O147" s="1" t="s">
        <v>62</v>
      </c>
      <c r="P147" s="1" t="s">
        <v>1285</v>
      </c>
      <c r="Q147" s="1" t="s">
        <v>65</v>
      </c>
      <c r="R147" s="1" t="s">
        <v>57</v>
      </c>
      <c r="S147" s="1" t="s">
        <v>1206</v>
      </c>
      <c r="T147" s="69">
        <v>7.9829999999999997</v>
      </c>
      <c r="U147" s="70">
        <v>50045</v>
      </c>
      <c r="V147" s="68">
        <v>3.2000000000000001E-2</v>
      </c>
      <c r="W147" s="68">
        <v>2.7199999999999998E-2</v>
      </c>
      <c r="X147" s="1" t="s">
        <v>636</v>
      </c>
      <c r="Y147" s="140" t="s">
        <v>2853</v>
      </c>
      <c r="Z147" s="67">
        <v>497000</v>
      </c>
      <c r="AA147" s="67">
        <v>1</v>
      </c>
      <c r="AB147" s="67">
        <v>109.53</v>
      </c>
      <c r="AC147" s="67">
        <v>16.789190000000001</v>
      </c>
      <c r="AD147" s="67">
        <v>561.15328999999997</v>
      </c>
      <c r="AE147" s="140" t="s">
        <v>2853</v>
      </c>
      <c r="AF147" s="140" t="s">
        <v>2853</v>
      </c>
      <c r="AG147" s="1" t="s">
        <v>17</v>
      </c>
      <c r="AH147" s="68">
        <v>6.0683760600000001E-4</v>
      </c>
      <c r="AI147" s="68">
        <f t="shared" si="2"/>
        <v>1.0578666173783398E-3</v>
      </c>
      <c r="AJ147" s="68">
        <f>+AD147/'סכום נכסים'!$B$30</f>
        <v>1.3021406900163836E-4</v>
      </c>
    </row>
    <row r="148" spans="1:36" x14ac:dyDescent="0.25">
      <c r="A148" s="1">
        <v>13908</v>
      </c>
      <c r="B148" s="1">
        <v>13908</v>
      </c>
      <c r="C148" s="1" t="s">
        <v>1282</v>
      </c>
      <c r="D148" s="1">
        <v>520026683</v>
      </c>
      <c r="E148" s="1" t="s">
        <v>429</v>
      </c>
      <c r="F148" s="1" t="s">
        <v>1671</v>
      </c>
      <c r="G148" s="1" t="s">
        <v>1672</v>
      </c>
      <c r="H148" s="1" t="s">
        <v>76</v>
      </c>
      <c r="I148" s="1" t="s">
        <v>228</v>
      </c>
      <c r="J148" s="1" t="s">
        <v>53</v>
      </c>
      <c r="K148" s="1" t="s">
        <v>53</v>
      </c>
      <c r="L148" s="1" t="s">
        <v>821</v>
      </c>
      <c r="M148" s="1" t="s">
        <v>311</v>
      </c>
      <c r="N148" s="1" t="s">
        <v>651</v>
      </c>
      <c r="O148" s="1" t="s">
        <v>62</v>
      </c>
      <c r="P148" s="1" t="s">
        <v>1285</v>
      </c>
      <c r="Q148" s="1" t="s">
        <v>65</v>
      </c>
      <c r="R148" s="1" t="s">
        <v>57</v>
      </c>
      <c r="S148" s="1" t="s">
        <v>1206</v>
      </c>
      <c r="T148" s="69">
        <v>7.3330000000000002</v>
      </c>
      <c r="U148" s="70">
        <v>50045</v>
      </c>
      <c r="V148" s="68">
        <v>5.79E-2</v>
      </c>
      <c r="W148" s="68">
        <v>4.6199999999999998E-2</v>
      </c>
      <c r="X148" s="1" t="s">
        <v>636</v>
      </c>
      <c r="Y148" s="140" t="s">
        <v>2853</v>
      </c>
      <c r="Z148" s="67">
        <v>1200000</v>
      </c>
      <c r="AA148" s="67">
        <v>1</v>
      </c>
      <c r="AB148" s="67">
        <v>108.31</v>
      </c>
      <c r="AC148" s="67">
        <v>69.48</v>
      </c>
      <c r="AD148" s="67">
        <v>1369.2</v>
      </c>
      <c r="AE148" s="140" t="s">
        <v>2853</v>
      </c>
      <c r="AF148" s="140" t="s">
        <v>2853</v>
      </c>
      <c r="AG148" s="1" t="s">
        <v>17</v>
      </c>
      <c r="AH148" s="68">
        <v>1.3276416420000001E-3</v>
      </c>
      <c r="AI148" s="68">
        <f t="shared" si="2"/>
        <v>2.5811681020607097E-3</v>
      </c>
      <c r="AJ148" s="68">
        <f>+AD148/'סכום נכסים'!$B$30</f>
        <v>3.1771907329821277E-4</v>
      </c>
    </row>
    <row r="149" spans="1:36" x14ac:dyDescent="0.25">
      <c r="A149" s="1">
        <v>13908</v>
      </c>
      <c r="B149" s="1">
        <v>13908</v>
      </c>
      <c r="C149" s="1" t="s">
        <v>1308</v>
      </c>
      <c r="D149" s="1">
        <v>513992529</v>
      </c>
      <c r="E149" s="1" t="s">
        <v>429</v>
      </c>
      <c r="F149" s="1" t="s">
        <v>1673</v>
      </c>
      <c r="G149" s="1" t="s">
        <v>1674</v>
      </c>
      <c r="H149" s="1" t="s">
        <v>76</v>
      </c>
      <c r="I149" s="1" t="s">
        <v>229</v>
      </c>
      <c r="J149" s="1" t="s">
        <v>53</v>
      </c>
      <c r="K149" s="1" t="s">
        <v>53</v>
      </c>
      <c r="L149" s="1" t="s">
        <v>821</v>
      </c>
      <c r="M149" s="1" t="s">
        <v>311</v>
      </c>
      <c r="N149" s="1" t="s">
        <v>651</v>
      </c>
      <c r="O149" s="1" t="s">
        <v>62</v>
      </c>
      <c r="P149" s="1" t="s">
        <v>1285</v>
      </c>
      <c r="Q149" s="1" t="s">
        <v>65</v>
      </c>
      <c r="R149" s="1" t="s">
        <v>57</v>
      </c>
      <c r="S149" s="1" t="s">
        <v>1206</v>
      </c>
      <c r="T149" s="69">
        <v>6.8540000000000001</v>
      </c>
      <c r="U149" s="70">
        <v>50140</v>
      </c>
      <c r="V149" s="68">
        <v>0.03</v>
      </c>
      <c r="W149" s="68">
        <v>2.7300000000000001E-2</v>
      </c>
      <c r="X149" s="1" t="s">
        <v>636</v>
      </c>
      <c r="Y149" s="140" t="s">
        <v>2853</v>
      </c>
      <c r="Z149" s="67">
        <v>636480</v>
      </c>
      <c r="AA149" s="67">
        <v>1</v>
      </c>
      <c r="AB149" s="67">
        <v>108.37</v>
      </c>
      <c r="AC149" s="67">
        <v>0</v>
      </c>
      <c r="AD149" s="67">
        <v>689.75337999999999</v>
      </c>
      <c r="AE149" s="140" t="s">
        <v>2853</v>
      </c>
      <c r="AF149" s="140" t="s">
        <v>2853</v>
      </c>
      <c r="AG149" s="1" t="s">
        <v>17</v>
      </c>
      <c r="AH149" s="68">
        <v>1.4413858170000001E-3</v>
      </c>
      <c r="AI149" s="68">
        <f t="shared" si="2"/>
        <v>1.3002990233308206E-3</v>
      </c>
      <c r="AJ149" s="68">
        <f>+AD149/'סכום נכסים'!$B$30</f>
        <v>1.6005536422575956E-4</v>
      </c>
    </row>
    <row r="150" spans="1:36" x14ac:dyDescent="0.25">
      <c r="A150" s="1">
        <v>13908</v>
      </c>
      <c r="B150" s="1">
        <v>13908</v>
      </c>
      <c r="C150" s="1" t="s">
        <v>1432</v>
      </c>
      <c r="D150" s="1">
        <v>515364891</v>
      </c>
      <c r="E150" s="1" t="s">
        <v>429</v>
      </c>
      <c r="F150" s="1" t="s">
        <v>1675</v>
      </c>
      <c r="G150" s="1" t="s">
        <v>1676</v>
      </c>
      <c r="H150" s="1" t="s">
        <v>76</v>
      </c>
      <c r="I150" s="1" t="s">
        <v>229</v>
      </c>
      <c r="J150" s="1" t="s">
        <v>53</v>
      </c>
      <c r="K150" s="1" t="s">
        <v>53</v>
      </c>
      <c r="L150" s="1" t="s">
        <v>821</v>
      </c>
      <c r="M150" s="1" t="s">
        <v>311</v>
      </c>
      <c r="N150" s="1" t="s">
        <v>647</v>
      </c>
      <c r="O150" s="1" t="s">
        <v>62</v>
      </c>
      <c r="P150" s="1" t="s">
        <v>298</v>
      </c>
      <c r="Q150" s="1" t="s">
        <v>298</v>
      </c>
      <c r="R150" s="1" t="s">
        <v>298</v>
      </c>
      <c r="S150" s="1" t="s">
        <v>1206</v>
      </c>
      <c r="T150" s="69">
        <v>3.43</v>
      </c>
      <c r="U150" s="70">
        <v>48060</v>
      </c>
      <c r="V150" s="68">
        <v>4.7E-2</v>
      </c>
      <c r="W150" s="68">
        <v>3.3700000000000001E-2</v>
      </c>
      <c r="X150" s="1" t="s">
        <v>636</v>
      </c>
      <c r="Y150" s="140" t="s">
        <v>2853</v>
      </c>
      <c r="Z150" s="67">
        <v>1300000</v>
      </c>
      <c r="AA150" s="67">
        <v>1</v>
      </c>
      <c r="AB150" s="67">
        <v>112.65</v>
      </c>
      <c r="AC150" s="67">
        <v>0</v>
      </c>
      <c r="AD150" s="67">
        <v>1464.45</v>
      </c>
      <c r="AE150" s="140" t="s">
        <v>2853</v>
      </c>
      <c r="AF150" s="140" t="s">
        <v>2853</v>
      </c>
      <c r="AG150" s="1" t="s">
        <v>17</v>
      </c>
      <c r="AH150" s="68">
        <v>2.3696645400000001E-3</v>
      </c>
      <c r="AI150" s="68">
        <f t="shared" si="2"/>
        <v>2.7607300811151084E-3</v>
      </c>
      <c r="AJ150" s="68">
        <f>+AD150/'סכום נכסים'!$B$30</f>
        <v>3.3982157237187242E-4</v>
      </c>
    </row>
    <row r="151" spans="1:36" x14ac:dyDescent="0.25">
      <c r="A151" s="1">
        <v>13908</v>
      </c>
      <c r="B151" s="1">
        <v>13908</v>
      </c>
      <c r="C151" s="1" t="s">
        <v>1549</v>
      </c>
      <c r="D151" s="1">
        <v>520025438</v>
      </c>
      <c r="E151" s="1" t="s">
        <v>429</v>
      </c>
      <c r="F151" s="1" t="s">
        <v>1677</v>
      </c>
      <c r="G151" s="1" t="s">
        <v>1678</v>
      </c>
      <c r="H151" s="1" t="s">
        <v>76</v>
      </c>
      <c r="I151" s="1" t="s">
        <v>228</v>
      </c>
      <c r="J151" s="1" t="s">
        <v>53</v>
      </c>
      <c r="K151" s="1" t="s">
        <v>53</v>
      </c>
      <c r="L151" s="1" t="s">
        <v>821</v>
      </c>
      <c r="M151" s="1" t="s">
        <v>311</v>
      </c>
      <c r="N151" s="1" t="s">
        <v>651</v>
      </c>
      <c r="O151" s="1" t="s">
        <v>62</v>
      </c>
      <c r="P151" s="1" t="s">
        <v>1329</v>
      </c>
      <c r="Q151" s="1" t="s">
        <v>65</v>
      </c>
      <c r="R151" s="1" t="s">
        <v>57</v>
      </c>
      <c r="S151" s="1" t="s">
        <v>1206</v>
      </c>
      <c r="T151" s="69">
        <v>1.8859999999999999</v>
      </c>
      <c r="U151" s="70">
        <v>46745</v>
      </c>
      <c r="V151" s="68">
        <v>6.6299999999999998E-2</v>
      </c>
      <c r="W151" s="68">
        <v>4.6300000000000001E-2</v>
      </c>
      <c r="X151" s="1" t="s">
        <v>636</v>
      </c>
      <c r="Y151" s="140" t="s">
        <v>2853</v>
      </c>
      <c r="Z151" s="67">
        <v>2415100</v>
      </c>
      <c r="AA151" s="67">
        <v>1</v>
      </c>
      <c r="AB151" s="67">
        <v>103.98</v>
      </c>
      <c r="AC151" s="67">
        <v>0</v>
      </c>
      <c r="AD151" s="67">
        <v>2511.2209800000001</v>
      </c>
      <c r="AE151" s="140" t="s">
        <v>2853</v>
      </c>
      <c r="AF151" s="140" t="s">
        <v>2853</v>
      </c>
      <c r="AG151" s="1" t="s">
        <v>17</v>
      </c>
      <c r="AH151" s="68">
        <v>1.8243375430000001E-3</v>
      </c>
      <c r="AI151" s="68">
        <f t="shared" si="2"/>
        <v>4.7340662363435839E-3</v>
      </c>
      <c r="AJ151" s="68">
        <f>+AD151/'סכום נכסים'!$B$30</f>
        <v>5.8272188329873626E-4</v>
      </c>
    </row>
    <row r="152" spans="1:36" x14ac:dyDescent="0.25">
      <c r="A152" s="1">
        <v>13908</v>
      </c>
      <c r="B152" s="1">
        <v>13908</v>
      </c>
      <c r="C152" s="1" t="s">
        <v>1502</v>
      </c>
      <c r="D152" s="1">
        <v>520020116</v>
      </c>
      <c r="E152" s="1" t="s">
        <v>429</v>
      </c>
      <c r="F152" s="1" t="s">
        <v>1679</v>
      </c>
      <c r="G152" s="1" t="s">
        <v>1680</v>
      </c>
      <c r="H152" s="1" t="s">
        <v>76</v>
      </c>
      <c r="I152" s="1" t="s">
        <v>229</v>
      </c>
      <c r="J152" s="1" t="s">
        <v>53</v>
      </c>
      <c r="K152" s="1" t="s">
        <v>53</v>
      </c>
      <c r="L152" s="1" t="s">
        <v>821</v>
      </c>
      <c r="M152" s="1" t="s">
        <v>311</v>
      </c>
      <c r="N152" s="1" t="s">
        <v>651</v>
      </c>
      <c r="O152" s="1" t="s">
        <v>62</v>
      </c>
      <c r="P152" s="1" t="s">
        <v>1414</v>
      </c>
      <c r="Q152" s="1" t="s">
        <v>65</v>
      </c>
      <c r="R152" s="1" t="s">
        <v>57</v>
      </c>
      <c r="S152" s="1" t="s">
        <v>1206</v>
      </c>
      <c r="T152" s="69">
        <v>3.8130000000000002</v>
      </c>
      <c r="U152" s="70">
        <v>48029</v>
      </c>
      <c r="V152" s="68">
        <v>4.4499999999999998E-2</v>
      </c>
      <c r="W152" s="68">
        <v>2.9399999999999999E-2</v>
      </c>
      <c r="X152" s="1" t="s">
        <v>636</v>
      </c>
      <c r="Y152" s="140" t="s">
        <v>2853</v>
      </c>
      <c r="Z152" s="67">
        <v>296000</v>
      </c>
      <c r="AA152" s="67">
        <v>1</v>
      </c>
      <c r="AB152" s="67">
        <v>111.78</v>
      </c>
      <c r="AC152" s="67">
        <v>0</v>
      </c>
      <c r="AD152" s="67">
        <v>330.86880000000002</v>
      </c>
      <c r="AE152" s="140" t="s">
        <v>2853</v>
      </c>
      <c r="AF152" s="140" t="s">
        <v>2853</v>
      </c>
      <c r="AG152" s="1" t="s">
        <v>17</v>
      </c>
      <c r="AH152" s="68">
        <v>5.4916511999999996E-4</v>
      </c>
      <c r="AI152" s="68">
        <f t="shared" si="2"/>
        <v>6.2374232583048829E-4</v>
      </c>
      <c r="AJ152" s="68">
        <f>+AD152/'סכום נכסים'!$B$30</f>
        <v>7.677718997903279E-5</v>
      </c>
    </row>
    <row r="153" spans="1:36" x14ac:dyDescent="0.25">
      <c r="A153" s="1">
        <v>13908</v>
      </c>
      <c r="B153" s="1">
        <v>13908</v>
      </c>
      <c r="C153" s="1" t="s">
        <v>1502</v>
      </c>
      <c r="D153" s="1">
        <v>520020116</v>
      </c>
      <c r="E153" s="1" t="s">
        <v>429</v>
      </c>
      <c r="F153" s="1" t="s">
        <v>1681</v>
      </c>
      <c r="G153" s="1" t="s">
        <v>1680</v>
      </c>
      <c r="H153" s="1" t="s">
        <v>76</v>
      </c>
      <c r="I153" s="1" t="s">
        <v>229</v>
      </c>
      <c r="J153" s="1" t="s">
        <v>53</v>
      </c>
      <c r="K153" s="1" t="s">
        <v>53</v>
      </c>
      <c r="L153" s="1" t="s">
        <v>54</v>
      </c>
      <c r="M153" s="1" t="s">
        <v>311</v>
      </c>
      <c r="N153" s="1" t="s">
        <v>651</v>
      </c>
      <c r="O153" s="1" t="s">
        <v>62</v>
      </c>
      <c r="P153" s="1" t="s">
        <v>298</v>
      </c>
      <c r="Q153" s="1" t="s">
        <v>298</v>
      </c>
      <c r="R153" s="1" t="s">
        <v>298</v>
      </c>
      <c r="S153" s="1" t="s">
        <v>1206</v>
      </c>
      <c r="T153" s="69">
        <v>3.8130000000000002</v>
      </c>
      <c r="U153" s="70">
        <v>48029</v>
      </c>
      <c r="V153" s="68">
        <v>4.4499999999999998E-2</v>
      </c>
      <c r="W153" s="68">
        <v>2.9399999999999999E-2</v>
      </c>
      <c r="X153" s="1" t="s">
        <v>636</v>
      </c>
      <c r="Y153" s="140" t="s">
        <v>2853</v>
      </c>
      <c r="Z153" s="67">
        <v>1500000</v>
      </c>
      <c r="AA153" s="67">
        <v>1</v>
      </c>
      <c r="AB153" s="67">
        <v>111.6965</v>
      </c>
      <c r="AC153" s="67">
        <v>0</v>
      </c>
      <c r="AD153" s="67">
        <v>1675.4475</v>
      </c>
      <c r="AE153" s="140" t="s">
        <v>2853</v>
      </c>
      <c r="AF153" s="140" t="s">
        <v>2853</v>
      </c>
      <c r="AG153" s="1" t="s">
        <v>17</v>
      </c>
      <c r="AH153" s="68">
        <v>2.7829313540000001E-3</v>
      </c>
      <c r="AI153" s="68">
        <f t="shared" si="2"/>
        <v>3.1584952115668715E-3</v>
      </c>
      <c r="AJ153" s="68">
        <f>+AD153/'סכום נכסים'!$B$30</f>
        <v>3.8878295870567291E-4</v>
      </c>
    </row>
    <row r="154" spans="1:36" x14ac:dyDescent="0.25">
      <c r="A154" s="1">
        <v>13908</v>
      </c>
      <c r="B154" s="1">
        <v>13908</v>
      </c>
      <c r="C154" s="1" t="s">
        <v>1660</v>
      </c>
      <c r="D154" s="1">
        <v>520033234</v>
      </c>
      <c r="E154" s="1" t="s">
        <v>429</v>
      </c>
      <c r="F154" s="1" t="s">
        <v>1682</v>
      </c>
      <c r="G154" s="1" t="s">
        <v>1683</v>
      </c>
      <c r="H154" s="1" t="s">
        <v>76</v>
      </c>
      <c r="I154" s="1" t="s">
        <v>229</v>
      </c>
      <c r="J154" s="1" t="s">
        <v>53</v>
      </c>
      <c r="K154" s="1" t="s">
        <v>53</v>
      </c>
      <c r="L154" s="1" t="s">
        <v>821</v>
      </c>
      <c r="M154" s="1" t="s">
        <v>311</v>
      </c>
      <c r="N154" s="1" t="s">
        <v>652</v>
      </c>
      <c r="O154" s="1" t="s">
        <v>62</v>
      </c>
      <c r="P154" s="1" t="s">
        <v>1414</v>
      </c>
      <c r="Q154" s="1" t="s">
        <v>65</v>
      </c>
      <c r="R154" s="1" t="s">
        <v>57</v>
      </c>
      <c r="S154" s="1" t="s">
        <v>1206</v>
      </c>
      <c r="T154" s="69">
        <v>4.9050000000000002</v>
      </c>
      <c r="U154" s="70">
        <v>48121</v>
      </c>
      <c r="V154" s="68">
        <v>4.1500000000000002E-2</v>
      </c>
      <c r="W154" s="68">
        <v>4.1399999999999999E-2</v>
      </c>
      <c r="X154" s="1" t="s">
        <v>636</v>
      </c>
      <c r="Y154" s="140" t="s">
        <v>2853</v>
      </c>
      <c r="Z154" s="67">
        <v>0.5</v>
      </c>
      <c r="AA154" s="67">
        <v>1</v>
      </c>
      <c r="AB154" s="67">
        <v>106.93</v>
      </c>
      <c r="AC154" s="67">
        <v>0</v>
      </c>
      <c r="AD154" s="67">
        <v>5.2999999999999998E-4</v>
      </c>
      <c r="AE154" s="140" t="s">
        <v>2853</v>
      </c>
      <c r="AF154" s="140" t="s">
        <v>2853</v>
      </c>
      <c r="AG154" s="1" t="s">
        <v>17</v>
      </c>
      <c r="AH154" s="68">
        <v>1.0327964193113401E-9</v>
      </c>
      <c r="AI154" s="68">
        <f t="shared" si="2"/>
        <v>9.9913752124757225E-10</v>
      </c>
      <c r="AJ154" s="68">
        <f>+AD154/'סכום נכסים'!$B$30</f>
        <v>1.2298503421563887E-10</v>
      </c>
    </row>
    <row r="155" spans="1:36" x14ac:dyDescent="0.25">
      <c r="A155" s="1">
        <v>13908</v>
      </c>
      <c r="B155" s="1">
        <v>13908</v>
      </c>
      <c r="C155" s="1" t="s">
        <v>1367</v>
      </c>
      <c r="D155" s="1">
        <v>1665</v>
      </c>
      <c r="E155" s="1" t="s">
        <v>2</v>
      </c>
      <c r="F155" s="1" t="s">
        <v>1684</v>
      </c>
      <c r="G155" s="1" t="s">
        <v>1685</v>
      </c>
      <c r="H155" s="1" t="s">
        <v>76</v>
      </c>
      <c r="I155" s="1" t="s">
        <v>228</v>
      </c>
      <c r="J155" s="1" t="s">
        <v>53</v>
      </c>
      <c r="K155" s="1" t="s">
        <v>314</v>
      </c>
      <c r="L155" s="1" t="s">
        <v>821</v>
      </c>
      <c r="M155" s="1" t="s">
        <v>311</v>
      </c>
      <c r="N155" s="1" t="s">
        <v>652</v>
      </c>
      <c r="O155" s="1" t="s">
        <v>62</v>
      </c>
      <c r="P155" s="1" t="s">
        <v>1285</v>
      </c>
      <c r="Q155" s="1" t="s">
        <v>65</v>
      </c>
      <c r="R155" s="1" t="s">
        <v>57</v>
      </c>
      <c r="S155" s="1" t="s">
        <v>1206</v>
      </c>
      <c r="T155" s="69">
        <v>2.992</v>
      </c>
      <c r="U155" s="70">
        <v>47223</v>
      </c>
      <c r="V155" s="68">
        <v>6.25E-2</v>
      </c>
      <c r="W155" s="68">
        <v>4.9700000000000001E-2</v>
      </c>
      <c r="X155" s="1" t="s">
        <v>636</v>
      </c>
      <c r="Y155" s="140" t="s">
        <v>2853</v>
      </c>
      <c r="Z155" s="67">
        <v>476000</v>
      </c>
      <c r="AA155" s="67">
        <v>1</v>
      </c>
      <c r="AB155" s="67">
        <v>105.34</v>
      </c>
      <c r="AC155" s="67">
        <v>0</v>
      </c>
      <c r="AD155" s="67">
        <v>501.41840000000002</v>
      </c>
      <c r="AE155" s="140" t="s">
        <v>2853</v>
      </c>
      <c r="AF155" s="140" t="s">
        <v>2853</v>
      </c>
      <c r="AG155" s="1" t="s">
        <v>17</v>
      </c>
      <c r="AH155" s="68">
        <v>8.6545454499999998E-4</v>
      </c>
      <c r="AI155" s="68">
        <f t="shared" si="2"/>
        <v>9.452564854413656E-4</v>
      </c>
      <c r="AJ155" s="68">
        <f>+AD155/'סכום נכסים'!$B$30</f>
        <v>1.1635275298179416E-4</v>
      </c>
    </row>
    <row r="156" spans="1:36" x14ac:dyDescent="0.25">
      <c r="A156" s="1">
        <v>13908</v>
      </c>
      <c r="B156" s="1">
        <v>13908</v>
      </c>
      <c r="C156" s="1" t="s">
        <v>1686</v>
      </c>
      <c r="D156" s="1">
        <v>2352</v>
      </c>
      <c r="E156" s="1" t="s">
        <v>2</v>
      </c>
      <c r="F156" s="1" t="s">
        <v>1687</v>
      </c>
      <c r="G156" s="1" t="s">
        <v>1688</v>
      </c>
      <c r="H156" s="1" t="s">
        <v>76</v>
      </c>
      <c r="I156" s="1" t="s">
        <v>228</v>
      </c>
      <c r="J156" s="1" t="s">
        <v>53</v>
      </c>
      <c r="K156" s="1" t="s">
        <v>314</v>
      </c>
      <c r="L156" s="1" t="s">
        <v>821</v>
      </c>
      <c r="M156" s="1" t="s">
        <v>311</v>
      </c>
      <c r="N156" s="1" t="s">
        <v>258</v>
      </c>
      <c r="O156" s="1" t="s">
        <v>62</v>
      </c>
      <c r="P156" s="1" t="s">
        <v>1613</v>
      </c>
      <c r="Q156" s="1" t="s">
        <v>70</v>
      </c>
      <c r="R156" s="1" t="s">
        <v>57</v>
      </c>
      <c r="S156" s="1" t="s">
        <v>1206</v>
      </c>
      <c r="T156" s="69">
        <v>2.4980000000000002</v>
      </c>
      <c r="U156" s="70">
        <v>47119</v>
      </c>
      <c r="V156" s="68">
        <v>9.4E-2</v>
      </c>
      <c r="W156" s="68">
        <v>7.1900000000000006E-2</v>
      </c>
      <c r="X156" s="1" t="s">
        <v>636</v>
      </c>
      <c r="Y156" s="140" t="s">
        <v>2853</v>
      </c>
      <c r="Z156" s="67">
        <v>1861050</v>
      </c>
      <c r="AA156" s="67">
        <v>1</v>
      </c>
      <c r="AB156" s="67">
        <v>105.73</v>
      </c>
      <c r="AC156" s="67">
        <v>87.469350000000006</v>
      </c>
      <c r="AD156" s="67">
        <v>2055.15751</v>
      </c>
      <c r="AE156" s="140" t="s">
        <v>2853</v>
      </c>
      <c r="AF156" s="140" t="s">
        <v>2853</v>
      </c>
      <c r="AG156" s="1" t="s">
        <v>17</v>
      </c>
      <c r="AH156" s="68">
        <v>6.422950819E-3</v>
      </c>
      <c r="AI156" s="68">
        <f t="shared" si="2"/>
        <v>3.8743112836127037E-3</v>
      </c>
      <c r="AJ156" s="68">
        <f>+AD156/'סכום נכסים'!$B$30</f>
        <v>4.7689361638844754E-4</v>
      </c>
    </row>
    <row r="157" spans="1:36" x14ac:dyDescent="0.25">
      <c r="A157" s="1">
        <v>13908</v>
      </c>
      <c r="B157" s="1">
        <v>13908</v>
      </c>
      <c r="C157" s="1" t="s">
        <v>1689</v>
      </c>
      <c r="D157" s="1">
        <v>520039660</v>
      </c>
      <c r="E157" s="1" t="s">
        <v>429</v>
      </c>
      <c r="F157" s="1" t="s">
        <v>1690</v>
      </c>
      <c r="G157" s="1" t="s">
        <v>1691</v>
      </c>
      <c r="H157" s="1" t="s">
        <v>76</v>
      </c>
      <c r="I157" s="1" t="s">
        <v>228</v>
      </c>
      <c r="J157" s="1" t="s">
        <v>53</v>
      </c>
      <c r="K157" s="1" t="s">
        <v>53</v>
      </c>
      <c r="L157" s="1" t="s">
        <v>821</v>
      </c>
      <c r="M157" s="1" t="s">
        <v>311</v>
      </c>
      <c r="N157" s="1" t="s">
        <v>140</v>
      </c>
      <c r="O157" s="1" t="s">
        <v>62</v>
      </c>
      <c r="P157" s="1" t="s">
        <v>298</v>
      </c>
      <c r="Q157" s="1" t="s">
        <v>298</v>
      </c>
      <c r="R157" s="1" t="s">
        <v>298</v>
      </c>
      <c r="S157" s="1" t="s">
        <v>1206</v>
      </c>
      <c r="T157" s="69">
        <v>3.63</v>
      </c>
      <c r="U157" s="70">
        <v>48914</v>
      </c>
      <c r="V157" s="68">
        <v>6.7299999999999999E-2</v>
      </c>
      <c r="W157" s="68">
        <v>5.1799999999999999E-2</v>
      </c>
      <c r="X157" s="1" t="s">
        <v>636</v>
      </c>
      <c r="Y157" s="140" t="s">
        <v>2853</v>
      </c>
      <c r="Z157" s="67">
        <v>168021.01</v>
      </c>
      <c r="AA157" s="67">
        <v>1</v>
      </c>
      <c r="AB157" s="67">
        <v>106.39</v>
      </c>
      <c r="AC157" s="67">
        <v>0</v>
      </c>
      <c r="AD157" s="67">
        <v>178.75755000000001</v>
      </c>
      <c r="AE157" s="140" t="s">
        <v>2853</v>
      </c>
      <c r="AF157" s="140" t="s">
        <v>2853</v>
      </c>
      <c r="AG157" s="1" t="s">
        <v>17</v>
      </c>
      <c r="AH157" s="68">
        <v>6.4912913000000005E-4</v>
      </c>
      <c r="AI157" s="68">
        <f t="shared" si="2"/>
        <v>3.3698750077601697E-4</v>
      </c>
      <c r="AJ157" s="68">
        <f>+AD157/'סכום נכסים'!$B$30</f>
        <v>4.1480195100101469E-5</v>
      </c>
    </row>
    <row r="158" spans="1:36" x14ac:dyDescent="0.25">
      <c r="A158" s="1">
        <v>13908</v>
      </c>
      <c r="B158" s="1">
        <v>13908</v>
      </c>
      <c r="C158" s="1" t="s">
        <v>1692</v>
      </c>
      <c r="D158" s="1">
        <v>1963039</v>
      </c>
      <c r="E158" s="1" t="s">
        <v>430</v>
      </c>
      <c r="F158" s="1" t="s">
        <v>1693</v>
      </c>
      <c r="G158" s="1" t="s">
        <v>1694</v>
      </c>
      <c r="H158" s="1" t="s">
        <v>76</v>
      </c>
      <c r="I158" s="1" t="s">
        <v>228</v>
      </c>
      <c r="J158" s="1" t="s">
        <v>53</v>
      </c>
      <c r="K158" s="1" t="s">
        <v>314</v>
      </c>
      <c r="L158" s="1" t="s">
        <v>821</v>
      </c>
      <c r="M158" s="1" t="s">
        <v>311</v>
      </c>
      <c r="N158" s="1" t="s">
        <v>652</v>
      </c>
      <c r="O158" s="1" t="s">
        <v>62</v>
      </c>
      <c r="P158" s="1" t="s">
        <v>1292</v>
      </c>
      <c r="Q158" s="1" t="s">
        <v>65</v>
      </c>
      <c r="R158" s="1" t="s">
        <v>57</v>
      </c>
      <c r="S158" s="1" t="s">
        <v>1206</v>
      </c>
      <c r="T158" s="69">
        <v>2.5579999999999998</v>
      </c>
      <c r="U158" s="70">
        <v>47118</v>
      </c>
      <c r="V158" s="68">
        <v>7.8799999999999995E-2</v>
      </c>
      <c r="W158" s="68">
        <v>7.1999999999999995E-2</v>
      </c>
      <c r="X158" s="1" t="s">
        <v>636</v>
      </c>
      <c r="Y158" s="140" t="s">
        <v>2853</v>
      </c>
      <c r="Z158" s="67">
        <v>1043720.1</v>
      </c>
      <c r="AA158" s="67">
        <v>1</v>
      </c>
      <c r="AB158" s="67">
        <v>102.2</v>
      </c>
      <c r="AC158" s="67">
        <v>0</v>
      </c>
      <c r="AD158" s="67">
        <v>1066.6819399999999</v>
      </c>
      <c r="AE158" s="140" t="s">
        <v>2853</v>
      </c>
      <c r="AF158" s="140" t="s">
        <v>2853</v>
      </c>
      <c r="AG158" s="1" t="s">
        <v>17</v>
      </c>
      <c r="AH158" s="68">
        <v>2.8657224430000002E-3</v>
      </c>
      <c r="AI158" s="68">
        <f t="shared" si="2"/>
        <v>2.0108716028134936E-3</v>
      </c>
      <c r="AJ158" s="68">
        <f>+AD158/'סכום נכסים'!$B$30</f>
        <v>2.4752059412849823E-4</v>
      </c>
    </row>
    <row r="159" spans="1:36" x14ac:dyDescent="0.25">
      <c r="A159" s="1">
        <v>13908</v>
      </c>
      <c r="B159" s="1">
        <v>13908</v>
      </c>
      <c r="C159" s="1" t="s">
        <v>1692</v>
      </c>
      <c r="D159" s="1">
        <v>1963039</v>
      </c>
      <c r="E159" s="1" t="s">
        <v>430</v>
      </c>
      <c r="F159" s="1" t="s">
        <v>1695</v>
      </c>
      <c r="G159" s="1" t="s">
        <v>1694</v>
      </c>
      <c r="H159" s="1" t="s">
        <v>76</v>
      </c>
      <c r="I159" s="1" t="s">
        <v>228</v>
      </c>
      <c r="J159" s="1" t="s">
        <v>53</v>
      </c>
      <c r="K159" s="1" t="s">
        <v>314</v>
      </c>
      <c r="L159" s="1" t="s">
        <v>54</v>
      </c>
      <c r="M159" s="1" t="s">
        <v>311</v>
      </c>
      <c r="N159" s="1" t="s">
        <v>652</v>
      </c>
      <c r="O159" s="1" t="s">
        <v>62</v>
      </c>
      <c r="P159" s="1" t="s">
        <v>298</v>
      </c>
      <c r="Q159" s="1" t="s">
        <v>298</v>
      </c>
      <c r="R159" s="1" t="s">
        <v>298</v>
      </c>
      <c r="S159" s="1" t="s">
        <v>1206</v>
      </c>
      <c r="T159" s="69">
        <v>2.5579999999999998</v>
      </c>
      <c r="U159" s="70">
        <v>47118</v>
      </c>
      <c r="V159" s="68">
        <v>7.8799999999999995E-2</v>
      </c>
      <c r="W159" s="68">
        <v>7.1999999999999995E-2</v>
      </c>
      <c r="X159" s="1" t="s">
        <v>636</v>
      </c>
      <c r="Y159" s="140" t="s">
        <v>2853</v>
      </c>
      <c r="Z159" s="67">
        <v>1352061.33</v>
      </c>
      <c r="AA159" s="67">
        <v>1</v>
      </c>
      <c r="AB159" s="67">
        <v>100.9778</v>
      </c>
      <c r="AC159" s="67">
        <v>0</v>
      </c>
      <c r="AD159" s="67">
        <v>1365.28178</v>
      </c>
      <c r="AE159" s="140" t="s">
        <v>2853</v>
      </c>
      <c r="AF159" s="140" t="s">
        <v>2853</v>
      </c>
      <c r="AG159" s="1" t="s">
        <v>17</v>
      </c>
      <c r="AH159" s="68">
        <v>3.7123290979999999E-3</v>
      </c>
      <c r="AI159" s="68">
        <f t="shared" si="2"/>
        <v>2.5737816103276858E-3</v>
      </c>
      <c r="AJ159" s="68">
        <f>+AD159/'סכום נכסים'!$B$30</f>
        <v>3.1680986118356292E-4</v>
      </c>
    </row>
    <row r="160" spans="1:36" x14ac:dyDescent="0.25">
      <c r="A160" s="1">
        <v>13908</v>
      </c>
      <c r="B160" s="1">
        <v>13908</v>
      </c>
      <c r="C160" s="1" t="s">
        <v>1696</v>
      </c>
      <c r="D160" s="1">
        <v>520025370</v>
      </c>
      <c r="E160" s="1" t="s">
        <v>429</v>
      </c>
      <c r="F160" s="1" t="s">
        <v>1697</v>
      </c>
      <c r="G160" s="1" t="s">
        <v>1698</v>
      </c>
      <c r="H160" s="1" t="s">
        <v>76</v>
      </c>
      <c r="I160" s="1" t="s">
        <v>228</v>
      </c>
      <c r="J160" s="1" t="s">
        <v>53</v>
      </c>
      <c r="K160" s="1" t="s">
        <v>53</v>
      </c>
      <c r="L160" s="1" t="s">
        <v>821</v>
      </c>
      <c r="M160" s="1" t="s">
        <v>311</v>
      </c>
      <c r="N160" s="1" t="s">
        <v>708</v>
      </c>
      <c r="O160" s="1" t="s">
        <v>62</v>
      </c>
      <c r="P160" s="1" t="s">
        <v>1281</v>
      </c>
      <c r="Q160" s="1" t="s">
        <v>65</v>
      </c>
      <c r="R160" s="1" t="s">
        <v>57</v>
      </c>
      <c r="S160" s="1" t="s">
        <v>1206</v>
      </c>
      <c r="T160" s="69">
        <v>3.5790000000000002</v>
      </c>
      <c r="U160" s="70">
        <v>48364</v>
      </c>
      <c r="V160" s="68">
        <v>5.9799999999999999E-2</v>
      </c>
      <c r="W160" s="68">
        <v>4.3700000000000003E-2</v>
      </c>
      <c r="X160" s="1" t="s">
        <v>636</v>
      </c>
      <c r="Y160" s="140" t="s">
        <v>2853</v>
      </c>
      <c r="Z160" s="67">
        <v>1280600</v>
      </c>
      <c r="AA160" s="67">
        <v>1</v>
      </c>
      <c r="AB160" s="67">
        <v>106.45</v>
      </c>
      <c r="AC160" s="67">
        <v>0</v>
      </c>
      <c r="AD160" s="67">
        <v>1363.1986999999999</v>
      </c>
      <c r="AE160" s="140" t="s">
        <v>2853</v>
      </c>
      <c r="AF160" s="140" t="s">
        <v>2853</v>
      </c>
      <c r="AG160" s="1" t="s">
        <v>17</v>
      </c>
      <c r="AH160" s="68">
        <v>3.0857831319999998E-3</v>
      </c>
      <c r="AI160" s="68">
        <f t="shared" si="2"/>
        <v>2.5698546605394585E-3</v>
      </c>
      <c r="AJ160" s="68">
        <f>+AD160/'סכום נכסים'!$B$30</f>
        <v>3.1632648823059329E-4</v>
      </c>
    </row>
    <row r="161" spans="1:36" x14ac:dyDescent="0.25">
      <c r="A161" s="1">
        <v>13908</v>
      </c>
      <c r="B161" s="1">
        <v>13908</v>
      </c>
      <c r="C161" s="1" t="s">
        <v>1699</v>
      </c>
      <c r="D161" s="1">
        <v>520001736</v>
      </c>
      <c r="E161" s="1" t="s">
        <v>429</v>
      </c>
      <c r="F161" s="1" t="s">
        <v>1700</v>
      </c>
      <c r="G161" s="1" t="s">
        <v>1701</v>
      </c>
      <c r="H161" s="1" t="s">
        <v>76</v>
      </c>
      <c r="I161" s="1" t="s">
        <v>229</v>
      </c>
      <c r="J161" s="1" t="s">
        <v>53</v>
      </c>
      <c r="K161" s="1" t="s">
        <v>53</v>
      </c>
      <c r="L161" s="1" t="s">
        <v>821</v>
      </c>
      <c r="M161" s="1" t="s">
        <v>311</v>
      </c>
      <c r="N161" s="1" t="s">
        <v>651</v>
      </c>
      <c r="O161" s="1" t="s">
        <v>62</v>
      </c>
      <c r="P161" s="1" t="s">
        <v>1285</v>
      </c>
      <c r="Q161" s="1" t="s">
        <v>65</v>
      </c>
      <c r="R161" s="1" t="s">
        <v>57</v>
      </c>
      <c r="S161" s="1" t="s">
        <v>1206</v>
      </c>
      <c r="T161" s="69">
        <v>2.617</v>
      </c>
      <c r="U161" s="70">
        <v>47573</v>
      </c>
      <c r="V161" s="68">
        <v>3.3399999999999999E-2</v>
      </c>
      <c r="W161" s="68">
        <v>2.5600000000000001E-2</v>
      </c>
      <c r="X161" s="1" t="s">
        <v>636</v>
      </c>
      <c r="Y161" s="140" t="s">
        <v>2853</v>
      </c>
      <c r="Z161" s="67">
        <v>1849000</v>
      </c>
      <c r="AA161" s="67">
        <v>1</v>
      </c>
      <c r="AB161" s="67">
        <v>106.94</v>
      </c>
      <c r="AC161" s="67">
        <v>0</v>
      </c>
      <c r="AD161" s="67">
        <v>1977.3206</v>
      </c>
      <c r="AE161" s="140" t="s">
        <v>2853</v>
      </c>
      <c r="AF161" s="140" t="s">
        <v>2853</v>
      </c>
      <c r="AG161" s="1" t="s">
        <v>17</v>
      </c>
      <c r="AH161" s="68">
        <v>1.7183966949999999E-3</v>
      </c>
      <c r="AI161" s="68">
        <f t="shared" si="2"/>
        <v>3.7275758547089858E-3</v>
      </c>
      <c r="AJ161" s="68">
        <f>+AD161/'סכום נכסים'!$B$30</f>
        <v>4.5883177669110871E-4</v>
      </c>
    </row>
    <row r="162" spans="1:36" x14ac:dyDescent="0.25">
      <c r="A162" s="1">
        <v>13908</v>
      </c>
      <c r="B162" s="1">
        <v>13908</v>
      </c>
      <c r="C162" s="1" t="s">
        <v>1452</v>
      </c>
      <c r="D162" s="1">
        <v>520043720</v>
      </c>
      <c r="E162" s="1" t="s">
        <v>429</v>
      </c>
      <c r="F162" s="1" t="s">
        <v>1702</v>
      </c>
      <c r="G162" s="1" t="s">
        <v>1703</v>
      </c>
      <c r="H162" s="1" t="s">
        <v>76</v>
      </c>
      <c r="I162" s="1" t="s">
        <v>230</v>
      </c>
      <c r="J162" s="1" t="s">
        <v>53</v>
      </c>
      <c r="K162" s="1" t="s">
        <v>53</v>
      </c>
      <c r="L162" s="1" t="s">
        <v>821</v>
      </c>
      <c r="M162" s="1" t="s">
        <v>311</v>
      </c>
      <c r="N162" s="1" t="s">
        <v>652</v>
      </c>
      <c r="O162" s="1" t="s">
        <v>62</v>
      </c>
      <c r="P162" s="1" t="s">
        <v>1455</v>
      </c>
      <c r="Q162" s="1" t="s">
        <v>70</v>
      </c>
      <c r="R162" s="1" t="s">
        <v>57</v>
      </c>
      <c r="S162" s="1" t="s">
        <v>1206</v>
      </c>
      <c r="T162" s="69">
        <v>4.1150000000000002</v>
      </c>
      <c r="U162" s="70">
        <v>47818</v>
      </c>
      <c r="V162" s="68">
        <v>6.1100000000000002E-2</v>
      </c>
      <c r="W162" s="68">
        <v>4.7800000000000002E-2</v>
      </c>
      <c r="X162" s="1" t="s">
        <v>636</v>
      </c>
      <c r="Y162" s="140" t="s">
        <v>2853</v>
      </c>
      <c r="Z162" s="67">
        <v>779025</v>
      </c>
      <c r="AA162" s="67">
        <v>1</v>
      </c>
      <c r="AB162" s="67">
        <v>90</v>
      </c>
      <c r="AC162" s="67">
        <v>0</v>
      </c>
      <c r="AD162" s="67">
        <v>701.12249999999995</v>
      </c>
      <c r="AE162" s="140" t="s">
        <v>2853</v>
      </c>
      <c r="AF162" s="140" t="s">
        <v>2853</v>
      </c>
      <c r="AG162" s="1" t="s">
        <v>17</v>
      </c>
      <c r="AH162" s="68">
        <v>5.7291591969999998E-3</v>
      </c>
      <c r="AI162" s="68">
        <f t="shared" si="2"/>
        <v>1.3217316919639642E-3</v>
      </c>
      <c r="AJ162" s="68">
        <f>+AD162/'סכום נכסים'!$B$30</f>
        <v>1.6269353707897032E-4</v>
      </c>
    </row>
    <row r="163" spans="1:36" x14ac:dyDescent="0.25">
      <c r="A163" s="1">
        <v>13908</v>
      </c>
      <c r="B163" s="1">
        <v>13908</v>
      </c>
      <c r="C163" s="1" t="s">
        <v>1375</v>
      </c>
      <c r="D163" s="1">
        <v>1991033</v>
      </c>
      <c r="E163" s="1" t="s">
        <v>430</v>
      </c>
      <c r="F163" s="1" t="s">
        <v>1704</v>
      </c>
      <c r="G163" s="1" t="s">
        <v>1705</v>
      </c>
      <c r="H163" s="1" t="s">
        <v>76</v>
      </c>
      <c r="I163" s="1" t="s">
        <v>228</v>
      </c>
      <c r="J163" s="1" t="s">
        <v>53</v>
      </c>
      <c r="K163" s="1" t="s">
        <v>314</v>
      </c>
      <c r="L163" s="1" t="s">
        <v>821</v>
      </c>
      <c r="M163" s="1" t="s">
        <v>311</v>
      </c>
      <c r="N163" s="1" t="s">
        <v>652</v>
      </c>
      <c r="O163" s="1" t="s">
        <v>62</v>
      </c>
      <c r="P163" s="1" t="s">
        <v>1281</v>
      </c>
      <c r="Q163" s="1" t="s">
        <v>65</v>
      </c>
      <c r="R163" s="1" t="s">
        <v>57</v>
      </c>
      <c r="S163" s="1" t="s">
        <v>1206</v>
      </c>
      <c r="T163" s="69">
        <v>3.3969999999999998</v>
      </c>
      <c r="U163" s="70">
        <v>47421</v>
      </c>
      <c r="V163" s="68">
        <v>7.1099999999999997E-2</v>
      </c>
      <c r="W163" s="68">
        <v>5.33E-2</v>
      </c>
      <c r="X163" s="1" t="s">
        <v>636</v>
      </c>
      <c r="Y163" s="140" t="s">
        <v>2853</v>
      </c>
      <c r="Z163" s="67">
        <v>568000</v>
      </c>
      <c r="AA163" s="67">
        <v>1</v>
      </c>
      <c r="AB163" s="67">
        <v>107.55</v>
      </c>
      <c r="AC163" s="67">
        <v>0</v>
      </c>
      <c r="AD163" s="67">
        <v>610.88400000000001</v>
      </c>
      <c r="AE163" s="140" t="s">
        <v>2853</v>
      </c>
      <c r="AF163" s="140" t="s">
        <v>2853</v>
      </c>
      <c r="AG163" s="1" t="s">
        <v>17</v>
      </c>
      <c r="AH163" s="68">
        <v>1.362110311E-3</v>
      </c>
      <c r="AI163" s="68">
        <f t="shared" si="2"/>
        <v>1.1516172179807584E-3</v>
      </c>
      <c r="AJ163" s="68">
        <f>+AD163/'סכום נכסים'!$B$30</f>
        <v>1.4175394272035159E-4</v>
      </c>
    </row>
    <row r="164" spans="1:36" x14ac:dyDescent="0.25">
      <c r="A164" s="1">
        <v>13908</v>
      </c>
      <c r="B164" s="1">
        <v>13908</v>
      </c>
      <c r="C164" s="1" t="s">
        <v>1706</v>
      </c>
      <c r="D164" s="1">
        <v>520036732</v>
      </c>
      <c r="E164" s="1" t="s">
        <v>429</v>
      </c>
      <c r="F164" s="1" t="s">
        <v>1707</v>
      </c>
      <c r="G164" s="1" t="s">
        <v>1708</v>
      </c>
      <c r="H164" s="1" t="s">
        <v>76</v>
      </c>
      <c r="I164" s="1" t="s">
        <v>228</v>
      </c>
      <c r="J164" s="1" t="s">
        <v>53</v>
      </c>
      <c r="K164" s="1" t="s">
        <v>53</v>
      </c>
      <c r="L164" s="1" t="s">
        <v>821</v>
      </c>
      <c r="M164" s="1" t="s">
        <v>311</v>
      </c>
      <c r="N164" s="1" t="s">
        <v>75</v>
      </c>
      <c r="O164" s="1" t="s">
        <v>62</v>
      </c>
      <c r="P164" s="1" t="s">
        <v>1323</v>
      </c>
      <c r="Q164" s="1" t="s">
        <v>70</v>
      </c>
      <c r="R164" s="1" t="s">
        <v>57</v>
      </c>
      <c r="S164" s="1" t="s">
        <v>1206</v>
      </c>
      <c r="T164" s="69">
        <v>4.306</v>
      </c>
      <c r="U164" s="70">
        <v>49125</v>
      </c>
      <c r="V164" s="68">
        <v>5.8500000000000003E-2</v>
      </c>
      <c r="W164" s="68">
        <v>4.65E-2</v>
      </c>
      <c r="X164" s="1" t="s">
        <v>636</v>
      </c>
      <c r="Y164" s="140" t="s">
        <v>2853</v>
      </c>
      <c r="Z164" s="67">
        <v>590000</v>
      </c>
      <c r="AA164" s="67">
        <v>1</v>
      </c>
      <c r="AB164" s="67">
        <v>108.03</v>
      </c>
      <c r="AC164" s="67">
        <v>0</v>
      </c>
      <c r="AD164" s="67">
        <v>637.37699999999995</v>
      </c>
      <c r="AE164" s="140" t="s">
        <v>2853</v>
      </c>
      <c r="AF164" s="140" t="s">
        <v>2853</v>
      </c>
      <c r="AG164" s="1" t="s">
        <v>17</v>
      </c>
      <c r="AH164" s="68">
        <v>3.8064516119999999E-3</v>
      </c>
      <c r="AI164" s="68">
        <f t="shared" si="2"/>
        <v>1.201560897887196E-3</v>
      </c>
      <c r="AJ164" s="68">
        <f>+AD164/'סכום נכסים'!$B$30</f>
        <v>1.4790157010049294E-4</v>
      </c>
    </row>
    <row r="165" spans="1:36" x14ac:dyDescent="0.25">
      <c r="A165" s="1">
        <v>13908</v>
      </c>
      <c r="B165" s="1">
        <v>13908</v>
      </c>
      <c r="C165" s="1" t="s">
        <v>1660</v>
      </c>
      <c r="D165" s="1">
        <v>520033234</v>
      </c>
      <c r="E165" s="1" t="s">
        <v>429</v>
      </c>
      <c r="F165" s="1" t="s">
        <v>1709</v>
      </c>
      <c r="G165" s="1" t="s">
        <v>1710</v>
      </c>
      <c r="H165" s="1" t="s">
        <v>76</v>
      </c>
      <c r="I165" s="1" t="s">
        <v>229</v>
      </c>
      <c r="J165" s="1" t="s">
        <v>53</v>
      </c>
      <c r="K165" s="1" t="s">
        <v>53</v>
      </c>
      <c r="L165" s="1" t="s">
        <v>821</v>
      </c>
      <c r="M165" s="1" t="s">
        <v>311</v>
      </c>
      <c r="N165" s="1" t="s">
        <v>652</v>
      </c>
      <c r="O165" s="1" t="s">
        <v>62</v>
      </c>
      <c r="P165" s="1" t="s">
        <v>1292</v>
      </c>
      <c r="Q165" s="1" t="s">
        <v>65</v>
      </c>
      <c r="R165" s="1" t="s">
        <v>57</v>
      </c>
      <c r="S165" s="1" t="s">
        <v>1206</v>
      </c>
      <c r="T165" s="69">
        <v>3.927</v>
      </c>
      <c r="U165" s="70">
        <v>47756</v>
      </c>
      <c r="V165" s="68">
        <v>4.24E-2</v>
      </c>
      <c r="W165" s="68">
        <v>3.44E-2</v>
      </c>
      <c r="X165" s="1" t="s">
        <v>636</v>
      </c>
      <c r="Y165" s="140" t="s">
        <v>2853</v>
      </c>
      <c r="Z165" s="67">
        <v>1367000</v>
      </c>
      <c r="AA165" s="67">
        <v>1</v>
      </c>
      <c r="AB165" s="67">
        <v>108.39</v>
      </c>
      <c r="AC165" s="67">
        <v>0</v>
      </c>
      <c r="AD165" s="67">
        <v>1481.6913</v>
      </c>
      <c r="AE165" s="140" t="s">
        <v>2853</v>
      </c>
      <c r="AF165" s="140" t="s">
        <v>2853</v>
      </c>
      <c r="AG165" s="1" t="s">
        <v>17</v>
      </c>
      <c r="AH165" s="68">
        <v>2.1193798439999999E-3</v>
      </c>
      <c r="AI165" s="68">
        <f t="shared" si="2"/>
        <v>2.7932327787473453E-3</v>
      </c>
      <c r="AJ165" s="68">
        <f>+AD165/'סכום נכסים'!$B$30</f>
        <v>3.4382236835380083E-4</v>
      </c>
    </row>
    <row r="166" spans="1:36" x14ac:dyDescent="0.25">
      <c r="A166" s="1">
        <v>13908</v>
      </c>
      <c r="B166" s="1">
        <v>13908</v>
      </c>
      <c r="C166" s="1" t="s">
        <v>1301</v>
      </c>
      <c r="D166" s="1">
        <v>510960719</v>
      </c>
      <c r="E166" s="1" t="s">
        <v>429</v>
      </c>
      <c r="F166" s="1" t="s">
        <v>1711</v>
      </c>
      <c r="G166" s="1" t="s">
        <v>1712</v>
      </c>
      <c r="H166" s="1" t="s">
        <v>76</v>
      </c>
      <c r="I166" s="1" t="s">
        <v>229</v>
      </c>
      <c r="J166" s="1" t="s">
        <v>53</v>
      </c>
      <c r="K166" s="1" t="s">
        <v>53</v>
      </c>
      <c r="L166" s="1" t="s">
        <v>821</v>
      </c>
      <c r="M166" s="1" t="s">
        <v>311</v>
      </c>
      <c r="N166" s="1" t="s">
        <v>651</v>
      </c>
      <c r="O166" s="1" t="s">
        <v>62</v>
      </c>
      <c r="P166" s="1" t="s">
        <v>1304</v>
      </c>
      <c r="Q166" s="1" t="s">
        <v>70</v>
      </c>
      <c r="R166" s="1" t="s">
        <v>57</v>
      </c>
      <c r="S166" s="1" t="s">
        <v>1206</v>
      </c>
      <c r="T166" s="69">
        <v>11.696999999999999</v>
      </c>
      <c r="U166" s="70">
        <v>53329</v>
      </c>
      <c r="V166" s="68">
        <v>3.6700000000000003E-2</v>
      </c>
      <c r="W166" s="68">
        <v>2.92E-2</v>
      </c>
      <c r="X166" s="1" t="s">
        <v>636</v>
      </c>
      <c r="Y166" s="140" t="s">
        <v>2853</v>
      </c>
      <c r="Z166" s="67">
        <v>5386000</v>
      </c>
      <c r="AA166" s="67">
        <v>1</v>
      </c>
      <c r="AB166" s="67">
        <v>113.25</v>
      </c>
      <c r="AC166" s="67">
        <v>102.58208</v>
      </c>
      <c r="AD166" s="67">
        <v>6202.2270799999997</v>
      </c>
      <c r="AE166" s="140" t="s">
        <v>2853</v>
      </c>
      <c r="AF166" s="140" t="s">
        <v>2853</v>
      </c>
      <c r="AG166" s="1" t="s">
        <v>17</v>
      </c>
      <c r="AH166" s="68">
        <v>1.0562994249999999E-3</v>
      </c>
      <c r="AI166" s="68">
        <f t="shared" si="2"/>
        <v>1.1692222247029751E-2</v>
      </c>
      <c r="AJ166" s="68">
        <f>+AD166/'סכום נכסים'!$B$30</f>
        <v>1.4392096408433245E-3</v>
      </c>
    </row>
    <row r="167" spans="1:36" x14ac:dyDescent="0.25">
      <c r="A167" s="1">
        <v>13908</v>
      </c>
      <c r="B167" s="1">
        <v>13908</v>
      </c>
      <c r="C167" s="1" t="s">
        <v>1713</v>
      </c>
      <c r="D167" s="1">
        <v>512947185</v>
      </c>
      <c r="E167" s="1" t="s">
        <v>429</v>
      </c>
      <c r="F167" s="1" t="s">
        <v>1714</v>
      </c>
      <c r="G167" s="1" t="s">
        <v>1715</v>
      </c>
      <c r="H167" s="1" t="s">
        <v>76</v>
      </c>
      <c r="I167" s="1" t="s">
        <v>228</v>
      </c>
      <c r="J167" s="1" t="s">
        <v>53</v>
      </c>
      <c r="K167" s="1" t="s">
        <v>53</v>
      </c>
      <c r="L167" s="1" t="s">
        <v>821</v>
      </c>
      <c r="M167" s="1" t="s">
        <v>311</v>
      </c>
      <c r="N167" s="1" t="s">
        <v>140</v>
      </c>
      <c r="O167" s="1" t="s">
        <v>62</v>
      </c>
      <c r="P167" s="1" t="s">
        <v>298</v>
      </c>
      <c r="Q167" s="1" t="s">
        <v>298</v>
      </c>
      <c r="R167" s="1" t="s">
        <v>298</v>
      </c>
      <c r="S167" s="1" t="s">
        <v>1206</v>
      </c>
      <c r="T167" s="69">
        <v>1.89</v>
      </c>
      <c r="U167" s="70">
        <v>46934</v>
      </c>
      <c r="V167" s="68">
        <v>7.4399999999999994E-2</v>
      </c>
      <c r="W167" s="68">
        <v>6.4199999999999993E-2</v>
      </c>
      <c r="X167" s="1" t="s">
        <v>636</v>
      </c>
      <c r="Y167" s="140" t="s">
        <v>2853</v>
      </c>
      <c r="Z167" s="67">
        <v>100000</v>
      </c>
      <c r="AA167" s="67">
        <v>1</v>
      </c>
      <c r="AB167" s="67">
        <v>102.42</v>
      </c>
      <c r="AC167" s="67">
        <v>0</v>
      </c>
      <c r="AD167" s="67">
        <v>102.42</v>
      </c>
      <c r="AE167" s="140" t="s">
        <v>2853</v>
      </c>
      <c r="AF167" s="140" t="s">
        <v>2853</v>
      </c>
      <c r="AG167" s="1" t="s">
        <v>17</v>
      </c>
      <c r="AH167" s="68">
        <v>1.672240802E-3</v>
      </c>
      <c r="AI167" s="68">
        <f t="shared" si="2"/>
        <v>1.9307861306825728E-4</v>
      </c>
      <c r="AJ167" s="68">
        <f>+AD167/'סכום נכסים'!$B$30</f>
        <v>2.3766277744086291E-5</v>
      </c>
    </row>
    <row r="168" spans="1:36" x14ac:dyDescent="0.25">
      <c r="A168" s="1">
        <v>13908</v>
      </c>
      <c r="B168" s="1">
        <v>13908</v>
      </c>
      <c r="C168" s="1" t="s">
        <v>1716</v>
      </c>
      <c r="D168" s="1">
        <v>515361442</v>
      </c>
      <c r="E168" s="1" t="s">
        <v>429</v>
      </c>
      <c r="F168" s="1" t="s">
        <v>1717</v>
      </c>
      <c r="G168" s="1" t="s">
        <v>1718</v>
      </c>
      <c r="H168" s="1" t="s">
        <v>76</v>
      </c>
      <c r="I168" s="1" t="s">
        <v>228</v>
      </c>
      <c r="J168" s="1" t="s">
        <v>53</v>
      </c>
      <c r="K168" s="1" t="s">
        <v>53</v>
      </c>
      <c r="L168" s="1" t="s">
        <v>54</v>
      </c>
      <c r="M168" s="1" t="s">
        <v>311</v>
      </c>
      <c r="N168" s="1" t="s">
        <v>140</v>
      </c>
      <c r="O168" s="1" t="s">
        <v>62</v>
      </c>
      <c r="P168" s="1" t="s">
        <v>298</v>
      </c>
      <c r="Q168" s="1" t="s">
        <v>298</v>
      </c>
      <c r="R168" s="1" t="s">
        <v>298</v>
      </c>
      <c r="S168" s="1" t="s">
        <v>1206</v>
      </c>
      <c r="T168" s="69">
        <v>2.8759999999999999</v>
      </c>
      <c r="U168" s="70">
        <v>47848</v>
      </c>
      <c r="V168" s="68">
        <v>8.3500000000000005E-2</v>
      </c>
      <c r="W168" s="68">
        <v>8.2600000000000007E-2</v>
      </c>
      <c r="X168" s="1" t="s">
        <v>636</v>
      </c>
      <c r="Y168" s="140" t="s">
        <v>2853</v>
      </c>
      <c r="Z168" s="67">
        <v>6030000</v>
      </c>
      <c r="AA168" s="67">
        <v>1</v>
      </c>
      <c r="AB168" s="67">
        <v>100.592</v>
      </c>
      <c r="AC168" s="67">
        <v>0</v>
      </c>
      <c r="AD168" s="67">
        <v>6065.6976000000004</v>
      </c>
      <c r="AE168" s="140" t="s">
        <v>2853</v>
      </c>
      <c r="AF168" s="140" t="s">
        <v>2853</v>
      </c>
      <c r="AG168" s="1" t="s">
        <v>17</v>
      </c>
      <c r="AH168" s="68">
        <v>3.5470588235000003E-2</v>
      </c>
      <c r="AI168" s="68">
        <f t="shared" si="2"/>
        <v>1.1434841631511979E-2</v>
      </c>
      <c r="AJ168" s="68">
        <f>+AD168/'סכום נכסים'!$B$30</f>
        <v>1.4075283525994693E-3</v>
      </c>
    </row>
    <row r="169" spans="1:36" x14ac:dyDescent="0.25">
      <c r="A169" s="1">
        <v>13908</v>
      </c>
      <c r="B169" s="1">
        <v>13908</v>
      </c>
      <c r="C169" s="1" t="s">
        <v>1326</v>
      </c>
      <c r="D169" s="1">
        <v>510560188</v>
      </c>
      <c r="E169" s="1" t="s">
        <v>429</v>
      </c>
      <c r="F169" s="1" t="s">
        <v>1719</v>
      </c>
      <c r="G169" s="1" t="s">
        <v>1720</v>
      </c>
      <c r="H169" s="1" t="s">
        <v>76</v>
      </c>
      <c r="I169" s="1" t="s">
        <v>229</v>
      </c>
      <c r="J169" s="1" t="s">
        <v>53</v>
      </c>
      <c r="K169" s="1" t="s">
        <v>53</v>
      </c>
      <c r="L169" s="1" t="s">
        <v>821</v>
      </c>
      <c r="M169" s="1" t="s">
        <v>311</v>
      </c>
      <c r="N169" s="1" t="s">
        <v>652</v>
      </c>
      <c r="O169" s="1" t="s">
        <v>62</v>
      </c>
      <c r="P169" s="1" t="s">
        <v>1329</v>
      </c>
      <c r="Q169" s="1" t="s">
        <v>65</v>
      </c>
      <c r="R169" s="1" t="s">
        <v>57</v>
      </c>
      <c r="S169" s="1" t="s">
        <v>1206</v>
      </c>
      <c r="T169" s="69">
        <v>6.2380000000000004</v>
      </c>
      <c r="U169" s="70">
        <v>49218</v>
      </c>
      <c r="V169" s="68">
        <v>4.02E-2</v>
      </c>
      <c r="W169" s="68">
        <v>2.76E-2</v>
      </c>
      <c r="X169" s="1" t="s">
        <v>636</v>
      </c>
      <c r="Y169" s="140" t="s">
        <v>2853</v>
      </c>
      <c r="Z169" s="67">
        <v>160000</v>
      </c>
      <c r="AA169" s="67">
        <v>1</v>
      </c>
      <c r="AB169" s="67">
        <v>112.72</v>
      </c>
      <c r="AC169" s="67">
        <v>0</v>
      </c>
      <c r="AD169" s="67">
        <v>180.352</v>
      </c>
      <c r="AE169" s="140" t="s">
        <v>2853</v>
      </c>
      <c r="AF169" s="140" t="s">
        <v>2853</v>
      </c>
      <c r="AG169" s="1" t="s">
        <v>17</v>
      </c>
      <c r="AH169" s="68">
        <v>1.9834382899999999E-4</v>
      </c>
      <c r="AI169" s="68">
        <f t="shared" si="2"/>
        <v>3.3999330232460786E-4</v>
      </c>
      <c r="AJ169" s="68">
        <f>+AD169/'סכום נכסים'!$B$30</f>
        <v>4.1850182812941327E-5</v>
      </c>
    </row>
    <row r="170" spans="1:36" x14ac:dyDescent="0.25">
      <c r="A170" s="1">
        <v>13908</v>
      </c>
      <c r="B170" s="1">
        <v>13908</v>
      </c>
      <c r="C170" s="1" t="s">
        <v>1721</v>
      </c>
      <c r="D170" s="1">
        <v>520018482</v>
      </c>
      <c r="E170" s="1" t="s">
        <v>429</v>
      </c>
      <c r="F170" s="1" t="s">
        <v>1722</v>
      </c>
      <c r="G170" s="1" t="s">
        <v>1723</v>
      </c>
      <c r="H170" s="1" t="s">
        <v>76</v>
      </c>
      <c r="I170" s="1" t="s">
        <v>229</v>
      </c>
      <c r="J170" s="1" t="s">
        <v>53</v>
      </c>
      <c r="K170" s="1" t="s">
        <v>53</v>
      </c>
      <c r="L170" s="1" t="s">
        <v>821</v>
      </c>
      <c r="M170" s="1" t="s">
        <v>311</v>
      </c>
      <c r="N170" s="1" t="s">
        <v>261</v>
      </c>
      <c r="O170" s="1" t="s">
        <v>62</v>
      </c>
      <c r="P170" s="1" t="s">
        <v>298</v>
      </c>
      <c r="Q170" s="1" t="s">
        <v>298</v>
      </c>
      <c r="R170" s="1" t="s">
        <v>298</v>
      </c>
      <c r="S170" s="1" t="s">
        <v>1206</v>
      </c>
      <c r="T170" s="69">
        <v>3.532</v>
      </c>
      <c r="U170" s="70">
        <v>47664</v>
      </c>
      <c r="V170" s="68">
        <v>4.0899999999999999E-2</v>
      </c>
      <c r="W170" s="68">
        <v>3.0300000000000001E-2</v>
      </c>
      <c r="X170" s="1" t="s">
        <v>636</v>
      </c>
      <c r="Y170" s="140" t="s">
        <v>2853</v>
      </c>
      <c r="Z170" s="67">
        <v>472000</v>
      </c>
      <c r="AA170" s="67">
        <v>1</v>
      </c>
      <c r="AB170" s="67">
        <v>106.18</v>
      </c>
      <c r="AC170" s="67">
        <v>0</v>
      </c>
      <c r="AD170" s="67">
        <v>501.1696</v>
      </c>
      <c r="AE170" s="140" t="s">
        <v>2853</v>
      </c>
      <c r="AF170" s="140" t="s">
        <v>2853</v>
      </c>
      <c r="AG170" s="1" t="s">
        <v>17</v>
      </c>
      <c r="AH170" s="68">
        <v>1.3964497039999999E-3</v>
      </c>
      <c r="AI170" s="68">
        <f t="shared" si="2"/>
        <v>9.4478745635591952E-4</v>
      </c>
      <c r="AJ170" s="68">
        <f>+AD170/'סכום נכסים'!$B$30</f>
        <v>1.1629501962988312E-4</v>
      </c>
    </row>
    <row r="171" spans="1:36" x14ac:dyDescent="0.25">
      <c r="A171" s="1">
        <v>13908</v>
      </c>
      <c r="B171" s="1">
        <v>13908</v>
      </c>
      <c r="C171" s="1" t="s">
        <v>1724</v>
      </c>
      <c r="D171" s="1">
        <v>520027293</v>
      </c>
      <c r="E171" s="1" t="s">
        <v>429</v>
      </c>
      <c r="F171" s="1" t="s">
        <v>1725</v>
      </c>
      <c r="G171" s="1" t="s">
        <v>1726</v>
      </c>
      <c r="H171" s="1" t="s">
        <v>76</v>
      </c>
      <c r="I171" s="1" t="s">
        <v>229</v>
      </c>
      <c r="J171" s="1" t="s">
        <v>53</v>
      </c>
      <c r="K171" s="1" t="s">
        <v>53</v>
      </c>
      <c r="L171" s="1" t="s">
        <v>821</v>
      </c>
      <c r="M171" s="1" t="s">
        <v>311</v>
      </c>
      <c r="N171" s="1" t="s">
        <v>156</v>
      </c>
      <c r="O171" s="1" t="s">
        <v>62</v>
      </c>
      <c r="P171" s="1" t="s">
        <v>1727</v>
      </c>
      <c r="Q171" s="1" t="s">
        <v>70</v>
      </c>
      <c r="R171" s="1" t="s">
        <v>57</v>
      </c>
      <c r="S171" s="1" t="s">
        <v>1206</v>
      </c>
      <c r="T171" s="69">
        <v>11.329000000000001</v>
      </c>
      <c r="U171" s="70">
        <v>55154</v>
      </c>
      <c r="V171" s="68">
        <v>3.2899999999999999E-2</v>
      </c>
      <c r="W171" s="68">
        <v>2.53E-2</v>
      </c>
      <c r="X171" s="1" t="s">
        <v>636</v>
      </c>
      <c r="Y171" s="140" t="s">
        <v>2853</v>
      </c>
      <c r="Z171" s="67">
        <v>200000</v>
      </c>
      <c r="AA171" s="67">
        <v>1</v>
      </c>
      <c r="AB171" s="67">
        <v>111.38</v>
      </c>
      <c r="AC171" s="67">
        <v>0</v>
      </c>
      <c r="AD171" s="67">
        <v>222.76</v>
      </c>
      <c r="AE171" s="140" t="s">
        <v>2853</v>
      </c>
      <c r="AF171" s="140" t="s">
        <v>2853</v>
      </c>
      <c r="AG171" s="1" t="s">
        <v>17</v>
      </c>
      <c r="AH171" s="68">
        <v>4.0000000000000002E-4</v>
      </c>
      <c r="AI171" s="68">
        <f t="shared" si="2"/>
        <v>4.1993938534548906E-4</v>
      </c>
      <c r="AJ171" s="68">
        <f>+AD171/'סכום נכסים'!$B$30</f>
        <v>5.1690841928067392E-5</v>
      </c>
    </row>
    <row r="172" spans="1:36" x14ac:dyDescent="0.25">
      <c r="A172" s="1">
        <v>13908</v>
      </c>
      <c r="B172" s="1">
        <v>13908</v>
      </c>
      <c r="C172" s="1" t="s">
        <v>1728</v>
      </c>
      <c r="D172" s="1">
        <v>520036690</v>
      </c>
      <c r="E172" s="1" t="s">
        <v>429</v>
      </c>
      <c r="F172" s="1" t="s">
        <v>1729</v>
      </c>
      <c r="G172" s="1" t="s">
        <v>1730</v>
      </c>
      <c r="H172" s="1" t="s">
        <v>76</v>
      </c>
      <c r="I172" s="1" t="s">
        <v>228</v>
      </c>
      <c r="J172" s="1" t="s">
        <v>53</v>
      </c>
      <c r="K172" s="1" t="s">
        <v>53</v>
      </c>
      <c r="L172" s="1" t="s">
        <v>821</v>
      </c>
      <c r="M172" s="1" t="s">
        <v>311</v>
      </c>
      <c r="N172" s="1" t="s">
        <v>252</v>
      </c>
      <c r="O172" s="1" t="s">
        <v>62</v>
      </c>
      <c r="P172" s="1" t="s">
        <v>1281</v>
      </c>
      <c r="Q172" s="1" t="s">
        <v>65</v>
      </c>
      <c r="R172" s="1" t="s">
        <v>57</v>
      </c>
      <c r="S172" s="1" t="s">
        <v>1206</v>
      </c>
      <c r="T172" s="69">
        <v>4.7939999999999996</v>
      </c>
      <c r="U172" s="70">
        <v>49279</v>
      </c>
      <c r="V172" s="68">
        <v>5.6800000000000003E-2</v>
      </c>
      <c r="W172" s="68">
        <v>4.2799999999999998E-2</v>
      </c>
      <c r="X172" s="1" t="s">
        <v>636</v>
      </c>
      <c r="Y172" s="140" t="s">
        <v>2853</v>
      </c>
      <c r="Z172" s="67">
        <v>249000</v>
      </c>
      <c r="AA172" s="67">
        <v>1</v>
      </c>
      <c r="AB172" s="67">
        <v>107.44</v>
      </c>
      <c r="AC172" s="67">
        <v>0</v>
      </c>
      <c r="AD172" s="67">
        <v>267.5256</v>
      </c>
      <c r="AE172" s="140" t="s">
        <v>2853</v>
      </c>
      <c r="AF172" s="140" t="s">
        <v>2853</v>
      </c>
      <c r="AG172" s="1" t="s">
        <v>17</v>
      </c>
      <c r="AH172" s="68">
        <v>1.66E-3</v>
      </c>
      <c r="AI172" s="68">
        <f t="shared" si="2"/>
        <v>5.0432993368730106E-4</v>
      </c>
      <c r="AJ172" s="68">
        <f>+AD172/'סכום נכסים'!$B$30</f>
        <v>6.2078575602942111E-5</v>
      </c>
    </row>
    <row r="173" spans="1:36" x14ac:dyDescent="0.25">
      <c r="A173" s="1">
        <v>13908</v>
      </c>
      <c r="B173" s="1">
        <v>13908</v>
      </c>
      <c r="C173" s="1" t="s">
        <v>1286</v>
      </c>
      <c r="D173" s="1">
        <v>511659401</v>
      </c>
      <c r="E173" s="1" t="s">
        <v>429</v>
      </c>
      <c r="F173" s="1" t="s">
        <v>1731</v>
      </c>
      <c r="G173" s="1" t="s">
        <v>1732</v>
      </c>
      <c r="H173" s="1" t="s">
        <v>76</v>
      </c>
      <c r="I173" s="1" t="s">
        <v>229</v>
      </c>
      <c r="J173" s="1" t="s">
        <v>53</v>
      </c>
      <c r="K173" s="1" t="s">
        <v>53</v>
      </c>
      <c r="L173" s="1" t="s">
        <v>821</v>
      </c>
      <c r="M173" s="1" t="s">
        <v>311</v>
      </c>
      <c r="N173" s="1" t="s">
        <v>651</v>
      </c>
      <c r="O173" s="1" t="s">
        <v>62</v>
      </c>
      <c r="P173" s="1" t="s">
        <v>1285</v>
      </c>
      <c r="Q173" s="1" t="s">
        <v>65</v>
      </c>
      <c r="R173" s="1" t="s">
        <v>57</v>
      </c>
      <c r="S173" s="1" t="s">
        <v>1206</v>
      </c>
      <c r="T173" s="69">
        <v>6.8630000000000004</v>
      </c>
      <c r="U173" s="70">
        <v>50160</v>
      </c>
      <c r="V173" s="68">
        <v>3.5999999999999997E-2</v>
      </c>
      <c r="W173" s="68">
        <v>2.5899999999999999E-2</v>
      </c>
      <c r="X173" s="1" t="s">
        <v>636</v>
      </c>
      <c r="Y173" s="140" t="s">
        <v>2853</v>
      </c>
      <c r="Z173" s="67">
        <v>133000</v>
      </c>
      <c r="AA173" s="67">
        <v>1</v>
      </c>
      <c r="AB173" s="67">
        <v>110.2</v>
      </c>
      <c r="AC173" s="67">
        <v>0</v>
      </c>
      <c r="AD173" s="67">
        <v>146.566</v>
      </c>
      <c r="AE173" s="140" t="s">
        <v>2853</v>
      </c>
      <c r="AF173" s="140" t="s">
        <v>2853</v>
      </c>
      <c r="AG173" s="1" t="s">
        <v>17</v>
      </c>
      <c r="AH173" s="68">
        <v>1.5198280400000001E-4</v>
      </c>
      <c r="AI173" s="68">
        <f t="shared" si="2"/>
        <v>2.763011130927768E-4</v>
      </c>
      <c r="AJ173" s="68">
        <f>+AD173/'סכום נכסים'!$B$30</f>
        <v>3.4010234952545905E-5</v>
      </c>
    </row>
    <row r="174" spans="1:36" x14ac:dyDescent="0.25">
      <c r="A174" s="1">
        <v>13908</v>
      </c>
      <c r="B174" s="1">
        <v>13908</v>
      </c>
      <c r="C174" s="1" t="s">
        <v>1370</v>
      </c>
      <c r="D174" s="1">
        <v>1737</v>
      </c>
      <c r="E174" s="1" t="s">
        <v>2</v>
      </c>
      <c r="F174" s="1" t="s">
        <v>1733</v>
      </c>
      <c r="G174" s="1" t="s">
        <v>1734</v>
      </c>
      <c r="H174" s="1" t="s">
        <v>76</v>
      </c>
      <c r="I174" s="1" t="s">
        <v>228</v>
      </c>
      <c r="J174" s="1" t="s">
        <v>53</v>
      </c>
      <c r="K174" s="1" t="s">
        <v>53</v>
      </c>
      <c r="L174" s="1" t="s">
        <v>821</v>
      </c>
      <c r="M174" s="1" t="s">
        <v>311</v>
      </c>
      <c r="N174" s="1" t="s">
        <v>652</v>
      </c>
      <c r="O174" s="1" t="s">
        <v>62</v>
      </c>
      <c r="P174" s="1" t="s">
        <v>1285</v>
      </c>
      <c r="Q174" s="1" t="s">
        <v>65</v>
      </c>
      <c r="R174" s="1" t="s">
        <v>57</v>
      </c>
      <c r="S174" s="1" t="s">
        <v>1206</v>
      </c>
      <c r="T174" s="69">
        <v>3.5720000000000001</v>
      </c>
      <c r="U174" s="70">
        <v>47848</v>
      </c>
      <c r="V174" s="68">
        <v>6.7400000000000002E-2</v>
      </c>
      <c r="W174" s="68">
        <v>5.5899999999999998E-2</v>
      </c>
      <c r="X174" s="1" t="s">
        <v>636</v>
      </c>
      <c r="Y174" s="140" t="s">
        <v>2853</v>
      </c>
      <c r="Z174" s="67">
        <v>914000</v>
      </c>
      <c r="AA174" s="67">
        <v>1</v>
      </c>
      <c r="AB174" s="67">
        <v>104.35</v>
      </c>
      <c r="AC174" s="67">
        <v>0</v>
      </c>
      <c r="AD174" s="67">
        <v>953.75900000000001</v>
      </c>
      <c r="AE174" s="140" t="s">
        <v>2853</v>
      </c>
      <c r="AF174" s="140" t="s">
        <v>2853</v>
      </c>
      <c r="AG174" s="1" t="s">
        <v>17</v>
      </c>
      <c r="AH174" s="68">
        <v>1.617699115E-3</v>
      </c>
      <c r="AI174" s="68">
        <f t="shared" si="2"/>
        <v>1.7979932134482327E-3</v>
      </c>
      <c r="AJ174" s="68">
        <f>+AD174/'סכום נכסים'!$B$30</f>
        <v>2.2131713820466704E-4</v>
      </c>
    </row>
    <row r="175" spans="1:36" x14ac:dyDescent="0.25">
      <c r="A175" s="1">
        <v>13908</v>
      </c>
      <c r="B175" s="1">
        <v>13908</v>
      </c>
      <c r="C175" s="1" t="s">
        <v>1735</v>
      </c>
      <c r="D175" s="1">
        <v>1632</v>
      </c>
      <c r="E175" s="1" t="s">
        <v>2</v>
      </c>
      <c r="F175" s="1" t="s">
        <v>1736</v>
      </c>
      <c r="G175" s="1" t="s">
        <v>1737</v>
      </c>
      <c r="H175" s="1" t="s">
        <v>76</v>
      </c>
      <c r="I175" s="1" t="s">
        <v>228</v>
      </c>
      <c r="J175" s="1" t="s">
        <v>53</v>
      </c>
      <c r="K175" s="1" t="s">
        <v>314</v>
      </c>
      <c r="L175" s="1" t="s">
        <v>821</v>
      </c>
      <c r="M175" s="1" t="s">
        <v>311</v>
      </c>
      <c r="N175" s="1" t="s">
        <v>652</v>
      </c>
      <c r="O175" s="1" t="s">
        <v>62</v>
      </c>
      <c r="P175" s="1" t="s">
        <v>1613</v>
      </c>
      <c r="Q175" s="1" t="s">
        <v>70</v>
      </c>
      <c r="R175" s="1" t="s">
        <v>57</v>
      </c>
      <c r="S175" s="1" t="s">
        <v>1206</v>
      </c>
      <c r="T175" s="69">
        <v>1.619</v>
      </c>
      <c r="U175" s="70">
        <v>46660</v>
      </c>
      <c r="V175" s="68">
        <v>9.2999999999999999E-2</v>
      </c>
      <c r="W175" s="68">
        <v>6.6900000000000001E-2</v>
      </c>
      <c r="X175" s="1" t="s">
        <v>636</v>
      </c>
      <c r="Y175" s="140" t="s">
        <v>2853</v>
      </c>
      <c r="Z175" s="67">
        <v>896000</v>
      </c>
      <c r="AA175" s="67">
        <v>1</v>
      </c>
      <c r="AB175" s="67">
        <v>106.76</v>
      </c>
      <c r="AC175" s="67">
        <v>0</v>
      </c>
      <c r="AD175" s="67">
        <v>956.56960000000004</v>
      </c>
      <c r="AE175" s="140" t="s">
        <v>2853</v>
      </c>
      <c r="AF175" s="140" t="s">
        <v>2853</v>
      </c>
      <c r="AG175" s="1" t="s">
        <v>17</v>
      </c>
      <c r="AH175" s="68">
        <v>6.6370370370000004E-3</v>
      </c>
      <c r="AI175" s="68">
        <f t="shared" si="2"/>
        <v>1.80329165857506E-3</v>
      </c>
      <c r="AJ175" s="68">
        <f>+AD175/'סכום נכסים'!$B$30</f>
        <v>2.2196933016158492E-4</v>
      </c>
    </row>
    <row r="176" spans="1:36" x14ac:dyDescent="0.25">
      <c r="A176" s="1">
        <v>13908</v>
      </c>
      <c r="B176" s="1">
        <v>13908</v>
      </c>
      <c r="C176" s="1" t="s">
        <v>1738</v>
      </c>
      <c r="D176" s="1">
        <v>511491839</v>
      </c>
      <c r="E176" s="1" t="s">
        <v>429</v>
      </c>
      <c r="F176" s="1" t="s">
        <v>1739</v>
      </c>
      <c r="G176" s="1" t="s">
        <v>1740</v>
      </c>
      <c r="H176" s="1" t="s">
        <v>76</v>
      </c>
      <c r="I176" s="1" t="s">
        <v>229</v>
      </c>
      <c r="J176" s="1" t="s">
        <v>53</v>
      </c>
      <c r="K176" s="1" t="s">
        <v>53</v>
      </c>
      <c r="L176" s="1" t="s">
        <v>821</v>
      </c>
      <c r="M176" s="1" t="s">
        <v>311</v>
      </c>
      <c r="N176" s="1" t="s">
        <v>652</v>
      </c>
      <c r="O176" s="1" t="s">
        <v>62</v>
      </c>
      <c r="P176" s="1" t="s">
        <v>1613</v>
      </c>
      <c r="Q176" s="1" t="s">
        <v>70</v>
      </c>
      <c r="R176" s="1" t="s">
        <v>57</v>
      </c>
      <c r="S176" s="1" t="s">
        <v>1206</v>
      </c>
      <c r="T176" s="69">
        <v>3.7869999999999999</v>
      </c>
      <c r="U176" s="70">
        <v>47848</v>
      </c>
      <c r="V176" s="68">
        <v>5.0999999999999997E-2</v>
      </c>
      <c r="W176" s="68">
        <v>4.0300000000000002E-2</v>
      </c>
      <c r="X176" s="1" t="s">
        <v>636</v>
      </c>
      <c r="Y176" s="140" t="s">
        <v>2853</v>
      </c>
      <c r="Z176" s="67">
        <v>215800</v>
      </c>
      <c r="AA176" s="67">
        <v>1</v>
      </c>
      <c r="AB176" s="67">
        <v>106.54</v>
      </c>
      <c r="AC176" s="67">
        <v>0</v>
      </c>
      <c r="AD176" s="67">
        <v>229.91332</v>
      </c>
      <c r="AE176" s="140" t="s">
        <v>2853</v>
      </c>
      <c r="AF176" s="140" t="s">
        <v>2853</v>
      </c>
      <c r="AG176" s="1" t="s">
        <v>17</v>
      </c>
      <c r="AH176" s="68">
        <v>9.7382231999999997E-4</v>
      </c>
      <c r="AI176" s="68">
        <f t="shared" si="2"/>
        <v>4.3342457480490546E-4</v>
      </c>
      <c r="AJ176" s="68">
        <f>+AD176/'סכום נכסים'!$B$30</f>
        <v>5.3350750050624775E-5</v>
      </c>
    </row>
    <row r="177" spans="1:36" x14ac:dyDescent="0.25">
      <c r="A177" s="1">
        <v>13908</v>
      </c>
      <c r="B177" s="1">
        <v>13908</v>
      </c>
      <c r="C177" s="1" t="s">
        <v>1660</v>
      </c>
      <c r="D177" s="1">
        <v>520033234</v>
      </c>
      <c r="E177" s="1" t="s">
        <v>429</v>
      </c>
      <c r="F177" s="1" t="s">
        <v>1741</v>
      </c>
      <c r="G177" s="1" t="s">
        <v>1742</v>
      </c>
      <c r="H177" s="1" t="s">
        <v>76</v>
      </c>
      <c r="I177" s="1" t="s">
        <v>229</v>
      </c>
      <c r="J177" s="1" t="s">
        <v>53</v>
      </c>
      <c r="K177" s="1" t="s">
        <v>53</v>
      </c>
      <c r="L177" s="1" t="s">
        <v>821</v>
      </c>
      <c r="M177" s="1" t="s">
        <v>311</v>
      </c>
      <c r="N177" s="1" t="s">
        <v>652</v>
      </c>
      <c r="O177" s="1" t="s">
        <v>62</v>
      </c>
      <c r="P177" s="1" t="s">
        <v>1414</v>
      </c>
      <c r="Q177" s="1" t="s">
        <v>65</v>
      </c>
      <c r="R177" s="1" t="s">
        <v>57</v>
      </c>
      <c r="S177" s="1" t="s">
        <v>1206</v>
      </c>
      <c r="T177" s="69">
        <v>3.5350000000000001</v>
      </c>
      <c r="U177" s="70">
        <v>47938</v>
      </c>
      <c r="V177" s="68">
        <v>0.04</v>
      </c>
      <c r="W177" s="68">
        <v>5.96E-2</v>
      </c>
      <c r="X177" s="1" t="s">
        <v>636</v>
      </c>
      <c r="Y177" s="140" t="s">
        <v>2853</v>
      </c>
      <c r="Z177" s="67">
        <v>388000</v>
      </c>
      <c r="AA177" s="67">
        <v>1</v>
      </c>
      <c r="AB177" s="67">
        <v>96.99</v>
      </c>
      <c r="AC177" s="67">
        <v>0</v>
      </c>
      <c r="AD177" s="67">
        <v>376.32119999999998</v>
      </c>
      <c r="AE177" s="140" t="s">
        <v>2853</v>
      </c>
      <c r="AF177" s="140" t="s">
        <v>2853</v>
      </c>
      <c r="AG177" s="1" t="s">
        <v>17</v>
      </c>
      <c r="AH177" s="68">
        <v>5.2432432399999996E-4</v>
      </c>
      <c r="AI177" s="68">
        <f t="shared" si="2"/>
        <v>7.094276055866262E-4</v>
      </c>
      <c r="AJ177" s="68">
        <f>+AD177/'סכום נכסים'!$B$30</f>
        <v>8.7324293694472231E-5</v>
      </c>
    </row>
    <row r="178" spans="1:36" x14ac:dyDescent="0.25">
      <c r="A178" s="1">
        <v>13908</v>
      </c>
      <c r="B178" s="1">
        <v>13908</v>
      </c>
      <c r="C178" s="1" t="s">
        <v>1743</v>
      </c>
      <c r="D178" s="1">
        <v>515666881</v>
      </c>
      <c r="E178" s="1" t="s">
        <v>429</v>
      </c>
      <c r="F178" s="1" t="s">
        <v>1744</v>
      </c>
      <c r="G178" s="1" t="s">
        <v>1745</v>
      </c>
      <c r="H178" s="1" t="s">
        <v>76</v>
      </c>
      <c r="I178" s="1" t="s">
        <v>228</v>
      </c>
      <c r="J178" s="1" t="s">
        <v>53</v>
      </c>
      <c r="K178" s="1" t="s">
        <v>53</v>
      </c>
      <c r="L178" s="1" t="s">
        <v>821</v>
      </c>
      <c r="M178" s="1" t="s">
        <v>311</v>
      </c>
      <c r="N178" s="1" t="s">
        <v>414</v>
      </c>
      <c r="O178" s="1" t="s">
        <v>62</v>
      </c>
      <c r="P178" s="1" t="s">
        <v>1746</v>
      </c>
      <c r="Q178" s="1" t="s">
        <v>65</v>
      </c>
      <c r="R178" s="1" t="s">
        <v>57</v>
      </c>
      <c r="S178" s="1" t="s">
        <v>1206</v>
      </c>
      <c r="T178" s="69">
        <v>9.4990000000000006</v>
      </c>
      <c r="U178" s="70">
        <v>49491</v>
      </c>
      <c r="V178" s="68">
        <v>4.3999999999999997E-2</v>
      </c>
      <c r="W178" s="68">
        <v>4.2599999999999999E-2</v>
      </c>
      <c r="X178" s="1" t="s">
        <v>636</v>
      </c>
      <c r="Y178" s="140" t="s">
        <v>2853</v>
      </c>
      <c r="Z178" s="67">
        <v>5000000</v>
      </c>
      <c r="AA178" s="67">
        <v>1</v>
      </c>
      <c r="AB178" s="67">
        <v>106.53</v>
      </c>
      <c r="AC178" s="67">
        <v>0</v>
      </c>
      <c r="AD178" s="67">
        <v>5326.5</v>
      </c>
      <c r="AE178" s="140" t="s">
        <v>2853</v>
      </c>
      <c r="AF178" s="140" t="s">
        <v>2853</v>
      </c>
      <c r="AG178" s="1" t="s">
        <v>17</v>
      </c>
      <c r="AH178" s="68">
        <v>2.8348094179999998E-3</v>
      </c>
      <c r="AI178" s="68">
        <f t="shared" si="2"/>
        <v>1.0041332088538102E-2</v>
      </c>
      <c r="AJ178" s="68">
        <f>+AD178/'סכום נכסים'!$B$30</f>
        <v>1.2359995938671707E-3</v>
      </c>
    </row>
    <row r="179" spans="1:36" x14ac:dyDescent="0.25">
      <c r="A179" s="1">
        <v>13908</v>
      </c>
      <c r="B179" s="1">
        <v>13908</v>
      </c>
      <c r="C179" s="1" t="s">
        <v>1747</v>
      </c>
      <c r="D179" s="1">
        <v>514328004</v>
      </c>
      <c r="E179" s="1" t="s">
        <v>429</v>
      </c>
      <c r="F179" s="1" t="s">
        <v>1748</v>
      </c>
      <c r="G179" s="1" t="s">
        <v>1749</v>
      </c>
      <c r="H179" s="1" t="s">
        <v>76</v>
      </c>
      <c r="I179" s="1" t="s">
        <v>228</v>
      </c>
      <c r="J179" s="1" t="s">
        <v>53</v>
      </c>
      <c r="K179" s="1" t="s">
        <v>53</v>
      </c>
      <c r="L179" s="1" t="s">
        <v>821</v>
      </c>
      <c r="M179" s="1" t="s">
        <v>311</v>
      </c>
      <c r="N179" s="1" t="s">
        <v>140</v>
      </c>
      <c r="O179" s="1" t="s">
        <v>62</v>
      </c>
      <c r="P179" s="1" t="s">
        <v>298</v>
      </c>
      <c r="Q179" s="1" t="s">
        <v>298</v>
      </c>
      <c r="R179" s="1" t="s">
        <v>298</v>
      </c>
      <c r="S179" s="1" t="s">
        <v>1206</v>
      </c>
      <c r="T179" s="69">
        <v>2.99</v>
      </c>
      <c r="U179" s="70">
        <v>47300</v>
      </c>
      <c r="V179" s="68">
        <v>6.9699999999999998E-2</v>
      </c>
      <c r="W179" s="68">
        <v>8.0500000000000002E-2</v>
      </c>
      <c r="X179" s="1" t="s">
        <v>636</v>
      </c>
      <c r="Y179" s="140" t="s">
        <v>2853</v>
      </c>
      <c r="Z179" s="67">
        <v>222000</v>
      </c>
      <c r="AA179" s="67">
        <v>1</v>
      </c>
      <c r="AB179" s="67">
        <v>97.39</v>
      </c>
      <c r="AC179" s="67">
        <v>0</v>
      </c>
      <c r="AD179" s="67">
        <v>216.20580000000001</v>
      </c>
      <c r="AE179" s="140" t="s">
        <v>2853</v>
      </c>
      <c r="AF179" s="140" t="s">
        <v>2853</v>
      </c>
      <c r="AG179" s="1" t="s">
        <v>17</v>
      </c>
      <c r="AH179" s="68">
        <v>2.7750000000000001E-3</v>
      </c>
      <c r="AI179" s="68">
        <f t="shared" si="2"/>
        <v>4.0758363602141207E-4</v>
      </c>
      <c r="AJ179" s="68">
        <f>+AD179/'סכום נכסים'!$B$30</f>
        <v>5.0169957944565245E-5</v>
      </c>
    </row>
    <row r="180" spans="1:36" x14ac:dyDescent="0.25">
      <c r="A180" s="1">
        <v>13908</v>
      </c>
      <c r="B180" s="1">
        <v>13908</v>
      </c>
      <c r="C180" s="1" t="s">
        <v>1750</v>
      </c>
      <c r="D180" s="1">
        <v>2453</v>
      </c>
      <c r="E180" s="1" t="s">
        <v>2</v>
      </c>
      <c r="F180" s="1" t="s">
        <v>1751</v>
      </c>
      <c r="G180" s="1" t="s">
        <v>1752</v>
      </c>
      <c r="H180" s="1" t="s">
        <v>76</v>
      </c>
      <c r="I180" s="1" t="s">
        <v>228</v>
      </c>
      <c r="J180" s="1" t="s">
        <v>53</v>
      </c>
      <c r="K180" s="1" t="s">
        <v>314</v>
      </c>
      <c r="L180" s="1" t="s">
        <v>821</v>
      </c>
      <c r="M180" s="1" t="s">
        <v>311</v>
      </c>
      <c r="N180" s="1" t="s">
        <v>649</v>
      </c>
      <c r="O180" s="1" t="s">
        <v>62</v>
      </c>
      <c r="P180" s="1" t="s">
        <v>1311</v>
      </c>
      <c r="Q180" s="1" t="s">
        <v>70</v>
      </c>
      <c r="R180" s="1" t="s">
        <v>57</v>
      </c>
      <c r="S180" s="1" t="s">
        <v>1206</v>
      </c>
      <c r="T180" s="69">
        <v>3.3690000000000002</v>
      </c>
      <c r="U180" s="70">
        <v>47483</v>
      </c>
      <c r="V180" s="68">
        <v>6.3500000000000001E-2</v>
      </c>
      <c r="W180" s="68">
        <v>5.5100000000000003E-2</v>
      </c>
      <c r="X180" s="1" t="s">
        <v>636</v>
      </c>
      <c r="Y180" s="140" t="s">
        <v>2853</v>
      </c>
      <c r="Z180" s="67">
        <v>940000</v>
      </c>
      <c r="AA180" s="67">
        <v>1</v>
      </c>
      <c r="AB180" s="67">
        <v>103.2</v>
      </c>
      <c r="AC180" s="67">
        <v>0</v>
      </c>
      <c r="AD180" s="67">
        <v>970.08</v>
      </c>
      <c r="AE180" s="140" t="s">
        <v>2853</v>
      </c>
      <c r="AF180" s="140" t="s">
        <v>2853</v>
      </c>
      <c r="AG180" s="1" t="s">
        <v>17</v>
      </c>
      <c r="AH180" s="68">
        <v>1.610350096E-3</v>
      </c>
      <c r="AI180" s="68">
        <f t="shared" si="2"/>
        <v>1.8287609936072549E-3</v>
      </c>
      <c r="AJ180" s="68">
        <f>+AD180/'סכום נכסים'!$B$30</f>
        <v>2.251043811168056E-4</v>
      </c>
    </row>
    <row r="181" spans="1:36" x14ac:dyDescent="0.25">
      <c r="A181" s="1">
        <v>13908</v>
      </c>
      <c r="B181" s="1">
        <v>13908</v>
      </c>
      <c r="C181" s="1" t="s">
        <v>1507</v>
      </c>
      <c r="D181" s="1">
        <v>520032046</v>
      </c>
      <c r="E181" s="1" t="s">
        <v>429</v>
      </c>
      <c r="F181" s="1" t="s">
        <v>1753</v>
      </c>
      <c r="G181" s="1" t="s">
        <v>1754</v>
      </c>
      <c r="H181" s="1" t="s">
        <v>76</v>
      </c>
      <c r="I181" s="1" t="s">
        <v>229</v>
      </c>
      <c r="J181" s="1" t="s">
        <v>53</v>
      </c>
      <c r="K181" s="1" t="s">
        <v>53</v>
      </c>
      <c r="L181" s="1" t="s">
        <v>821</v>
      </c>
      <c r="M181" s="1" t="s">
        <v>311</v>
      </c>
      <c r="N181" s="1" t="s">
        <v>256</v>
      </c>
      <c r="O181" s="1" t="s">
        <v>62</v>
      </c>
      <c r="P181" s="1" t="s">
        <v>1205</v>
      </c>
      <c r="Q181" s="1" t="s">
        <v>65</v>
      </c>
      <c r="R181" s="1" t="s">
        <v>57</v>
      </c>
      <c r="S181" s="1" t="s">
        <v>1206</v>
      </c>
      <c r="T181" s="69">
        <v>5.46</v>
      </c>
      <c r="U181" s="70">
        <v>50007</v>
      </c>
      <c r="V181" s="68">
        <v>2.6800000000000001E-2</v>
      </c>
      <c r="W181" s="68">
        <v>2.2599999999999999E-2</v>
      </c>
      <c r="X181" s="1" t="s">
        <v>636</v>
      </c>
      <c r="Y181" s="140" t="s">
        <v>2853</v>
      </c>
      <c r="Z181" s="67">
        <v>6875250</v>
      </c>
      <c r="AA181" s="67">
        <v>1</v>
      </c>
      <c r="AB181" s="67">
        <v>104.55</v>
      </c>
      <c r="AC181" s="67">
        <v>0</v>
      </c>
      <c r="AD181" s="67">
        <v>7188.0738700000002</v>
      </c>
      <c r="AE181" s="140" t="s">
        <v>2853</v>
      </c>
      <c r="AF181" s="140" t="s">
        <v>2853</v>
      </c>
      <c r="AG181" s="1" t="s">
        <v>17</v>
      </c>
      <c r="AH181" s="68">
        <v>2.6785714279999998E-3</v>
      </c>
      <c r="AI181" s="68">
        <f t="shared" si="2"/>
        <v>1.3550706243426877E-2</v>
      </c>
      <c r="AJ181" s="68">
        <f>+AD181/'סכום נכסים'!$B$30</f>
        <v>1.6679726619745091E-3</v>
      </c>
    </row>
    <row r="182" spans="1:36" x14ac:dyDescent="0.25">
      <c r="A182" s="1">
        <v>13908</v>
      </c>
      <c r="B182" s="1">
        <v>13908</v>
      </c>
      <c r="C182" s="1" t="s">
        <v>1449</v>
      </c>
      <c r="D182" s="1">
        <v>516046307</v>
      </c>
      <c r="E182" s="1" t="s">
        <v>429</v>
      </c>
      <c r="F182" s="1" t="s">
        <v>1755</v>
      </c>
      <c r="G182" s="1" t="s">
        <v>1756</v>
      </c>
      <c r="H182" s="1" t="s">
        <v>76</v>
      </c>
      <c r="I182" s="1" t="s">
        <v>229</v>
      </c>
      <c r="J182" s="1" t="s">
        <v>53</v>
      </c>
      <c r="K182" s="1" t="s">
        <v>53</v>
      </c>
      <c r="L182" s="1" t="s">
        <v>821</v>
      </c>
      <c r="M182" s="1" t="s">
        <v>311</v>
      </c>
      <c r="N182" s="1" t="s">
        <v>647</v>
      </c>
      <c r="O182" s="120" t="s">
        <v>55</v>
      </c>
      <c r="P182" s="1" t="s">
        <v>298</v>
      </c>
      <c r="Q182" s="1" t="s">
        <v>298</v>
      </c>
      <c r="R182" s="1" t="s">
        <v>298</v>
      </c>
      <c r="S182" s="1" t="s">
        <v>1206</v>
      </c>
      <c r="T182" s="69">
        <v>3.5859999999999999</v>
      </c>
      <c r="U182" s="70">
        <v>47664</v>
      </c>
      <c r="V182" s="68">
        <v>4.9000000000000002E-2</v>
      </c>
      <c r="W182" s="68">
        <v>3.9899999999999998E-2</v>
      </c>
      <c r="X182" s="1" t="s">
        <v>636</v>
      </c>
      <c r="Y182" s="140" t="s">
        <v>2853</v>
      </c>
      <c r="Z182" s="67">
        <v>915043</v>
      </c>
      <c r="AA182" s="67">
        <v>1</v>
      </c>
      <c r="AB182" s="67">
        <v>105.84</v>
      </c>
      <c r="AC182" s="67">
        <v>0</v>
      </c>
      <c r="AD182" s="67">
        <v>968.48150999999996</v>
      </c>
      <c r="AE182" s="140" t="s">
        <v>2853</v>
      </c>
      <c r="AF182" s="140" t="s">
        <v>2853</v>
      </c>
      <c r="AG182" s="1" t="s">
        <v>17</v>
      </c>
      <c r="AH182" s="68">
        <v>1.9401877750000001E-3</v>
      </c>
      <c r="AI182" s="68">
        <f t="shared" si="2"/>
        <v>1.8257475759915207E-3</v>
      </c>
      <c r="AJ182" s="68">
        <f>+AD182/'סכום נכסים'!$B$30</f>
        <v>2.2473345593313889E-4</v>
      </c>
    </row>
    <row r="183" spans="1:36" x14ac:dyDescent="0.25">
      <c r="A183" s="1">
        <v>13908</v>
      </c>
      <c r="B183" s="1">
        <v>13908</v>
      </c>
      <c r="C183" s="1" t="s">
        <v>1496</v>
      </c>
      <c r="D183" s="1">
        <v>520029935</v>
      </c>
      <c r="E183" s="1" t="s">
        <v>429</v>
      </c>
      <c r="F183" s="1" t="s">
        <v>1757</v>
      </c>
      <c r="G183" s="1" t="s">
        <v>1758</v>
      </c>
      <c r="H183" s="1" t="s">
        <v>76</v>
      </c>
      <c r="I183" s="1" t="s">
        <v>229</v>
      </c>
      <c r="J183" s="1" t="s">
        <v>53</v>
      </c>
      <c r="K183" s="1" t="s">
        <v>53</v>
      </c>
      <c r="L183" s="1" t="s">
        <v>821</v>
      </c>
      <c r="M183" s="1" t="s">
        <v>311</v>
      </c>
      <c r="N183" s="1" t="s">
        <v>256</v>
      </c>
      <c r="O183" s="1" t="s">
        <v>62</v>
      </c>
      <c r="P183" s="1" t="s">
        <v>1205</v>
      </c>
      <c r="Q183" s="1" t="s">
        <v>65</v>
      </c>
      <c r="R183" s="1" t="s">
        <v>57</v>
      </c>
      <c r="S183" s="1" t="s">
        <v>1206</v>
      </c>
      <c r="T183" s="69">
        <v>4.34</v>
      </c>
      <c r="U183" s="70">
        <v>49388</v>
      </c>
      <c r="V183" s="68">
        <v>2.4E-2</v>
      </c>
      <c r="W183" s="68">
        <v>2.2800000000000001E-2</v>
      </c>
      <c r="X183" s="1" t="s">
        <v>636</v>
      </c>
      <c r="Y183" s="140" t="s">
        <v>2853</v>
      </c>
      <c r="Z183" s="67">
        <v>12620000</v>
      </c>
      <c r="AA183" s="67">
        <v>1</v>
      </c>
      <c r="AB183" s="67">
        <v>105.25</v>
      </c>
      <c r="AC183" s="67">
        <v>0</v>
      </c>
      <c r="AD183" s="67">
        <v>13282.55</v>
      </c>
      <c r="AE183" s="140" t="s">
        <v>2853</v>
      </c>
      <c r="AF183" s="140" t="s">
        <v>2853</v>
      </c>
      <c r="AG183" s="1" t="s">
        <v>17</v>
      </c>
      <c r="AH183" s="68">
        <v>3.0155900260000002E-3</v>
      </c>
      <c r="AI183" s="68">
        <f t="shared" si="2"/>
        <v>2.5039800156314983E-2</v>
      </c>
      <c r="AJ183" s="68">
        <f>+AD183/'סכום נכסים'!$B$30</f>
        <v>3.0821789928696872E-3</v>
      </c>
    </row>
    <row r="184" spans="1:36" x14ac:dyDescent="0.25">
      <c r="A184" s="1">
        <v>13908</v>
      </c>
      <c r="B184" s="1">
        <v>13908</v>
      </c>
      <c r="C184" s="1" t="s">
        <v>1583</v>
      </c>
      <c r="D184" s="1">
        <v>550263107</v>
      </c>
      <c r="E184" s="1" t="s">
        <v>432</v>
      </c>
      <c r="F184" s="1" t="s">
        <v>1759</v>
      </c>
      <c r="G184" s="1" t="s">
        <v>1760</v>
      </c>
      <c r="H184" s="1" t="s">
        <v>76</v>
      </c>
      <c r="I184" s="1" t="s">
        <v>228</v>
      </c>
      <c r="J184" s="1" t="s">
        <v>53</v>
      </c>
      <c r="K184" s="1" t="s">
        <v>53</v>
      </c>
      <c r="L184" s="1" t="s">
        <v>821</v>
      </c>
      <c r="M184" s="1" t="s">
        <v>311</v>
      </c>
      <c r="N184" s="1" t="s">
        <v>267</v>
      </c>
      <c r="O184" s="1" t="s">
        <v>62</v>
      </c>
      <c r="P184" s="1" t="s">
        <v>1761</v>
      </c>
      <c r="Q184" s="1" t="s">
        <v>65</v>
      </c>
      <c r="R184" s="1" t="s">
        <v>57</v>
      </c>
      <c r="S184" s="1" t="s">
        <v>1206</v>
      </c>
      <c r="T184" s="69">
        <v>3.61</v>
      </c>
      <c r="U184" s="70">
        <v>47664</v>
      </c>
      <c r="V184" s="68">
        <v>0.06</v>
      </c>
      <c r="W184" s="68">
        <v>5.6399999999999999E-2</v>
      </c>
      <c r="X184" s="1" t="s">
        <v>636</v>
      </c>
      <c r="Y184" s="140" t="s">
        <v>2853</v>
      </c>
      <c r="Z184" s="67">
        <v>1518000</v>
      </c>
      <c r="AA184" s="67">
        <v>1</v>
      </c>
      <c r="AB184" s="67">
        <v>101.58</v>
      </c>
      <c r="AC184" s="67">
        <v>0</v>
      </c>
      <c r="AD184" s="67">
        <v>1541.9844000000001</v>
      </c>
      <c r="AE184" s="140" t="s">
        <v>2853</v>
      </c>
      <c r="AF184" s="140" t="s">
        <v>2853</v>
      </c>
      <c r="AG184" s="1" t="s">
        <v>17</v>
      </c>
      <c r="AH184" s="68">
        <v>1.518E-3</v>
      </c>
      <c r="AI184" s="68">
        <f t="shared" si="2"/>
        <v>2.9068952287140096E-3</v>
      </c>
      <c r="AJ184" s="68">
        <f>+AD184/'סכום נכסים'!$B$30</f>
        <v>3.5781321546034229E-4</v>
      </c>
    </row>
    <row r="185" spans="1:36" x14ac:dyDescent="0.25">
      <c r="A185" s="1">
        <v>13908</v>
      </c>
      <c r="B185" s="1">
        <v>13908</v>
      </c>
      <c r="C185" s="1" t="s">
        <v>1487</v>
      </c>
      <c r="D185" s="1">
        <v>1630</v>
      </c>
      <c r="E185" s="1" t="s">
        <v>2</v>
      </c>
      <c r="F185" s="1" t="s">
        <v>1762</v>
      </c>
      <c r="G185" s="1" t="s">
        <v>1763</v>
      </c>
      <c r="H185" s="1" t="s">
        <v>76</v>
      </c>
      <c r="I185" s="1" t="s">
        <v>228</v>
      </c>
      <c r="J185" s="1" t="s">
        <v>53</v>
      </c>
      <c r="K185" s="1" t="s">
        <v>53</v>
      </c>
      <c r="L185" s="1" t="s">
        <v>821</v>
      </c>
      <c r="M185" s="1" t="s">
        <v>311</v>
      </c>
      <c r="N185" s="1" t="s">
        <v>652</v>
      </c>
      <c r="O185" s="1" t="s">
        <v>62</v>
      </c>
      <c r="P185" s="1" t="s">
        <v>1285</v>
      </c>
      <c r="Q185" s="1" t="s">
        <v>65</v>
      </c>
      <c r="R185" s="1" t="s">
        <v>57</v>
      </c>
      <c r="S185" s="1" t="s">
        <v>1206</v>
      </c>
      <c r="T185" s="69">
        <v>3.22</v>
      </c>
      <c r="U185" s="70">
        <v>47345</v>
      </c>
      <c r="V185" s="68">
        <v>5.5300000000000002E-2</v>
      </c>
      <c r="W185" s="68">
        <v>5.1999999999999998E-2</v>
      </c>
      <c r="X185" s="1" t="s">
        <v>636</v>
      </c>
      <c r="Y185" s="140" t="s">
        <v>2853</v>
      </c>
      <c r="Z185" s="67">
        <v>2000000</v>
      </c>
      <c r="AA185" s="67">
        <v>1</v>
      </c>
      <c r="AB185" s="67">
        <v>103.36</v>
      </c>
      <c r="AC185" s="67">
        <v>0</v>
      </c>
      <c r="AD185" s="67">
        <v>2067.1999999999998</v>
      </c>
      <c r="AE185" s="140" t="s">
        <v>2853</v>
      </c>
      <c r="AF185" s="140" t="s">
        <v>2853</v>
      </c>
      <c r="AG185" s="1" t="s">
        <v>17</v>
      </c>
      <c r="AH185" s="68">
        <v>1.9238168519999999E-3</v>
      </c>
      <c r="AI185" s="68">
        <f t="shared" si="2"/>
        <v>3.8970133658924179E-3</v>
      </c>
      <c r="AJ185" s="68">
        <f>+AD185/'סכום נכסים'!$B$30</f>
        <v>4.7968804288786544E-4</v>
      </c>
    </row>
    <row r="186" spans="1:36" x14ac:dyDescent="0.25">
      <c r="A186" s="1">
        <v>13908</v>
      </c>
      <c r="B186" s="1">
        <v>13908</v>
      </c>
      <c r="C186" s="1" t="s">
        <v>1764</v>
      </c>
      <c r="D186" s="1">
        <v>520033309</v>
      </c>
      <c r="E186" s="1" t="s">
        <v>429</v>
      </c>
      <c r="F186" s="1" t="s">
        <v>1765</v>
      </c>
      <c r="G186" s="1" t="s">
        <v>1766</v>
      </c>
      <c r="H186" s="1" t="s">
        <v>76</v>
      </c>
      <c r="I186" s="1" t="s">
        <v>228</v>
      </c>
      <c r="J186" s="1" t="s">
        <v>53</v>
      </c>
      <c r="K186" s="1" t="s">
        <v>53</v>
      </c>
      <c r="L186" s="1" t="s">
        <v>821</v>
      </c>
      <c r="M186" s="1" t="s">
        <v>311</v>
      </c>
      <c r="N186" s="1" t="s">
        <v>140</v>
      </c>
      <c r="O186" s="1" t="s">
        <v>62</v>
      </c>
      <c r="P186" s="1" t="s">
        <v>298</v>
      </c>
      <c r="Q186" s="1" t="s">
        <v>298</v>
      </c>
      <c r="R186" s="1" t="s">
        <v>298</v>
      </c>
      <c r="S186" s="1" t="s">
        <v>1206</v>
      </c>
      <c r="T186" s="69">
        <v>3.133</v>
      </c>
      <c r="U186" s="70">
        <v>47484</v>
      </c>
      <c r="V186" s="68">
        <v>4.4999999999999998E-2</v>
      </c>
      <c r="W186" s="68">
        <v>6.3899999999999998E-2</v>
      </c>
      <c r="X186" s="1" t="s">
        <v>636</v>
      </c>
      <c r="Y186" s="140" t="s">
        <v>2853</v>
      </c>
      <c r="Z186" s="67">
        <v>991000</v>
      </c>
      <c r="AA186" s="67">
        <v>1</v>
      </c>
      <c r="AB186" s="67">
        <v>94.64</v>
      </c>
      <c r="AC186" s="67">
        <v>22.297499999999999</v>
      </c>
      <c r="AD186" s="67">
        <v>960.17989999999998</v>
      </c>
      <c r="AE186" s="140" t="s">
        <v>2853</v>
      </c>
      <c r="AF186" s="140" t="s">
        <v>2853</v>
      </c>
      <c r="AG186" s="1" t="s">
        <v>17</v>
      </c>
      <c r="AH186" s="68">
        <v>2.391974936E-3</v>
      </c>
      <c r="AI186" s="68">
        <f t="shared" si="2"/>
        <v>1.8100976702598904E-3</v>
      </c>
      <c r="AJ186" s="68">
        <f>+AD186/'סכום נכסים'!$B$30</f>
        <v>2.2280709029182778E-4</v>
      </c>
    </row>
    <row r="187" spans="1:36" x14ac:dyDescent="0.25">
      <c r="A187" s="1">
        <v>13908</v>
      </c>
      <c r="B187" s="1">
        <v>13908</v>
      </c>
      <c r="C187" s="1" t="s">
        <v>1767</v>
      </c>
      <c r="D187" s="1">
        <v>512719485</v>
      </c>
      <c r="E187" s="1" t="s">
        <v>429</v>
      </c>
      <c r="F187" s="1" t="s">
        <v>1768</v>
      </c>
      <c r="G187" s="1" t="s">
        <v>1769</v>
      </c>
      <c r="H187" s="1" t="s">
        <v>76</v>
      </c>
      <c r="I187" s="1" t="s">
        <v>228</v>
      </c>
      <c r="J187" s="1" t="s">
        <v>53</v>
      </c>
      <c r="K187" s="1" t="s">
        <v>53</v>
      </c>
      <c r="L187" s="1" t="s">
        <v>821</v>
      </c>
      <c r="M187" s="1" t="s">
        <v>311</v>
      </c>
      <c r="N187" s="1" t="s">
        <v>651</v>
      </c>
      <c r="O187" s="120" t="s">
        <v>55</v>
      </c>
      <c r="P187" s="1" t="s">
        <v>1358</v>
      </c>
      <c r="Q187" s="1" t="s">
        <v>70</v>
      </c>
      <c r="R187" s="1" t="s">
        <v>57</v>
      </c>
      <c r="S187" s="1" t="s">
        <v>1206</v>
      </c>
      <c r="T187" s="69">
        <v>6.2489999999999997</v>
      </c>
      <c r="U187" s="70">
        <v>49491</v>
      </c>
      <c r="V187" s="68">
        <v>5.2900000000000003E-2</v>
      </c>
      <c r="W187" s="68">
        <v>4.5400000000000003E-2</v>
      </c>
      <c r="X187" s="1" t="s">
        <v>636</v>
      </c>
      <c r="Y187" s="140" t="s">
        <v>2853</v>
      </c>
      <c r="Z187" s="67">
        <v>392000</v>
      </c>
      <c r="AA187" s="67">
        <v>1</v>
      </c>
      <c r="AB187" s="67">
        <v>105.02</v>
      </c>
      <c r="AC187" s="67">
        <v>0</v>
      </c>
      <c r="AD187" s="67">
        <v>411.67840000000001</v>
      </c>
      <c r="AE187" s="140" t="s">
        <v>2853</v>
      </c>
      <c r="AF187" s="140" t="s">
        <v>2853</v>
      </c>
      <c r="AG187" s="1" t="s">
        <v>17</v>
      </c>
      <c r="AH187" s="68">
        <v>7.1334464000000002E-4</v>
      </c>
      <c r="AI187" s="68">
        <f t="shared" si="2"/>
        <v>7.760817662776728E-4</v>
      </c>
      <c r="AJ187" s="68">
        <f>+AD187/'סכום נכסים'!$B$30</f>
        <v>9.5528834169508436E-5</v>
      </c>
    </row>
    <row r="188" spans="1:36" x14ac:dyDescent="0.25">
      <c r="A188" s="1">
        <v>13908</v>
      </c>
      <c r="B188" s="1">
        <v>13908</v>
      </c>
      <c r="C188" s="1" t="s">
        <v>1770</v>
      </c>
      <c r="D188" s="1">
        <v>1811308</v>
      </c>
      <c r="E188" s="1" t="s">
        <v>430</v>
      </c>
      <c r="F188" s="1" t="s">
        <v>1771</v>
      </c>
      <c r="G188" s="1" t="s">
        <v>1772</v>
      </c>
      <c r="H188" s="1" t="s">
        <v>76</v>
      </c>
      <c r="I188" s="1" t="s">
        <v>228</v>
      </c>
      <c r="J188" s="1" t="s">
        <v>53</v>
      </c>
      <c r="K188" s="1" t="s">
        <v>53</v>
      </c>
      <c r="L188" s="1" t="s">
        <v>821</v>
      </c>
      <c r="M188" s="1" t="s">
        <v>311</v>
      </c>
      <c r="N188" s="1" t="s">
        <v>140</v>
      </c>
      <c r="O188" s="1" t="s">
        <v>62</v>
      </c>
      <c r="P188" s="1" t="s">
        <v>1358</v>
      </c>
      <c r="Q188" s="1" t="s">
        <v>70</v>
      </c>
      <c r="R188" s="1" t="s">
        <v>57</v>
      </c>
      <c r="S188" s="1" t="s">
        <v>1206</v>
      </c>
      <c r="T188" s="69">
        <v>2.1040000000000001</v>
      </c>
      <c r="U188" s="70">
        <v>46843</v>
      </c>
      <c r="V188" s="68">
        <v>6.0199999999999997E-2</v>
      </c>
      <c r="W188" s="68">
        <v>6.4100000000000004E-2</v>
      </c>
      <c r="X188" s="1" t="s">
        <v>636</v>
      </c>
      <c r="Y188" s="140" t="s">
        <v>2853</v>
      </c>
      <c r="Z188" s="67">
        <v>1000000</v>
      </c>
      <c r="AA188" s="67">
        <v>1</v>
      </c>
      <c r="AB188" s="67">
        <v>100.92</v>
      </c>
      <c r="AC188" s="67">
        <v>0</v>
      </c>
      <c r="AD188" s="67">
        <v>1009.2</v>
      </c>
      <c r="AE188" s="140" t="s">
        <v>2853</v>
      </c>
      <c r="AF188" s="140" t="s">
        <v>2853</v>
      </c>
      <c r="AG188" s="1" t="s">
        <v>17</v>
      </c>
      <c r="AH188" s="68">
        <v>1.0140064710000001E-3</v>
      </c>
      <c r="AI188" s="68">
        <f t="shared" si="2"/>
        <v>1.9025086536661323E-3</v>
      </c>
      <c r="AJ188" s="68">
        <f>+AD188/'סכום נכסים'!$B$30</f>
        <v>2.3418206892532597E-4</v>
      </c>
    </row>
    <row r="189" spans="1:36" x14ac:dyDescent="0.25">
      <c r="A189" s="1">
        <v>13908</v>
      </c>
      <c r="B189" s="1">
        <v>13908</v>
      </c>
      <c r="C189" s="1" t="s">
        <v>1607</v>
      </c>
      <c r="D189" s="1">
        <v>515328250</v>
      </c>
      <c r="E189" s="1" t="s">
        <v>429</v>
      </c>
      <c r="F189" s="1" t="s">
        <v>1773</v>
      </c>
      <c r="G189" s="1" t="s">
        <v>1774</v>
      </c>
      <c r="H189" s="1" t="s">
        <v>76</v>
      </c>
      <c r="I189" s="1" t="s">
        <v>228</v>
      </c>
      <c r="J189" s="1" t="s">
        <v>53</v>
      </c>
      <c r="K189" s="1" t="s">
        <v>53</v>
      </c>
      <c r="L189" s="1" t="s">
        <v>821</v>
      </c>
      <c r="M189" s="1" t="s">
        <v>311</v>
      </c>
      <c r="N189" s="1" t="s">
        <v>652</v>
      </c>
      <c r="O189" s="1" t="s">
        <v>62</v>
      </c>
      <c r="P189" s="1" t="s">
        <v>1358</v>
      </c>
      <c r="Q189" s="1" t="s">
        <v>70</v>
      </c>
      <c r="R189" s="1" t="s">
        <v>57</v>
      </c>
      <c r="S189" s="1" t="s">
        <v>1206</v>
      </c>
      <c r="T189" s="69">
        <v>5.3330000000000002</v>
      </c>
      <c r="U189" s="70">
        <v>49218</v>
      </c>
      <c r="V189" s="68">
        <v>5.5899999999999998E-2</v>
      </c>
      <c r="W189" s="68">
        <v>4.7600000000000003E-2</v>
      </c>
      <c r="X189" s="1" t="s">
        <v>636</v>
      </c>
      <c r="Y189" s="140" t="s">
        <v>2853</v>
      </c>
      <c r="Z189" s="67">
        <v>663000</v>
      </c>
      <c r="AA189" s="67">
        <v>1</v>
      </c>
      <c r="AB189" s="67">
        <v>106.13</v>
      </c>
      <c r="AC189" s="67">
        <v>0</v>
      </c>
      <c r="AD189" s="67">
        <v>703.64189999999996</v>
      </c>
      <c r="AE189" s="140" t="s">
        <v>2853</v>
      </c>
      <c r="AF189" s="140" t="s">
        <v>2853</v>
      </c>
      <c r="AG189" s="1" t="s">
        <v>17</v>
      </c>
      <c r="AH189" s="68">
        <v>1.543134448E-3</v>
      </c>
      <c r="AI189" s="68">
        <f t="shared" si="2"/>
        <v>1.3264811770036455E-3</v>
      </c>
      <c r="AJ189" s="68">
        <f>+AD189/'סכום נכסים'!$B$30</f>
        <v>1.632781568812399E-4</v>
      </c>
    </row>
    <row r="190" spans="1:36" x14ac:dyDescent="0.25">
      <c r="A190" s="1">
        <v>13908</v>
      </c>
      <c r="B190" s="1">
        <v>13908</v>
      </c>
      <c r="C190" s="1" t="s">
        <v>1326</v>
      </c>
      <c r="D190" s="1">
        <v>510560188</v>
      </c>
      <c r="E190" s="1" t="s">
        <v>429</v>
      </c>
      <c r="F190" s="1" t="s">
        <v>1775</v>
      </c>
      <c r="G190" s="1" t="s">
        <v>1776</v>
      </c>
      <c r="H190" s="1" t="s">
        <v>76</v>
      </c>
      <c r="I190" s="1" t="s">
        <v>228</v>
      </c>
      <c r="J190" s="1" t="s">
        <v>53</v>
      </c>
      <c r="K190" s="1" t="s">
        <v>53</v>
      </c>
      <c r="L190" s="1" t="s">
        <v>821</v>
      </c>
      <c r="M190" s="1" t="s">
        <v>311</v>
      </c>
      <c r="N190" s="1" t="s">
        <v>652</v>
      </c>
      <c r="O190" s="1" t="s">
        <v>62</v>
      </c>
      <c r="P190" s="1" t="s">
        <v>1323</v>
      </c>
      <c r="Q190" s="1" t="s">
        <v>70</v>
      </c>
      <c r="R190" s="1" t="s">
        <v>57</v>
      </c>
      <c r="S190" s="1" t="s">
        <v>1206</v>
      </c>
      <c r="T190" s="69">
        <v>4.3780000000000001</v>
      </c>
      <c r="U190" s="70">
        <v>48668</v>
      </c>
      <c r="V190" s="68">
        <v>5.5E-2</v>
      </c>
      <c r="W190" s="68">
        <v>4.7199999999999999E-2</v>
      </c>
      <c r="X190" s="1" t="s">
        <v>636</v>
      </c>
      <c r="Y190" s="140" t="s">
        <v>2853</v>
      </c>
      <c r="Z190" s="67">
        <v>598000</v>
      </c>
      <c r="AA190" s="67">
        <v>1</v>
      </c>
      <c r="AB190" s="67">
        <v>105.05</v>
      </c>
      <c r="AC190" s="67">
        <v>0</v>
      </c>
      <c r="AD190" s="67">
        <v>628.19899999999996</v>
      </c>
      <c r="AE190" s="140" t="s">
        <v>2853</v>
      </c>
      <c r="AF190" s="140" t="s">
        <v>2853</v>
      </c>
      <c r="AG190" s="1" t="s">
        <v>17</v>
      </c>
      <c r="AH190" s="68">
        <v>1.9933333329999999E-3</v>
      </c>
      <c r="AI190" s="68">
        <f t="shared" si="2"/>
        <v>1.1842588522834032E-3</v>
      </c>
      <c r="AJ190" s="68">
        <f>+AD190/'סכום נכסים'!$B$30</f>
        <v>1.4577184058345307E-4</v>
      </c>
    </row>
    <row r="191" spans="1:36" x14ac:dyDescent="0.25">
      <c r="A191" s="1">
        <v>13908</v>
      </c>
      <c r="B191" s="1">
        <v>13908</v>
      </c>
      <c r="C191" s="1" t="s">
        <v>1686</v>
      </c>
      <c r="D191" s="1">
        <v>2352</v>
      </c>
      <c r="E191" s="1" t="s">
        <v>2</v>
      </c>
      <c r="F191" s="1" t="s">
        <v>1777</v>
      </c>
      <c r="G191" s="1" t="s">
        <v>1778</v>
      </c>
      <c r="H191" s="1" t="s">
        <v>76</v>
      </c>
      <c r="I191" s="1" t="s">
        <v>228</v>
      </c>
      <c r="J191" s="1" t="s">
        <v>53</v>
      </c>
      <c r="K191" s="1" t="s">
        <v>53</v>
      </c>
      <c r="L191" s="1" t="s">
        <v>821</v>
      </c>
      <c r="M191" s="1" t="s">
        <v>311</v>
      </c>
      <c r="N191" s="1" t="s">
        <v>258</v>
      </c>
      <c r="O191" s="1" t="s">
        <v>62</v>
      </c>
      <c r="P191" s="1" t="s">
        <v>1613</v>
      </c>
      <c r="Q191" s="1" t="s">
        <v>70</v>
      </c>
      <c r="R191" s="1" t="s">
        <v>57</v>
      </c>
      <c r="S191" s="1" t="s">
        <v>1206</v>
      </c>
      <c r="T191" s="69">
        <v>3.1680000000000001</v>
      </c>
      <c r="U191" s="70">
        <v>47863</v>
      </c>
      <c r="V191" s="68">
        <v>7.6999999999999999E-2</v>
      </c>
      <c r="W191" s="68">
        <v>7.5399999999999995E-2</v>
      </c>
      <c r="X191" s="1" t="s">
        <v>636</v>
      </c>
      <c r="Y191" s="140" t="s">
        <v>2853</v>
      </c>
      <c r="Z191" s="67">
        <v>1000000</v>
      </c>
      <c r="AA191" s="67">
        <v>1</v>
      </c>
      <c r="AB191" s="67">
        <v>104.49</v>
      </c>
      <c r="AC191" s="67">
        <v>0</v>
      </c>
      <c r="AD191" s="67">
        <v>1044.9000000000001</v>
      </c>
      <c r="AE191" s="140" t="s">
        <v>2853</v>
      </c>
      <c r="AF191" s="140" t="s">
        <v>2853</v>
      </c>
      <c r="AG191" s="1" t="s">
        <v>17</v>
      </c>
      <c r="AH191" s="68">
        <v>3.117877598E-3</v>
      </c>
      <c r="AI191" s="68">
        <f t="shared" si="2"/>
        <v>1.9698090489652614E-3</v>
      </c>
      <c r="AJ191" s="68">
        <f>+AD191/'סכום נכסים'!$B$30</f>
        <v>2.4246615519230393E-4</v>
      </c>
    </row>
    <row r="192" spans="1:36" x14ac:dyDescent="0.25">
      <c r="A192" s="1">
        <v>13908</v>
      </c>
      <c r="B192" s="1">
        <v>13908</v>
      </c>
      <c r="C192" s="1" t="s">
        <v>1779</v>
      </c>
      <c r="D192" s="1">
        <v>520024126</v>
      </c>
      <c r="E192" s="1" t="s">
        <v>429</v>
      </c>
      <c r="F192" s="1" t="s">
        <v>1780</v>
      </c>
      <c r="G192" s="1" t="s">
        <v>1781</v>
      </c>
      <c r="H192" s="1" t="s">
        <v>76</v>
      </c>
      <c r="I192" s="1" t="s">
        <v>229</v>
      </c>
      <c r="J192" s="1" t="s">
        <v>53</v>
      </c>
      <c r="K192" s="1" t="s">
        <v>53</v>
      </c>
      <c r="L192" s="1" t="s">
        <v>821</v>
      </c>
      <c r="M192" s="1" t="s">
        <v>311</v>
      </c>
      <c r="N192" s="1" t="s">
        <v>651</v>
      </c>
      <c r="O192" s="1" t="s">
        <v>62</v>
      </c>
      <c r="P192" s="1" t="s">
        <v>1285</v>
      </c>
      <c r="Q192" s="1" t="s">
        <v>65</v>
      </c>
      <c r="R192" s="1" t="s">
        <v>57</v>
      </c>
      <c r="S192" s="1" t="s">
        <v>1206</v>
      </c>
      <c r="T192" s="69">
        <v>6.625</v>
      </c>
      <c r="U192" s="70">
        <v>49034</v>
      </c>
      <c r="V192" s="68">
        <v>3.2399999999999998E-2</v>
      </c>
      <c r="W192" s="68">
        <v>2.6700000000000002E-2</v>
      </c>
      <c r="X192" s="1" t="s">
        <v>636</v>
      </c>
      <c r="Y192" s="140" t="s">
        <v>2853</v>
      </c>
      <c r="Z192" s="67">
        <v>4000000</v>
      </c>
      <c r="AA192" s="67">
        <v>1</v>
      </c>
      <c r="AB192" s="67">
        <v>107.78</v>
      </c>
      <c r="AC192" s="67">
        <v>0</v>
      </c>
      <c r="AD192" s="67">
        <v>4311.2</v>
      </c>
      <c r="AE192" s="140" t="s">
        <v>2853</v>
      </c>
      <c r="AF192" s="140" t="s">
        <v>2853</v>
      </c>
      <c r="AG192" s="1" t="s">
        <v>17</v>
      </c>
      <c r="AH192" s="68">
        <v>3.0875632949999999E-3</v>
      </c>
      <c r="AI192" s="68">
        <f t="shared" si="2"/>
        <v>8.1273239275519507E-3</v>
      </c>
      <c r="AJ192" s="68">
        <f>+AD192/'סכום נכסים'!$B$30</f>
        <v>1.0004020368121931E-3</v>
      </c>
    </row>
    <row r="193" spans="1:36" x14ac:dyDescent="0.25">
      <c r="A193" s="1">
        <v>13908</v>
      </c>
      <c r="B193" s="1">
        <v>13908</v>
      </c>
      <c r="C193" s="1" t="s">
        <v>1782</v>
      </c>
      <c r="D193" s="1">
        <v>511605719</v>
      </c>
      <c r="E193" s="1" t="s">
        <v>429</v>
      </c>
      <c r="F193" s="1" t="s">
        <v>1783</v>
      </c>
      <c r="G193" s="1" t="s">
        <v>1784</v>
      </c>
      <c r="H193" s="1" t="s">
        <v>76</v>
      </c>
      <c r="I193" s="1" t="s">
        <v>228</v>
      </c>
      <c r="J193" s="1" t="s">
        <v>53</v>
      </c>
      <c r="K193" s="1" t="s">
        <v>53</v>
      </c>
      <c r="L193" s="1" t="s">
        <v>821</v>
      </c>
      <c r="M193" s="1" t="s">
        <v>311</v>
      </c>
      <c r="N193" s="1" t="s">
        <v>651</v>
      </c>
      <c r="O193" s="120" t="s">
        <v>55</v>
      </c>
      <c r="P193" s="1" t="s">
        <v>1329</v>
      </c>
      <c r="Q193" s="1" t="s">
        <v>65</v>
      </c>
      <c r="R193" s="1" t="s">
        <v>57</v>
      </c>
      <c r="S193" s="1" t="s">
        <v>1206</v>
      </c>
      <c r="T193" s="69">
        <v>4.2510000000000003</v>
      </c>
      <c r="U193" s="70">
        <v>48304</v>
      </c>
      <c r="V193" s="68">
        <v>4.4999999999999998E-2</v>
      </c>
      <c r="W193" s="68">
        <v>4.8300000000000003E-2</v>
      </c>
      <c r="X193" s="1" t="s">
        <v>636</v>
      </c>
      <c r="Y193" s="140" t="s">
        <v>2853</v>
      </c>
      <c r="Z193" s="67">
        <v>1032333</v>
      </c>
      <c r="AA193" s="67">
        <v>1</v>
      </c>
      <c r="AB193" s="67">
        <v>100</v>
      </c>
      <c r="AC193" s="67">
        <v>0</v>
      </c>
      <c r="AD193" s="67">
        <v>1032.3330000000001</v>
      </c>
      <c r="AE193" s="140" t="s">
        <v>2853</v>
      </c>
      <c r="AF193" s="140" t="s">
        <v>2853</v>
      </c>
      <c r="AG193" s="1" t="s">
        <v>17</v>
      </c>
      <c r="AH193" s="68">
        <v>1.0372599849E-2</v>
      </c>
      <c r="AI193" s="68">
        <f t="shared" si="2"/>
        <v>1.9461181787208872E-3</v>
      </c>
      <c r="AJ193" s="68">
        <f>+AD193/'סכום נכסים'!$B$30</f>
        <v>2.3955001759798705E-4</v>
      </c>
    </row>
    <row r="194" spans="1:36" x14ac:dyDescent="0.25">
      <c r="A194" s="1">
        <v>13908</v>
      </c>
      <c r="B194" s="1">
        <v>13908</v>
      </c>
      <c r="C194" s="1" t="s">
        <v>1367</v>
      </c>
      <c r="D194" s="1">
        <v>1665</v>
      </c>
      <c r="E194" s="1" t="s">
        <v>2</v>
      </c>
      <c r="F194" s="1" t="s">
        <v>1785</v>
      </c>
      <c r="G194" s="1" t="s">
        <v>1786</v>
      </c>
      <c r="H194" s="1" t="s">
        <v>76</v>
      </c>
      <c r="I194" s="1" t="s">
        <v>228</v>
      </c>
      <c r="J194" s="1" t="s">
        <v>53</v>
      </c>
      <c r="K194" s="1" t="s">
        <v>53</v>
      </c>
      <c r="L194" s="1" t="s">
        <v>821</v>
      </c>
      <c r="M194" s="1" t="s">
        <v>311</v>
      </c>
      <c r="N194" s="1" t="s">
        <v>652</v>
      </c>
      <c r="O194" s="1" t="s">
        <v>62</v>
      </c>
      <c r="P194" s="1" t="s">
        <v>1281</v>
      </c>
      <c r="Q194" s="1" t="s">
        <v>65</v>
      </c>
      <c r="R194" s="1" t="s">
        <v>57</v>
      </c>
      <c r="S194" s="1" t="s">
        <v>1206</v>
      </c>
      <c r="T194" s="69">
        <v>4.0259999999999998</v>
      </c>
      <c r="U194" s="70">
        <v>47664</v>
      </c>
      <c r="V194" s="68">
        <v>5.8000000000000003E-2</v>
      </c>
      <c r="W194" s="68">
        <v>5.4100000000000002E-2</v>
      </c>
      <c r="X194" s="1" t="s">
        <v>636</v>
      </c>
      <c r="Y194" s="140" t="s">
        <v>2853</v>
      </c>
      <c r="Z194" s="67">
        <v>4109422</v>
      </c>
      <c r="AA194" s="67">
        <v>1</v>
      </c>
      <c r="AB194" s="67">
        <v>101.84</v>
      </c>
      <c r="AC194" s="67">
        <v>0</v>
      </c>
      <c r="AD194" s="67">
        <v>4185.0353599999999</v>
      </c>
      <c r="AE194" s="140" t="s">
        <v>2853</v>
      </c>
      <c r="AF194" s="140" t="s">
        <v>2853</v>
      </c>
      <c r="AG194" s="1" t="s">
        <v>17</v>
      </c>
      <c r="AH194" s="68">
        <v>1.1741205714000001E-2</v>
      </c>
      <c r="AI194" s="68">
        <f t="shared" si="2"/>
        <v>7.8894827470261161E-3</v>
      </c>
      <c r="AJ194" s="68">
        <f>+AD194/'סכום נכסים'!$B$30</f>
        <v>9.7112588102501616E-4</v>
      </c>
    </row>
    <row r="195" spans="1:36" x14ac:dyDescent="0.25">
      <c r="A195" s="1">
        <v>13908</v>
      </c>
      <c r="B195" s="1">
        <v>13908</v>
      </c>
      <c r="C195" s="1" t="s">
        <v>1446</v>
      </c>
      <c r="D195" s="1">
        <v>513817817</v>
      </c>
      <c r="E195" s="1" t="s">
        <v>429</v>
      </c>
      <c r="F195" s="1" t="s">
        <v>1787</v>
      </c>
      <c r="G195" s="1" t="s">
        <v>1788</v>
      </c>
      <c r="H195" s="1" t="s">
        <v>76</v>
      </c>
      <c r="I195" s="1" t="s">
        <v>228</v>
      </c>
      <c r="J195" s="1" t="s">
        <v>53</v>
      </c>
      <c r="K195" s="1" t="s">
        <v>53</v>
      </c>
      <c r="L195" s="1" t="s">
        <v>821</v>
      </c>
      <c r="M195" s="1" t="s">
        <v>311</v>
      </c>
      <c r="N195" s="1" t="s">
        <v>140</v>
      </c>
      <c r="O195" s="1" t="s">
        <v>62</v>
      </c>
      <c r="P195" s="1" t="s">
        <v>1358</v>
      </c>
      <c r="Q195" s="1" t="s">
        <v>70</v>
      </c>
      <c r="R195" s="1" t="s">
        <v>57</v>
      </c>
      <c r="S195" s="1" t="s">
        <v>1206</v>
      </c>
      <c r="T195" s="69">
        <v>4.41</v>
      </c>
      <c r="U195" s="70">
        <v>48213</v>
      </c>
      <c r="V195" s="68">
        <v>5.8799999999999998E-2</v>
      </c>
      <c r="W195" s="68">
        <v>4.9000000000000002E-2</v>
      </c>
      <c r="X195" s="1" t="s">
        <v>636</v>
      </c>
      <c r="Y195" s="140" t="s">
        <v>2853</v>
      </c>
      <c r="Z195" s="67">
        <v>198000</v>
      </c>
      <c r="AA195" s="67">
        <v>1</v>
      </c>
      <c r="AB195" s="67">
        <v>104.56</v>
      </c>
      <c r="AC195" s="67">
        <v>0</v>
      </c>
      <c r="AD195" s="67">
        <v>207.02879999999999</v>
      </c>
      <c r="AE195" s="140" t="s">
        <v>2853</v>
      </c>
      <c r="AF195" s="140" t="s">
        <v>2853</v>
      </c>
      <c r="AG195" s="1" t="s">
        <v>17</v>
      </c>
      <c r="AH195" s="68">
        <v>6.6E-4</v>
      </c>
      <c r="AI195" s="68">
        <f t="shared" ref="AI195:AI226" si="3">+AD195/SUM(AD:AD)</f>
        <v>3.9028347558275357E-4</v>
      </c>
      <c r="AJ195" s="68">
        <f>+AD195/'סכום נכסים'!$B$30</f>
        <v>4.804046047475973E-5</v>
      </c>
    </row>
    <row r="196" spans="1:36" x14ac:dyDescent="0.25">
      <c r="A196" s="1">
        <v>13908</v>
      </c>
      <c r="B196" s="1">
        <v>13908</v>
      </c>
      <c r="C196" s="1" t="s">
        <v>1499</v>
      </c>
      <c r="D196" s="1">
        <v>520000118</v>
      </c>
      <c r="E196" s="1" t="s">
        <v>429</v>
      </c>
      <c r="F196" s="1" t="s">
        <v>1789</v>
      </c>
      <c r="G196" s="1" t="s">
        <v>1790</v>
      </c>
      <c r="H196" s="1" t="s">
        <v>76</v>
      </c>
      <c r="I196" s="1" t="s">
        <v>228</v>
      </c>
      <c r="J196" s="1" t="s">
        <v>53</v>
      </c>
      <c r="K196" s="1" t="s">
        <v>53</v>
      </c>
      <c r="L196" s="1" t="s">
        <v>821</v>
      </c>
      <c r="M196" s="1" t="s">
        <v>311</v>
      </c>
      <c r="N196" s="1" t="s">
        <v>256</v>
      </c>
      <c r="O196" s="1" t="s">
        <v>62</v>
      </c>
      <c r="P196" s="1" t="s">
        <v>1205</v>
      </c>
      <c r="Q196" s="1" t="s">
        <v>65</v>
      </c>
      <c r="R196" s="1" t="s">
        <v>57</v>
      </c>
      <c r="S196" s="1" t="s">
        <v>1206</v>
      </c>
      <c r="T196" s="69">
        <v>4.3099999999999996</v>
      </c>
      <c r="U196" s="70">
        <v>49477</v>
      </c>
      <c r="V196" s="68">
        <v>4.8800000000000003E-2</v>
      </c>
      <c r="W196" s="68">
        <v>4.2200000000000001E-2</v>
      </c>
      <c r="X196" s="1" t="s">
        <v>636</v>
      </c>
      <c r="Y196" s="140" t="s">
        <v>2853</v>
      </c>
      <c r="Z196" s="67">
        <v>8000000</v>
      </c>
      <c r="AA196" s="67">
        <v>1</v>
      </c>
      <c r="AB196" s="67">
        <v>105.44</v>
      </c>
      <c r="AC196" s="67">
        <v>0</v>
      </c>
      <c r="AD196" s="67">
        <v>8435.2000000000007</v>
      </c>
      <c r="AE196" s="140" t="s">
        <v>2853</v>
      </c>
      <c r="AF196" s="140" t="s">
        <v>2853</v>
      </c>
      <c r="AG196" s="1" t="s">
        <v>17</v>
      </c>
      <c r="AH196" s="68">
        <v>1.797869569E-3</v>
      </c>
      <c r="AI196" s="68">
        <f t="shared" si="3"/>
        <v>1.5901744941938724E-2</v>
      </c>
      <c r="AJ196" s="68">
        <f>+AD196/'סכום נכסים'!$B$30</f>
        <v>1.9573648313504855E-3</v>
      </c>
    </row>
    <row r="197" spans="1:36" x14ac:dyDescent="0.25">
      <c r="A197" s="1">
        <v>13908</v>
      </c>
      <c r="B197" s="1">
        <v>13908</v>
      </c>
      <c r="C197" s="1" t="s">
        <v>1791</v>
      </c>
      <c r="D197" s="1">
        <v>516167343</v>
      </c>
      <c r="E197" s="1" t="s">
        <v>429</v>
      </c>
      <c r="F197" s="1" t="s">
        <v>1792</v>
      </c>
      <c r="G197" s="1" t="s">
        <v>1793</v>
      </c>
      <c r="H197" s="1" t="s">
        <v>76</v>
      </c>
      <c r="I197" s="1" t="s">
        <v>229</v>
      </c>
      <c r="J197" s="1" t="s">
        <v>53</v>
      </c>
      <c r="K197" s="1" t="s">
        <v>53</v>
      </c>
      <c r="L197" s="1" t="s">
        <v>821</v>
      </c>
      <c r="M197" s="1" t="s">
        <v>311</v>
      </c>
      <c r="N197" s="1" t="s">
        <v>156</v>
      </c>
      <c r="O197" s="1" t="s">
        <v>62</v>
      </c>
      <c r="P197" s="1" t="s">
        <v>298</v>
      </c>
      <c r="Q197" s="1" t="s">
        <v>298</v>
      </c>
      <c r="R197" s="1" t="s">
        <v>298</v>
      </c>
      <c r="S197" s="1" t="s">
        <v>1206</v>
      </c>
      <c r="T197" s="69">
        <v>5.2009999999999996</v>
      </c>
      <c r="U197" s="70">
        <v>48579</v>
      </c>
      <c r="V197" s="68">
        <v>4.7800000000000002E-2</v>
      </c>
      <c r="W197" s="68">
        <v>3.85E-2</v>
      </c>
      <c r="X197" s="1" t="s">
        <v>636</v>
      </c>
      <c r="Y197" s="140" t="s">
        <v>2853</v>
      </c>
      <c r="Z197" s="67">
        <v>994000</v>
      </c>
      <c r="AA197" s="67">
        <v>1</v>
      </c>
      <c r="AB197" s="67">
        <v>105.85</v>
      </c>
      <c r="AC197" s="67">
        <v>0</v>
      </c>
      <c r="AD197" s="67">
        <v>1052.1489999999999</v>
      </c>
      <c r="AE197" s="140" t="s">
        <v>2853</v>
      </c>
      <c r="AF197" s="140" t="s">
        <v>2853</v>
      </c>
      <c r="AG197" s="1" t="s">
        <v>17</v>
      </c>
      <c r="AH197" s="68">
        <v>2.6118922550000001E-3</v>
      </c>
      <c r="AI197" s="68">
        <f t="shared" si="3"/>
        <v>1.9834746110247393E-3</v>
      </c>
      <c r="AJ197" s="68">
        <f>+AD197/'סכום נכסים'!$B$30</f>
        <v>2.4414826559424573E-4</v>
      </c>
    </row>
    <row r="198" spans="1:36" x14ac:dyDescent="0.25">
      <c r="A198" s="1">
        <v>13908</v>
      </c>
      <c r="B198" s="1">
        <v>13908</v>
      </c>
      <c r="C198" s="1" t="s">
        <v>1794</v>
      </c>
      <c r="D198" s="1">
        <v>512711789</v>
      </c>
      <c r="E198" s="1" t="s">
        <v>429</v>
      </c>
      <c r="F198" s="1" t="s">
        <v>1795</v>
      </c>
      <c r="G198" s="1" t="s">
        <v>1796</v>
      </c>
      <c r="H198" s="1" t="s">
        <v>76</v>
      </c>
      <c r="I198" s="1" t="s">
        <v>228</v>
      </c>
      <c r="J198" s="1" t="s">
        <v>53</v>
      </c>
      <c r="K198" s="1" t="s">
        <v>53</v>
      </c>
      <c r="L198" s="1" t="s">
        <v>821</v>
      </c>
      <c r="M198" s="1" t="s">
        <v>311</v>
      </c>
      <c r="N198" s="1" t="s">
        <v>257</v>
      </c>
      <c r="O198" s="1" t="s">
        <v>62</v>
      </c>
      <c r="P198" s="1" t="s">
        <v>1285</v>
      </c>
      <c r="Q198" s="1" t="s">
        <v>65</v>
      </c>
      <c r="R198" s="1" t="s">
        <v>57</v>
      </c>
      <c r="S198" s="1" t="s">
        <v>1206</v>
      </c>
      <c r="T198" s="69">
        <v>2.7530000000000001</v>
      </c>
      <c r="U198" s="70">
        <v>47493</v>
      </c>
      <c r="V198" s="68">
        <v>5.21E-2</v>
      </c>
      <c r="W198" s="68">
        <v>4.8899999999999999E-2</v>
      </c>
      <c r="X198" s="1" t="s">
        <v>636</v>
      </c>
      <c r="Y198" s="140" t="s">
        <v>2853</v>
      </c>
      <c r="Z198" s="67">
        <v>3013800</v>
      </c>
      <c r="AA198" s="67">
        <v>1</v>
      </c>
      <c r="AB198" s="67">
        <v>103.84</v>
      </c>
      <c r="AC198" s="67">
        <v>0</v>
      </c>
      <c r="AD198" s="67">
        <v>3129.5299199999999</v>
      </c>
      <c r="AE198" s="140" t="s">
        <v>2853</v>
      </c>
      <c r="AF198" s="140" t="s">
        <v>2853</v>
      </c>
      <c r="AG198" s="1" t="s">
        <v>17</v>
      </c>
      <c r="AH198" s="68">
        <v>1.0045999999999999E-2</v>
      </c>
      <c r="AI198" s="68">
        <f t="shared" si="3"/>
        <v>5.8996806923375727E-3</v>
      </c>
      <c r="AJ198" s="68">
        <f>+AD198/'סכום נכסים'!$B$30</f>
        <v>7.261987628114446E-4</v>
      </c>
    </row>
    <row r="199" spans="1:36" x14ac:dyDescent="0.25">
      <c r="A199" s="1">
        <v>13908</v>
      </c>
      <c r="B199" s="1">
        <v>13908</v>
      </c>
      <c r="C199" s="1" t="s">
        <v>1797</v>
      </c>
      <c r="D199" s="1">
        <v>520037797</v>
      </c>
      <c r="E199" s="1" t="s">
        <v>429</v>
      </c>
      <c r="F199" s="1" t="s">
        <v>1798</v>
      </c>
      <c r="G199" s="1" t="s">
        <v>1799</v>
      </c>
      <c r="H199" s="1" t="s">
        <v>76</v>
      </c>
      <c r="I199" s="1" t="s">
        <v>228</v>
      </c>
      <c r="J199" s="1" t="s">
        <v>53</v>
      </c>
      <c r="K199" s="1" t="s">
        <v>53</v>
      </c>
      <c r="L199" s="1" t="s">
        <v>821</v>
      </c>
      <c r="M199" s="1" t="s">
        <v>311</v>
      </c>
      <c r="N199" s="1" t="s">
        <v>254</v>
      </c>
      <c r="O199" s="1" t="s">
        <v>62</v>
      </c>
      <c r="P199" s="1" t="s">
        <v>298</v>
      </c>
      <c r="Q199" s="1" t="s">
        <v>298</v>
      </c>
      <c r="R199" s="1" t="s">
        <v>298</v>
      </c>
      <c r="S199" s="1" t="s">
        <v>1206</v>
      </c>
      <c r="T199" s="69">
        <v>4.0919999999999996</v>
      </c>
      <c r="U199" s="70">
        <v>47664</v>
      </c>
      <c r="V199" s="68">
        <v>4.9200000000000001E-2</v>
      </c>
      <c r="W199" s="68">
        <v>4.5100000000000001E-2</v>
      </c>
      <c r="X199" s="1" t="s">
        <v>636</v>
      </c>
      <c r="Y199" s="140" t="s">
        <v>2853</v>
      </c>
      <c r="Z199" s="67">
        <v>466000</v>
      </c>
      <c r="AA199" s="67">
        <v>1</v>
      </c>
      <c r="AB199" s="67">
        <v>101.86</v>
      </c>
      <c r="AC199" s="67">
        <v>0</v>
      </c>
      <c r="AD199" s="67">
        <v>474.66759999999999</v>
      </c>
      <c r="AE199" s="140" t="s">
        <v>2853</v>
      </c>
      <c r="AF199" s="140" t="s">
        <v>2853</v>
      </c>
      <c r="AG199" s="1" t="s">
        <v>17</v>
      </c>
      <c r="AH199" s="68">
        <v>1.548172757E-3</v>
      </c>
      <c r="AI199" s="68">
        <f t="shared" si="3"/>
        <v>8.9482680996327206E-4</v>
      </c>
      <c r="AJ199" s="68">
        <f>+AD199/'סכום נכסים'!$B$30</f>
        <v>1.1014530382463243E-4</v>
      </c>
    </row>
    <row r="200" spans="1:36" x14ac:dyDescent="0.25">
      <c r="A200" s="1">
        <v>13908</v>
      </c>
      <c r="B200" s="1">
        <v>13908</v>
      </c>
      <c r="C200" s="1" t="s">
        <v>1800</v>
      </c>
      <c r="D200" s="1">
        <v>1648</v>
      </c>
      <c r="E200" s="1" t="s">
        <v>2</v>
      </c>
      <c r="F200" s="1" t="s">
        <v>1801</v>
      </c>
      <c r="G200" s="1" t="s">
        <v>1802</v>
      </c>
      <c r="H200" s="1" t="s">
        <v>76</v>
      </c>
      <c r="I200" s="1" t="s">
        <v>228</v>
      </c>
      <c r="J200" s="1" t="s">
        <v>53</v>
      </c>
      <c r="K200" s="1" t="s">
        <v>53</v>
      </c>
      <c r="L200" s="1" t="s">
        <v>821</v>
      </c>
      <c r="M200" s="1" t="s">
        <v>311</v>
      </c>
      <c r="N200" s="1" t="s">
        <v>652</v>
      </c>
      <c r="O200" s="1" t="s">
        <v>62</v>
      </c>
      <c r="P200" s="1" t="s">
        <v>1329</v>
      </c>
      <c r="Q200" s="1" t="s">
        <v>65</v>
      </c>
      <c r="R200" s="1" t="s">
        <v>57</v>
      </c>
      <c r="S200" s="1" t="s">
        <v>1206</v>
      </c>
      <c r="T200" s="69">
        <v>2.359</v>
      </c>
      <c r="U200" s="70">
        <v>46934</v>
      </c>
      <c r="V200" s="68">
        <v>5.8000000000000003E-2</v>
      </c>
      <c r="W200" s="68">
        <v>5.96E-2</v>
      </c>
      <c r="X200" s="1" t="s">
        <v>636</v>
      </c>
      <c r="Y200" s="140" t="s">
        <v>2853</v>
      </c>
      <c r="Z200" s="67">
        <v>279000</v>
      </c>
      <c r="AA200" s="67">
        <v>1</v>
      </c>
      <c r="AB200" s="67">
        <v>99.86</v>
      </c>
      <c r="AC200" s="67">
        <v>0</v>
      </c>
      <c r="AD200" s="67">
        <v>278.60939999999999</v>
      </c>
      <c r="AE200" s="140" t="s">
        <v>2853</v>
      </c>
      <c r="AF200" s="140" t="s">
        <v>2853</v>
      </c>
      <c r="AG200" s="1" t="s">
        <v>17</v>
      </c>
      <c r="AH200" s="68">
        <v>1.696048632E-3</v>
      </c>
      <c r="AI200" s="68">
        <f t="shared" si="3"/>
        <v>5.2522472700428937E-4</v>
      </c>
      <c r="AJ200" s="68">
        <f>+AD200/'סכום נכסים'!$B$30</f>
        <v>6.4650540739242675E-5</v>
      </c>
    </row>
    <row r="201" spans="1:36" x14ac:dyDescent="0.25">
      <c r="A201" s="1">
        <v>13908</v>
      </c>
      <c r="B201" s="1">
        <v>13908</v>
      </c>
      <c r="C201" s="1" t="s">
        <v>1803</v>
      </c>
      <c r="D201" s="1">
        <v>2484</v>
      </c>
      <c r="E201" s="1" t="s">
        <v>2</v>
      </c>
      <c r="F201" s="1" t="s">
        <v>1804</v>
      </c>
      <c r="G201" s="1" t="s">
        <v>1805</v>
      </c>
      <c r="H201" s="1" t="s">
        <v>76</v>
      </c>
      <c r="I201" s="1" t="s">
        <v>228</v>
      </c>
      <c r="J201" s="1" t="s">
        <v>53</v>
      </c>
      <c r="K201" s="1" t="s">
        <v>53</v>
      </c>
      <c r="L201" s="1" t="s">
        <v>821</v>
      </c>
      <c r="M201" s="1" t="s">
        <v>311</v>
      </c>
      <c r="N201" s="1" t="s">
        <v>649</v>
      </c>
      <c r="O201" s="1" t="s">
        <v>62</v>
      </c>
      <c r="P201" s="1" t="s">
        <v>1323</v>
      </c>
      <c r="Q201" s="1" t="s">
        <v>70</v>
      </c>
      <c r="R201" s="1" t="s">
        <v>57</v>
      </c>
      <c r="S201" s="1" t="s">
        <v>1206</v>
      </c>
      <c r="T201" s="69">
        <v>3.7450000000000001</v>
      </c>
      <c r="U201" s="70">
        <v>47665</v>
      </c>
      <c r="V201" s="68">
        <v>5.8500000000000003E-2</v>
      </c>
      <c r="W201" s="68">
        <v>5.8599999999999999E-2</v>
      </c>
      <c r="X201" s="1" t="s">
        <v>636</v>
      </c>
      <c r="Y201" s="140" t="s">
        <v>2853</v>
      </c>
      <c r="Z201" s="67">
        <v>734000</v>
      </c>
      <c r="AA201" s="67">
        <v>1</v>
      </c>
      <c r="AB201" s="67">
        <v>100.28</v>
      </c>
      <c r="AC201" s="67">
        <v>20.822479999999999</v>
      </c>
      <c r="AD201" s="67">
        <v>756.87768000000005</v>
      </c>
      <c r="AE201" s="140" t="s">
        <v>2853</v>
      </c>
      <c r="AF201" s="140" t="s">
        <v>2853</v>
      </c>
      <c r="AG201" s="1" t="s">
        <v>17</v>
      </c>
      <c r="AH201" s="68">
        <v>2.7698113200000001E-3</v>
      </c>
      <c r="AI201" s="68">
        <f t="shared" si="3"/>
        <v>1.4268394133637988E-3</v>
      </c>
      <c r="AJ201" s="68">
        <f>+AD201/'סכום נכסים'!$B$30</f>
        <v>1.7563137239972338E-4</v>
      </c>
    </row>
    <row r="202" spans="1:36" x14ac:dyDescent="0.25">
      <c r="A202" s="1">
        <v>13908</v>
      </c>
      <c r="B202" s="1">
        <v>13908</v>
      </c>
      <c r="C202" s="1" t="s">
        <v>1305</v>
      </c>
      <c r="D202" s="1">
        <v>513623314</v>
      </c>
      <c r="E202" s="1" t="s">
        <v>429</v>
      </c>
      <c r="F202" s="1" t="s">
        <v>1806</v>
      </c>
      <c r="G202" s="1" t="s">
        <v>1807</v>
      </c>
      <c r="H202" s="1" t="s">
        <v>76</v>
      </c>
      <c r="I202" s="1" t="s">
        <v>229</v>
      </c>
      <c r="J202" s="1" t="s">
        <v>53</v>
      </c>
      <c r="K202" s="1" t="s">
        <v>53</v>
      </c>
      <c r="L202" s="1" t="s">
        <v>821</v>
      </c>
      <c r="M202" s="1" t="s">
        <v>311</v>
      </c>
      <c r="N202" s="1" t="s">
        <v>651</v>
      </c>
      <c r="O202" s="1" t="s">
        <v>62</v>
      </c>
      <c r="P202" s="1" t="s">
        <v>1455</v>
      </c>
      <c r="Q202" s="1" t="s">
        <v>70</v>
      </c>
      <c r="R202" s="1" t="s">
        <v>57</v>
      </c>
      <c r="S202" s="1" t="s">
        <v>1206</v>
      </c>
      <c r="T202" s="69">
        <v>4.6680000000000001</v>
      </c>
      <c r="U202" s="70">
        <v>47858</v>
      </c>
      <c r="V202" s="68">
        <v>2.7799999999999998E-2</v>
      </c>
      <c r="W202" s="68">
        <v>2.4899999999999999E-2</v>
      </c>
      <c r="X202" s="1" t="s">
        <v>636</v>
      </c>
      <c r="Y202" s="140" t="s">
        <v>2853</v>
      </c>
      <c r="Z202" s="67">
        <v>1104000</v>
      </c>
      <c r="AA202" s="67">
        <v>1</v>
      </c>
      <c r="AB202" s="67">
        <v>103.56</v>
      </c>
      <c r="AC202" s="67">
        <v>0</v>
      </c>
      <c r="AD202" s="67">
        <v>1143.3024</v>
      </c>
      <c r="AE202" s="140" t="s">
        <v>2853</v>
      </c>
      <c r="AF202" s="140" t="s">
        <v>2853</v>
      </c>
      <c r="AG202" s="1" t="s">
        <v>17</v>
      </c>
      <c r="AH202" s="68">
        <v>3.218658892E-3</v>
      </c>
      <c r="AI202" s="68">
        <f t="shared" si="3"/>
        <v>2.1553138225894348E-3</v>
      </c>
      <c r="AJ202" s="68">
        <f>+AD202/'סכום נכסים'!$B$30</f>
        <v>2.6530015996758876E-4</v>
      </c>
    </row>
    <row r="203" spans="1:36" x14ac:dyDescent="0.25">
      <c r="A203" s="1">
        <v>13908</v>
      </c>
      <c r="B203" s="1">
        <v>13908</v>
      </c>
      <c r="C203" s="1" t="s">
        <v>1808</v>
      </c>
      <c r="D203" s="1">
        <v>1683</v>
      </c>
      <c r="E203" s="1" t="s">
        <v>2</v>
      </c>
      <c r="F203" s="1" t="s">
        <v>1809</v>
      </c>
      <c r="G203" s="1" t="s">
        <v>1810</v>
      </c>
      <c r="H203" s="1" t="s">
        <v>76</v>
      </c>
      <c r="I203" s="1" t="s">
        <v>228</v>
      </c>
      <c r="J203" s="1" t="s">
        <v>53</v>
      </c>
      <c r="K203" s="1" t="s">
        <v>53</v>
      </c>
      <c r="L203" s="1" t="s">
        <v>821</v>
      </c>
      <c r="M203" s="1" t="s">
        <v>311</v>
      </c>
      <c r="N203" s="1" t="s">
        <v>652</v>
      </c>
      <c r="O203" s="1" t="s">
        <v>62</v>
      </c>
      <c r="P203" s="1" t="s">
        <v>1761</v>
      </c>
      <c r="Q203" s="1" t="s">
        <v>65</v>
      </c>
      <c r="R203" s="1" t="s">
        <v>57</v>
      </c>
      <c r="S203" s="1" t="s">
        <v>1206</v>
      </c>
      <c r="T203" s="69">
        <v>3.3340000000000001</v>
      </c>
      <c r="U203" s="70">
        <v>47679</v>
      </c>
      <c r="V203" s="68">
        <v>8.3000000000000004E-2</v>
      </c>
      <c r="W203" s="68">
        <v>8.7499999999999994E-2</v>
      </c>
      <c r="X203" s="1" t="s">
        <v>636</v>
      </c>
      <c r="Y203" s="140" t="s">
        <v>2853</v>
      </c>
      <c r="Z203" s="67">
        <v>1000000</v>
      </c>
      <c r="AA203" s="67">
        <v>1</v>
      </c>
      <c r="AB203" s="67">
        <v>102.51</v>
      </c>
      <c r="AC203" s="67">
        <v>0</v>
      </c>
      <c r="AD203" s="67">
        <v>1025.0999999999999</v>
      </c>
      <c r="AE203" s="140" t="s">
        <v>2853</v>
      </c>
      <c r="AF203" s="140" t="s">
        <v>2853</v>
      </c>
      <c r="AG203" s="1" t="s">
        <v>17</v>
      </c>
      <c r="AH203" s="68">
        <v>2.5974025970000002E-3</v>
      </c>
      <c r="AI203" s="68">
        <f t="shared" si="3"/>
        <v>1.9324827793035591E-3</v>
      </c>
      <c r="AJ203" s="68">
        <f>+AD203/'סכום נכסים'!$B$30</f>
        <v>2.378716199517951E-4</v>
      </c>
    </row>
    <row r="204" spans="1:36" x14ac:dyDescent="0.25">
      <c r="A204" s="1">
        <v>13908</v>
      </c>
      <c r="B204" s="1">
        <v>13908</v>
      </c>
      <c r="C204" s="1" t="s">
        <v>1499</v>
      </c>
      <c r="D204" s="1">
        <v>520000118</v>
      </c>
      <c r="E204" s="1" t="s">
        <v>429</v>
      </c>
      <c r="F204" s="1" t="s">
        <v>1811</v>
      </c>
      <c r="G204" s="1" t="s">
        <v>1812</v>
      </c>
      <c r="H204" s="1" t="s">
        <v>76</v>
      </c>
      <c r="I204" s="1" t="s">
        <v>229</v>
      </c>
      <c r="J204" s="1" t="s">
        <v>53</v>
      </c>
      <c r="K204" s="1" t="s">
        <v>53</v>
      </c>
      <c r="L204" s="1" t="s">
        <v>821</v>
      </c>
      <c r="M204" s="1" t="s">
        <v>311</v>
      </c>
      <c r="N204" s="1" t="s">
        <v>256</v>
      </c>
      <c r="O204" s="1" t="s">
        <v>62</v>
      </c>
      <c r="P204" s="1" t="s">
        <v>1205</v>
      </c>
      <c r="Q204" s="1" t="s">
        <v>65</v>
      </c>
      <c r="R204" s="1" t="s">
        <v>57</v>
      </c>
      <c r="S204" s="1" t="s">
        <v>1206</v>
      </c>
      <c r="T204" s="69">
        <v>4.7690000000000001</v>
      </c>
      <c r="U204" s="70">
        <v>49542</v>
      </c>
      <c r="V204" s="68">
        <v>2.6100000000000002E-2</v>
      </c>
      <c r="W204" s="68">
        <v>2.23E-2</v>
      </c>
      <c r="X204" s="1" t="s">
        <v>636</v>
      </c>
      <c r="Y204" s="140" t="s">
        <v>2853</v>
      </c>
      <c r="Z204" s="67">
        <v>5000000</v>
      </c>
      <c r="AA204" s="67">
        <v>1</v>
      </c>
      <c r="AB204" s="67">
        <v>102.82</v>
      </c>
      <c r="AC204" s="67">
        <v>0</v>
      </c>
      <c r="AD204" s="67">
        <v>5141</v>
      </c>
      <c r="AE204" s="140" t="s">
        <v>2853</v>
      </c>
      <c r="AF204" s="140" t="s">
        <v>2853</v>
      </c>
      <c r="AG204" s="1" t="s">
        <v>17</v>
      </c>
      <c r="AH204" s="68">
        <v>1.4622858919999999E-3</v>
      </c>
      <c r="AI204" s="68">
        <f t="shared" si="3"/>
        <v>9.6916339561014513E-3</v>
      </c>
      <c r="AJ204" s="68">
        <f>+AD204/'סכום נכסים'!$B$30</f>
        <v>1.1929548318916972E-3</v>
      </c>
    </row>
    <row r="205" spans="1:36" x14ac:dyDescent="0.25">
      <c r="A205" s="1">
        <v>13908</v>
      </c>
      <c r="B205" s="1">
        <v>13908</v>
      </c>
      <c r="C205" s="1" t="s">
        <v>1496</v>
      </c>
      <c r="D205" s="1">
        <v>520029935</v>
      </c>
      <c r="E205" s="1" t="s">
        <v>429</v>
      </c>
      <c r="F205" s="1" t="s">
        <v>1813</v>
      </c>
      <c r="G205" s="1" t="s">
        <v>1814</v>
      </c>
      <c r="H205" s="1" t="s">
        <v>76</v>
      </c>
      <c r="I205" s="1" t="s">
        <v>229</v>
      </c>
      <c r="J205" s="1" t="s">
        <v>53</v>
      </c>
      <c r="K205" s="1" t="s">
        <v>53</v>
      </c>
      <c r="L205" s="1" t="s">
        <v>821</v>
      </c>
      <c r="M205" s="1" t="s">
        <v>311</v>
      </c>
      <c r="N205" s="1" t="s">
        <v>256</v>
      </c>
      <c r="O205" s="1" t="s">
        <v>62</v>
      </c>
      <c r="P205" s="1" t="s">
        <v>1281</v>
      </c>
      <c r="Q205" s="1" t="s">
        <v>65</v>
      </c>
      <c r="R205" s="1" t="s">
        <v>57</v>
      </c>
      <c r="S205" s="1" t="s">
        <v>1206</v>
      </c>
      <c r="T205" s="69">
        <v>5.27</v>
      </c>
      <c r="U205" s="70">
        <v>49925</v>
      </c>
      <c r="V205" s="68">
        <v>0.03</v>
      </c>
      <c r="W205" s="68">
        <v>2.5899999999999999E-2</v>
      </c>
      <c r="X205" s="1" t="s">
        <v>636</v>
      </c>
      <c r="Y205" s="140" t="s">
        <v>2853</v>
      </c>
      <c r="Z205" s="67">
        <v>3385834.13</v>
      </c>
      <c r="AA205" s="67">
        <v>1</v>
      </c>
      <c r="AB205" s="67">
        <v>103.19</v>
      </c>
      <c r="AC205" s="67">
        <v>0</v>
      </c>
      <c r="AD205" s="67">
        <v>3493.8422399999999</v>
      </c>
      <c r="AE205" s="140" t="s">
        <v>2853</v>
      </c>
      <c r="AF205" s="140" t="s">
        <v>2853</v>
      </c>
      <c r="AG205" s="1" t="s">
        <v>17</v>
      </c>
      <c r="AH205" s="68">
        <v>2.7990894329999998E-3</v>
      </c>
      <c r="AI205" s="68">
        <f t="shared" si="3"/>
        <v>6.5864695760446523E-3</v>
      </c>
      <c r="AJ205" s="68">
        <f>+AD205/'סכום נכסים'!$B$30</f>
        <v>8.10736429114046E-4</v>
      </c>
    </row>
    <row r="206" spans="1:36" x14ac:dyDescent="0.25">
      <c r="A206" s="1">
        <v>13908</v>
      </c>
      <c r="B206" s="1">
        <v>13908</v>
      </c>
      <c r="C206" s="1" t="s">
        <v>1386</v>
      </c>
      <c r="D206" s="1">
        <v>513141879</v>
      </c>
      <c r="E206" s="1" t="s">
        <v>429</v>
      </c>
      <c r="F206" s="1" t="s">
        <v>1815</v>
      </c>
      <c r="G206" s="1" t="s">
        <v>1816</v>
      </c>
      <c r="H206" s="1" t="s">
        <v>76</v>
      </c>
      <c r="I206" s="1" t="s">
        <v>229</v>
      </c>
      <c r="J206" s="1" t="s">
        <v>53</v>
      </c>
      <c r="K206" s="1" t="s">
        <v>53</v>
      </c>
      <c r="L206" s="1" t="s">
        <v>821</v>
      </c>
      <c r="M206" s="1" t="s">
        <v>311</v>
      </c>
      <c r="N206" s="1" t="s">
        <v>256</v>
      </c>
      <c r="O206" s="1" t="s">
        <v>62</v>
      </c>
      <c r="P206" s="1" t="s">
        <v>1205</v>
      </c>
      <c r="Q206" s="1" t="s">
        <v>65</v>
      </c>
      <c r="R206" s="1" t="s">
        <v>57</v>
      </c>
      <c r="S206" s="1" t="s">
        <v>1206</v>
      </c>
      <c r="T206" s="69">
        <v>2.6040000000000001</v>
      </c>
      <c r="U206" s="70">
        <v>47000</v>
      </c>
      <c r="V206" s="68">
        <v>2.52E-2</v>
      </c>
      <c r="W206" s="68">
        <v>2.1700000000000001E-2</v>
      </c>
      <c r="X206" s="1" t="s">
        <v>636</v>
      </c>
      <c r="Y206" s="140" t="s">
        <v>2853</v>
      </c>
      <c r="Z206" s="67">
        <v>12246000</v>
      </c>
      <c r="AA206" s="67">
        <v>1</v>
      </c>
      <c r="AB206" s="67">
        <v>101.8</v>
      </c>
      <c r="AC206" s="67">
        <v>0</v>
      </c>
      <c r="AD206" s="67">
        <v>12466.428</v>
      </c>
      <c r="AE206" s="140" t="s">
        <v>2853</v>
      </c>
      <c r="AF206" s="140" t="s">
        <v>2853</v>
      </c>
      <c r="AG206" s="1" t="s">
        <v>17</v>
      </c>
      <c r="AH206" s="68">
        <v>7.2035294109999998E-3</v>
      </c>
      <c r="AI206" s="68">
        <f t="shared" si="3"/>
        <v>2.3501275416474208E-2</v>
      </c>
      <c r="AJ206" s="68">
        <f>+AD206/'סכום נכסים'!$B$30</f>
        <v>2.8928001398618843E-3</v>
      </c>
    </row>
    <row r="207" spans="1:36" x14ac:dyDescent="0.25">
      <c r="A207" s="1">
        <v>13908</v>
      </c>
      <c r="B207" s="1">
        <v>13908</v>
      </c>
      <c r="C207" s="1" t="s">
        <v>1635</v>
      </c>
      <c r="D207" s="1">
        <v>520018078</v>
      </c>
      <c r="E207" s="1" t="s">
        <v>429</v>
      </c>
      <c r="F207" s="1" t="s">
        <v>1817</v>
      </c>
      <c r="G207" s="1" t="s">
        <v>1818</v>
      </c>
      <c r="H207" s="1" t="s">
        <v>76</v>
      </c>
      <c r="I207" s="1" t="s">
        <v>228</v>
      </c>
      <c r="J207" s="1" t="s">
        <v>53</v>
      </c>
      <c r="K207" s="1" t="s">
        <v>53</v>
      </c>
      <c r="L207" s="1" t="s">
        <v>821</v>
      </c>
      <c r="M207" s="1" t="s">
        <v>311</v>
      </c>
      <c r="N207" s="1" t="s">
        <v>256</v>
      </c>
      <c r="O207" s="1" t="s">
        <v>62</v>
      </c>
      <c r="P207" s="1" t="s">
        <v>1727</v>
      </c>
      <c r="Q207" s="1" t="s">
        <v>70</v>
      </c>
      <c r="R207" s="1" t="s">
        <v>57</v>
      </c>
      <c r="S207" s="1" t="s">
        <v>1206</v>
      </c>
      <c r="T207" s="69">
        <v>5.5389999999999997</v>
      </c>
      <c r="U207" s="70">
        <v>49065</v>
      </c>
      <c r="V207" s="68">
        <v>4.5900000000000003E-2</v>
      </c>
      <c r="W207" s="68">
        <v>4.1799999999999997E-2</v>
      </c>
      <c r="X207" s="1" t="s">
        <v>636</v>
      </c>
      <c r="Y207" s="140" t="s">
        <v>2853</v>
      </c>
      <c r="Z207" s="67">
        <v>4000000</v>
      </c>
      <c r="AA207" s="67">
        <v>1</v>
      </c>
      <c r="AB207" s="67">
        <v>103.65</v>
      </c>
      <c r="AC207" s="67">
        <v>0</v>
      </c>
      <c r="AD207" s="67">
        <v>4146</v>
      </c>
      <c r="AE207" s="140" t="s">
        <v>2853</v>
      </c>
      <c r="AF207" s="140" t="s">
        <v>2853</v>
      </c>
      <c r="AG207" s="1" t="s">
        <v>17</v>
      </c>
      <c r="AH207" s="68">
        <v>2.1407397210000002E-3</v>
      </c>
      <c r="AI207" s="68">
        <f t="shared" si="3"/>
        <v>7.8158946473442167E-3</v>
      </c>
      <c r="AJ207" s="68">
        <f>+AD207/'סכום נכסים'!$B$30</f>
        <v>9.6206783369441281E-4</v>
      </c>
    </row>
    <row r="208" spans="1:36" x14ac:dyDescent="0.25">
      <c r="A208" s="1">
        <v>13908</v>
      </c>
      <c r="B208" s="1">
        <v>13908</v>
      </c>
      <c r="C208" s="1" t="s">
        <v>1635</v>
      </c>
      <c r="D208" s="1">
        <v>520018078</v>
      </c>
      <c r="E208" s="1" t="s">
        <v>429</v>
      </c>
      <c r="F208" s="1" t="s">
        <v>1819</v>
      </c>
      <c r="G208" s="1" t="s">
        <v>1820</v>
      </c>
      <c r="H208" s="1" t="s">
        <v>76</v>
      </c>
      <c r="I208" s="1" t="s">
        <v>229</v>
      </c>
      <c r="J208" s="1" t="s">
        <v>53</v>
      </c>
      <c r="K208" s="1" t="s">
        <v>53</v>
      </c>
      <c r="L208" s="1" t="s">
        <v>821</v>
      </c>
      <c r="M208" s="1" t="s">
        <v>311</v>
      </c>
      <c r="N208" s="1" t="s">
        <v>256</v>
      </c>
      <c r="O208" s="1" t="s">
        <v>62</v>
      </c>
      <c r="P208" s="1" t="s">
        <v>1727</v>
      </c>
      <c r="Q208" s="1" t="s">
        <v>70</v>
      </c>
      <c r="R208" s="1" t="s">
        <v>57</v>
      </c>
      <c r="S208" s="1" t="s">
        <v>1206</v>
      </c>
      <c r="T208" s="69">
        <v>6.48</v>
      </c>
      <c r="U208" s="70">
        <v>49888</v>
      </c>
      <c r="V208" s="68">
        <v>2.5999999999999999E-2</v>
      </c>
      <c r="W208" s="68">
        <v>2.2100000000000002E-2</v>
      </c>
      <c r="X208" s="1" t="s">
        <v>636</v>
      </c>
      <c r="Y208" s="140" t="s">
        <v>2853</v>
      </c>
      <c r="Z208" s="67">
        <v>6400000</v>
      </c>
      <c r="AA208" s="67">
        <v>1</v>
      </c>
      <c r="AB208" s="67">
        <v>103.41</v>
      </c>
      <c r="AC208" s="67">
        <v>0</v>
      </c>
      <c r="AD208" s="67">
        <v>6618.24</v>
      </c>
      <c r="AE208" s="140" t="s">
        <v>2853</v>
      </c>
      <c r="AF208" s="140" t="s">
        <v>2853</v>
      </c>
      <c r="AG208" s="1" t="s">
        <v>17</v>
      </c>
      <c r="AH208" s="68">
        <v>3.4852294339999998E-3</v>
      </c>
      <c r="AI208" s="68">
        <f t="shared" si="3"/>
        <v>1.2476475299285911E-2</v>
      </c>
      <c r="AJ208" s="68">
        <f>+AD208/'סכום נכסים'!$B$30</f>
        <v>1.5357442883911507E-3</v>
      </c>
    </row>
    <row r="209" spans="1:36" x14ac:dyDescent="0.25">
      <c r="A209" s="1">
        <v>13908</v>
      </c>
      <c r="B209" s="1">
        <v>13908</v>
      </c>
      <c r="C209" s="1" t="s">
        <v>1821</v>
      </c>
      <c r="D209" s="1">
        <v>2507</v>
      </c>
      <c r="E209" s="1" t="s">
        <v>2</v>
      </c>
      <c r="F209" s="1" t="s">
        <v>1822</v>
      </c>
      <c r="G209" s="1" t="s">
        <v>1823</v>
      </c>
      <c r="H209" s="1" t="s">
        <v>76</v>
      </c>
      <c r="I209" s="1" t="s">
        <v>228</v>
      </c>
      <c r="J209" s="1" t="s">
        <v>53</v>
      </c>
      <c r="K209" s="1" t="s">
        <v>53</v>
      </c>
      <c r="L209" s="1" t="s">
        <v>821</v>
      </c>
      <c r="M209" s="1" t="s">
        <v>311</v>
      </c>
      <c r="N209" s="1" t="s">
        <v>652</v>
      </c>
      <c r="O209" s="1" t="s">
        <v>62</v>
      </c>
      <c r="P209" s="1" t="s">
        <v>1329</v>
      </c>
      <c r="Q209" s="1" t="s">
        <v>65</v>
      </c>
      <c r="R209" s="1" t="s">
        <v>57</v>
      </c>
      <c r="S209" s="1" t="s">
        <v>1206</v>
      </c>
      <c r="T209" s="69">
        <v>4.3739999999999997</v>
      </c>
      <c r="U209" s="70">
        <v>48852</v>
      </c>
      <c r="V209" s="68">
        <v>6.6000000000000003E-2</v>
      </c>
      <c r="W209" s="68">
        <v>6.6400000000000001E-2</v>
      </c>
      <c r="X209" s="1" t="s">
        <v>636</v>
      </c>
      <c r="Y209" s="140" t="s">
        <v>2853</v>
      </c>
      <c r="Z209" s="67">
        <v>2480000</v>
      </c>
      <c r="AA209" s="67">
        <v>1</v>
      </c>
      <c r="AB209" s="67">
        <v>102.2</v>
      </c>
      <c r="AC209" s="67">
        <v>0</v>
      </c>
      <c r="AD209" s="67">
        <v>2534.56</v>
      </c>
      <c r="AE209" s="140" t="s">
        <v>2853</v>
      </c>
      <c r="AF209" s="140" t="s">
        <v>2853</v>
      </c>
      <c r="AG209" s="1" t="s">
        <v>17</v>
      </c>
      <c r="AH209" s="68">
        <v>3.1794871790000001E-3</v>
      </c>
      <c r="AI209" s="68">
        <f t="shared" si="3"/>
        <v>4.7780641431193335E-3</v>
      </c>
      <c r="AJ209" s="68">
        <f>+AD209/'סכום נכסים'!$B$30</f>
        <v>5.88137638342622E-4</v>
      </c>
    </row>
    <row r="210" spans="1:36" x14ac:dyDescent="0.25">
      <c r="A210" s="1">
        <v>13908</v>
      </c>
      <c r="B210" s="1">
        <v>13908</v>
      </c>
      <c r="C210" s="1" t="s">
        <v>1824</v>
      </c>
      <c r="D210" s="1">
        <v>511396046</v>
      </c>
      <c r="E210" s="1" t="s">
        <v>429</v>
      </c>
      <c r="F210" s="1" t="s">
        <v>1825</v>
      </c>
      <c r="G210" s="1" t="s">
        <v>1826</v>
      </c>
      <c r="H210" s="1" t="s">
        <v>76</v>
      </c>
      <c r="I210" s="1" t="s">
        <v>230</v>
      </c>
      <c r="J210" s="1" t="s">
        <v>53</v>
      </c>
      <c r="K210" s="1" t="s">
        <v>53</v>
      </c>
      <c r="L210" s="1" t="s">
        <v>821</v>
      </c>
      <c r="M210" s="1" t="s">
        <v>311</v>
      </c>
      <c r="N210" s="1" t="s">
        <v>260</v>
      </c>
      <c r="O210" s="1" t="s">
        <v>62</v>
      </c>
      <c r="P210" s="1" t="s">
        <v>298</v>
      </c>
      <c r="Q210" s="1" t="s">
        <v>298</v>
      </c>
      <c r="R210" s="1" t="s">
        <v>298</v>
      </c>
      <c r="S210" s="1" t="s">
        <v>1206</v>
      </c>
      <c r="T210" s="69">
        <v>4.2409999999999997</v>
      </c>
      <c r="U210" s="70">
        <v>48945</v>
      </c>
      <c r="V210" s="68">
        <v>8.7499999999999994E-2</v>
      </c>
      <c r="W210" s="68">
        <v>7.5899999999999995E-2</v>
      </c>
      <c r="X210" s="1" t="s">
        <v>636</v>
      </c>
      <c r="Y210" s="140" t="s">
        <v>2853</v>
      </c>
      <c r="Z210" s="67">
        <v>914000</v>
      </c>
      <c r="AA210" s="67">
        <v>1</v>
      </c>
      <c r="AB210" s="67">
        <v>100.66</v>
      </c>
      <c r="AC210" s="67">
        <v>0</v>
      </c>
      <c r="AD210" s="67">
        <v>920.03240000000005</v>
      </c>
      <c r="AE210" s="140" t="s">
        <v>2853</v>
      </c>
      <c r="AF210" s="140" t="s">
        <v>2853</v>
      </c>
      <c r="AG210" s="1" t="s">
        <v>17</v>
      </c>
      <c r="AH210" s="68">
        <v>2.8174745070000001E-3</v>
      </c>
      <c r="AI210" s="68">
        <f t="shared" si="3"/>
        <v>1.734413003025387E-3</v>
      </c>
      <c r="AJ210" s="68">
        <f>+AD210/'סכום נכסים'!$B$30</f>
        <v>2.1349097394999316E-4</v>
      </c>
    </row>
    <row r="211" spans="1:36" x14ac:dyDescent="0.25">
      <c r="A211" s="1">
        <v>13908</v>
      </c>
      <c r="B211" s="1">
        <v>13908</v>
      </c>
      <c r="C211" s="1" t="s">
        <v>1827</v>
      </c>
      <c r="D211" s="1">
        <v>515724706</v>
      </c>
      <c r="E211" s="1" t="s">
        <v>429</v>
      </c>
      <c r="F211" s="1" t="s">
        <v>1828</v>
      </c>
      <c r="G211" s="1" t="s">
        <v>1829</v>
      </c>
      <c r="H211" s="1" t="s">
        <v>76</v>
      </c>
      <c r="I211" s="1" t="s">
        <v>229</v>
      </c>
      <c r="J211" s="1" t="s">
        <v>53</v>
      </c>
      <c r="K211" s="1" t="s">
        <v>53</v>
      </c>
      <c r="L211" s="1" t="s">
        <v>821</v>
      </c>
      <c r="M211" s="1" t="s">
        <v>311</v>
      </c>
      <c r="N211" s="1" t="s">
        <v>651</v>
      </c>
      <c r="O211" s="1" t="s">
        <v>62</v>
      </c>
      <c r="P211" s="1" t="s">
        <v>298</v>
      </c>
      <c r="Q211" s="1" t="s">
        <v>298</v>
      </c>
      <c r="R211" s="1" t="s">
        <v>298</v>
      </c>
      <c r="S211" s="1" t="s">
        <v>1206</v>
      </c>
      <c r="T211" s="69">
        <v>2.4649999999999999</v>
      </c>
      <c r="U211" s="70">
        <v>46997</v>
      </c>
      <c r="V211" s="68">
        <v>3.7400000000000003E-2</v>
      </c>
      <c r="W211" s="68">
        <v>3.4599999999999999E-2</v>
      </c>
      <c r="X211" s="1" t="s">
        <v>636</v>
      </c>
      <c r="Y211" s="140" t="s">
        <v>2853</v>
      </c>
      <c r="Z211" s="67">
        <v>599000</v>
      </c>
      <c r="AA211" s="67">
        <v>1</v>
      </c>
      <c r="AB211" s="67">
        <v>105.86</v>
      </c>
      <c r="AC211" s="67">
        <v>0</v>
      </c>
      <c r="AD211" s="67">
        <v>634.10140000000001</v>
      </c>
      <c r="AE211" s="140" t="s">
        <v>2853</v>
      </c>
      <c r="AF211" s="140" t="s">
        <v>2853</v>
      </c>
      <c r="AG211" s="1" t="s">
        <v>17</v>
      </c>
      <c r="AH211" s="68">
        <v>2.2392523360000001E-3</v>
      </c>
      <c r="AI211" s="68">
        <f t="shared" si="3"/>
        <v>1.1953858509728592E-3</v>
      </c>
      <c r="AJ211" s="68">
        <f>+AD211/'סכום נכסים'!$B$30</f>
        <v>1.4714147617959344E-4</v>
      </c>
    </row>
    <row r="212" spans="1:36" x14ac:dyDescent="0.25">
      <c r="A212" s="1">
        <v>13908</v>
      </c>
      <c r="B212" s="1">
        <v>13908</v>
      </c>
      <c r="C212" s="1" t="s">
        <v>1830</v>
      </c>
      <c r="D212" s="1">
        <v>517199469</v>
      </c>
      <c r="E212" s="1" t="s">
        <v>429</v>
      </c>
      <c r="F212" s="1" t="s">
        <v>1831</v>
      </c>
      <c r="G212" s="1" t="s">
        <v>1832</v>
      </c>
      <c r="H212" s="1" t="s">
        <v>76</v>
      </c>
      <c r="I212" s="1" t="s">
        <v>229</v>
      </c>
      <c r="J212" s="1" t="s">
        <v>53</v>
      </c>
      <c r="K212" s="1" t="s">
        <v>53</v>
      </c>
      <c r="L212" s="1" t="s">
        <v>821</v>
      </c>
      <c r="M212" s="1" t="s">
        <v>311</v>
      </c>
      <c r="N212" s="1" t="s">
        <v>652</v>
      </c>
      <c r="O212" s="1" t="s">
        <v>62</v>
      </c>
      <c r="P212" s="1" t="s">
        <v>298</v>
      </c>
      <c r="Q212" s="1" t="s">
        <v>298</v>
      </c>
      <c r="R212" s="1" t="s">
        <v>298</v>
      </c>
      <c r="S212" s="1" t="s">
        <v>1206</v>
      </c>
      <c r="T212" s="69">
        <v>3.484</v>
      </c>
      <c r="U212" s="70">
        <v>47391</v>
      </c>
      <c r="V212" s="68">
        <v>4.3799999999999999E-2</v>
      </c>
      <c r="W212" s="68">
        <v>4.4699999999999997E-2</v>
      </c>
      <c r="X212" s="1" t="s">
        <v>636</v>
      </c>
      <c r="Y212" s="140" t="s">
        <v>2853</v>
      </c>
      <c r="Z212" s="67">
        <v>2144134</v>
      </c>
      <c r="AA212" s="67">
        <v>1</v>
      </c>
      <c r="AB212" s="67">
        <v>100.19</v>
      </c>
      <c r="AC212" s="67">
        <v>0</v>
      </c>
      <c r="AD212" s="67">
        <v>2148.2078499999998</v>
      </c>
      <c r="AE212" s="140" t="s">
        <v>2853</v>
      </c>
      <c r="AF212" s="140" t="s">
        <v>2853</v>
      </c>
      <c r="AG212" s="1" t="s">
        <v>17</v>
      </c>
      <c r="AH212" s="68">
        <v>1.8170627109999999E-3</v>
      </c>
      <c r="AI212" s="68">
        <f t="shared" si="3"/>
        <v>4.0497265403275032E-3</v>
      </c>
      <c r="AJ212" s="68">
        <f>+AD212/'סכום נכסים'!$B$30</f>
        <v>4.984856904425547E-4</v>
      </c>
    </row>
    <row r="213" spans="1:36" x14ac:dyDescent="0.25">
      <c r="A213" s="1">
        <v>13908</v>
      </c>
      <c r="B213" s="1">
        <v>13908</v>
      </c>
      <c r="C213" s="1" t="s">
        <v>1833</v>
      </c>
      <c r="D213" s="1">
        <v>2515</v>
      </c>
      <c r="E213" s="1" t="s">
        <v>2</v>
      </c>
      <c r="F213" s="1" t="s">
        <v>1834</v>
      </c>
      <c r="G213" s="1" t="s">
        <v>1835</v>
      </c>
      <c r="H213" s="1" t="s">
        <v>76</v>
      </c>
      <c r="I213" s="1" t="s">
        <v>228</v>
      </c>
      <c r="J213" s="1" t="s">
        <v>53</v>
      </c>
      <c r="K213" s="1" t="s">
        <v>53</v>
      </c>
      <c r="L213" s="1" t="s">
        <v>821</v>
      </c>
      <c r="M213" s="1" t="s">
        <v>311</v>
      </c>
      <c r="N213" s="1" t="s">
        <v>259</v>
      </c>
      <c r="O213" s="1" t="s">
        <v>62</v>
      </c>
      <c r="P213" s="1" t="s">
        <v>1438</v>
      </c>
      <c r="Q213" s="1" t="s">
        <v>70</v>
      </c>
      <c r="R213" s="1" t="s">
        <v>57</v>
      </c>
      <c r="S213" s="1" t="s">
        <v>1206</v>
      </c>
      <c r="T213" s="69">
        <v>4.0149999999999997</v>
      </c>
      <c r="U213" s="70">
        <v>47818</v>
      </c>
      <c r="V213" s="68">
        <v>7.0000000000000007E-2</v>
      </c>
      <c r="W213" s="68">
        <v>7.3700000000000002E-2</v>
      </c>
      <c r="X213" s="1" t="s">
        <v>636</v>
      </c>
      <c r="Y213" s="140" t="s">
        <v>2853</v>
      </c>
      <c r="Z213" s="67">
        <v>1000000</v>
      </c>
      <c r="AA213" s="67">
        <v>1</v>
      </c>
      <c r="AB213" s="67">
        <v>99.62</v>
      </c>
      <c r="AC213" s="67">
        <v>0</v>
      </c>
      <c r="AD213" s="67">
        <v>996.2</v>
      </c>
      <c r="AE213" s="140" t="s">
        <v>2853</v>
      </c>
      <c r="AF213" s="140" t="s">
        <v>2853</v>
      </c>
      <c r="AG213" s="1" t="s">
        <v>17</v>
      </c>
      <c r="AH213" s="68">
        <v>1.6129032249999999E-3</v>
      </c>
      <c r="AI213" s="68">
        <f t="shared" si="3"/>
        <v>1.8780015069185503E-3</v>
      </c>
      <c r="AJ213" s="68">
        <f>+AD213/'סכום נכסים'!$B$30</f>
        <v>2.3116545487852729E-4</v>
      </c>
    </row>
    <row r="214" spans="1:36" x14ac:dyDescent="0.25">
      <c r="A214" s="1">
        <v>13908</v>
      </c>
      <c r="B214" s="1">
        <v>13908</v>
      </c>
      <c r="C214" s="1" t="s">
        <v>1642</v>
      </c>
      <c r="D214" s="1">
        <v>516291754</v>
      </c>
      <c r="E214" s="1" t="s">
        <v>429</v>
      </c>
      <c r="F214" s="1" t="s">
        <v>1836</v>
      </c>
      <c r="G214" s="1" t="s">
        <v>1837</v>
      </c>
      <c r="H214" s="1" t="s">
        <v>76</v>
      </c>
      <c r="I214" s="1" t="s">
        <v>229</v>
      </c>
      <c r="J214" s="1" t="s">
        <v>53</v>
      </c>
      <c r="K214" s="1" t="s">
        <v>53</v>
      </c>
      <c r="L214" s="1" t="s">
        <v>821</v>
      </c>
      <c r="M214" s="1" t="s">
        <v>311</v>
      </c>
      <c r="N214" s="1" t="s">
        <v>651</v>
      </c>
      <c r="O214" s="1" t="s">
        <v>62</v>
      </c>
      <c r="P214" s="1" t="s">
        <v>298</v>
      </c>
      <c r="Q214" s="1" t="s">
        <v>298</v>
      </c>
      <c r="R214" s="1" t="s">
        <v>298</v>
      </c>
      <c r="S214" s="1" t="s">
        <v>1206</v>
      </c>
      <c r="T214" s="69">
        <v>5.4509999999999996</v>
      </c>
      <c r="U214" s="70">
        <v>48487</v>
      </c>
      <c r="V214" s="68">
        <v>3.5799999999999998E-2</v>
      </c>
      <c r="W214" s="68">
        <v>3.61E-2</v>
      </c>
      <c r="X214" s="1" t="s">
        <v>636</v>
      </c>
      <c r="Y214" s="140" t="s">
        <v>2853</v>
      </c>
      <c r="Z214" s="67">
        <v>1000000</v>
      </c>
      <c r="AA214" s="67">
        <v>1</v>
      </c>
      <c r="AB214" s="67">
        <v>100.24</v>
      </c>
      <c r="AC214" s="67">
        <v>0</v>
      </c>
      <c r="AD214" s="67">
        <v>1002.4</v>
      </c>
      <c r="AE214" s="140" t="s">
        <v>2853</v>
      </c>
      <c r="AF214" s="140" t="s">
        <v>2853</v>
      </c>
      <c r="AG214" s="1" t="s">
        <v>17</v>
      </c>
      <c r="AH214" s="68">
        <v>1.3139861999999999E-3</v>
      </c>
      <c r="AI214" s="68">
        <f t="shared" si="3"/>
        <v>1.8896895307520124E-3</v>
      </c>
      <c r="AJ214" s="68">
        <f>+AD214/'סכום נכסים'!$B$30</f>
        <v>2.3260414773161586E-4</v>
      </c>
    </row>
    <row r="215" spans="1:36" x14ac:dyDescent="0.25">
      <c r="A215" s="1">
        <v>13908</v>
      </c>
      <c r="B215" s="1">
        <v>13908</v>
      </c>
      <c r="C215" s="1" t="s">
        <v>1838</v>
      </c>
      <c r="D215" s="1">
        <v>513609131</v>
      </c>
      <c r="E215" s="1" t="s">
        <v>429</v>
      </c>
      <c r="F215" s="1" t="s">
        <v>1839</v>
      </c>
      <c r="G215" s="1" t="s">
        <v>1840</v>
      </c>
      <c r="H215" s="1" t="s">
        <v>76</v>
      </c>
      <c r="I215" s="1" t="s">
        <v>228</v>
      </c>
      <c r="J215" s="1" t="s">
        <v>53</v>
      </c>
      <c r="K215" s="1" t="s">
        <v>53</v>
      </c>
      <c r="L215" s="1" t="s">
        <v>821</v>
      </c>
      <c r="M215" s="1" t="s">
        <v>311</v>
      </c>
      <c r="N215" s="1" t="s">
        <v>140</v>
      </c>
      <c r="O215" s="1" t="s">
        <v>62</v>
      </c>
      <c r="P215" s="1" t="s">
        <v>298</v>
      </c>
      <c r="Q215" s="1" t="s">
        <v>298</v>
      </c>
      <c r="R215" s="1" t="s">
        <v>298</v>
      </c>
      <c r="S215" s="1" t="s">
        <v>1206</v>
      </c>
      <c r="T215" s="69">
        <v>3.492</v>
      </c>
      <c r="U215" s="70">
        <v>47483</v>
      </c>
      <c r="V215" s="68">
        <v>5.4300000000000001E-2</v>
      </c>
      <c r="W215" s="68">
        <v>5.4199999999999998E-2</v>
      </c>
      <c r="X215" s="1" t="s">
        <v>636</v>
      </c>
      <c r="Y215" s="140" t="s">
        <v>2853</v>
      </c>
      <c r="Z215" s="67">
        <v>468000</v>
      </c>
      <c r="AA215" s="67">
        <v>1</v>
      </c>
      <c r="AB215" s="67">
        <v>100.28</v>
      </c>
      <c r="AC215" s="67">
        <v>0</v>
      </c>
      <c r="AD215" s="67">
        <v>469.31040000000002</v>
      </c>
      <c r="AE215" s="140" t="s">
        <v>2853</v>
      </c>
      <c r="AF215" s="140" t="s">
        <v>2853</v>
      </c>
      <c r="AG215" s="1" t="s">
        <v>17</v>
      </c>
      <c r="AH215" s="68">
        <v>1.183312262E-3</v>
      </c>
      <c r="AI215" s="68">
        <f t="shared" si="3"/>
        <v>8.8472760330510702E-4</v>
      </c>
      <c r="AJ215" s="68">
        <f>+AD215/'סכום נכסים'!$B$30</f>
        <v>1.0890218038067014E-4</v>
      </c>
    </row>
    <row r="216" spans="1:36" x14ac:dyDescent="0.25">
      <c r="A216" s="1">
        <v>13908</v>
      </c>
      <c r="B216" s="1">
        <v>13908</v>
      </c>
      <c r="C216" s="1" t="s">
        <v>1660</v>
      </c>
      <c r="D216" s="1">
        <v>520033234</v>
      </c>
      <c r="E216" s="1" t="s">
        <v>429</v>
      </c>
      <c r="F216" s="1" t="s">
        <v>1841</v>
      </c>
      <c r="G216" s="1" t="s">
        <v>1842</v>
      </c>
      <c r="H216" s="1" t="s">
        <v>76</v>
      </c>
      <c r="I216" s="1" t="s">
        <v>229</v>
      </c>
      <c r="J216" s="1" t="s">
        <v>53</v>
      </c>
      <c r="K216" s="1" t="s">
        <v>53</v>
      </c>
      <c r="L216" s="1" t="s">
        <v>821</v>
      </c>
      <c r="M216" s="1" t="s">
        <v>311</v>
      </c>
      <c r="N216" s="1" t="s">
        <v>652</v>
      </c>
      <c r="O216" s="1" t="s">
        <v>62</v>
      </c>
      <c r="P216" s="1" t="s">
        <v>1414</v>
      </c>
      <c r="Q216" s="1" t="s">
        <v>65</v>
      </c>
      <c r="R216" s="1" t="s">
        <v>57</v>
      </c>
      <c r="S216" s="1" t="s">
        <v>1206</v>
      </c>
      <c r="T216" s="69">
        <v>0.97299999999999998</v>
      </c>
      <c r="U216" s="70">
        <v>46568</v>
      </c>
      <c r="V216" s="68">
        <v>0.04</v>
      </c>
      <c r="W216" s="68">
        <v>6.25E-2</v>
      </c>
      <c r="X216" s="1" t="s">
        <v>636</v>
      </c>
      <c r="Y216" s="140" t="s">
        <v>2853</v>
      </c>
      <c r="Z216" s="67">
        <v>486795.66</v>
      </c>
      <c r="AA216" s="67">
        <v>1</v>
      </c>
      <c r="AB216" s="67">
        <v>115.35</v>
      </c>
      <c r="AC216" s="67">
        <v>0</v>
      </c>
      <c r="AD216" s="67">
        <v>561.51878999999997</v>
      </c>
      <c r="AE216" s="140" t="s">
        <v>2853</v>
      </c>
      <c r="AF216" s="140" t="s">
        <v>2853</v>
      </c>
      <c r="AG216" s="1" t="s">
        <v>17</v>
      </c>
      <c r="AH216" s="68">
        <v>3.40460068E-4</v>
      </c>
      <c r="AI216" s="68">
        <f t="shared" si="3"/>
        <v>1.0585556452349738E-3</v>
      </c>
      <c r="AJ216" s="68">
        <f>+AD216/'סכום נכסים'!$B$30</f>
        <v>1.3029888226580026E-4</v>
      </c>
    </row>
    <row r="217" spans="1:36" x14ac:dyDescent="0.25">
      <c r="A217" s="1">
        <v>13908</v>
      </c>
      <c r="B217" s="1">
        <v>13908</v>
      </c>
      <c r="C217" s="1" t="s">
        <v>1660</v>
      </c>
      <c r="D217" s="1">
        <v>520033234</v>
      </c>
      <c r="E217" s="1" t="s">
        <v>429</v>
      </c>
      <c r="F217" s="1" t="s">
        <v>1843</v>
      </c>
      <c r="G217" s="1" t="s">
        <v>1844</v>
      </c>
      <c r="H217" s="1" t="s">
        <v>76</v>
      </c>
      <c r="I217" s="1" t="s">
        <v>229</v>
      </c>
      <c r="J217" s="1" t="s">
        <v>53</v>
      </c>
      <c r="K217" s="1" t="s">
        <v>53</v>
      </c>
      <c r="L217" s="1" t="s">
        <v>821</v>
      </c>
      <c r="M217" s="1" t="s">
        <v>311</v>
      </c>
      <c r="N217" s="1" t="s">
        <v>652</v>
      </c>
      <c r="O217" s="1" t="s">
        <v>62</v>
      </c>
      <c r="P217" s="1" t="s">
        <v>1292</v>
      </c>
      <c r="Q217" s="1" t="s">
        <v>65</v>
      </c>
      <c r="R217" s="1" t="s">
        <v>57</v>
      </c>
      <c r="S217" s="1" t="s">
        <v>1206</v>
      </c>
      <c r="T217" s="69">
        <v>1.827</v>
      </c>
      <c r="U217" s="70">
        <v>46843</v>
      </c>
      <c r="V217" s="68">
        <v>1.3299999999999999E-2</v>
      </c>
      <c r="W217" s="68">
        <v>3.0800000000000001E-2</v>
      </c>
      <c r="X217" s="1" t="s">
        <v>636</v>
      </c>
      <c r="Y217" s="140" t="s">
        <v>2853</v>
      </c>
      <c r="Z217" s="67">
        <v>132640.87</v>
      </c>
      <c r="AA217" s="67">
        <v>1</v>
      </c>
      <c r="AB217" s="67">
        <v>114.81</v>
      </c>
      <c r="AC217" s="67">
        <v>0</v>
      </c>
      <c r="AD217" s="67">
        <v>152.28497999999999</v>
      </c>
      <c r="AE217" s="140" t="s">
        <v>2853</v>
      </c>
      <c r="AF217" s="140" t="s">
        <v>2853</v>
      </c>
      <c r="AG217" s="1" t="s">
        <v>17</v>
      </c>
      <c r="AH217" s="68">
        <v>4.5891706100000001E-4</v>
      </c>
      <c r="AI217" s="68">
        <f t="shared" si="3"/>
        <v>2.870823347932757E-4</v>
      </c>
      <c r="AJ217" s="68">
        <f>+AD217/'סכום נכסים'!$B$30</f>
        <v>3.5337308444958265E-5</v>
      </c>
    </row>
    <row r="218" spans="1:36" x14ac:dyDescent="0.25">
      <c r="A218" s="1">
        <v>13908</v>
      </c>
      <c r="B218" s="1">
        <v>13908</v>
      </c>
      <c r="C218" s="1" t="s">
        <v>1528</v>
      </c>
      <c r="D218" s="1">
        <v>520034372</v>
      </c>
      <c r="E218" s="1" t="s">
        <v>429</v>
      </c>
      <c r="F218" s="1" t="s">
        <v>1845</v>
      </c>
      <c r="G218" s="1" t="s">
        <v>1846</v>
      </c>
      <c r="H218" s="1" t="s">
        <v>76</v>
      </c>
      <c r="I218" s="1" t="s">
        <v>229</v>
      </c>
      <c r="J218" s="1" t="s">
        <v>53</v>
      </c>
      <c r="K218" s="1" t="s">
        <v>53</v>
      </c>
      <c r="L218" s="1" t="s">
        <v>821</v>
      </c>
      <c r="M218" s="1" t="s">
        <v>311</v>
      </c>
      <c r="N218" s="1" t="s">
        <v>258</v>
      </c>
      <c r="O218" s="1" t="s">
        <v>62</v>
      </c>
      <c r="P218" s="1" t="s">
        <v>1285</v>
      </c>
      <c r="Q218" s="1" t="s">
        <v>65</v>
      </c>
      <c r="R218" s="1" t="s">
        <v>57</v>
      </c>
      <c r="S218" s="1" t="s">
        <v>1206</v>
      </c>
      <c r="T218" s="69">
        <v>0.33900000000000002</v>
      </c>
      <c r="U218" s="70">
        <v>46194</v>
      </c>
      <c r="V218" s="68">
        <v>1.7999999999999999E-2</v>
      </c>
      <c r="W218" s="68">
        <v>3.9800000000000002E-2</v>
      </c>
      <c r="X218" s="1" t="s">
        <v>636</v>
      </c>
      <c r="Y218" s="140" t="s">
        <v>2853</v>
      </c>
      <c r="Z218" s="67">
        <v>4232.75</v>
      </c>
      <c r="AA218" s="67">
        <v>1</v>
      </c>
      <c r="AB218" s="67">
        <v>117.77</v>
      </c>
      <c r="AC218" s="67">
        <v>0</v>
      </c>
      <c r="AD218" s="67">
        <v>4.9849100000000002</v>
      </c>
      <c r="AE218" s="140" t="s">
        <v>2853</v>
      </c>
      <c r="AF218" s="140" t="s">
        <v>2853</v>
      </c>
      <c r="AG218" s="1" t="s">
        <v>17</v>
      </c>
      <c r="AH218" s="68">
        <v>2.6086925116648699E-5</v>
      </c>
      <c r="AI218" s="68">
        <f t="shared" si="3"/>
        <v>9.3973785302683704E-6</v>
      </c>
      <c r="AJ218" s="68">
        <f>+AD218/'סכום נכסים'!$B$30</f>
        <v>1.1567345790790198E-6</v>
      </c>
    </row>
    <row r="219" spans="1:36" x14ac:dyDescent="0.25">
      <c r="A219" s="1">
        <v>13908</v>
      </c>
      <c r="B219" s="1">
        <v>13908</v>
      </c>
      <c r="C219" s="1" t="s">
        <v>1847</v>
      </c>
      <c r="D219" s="1">
        <v>520035171</v>
      </c>
      <c r="E219" s="1" t="s">
        <v>429</v>
      </c>
      <c r="F219" s="1" t="s">
        <v>1848</v>
      </c>
      <c r="G219" s="1" t="s">
        <v>1849</v>
      </c>
      <c r="H219" s="1" t="s">
        <v>76</v>
      </c>
      <c r="I219" s="1" t="s">
        <v>229</v>
      </c>
      <c r="J219" s="1" t="s">
        <v>53</v>
      </c>
      <c r="K219" s="1" t="s">
        <v>53</v>
      </c>
      <c r="L219" s="1" t="s">
        <v>821</v>
      </c>
      <c r="M219" s="1" t="s">
        <v>311</v>
      </c>
      <c r="N219" s="1" t="s">
        <v>652</v>
      </c>
      <c r="O219" s="1" t="s">
        <v>62</v>
      </c>
      <c r="P219" s="1" t="s">
        <v>1358</v>
      </c>
      <c r="Q219" s="1" t="s">
        <v>70</v>
      </c>
      <c r="R219" s="1" t="s">
        <v>57</v>
      </c>
      <c r="S219" s="1" t="s">
        <v>1206</v>
      </c>
      <c r="T219" s="69">
        <v>2.85</v>
      </c>
      <c r="U219" s="70">
        <v>47938</v>
      </c>
      <c r="V219" s="68">
        <v>4.3E-3</v>
      </c>
      <c r="W219" s="68">
        <v>2.81E-2</v>
      </c>
      <c r="X219" s="1" t="s">
        <v>636</v>
      </c>
      <c r="Y219" s="140" t="s">
        <v>2853</v>
      </c>
      <c r="Z219" s="67">
        <v>860000</v>
      </c>
      <c r="AA219" s="67">
        <v>1</v>
      </c>
      <c r="AB219" s="67">
        <v>107.78</v>
      </c>
      <c r="AC219" s="67">
        <v>0</v>
      </c>
      <c r="AD219" s="67">
        <v>926.90800000000002</v>
      </c>
      <c r="AE219" s="140" t="s">
        <v>2853</v>
      </c>
      <c r="AF219" s="140" t="s">
        <v>2853</v>
      </c>
      <c r="AG219" s="1" t="s">
        <v>17</v>
      </c>
      <c r="AH219" s="68">
        <v>1.3760000000000001E-3</v>
      </c>
      <c r="AI219" s="68">
        <f t="shared" si="3"/>
        <v>1.7473746444236695E-3</v>
      </c>
      <c r="AJ219" s="68">
        <f>+AD219/'סכום נכסים'!$B$30</f>
        <v>2.1508643791462152E-4</v>
      </c>
    </row>
    <row r="220" spans="1:36" x14ac:dyDescent="0.25">
      <c r="A220" s="1">
        <v>13908</v>
      </c>
      <c r="B220" s="1">
        <v>13908</v>
      </c>
      <c r="C220" s="1" t="s">
        <v>1779</v>
      </c>
      <c r="D220" s="1">
        <v>520024126</v>
      </c>
      <c r="E220" s="1" t="s">
        <v>429</v>
      </c>
      <c r="F220" s="1" t="s">
        <v>1850</v>
      </c>
      <c r="G220" s="1" t="s">
        <v>1851</v>
      </c>
      <c r="H220" s="1" t="s">
        <v>76</v>
      </c>
      <c r="I220" s="1" t="s">
        <v>229</v>
      </c>
      <c r="J220" s="1" t="s">
        <v>53</v>
      </c>
      <c r="K220" s="1" t="s">
        <v>53</v>
      </c>
      <c r="L220" s="1" t="s">
        <v>821</v>
      </c>
      <c r="M220" s="1" t="s">
        <v>311</v>
      </c>
      <c r="N220" s="1" t="s">
        <v>651</v>
      </c>
      <c r="O220" s="1" t="s">
        <v>62</v>
      </c>
      <c r="P220" s="1" t="s">
        <v>1285</v>
      </c>
      <c r="Q220" s="1" t="s">
        <v>65</v>
      </c>
      <c r="R220" s="1" t="s">
        <v>57</v>
      </c>
      <c r="S220" s="1" t="s">
        <v>1206</v>
      </c>
      <c r="T220" s="69">
        <v>2.6659999999999999</v>
      </c>
      <c r="U220" s="70">
        <v>47483</v>
      </c>
      <c r="V220" s="68">
        <v>2.81E-2</v>
      </c>
      <c r="W220" s="68">
        <v>2.5399999999999999E-2</v>
      </c>
      <c r="X220" s="1" t="s">
        <v>636</v>
      </c>
      <c r="Y220" s="140" t="s">
        <v>2853</v>
      </c>
      <c r="Z220" s="67">
        <v>1136416.71</v>
      </c>
      <c r="AA220" s="67">
        <v>1</v>
      </c>
      <c r="AB220" s="67">
        <v>120.26</v>
      </c>
      <c r="AC220" s="67">
        <v>0</v>
      </c>
      <c r="AD220" s="67">
        <v>1366.6547399999999</v>
      </c>
      <c r="AE220" s="140" t="s">
        <v>2853</v>
      </c>
      <c r="AF220" s="140" t="s">
        <v>2853</v>
      </c>
      <c r="AG220" s="1" t="s">
        <v>17</v>
      </c>
      <c r="AH220" s="68">
        <v>9.5231951499999998E-4</v>
      </c>
      <c r="AI220" s="68">
        <f t="shared" si="3"/>
        <v>2.5763698666506516E-3</v>
      </c>
      <c r="AJ220" s="68">
        <f>+AD220/'סכום נכסים'!$B$30</f>
        <v>3.1712845275446236E-4</v>
      </c>
    </row>
    <row r="221" spans="1:36" x14ac:dyDescent="0.25">
      <c r="A221" s="1">
        <v>13908</v>
      </c>
      <c r="B221" s="1">
        <v>13908</v>
      </c>
      <c r="C221" s="1" t="s">
        <v>1779</v>
      </c>
      <c r="D221" s="1">
        <v>520024126</v>
      </c>
      <c r="E221" s="1" t="s">
        <v>429</v>
      </c>
      <c r="F221" s="1" t="s">
        <v>1852</v>
      </c>
      <c r="G221" s="1" t="s">
        <v>1853</v>
      </c>
      <c r="H221" s="1" t="s">
        <v>76</v>
      </c>
      <c r="I221" s="1" t="s">
        <v>229</v>
      </c>
      <c r="J221" s="1" t="s">
        <v>53</v>
      </c>
      <c r="K221" s="1" t="s">
        <v>53</v>
      </c>
      <c r="L221" s="1" t="s">
        <v>821</v>
      </c>
      <c r="M221" s="1" t="s">
        <v>311</v>
      </c>
      <c r="N221" s="1" t="s">
        <v>651</v>
      </c>
      <c r="O221" s="1" t="s">
        <v>62</v>
      </c>
      <c r="P221" s="1" t="s">
        <v>1285</v>
      </c>
      <c r="Q221" s="1" t="s">
        <v>65</v>
      </c>
      <c r="R221" s="1" t="s">
        <v>57</v>
      </c>
      <c r="S221" s="1" t="s">
        <v>1206</v>
      </c>
      <c r="T221" s="69">
        <v>4.9459999999999997</v>
      </c>
      <c r="U221" s="70">
        <v>48852</v>
      </c>
      <c r="V221" s="68">
        <v>3.5000000000000001E-3</v>
      </c>
      <c r="W221" s="68">
        <v>2.5399999999999999E-2</v>
      </c>
      <c r="X221" s="1" t="s">
        <v>636</v>
      </c>
      <c r="Y221" s="140" t="s">
        <v>2853</v>
      </c>
      <c r="Z221" s="67">
        <v>2327340.2599999998</v>
      </c>
      <c r="AA221" s="67">
        <v>1</v>
      </c>
      <c r="AB221" s="67">
        <v>103.5</v>
      </c>
      <c r="AC221" s="67">
        <v>0</v>
      </c>
      <c r="AD221" s="67">
        <v>2408.7971699999998</v>
      </c>
      <c r="AE221" s="140" t="s">
        <v>2853</v>
      </c>
      <c r="AF221" s="140" t="s">
        <v>2853</v>
      </c>
      <c r="AG221" s="1" t="s">
        <v>17</v>
      </c>
      <c r="AH221" s="68">
        <v>7.0507114300000001E-4</v>
      </c>
      <c r="AI221" s="68">
        <f t="shared" si="3"/>
        <v>4.5409804407961643E-3</v>
      </c>
      <c r="AJ221" s="68">
        <f>+AD221/'סכום נכסים'!$B$30</f>
        <v>5.5895472145468697E-4</v>
      </c>
    </row>
    <row r="222" spans="1:36" x14ac:dyDescent="0.25">
      <c r="A222" s="1">
        <v>13908</v>
      </c>
      <c r="B222" s="1">
        <v>13908</v>
      </c>
      <c r="C222" s="1" t="s">
        <v>1854</v>
      </c>
      <c r="D222" s="1">
        <v>520031931</v>
      </c>
      <c r="E222" s="1" t="s">
        <v>429</v>
      </c>
      <c r="F222" s="1" t="s">
        <v>1855</v>
      </c>
      <c r="G222" s="1" t="s">
        <v>1856</v>
      </c>
      <c r="H222" s="1" t="s">
        <v>76</v>
      </c>
      <c r="I222" s="1" t="s">
        <v>228</v>
      </c>
      <c r="J222" s="1" t="s">
        <v>53</v>
      </c>
      <c r="K222" s="1" t="s">
        <v>53</v>
      </c>
      <c r="L222" s="1" t="s">
        <v>821</v>
      </c>
      <c r="M222" s="1" t="s">
        <v>311</v>
      </c>
      <c r="N222" s="1" t="s">
        <v>260</v>
      </c>
      <c r="O222" s="1" t="s">
        <v>62</v>
      </c>
      <c r="P222" s="1" t="s">
        <v>1285</v>
      </c>
      <c r="Q222" s="1" t="s">
        <v>65</v>
      </c>
      <c r="R222" s="1" t="s">
        <v>57</v>
      </c>
      <c r="S222" s="1" t="s">
        <v>1206</v>
      </c>
      <c r="T222" s="69">
        <v>2.29</v>
      </c>
      <c r="U222" s="70">
        <v>47636</v>
      </c>
      <c r="V222" s="68">
        <v>3.2000000000000001E-2</v>
      </c>
      <c r="W222" s="68">
        <v>4.2000000000000003E-2</v>
      </c>
      <c r="X222" s="1" t="s">
        <v>636</v>
      </c>
      <c r="Y222" s="140" t="s">
        <v>2853</v>
      </c>
      <c r="Z222" s="67">
        <v>980000</v>
      </c>
      <c r="AA222" s="67">
        <v>1</v>
      </c>
      <c r="AB222" s="67">
        <v>98.13</v>
      </c>
      <c r="AC222" s="67">
        <v>0</v>
      </c>
      <c r="AD222" s="67">
        <v>961.67399999999998</v>
      </c>
      <c r="AE222" s="140" t="s">
        <v>2853</v>
      </c>
      <c r="AF222" s="140" t="s">
        <v>2853</v>
      </c>
      <c r="AG222" s="1" t="s">
        <v>17</v>
      </c>
      <c r="AH222" s="68">
        <v>6.9868098999999997E-4</v>
      </c>
      <c r="AI222" s="68">
        <f t="shared" si="3"/>
        <v>1.8129142954872413E-3</v>
      </c>
      <c r="AJ222" s="68">
        <f>+AD222/'סכום נכסים'!$B$30</f>
        <v>2.2315379206469868E-4</v>
      </c>
    </row>
    <row r="223" spans="1:36" x14ac:dyDescent="0.25">
      <c r="A223" s="1">
        <v>13908</v>
      </c>
      <c r="B223" s="1">
        <v>13908</v>
      </c>
      <c r="C223" s="1" t="s">
        <v>1854</v>
      </c>
      <c r="D223" s="1">
        <v>520031931</v>
      </c>
      <c r="E223" s="1" t="s">
        <v>429</v>
      </c>
      <c r="F223" s="1" t="s">
        <v>1857</v>
      </c>
      <c r="G223" s="1" t="s">
        <v>1858</v>
      </c>
      <c r="H223" s="1" t="s">
        <v>76</v>
      </c>
      <c r="I223" s="1" t="s">
        <v>229</v>
      </c>
      <c r="J223" s="1" t="s">
        <v>53</v>
      </c>
      <c r="K223" s="1" t="s">
        <v>53</v>
      </c>
      <c r="L223" s="1" t="s">
        <v>821</v>
      </c>
      <c r="M223" s="1" t="s">
        <v>311</v>
      </c>
      <c r="N223" s="1" t="s">
        <v>260</v>
      </c>
      <c r="O223" s="1" t="s">
        <v>62</v>
      </c>
      <c r="P223" s="1" t="s">
        <v>1285</v>
      </c>
      <c r="Q223" s="1" t="s">
        <v>65</v>
      </c>
      <c r="R223" s="1" t="s">
        <v>57</v>
      </c>
      <c r="S223" s="1" t="s">
        <v>1206</v>
      </c>
      <c r="T223" s="69">
        <v>7.2149999999999999</v>
      </c>
      <c r="U223" s="70">
        <v>49461</v>
      </c>
      <c r="V223" s="68">
        <v>5.7999999999999996E-3</v>
      </c>
      <c r="W223" s="68">
        <v>2.41E-2</v>
      </c>
      <c r="X223" s="1" t="s">
        <v>636</v>
      </c>
      <c r="Y223" s="140" t="s">
        <v>2853</v>
      </c>
      <c r="Z223" s="67">
        <v>250000</v>
      </c>
      <c r="AA223" s="67">
        <v>1</v>
      </c>
      <c r="AB223" s="67">
        <v>101.15</v>
      </c>
      <c r="AC223" s="67">
        <v>0</v>
      </c>
      <c r="AD223" s="67">
        <v>252.875</v>
      </c>
      <c r="AE223" s="140" t="s">
        <v>2853</v>
      </c>
      <c r="AF223" s="140" t="s">
        <v>2853</v>
      </c>
      <c r="AG223" s="1" t="s">
        <v>17</v>
      </c>
      <c r="AH223" s="68">
        <v>3.1149775500000001E-4</v>
      </c>
      <c r="AI223" s="68">
        <f t="shared" si="3"/>
        <v>4.7671113336882992E-4</v>
      </c>
      <c r="AJ223" s="68">
        <f>+AD223/'סכום נכסים'!$B$30</f>
        <v>5.8678944391093738E-5</v>
      </c>
    </row>
    <row r="224" spans="1:36" x14ac:dyDescent="0.25">
      <c r="A224" s="1">
        <v>13908</v>
      </c>
      <c r="B224" s="1">
        <v>13908</v>
      </c>
      <c r="C224" s="1" t="s">
        <v>1507</v>
      </c>
      <c r="D224" s="1">
        <v>520032046</v>
      </c>
      <c r="E224" s="1" t="s">
        <v>429</v>
      </c>
      <c r="F224" s="1" t="s">
        <v>1859</v>
      </c>
      <c r="G224" s="1" t="s">
        <v>1860</v>
      </c>
      <c r="H224" s="1" t="s">
        <v>76</v>
      </c>
      <c r="I224" s="1" t="s">
        <v>229</v>
      </c>
      <c r="J224" s="1" t="s">
        <v>53</v>
      </c>
      <c r="K224" s="1" t="s">
        <v>53</v>
      </c>
      <c r="L224" s="1" t="s">
        <v>821</v>
      </c>
      <c r="M224" s="1" t="s">
        <v>311</v>
      </c>
      <c r="N224" s="1" t="s">
        <v>256</v>
      </c>
      <c r="O224" s="1" t="s">
        <v>62</v>
      </c>
      <c r="P224" s="1" t="s">
        <v>1205</v>
      </c>
      <c r="Q224" s="1" t="s">
        <v>65</v>
      </c>
      <c r="R224" s="1" t="s">
        <v>57</v>
      </c>
      <c r="S224" s="1" t="s">
        <v>1206</v>
      </c>
      <c r="T224" s="69">
        <v>4.1239999999999997</v>
      </c>
      <c r="U224" s="70">
        <v>47641</v>
      </c>
      <c r="V224" s="68">
        <v>3.4034000000000002E-2</v>
      </c>
      <c r="W224" s="68">
        <v>2.2599999999999999E-2</v>
      </c>
      <c r="X224" s="1" t="s">
        <v>636</v>
      </c>
      <c r="Y224" s="140" t="s">
        <v>2853</v>
      </c>
      <c r="Z224" s="67">
        <v>3500000</v>
      </c>
      <c r="AA224" s="67">
        <v>1</v>
      </c>
      <c r="AB224" s="67">
        <v>126.7</v>
      </c>
      <c r="AC224" s="67">
        <v>0</v>
      </c>
      <c r="AD224" s="67">
        <v>4434.5</v>
      </c>
      <c r="AE224" s="140" t="s">
        <v>2853</v>
      </c>
      <c r="AF224" s="140" t="s">
        <v>2853</v>
      </c>
      <c r="AG224" s="1" t="s">
        <v>17</v>
      </c>
      <c r="AH224" s="68">
        <v>4.9862735009999996E-3</v>
      </c>
      <c r="AI224" s="68">
        <f t="shared" si="3"/>
        <v>8.3597647886270929E-3</v>
      </c>
      <c r="AJ224" s="68">
        <f>+AD224/'סכום נכסים'!$B$30</f>
        <v>1.0290134608099068E-3</v>
      </c>
    </row>
    <row r="225" spans="1:36" x14ac:dyDescent="0.25">
      <c r="A225" s="1">
        <v>13908</v>
      </c>
      <c r="B225" s="1">
        <v>13908</v>
      </c>
      <c r="C225" s="1" t="s">
        <v>1507</v>
      </c>
      <c r="D225" s="1">
        <v>520032046</v>
      </c>
      <c r="E225" s="1" t="s">
        <v>429</v>
      </c>
      <c r="F225" s="1" t="s">
        <v>1861</v>
      </c>
      <c r="G225" s="1" t="s">
        <v>1862</v>
      </c>
      <c r="H225" s="1" t="s">
        <v>76</v>
      </c>
      <c r="I225" s="1" t="s">
        <v>229</v>
      </c>
      <c r="J225" s="1" t="s">
        <v>53</v>
      </c>
      <c r="K225" s="1" t="s">
        <v>53</v>
      </c>
      <c r="L225" s="1" t="s">
        <v>821</v>
      </c>
      <c r="M225" s="1" t="s">
        <v>311</v>
      </c>
      <c r="N225" s="1" t="s">
        <v>256</v>
      </c>
      <c r="O225" s="1" t="s">
        <v>62</v>
      </c>
      <c r="P225" s="1" t="s">
        <v>1205</v>
      </c>
      <c r="Q225" s="1" t="s">
        <v>65</v>
      </c>
      <c r="R225" s="1" t="s">
        <v>57</v>
      </c>
      <c r="S225" s="1" t="s">
        <v>1206</v>
      </c>
      <c r="T225" s="69">
        <v>4.4770000000000003</v>
      </c>
      <c r="U225" s="70">
        <v>47665</v>
      </c>
      <c r="V225" s="68">
        <v>2E-3</v>
      </c>
      <c r="W225" s="68">
        <v>2.2800000000000001E-2</v>
      </c>
      <c r="X225" s="1" t="s">
        <v>636</v>
      </c>
      <c r="Y225" s="140" t="s">
        <v>2853</v>
      </c>
      <c r="Z225" s="67">
        <v>3964100</v>
      </c>
      <c r="AA225" s="67">
        <v>1</v>
      </c>
      <c r="AB225" s="67">
        <v>107.79</v>
      </c>
      <c r="AC225" s="67">
        <v>0</v>
      </c>
      <c r="AD225" s="67">
        <v>4272.9033900000004</v>
      </c>
      <c r="AE225" s="140" t="s">
        <v>2853</v>
      </c>
      <c r="AF225" s="140" t="s">
        <v>2853</v>
      </c>
      <c r="AG225" s="1" t="s">
        <v>17</v>
      </c>
      <c r="AH225" s="68">
        <v>1.14621971E-3</v>
      </c>
      <c r="AI225" s="68">
        <f t="shared" si="3"/>
        <v>8.0551284936131121E-3</v>
      </c>
      <c r="AJ225" s="68">
        <f>+AD225/'סכום נכסים'!$B$30</f>
        <v>9.9151541437598003E-4</v>
      </c>
    </row>
    <row r="226" spans="1:36" x14ac:dyDescent="0.25">
      <c r="A226" s="1">
        <v>13908</v>
      </c>
      <c r="B226" s="1">
        <v>13908</v>
      </c>
      <c r="C226" s="1" t="s">
        <v>1507</v>
      </c>
      <c r="D226" s="1">
        <v>520032046</v>
      </c>
      <c r="E226" s="1" t="s">
        <v>429</v>
      </c>
      <c r="F226" s="1" t="s">
        <v>1863</v>
      </c>
      <c r="G226" s="1" t="s">
        <v>1864</v>
      </c>
      <c r="H226" s="1" t="s">
        <v>76</v>
      </c>
      <c r="I226" s="1" t="s">
        <v>229</v>
      </c>
      <c r="J226" s="1" t="s">
        <v>53</v>
      </c>
      <c r="K226" s="1" t="s">
        <v>53</v>
      </c>
      <c r="L226" s="1" t="s">
        <v>821</v>
      </c>
      <c r="M226" s="1" t="s">
        <v>311</v>
      </c>
      <c r="N226" s="1" t="s">
        <v>256</v>
      </c>
      <c r="O226" s="1" t="s">
        <v>62</v>
      </c>
      <c r="P226" s="1" t="s">
        <v>1205</v>
      </c>
      <c r="Q226" s="1" t="s">
        <v>65</v>
      </c>
      <c r="R226" s="1" t="s">
        <v>57</v>
      </c>
      <c r="S226" s="1" t="s">
        <v>1206</v>
      </c>
      <c r="T226" s="69">
        <v>2.802</v>
      </c>
      <c r="U226" s="70">
        <v>47048</v>
      </c>
      <c r="V226" s="68">
        <v>1E-3</v>
      </c>
      <c r="W226" s="68">
        <v>2.1899999999999999E-2</v>
      </c>
      <c r="X226" s="1" t="s">
        <v>636</v>
      </c>
      <c r="Y226" s="140" t="s">
        <v>2853</v>
      </c>
      <c r="Z226" s="67">
        <v>1111218</v>
      </c>
      <c r="AA226" s="67">
        <v>1</v>
      </c>
      <c r="AB226" s="67">
        <v>108.71</v>
      </c>
      <c r="AC226" s="67">
        <v>0</v>
      </c>
      <c r="AD226" s="67">
        <v>1208.0050900000001</v>
      </c>
      <c r="AE226" s="140" t="s">
        <v>2853</v>
      </c>
      <c r="AF226" s="140" t="s">
        <v>2853</v>
      </c>
      <c r="AG226" s="1" t="s">
        <v>17</v>
      </c>
      <c r="AH226" s="68">
        <v>3.2904406399999998E-4</v>
      </c>
      <c r="AI226" s="68">
        <f t="shared" si="3"/>
        <v>2.2772890778812276E-3</v>
      </c>
      <c r="AJ226" s="68">
        <f>+AD226/'סכום נכסים'!$B$30</f>
        <v>2.8031424023833198E-4</v>
      </c>
    </row>
    <row r="227" spans="1:36" x14ac:dyDescent="0.25">
      <c r="A227" s="1">
        <v>13908</v>
      </c>
      <c r="B227" s="1">
        <v>13908</v>
      </c>
      <c r="C227" s="1" t="s">
        <v>1507</v>
      </c>
      <c r="D227" s="1">
        <v>520032046</v>
      </c>
      <c r="E227" s="1" t="s">
        <v>429</v>
      </c>
      <c r="F227" s="1" t="s">
        <v>1865</v>
      </c>
      <c r="G227" s="1" t="s">
        <v>1866</v>
      </c>
      <c r="H227" s="1" t="s">
        <v>76</v>
      </c>
      <c r="I227" s="1" t="s">
        <v>228</v>
      </c>
      <c r="J227" s="1" t="s">
        <v>53</v>
      </c>
      <c r="K227" s="1" t="s">
        <v>53</v>
      </c>
      <c r="L227" s="1" t="s">
        <v>821</v>
      </c>
      <c r="M227" s="1" t="s">
        <v>311</v>
      </c>
      <c r="N227" s="1" t="s">
        <v>256</v>
      </c>
      <c r="O227" s="1" t="s">
        <v>62</v>
      </c>
      <c r="P227" s="1" t="s">
        <v>1205</v>
      </c>
      <c r="Q227" s="1" t="s">
        <v>65</v>
      </c>
      <c r="R227" s="1" t="s">
        <v>57</v>
      </c>
      <c r="S227" s="1" t="s">
        <v>1206</v>
      </c>
      <c r="T227" s="69">
        <v>2.589</v>
      </c>
      <c r="U227" s="70">
        <v>47951</v>
      </c>
      <c r="V227" s="68">
        <v>2.7400000000000001E-2</v>
      </c>
      <c r="W227" s="68">
        <v>4.1200000000000001E-2</v>
      </c>
      <c r="X227" s="1" t="s">
        <v>636</v>
      </c>
      <c r="Y227" s="140" t="s">
        <v>2853</v>
      </c>
      <c r="Z227" s="67">
        <v>5368077</v>
      </c>
      <c r="AA227" s="67">
        <v>1</v>
      </c>
      <c r="AB227" s="67">
        <v>98.49</v>
      </c>
      <c r="AC227" s="67">
        <v>0</v>
      </c>
      <c r="AD227" s="67">
        <v>5287.0190400000001</v>
      </c>
      <c r="AE227" s="140" t="s">
        <v>2853</v>
      </c>
      <c r="AF227" s="140" t="s">
        <v>2853</v>
      </c>
      <c r="AG227" s="1" t="s">
        <v>17</v>
      </c>
      <c r="AH227" s="68">
        <v>1.697153123E-3</v>
      </c>
      <c r="AI227" s="68">
        <v>9.9669039592723014E-3</v>
      </c>
      <c r="AJ227" s="68">
        <v>1.2268381462889326E-3</v>
      </c>
    </row>
    <row r="228" spans="1:36" x14ac:dyDescent="0.25">
      <c r="A228" s="1">
        <v>13908</v>
      </c>
      <c r="B228" s="1">
        <v>13908</v>
      </c>
      <c r="C228" s="1" t="s">
        <v>1507</v>
      </c>
      <c r="D228" s="1">
        <v>520032046</v>
      </c>
      <c r="E228" s="1" t="s">
        <v>429</v>
      </c>
      <c r="F228" s="1" t="s">
        <v>1867</v>
      </c>
      <c r="G228" s="1" t="s">
        <v>1868</v>
      </c>
      <c r="H228" s="1" t="s">
        <v>76</v>
      </c>
      <c r="I228" s="1" t="s">
        <v>229</v>
      </c>
      <c r="J228" s="1" t="s">
        <v>53</v>
      </c>
      <c r="K228" s="1" t="s">
        <v>53</v>
      </c>
      <c r="L228" s="1" t="s">
        <v>821</v>
      </c>
      <c r="M228" s="1" t="s">
        <v>311</v>
      </c>
      <c r="N228" s="1" t="s">
        <v>256</v>
      </c>
      <c r="O228" s="1" t="s">
        <v>62</v>
      </c>
      <c r="P228" s="1" t="s">
        <v>1205</v>
      </c>
      <c r="Q228" s="1" t="s">
        <v>65</v>
      </c>
      <c r="R228" s="1" t="s">
        <v>57</v>
      </c>
      <c r="S228" s="1" t="s">
        <v>1206</v>
      </c>
      <c r="T228" s="69">
        <v>2.7120000000000002</v>
      </c>
      <c r="U228" s="70">
        <v>47951</v>
      </c>
      <c r="V228" s="68">
        <v>1E-3</v>
      </c>
      <c r="W228" s="68">
        <v>2.2200000000000001E-2</v>
      </c>
      <c r="X228" s="1" t="s">
        <v>636</v>
      </c>
      <c r="Y228" s="140" t="s">
        <v>2853</v>
      </c>
      <c r="Z228" s="67">
        <v>7054424.9900000002</v>
      </c>
      <c r="AA228" s="67">
        <v>1</v>
      </c>
      <c r="AB228" s="67">
        <v>107.55</v>
      </c>
      <c r="AC228" s="67">
        <v>0</v>
      </c>
      <c r="AD228" s="67">
        <v>7587.0340800000004</v>
      </c>
      <c r="AE228" s="140" t="s">
        <v>2853</v>
      </c>
      <c r="AF228" s="140" t="s">
        <v>2853</v>
      </c>
      <c r="AG228" s="1" t="s">
        <v>17</v>
      </c>
      <c r="AH228" s="68">
        <v>3.1618090180000002E-3</v>
      </c>
      <c r="AI228" s="68">
        <v>1.4302812121343501E-2</v>
      </c>
      <c r="AJ228" s="68">
        <v>1.7605502753283364E-3</v>
      </c>
    </row>
    <row r="229" spans="1:36" x14ac:dyDescent="0.25">
      <c r="A229" s="1">
        <v>13908</v>
      </c>
      <c r="B229" s="1">
        <v>13908</v>
      </c>
      <c r="C229" s="1" t="s">
        <v>1869</v>
      </c>
      <c r="D229" s="1">
        <v>520036617</v>
      </c>
      <c r="E229" s="1" t="s">
        <v>429</v>
      </c>
      <c r="F229" s="1" t="s">
        <v>1870</v>
      </c>
      <c r="G229" s="1" t="s">
        <v>1871</v>
      </c>
      <c r="H229" s="1" t="s">
        <v>76</v>
      </c>
      <c r="I229" s="1" t="s">
        <v>229</v>
      </c>
      <c r="J229" s="1" t="s">
        <v>53</v>
      </c>
      <c r="K229" s="1" t="s">
        <v>53</v>
      </c>
      <c r="L229" s="1" t="s">
        <v>821</v>
      </c>
      <c r="M229" s="1" t="s">
        <v>311</v>
      </c>
      <c r="N229" s="1" t="s">
        <v>651</v>
      </c>
      <c r="O229" s="1" t="s">
        <v>62</v>
      </c>
      <c r="P229" s="1" t="s">
        <v>1292</v>
      </c>
      <c r="Q229" s="1" t="s">
        <v>65</v>
      </c>
      <c r="R229" s="1" t="s">
        <v>57</v>
      </c>
      <c r="S229" s="1" t="s">
        <v>1206</v>
      </c>
      <c r="T229" s="69">
        <v>3.7549999999999999</v>
      </c>
      <c r="U229" s="70">
        <v>47848</v>
      </c>
      <c r="V229" s="68">
        <v>1.2999999999999999E-2</v>
      </c>
      <c r="W229" s="68">
        <v>2.92E-2</v>
      </c>
      <c r="X229" s="1" t="s">
        <v>636</v>
      </c>
      <c r="Y229" s="140" t="s">
        <v>2853</v>
      </c>
      <c r="Z229" s="67">
        <v>180000</v>
      </c>
      <c r="AA229" s="67">
        <v>1</v>
      </c>
      <c r="AB229" s="67">
        <v>108.39</v>
      </c>
      <c r="AC229" s="67">
        <v>0</v>
      </c>
      <c r="AD229" s="67">
        <v>195.102</v>
      </c>
      <c r="AE229" s="140" t="s">
        <v>2853</v>
      </c>
      <c r="AF229" s="140" t="s">
        <v>2853</v>
      </c>
      <c r="AG229" s="1" t="s">
        <v>17</v>
      </c>
      <c r="AH229" s="68">
        <v>4.8192770999999998E-4</v>
      </c>
      <c r="AI229" s="68">
        <v>3.6779948805744128E-4</v>
      </c>
      <c r="AJ229" s="68">
        <v>4.5272879519885995E-5</v>
      </c>
    </row>
    <row r="230" spans="1:36" x14ac:dyDescent="0.25">
      <c r="A230" s="1">
        <v>13908</v>
      </c>
      <c r="B230" s="1">
        <v>13908</v>
      </c>
      <c r="C230" s="1" t="s">
        <v>1561</v>
      </c>
      <c r="D230" s="1">
        <v>520037789</v>
      </c>
      <c r="E230" s="1" t="s">
        <v>429</v>
      </c>
      <c r="F230" s="1" t="s">
        <v>1872</v>
      </c>
      <c r="G230" s="1" t="s">
        <v>1873</v>
      </c>
      <c r="H230" s="1" t="s">
        <v>76</v>
      </c>
      <c r="I230" s="1" t="s">
        <v>229</v>
      </c>
      <c r="J230" s="1" t="s">
        <v>53</v>
      </c>
      <c r="K230" s="1" t="s">
        <v>53</v>
      </c>
      <c r="L230" s="1" t="s">
        <v>821</v>
      </c>
      <c r="M230" s="1" t="s">
        <v>311</v>
      </c>
      <c r="N230" s="1" t="s">
        <v>651</v>
      </c>
      <c r="O230" s="1" t="s">
        <v>62</v>
      </c>
      <c r="P230" s="1" t="s">
        <v>1285</v>
      </c>
      <c r="Q230" s="1" t="s">
        <v>65</v>
      </c>
      <c r="R230" s="1" t="s">
        <v>57</v>
      </c>
      <c r="S230" s="1" t="s">
        <v>1206</v>
      </c>
      <c r="T230" s="69">
        <v>1.2110000000000001</v>
      </c>
      <c r="U230" s="70">
        <v>46478</v>
      </c>
      <c r="V230" s="68">
        <v>2.35E-2</v>
      </c>
      <c r="W230" s="68">
        <v>2.8799999999999999E-2</v>
      </c>
      <c r="X230" s="1" t="s">
        <v>636</v>
      </c>
      <c r="Y230" s="140" t="s">
        <v>2853</v>
      </c>
      <c r="Z230" s="67">
        <v>659770.07999999996</v>
      </c>
      <c r="AA230" s="67">
        <v>1</v>
      </c>
      <c r="AB230" s="67">
        <v>119.34</v>
      </c>
      <c r="AC230" s="67">
        <v>0</v>
      </c>
      <c r="AD230" s="67">
        <v>787.36960999999997</v>
      </c>
      <c r="AE230" s="140" t="s">
        <v>2853</v>
      </c>
      <c r="AF230" s="140" t="s">
        <v>2853</v>
      </c>
      <c r="AG230" s="1" t="s">
        <v>17</v>
      </c>
      <c r="AH230" s="68">
        <v>7.2824165200000002E-4</v>
      </c>
      <c r="AI230" s="68">
        <v>1.4843217366812599E-3</v>
      </c>
      <c r="AJ230" s="68">
        <v>1.8270694042680046E-4</v>
      </c>
    </row>
    <row r="231" spans="1:36" x14ac:dyDescent="0.25">
      <c r="A231" s="1">
        <v>13908</v>
      </c>
      <c r="B231" s="1">
        <v>13908</v>
      </c>
      <c r="C231" s="1" t="s">
        <v>1561</v>
      </c>
      <c r="D231" s="1">
        <v>520037789</v>
      </c>
      <c r="E231" s="1" t="s">
        <v>429</v>
      </c>
      <c r="F231" s="1" t="s">
        <v>1874</v>
      </c>
      <c r="G231" s="1" t="s">
        <v>1875</v>
      </c>
      <c r="H231" s="1" t="s">
        <v>76</v>
      </c>
      <c r="I231" s="1" t="s">
        <v>229</v>
      </c>
      <c r="J231" s="1" t="s">
        <v>53</v>
      </c>
      <c r="K231" s="1" t="s">
        <v>53</v>
      </c>
      <c r="L231" s="1" t="s">
        <v>821</v>
      </c>
      <c r="M231" s="1" t="s">
        <v>311</v>
      </c>
      <c r="N231" s="1" t="s">
        <v>651</v>
      </c>
      <c r="O231" s="1" t="s">
        <v>62</v>
      </c>
      <c r="P231" s="1" t="s">
        <v>1285</v>
      </c>
      <c r="Q231" s="1" t="s">
        <v>65</v>
      </c>
      <c r="R231" s="1" t="s">
        <v>57</v>
      </c>
      <c r="S231" s="1" t="s">
        <v>1206</v>
      </c>
      <c r="T231" s="69">
        <v>3.113</v>
      </c>
      <c r="U231" s="70">
        <v>48214</v>
      </c>
      <c r="V231" s="68">
        <v>2.2499999999999999E-2</v>
      </c>
      <c r="W231" s="68">
        <v>2.52E-2</v>
      </c>
      <c r="X231" s="1" t="s">
        <v>636</v>
      </c>
      <c r="Y231" s="140" t="s">
        <v>2853</v>
      </c>
      <c r="Z231" s="67">
        <v>4577453.4400000004</v>
      </c>
      <c r="AA231" s="67">
        <v>1</v>
      </c>
      <c r="AB231" s="67">
        <v>118.56</v>
      </c>
      <c r="AC231" s="67">
        <v>64.791200000000003</v>
      </c>
      <c r="AD231" s="67">
        <v>5491.82</v>
      </c>
      <c r="AE231" s="140" t="s">
        <v>2853</v>
      </c>
      <c r="AF231" s="140" t="s">
        <v>2853</v>
      </c>
      <c r="AG231" s="1" t="s">
        <v>17</v>
      </c>
      <c r="AH231" s="68">
        <v>2.8544988330000002E-3</v>
      </c>
      <c r="AI231" s="68">
        <v>1.0352987588561968E-2</v>
      </c>
      <c r="AJ231" s="68">
        <v>1.2743616426530752E-3</v>
      </c>
    </row>
    <row r="232" spans="1:36" x14ac:dyDescent="0.25">
      <c r="A232" s="1">
        <v>13908</v>
      </c>
      <c r="B232" s="1">
        <v>13908</v>
      </c>
      <c r="C232" s="1" t="s">
        <v>1561</v>
      </c>
      <c r="D232" s="1">
        <v>520037789</v>
      </c>
      <c r="E232" s="1" t="s">
        <v>429</v>
      </c>
      <c r="F232" s="1" t="s">
        <v>1876</v>
      </c>
      <c r="G232" s="1" t="s">
        <v>1877</v>
      </c>
      <c r="H232" s="1" t="s">
        <v>76</v>
      </c>
      <c r="I232" s="1" t="s">
        <v>229</v>
      </c>
      <c r="J232" s="1" t="s">
        <v>53</v>
      </c>
      <c r="K232" s="1" t="s">
        <v>53</v>
      </c>
      <c r="L232" s="1" t="s">
        <v>821</v>
      </c>
      <c r="M232" s="1" t="s">
        <v>311</v>
      </c>
      <c r="N232" s="1" t="s">
        <v>651</v>
      </c>
      <c r="O232" s="1" t="s">
        <v>62</v>
      </c>
      <c r="P232" s="1" t="s">
        <v>1285</v>
      </c>
      <c r="Q232" s="1" t="s">
        <v>65</v>
      </c>
      <c r="R232" s="1" t="s">
        <v>57</v>
      </c>
      <c r="S232" s="1" t="s">
        <v>1206</v>
      </c>
      <c r="T232" s="69">
        <v>3.3069999999999999</v>
      </c>
      <c r="U232" s="70">
        <v>47300</v>
      </c>
      <c r="V232" s="68">
        <v>1.43E-2</v>
      </c>
      <c r="W232" s="68">
        <v>2.46E-2</v>
      </c>
      <c r="X232" s="1" t="s">
        <v>636</v>
      </c>
      <c r="Y232" s="140" t="s">
        <v>2853</v>
      </c>
      <c r="Z232" s="67">
        <v>1140163.8700000001</v>
      </c>
      <c r="AA232" s="67">
        <v>1</v>
      </c>
      <c r="AB232" s="67">
        <v>114.1</v>
      </c>
      <c r="AC232" s="67">
        <v>10.102959999999999</v>
      </c>
      <c r="AD232" s="67">
        <v>1311.0299399999999</v>
      </c>
      <c r="AE232" s="140" t="s">
        <v>2853</v>
      </c>
      <c r="AF232" s="140" t="s">
        <v>2853</v>
      </c>
      <c r="AG232" s="1" t="s">
        <v>17</v>
      </c>
      <c r="AH232" s="68">
        <v>5.9798327500000005E-4</v>
      </c>
      <c r="AI232" s="68">
        <v>2.4715079330810442E-3</v>
      </c>
      <c r="AJ232" s="68">
        <v>3.0422087175212639E-4</v>
      </c>
    </row>
    <row r="233" spans="1:36" x14ac:dyDescent="0.25">
      <c r="A233" s="1">
        <v>13908</v>
      </c>
      <c r="B233" s="1">
        <v>13908</v>
      </c>
      <c r="C233" s="1" t="s">
        <v>1561</v>
      </c>
      <c r="D233" s="1">
        <v>520037789</v>
      </c>
      <c r="E233" s="1" t="s">
        <v>429</v>
      </c>
      <c r="F233" s="1" t="s">
        <v>1878</v>
      </c>
      <c r="G233" s="1" t="s">
        <v>1879</v>
      </c>
      <c r="H233" s="1" t="s">
        <v>76</v>
      </c>
      <c r="I233" s="1" t="s">
        <v>229</v>
      </c>
      <c r="J233" s="1" t="s">
        <v>53</v>
      </c>
      <c r="K233" s="1" t="s">
        <v>53</v>
      </c>
      <c r="L233" s="1" t="s">
        <v>821</v>
      </c>
      <c r="M233" s="1" t="s">
        <v>311</v>
      </c>
      <c r="N233" s="1" t="s">
        <v>651</v>
      </c>
      <c r="O233" s="1" t="s">
        <v>62</v>
      </c>
      <c r="P233" s="1" t="s">
        <v>1285</v>
      </c>
      <c r="Q233" s="1" t="s">
        <v>65</v>
      </c>
      <c r="R233" s="1" t="s">
        <v>57</v>
      </c>
      <c r="S233" s="1" t="s">
        <v>1206</v>
      </c>
      <c r="T233" s="69">
        <v>4.2519999999999998</v>
      </c>
      <c r="U233" s="70">
        <v>47665</v>
      </c>
      <c r="V233" s="68">
        <v>2.5000000000000001E-3</v>
      </c>
      <c r="W233" s="68">
        <v>2.4899999999999999E-2</v>
      </c>
      <c r="X233" s="1" t="s">
        <v>636</v>
      </c>
      <c r="Y233" s="140" t="s">
        <v>2853</v>
      </c>
      <c r="Z233" s="67">
        <v>710938.69</v>
      </c>
      <c r="AA233" s="67">
        <v>1</v>
      </c>
      <c r="AB233" s="67">
        <v>105.36</v>
      </c>
      <c r="AC233" s="67">
        <v>1.88733</v>
      </c>
      <c r="AD233" s="67">
        <v>750.93232999999998</v>
      </c>
      <c r="AE233" s="140" t="s">
        <v>2853</v>
      </c>
      <c r="AF233" s="140" t="s">
        <v>2853</v>
      </c>
      <c r="AG233" s="1" t="s">
        <v>17</v>
      </c>
      <c r="AH233" s="68">
        <v>5.3815261699999999E-4</v>
      </c>
      <c r="AI233" s="68">
        <v>1.4156314468318188E-3</v>
      </c>
      <c r="AJ233" s="68">
        <v>1.7425177037486684E-4</v>
      </c>
    </row>
    <row r="234" spans="1:36" x14ac:dyDescent="0.25">
      <c r="A234" s="1">
        <v>13908</v>
      </c>
      <c r="B234" s="1">
        <v>13908</v>
      </c>
      <c r="C234" s="1" t="s">
        <v>1880</v>
      </c>
      <c r="D234" s="1">
        <v>520038332</v>
      </c>
      <c r="E234" s="1" t="s">
        <v>429</v>
      </c>
      <c r="F234" s="1" t="s">
        <v>1881</v>
      </c>
      <c r="G234" s="1" t="s">
        <v>1882</v>
      </c>
      <c r="H234" s="1" t="s">
        <v>76</v>
      </c>
      <c r="I234" s="1" t="s">
        <v>229</v>
      </c>
      <c r="J234" s="1" t="s">
        <v>53</v>
      </c>
      <c r="K234" s="1" t="s">
        <v>53</v>
      </c>
      <c r="L234" s="1" t="s">
        <v>821</v>
      </c>
      <c r="M234" s="1" t="s">
        <v>311</v>
      </c>
      <c r="N234" s="1" t="s">
        <v>651</v>
      </c>
      <c r="O234" s="1" t="s">
        <v>62</v>
      </c>
      <c r="P234" s="1" t="s">
        <v>298</v>
      </c>
      <c r="Q234" s="1" t="s">
        <v>298</v>
      </c>
      <c r="R234" s="1" t="s">
        <v>298</v>
      </c>
      <c r="S234" s="1" t="s">
        <v>1206</v>
      </c>
      <c r="T234" s="69">
        <v>1.208</v>
      </c>
      <c r="U234" s="70">
        <v>46478</v>
      </c>
      <c r="V234" s="68">
        <v>1.9E-2</v>
      </c>
      <c r="W234" s="68">
        <v>3.2399999999999998E-2</v>
      </c>
      <c r="X234" s="1" t="s">
        <v>636</v>
      </c>
      <c r="Y234" s="140" t="s">
        <v>2853</v>
      </c>
      <c r="Z234" s="67">
        <v>96858.64</v>
      </c>
      <c r="AA234" s="67">
        <v>1</v>
      </c>
      <c r="AB234" s="67">
        <v>111.97</v>
      </c>
      <c r="AC234" s="67">
        <v>0</v>
      </c>
      <c r="AD234" s="67">
        <v>108.45262</v>
      </c>
      <c r="AE234" s="140" t="s">
        <v>2853</v>
      </c>
      <c r="AF234" s="140" t="s">
        <v>2853</v>
      </c>
      <c r="AG234" s="1" t="s">
        <v>17</v>
      </c>
      <c r="AH234" s="68">
        <v>1.4420450099999999E-4</v>
      </c>
      <c r="AI234" s="68">
        <v>2.0445109796151864E-4</v>
      </c>
      <c r="AJ234" s="68">
        <v>2.516613053108619E-5</v>
      </c>
    </row>
    <row r="235" spans="1:36" x14ac:dyDescent="0.25">
      <c r="A235" s="1">
        <v>13908</v>
      </c>
      <c r="B235" s="1">
        <v>13908</v>
      </c>
      <c r="C235" s="1" t="s">
        <v>1883</v>
      </c>
      <c r="D235" s="1">
        <v>520038506</v>
      </c>
      <c r="E235" s="1" t="s">
        <v>429</v>
      </c>
      <c r="F235" s="1" t="s">
        <v>1884</v>
      </c>
      <c r="G235" s="1" t="s">
        <v>1885</v>
      </c>
      <c r="H235" s="1" t="s">
        <v>76</v>
      </c>
      <c r="I235" s="1" t="s">
        <v>228</v>
      </c>
      <c r="J235" s="1" t="s">
        <v>53</v>
      </c>
      <c r="K235" s="1" t="s">
        <v>53</v>
      </c>
      <c r="L235" s="1" t="s">
        <v>821</v>
      </c>
      <c r="M235" s="1" t="s">
        <v>311</v>
      </c>
      <c r="N235" s="1" t="s">
        <v>651</v>
      </c>
      <c r="O235" s="1" t="s">
        <v>62</v>
      </c>
      <c r="P235" s="1" t="s">
        <v>1281</v>
      </c>
      <c r="Q235" s="1" t="s">
        <v>65</v>
      </c>
      <c r="R235" s="1" t="s">
        <v>57</v>
      </c>
      <c r="S235" s="1" t="s">
        <v>1206</v>
      </c>
      <c r="T235" s="69">
        <v>0.64</v>
      </c>
      <c r="U235" s="70">
        <v>46446</v>
      </c>
      <c r="V235" s="68">
        <v>3.85E-2</v>
      </c>
      <c r="W235" s="68">
        <v>4.6300000000000001E-2</v>
      </c>
      <c r="X235" s="1" t="s">
        <v>636</v>
      </c>
      <c r="Y235" s="140" t="s">
        <v>2853</v>
      </c>
      <c r="Z235" s="67">
        <v>27263.5</v>
      </c>
      <c r="AA235" s="67">
        <v>1</v>
      </c>
      <c r="AB235" s="67">
        <v>102.73</v>
      </c>
      <c r="AC235" s="67">
        <v>0</v>
      </c>
      <c r="AD235" s="67">
        <v>28.00779</v>
      </c>
      <c r="AE235" s="140" t="s">
        <v>2853</v>
      </c>
      <c r="AF235" s="140" t="s">
        <v>2853</v>
      </c>
      <c r="AG235" s="1" t="s">
        <v>17</v>
      </c>
      <c r="AH235" s="68">
        <v>8.7459106447887198E-5</v>
      </c>
      <c r="AI235" s="68">
        <v>5.2799309200419894E-5</v>
      </c>
      <c r="AJ235" s="68">
        <v>6.4991302102913745E-6</v>
      </c>
    </row>
    <row r="236" spans="1:36" x14ac:dyDescent="0.25">
      <c r="A236" s="1">
        <v>13908</v>
      </c>
      <c r="B236" s="1">
        <v>13908</v>
      </c>
      <c r="C236" s="1" t="s">
        <v>1883</v>
      </c>
      <c r="D236" s="1">
        <v>520038506</v>
      </c>
      <c r="E236" s="1" t="s">
        <v>429</v>
      </c>
      <c r="F236" s="1" t="s">
        <v>1886</v>
      </c>
      <c r="G236" s="1" t="s">
        <v>1887</v>
      </c>
      <c r="H236" s="1" t="s">
        <v>76</v>
      </c>
      <c r="I236" s="1" t="s">
        <v>228</v>
      </c>
      <c r="J236" s="1" t="s">
        <v>53</v>
      </c>
      <c r="K236" s="1" t="s">
        <v>53</v>
      </c>
      <c r="L236" s="1" t="s">
        <v>821</v>
      </c>
      <c r="M236" s="1" t="s">
        <v>311</v>
      </c>
      <c r="N236" s="1" t="s">
        <v>651</v>
      </c>
      <c r="O236" s="1" t="s">
        <v>62</v>
      </c>
      <c r="P236" s="1" t="s">
        <v>1281</v>
      </c>
      <c r="Q236" s="1" t="s">
        <v>65</v>
      </c>
      <c r="R236" s="1" t="s">
        <v>57</v>
      </c>
      <c r="S236" s="1" t="s">
        <v>1206</v>
      </c>
      <c r="T236" s="69">
        <v>3.2090000000000001</v>
      </c>
      <c r="U236" s="70">
        <v>47907</v>
      </c>
      <c r="V236" s="68">
        <v>2.41E-2</v>
      </c>
      <c r="W236" s="68">
        <v>4.48E-2</v>
      </c>
      <c r="X236" s="1" t="s">
        <v>636</v>
      </c>
      <c r="Y236" s="140" t="s">
        <v>2853</v>
      </c>
      <c r="Z236" s="67">
        <v>205000</v>
      </c>
      <c r="AA236" s="67">
        <v>1</v>
      </c>
      <c r="AB236" s="67">
        <v>95.65</v>
      </c>
      <c r="AC236" s="67">
        <v>0</v>
      </c>
      <c r="AD236" s="67">
        <v>196.08250000000001</v>
      </c>
      <c r="AE236" s="140" t="s">
        <v>2853</v>
      </c>
      <c r="AF236" s="140" t="s">
        <v>2853</v>
      </c>
      <c r="AG236" s="1" t="s">
        <v>17</v>
      </c>
      <c r="AH236" s="68">
        <v>9.9759469505107798E-5</v>
      </c>
      <c r="AI236" s="68">
        <v>3.696478924717493E-4</v>
      </c>
      <c r="AJ236" s="68">
        <v>4.5500401833184933E-5</v>
      </c>
    </row>
    <row r="237" spans="1:36" x14ac:dyDescent="0.25">
      <c r="A237" s="1">
        <v>13908</v>
      </c>
      <c r="B237" s="1">
        <v>13908</v>
      </c>
      <c r="C237" s="1" t="s">
        <v>1888</v>
      </c>
      <c r="D237" s="1">
        <v>520039298</v>
      </c>
      <c r="E237" s="1" t="s">
        <v>429</v>
      </c>
      <c r="F237" s="1" t="s">
        <v>1889</v>
      </c>
      <c r="G237" s="1" t="s">
        <v>1890</v>
      </c>
      <c r="H237" s="1" t="s">
        <v>76</v>
      </c>
      <c r="I237" s="1" t="s">
        <v>228</v>
      </c>
      <c r="J237" s="1" t="s">
        <v>53</v>
      </c>
      <c r="K237" s="1" t="s">
        <v>53</v>
      </c>
      <c r="L237" s="1" t="s">
        <v>821</v>
      </c>
      <c r="M237" s="1" t="s">
        <v>311</v>
      </c>
      <c r="N237" s="1" t="s">
        <v>140</v>
      </c>
      <c r="O237" s="1" t="s">
        <v>62</v>
      </c>
      <c r="P237" s="1" t="s">
        <v>1414</v>
      </c>
      <c r="Q237" s="1" t="s">
        <v>65</v>
      </c>
      <c r="R237" s="1" t="s">
        <v>57</v>
      </c>
      <c r="S237" s="1" t="s">
        <v>1206</v>
      </c>
      <c r="T237" s="69">
        <v>0.97599999999999998</v>
      </c>
      <c r="U237" s="70">
        <v>46568</v>
      </c>
      <c r="V237" s="68">
        <v>3.95E-2</v>
      </c>
      <c r="W237" s="68">
        <v>5.0700000000000002E-2</v>
      </c>
      <c r="X237" s="1" t="s">
        <v>636</v>
      </c>
      <c r="Y237" s="140" t="s">
        <v>2853</v>
      </c>
      <c r="Z237" s="67">
        <v>538037.5</v>
      </c>
      <c r="AA237" s="67">
        <v>1</v>
      </c>
      <c r="AB237" s="67">
        <v>99.02</v>
      </c>
      <c r="AC237" s="67">
        <v>0</v>
      </c>
      <c r="AD237" s="67">
        <v>532.76472999999999</v>
      </c>
      <c r="AE237" s="140" t="s">
        <v>2853</v>
      </c>
      <c r="AF237" s="140" t="s">
        <v>2853</v>
      </c>
      <c r="AG237" s="1" t="s">
        <v>17</v>
      </c>
      <c r="AH237" s="68">
        <v>9.1675631900000004E-4</v>
      </c>
      <c r="AI237" s="68">
        <v>1.0043494938496832E-3</v>
      </c>
      <c r="AJ237" s="68">
        <v>1.2362658216591625E-4</v>
      </c>
    </row>
    <row r="238" spans="1:36" x14ac:dyDescent="0.25">
      <c r="A238" s="1">
        <v>13908</v>
      </c>
      <c r="B238" s="1">
        <v>13908</v>
      </c>
      <c r="C238" s="1" t="s">
        <v>1891</v>
      </c>
      <c r="D238" s="1">
        <v>520039496</v>
      </c>
      <c r="E238" s="1" t="s">
        <v>429</v>
      </c>
      <c r="F238" s="1" t="s">
        <v>1892</v>
      </c>
      <c r="G238" s="1" t="s">
        <v>1893</v>
      </c>
      <c r="H238" s="1" t="s">
        <v>76</v>
      </c>
      <c r="I238" s="1" t="s">
        <v>229</v>
      </c>
      <c r="J238" s="1" t="s">
        <v>53</v>
      </c>
      <c r="K238" s="1" t="s">
        <v>53</v>
      </c>
      <c r="L238" s="1" t="s">
        <v>821</v>
      </c>
      <c r="M238" s="1" t="s">
        <v>311</v>
      </c>
      <c r="N238" s="1" t="s">
        <v>651</v>
      </c>
      <c r="O238" s="1" t="s">
        <v>62</v>
      </c>
      <c r="P238" s="1" t="s">
        <v>298</v>
      </c>
      <c r="Q238" s="1" t="s">
        <v>298</v>
      </c>
      <c r="R238" s="1" t="s">
        <v>298</v>
      </c>
      <c r="S238" s="1" t="s">
        <v>1206</v>
      </c>
      <c r="T238" s="69">
        <v>0.99199999999999999</v>
      </c>
      <c r="U238" s="70">
        <v>46387</v>
      </c>
      <c r="V238" s="68">
        <v>1.9E-2</v>
      </c>
      <c r="W238" s="68">
        <v>7.4399999999999994E-2</v>
      </c>
      <c r="X238" s="1" t="s">
        <v>636</v>
      </c>
      <c r="Y238" s="140" t="s">
        <v>2853</v>
      </c>
      <c r="Z238" s="67">
        <v>262500</v>
      </c>
      <c r="AA238" s="67">
        <v>1</v>
      </c>
      <c r="AB238" s="67">
        <v>109.19</v>
      </c>
      <c r="AC238" s="67">
        <v>0</v>
      </c>
      <c r="AD238" s="67">
        <v>286.62374999999997</v>
      </c>
      <c r="AE238" s="140" t="s">
        <v>2853</v>
      </c>
      <c r="AF238" s="140" t="s">
        <v>2853</v>
      </c>
      <c r="AG238" s="1" t="s">
        <v>17</v>
      </c>
      <c r="AH238" s="68">
        <v>7.5033872429999997E-3</v>
      </c>
      <c r="AI238" s="68">
        <v>5.4033310019940351E-4</v>
      </c>
      <c r="AJ238" s="68">
        <v>6.651024849200891E-5</v>
      </c>
    </row>
    <row r="239" spans="1:36" x14ac:dyDescent="0.25">
      <c r="A239" s="1">
        <v>13908</v>
      </c>
      <c r="B239" s="1">
        <v>13908</v>
      </c>
      <c r="C239" s="1" t="s">
        <v>1894</v>
      </c>
      <c r="D239" s="1">
        <v>520028010</v>
      </c>
      <c r="E239" s="1" t="s">
        <v>429</v>
      </c>
      <c r="F239" s="1" t="s">
        <v>1895</v>
      </c>
      <c r="G239" s="1" t="s">
        <v>1896</v>
      </c>
      <c r="H239" s="1" t="s">
        <v>76</v>
      </c>
      <c r="I239" s="1" t="s">
        <v>228</v>
      </c>
      <c r="J239" s="1" t="s">
        <v>53</v>
      </c>
      <c r="K239" s="1" t="s">
        <v>53</v>
      </c>
      <c r="L239" s="1" t="s">
        <v>821</v>
      </c>
      <c r="M239" s="1" t="s">
        <v>311</v>
      </c>
      <c r="N239" s="1" t="s">
        <v>265</v>
      </c>
      <c r="O239" s="1" t="s">
        <v>62</v>
      </c>
      <c r="P239" s="1" t="s">
        <v>1329</v>
      </c>
      <c r="Q239" s="1" t="s">
        <v>65</v>
      </c>
      <c r="R239" s="1" t="s">
        <v>57</v>
      </c>
      <c r="S239" s="1" t="s">
        <v>1206</v>
      </c>
      <c r="T239" s="69">
        <v>1.58</v>
      </c>
      <c r="U239" s="70">
        <v>46934</v>
      </c>
      <c r="V239" s="68">
        <v>2.1999999999999999E-2</v>
      </c>
      <c r="W239" s="68">
        <v>4.3099999999999999E-2</v>
      </c>
      <c r="X239" s="1" t="s">
        <v>636</v>
      </c>
      <c r="Y239" s="140" t="s">
        <v>2853</v>
      </c>
      <c r="Z239" s="67">
        <v>35862.660000000003</v>
      </c>
      <c r="AA239" s="67">
        <v>1</v>
      </c>
      <c r="AB239" s="67">
        <v>96.84</v>
      </c>
      <c r="AC239" s="67">
        <v>0</v>
      </c>
      <c r="AD239" s="67">
        <v>34.729399999999998</v>
      </c>
      <c r="AE239" s="140" t="s">
        <v>2853</v>
      </c>
      <c r="AF239" s="140" t="s">
        <v>2853</v>
      </c>
      <c r="AG239" s="1" t="s">
        <v>17</v>
      </c>
      <c r="AH239" s="68">
        <v>4.1364083044982701E-5</v>
      </c>
      <c r="AI239" s="68">
        <v>6.5470654019651772E-5</v>
      </c>
      <c r="AJ239" s="68">
        <v>8.0588612212992617E-6</v>
      </c>
    </row>
    <row r="240" spans="1:36" x14ac:dyDescent="0.25">
      <c r="A240" s="1">
        <v>13908</v>
      </c>
      <c r="B240" s="1">
        <v>13908</v>
      </c>
      <c r="C240" s="1" t="s">
        <v>1897</v>
      </c>
      <c r="D240" s="1">
        <v>520033986</v>
      </c>
      <c r="E240" s="1" t="s">
        <v>429</v>
      </c>
      <c r="F240" s="1" t="s">
        <v>1898</v>
      </c>
      <c r="G240" s="1" t="s">
        <v>1899</v>
      </c>
      <c r="H240" s="1" t="s">
        <v>76</v>
      </c>
      <c r="I240" s="1" t="s">
        <v>228</v>
      </c>
      <c r="J240" s="1" t="s">
        <v>53</v>
      </c>
      <c r="K240" s="1" t="s">
        <v>53</v>
      </c>
      <c r="L240" s="1" t="s">
        <v>821</v>
      </c>
      <c r="M240" s="1" t="s">
        <v>311</v>
      </c>
      <c r="N240" s="1" t="s">
        <v>269</v>
      </c>
      <c r="O240" s="1" t="s">
        <v>62</v>
      </c>
      <c r="P240" s="1" t="s">
        <v>1455</v>
      </c>
      <c r="Q240" s="1" t="s">
        <v>70</v>
      </c>
      <c r="R240" s="1" t="s">
        <v>57</v>
      </c>
      <c r="S240" s="1" t="s">
        <v>1206</v>
      </c>
      <c r="T240" s="69">
        <v>4.7649999999999997</v>
      </c>
      <c r="U240" s="70">
        <v>49674</v>
      </c>
      <c r="V240" s="68">
        <v>1.95E-2</v>
      </c>
      <c r="W240" s="68">
        <v>4.19E-2</v>
      </c>
      <c r="X240" s="1" t="s">
        <v>636</v>
      </c>
      <c r="Y240" s="140" t="s">
        <v>2853</v>
      </c>
      <c r="Z240" s="67">
        <v>333889.28000000003</v>
      </c>
      <c r="AA240" s="67">
        <v>1</v>
      </c>
      <c r="AB240" s="67">
        <v>90.02</v>
      </c>
      <c r="AC240" s="67">
        <v>0</v>
      </c>
      <c r="AD240" s="67">
        <v>300.56713000000002</v>
      </c>
      <c r="AE240" s="140" t="s">
        <v>2853</v>
      </c>
      <c r="AF240" s="140" t="s">
        <v>2853</v>
      </c>
      <c r="AG240" s="1" t="s">
        <v>17</v>
      </c>
      <c r="AH240" s="68">
        <v>3.6603898399999998E-4</v>
      </c>
      <c r="AI240" s="68">
        <v>5.6661867403150353E-4</v>
      </c>
      <c r="AJ240" s="68">
        <v>6.9745771258766762E-5</v>
      </c>
    </row>
    <row r="241" spans="1:36" x14ac:dyDescent="0.25">
      <c r="A241" s="1">
        <v>13908</v>
      </c>
      <c r="B241" s="1">
        <v>13908</v>
      </c>
      <c r="C241" s="1" t="s">
        <v>1571</v>
      </c>
      <c r="D241" s="1">
        <v>520000472</v>
      </c>
      <c r="E241" s="1" t="s">
        <v>429</v>
      </c>
      <c r="F241" s="1" t="s">
        <v>1900</v>
      </c>
      <c r="G241" s="1" t="s">
        <v>1901</v>
      </c>
      <c r="H241" s="1" t="s">
        <v>76</v>
      </c>
      <c r="I241" s="1" t="s">
        <v>229</v>
      </c>
      <c r="J241" s="1" t="s">
        <v>53</v>
      </c>
      <c r="K241" s="1" t="s">
        <v>53</v>
      </c>
      <c r="L241" s="1" t="s">
        <v>821</v>
      </c>
      <c r="M241" s="1" t="s">
        <v>311</v>
      </c>
      <c r="N241" s="1" t="s">
        <v>156</v>
      </c>
      <c r="O241" s="1" t="s">
        <v>62</v>
      </c>
      <c r="P241" s="1" t="s">
        <v>1205</v>
      </c>
      <c r="Q241" s="1" t="s">
        <v>65</v>
      </c>
      <c r="R241" s="1" t="s">
        <v>57</v>
      </c>
      <c r="S241" s="1" t="s">
        <v>1206</v>
      </c>
      <c r="T241" s="69">
        <v>2.3170000000000002</v>
      </c>
      <c r="U241" s="70">
        <v>47220</v>
      </c>
      <c r="V241" s="68">
        <v>3.85E-2</v>
      </c>
      <c r="W241" s="68">
        <v>2.3400000000000001E-2</v>
      </c>
      <c r="X241" s="1" t="s">
        <v>636</v>
      </c>
      <c r="Y241" s="140" t="s">
        <v>2853</v>
      </c>
      <c r="Z241" s="67">
        <v>2897163.4</v>
      </c>
      <c r="AA241" s="67">
        <v>1</v>
      </c>
      <c r="AB241" s="67">
        <v>123.99</v>
      </c>
      <c r="AC241" s="67">
        <v>0</v>
      </c>
      <c r="AD241" s="67">
        <v>3592.1929</v>
      </c>
      <c r="AE241" s="140" t="s">
        <v>2853</v>
      </c>
      <c r="AF241" s="140" t="s">
        <v>2853</v>
      </c>
      <c r="AG241" s="1" t="s">
        <v>17</v>
      </c>
      <c r="AH241" s="68">
        <v>1.146442082E-3</v>
      </c>
      <c r="AI241" s="68">
        <v>6.771876811224771E-3</v>
      </c>
      <c r="AJ241" s="68">
        <v>8.3355842776542462E-4</v>
      </c>
    </row>
    <row r="242" spans="1:36" x14ac:dyDescent="0.25">
      <c r="A242" s="1">
        <v>13908</v>
      </c>
      <c r="B242" s="1">
        <v>13908</v>
      </c>
      <c r="C242" s="1" t="s">
        <v>1571</v>
      </c>
      <c r="D242" s="1">
        <v>520000472</v>
      </c>
      <c r="E242" s="1" t="s">
        <v>429</v>
      </c>
      <c r="F242" s="1" t="s">
        <v>1902</v>
      </c>
      <c r="G242" s="1" t="s">
        <v>1903</v>
      </c>
      <c r="H242" s="1" t="s">
        <v>76</v>
      </c>
      <c r="I242" s="1" t="s">
        <v>229</v>
      </c>
      <c r="J242" s="1" t="s">
        <v>53</v>
      </c>
      <c r="K242" s="1" t="s">
        <v>53</v>
      </c>
      <c r="L242" s="1" t="s">
        <v>821</v>
      </c>
      <c r="M242" s="1" t="s">
        <v>311</v>
      </c>
      <c r="N242" s="1" t="s">
        <v>156</v>
      </c>
      <c r="O242" s="1" t="s">
        <v>62</v>
      </c>
      <c r="P242" s="1" t="s">
        <v>1205</v>
      </c>
      <c r="Q242" s="1" t="s">
        <v>65</v>
      </c>
      <c r="R242" s="1" t="s">
        <v>57</v>
      </c>
      <c r="S242" s="1" t="s">
        <v>1206</v>
      </c>
      <c r="T242" s="69">
        <v>0.16200000000000001</v>
      </c>
      <c r="U242" s="70">
        <v>46082</v>
      </c>
      <c r="V242" s="68">
        <v>4.4999999999999998E-2</v>
      </c>
      <c r="W242" s="68">
        <v>6.4399999999999999E-2</v>
      </c>
      <c r="X242" s="1" t="s">
        <v>636</v>
      </c>
      <c r="Y242" s="140" t="s">
        <v>2853</v>
      </c>
      <c r="Z242" s="67">
        <v>591635</v>
      </c>
      <c r="AA242" s="67">
        <v>1</v>
      </c>
      <c r="AB242" s="67">
        <v>121.07</v>
      </c>
      <c r="AC242" s="67">
        <v>0</v>
      </c>
      <c r="AD242" s="67">
        <v>716.29249000000004</v>
      </c>
      <c r="AE242" s="140" t="s">
        <v>2853</v>
      </c>
      <c r="AF242" s="140" t="s">
        <v>2853</v>
      </c>
      <c r="AG242" s="1" t="s">
        <v>17</v>
      </c>
      <c r="AH242" s="68">
        <v>4.0034791699999998E-4</v>
      </c>
      <c r="AI242" s="68">
        <v>1.3503296282016068E-3</v>
      </c>
      <c r="AJ242" s="68">
        <v>1.6621369130387768E-4</v>
      </c>
    </row>
    <row r="243" spans="1:36" x14ac:dyDescent="0.25">
      <c r="A243" s="1">
        <v>13908</v>
      </c>
      <c r="B243" s="1">
        <v>13908</v>
      </c>
      <c r="C243" s="1" t="s">
        <v>1571</v>
      </c>
      <c r="D243" s="1">
        <v>520000472</v>
      </c>
      <c r="E243" s="1" t="s">
        <v>429</v>
      </c>
      <c r="F243" s="1" t="s">
        <v>1904</v>
      </c>
      <c r="G243" s="1" t="s">
        <v>1905</v>
      </c>
      <c r="H243" s="1" t="s">
        <v>76</v>
      </c>
      <c r="I243" s="1" t="s">
        <v>229</v>
      </c>
      <c r="J243" s="1" t="s">
        <v>53</v>
      </c>
      <c r="K243" s="1" t="s">
        <v>53</v>
      </c>
      <c r="L243" s="1" t="s">
        <v>821</v>
      </c>
      <c r="M243" s="1" t="s">
        <v>311</v>
      </c>
      <c r="N243" s="1" t="s">
        <v>156</v>
      </c>
      <c r="O243" s="1" t="s">
        <v>62</v>
      </c>
      <c r="P243" s="1" t="s">
        <v>1205</v>
      </c>
      <c r="Q243" s="1" t="s">
        <v>65</v>
      </c>
      <c r="R243" s="1" t="s">
        <v>57</v>
      </c>
      <c r="S243" s="1" t="s">
        <v>1206</v>
      </c>
      <c r="T243" s="69">
        <v>4.6790000000000003</v>
      </c>
      <c r="U243" s="70">
        <v>48112</v>
      </c>
      <c r="V243" s="68">
        <v>2.3900000000000001E-2</v>
      </c>
      <c r="W243" s="68">
        <v>2.3099999999999999E-2</v>
      </c>
      <c r="X243" s="1" t="s">
        <v>636</v>
      </c>
      <c r="Y243" s="140" t="s">
        <v>2853</v>
      </c>
      <c r="Z243" s="67">
        <v>756482</v>
      </c>
      <c r="AA243" s="67">
        <v>1</v>
      </c>
      <c r="AB243" s="67">
        <v>118.92</v>
      </c>
      <c r="AC243" s="67">
        <v>0</v>
      </c>
      <c r="AD243" s="67">
        <v>899.60838999999999</v>
      </c>
      <c r="AE243" s="140" t="s">
        <v>2853</v>
      </c>
      <c r="AF243" s="140" t="s">
        <v>2853</v>
      </c>
      <c r="AG243" s="1" t="s">
        <v>17</v>
      </c>
      <c r="AH243" s="68">
        <v>1.9451098200000001E-4</v>
      </c>
      <c r="AI243" s="68">
        <v>1.6959103714681498E-3</v>
      </c>
      <c r="AJ243" s="68">
        <v>2.0875163891476568E-4</v>
      </c>
    </row>
    <row r="244" spans="1:36" x14ac:dyDescent="0.25">
      <c r="A244" s="1">
        <v>13908</v>
      </c>
      <c r="B244" s="1">
        <v>13908</v>
      </c>
      <c r="C244" s="1" t="s">
        <v>1571</v>
      </c>
      <c r="D244" s="1">
        <v>520000472</v>
      </c>
      <c r="E244" s="1" t="s">
        <v>429</v>
      </c>
      <c r="F244" s="1" t="s">
        <v>1906</v>
      </c>
      <c r="G244" s="1" t="s">
        <v>1907</v>
      </c>
      <c r="H244" s="1" t="s">
        <v>76</v>
      </c>
      <c r="I244" s="1" t="s">
        <v>229</v>
      </c>
      <c r="J244" s="1" t="s">
        <v>53</v>
      </c>
      <c r="K244" s="1" t="s">
        <v>53</v>
      </c>
      <c r="L244" s="1" t="s">
        <v>821</v>
      </c>
      <c r="M244" s="1" t="s">
        <v>311</v>
      </c>
      <c r="N244" s="1" t="s">
        <v>156</v>
      </c>
      <c r="O244" s="1" t="s">
        <v>62</v>
      </c>
      <c r="P244" s="1" t="s">
        <v>1205</v>
      </c>
      <c r="Q244" s="1" t="s">
        <v>65</v>
      </c>
      <c r="R244" s="1" t="s">
        <v>57</v>
      </c>
      <c r="S244" s="1" t="s">
        <v>1206</v>
      </c>
      <c r="T244" s="69">
        <v>9.7050000000000001</v>
      </c>
      <c r="U244" s="70">
        <v>49825</v>
      </c>
      <c r="V244" s="68">
        <v>1.2500000000000001E-2</v>
      </c>
      <c r="W244" s="68">
        <v>2.5600000000000001E-2</v>
      </c>
      <c r="X244" s="1" t="s">
        <v>636</v>
      </c>
      <c r="Y244" s="140" t="s">
        <v>2853</v>
      </c>
      <c r="Z244" s="67">
        <v>95000</v>
      </c>
      <c r="AA244" s="67">
        <v>1</v>
      </c>
      <c r="AB244" s="67">
        <v>103.24</v>
      </c>
      <c r="AC244" s="67">
        <v>0</v>
      </c>
      <c r="AD244" s="67">
        <v>98.078000000000003</v>
      </c>
      <c r="AE244" s="140" t="s">
        <v>2853</v>
      </c>
      <c r="AF244" s="140" t="s">
        <v>2853</v>
      </c>
      <c r="AG244" s="1" t="s">
        <v>17</v>
      </c>
      <c r="AH244" s="68">
        <v>2.2134878767269E-5</v>
      </c>
      <c r="AI244" s="68">
        <v>1.8489322605456493E-4</v>
      </c>
      <c r="AJ244" s="68">
        <v>2.275872865245553E-5</v>
      </c>
    </row>
    <row r="245" spans="1:36" x14ac:dyDescent="0.25">
      <c r="A245" s="1">
        <v>13908</v>
      </c>
      <c r="B245" s="1">
        <v>13908</v>
      </c>
      <c r="C245" s="1" t="s">
        <v>1635</v>
      </c>
      <c r="D245" s="1">
        <v>520018078</v>
      </c>
      <c r="E245" s="1" t="s">
        <v>429</v>
      </c>
      <c r="F245" s="1" t="s">
        <v>1908</v>
      </c>
      <c r="G245" s="1" t="s">
        <v>1909</v>
      </c>
      <c r="H245" s="1" t="s">
        <v>76</v>
      </c>
      <c r="I245" s="1" t="s">
        <v>229</v>
      </c>
      <c r="J245" s="1" t="s">
        <v>53</v>
      </c>
      <c r="K245" s="1" t="s">
        <v>53</v>
      </c>
      <c r="L245" s="1" t="s">
        <v>821</v>
      </c>
      <c r="M245" s="1" t="s">
        <v>311</v>
      </c>
      <c r="N245" s="1" t="s">
        <v>256</v>
      </c>
      <c r="O245" s="1" t="s">
        <v>62</v>
      </c>
      <c r="P245" s="1" t="s">
        <v>1205</v>
      </c>
      <c r="Q245" s="1" t="s">
        <v>65</v>
      </c>
      <c r="R245" s="1" t="s">
        <v>57</v>
      </c>
      <c r="S245" s="1" t="s">
        <v>1206</v>
      </c>
      <c r="T245" s="69">
        <v>0.49299999999999999</v>
      </c>
      <c r="U245" s="70">
        <v>46203</v>
      </c>
      <c r="V245" s="68">
        <v>8.3000000000000001E-3</v>
      </c>
      <c r="W245" s="68">
        <v>3.0300000000000001E-2</v>
      </c>
      <c r="X245" s="1" t="s">
        <v>636</v>
      </c>
      <c r="Y245" s="140" t="s">
        <v>2853</v>
      </c>
      <c r="Z245" s="67">
        <v>500000</v>
      </c>
      <c r="AA245" s="67">
        <v>1</v>
      </c>
      <c r="AB245" s="67">
        <v>117.19</v>
      </c>
      <c r="AC245" s="67">
        <v>0</v>
      </c>
      <c r="AD245" s="67">
        <v>585.95000000000005</v>
      </c>
      <c r="AE245" s="140" t="s">
        <v>2853</v>
      </c>
      <c r="AF245" s="140" t="s">
        <v>2853</v>
      </c>
      <c r="AG245" s="1" t="s">
        <v>17</v>
      </c>
      <c r="AH245" s="68">
        <v>3.2874233699999999E-4</v>
      </c>
      <c r="AI245" s="68">
        <v>1.1046125105188963E-3</v>
      </c>
      <c r="AJ245" s="68">
        <v>1.3596807697859172E-4</v>
      </c>
    </row>
    <row r="246" spans="1:36" x14ac:dyDescent="0.25">
      <c r="A246" s="1">
        <v>13908</v>
      </c>
      <c r="B246" s="1">
        <v>13908</v>
      </c>
      <c r="C246" s="1" t="s">
        <v>1635</v>
      </c>
      <c r="D246" s="1">
        <v>520018078</v>
      </c>
      <c r="E246" s="1" t="s">
        <v>429</v>
      </c>
      <c r="F246" s="1" t="s">
        <v>1910</v>
      </c>
      <c r="G246" s="1" t="s">
        <v>1911</v>
      </c>
      <c r="H246" s="1" t="s">
        <v>76</v>
      </c>
      <c r="I246" s="1" t="s">
        <v>229</v>
      </c>
      <c r="J246" s="1" t="s">
        <v>53</v>
      </c>
      <c r="K246" s="1" t="s">
        <v>53</v>
      </c>
      <c r="L246" s="1" t="s">
        <v>821</v>
      </c>
      <c r="M246" s="1" t="s">
        <v>311</v>
      </c>
      <c r="N246" s="1" t="s">
        <v>256</v>
      </c>
      <c r="O246" s="1" t="s">
        <v>62</v>
      </c>
      <c r="P246" s="1" t="s">
        <v>1205</v>
      </c>
      <c r="Q246" s="1" t="s">
        <v>65</v>
      </c>
      <c r="R246" s="1" t="s">
        <v>57</v>
      </c>
      <c r="S246" s="1" t="s">
        <v>1206</v>
      </c>
      <c r="T246" s="69">
        <v>1.8979999999999999</v>
      </c>
      <c r="U246" s="70">
        <v>46716</v>
      </c>
      <c r="V246" s="68">
        <v>1E-3</v>
      </c>
      <c r="W246" s="68">
        <v>2.3199999999999998E-2</v>
      </c>
      <c r="X246" s="1" t="s">
        <v>636</v>
      </c>
      <c r="Y246" s="140" t="s">
        <v>2853</v>
      </c>
      <c r="Z246" s="67">
        <v>450000</v>
      </c>
      <c r="AA246" s="67">
        <v>1</v>
      </c>
      <c r="AB246" s="67">
        <v>110.39</v>
      </c>
      <c r="AC246" s="67">
        <v>0</v>
      </c>
      <c r="AD246" s="67">
        <v>496.755</v>
      </c>
      <c r="AE246" s="140" t="s">
        <v>2853</v>
      </c>
      <c r="AF246" s="140" t="s">
        <v>2853</v>
      </c>
      <c r="AG246" s="1" t="s">
        <v>17</v>
      </c>
      <c r="AH246" s="68">
        <v>1.43437495E-4</v>
      </c>
      <c r="AI246" s="68">
        <v>9.3646520635346756E-4</v>
      </c>
      <c r="AJ246" s="68">
        <v>1.1527062390903716E-4</v>
      </c>
    </row>
    <row r="247" spans="1:36" x14ac:dyDescent="0.25">
      <c r="A247" s="1">
        <v>13908</v>
      </c>
      <c r="B247" s="1">
        <v>13908</v>
      </c>
      <c r="C247" s="1" t="s">
        <v>1635</v>
      </c>
      <c r="D247" s="1">
        <v>520018078</v>
      </c>
      <c r="E247" s="1" t="s">
        <v>429</v>
      </c>
      <c r="F247" s="1" t="s">
        <v>1912</v>
      </c>
      <c r="G247" s="1" t="s">
        <v>1913</v>
      </c>
      <c r="H247" s="1" t="s">
        <v>76</v>
      </c>
      <c r="I247" s="1" t="s">
        <v>229</v>
      </c>
      <c r="J247" s="1" t="s">
        <v>53</v>
      </c>
      <c r="K247" s="1" t="s">
        <v>53</v>
      </c>
      <c r="L247" s="1" t="s">
        <v>821</v>
      </c>
      <c r="M247" s="1" t="s">
        <v>311</v>
      </c>
      <c r="N247" s="1" t="s">
        <v>256</v>
      </c>
      <c r="O247" s="1" t="s">
        <v>62</v>
      </c>
      <c r="P247" s="1" t="s">
        <v>1205</v>
      </c>
      <c r="Q247" s="1" t="s">
        <v>65</v>
      </c>
      <c r="R247" s="1" t="s">
        <v>57</v>
      </c>
      <c r="S247" s="1" t="s">
        <v>1206</v>
      </c>
      <c r="T247" s="69">
        <v>3.895</v>
      </c>
      <c r="U247" s="70">
        <v>47447</v>
      </c>
      <c r="V247" s="68">
        <v>1E-3</v>
      </c>
      <c r="W247" s="68">
        <v>2.18E-2</v>
      </c>
      <c r="X247" s="1" t="s">
        <v>636</v>
      </c>
      <c r="Y247" s="140" t="s">
        <v>2853</v>
      </c>
      <c r="Z247" s="67">
        <v>5839970</v>
      </c>
      <c r="AA247" s="67">
        <v>1</v>
      </c>
      <c r="AB247" s="67">
        <v>106.2</v>
      </c>
      <c r="AC247" s="67">
        <v>0</v>
      </c>
      <c r="AD247" s="67">
        <v>6202.0481399999999</v>
      </c>
      <c r="AE247" s="140" t="s">
        <v>2853</v>
      </c>
      <c r="AF247" s="140" t="s">
        <v>2853</v>
      </c>
      <c r="AG247" s="1" t="s">
        <v>17</v>
      </c>
      <c r="AH247" s="68">
        <v>1.3619806279999999E-3</v>
      </c>
      <c r="AI247" s="68">
        <v>1.1691884915580597E-2</v>
      </c>
      <c r="AJ247" s="68">
        <v>1.4391681183112065E-3</v>
      </c>
    </row>
    <row r="248" spans="1:36" x14ac:dyDescent="0.25">
      <c r="A248" s="1">
        <v>13908</v>
      </c>
      <c r="B248" s="1">
        <v>13908</v>
      </c>
      <c r="C248" s="1" t="s">
        <v>1635</v>
      </c>
      <c r="D248" s="1">
        <v>520018078</v>
      </c>
      <c r="E248" s="1" t="s">
        <v>429</v>
      </c>
      <c r="F248" s="1" t="s">
        <v>1914</v>
      </c>
      <c r="G248" s="1" t="s">
        <v>1915</v>
      </c>
      <c r="H248" s="1" t="s">
        <v>76</v>
      </c>
      <c r="I248" s="1" t="s">
        <v>228</v>
      </c>
      <c r="J248" s="1" t="s">
        <v>53</v>
      </c>
      <c r="K248" s="1" t="s">
        <v>53</v>
      </c>
      <c r="L248" s="1" t="s">
        <v>821</v>
      </c>
      <c r="M248" s="1" t="s">
        <v>311</v>
      </c>
      <c r="N248" s="1" t="s">
        <v>256</v>
      </c>
      <c r="O248" s="1" t="s">
        <v>62</v>
      </c>
      <c r="P248" s="1" t="s">
        <v>1205</v>
      </c>
      <c r="Q248" s="1" t="s">
        <v>65</v>
      </c>
      <c r="R248" s="1" t="s">
        <v>57</v>
      </c>
      <c r="S248" s="1" t="s">
        <v>1206</v>
      </c>
      <c r="T248" s="69">
        <v>2.2330000000000001</v>
      </c>
      <c r="U248" s="70">
        <v>47608</v>
      </c>
      <c r="V248" s="68">
        <v>2.76E-2</v>
      </c>
      <c r="W248" s="68">
        <v>4.1300000000000003E-2</v>
      </c>
      <c r="X248" s="1" t="s">
        <v>636</v>
      </c>
      <c r="Y248" s="140" t="s">
        <v>2853</v>
      </c>
      <c r="Z248" s="67">
        <v>20430000</v>
      </c>
      <c r="AA248" s="67">
        <v>1</v>
      </c>
      <c r="AB248" s="67">
        <v>97.54</v>
      </c>
      <c r="AC248" s="67">
        <v>0</v>
      </c>
      <c r="AD248" s="67">
        <v>19927.421999999999</v>
      </c>
      <c r="AE248" s="140" t="s">
        <v>2853</v>
      </c>
      <c r="AF248" s="140" t="s">
        <v>2853</v>
      </c>
      <c r="AG248" s="1" t="s">
        <v>17</v>
      </c>
      <c r="AH248" s="68">
        <v>1.0456410816E-2</v>
      </c>
      <c r="AI248" s="68">
        <v>3.7566481173461015E-2</v>
      </c>
      <c r="AJ248" s="68">
        <v>4.624103163206556E-3</v>
      </c>
    </row>
    <row r="249" spans="1:36" x14ac:dyDescent="0.25">
      <c r="A249" s="1">
        <v>13908</v>
      </c>
      <c r="B249" s="1">
        <v>13908</v>
      </c>
      <c r="C249" s="1" t="s">
        <v>1502</v>
      </c>
      <c r="D249" s="1">
        <v>520020116</v>
      </c>
      <c r="E249" s="1" t="s">
        <v>429</v>
      </c>
      <c r="F249" s="1" t="s">
        <v>1916</v>
      </c>
      <c r="G249" s="1" t="s">
        <v>1917</v>
      </c>
      <c r="H249" s="1" t="s">
        <v>76</v>
      </c>
      <c r="I249" s="1" t="s">
        <v>229</v>
      </c>
      <c r="J249" s="1" t="s">
        <v>53</v>
      </c>
      <c r="K249" s="1" t="s">
        <v>53</v>
      </c>
      <c r="L249" s="1" t="s">
        <v>821</v>
      </c>
      <c r="M249" s="1" t="s">
        <v>311</v>
      </c>
      <c r="N249" s="1" t="s">
        <v>651</v>
      </c>
      <c r="O249" s="1" t="s">
        <v>62</v>
      </c>
      <c r="P249" s="1" t="s">
        <v>1292</v>
      </c>
      <c r="Q249" s="1" t="s">
        <v>65</v>
      </c>
      <c r="R249" s="1" t="s">
        <v>57</v>
      </c>
      <c r="S249" s="1" t="s">
        <v>1206</v>
      </c>
      <c r="T249" s="69">
        <v>1.8959999999999999</v>
      </c>
      <c r="U249" s="70">
        <v>46752</v>
      </c>
      <c r="V249" s="68">
        <v>1.7999999999999999E-2</v>
      </c>
      <c r="W249" s="68">
        <v>2.6800000000000001E-2</v>
      </c>
      <c r="X249" s="1" t="s">
        <v>636</v>
      </c>
      <c r="Y249" s="140" t="s">
        <v>2853</v>
      </c>
      <c r="Z249" s="67">
        <v>999147.02</v>
      </c>
      <c r="AA249" s="67">
        <v>1</v>
      </c>
      <c r="AB249" s="67">
        <v>117.12</v>
      </c>
      <c r="AC249" s="67">
        <v>0</v>
      </c>
      <c r="AD249" s="67">
        <v>1170.20099</v>
      </c>
      <c r="AE249" s="140" t="s">
        <v>2853</v>
      </c>
      <c r="AF249" s="140" t="s">
        <v>2853</v>
      </c>
      <c r="AG249" s="1" t="s">
        <v>17</v>
      </c>
      <c r="AH249" s="68">
        <v>1.4477611489999999E-3</v>
      </c>
      <c r="AI249" s="68">
        <v>2.206022106622746E-3</v>
      </c>
      <c r="AJ249" s="68">
        <v>2.715419033855179E-4</v>
      </c>
    </row>
    <row r="250" spans="1:36" x14ac:dyDescent="0.25">
      <c r="A250" s="1">
        <v>13908</v>
      </c>
      <c r="B250" s="1">
        <v>13908</v>
      </c>
      <c r="C250" s="1" t="s">
        <v>1502</v>
      </c>
      <c r="D250" s="1">
        <v>520020116</v>
      </c>
      <c r="E250" s="1" t="s">
        <v>429</v>
      </c>
      <c r="F250" s="1" t="s">
        <v>1918</v>
      </c>
      <c r="G250" s="1" t="s">
        <v>1919</v>
      </c>
      <c r="H250" s="1" t="s">
        <v>76</v>
      </c>
      <c r="I250" s="1" t="s">
        <v>229</v>
      </c>
      <c r="J250" s="1" t="s">
        <v>53</v>
      </c>
      <c r="K250" s="1" t="s">
        <v>53</v>
      </c>
      <c r="L250" s="1" t="s">
        <v>821</v>
      </c>
      <c r="M250" s="1" t="s">
        <v>311</v>
      </c>
      <c r="N250" s="1" t="s">
        <v>651</v>
      </c>
      <c r="O250" s="1" t="s">
        <v>62</v>
      </c>
      <c r="P250" s="1" t="s">
        <v>1414</v>
      </c>
      <c r="Q250" s="1" t="s">
        <v>65</v>
      </c>
      <c r="R250" s="1" t="s">
        <v>57</v>
      </c>
      <c r="S250" s="1" t="s">
        <v>1206</v>
      </c>
      <c r="T250" s="69">
        <v>0.98099999999999998</v>
      </c>
      <c r="U250" s="70">
        <v>46568</v>
      </c>
      <c r="V250" s="68">
        <v>2.2499999999999999E-2</v>
      </c>
      <c r="W250" s="68">
        <v>2.87E-2</v>
      </c>
      <c r="X250" s="1" t="s">
        <v>636</v>
      </c>
      <c r="Y250" s="140" t="s">
        <v>2853</v>
      </c>
      <c r="Z250" s="67">
        <v>37500.019999999997</v>
      </c>
      <c r="AA250" s="67">
        <v>1</v>
      </c>
      <c r="AB250" s="67">
        <v>117.99</v>
      </c>
      <c r="AC250" s="67">
        <v>0</v>
      </c>
      <c r="AD250" s="67">
        <v>44.246270000000003</v>
      </c>
      <c r="AE250" s="140" t="s">
        <v>2853</v>
      </c>
      <c r="AF250" s="140" t="s">
        <v>2853</v>
      </c>
      <c r="AG250" s="1" t="s">
        <v>17</v>
      </c>
      <c r="AH250" s="68">
        <v>1.5021783399999999E-4</v>
      </c>
      <c r="AI250" s="68">
        <v>8.3411525532548731E-5</v>
      </c>
      <c r="AJ250" s="68">
        <v>1.0267224584649806E-5</v>
      </c>
    </row>
    <row r="251" spans="1:36" x14ac:dyDescent="0.25">
      <c r="A251" s="1">
        <v>13908</v>
      </c>
      <c r="B251" s="1">
        <v>13908</v>
      </c>
      <c r="C251" s="1" t="s">
        <v>1502</v>
      </c>
      <c r="D251" s="1">
        <v>520020116</v>
      </c>
      <c r="E251" s="1" t="s">
        <v>429</v>
      </c>
      <c r="F251" s="1" t="s">
        <v>1920</v>
      </c>
      <c r="G251" s="1" t="s">
        <v>1921</v>
      </c>
      <c r="H251" s="1" t="s">
        <v>76</v>
      </c>
      <c r="I251" s="1" t="s">
        <v>229</v>
      </c>
      <c r="J251" s="1" t="s">
        <v>53</v>
      </c>
      <c r="K251" s="1" t="s">
        <v>53</v>
      </c>
      <c r="L251" s="1" t="s">
        <v>821</v>
      </c>
      <c r="M251" s="1" t="s">
        <v>311</v>
      </c>
      <c r="N251" s="1" t="s">
        <v>651</v>
      </c>
      <c r="O251" s="1" t="s">
        <v>62</v>
      </c>
      <c r="P251" s="1" t="s">
        <v>1414</v>
      </c>
      <c r="Q251" s="1" t="s">
        <v>65</v>
      </c>
      <c r="R251" s="1" t="s">
        <v>57</v>
      </c>
      <c r="S251" s="1" t="s">
        <v>1206</v>
      </c>
      <c r="T251" s="69">
        <v>2.0350000000000001</v>
      </c>
      <c r="U251" s="70">
        <v>47118</v>
      </c>
      <c r="V251" s="68">
        <v>3.3000000000000002E-2</v>
      </c>
      <c r="W251" s="68">
        <v>2.75E-2</v>
      </c>
      <c r="X251" s="1" t="s">
        <v>636</v>
      </c>
      <c r="Y251" s="140" t="s">
        <v>2853</v>
      </c>
      <c r="Z251" s="67">
        <v>100000</v>
      </c>
      <c r="AA251" s="67">
        <v>1</v>
      </c>
      <c r="AB251" s="67">
        <v>119.06</v>
      </c>
      <c r="AC251" s="67">
        <v>0</v>
      </c>
      <c r="AD251" s="67">
        <v>119.06</v>
      </c>
      <c r="AE251" s="140" t="s">
        <v>2853</v>
      </c>
      <c r="AF251" s="140" t="s">
        <v>2853</v>
      </c>
      <c r="AG251" s="1" t="s">
        <v>17</v>
      </c>
      <c r="AH251" s="68">
        <v>2.9238672700000002E-4</v>
      </c>
      <c r="AI251" s="68">
        <v>2.2444776090516222E-4</v>
      </c>
      <c r="AJ251" s="68">
        <v>2.7627543723988615E-5</v>
      </c>
    </row>
    <row r="252" spans="1:36" x14ac:dyDescent="0.25">
      <c r="A252" s="1">
        <v>13908</v>
      </c>
      <c r="B252" s="1">
        <v>13908</v>
      </c>
      <c r="C252" s="1" t="s">
        <v>1922</v>
      </c>
      <c r="D252" s="1">
        <v>520017807</v>
      </c>
      <c r="E252" s="1" t="s">
        <v>429</v>
      </c>
      <c r="F252" s="1" t="s">
        <v>1923</v>
      </c>
      <c r="G252" s="1" t="s">
        <v>1924</v>
      </c>
      <c r="H252" s="1" t="s">
        <v>76</v>
      </c>
      <c r="I252" s="1" t="s">
        <v>229</v>
      </c>
      <c r="J252" s="1" t="s">
        <v>53</v>
      </c>
      <c r="K252" s="1" t="s">
        <v>53</v>
      </c>
      <c r="L252" s="1" t="s">
        <v>821</v>
      </c>
      <c r="M252" s="1" t="s">
        <v>311</v>
      </c>
      <c r="N252" s="1" t="s">
        <v>651</v>
      </c>
      <c r="O252" s="1" t="s">
        <v>62</v>
      </c>
      <c r="P252" s="1" t="s">
        <v>1311</v>
      </c>
      <c r="Q252" s="1" t="s">
        <v>70</v>
      </c>
      <c r="R252" s="1" t="s">
        <v>57</v>
      </c>
      <c r="S252" s="1" t="s">
        <v>1206</v>
      </c>
      <c r="T252" s="69">
        <v>2.984</v>
      </c>
      <c r="U252" s="70">
        <v>48059</v>
      </c>
      <c r="V252" s="68">
        <v>2.4E-2</v>
      </c>
      <c r="W252" s="68">
        <v>2.5399999999999999E-2</v>
      </c>
      <c r="X252" s="1" t="s">
        <v>636</v>
      </c>
      <c r="Y252" s="140" t="s">
        <v>2853</v>
      </c>
      <c r="Z252" s="67">
        <v>186154.81</v>
      </c>
      <c r="AA252" s="67">
        <v>1</v>
      </c>
      <c r="AB252" s="67">
        <v>119.77</v>
      </c>
      <c r="AC252" s="67">
        <v>0</v>
      </c>
      <c r="AD252" s="67">
        <v>222.95761999999999</v>
      </c>
      <c r="AE252" s="140" t="s">
        <v>2853</v>
      </c>
      <c r="AF252" s="140" t="s">
        <v>2853</v>
      </c>
      <c r="AG252" s="1" t="s">
        <v>17</v>
      </c>
      <c r="AH252" s="68">
        <v>1.8076610300000001E-4</v>
      </c>
      <c r="AI252" s="68">
        <v>4.2031193167935501E-4</v>
      </c>
      <c r="AJ252" s="68">
        <v>5.1736699102523417E-5</v>
      </c>
    </row>
    <row r="253" spans="1:36" x14ac:dyDescent="0.25">
      <c r="A253" s="1">
        <v>13908</v>
      </c>
      <c r="B253" s="1">
        <v>13908</v>
      </c>
      <c r="C253" s="1" t="s">
        <v>1922</v>
      </c>
      <c r="D253" s="1">
        <v>520017807</v>
      </c>
      <c r="E253" s="1" t="s">
        <v>429</v>
      </c>
      <c r="F253" s="1" t="s">
        <v>1925</v>
      </c>
      <c r="G253" s="1" t="s">
        <v>1926</v>
      </c>
      <c r="H253" s="1" t="s">
        <v>76</v>
      </c>
      <c r="I253" s="1" t="s">
        <v>229</v>
      </c>
      <c r="J253" s="1" t="s">
        <v>53</v>
      </c>
      <c r="K253" s="1" t="s">
        <v>53</v>
      </c>
      <c r="L253" s="1" t="s">
        <v>821</v>
      </c>
      <c r="M253" s="1" t="s">
        <v>311</v>
      </c>
      <c r="N253" s="1" t="s">
        <v>651</v>
      </c>
      <c r="O253" s="1" t="s">
        <v>62</v>
      </c>
      <c r="P253" s="1" t="s">
        <v>1285</v>
      </c>
      <c r="Q253" s="1" t="s">
        <v>65</v>
      </c>
      <c r="R253" s="1" t="s">
        <v>57</v>
      </c>
      <c r="S253" s="1" t="s">
        <v>1206</v>
      </c>
      <c r="T253" s="69">
        <v>3.9</v>
      </c>
      <c r="U253" s="70">
        <v>47583</v>
      </c>
      <c r="V253" s="68">
        <v>8.3999999999999995E-3</v>
      </c>
      <c r="W253" s="68">
        <v>2.4899999999999999E-2</v>
      </c>
      <c r="X253" s="1" t="s">
        <v>636</v>
      </c>
      <c r="Y253" s="140" t="s">
        <v>2853</v>
      </c>
      <c r="Z253" s="67">
        <v>284961.71999999997</v>
      </c>
      <c r="AA253" s="67">
        <v>1</v>
      </c>
      <c r="AB253" s="67">
        <v>110.04</v>
      </c>
      <c r="AC253" s="67">
        <v>0</v>
      </c>
      <c r="AD253" s="67">
        <v>313.57188000000002</v>
      </c>
      <c r="AE253" s="140" t="s">
        <v>2853</v>
      </c>
      <c r="AF253" s="140" t="s">
        <v>2853</v>
      </c>
      <c r="AG253" s="1" t="s">
        <v>17</v>
      </c>
      <c r="AH253" s="68">
        <v>3.85233288E-4</v>
      </c>
      <c r="AI253" s="68">
        <v>5.9113477531347401E-4</v>
      </c>
      <c r="AJ253" s="68">
        <v>7.2763487529928708E-5</v>
      </c>
    </row>
    <row r="254" spans="1:36" x14ac:dyDescent="0.25">
      <c r="A254" s="1">
        <v>13908</v>
      </c>
      <c r="B254" s="1">
        <v>13908</v>
      </c>
      <c r="C254" s="1" t="s">
        <v>1922</v>
      </c>
      <c r="D254" s="1">
        <v>520017807</v>
      </c>
      <c r="E254" s="1" t="s">
        <v>429</v>
      </c>
      <c r="F254" s="1" t="s">
        <v>1927</v>
      </c>
      <c r="G254" s="1" t="s">
        <v>1928</v>
      </c>
      <c r="H254" s="1" t="s">
        <v>76</v>
      </c>
      <c r="I254" s="1" t="s">
        <v>229</v>
      </c>
      <c r="J254" s="1" t="s">
        <v>53</v>
      </c>
      <c r="K254" s="1" t="s">
        <v>53</v>
      </c>
      <c r="L254" s="1" t="s">
        <v>821</v>
      </c>
      <c r="M254" s="1" t="s">
        <v>311</v>
      </c>
      <c r="N254" s="1" t="s">
        <v>651</v>
      </c>
      <c r="O254" s="1" t="s">
        <v>62</v>
      </c>
      <c r="P254" s="1" t="s">
        <v>1311</v>
      </c>
      <c r="Q254" s="1" t="s">
        <v>70</v>
      </c>
      <c r="R254" s="1" t="s">
        <v>57</v>
      </c>
      <c r="S254" s="1" t="s">
        <v>1206</v>
      </c>
      <c r="T254" s="69">
        <v>5.1459999999999999</v>
      </c>
      <c r="U254" s="70">
        <v>49765</v>
      </c>
      <c r="V254" s="68">
        <v>1.4999999999999999E-2</v>
      </c>
      <c r="W254" s="68">
        <v>2.6599999999999999E-2</v>
      </c>
      <c r="X254" s="1" t="s">
        <v>636</v>
      </c>
      <c r="Y254" s="140" t="s">
        <v>2853</v>
      </c>
      <c r="Z254" s="67">
        <v>2486802.77</v>
      </c>
      <c r="AA254" s="67">
        <v>1</v>
      </c>
      <c r="AB254" s="67">
        <v>107.77</v>
      </c>
      <c r="AC254" s="67">
        <v>0</v>
      </c>
      <c r="AD254" s="67">
        <v>2680.0273499999998</v>
      </c>
      <c r="AE254" s="140" t="s">
        <v>2853</v>
      </c>
      <c r="AF254" s="140" t="s">
        <v>2853</v>
      </c>
      <c r="AG254" s="1" t="s">
        <v>17</v>
      </c>
      <c r="AH254" s="68">
        <v>2.3750747839999999E-3</v>
      </c>
      <c r="AI254" s="68">
        <v>5.0522941195371698E-3</v>
      </c>
      <c r="AJ254" s="68">
        <v>6.2189293460112823E-4</v>
      </c>
    </row>
    <row r="255" spans="1:36" x14ac:dyDescent="0.25">
      <c r="A255" s="1">
        <v>13908</v>
      </c>
      <c r="B255" s="1">
        <v>13908</v>
      </c>
      <c r="C255" s="1" t="s">
        <v>1499</v>
      </c>
      <c r="D255" s="1">
        <v>520000118</v>
      </c>
      <c r="E255" s="1" t="s">
        <v>429</v>
      </c>
      <c r="F255" s="1" t="s">
        <v>1929</v>
      </c>
      <c r="G255" s="1" t="s">
        <v>1930</v>
      </c>
      <c r="H255" s="1" t="s">
        <v>76</v>
      </c>
      <c r="I255" s="1" t="s">
        <v>229</v>
      </c>
      <c r="J255" s="1" t="s">
        <v>53</v>
      </c>
      <c r="K255" s="1" t="s">
        <v>53</v>
      </c>
      <c r="L255" s="1" t="s">
        <v>821</v>
      </c>
      <c r="M255" s="1" t="s">
        <v>311</v>
      </c>
      <c r="N255" s="1" t="s">
        <v>256</v>
      </c>
      <c r="O255" s="1" t="s">
        <v>62</v>
      </c>
      <c r="P255" s="1" t="s">
        <v>1281</v>
      </c>
      <c r="Q255" s="1" t="s">
        <v>65</v>
      </c>
      <c r="R255" s="1" t="s">
        <v>57</v>
      </c>
      <c r="S255" s="1" t="s">
        <v>1206</v>
      </c>
      <c r="T255" s="69">
        <v>0.625</v>
      </c>
      <c r="U255" s="70">
        <v>48077</v>
      </c>
      <c r="V255" s="68">
        <v>2.9700000000000001E-2</v>
      </c>
      <c r="W255" s="68">
        <v>2.76E-2</v>
      </c>
      <c r="X255" s="1" t="s">
        <v>636</v>
      </c>
      <c r="Y255" s="140" t="s">
        <v>2853</v>
      </c>
      <c r="Z255" s="67">
        <v>939355</v>
      </c>
      <c r="AA255" s="67">
        <v>1</v>
      </c>
      <c r="AB255" s="67">
        <v>119.4</v>
      </c>
      <c r="AC255" s="67">
        <v>0</v>
      </c>
      <c r="AD255" s="67">
        <v>1121.58987</v>
      </c>
      <c r="AE255" s="140" t="s">
        <v>2853</v>
      </c>
      <c r="AF255" s="140" t="s">
        <v>2853</v>
      </c>
      <c r="AG255" s="1" t="s">
        <v>17</v>
      </c>
      <c r="AH255" s="68">
        <v>1.341935714E-3</v>
      </c>
      <c r="AI255" s="68">
        <v>2.1143821180531828E-3</v>
      </c>
      <c r="AJ255" s="68">
        <v>2.6026182742993199E-4</v>
      </c>
    </row>
    <row r="256" spans="1:36" x14ac:dyDescent="0.25">
      <c r="A256" s="1">
        <v>13908</v>
      </c>
      <c r="B256" s="1">
        <v>13908</v>
      </c>
      <c r="C256" s="1" t="s">
        <v>1696</v>
      </c>
      <c r="D256" s="1">
        <v>520025370</v>
      </c>
      <c r="E256" s="1" t="s">
        <v>429</v>
      </c>
      <c r="F256" s="1" t="s">
        <v>1931</v>
      </c>
      <c r="G256" s="1" t="s">
        <v>1932</v>
      </c>
      <c r="H256" s="1" t="s">
        <v>76</v>
      </c>
      <c r="I256" s="1" t="s">
        <v>228</v>
      </c>
      <c r="J256" s="1" t="s">
        <v>53</v>
      </c>
      <c r="K256" s="1" t="s">
        <v>53</v>
      </c>
      <c r="L256" s="1" t="s">
        <v>821</v>
      </c>
      <c r="M256" s="1" t="s">
        <v>311</v>
      </c>
      <c r="N256" s="1" t="s">
        <v>708</v>
      </c>
      <c r="O256" s="1" t="s">
        <v>62</v>
      </c>
      <c r="P256" s="1" t="s">
        <v>1281</v>
      </c>
      <c r="Q256" s="1" t="s">
        <v>65</v>
      </c>
      <c r="R256" s="1" t="s">
        <v>57</v>
      </c>
      <c r="S256" s="1" t="s">
        <v>1206</v>
      </c>
      <c r="T256" s="69">
        <v>2.1150000000000002</v>
      </c>
      <c r="U256" s="70">
        <v>47377</v>
      </c>
      <c r="V256" s="68">
        <v>2.0400000000000001E-2</v>
      </c>
      <c r="W256" s="68">
        <v>4.36E-2</v>
      </c>
      <c r="X256" s="1" t="s">
        <v>636</v>
      </c>
      <c r="Y256" s="140" t="s">
        <v>2853</v>
      </c>
      <c r="Z256" s="67">
        <v>1719999.68</v>
      </c>
      <c r="AA256" s="67">
        <v>1</v>
      </c>
      <c r="AB256" s="67">
        <v>95.91</v>
      </c>
      <c r="AC256" s="67">
        <v>0</v>
      </c>
      <c r="AD256" s="67">
        <v>1649.6516899999999</v>
      </c>
      <c r="AE256" s="140" t="s">
        <v>2853</v>
      </c>
      <c r="AF256" s="140" t="s">
        <v>2853</v>
      </c>
      <c r="AG256" s="1" t="s">
        <v>17</v>
      </c>
      <c r="AH256" s="68">
        <v>5.7318931789999998E-3</v>
      </c>
      <c r="AI256" s="68">
        <v>3.1098658499405067E-3</v>
      </c>
      <c r="AJ256" s="68">
        <v>3.8279711233686132E-4</v>
      </c>
    </row>
    <row r="257" spans="1:36" x14ac:dyDescent="0.25">
      <c r="A257" s="1">
        <v>13908</v>
      </c>
      <c r="B257" s="1">
        <v>13908</v>
      </c>
      <c r="C257" s="1" t="s">
        <v>1933</v>
      </c>
      <c r="D257" s="1">
        <v>520025990</v>
      </c>
      <c r="E257" s="1" t="s">
        <v>429</v>
      </c>
      <c r="F257" s="1" t="s">
        <v>1934</v>
      </c>
      <c r="G257" s="1" t="s">
        <v>1935</v>
      </c>
      <c r="H257" s="1" t="s">
        <v>76</v>
      </c>
      <c r="I257" s="1" t="s">
        <v>228</v>
      </c>
      <c r="J257" s="1" t="s">
        <v>53</v>
      </c>
      <c r="K257" s="1" t="s">
        <v>53</v>
      </c>
      <c r="L257" s="1" t="s">
        <v>821</v>
      </c>
      <c r="M257" s="1" t="s">
        <v>311</v>
      </c>
      <c r="N257" s="1" t="s">
        <v>140</v>
      </c>
      <c r="O257" s="1" t="s">
        <v>62</v>
      </c>
      <c r="P257" s="1" t="s">
        <v>1323</v>
      </c>
      <c r="Q257" s="1" t="s">
        <v>70</v>
      </c>
      <c r="R257" s="1" t="s">
        <v>57</v>
      </c>
      <c r="S257" s="1" t="s">
        <v>1206</v>
      </c>
      <c r="T257" s="69">
        <v>0.99</v>
      </c>
      <c r="U257" s="70">
        <v>46387</v>
      </c>
      <c r="V257" s="68">
        <v>2.9499999999999998E-2</v>
      </c>
      <c r="W257" s="68">
        <v>4.6899999999999997E-2</v>
      </c>
      <c r="X257" s="1" t="s">
        <v>636</v>
      </c>
      <c r="Y257" s="140" t="s">
        <v>2853</v>
      </c>
      <c r="Z257" s="67">
        <v>52702.7</v>
      </c>
      <c r="AA257" s="67">
        <v>1</v>
      </c>
      <c r="AB257" s="67">
        <v>98.38</v>
      </c>
      <c r="AC257" s="67">
        <v>0</v>
      </c>
      <c r="AD257" s="67">
        <v>51.84892</v>
      </c>
      <c r="AE257" s="140" t="s">
        <v>2853</v>
      </c>
      <c r="AF257" s="140" t="s">
        <v>2853</v>
      </c>
      <c r="AG257" s="1" t="s">
        <v>17</v>
      </c>
      <c r="AH257" s="68">
        <v>3.7985894700000002E-4</v>
      </c>
      <c r="AI257" s="68">
        <v>9.7743776241818262E-5</v>
      </c>
      <c r="AJ257" s="68">
        <v>1.2031398491026269E-5</v>
      </c>
    </row>
    <row r="258" spans="1:36" x14ac:dyDescent="0.25">
      <c r="A258" s="1">
        <v>13908</v>
      </c>
      <c r="B258" s="1">
        <v>13908</v>
      </c>
      <c r="C258" s="1" t="s">
        <v>1933</v>
      </c>
      <c r="D258" s="1">
        <v>520025990</v>
      </c>
      <c r="E258" s="1" t="s">
        <v>429</v>
      </c>
      <c r="F258" s="1" t="s">
        <v>1936</v>
      </c>
      <c r="G258" s="1" t="s">
        <v>1937</v>
      </c>
      <c r="H258" s="1" t="s">
        <v>76</v>
      </c>
      <c r="I258" s="1" t="s">
        <v>228</v>
      </c>
      <c r="J258" s="1" t="s">
        <v>53</v>
      </c>
      <c r="K258" s="1" t="s">
        <v>53</v>
      </c>
      <c r="L258" s="1" t="s">
        <v>821</v>
      </c>
      <c r="M258" s="1" t="s">
        <v>311</v>
      </c>
      <c r="N258" s="1" t="s">
        <v>140</v>
      </c>
      <c r="O258" s="1" t="s">
        <v>62</v>
      </c>
      <c r="P258" s="1" t="s">
        <v>1323</v>
      </c>
      <c r="Q258" s="1" t="s">
        <v>70</v>
      </c>
      <c r="R258" s="1" t="s">
        <v>57</v>
      </c>
      <c r="S258" s="1" t="s">
        <v>1206</v>
      </c>
      <c r="T258" s="69">
        <v>1.794</v>
      </c>
      <c r="U258" s="70">
        <v>47118</v>
      </c>
      <c r="V258" s="68">
        <v>2.5499999999999998E-2</v>
      </c>
      <c r="W258" s="68">
        <v>4.6199999999999998E-2</v>
      </c>
      <c r="X258" s="1" t="s">
        <v>636</v>
      </c>
      <c r="Y258" s="140" t="s">
        <v>2853</v>
      </c>
      <c r="Z258" s="67">
        <v>419999.99</v>
      </c>
      <c r="AA258" s="67">
        <v>1</v>
      </c>
      <c r="AB258" s="67">
        <v>96.5</v>
      </c>
      <c r="AC258" s="67">
        <v>0</v>
      </c>
      <c r="AD258" s="67">
        <v>405.29998999999998</v>
      </c>
      <c r="AE258" s="140" t="s">
        <v>2853</v>
      </c>
      <c r="AF258" s="140" t="s">
        <v>2853</v>
      </c>
      <c r="AG258" s="1" t="s">
        <v>17</v>
      </c>
      <c r="AH258" s="68">
        <v>7.80432965E-4</v>
      </c>
      <c r="AI258" s="68">
        <v>7.6405741013257705E-4</v>
      </c>
      <c r="AJ258" s="68">
        <v>9.4048741769336023E-5</v>
      </c>
    </row>
    <row r="259" spans="1:36" x14ac:dyDescent="0.25">
      <c r="A259" s="1">
        <v>13908</v>
      </c>
      <c r="B259" s="1">
        <v>13908</v>
      </c>
      <c r="C259" s="1" t="s">
        <v>1938</v>
      </c>
      <c r="D259" s="1">
        <v>520041146</v>
      </c>
      <c r="E259" s="1" t="s">
        <v>429</v>
      </c>
      <c r="F259" s="1" t="s">
        <v>1939</v>
      </c>
      <c r="G259" s="1" t="s">
        <v>1940</v>
      </c>
      <c r="H259" s="1" t="s">
        <v>76</v>
      </c>
      <c r="I259" s="1" t="s">
        <v>228</v>
      </c>
      <c r="J259" s="1" t="s">
        <v>53</v>
      </c>
      <c r="K259" s="1" t="s">
        <v>53</v>
      </c>
      <c r="L259" s="1" t="s">
        <v>821</v>
      </c>
      <c r="M259" s="1" t="s">
        <v>311</v>
      </c>
      <c r="N259" s="1" t="s">
        <v>647</v>
      </c>
      <c r="O259" s="1" t="s">
        <v>62</v>
      </c>
      <c r="P259" s="1" t="s">
        <v>1358</v>
      </c>
      <c r="Q259" s="1" t="s">
        <v>70</v>
      </c>
      <c r="R259" s="1" t="s">
        <v>57</v>
      </c>
      <c r="S259" s="1" t="s">
        <v>1206</v>
      </c>
      <c r="T259" s="69">
        <v>0.65700000000000003</v>
      </c>
      <c r="U259" s="70">
        <v>46266</v>
      </c>
      <c r="V259" s="68">
        <v>3.4500000000000003E-2</v>
      </c>
      <c r="W259" s="68">
        <v>4.8599999999999997E-2</v>
      </c>
      <c r="X259" s="1" t="s">
        <v>636</v>
      </c>
      <c r="Y259" s="140" t="s">
        <v>2853</v>
      </c>
      <c r="Z259" s="67">
        <v>1309941.23</v>
      </c>
      <c r="AA259" s="67">
        <v>1</v>
      </c>
      <c r="AB259" s="67">
        <v>100.27</v>
      </c>
      <c r="AC259" s="67">
        <v>0</v>
      </c>
      <c r="AD259" s="67">
        <v>1313.4780699999999</v>
      </c>
      <c r="AE259" s="140" t="s">
        <v>2853</v>
      </c>
      <c r="AF259" s="140" t="s">
        <v>2853</v>
      </c>
      <c r="AG259" s="1" t="s">
        <v>17</v>
      </c>
      <c r="AH259" s="68">
        <v>2.3516619700000001E-3</v>
      </c>
      <c r="AI259" s="68">
        <v>2.476123062401595E-3</v>
      </c>
      <c r="AJ259" s="68">
        <v>3.0478895354800245E-4</v>
      </c>
    </row>
    <row r="260" spans="1:36" x14ac:dyDescent="0.25">
      <c r="A260" s="1">
        <v>13908</v>
      </c>
      <c r="B260" s="1">
        <v>13908</v>
      </c>
      <c r="C260" s="1" t="s">
        <v>1938</v>
      </c>
      <c r="D260" s="1">
        <v>520041146</v>
      </c>
      <c r="E260" s="1" t="s">
        <v>429</v>
      </c>
      <c r="F260" s="1" t="s">
        <v>1941</v>
      </c>
      <c r="G260" s="1" t="s">
        <v>1942</v>
      </c>
      <c r="H260" s="1" t="s">
        <v>76</v>
      </c>
      <c r="I260" s="1" t="s">
        <v>623</v>
      </c>
      <c r="J260" s="1" t="s">
        <v>53</v>
      </c>
      <c r="K260" s="1" t="s">
        <v>53</v>
      </c>
      <c r="L260" s="1" t="s">
        <v>821</v>
      </c>
      <c r="M260" s="1" t="s">
        <v>311</v>
      </c>
      <c r="N260" s="1" t="s">
        <v>647</v>
      </c>
      <c r="O260" s="1" t="s">
        <v>62</v>
      </c>
      <c r="P260" s="1" t="s">
        <v>1358</v>
      </c>
      <c r="Q260" s="1" t="s">
        <v>70</v>
      </c>
      <c r="R260" s="1" t="s">
        <v>57</v>
      </c>
      <c r="S260" s="1" t="s">
        <v>1206</v>
      </c>
      <c r="T260" s="69">
        <v>2.6389999999999998</v>
      </c>
      <c r="U260" s="70">
        <v>46997</v>
      </c>
      <c r="V260" s="68">
        <v>7.4999999999999997E-3</v>
      </c>
      <c r="W260" s="68">
        <v>4.4299999999999999E-2</v>
      </c>
      <c r="X260" s="1" t="s">
        <v>636</v>
      </c>
      <c r="Y260" s="140" t="s">
        <v>2853</v>
      </c>
      <c r="Z260" s="67">
        <v>5434900</v>
      </c>
      <c r="AA260" s="67">
        <v>1</v>
      </c>
      <c r="AB260" s="67">
        <v>91.2</v>
      </c>
      <c r="AC260" s="67">
        <v>0</v>
      </c>
      <c r="AD260" s="67">
        <v>4956.6288000000004</v>
      </c>
      <c r="AE260" s="140" t="s">
        <v>2853</v>
      </c>
      <c r="AF260" s="140" t="s">
        <v>2853</v>
      </c>
      <c r="AG260" s="1" t="s">
        <v>17</v>
      </c>
      <c r="AH260" s="68">
        <v>1.0225541207E-2</v>
      </c>
      <c r="AI260" s="68">
        <v>9.3440637980685467E-3</v>
      </c>
      <c r="AJ260" s="68">
        <v>1.1501720048343795E-3</v>
      </c>
    </row>
    <row r="261" spans="1:36" x14ac:dyDescent="0.25">
      <c r="A261" s="1">
        <v>13908</v>
      </c>
      <c r="B261" s="1">
        <v>13908</v>
      </c>
      <c r="C261" s="1" t="s">
        <v>1938</v>
      </c>
      <c r="D261" s="1">
        <v>520041146</v>
      </c>
      <c r="E261" s="1" t="s">
        <v>429</v>
      </c>
      <c r="F261" s="1" t="s">
        <v>1943</v>
      </c>
      <c r="G261" s="1" t="s">
        <v>1944</v>
      </c>
      <c r="H261" s="1" t="s">
        <v>76</v>
      </c>
      <c r="I261" s="1" t="s">
        <v>228</v>
      </c>
      <c r="J261" s="1" t="s">
        <v>53</v>
      </c>
      <c r="K261" s="1" t="s">
        <v>53</v>
      </c>
      <c r="L261" s="1" t="s">
        <v>821</v>
      </c>
      <c r="M261" s="1" t="s">
        <v>311</v>
      </c>
      <c r="N261" s="1" t="s">
        <v>647</v>
      </c>
      <c r="O261" s="1" t="s">
        <v>62</v>
      </c>
      <c r="P261" s="1" t="s">
        <v>1358</v>
      </c>
      <c r="Q261" s="1" t="s">
        <v>70</v>
      </c>
      <c r="R261" s="1" t="s">
        <v>57</v>
      </c>
      <c r="S261" s="1" t="s">
        <v>1206</v>
      </c>
      <c r="T261" s="69">
        <v>2.573</v>
      </c>
      <c r="U261" s="70">
        <v>47363</v>
      </c>
      <c r="V261" s="68">
        <v>1.4999999999999999E-2</v>
      </c>
      <c r="W261" s="68">
        <v>4.5499999999999999E-2</v>
      </c>
      <c r="X261" s="1" t="s">
        <v>636</v>
      </c>
      <c r="Y261" s="140" t="s">
        <v>2853</v>
      </c>
      <c r="Z261" s="67">
        <v>2750000</v>
      </c>
      <c r="AA261" s="67">
        <v>1</v>
      </c>
      <c r="AB261" s="67">
        <v>93.1</v>
      </c>
      <c r="AC261" s="67">
        <v>0</v>
      </c>
      <c r="AD261" s="67">
        <v>2560.25</v>
      </c>
      <c r="AE261" s="140" t="s">
        <v>2853</v>
      </c>
      <c r="AF261" s="140" t="s">
        <v>2853</v>
      </c>
      <c r="AG261" s="1" t="s">
        <v>17</v>
      </c>
      <c r="AH261" s="68">
        <v>2.3364763889999998E-3</v>
      </c>
      <c r="AI261" s="68">
        <v>4.826494035422825E-3</v>
      </c>
      <c r="AJ261" s="68">
        <v>5.9409893179356498E-4</v>
      </c>
    </row>
    <row r="262" spans="1:36" x14ac:dyDescent="0.25">
      <c r="A262" s="1">
        <v>13908</v>
      </c>
      <c r="B262" s="1">
        <v>13908</v>
      </c>
      <c r="C262" s="1" t="s">
        <v>1496</v>
      </c>
      <c r="D262" s="1">
        <v>520029935</v>
      </c>
      <c r="E262" s="1" t="s">
        <v>429</v>
      </c>
      <c r="F262" s="1" t="s">
        <v>1945</v>
      </c>
      <c r="G262" s="1" t="s">
        <v>1946</v>
      </c>
      <c r="H262" s="1" t="s">
        <v>76</v>
      </c>
      <c r="I262" s="1" t="s">
        <v>228</v>
      </c>
      <c r="J262" s="1" t="s">
        <v>53</v>
      </c>
      <c r="K262" s="1" t="s">
        <v>53</v>
      </c>
      <c r="L262" s="1" t="s">
        <v>821</v>
      </c>
      <c r="M262" s="1" t="s">
        <v>311</v>
      </c>
      <c r="N262" s="1" t="s">
        <v>256</v>
      </c>
      <c r="O262" s="1" t="s">
        <v>62</v>
      </c>
      <c r="P262" s="1" t="s">
        <v>1205</v>
      </c>
      <c r="Q262" s="1" t="s">
        <v>65</v>
      </c>
      <c r="R262" s="1" t="s">
        <v>57</v>
      </c>
      <c r="S262" s="1" t="s">
        <v>1206</v>
      </c>
      <c r="T262" s="69">
        <v>2.8</v>
      </c>
      <c r="U262" s="70">
        <v>47822</v>
      </c>
      <c r="V262" s="68">
        <v>2.6800000000000001E-2</v>
      </c>
      <c r="W262" s="68">
        <v>4.1000000000000002E-2</v>
      </c>
      <c r="X262" s="1" t="s">
        <v>636</v>
      </c>
      <c r="Y262" s="140" t="s">
        <v>2853</v>
      </c>
      <c r="Z262" s="67">
        <v>18794671.829999998</v>
      </c>
      <c r="AA262" s="67">
        <v>1</v>
      </c>
      <c r="AB262" s="67">
        <v>96.4</v>
      </c>
      <c r="AC262" s="67">
        <v>0</v>
      </c>
      <c r="AD262" s="67">
        <v>18118.06364</v>
      </c>
      <c r="AE262" s="140" t="s">
        <v>2853</v>
      </c>
      <c r="AF262" s="140" t="s">
        <v>2853</v>
      </c>
      <c r="AG262" s="1" t="s">
        <v>17</v>
      </c>
      <c r="AH262" s="68">
        <v>8.0255615189999997E-3</v>
      </c>
      <c r="AI262" s="68">
        <v>3.4155541877500695E-2</v>
      </c>
      <c r="AJ262" s="68">
        <v>4.2042465597858921E-3</v>
      </c>
    </row>
    <row r="263" spans="1:36" x14ac:dyDescent="0.25">
      <c r="A263" s="1">
        <v>13908</v>
      </c>
      <c r="B263" s="1">
        <v>13908</v>
      </c>
      <c r="C263" s="1" t="s">
        <v>1496</v>
      </c>
      <c r="D263" s="1">
        <v>520029935</v>
      </c>
      <c r="E263" s="1" t="s">
        <v>429</v>
      </c>
      <c r="F263" s="1" t="s">
        <v>1947</v>
      </c>
      <c r="G263" s="1" t="s">
        <v>1948</v>
      </c>
      <c r="H263" s="1" t="s">
        <v>76</v>
      </c>
      <c r="I263" s="1" t="s">
        <v>229</v>
      </c>
      <c r="J263" s="1" t="s">
        <v>53</v>
      </c>
      <c r="K263" s="1" t="s">
        <v>53</v>
      </c>
      <c r="L263" s="1" t="s">
        <v>821</v>
      </c>
      <c r="M263" s="1" t="s">
        <v>311</v>
      </c>
      <c r="N263" s="1" t="s">
        <v>256</v>
      </c>
      <c r="O263" s="1" t="s">
        <v>62</v>
      </c>
      <c r="P263" s="1" t="s">
        <v>1281</v>
      </c>
      <c r="Q263" s="1" t="s">
        <v>65</v>
      </c>
      <c r="R263" s="1" t="s">
        <v>57</v>
      </c>
      <c r="S263" s="1" t="s">
        <v>1206</v>
      </c>
      <c r="T263" s="69">
        <v>0.496</v>
      </c>
      <c r="U263" s="70">
        <v>48030</v>
      </c>
      <c r="V263" s="68">
        <v>2.4199999999999999E-2</v>
      </c>
      <c r="W263" s="68">
        <v>3.6700000000000003E-2</v>
      </c>
      <c r="X263" s="1" t="s">
        <v>636</v>
      </c>
      <c r="Y263" s="140" t="s">
        <v>2853</v>
      </c>
      <c r="Z263" s="67">
        <v>1416666</v>
      </c>
      <c r="AA263" s="67">
        <v>1</v>
      </c>
      <c r="AB263" s="67">
        <v>118.78</v>
      </c>
      <c r="AC263" s="67">
        <v>0</v>
      </c>
      <c r="AD263" s="67">
        <v>1682.71587</v>
      </c>
      <c r="AE263" s="140" t="s">
        <v>2853</v>
      </c>
      <c r="AF263" s="140" t="s">
        <v>2853</v>
      </c>
      <c r="AG263" s="1" t="s">
        <v>17</v>
      </c>
      <c r="AH263" s="68">
        <v>2.8222359890000001E-3</v>
      </c>
      <c r="AI263" s="68">
        <v>3.172197289275004E-3</v>
      </c>
      <c r="AJ263" s="68">
        <v>3.9046956386254444E-4</v>
      </c>
    </row>
    <row r="264" spans="1:36" x14ac:dyDescent="0.25">
      <c r="A264" s="1">
        <v>13908</v>
      </c>
      <c r="B264" s="1">
        <v>13908</v>
      </c>
      <c r="C264" s="1" t="s">
        <v>1496</v>
      </c>
      <c r="D264" s="1">
        <v>520029935</v>
      </c>
      <c r="E264" s="1" t="s">
        <v>429</v>
      </c>
      <c r="F264" s="1" t="s">
        <v>1949</v>
      </c>
      <c r="G264" s="1" t="s">
        <v>1950</v>
      </c>
      <c r="H264" s="1" t="s">
        <v>76</v>
      </c>
      <c r="I264" s="1" t="s">
        <v>229</v>
      </c>
      <c r="J264" s="1" t="s">
        <v>53</v>
      </c>
      <c r="K264" s="1" t="s">
        <v>53</v>
      </c>
      <c r="L264" s="1" t="s">
        <v>821</v>
      </c>
      <c r="M264" s="1" t="s">
        <v>311</v>
      </c>
      <c r="N264" s="1" t="s">
        <v>256</v>
      </c>
      <c r="O264" s="1" t="s">
        <v>62</v>
      </c>
      <c r="P264" s="1" t="s">
        <v>1205</v>
      </c>
      <c r="Q264" s="1" t="s">
        <v>65</v>
      </c>
      <c r="R264" s="1" t="s">
        <v>57</v>
      </c>
      <c r="S264" s="1" t="s">
        <v>1206</v>
      </c>
      <c r="T264" s="69">
        <v>3.2749999999999999</v>
      </c>
      <c r="U264" s="70">
        <v>48441</v>
      </c>
      <c r="V264" s="68">
        <v>2E-3</v>
      </c>
      <c r="W264" s="68">
        <v>2.24E-2</v>
      </c>
      <c r="X264" s="1" t="s">
        <v>636</v>
      </c>
      <c r="Y264" s="140" t="s">
        <v>2853</v>
      </c>
      <c r="Z264" s="67">
        <v>7960157.3600000003</v>
      </c>
      <c r="AA264" s="67">
        <v>1</v>
      </c>
      <c r="AB264" s="67">
        <v>107.7</v>
      </c>
      <c r="AC264" s="67">
        <v>0</v>
      </c>
      <c r="AD264" s="67">
        <v>8573.0894800000005</v>
      </c>
      <c r="AE264" s="140" t="s">
        <v>2853</v>
      </c>
      <c r="AF264" s="140" t="s">
        <v>2853</v>
      </c>
      <c r="AG264" s="1" t="s">
        <v>17</v>
      </c>
      <c r="AH264" s="68">
        <v>2.502032104E-3</v>
      </c>
      <c r="AI264" s="68">
        <v>1.616168938203932E-2</v>
      </c>
      <c r="AJ264" s="68">
        <v>1.9893617038330828E-3</v>
      </c>
    </row>
    <row r="265" spans="1:36" x14ac:dyDescent="0.25">
      <c r="A265" s="1">
        <v>13908</v>
      </c>
      <c r="B265" s="1">
        <v>13908</v>
      </c>
      <c r="C265" s="1" t="s">
        <v>1496</v>
      </c>
      <c r="D265" s="1">
        <v>520029935</v>
      </c>
      <c r="E265" s="1" t="s">
        <v>429</v>
      </c>
      <c r="F265" s="1" t="s">
        <v>1951</v>
      </c>
      <c r="G265" s="1" t="s">
        <v>1952</v>
      </c>
      <c r="H265" s="1" t="s">
        <v>76</v>
      </c>
      <c r="I265" s="1" t="s">
        <v>229</v>
      </c>
      <c r="J265" s="1" t="s">
        <v>53</v>
      </c>
      <c r="K265" s="1" t="s">
        <v>53</v>
      </c>
      <c r="L265" s="1" t="s">
        <v>821</v>
      </c>
      <c r="M265" s="1" t="s">
        <v>311</v>
      </c>
      <c r="N265" s="1" t="s">
        <v>256</v>
      </c>
      <c r="O265" s="120" t="s">
        <v>55</v>
      </c>
      <c r="P265" s="1" t="s">
        <v>1281</v>
      </c>
      <c r="Q265" s="1" t="s">
        <v>65</v>
      </c>
      <c r="R265" s="1" t="s">
        <v>57</v>
      </c>
      <c r="S265" s="1" t="s">
        <v>1206</v>
      </c>
      <c r="T265" s="69">
        <v>1.831</v>
      </c>
      <c r="U265" s="70">
        <v>48519</v>
      </c>
      <c r="V265" s="68">
        <v>2E-3</v>
      </c>
      <c r="W265" s="68">
        <v>2.7E-2</v>
      </c>
      <c r="X265" s="1" t="s">
        <v>636</v>
      </c>
      <c r="Y265" s="140" t="s">
        <v>2853</v>
      </c>
      <c r="Z265" s="67">
        <v>150000</v>
      </c>
      <c r="AA265" s="67">
        <v>1</v>
      </c>
      <c r="AB265" s="67">
        <v>110.04</v>
      </c>
      <c r="AC265" s="67">
        <v>0</v>
      </c>
      <c r="AD265" s="67">
        <v>165.06</v>
      </c>
      <c r="AE265" s="140" t="s">
        <v>2853</v>
      </c>
      <c r="AF265" s="140" t="s">
        <v>2853</v>
      </c>
      <c r="AG265" s="1" t="s">
        <v>17</v>
      </c>
      <c r="AH265" s="68">
        <v>2.6173442599999999E-4</v>
      </c>
      <c r="AI265" s="68">
        <v>3.1116535708891374E-4</v>
      </c>
      <c r="AJ265" s="68">
        <v>3.8301716504968595E-5</v>
      </c>
    </row>
    <row r="266" spans="1:36" x14ac:dyDescent="0.25">
      <c r="A266" s="1">
        <v>13908</v>
      </c>
      <c r="B266" s="1">
        <v>13908</v>
      </c>
      <c r="C266" s="1" t="s">
        <v>1699</v>
      </c>
      <c r="D266" s="1">
        <v>520001736</v>
      </c>
      <c r="E266" s="1" t="s">
        <v>429</v>
      </c>
      <c r="F266" s="1" t="s">
        <v>1953</v>
      </c>
      <c r="G266" s="1" t="s">
        <v>1954</v>
      </c>
      <c r="H266" s="1" t="s">
        <v>76</v>
      </c>
      <c r="I266" s="1" t="s">
        <v>229</v>
      </c>
      <c r="J266" s="1" t="s">
        <v>53</v>
      </c>
      <c r="K266" s="1" t="s">
        <v>53</v>
      </c>
      <c r="L266" s="1" t="s">
        <v>821</v>
      </c>
      <c r="M266" s="1" t="s">
        <v>311</v>
      </c>
      <c r="N266" s="1" t="s">
        <v>651</v>
      </c>
      <c r="O266" s="1" t="s">
        <v>62</v>
      </c>
      <c r="P266" s="1" t="s">
        <v>1285</v>
      </c>
      <c r="Q266" s="1" t="s">
        <v>65</v>
      </c>
      <c r="R266" s="1" t="s">
        <v>57</v>
      </c>
      <c r="S266" s="1" t="s">
        <v>1206</v>
      </c>
      <c r="T266" s="69">
        <v>0.24399999999999999</v>
      </c>
      <c r="U266" s="70">
        <v>46112</v>
      </c>
      <c r="V266" s="68">
        <v>4.7500000000000001E-2</v>
      </c>
      <c r="W266" s="68">
        <v>5.3999999999999999E-2</v>
      </c>
      <c r="X266" s="1" t="s">
        <v>636</v>
      </c>
      <c r="Y266" s="140" t="s">
        <v>2853</v>
      </c>
      <c r="Z266" s="67">
        <v>512196.11</v>
      </c>
      <c r="AA266" s="67">
        <v>1</v>
      </c>
      <c r="AB266" s="67">
        <v>144.65</v>
      </c>
      <c r="AC266" s="67">
        <v>0</v>
      </c>
      <c r="AD266" s="67">
        <v>740.89166999999998</v>
      </c>
      <c r="AE266" s="140" t="s">
        <v>2853</v>
      </c>
      <c r="AF266" s="140" t="s">
        <v>2853</v>
      </c>
      <c r="AG266" s="1" t="s">
        <v>17</v>
      </c>
      <c r="AH266" s="68">
        <v>1.0720252089999999E-3</v>
      </c>
      <c r="AI266" s="68">
        <v>1.3967031446731591E-3</v>
      </c>
      <c r="AJ266" s="68">
        <v>1.719218629906261E-4</v>
      </c>
    </row>
    <row r="267" spans="1:36" x14ac:dyDescent="0.25">
      <c r="A267" s="1">
        <v>13908</v>
      </c>
      <c r="B267" s="1">
        <v>13908</v>
      </c>
      <c r="C267" s="1" t="s">
        <v>1699</v>
      </c>
      <c r="D267" s="1">
        <v>520001736</v>
      </c>
      <c r="E267" s="1" t="s">
        <v>429</v>
      </c>
      <c r="F267" s="1" t="s">
        <v>1955</v>
      </c>
      <c r="G267" s="1" t="s">
        <v>1956</v>
      </c>
      <c r="H267" s="1" t="s">
        <v>76</v>
      </c>
      <c r="I267" s="1" t="s">
        <v>228</v>
      </c>
      <c r="J267" s="1" t="s">
        <v>53</v>
      </c>
      <c r="K267" s="1" t="s">
        <v>53</v>
      </c>
      <c r="L267" s="1" t="s">
        <v>821</v>
      </c>
      <c r="M267" s="1" t="s">
        <v>311</v>
      </c>
      <c r="N267" s="1" t="s">
        <v>651</v>
      </c>
      <c r="O267" s="1" t="s">
        <v>62</v>
      </c>
      <c r="P267" s="1" t="s">
        <v>1285</v>
      </c>
      <c r="Q267" s="1" t="s">
        <v>65</v>
      </c>
      <c r="R267" s="1" t="s">
        <v>57</v>
      </c>
      <c r="S267" s="1" t="s">
        <v>1206</v>
      </c>
      <c r="T267" s="69">
        <v>4.3869999999999996</v>
      </c>
      <c r="U267" s="70">
        <v>49125</v>
      </c>
      <c r="V267" s="68">
        <v>2.5499999999999998E-2</v>
      </c>
      <c r="W267" s="68">
        <v>4.4999999999999998E-2</v>
      </c>
      <c r="X267" s="1" t="s">
        <v>636</v>
      </c>
      <c r="Y267" s="140" t="s">
        <v>2853</v>
      </c>
      <c r="Z267" s="67">
        <v>1463448.14</v>
      </c>
      <c r="AA267" s="67">
        <v>1</v>
      </c>
      <c r="AB267" s="67">
        <v>92.05</v>
      </c>
      <c r="AC267" s="67">
        <v>0</v>
      </c>
      <c r="AD267" s="67">
        <v>1347.10401</v>
      </c>
      <c r="AE267" s="140" t="s">
        <v>2853</v>
      </c>
      <c r="AF267" s="140" t="s">
        <v>2853</v>
      </c>
      <c r="AG267" s="1" t="s">
        <v>17</v>
      </c>
      <c r="AH267" s="68">
        <v>5.2468723299999996E-4</v>
      </c>
      <c r="AI267" s="68">
        <v>2.5395135121020094E-3</v>
      </c>
      <c r="AJ267" s="68">
        <v>3.1259175992806479E-4</v>
      </c>
    </row>
    <row r="268" spans="1:36" x14ac:dyDescent="0.25">
      <c r="A268" s="1">
        <v>13908</v>
      </c>
      <c r="B268" s="1">
        <v>13908</v>
      </c>
      <c r="C268" s="1" t="s">
        <v>1957</v>
      </c>
      <c r="D268" s="1">
        <v>520017450</v>
      </c>
      <c r="E268" s="1" t="s">
        <v>429</v>
      </c>
      <c r="F268" s="1" t="s">
        <v>1958</v>
      </c>
      <c r="G268" s="1" t="s">
        <v>1959</v>
      </c>
      <c r="H268" s="1" t="s">
        <v>76</v>
      </c>
      <c r="I268" s="1" t="s">
        <v>229</v>
      </c>
      <c r="J268" s="1" t="s">
        <v>53</v>
      </c>
      <c r="K268" s="1" t="s">
        <v>53</v>
      </c>
      <c r="L268" s="1" t="s">
        <v>821</v>
      </c>
      <c r="M268" s="1" t="s">
        <v>311</v>
      </c>
      <c r="N268" s="1" t="s">
        <v>269</v>
      </c>
      <c r="O268" s="1" t="s">
        <v>62</v>
      </c>
      <c r="P268" s="1" t="s">
        <v>1285</v>
      </c>
      <c r="Q268" s="1" t="s">
        <v>65</v>
      </c>
      <c r="R268" s="1" t="s">
        <v>57</v>
      </c>
      <c r="S268" s="1" t="s">
        <v>1206</v>
      </c>
      <c r="T268" s="69">
        <v>3.3159999999999998</v>
      </c>
      <c r="U268" s="70">
        <v>47604</v>
      </c>
      <c r="V268" s="68">
        <v>4.4000000000000003E-3</v>
      </c>
      <c r="W268" s="68">
        <v>2.3400000000000001E-2</v>
      </c>
      <c r="X268" s="1" t="s">
        <v>636</v>
      </c>
      <c r="Y268" s="140" t="s">
        <v>2853</v>
      </c>
      <c r="Z268" s="67">
        <v>239130.43</v>
      </c>
      <c r="AA268" s="67">
        <v>1</v>
      </c>
      <c r="AB268" s="67">
        <v>110.69</v>
      </c>
      <c r="AC268" s="67">
        <v>0</v>
      </c>
      <c r="AD268" s="67">
        <v>264.69346999999999</v>
      </c>
      <c r="AE268" s="140" t="s">
        <v>2853</v>
      </c>
      <c r="AF268" s="140" t="s">
        <v>2853</v>
      </c>
      <c r="AG268" s="1" t="s">
        <v>17</v>
      </c>
      <c r="AH268" s="68">
        <v>2.1029421999999999E-4</v>
      </c>
      <c r="AI268" s="68">
        <v>4.9899090095512956E-4</v>
      </c>
      <c r="AJ268" s="68">
        <v>6.1421387669068268E-5</v>
      </c>
    </row>
    <row r="269" spans="1:36" x14ac:dyDescent="0.25">
      <c r="A269" s="1">
        <v>13908</v>
      </c>
      <c r="B269" s="1">
        <v>13908</v>
      </c>
      <c r="C269" s="1" t="s">
        <v>1957</v>
      </c>
      <c r="D269" s="1">
        <v>520017450</v>
      </c>
      <c r="E269" s="1" t="s">
        <v>429</v>
      </c>
      <c r="F269" s="1" t="s">
        <v>1960</v>
      </c>
      <c r="G269" s="1" t="s">
        <v>1961</v>
      </c>
      <c r="H269" s="1" t="s">
        <v>76</v>
      </c>
      <c r="I269" s="1" t="s">
        <v>228</v>
      </c>
      <c r="J269" s="1" t="s">
        <v>53</v>
      </c>
      <c r="K269" s="1" t="s">
        <v>53</v>
      </c>
      <c r="L269" s="1" t="s">
        <v>821</v>
      </c>
      <c r="M269" s="1" t="s">
        <v>311</v>
      </c>
      <c r="N269" s="1" t="s">
        <v>269</v>
      </c>
      <c r="O269" s="1" t="s">
        <v>62</v>
      </c>
      <c r="P269" s="1" t="s">
        <v>1285</v>
      </c>
      <c r="Q269" s="1" t="s">
        <v>65</v>
      </c>
      <c r="R269" s="1" t="s">
        <v>57</v>
      </c>
      <c r="S269" s="1" t="s">
        <v>1206</v>
      </c>
      <c r="T269" s="69">
        <v>3.895</v>
      </c>
      <c r="U269" s="70">
        <v>48579</v>
      </c>
      <c r="V269" s="68">
        <v>1.9400000000000001E-2</v>
      </c>
      <c r="W269" s="68">
        <v>4.24E-2</v>
      </c>
      <c r="X269" s="1" t="s">
        <v>636</v>
      </c>
      <c r="Y269" s="140" t="s">
        <v>2853</v>
      </c>
      <c r="Z269" s="67">
        <v>534240</v>
      </c>
      <c r="AA269" s="67">
        <v>1</v>
      </c>
      <c r="AB269" s="67">
        <v>91.6</v>
      </c>
      <c r="AC269" s="67">
        <v>0</v>
      </c>
      <c r="AD269" s="67">
        <v>489.36383999999998</v>
      </c>
      <c r="AE269" s="140" t="s">
        <v>2853</v>
      </c>
      <c r="AF269" s="140" t="s">
        <v>2853</v>
      </c>
      <c r="AG269" s="1" t="s">
        <v>17</v>
      </c>
      <c r="AH269" s="68">
        <v>4.11707348E-4</v>
      </c>
      <c r="AI269" s="68">
        <v>9.2253164921847844E-4</v>
      </c>
      <c r="AJ269" s="68">
        <v>1.1355552567225741E-4</v>
      </c>
    </row>
    <row r="270" spans="1:36" x14ac:dyDescent="0.25">
      <c r="A270" s="1">
        <v>13908</v>
      </c>
      <c r="B270" s="1">
        <v>13908</v>
      </c>
      <c r="C270" s="1" t="s">
        <v>1531</v>
      </c>
      <c r="D270" s="1">
        <v>520032178</v>
      </c>
      <c r="E270" s="1" t="s">
        <v>429</v>
      </c>
      <c r="F270" s="1" t="s">
        <v>1962</v>
      </c>
      <c r="G270" s="1" t="s">
        <v>1963</v>
      </c>
      <c r="H270" s="1" t="s">
        <v>76</v>
      </c>
      <c r="I270" s="1" t="s">
        <v>228</v>
      </c>
      <c r="J270" s="1" t="s">
        <v>53</v>
      </c>
      <c r="K270" s="1" t="s">
        <v>53</v>
      </c>
      <c r="L270" s="1" t="s">
        <v>821</v>
      </c>
      <c r="M270" s="1" t="s">
        <v>311</v>
      </c>
      <c r="N270" s="1" t="s">
        <v>140</v>
      </c>
      <c r="O270" s="1" t="s">
        <v>62</v>
      </c>
      <c r="P270" s="1" t="s">
        <v>298</v>
      </c>
      <c r="Q270" s="1" t="s">
        <v>298</v>
      </c>
      <c r="R270" s="1" t="s">
        <v>298</v>
      </c>
      <c r="S270" s="1" t="s">
        <v>1206</v>
      </c>
      <c r="T270" s="69">
        <v>1.9E-2</v>
      </c>
      <c r="U270" s="70">
        <v>46203</v>
      </c>
      <c r="V270" s="68">
        <v>3.8699999999999998E-2</v>
      </c>
      <c r="W270" s="68">
        <v>0.2238</v>
      </c>
      <c r="X270" s="1" t="s">
        <v>636</v>
      </c>
      <c r="Y270" s="140" t="s">
        <v>2853</v>
      </c>
      <c r="Z270" s="67">
        <v>539615</v>
      </c>
      <c r="AA270" s="67">
        <v>1</v>
      </c>
      <c r="AB270" s="67">
        <v>100.16</v>
      </c>
      <c r="AC270" s="67">
        <v>0</v>
      </c>
      <c r="AD270" s="67">
        <v>540.47838000000002</v>
      </c>
      <c r="AE270" s="140" t="s">
        <v>2853</v>
      </c>
      <c r="AF270" s="140" t="s">
        <v>2853</v>
      </c>
      <c r="AG270" s="1" t="s">
        <v>17</v>
      </c>
      <c r="AH270" s="68">
        <v>1.6069756329999999E-3</v>
      </c>
      <c r="AI270" s="68">
        <v>1.0188909978888746E-3</v>
      </c>
      <c r="AJ270" s="68">
        <v>1.2541651331530768E-4</v>
      </c>
    </row>
    <row r="271" spans="1:36" x14ac:dyDescent="0.25">
      <c r="A271" s="1">
        <v>13908</v>
      </c>
      <c r="B271" s="1">
        <v>13908</v>
      </c>
      <c r="C271" s="1" t="s">
        <v>1964</v>
      </c>
      <c r="D271" s="1">
        <v>520022732</v>
      </c>
      <c r="E271" s="1" t="s">
        <v>429</v>
      </c>
      <c r="F271" s="1" t="s">
        <v>1965</v>
      </c>
      <c r="G271" s="1" t="s">
        <v>1966</v>
      </c>
      <c r="H271" s="1" t="s">
        <v>76</v>
      </c>
      <c r="I271" s="1" t="s">
        <v>228</v>
      </c>
      <c r="J271" s="1" t="s">
        <v>53</v>
      </c>
      <c r="K271" s="1" t="s">
        <v>53</v>
      </c>
      <c r="L271" s="1" t="s">
        <v>821</v>
      </c>
      <c r="M271" s="1" t="s">
        <v>311</v>
      </c>
      <c r="N271" s="1" t="s">
        <v>650</v>
      </c>
      <c r="O271" s="1" t="s">
        <v>62</v>
      </c>
      <c r="P271" s="1" t="s">
        <v>1285</v>
      </c>
      <c r="Q271" s="1" t="s">
        <v>65</v>
      </c>
      <c r="R271" s="1" t="s">
        <v>57</v>
      </c>
      <c r="S271" s="1" t="s">
        <v>1206</v>
      </c>
      <c r="T271" s="69">
        <v>2.16</v>
      </c>
      <c r="U271" s="70">
        <v>47399</v>
      </c>
      <c r="V271" s="68">
        <v>5.0900000000000001E-2</v>
      </c>
      <c r="W271" s="68">
        <v>4.2500000000000003E-2</v>
      </c>
      <c r="X271" s="1" t="s">
        <v>636</v>
      </c>
      <c r="Y271" s="140" t="s">
        <v>2853</v>
      </c>
      <c r="Z271" s="67">
        <v>1200000</v>
      </c>
      <c r="AA271" s="67">
        <v>1</v>
      </c>
      <c r="AB271" s="67">
        <v>102.92</v>
      </c>
      <c r="AC271" s="67">
        <v>0</v>
      </c>
      <c r="AD271" s="67">
        <v>1235.04</v>
      </c>
      <c r="AE271" s="140" t="s">
        <v>2853</v>
      </c>
      <c r="AF271" s="140" t="s">
        <v>2853</v>
      </c>
      <c r="AG271" s="1" t="s">
        <v>17</v>
      </c>
      <c r="AH271" s="68">
        <v>2.9057626450000001E-3</v>
      </c>
      <c r="AI271" s="68">
        <v>2.3282543476256636E-3</v>
      </c>
      <c r="AJ271" s="68">
        <v>2.8658761633525029E-4</v>
      </c>
    </row>
    <row r="272" spans="1:36" x14ac:dyDescent="0.25">
      <c r="A272" s="1">
        <v>13908</v>
      </c>
      <c r="B272" s="1">
        <v>13908</v>
      </c>
      <c r="C272" s="1" t="s">
        <v>1964</v>
      </c>
      <c r="D272" s="1">
        <v>520022732</v>
      </c>
      <c r="E272" s="1" t="s">
        <v>429</v>
      </c>
      <c r="F272" s="1" t="s">
        <v>1967</v>
      </c>
      <c r="G272" s="1" t="s">
        <v>1968</v>
      </c>
      <c r="H272" s="1" t="s">
        <v>76</v>
      </c>
      <c r="I272" s="1" t="s">
        <v>228</v>
      </c>
      <c r="J272" s="1" t="s">
        <v>53</v>
      </c>
      <c r="K272" s="1" t="s">
        <v>53</v>
      </c>
      <c r="L272" s="1" t="s">
        <v>821</v>
      </c>
      <c r="M272" s="1" t="s">
        <v>311</v>
      </c>
      <c r="N272" s="1" t="s">
        <v>650</v>
      </c>
      <c r="O272" s="1" t="s">
        <v>62</v>
      </c>
      <c r="P272" s="1" t="s">
        <v>1285</v>
      </c>
      <c r="Q272" s="1" t="s">
        <v>65</v>
      </c>
      <c r="R272" s="1" t="s">
        <v>57</v>
      </c>
      <c r="S272" s="1" t="s">
        <v>1206</v>
      </c>
      <c r="T272" s="69">
        <v>2.4590000000000001</v>
      </c>
      <c r="U272" s="70">
        <v>47715</v>
      </c>
      <c r="V272" s="68">
        <v>3.5200000000000002E-2</v>
      </c>
      <c r="W272" s="68">
        <v>4.2900000000000001E-2</v>
      </c>
      <c r="X272" s="1" t="s">
        <v>636</v>
      </c>
      <c r="Y272" s="140" t="s">
        <v>2853</v>
      </c>
      <c r="Z272" s="67">
        <v>4000000</v>
      </c>
      <c r="AA272" s="67">
        <v>1</v>
      </c>
      <c r="AB272" s="67">
        <v>99.52</v>
      </c>
      <c r="AC272" s="67">
        <v>0</v>
      </c>
      <c r="AD272" s="67">
        <v>3980.8</v>
      </c>
      <c r="AE272" s="140" t="s">
        <v>2853</v>
      </c>
      <c r="AF272" s="140" t="s">
        <v>2853</v>
      </c>
      <c r="AG272" s="1" t="s">
        <v>17</v>
      </c>
      <c r="AH272" s="68">
        <v>5.7057206120000002E-3</v>
      </c>
      <c r="AI272" s="68">
        <v>7.5044653671364836E-3</v>
      </c>
      <c r="AJ272" s="68">
        <v>9.2373363057663262E-4</v>
      </c>
    </row>
    <row r="273" spans="1:36" x14ac:dyDescent="0.25">
      <c r="A273" s="1">
        <v>13908</v>
      </c>
      <c r="B273" s="1">
        <v>13908</v>
      </c>
      <c r="C273" s="1" t="s">
        <v>1764</v>
      </c>
      <c r="D273" s="1">
        <v>520033309</v>
      </c>
      <c r="E273" s="1" t="s">
        <v>429</v>
      </c>
      <c r="F273" s="1" t="s">
        <v>1969</v>
      </c>
      <c r="G273" s="1" t="s">
        <v>1970</v>
      </c>
      <c r="H273" s="1" t="s">
        <v>76</v>
      </c>
      <c r="I273" s="1" t="s">
        <v>228</v>
      </c>
      <c r="J273" s="1" t="s">
        <v>53</v>
      </c>
      <c r="K273" s="1" t="s">
        <v>53</v>
      </c>
      <c r="L273" s="1" t="s">
        <v>821</v>
      </c>
      <c r="M273" s="1" t="s">
        <v>311</v>
      </c>
      <c r="N273" s="1" t="s">
        <v>140</v>
      </c>
      <c r="O273" s="1" t="s">
        <v>62</v>
      </c>
      <c r="P273" s="1" t="s">
        <v>298</v>
      </c>
      <c r="Q273" s="1" t="s">
        <v>298</v>
      </c>
      <c r="R273" s="1" t="s">
        <v>298</v>
      </c>
      <c r="S273" s="1" t="s">
        <v>1206</v>
      </c>
      <c r="T273" s="69">
        <v>0.97599999999999998</v>
      </c>
      <c r="U273" s="70">
        <v>46569</v>
      </c>
      <c r="V273" s="68">
        <v>2.9000000000000001E-2</v>
      </c>
      <c r="W273" s="68">
        <v>6.6400000000000001E-2</v>
      </c>
      <c r="X273" s="1" t="s">
        <v>636</v>
      </c>
      <c r="Y273" s="140" t="s">
        <v>2853</v>
      </c>
      <c r="Z273" s="67">
        <v>666666.67000000004</v>
      </c>
      <c r="AA273" s="67">
        <v>1</v>
      </c>
      <c r="AB273" s="67">
        <v>96.59</v>
      </c>
      <c r="AC273" s="67">
        <v>9.6666699999999999</v>
      </c>
      <c r="AD273" s="67">
        <v>653.60001</v>
      </c>
      <c r="AE273" s="140" t="s">
        <v>2853</v>
      </c>
      <c r="AF273" s="140" t="s">
        <v>2853</v>
      </c>
      <c r="AG273" s="1" t="s">
        <v>17</v>
      </c>
      <c r="AH273" s="68">
        <v>2.7008778019999998E-3</v>
      </c>
      <c r="AI273" s="68">
        <v>1.2321439507146953E-3</v>
      </c>
      <c r="AJ273" s="68">
        <v>1.5166607470413568E-4</v>
      </c>
    </row>
    <row r="274" spans="1:36" x14ac:dyDescent="0.25">
      <c r="A274" s="1">
        <v>13908</v>
      </c>
      <c r="B274" s="1">
        <v>13908</v>
      </c>
      <c r="C274" s="1" t="s">
        <v>1971</v>
      </c>
      <c r="D274" s="1" t="s">
        <v>1972</v>
      </c>
      <c r="E274" s="1" t="s">
        <v>430</v>
      </c>
      <c r="F274" s="1" t="s">
        <v>1973</v>
      </c>
      <c r="G274" s="1" t="s">
        <v>1974</v>
      </c>
      <c r="H274" s="1" t="s">
        <v>76</v>
      </c>
      <c r="I274" s="1" t="s">
        <v>230</v>
      </c>
      <c r="J274" s="1" t="s">
        <v>61</v>
      </c>
      <c r="K274" s="1" t="s">
        <v>53</v>
      </c>
      <c r="L274" s="1" t="s">
        <v>821</v>
      </c>
      <c r="M274" s="1" t="s">
        <v>476</v>
      </c>
      <c r="N274" s="1" t="s">
        <v>878</v>
      </c>
      <c r="O274" s="1" t="s">
        <v>62</v>
      </c>
      <c r="P274" s="1" t="s">
        <v>1975</v>
      </c>
      <c r="Q274" s="1" t="s">
        <v>84</v>
      </c>
      <c r="R274" s="1" t="s">
        <v>57</v>
      </c>
      <c r="S274" s="1" t="s">
        <v>1207</v>
      </c>
      <c r="T274" s="69">
        <v>2.4550000000000001</v>
      </c>
      <c r="U274" s="70">
        <v>46979</v>
      </c>
      <c r="V274" s="68">
        <v>4.2500000000000003E-2</v>
      </c>
      <c r="W274" s="68">
        <v>4.6890000000000001E-2</v>
      </c>
      <c r="X274" s="1" t="s">
        <v>636</v>
      </c>
      <c r="Y274" s="140" t="s">
        <v>2853</v>
      </c>
      <c r="Z274" s="67">
        <v>3500000</v>
      </c>
      <c r="AA274" s="67">
        <v>3.19</v>
      </c>
      <c r="AB274" s="67">
        <v>100.1079</v>
      </c>
      <c r="AC274" s="67">
        <v>0</v>
      </c>
      <c r="AD274" s="67">
        <v>11177.04703</v>
      </c>
      <c r="AE274" s="140" t="s">
        <v>2853</v>
      </c>
      <c r="AF274" s="140" t="s">
        <v>2853</v>
      </c>
      <c r="AG274" s="1" t="s">
        <v>17</v>
      </c>
      <c r="AH274" s="68">
        <v>3.5000000000000001E-3</v>
      </c>
      <c r="AI274" s="68">
        <v>2.1070579366833472E-2</v>
      </c>
      <c r="AJ274" s="68">
        <v>2.5936028517251982E-3</v>
      </c>
    </row>
    <row r="275" spans="1:36" x14ac:dyDescent="0.25">
      <c r="A275" s="1">
        <v>13908</v>
      </c>
      <c r="B275" s="1">
        <v>13908</v>
      </c>
      <c r="C275" s="1" t="s">
        <v>1976</v>
      </c>
      <c r="D275" s="1" t="s">
        <v>1977</v>
      </c>
      <c r="E275" s="1" t="s">
        <v>430</v>
      </c>
      <c r="F275" s="1" t="s">
        <v>1978</v>
      </c>
      <c r="G275" s="1" t="s">
        <v>1979</v>
      </c>
      <c r="H275" s="1" t="s">
        <v>76</v>
      </c>
      <c r="I275" s="1" t="s">
        <v>230</v>
      </c>
      <c r="J275" s="1" t="s">
        <v>61</v>
      </c>
      <c r="K275" s="1" t="s">
        <v>53</v>
      </c>
      <c r="L275" s="1" t="s">
        <v>821</v>
      </c>
      <c r="M275" s="1" t="s">
        <v>476</v>
      </c>
      <c r="N275" s="1" t="s">
        <v>195</v>
      </c>
      <c r="O275" s="1" t="s">
        <v>62</v>
      </c>
      <c r="P275" s="1" t="s">
        <v>298</v>
      </c>
      <c r="Q275" s="1" t="s">
        <v>298</v>
      </c>
      <c r="R275" s="1" t="s">
        <v>298</v>
      </c>
      <c r="S275" s="1" t="s">
        <v>1207</v>
      </c>
      <c r="T275" s="69">
        <v>6.7000000000000004E-2</v>
      </c>
      <c r="U275" s="70">
        <v>47877</v>
      </c>
      <c r="V275" s="68">
        <v>3.2750000000000001E-2</v>
      </c>
      <c r="W275" s="68">
        <v>5.5300000000000002E-2</v>
      </c>
      <c r="X275" s="1" t="s">
        <v>636</v>
      </c>
      <c r="Y275" s="140" t="s">
        <v>2853</v>
      </c>
      <c r="Z275" s="67">
        <v>1214000</v>
      </c>
      <c r="AA275" s="67">
        <v>3.19</v>
      </c>
      <c r="AB275" s="67">
        <v>100.34</v>
      </c>
      <c r="AC275" s="67">
        <v>0</v>
      </c>
      <c r="AD275" s="67">
        <v>3885.8270400000001</v>
      </c>
      <c r="AE275" s="140" t="s">
        <v>2853</v>
      </c>
      <c r="AF275" s="140" t="s">
        <v>2853</v>
      </c>
      <c r="AG275" s="1" t="s">
        <v>17</v>
      </c>
      <c r="AH275" s="68">
        <v>1.6186666660000001E-3</v>
      </c>
      <c r="AI275" s="68">
        <v>7.3254256542309272E-3</v>
      </c>
      <c r="AJ275" s="68">
        <v>9.0169541786878265E-4</v>
      </c>
    </row>
    <row r="276" spans="1:36" x14ac:dyDescent="0.25">
      <c r="A276" s="1">
        <v>13908</v>
      </c>
      <c r="B276" s="1">
        <v>13908</v>
      </c>
      <c r="C276" s="1" t="s">
        <v>1980</v>
      </c>
      <c r="D276" s="1">
        <v>68560480</v>
      </c>
      <c r="E276" s="1" t="s">
        <v>430</v>
      </c>
      <c r="F276" s="1" t="s">
        <v>1981</v>
      </c>
      <c r="G276" s="1" t="s">
        <v>1982</v>
      </c>
      <c r="H276" s="1" t="s">
        <v>76</v>
      </c>
      <c r="I276" s="1" t="s">
        <v>228</v>
      </c>
      <c r="J276" s="1" t="s">
        <v>61</v>
      </c>
      <c r="K276" s="1" t="s">
        <v>53</v>
      </c>
      <c r="L276" s="1" t="s">
        <v>821</v>
      </c>
      <c r="M276" s="1" t="s">
        <v>488</v>
      </c>
      <c r="N276" s="1" t="s">
        <v>878</v>
      </c>
      <c r="O276" s="1" t="s">
        <v>62</v>
      </c>
      <c r="P276" s="1" t="s">
        <v>1983</v>
      </c>
      <c r="Q276" s="1" t="s">
        <v>84</v>
      </c>
      <c r="R276" s="1" t="s">
        <v>57</v>
      </c>
      <c r="S276" s="1" t="s">
        <v>1207</v>
      </c>
      <c r="T276" s="69">
        <v>0.97</v>
      </c>
      <c r="U276" s="70">
        <v>46568</v>
      </c>
      <c r="V276" s="68">
        <v>6.5000000000000002E-2</v>
      </c>
      <c r="W276" s="68">
        <v>5.9389999999999998E-2</v>
      </c>
      <c r="X276" s="1" t="s">
        <v>636</v>
      </c>
      <c r="Y276" s="140" t="s">
        <v>2853</v>
      </c>
      <c r="Z276" s="67">
        <v>100000</v>
      </c>
      <c r="AA276" s="67">
        <v>3.19</v>
      </c>
      <c r="AB276" s="67">
        <v>102.97029999999999</v>
      </c>
      <c r="AC276" s="67">
        <v>0</v>
      </c>
      <c r="AD276" s="67">
        <v>328.47525999999999</v>
      </c>
      <c r="AE276" s="140" t="s">
        <v>2853</v>
      </c>
      <c r="AF276" s="140" t="s">
        <v>2853</v>
      </c>
      <c r="AG276" s="1" t="s">
        <v>17</v>
      </c>
      <c r="AH276" s="68">
        <v>1.6666666599999999E-4</v>
      </c>
      <c r="AI276" s="68">
        <v>6.1923010767462618E-4</v>
      </c>
      <c r="AJ276" s="68">
        <v>7.6221775641680903E-5</v>
      </c>
    </row>
    <row r="277" spans="1:36" x14ac:dyDescent="0.25">
      <c r="A277" s="1">
        <v>13908</v>
      </c>
      <c r="B277" s="1">
        <v>13908</v>
      </c>
      <c r="C277" s="1" t="s">
        <v>1980</v>
      </c>
      <c r="D277" s="1">
        <v>68560480</v>
      </c>
      <c r="E277" s="1" t="s">
        <v>430</v>
      </c>
      <c r="F277" s="1" t="s">
        <v>1984</v>
      </c>
      <c r="G277" s="1" t="s">
        <v>1985</v>
      </c>
      <c r="H277" s="1" t="s">
        <v>76</v>
      </c>
      <c r="I277" s="1" t="s">
        <v>228</v>
      </c>
      <c r="J277" s="1" t="s">
        <v>61</v>
      </c>
      <c r="K277" s="1" t="s">
        <v>53</v>
      </c>
      <c r="L277" s="1" t="s">
        <v>821</v>
      </c>
      <c r="M277" s="1" t="s">
        <v>476</v>
      </c>
      <c r="N277" s="1" t="s">
        <v>879</v>
      </c>
      <c r="O277" s="1" t="s">
        <v>62</v>
      </c>
      <c r="P277" s="1" t="s">
        <v>1983</v>
      </c>
      <c r="Q277" s="1" t="s">
        <v>84</v>
      </c>
      <c r="R277" s="1" t="s">
        <v>57</v>
      </c>
      <c r="S277" s="1" t="s">
        <v>1207</v>
      </c>
      <c r="T277" s="69">
        <v>3.5619999999999998</v>
      </c>
      <c r="U277" s="70">
        <v>47664</v>
      </c>
      <c r="V277" s="68">
        <v>6.7500000000000004E-2</v>
      </c>
      <c r="W277" s="68">
        <v>6.2729999999999994E-2</v>
      </c>
      <c r="X277" s="1" t="s">
        <v>636</v>
      </c>
      <c r="Y277" s="140" t="s">
        <v>2853</v>
      </c>
      <c r="Z277" s="67">
        <v>840000</v>
      </c>
      <c r="AA277" s="67">
        <v>3.19</v>
      </c>
      <c r="AB277" s="67">
        <v>103.57</v>
      </c>
      <c r="AC277" s="67">
        <v>0</v>
      </c>
      <c r="AD277" s="67">
        <v>2775.26172</v>
      </c>
      <c r="AE277" s="140" t="s">
        <v>2853</v>
      </c>
      <c r="AF277" s="140" t="s">
        <v>2853</v>
      </c>
      <c r="AG277" s="1" t="s">
        <v>17</v>
      </c>
      <c r="AH277" s="68">
        <v>1.527272727E-3</v>
      </c>
      <c r="AI277" s="68">
        <v>5.2318266334605177E-3</v>
      </c>
      <c r="AJ277" s="68">
        <v>6.4399180677651474E-4</v>
      </c>
    </row>
    <row r="278" spans="1:36" x14ac:dyDescent="0.25">
      <c r="A278" s="1">
        <v>13908</v>
      </c>
      <c r="B278" s="1">
        <v>13908</v>
      </c>
      <c r="C278" s="1" t="s">
        <v>1986</v>
      </c>
      <c r="D278" s="1" t="s">
        <v>1987</v>
      </c>
      <c r="E278" s="1" t="s">
        <v>430</v>
      </c>
      <c r="F278" s="1" t="s">
        <v>1988</v>
      </c>
      <c r="G278" s="1" t="s">
        <v>1989</v>
      </c>
      <c r="H278" s="1" t="s">
        <v>76</v>
      </c>
      <c r="I278" s="1" t="s">
        <v>230</v>
      </c>
      <c r="J278" s="1" t="s">
        <v>61</v>
      </c>
      <c r="K278" s="1" t="s">
        <v>53</v>
      </c>
      <c r="L278" s="1" t="s">
        <v>821</v>
      </c>
      <c r="M278" s="1" t="s">
        <v>476</v>
      </c>
      <c r="N278" s="1" t="s">
        <v>878</v>
      </c>
      <c r="O278" s="1" t="s">
        <v>62</v>
      </c>
      <c r="P278" s="1" t="s">
        <v>1292</v>
      </c>
      <c r="Q278" s="1" t="s">
        <v>65</v>
      </c>
      <c r="R278" s="1" t="s">
        <v>57</v>
      </c>
      <c r="S278" s="1" t="s">
        <v>1207</v>
      </c>
      <c r="T278" s="69">
        <v>2.1160000000000001</v>
      </c>
      <c r="U278" s="70">
        <v>46842</v>
      </c>
      <c r="V278" s="68">
        <v>5.3749999999999999E-2</v>
      </c>
      <c r="W278" s="68">
        <v>5.985E-2</v>
      </c>
      <c r="X278" s="1" t="s">
        <v>636</v>
      </c>
      <c r="Y278" s="140" t="s">
        <v>2853</v>
      </c>
      <c r="Z278" s="67">
        <v>100000</v>
      </c>
      <c r="AA278" s="67">
        <v>3.19</v>
      </c>
      <c r="AB278" s="67">
        <v>99.073300000000003</v>
      </c>
      <c r="AC278" s="67">
        <v>0</v>
      </c>
      <c r="AD278" s="67">
        <v>316.04383000000001</v>
      </c>
      <c r="AE278" s="140" t="s">
        <v>2853</v>
      </c>
      <c r="AF278" s="140" t="s">
        <v>2853</v>
      </c>
      <c r="AG278" s="1" t="s">
        <v>17</v>
      </c>
      <c r="AH278" s="68">
        <v>1.6000000000000001E-4</v>
      </c>
      <c r="AI278" s="68">
        <v>5.9579480926752677E-4</v>
      </c>
      <c r="AJ278" s="68">
        <v>7.3337096690927474E-5</v>
      </c>
    </row>
    <row r="279" spans="1:36" x14ac:dyDescent="0.25">
      <c r="A279" s="1">
        <v>13908</v>
      </c>
      <c r="B279" s="1">
        <v>13908</v>
      </c>
      <c r="C279" s="1" t="s">
        <v>1986</v>
      </c>
      <c r="D279" s="1" t="s">
        <v>1987</v>
      </c>
      <c r="E279" s="1" t="s">
        <v>430</v>
      </c>
      <c r="F279" s="1" t="s">
        <v>1990</v>
      </c>
      <c r="G279" s="1" t="s">
        <v>1991</v>
      </c>
      <c r="H279" s="1" t="s">
        <v>76</v>
      </c>
      <c r="I279" s="1" t="s">
        <v>230</v>
      </c>
      <c r="J279" s="1" t="s">
        <v>61</v>
      </c>
      <c r="K279" s="1" t="s">
        <v>53</v>
      </c>
      <c r="L279" s="1" t="s">
        <v>821</v>
      </c>
      <c r="M279" s="1" t="s">
        <v>476</v>
      </c>
      <c r="N279" s="1" t="s">
        <v>878</v>
      </c>
      <c r="O279" s="1" t="s">
        <v>62</v>
      </c>
      <c r="P279" s="1" t="s">
        <v>1983</v>
      </c>
      <c r="Q279" s="1" t="s">
        <v>84</v>
      </c>
      <c r="R279" s="1" t="s">
        <v>57</v>
      </c>
      <c r="S279" s="1" t="s">
        <v>1207</v>
      </c>
      <c r="T279" s="69">
        <v>4.5090000000000003</v>
      </c>
      <c r="U279" s="70">
        <v>47937</v>
      </c>
      <c r="V279" s="68">
        <v>5.8749999999999997E-2</v>
      </c>
      <c r="W279" s="68">
        <v>6.5530000000000005E-2</v>
      </c>
      <c r="X279" s="1" t="s">
        <v>636</v>
      </c>
      <c r="Y279" s="140" t="s">
        <v>2853</v>
      </c>
      <c r="Z279" s="67">
        <v>340000</v>
      </c>
      <c r="AA279" s="67">
        <v>3.19</v>
      </c>
      <c r="AB279" s="67">
        <v>97.328500000000005</v>
      </c>
      <c r="AC279" s="67">
        <v>0</v>
      </c>
      <c r="AD279" s="67">
        <v>1055.62491</v>
      </c>
      <c r="AE279" s="140" t="s">
        <v>2853</v>
      </c>
      <c r="AF279" s="140" t="s">
        <v>2853</v>
      </c>
      <c r="AG279" s="1" t="s">
        <v>17</v>
      </c>
      <c r="AH279" s="68">
        <v>5.44E-4</v>
      </c>
      <c r="AI279" s="68">
        <v>1.9900272753671541E-3</v>
      </c>
      <c r="AJ279" s="68">
        <v>2.4495484089666174E-4</v>
      </c>
    </row>
    <row r="280" spans="1:36" x14ac:dyDescent="0.25">
      <c r="A280" s="1">
        <v>13908</v>
      </c>
      <c r="B280" s="1">
        <v>13908</v>
      </c>
      <c r="C280" s="1" t="s">
        <v>1992</v>
      </c>
      <c r="D280" s="1">
        <v>191685</v>
      </c>
      <c r="E280" s="1" t="s">
        <v>430</v>
      </c>
      <c r="F280" s="1" t="s">
        <v>1993</v>
      </c>
      <c r="G280" s="1" t="s">
        <v>1994</v>
      </c>
      <c r="H280" s="1" t="s">
        <v>76</v>
      </c>
      <c r="I280" s="1" t="s">
        <v>230</v>
      </c>
      <c r="J280" s="1" t="s">
        <v>61</v>
      </c>
      <c r="K280" s="1" t="s">
        <v>53</v>
      </c>
      <c r="L280" s="1" t="s">
        <v>821</v>
      </c>
      <c r="M280" s="1" t="s">
        <v>476</v>
      </c>
      <c r="N280" s="1" t="s">
        <v>195</v>
      </c>
      <c r="O280" s="1" t="s">
        <v>62</v>
      </c>
      <c r="P280" s="1" t="s">
        <v>298</v>
      </c>
      <c r="Q280" s="1" t="s">
        <v>298</v>
      </c>
      <c r="R280" s="1" t="s">
        <v>298</v>
      </c>
      <c r="S280" s="1" t="s">
        <v>1207</v>
      </c>
      <c r="T280" s="69">
        <v>0.26400000000000001</v>
      </c>
      <c r="U280" s="70">
        <v>47945</v>
      </c>
      <c r="V280" s="68">
        <v>3.0769999999999999E-2</v>
      </c>
      <c r="W280" s="68">
        <v>5.9769999999999997E-2</v>
      </c>
      <c r="X280" s="1" t="s">
        <v>636</v>
      </c>
      <c r="Y280" s="140" t="s">
        <v>2853</v>
      </c>
      <c r="Z280" s="67">
        <v>368000</v>
      </c>
      <c r="AA280" s="67">
        <v>3.19</v>
      </c>
      <c r="AB280" s="67">
        <v>99.194500000000005</v>
      </c>
      <c r="AC280" s="67">
        <v>0</v>
      </c>
      <c r="AD280" s="67">
        <v>1164.46407</v>
      </c>
      <c r="AE280" s="140" t="s">
        <v>2853</v>
      </c>
      <c r="AF280" s="140" t="s">
        <v>2853</v>
      </c>
      <c r="AG280" s="1" t="s">
        <v>17</v>
      </c>
      <c r="AH280" s="68">
        <v>6.1333333299999995E-4</v>
      </c>
      <c r="AI280" s="68">
        <v>2.1952070650597352E-3</v>
      </c>
      <c r="AJ280" s="68">
        <v>2.7021066696572094E-4</v>
      </c>
    </row>
    <row r="281" spans="1:36" x14ac:dyDescent="0.25">
      <c r="A281" s="1">
        <v>13908</v>
      </c>
      <c r="B281" s="1">
        <v>13908</v>
      </c>
      <c r="C281" s="1" t="s">
        <v>1995</v>
      </c>
      <c r="D281" s="1">
        <v>162474</v>
      </c>
      <c r="E281" s="1" t="s">
        <v>430</v>
      </c>
      <c r="F281" s="1" t="s">
        <v>1996</v>
      </c>
      <c r="G281" s="1" t="s">
        <v>1997</v>
      </c>
      <c r="H281" s="1" t="s">
        <v>76</v>
      </c>
      <c r="I281" s="1" t="s">
        <v>230</v>
      </c>
      <c r="J281" s="1" t="s">
        <v>61</v>
      </c>
      <c r="K281" s="1" t="s">
        <v>53</v>
      </c>
      <c r="L281" s="1" t="s">
        <v>821</v>
      </c>
      <c r="M281" s="1" t="s">
        <v>476</v>
      </c>
      <c r="N281" s="1" t="s">
        <v>195</v>
      </c>
      <c r="O281" s="1" t="s">
        <v>62</v>
      </c>
      <c r="P281" s="1" t="s">
        <v>298</v>
      </c>
      <c r="Q281" s="1" t="s">
        <v>298</v>
      </c>
      <c r="R281" s="1" t="s">
        <v>298</v>
      </c>
      <c r="S281" s="1" t="s">
        <v>1207</v>
      </c>
      <c r="T281" s="69">
        <v>0.77500000000000002</v>
      </c>
      <c r="U281" s="70">
        <v>48234</v>
      </c>
      <c r="V281" s="68">
        <v>3.2550000000000003E-2</v>
      </c>
      <c r="W281" s="68">
        <v>5.7250000000000002E-2</v>
      </c>
      <c r="X281" s="1" t="s">
        <v>636</v>
      </c>
      <c r="Y281" s="140" t="s">
        <v>2853</v>
      </c>
      <c r="Z281" s="67">
        <v>680000</v>
      </c>
      <c r="AA281" s="67">
        <v>3.19</v>
      </c>
      <c r="AB281" s="67">
        <v>99.021699999999996</v>
      </c>
      <c r="AC281" s="67">
        <v>0</v>
      </c>
      <c r="AD281" s="67">
        <v>2147.9787200000001</v>
      </c>
      <c r="AE281" s="140" t="s">
        <v>2853</v>
      </c>
      <c r="AF281" s="140" t="s">
        <v>2853</v>
      </c>
      <c r="AG281" s="1" t="s">
        <v>17</v>
      </c>
      <c r="AH281" s="68">
        <v>6.8000000000000005E-4</v>
      </c>
      <c r="AI281" s="68">
        <v>4.0492945924402515E-3</v>
      </c>
      <c r="AJ281" s="68">
        <v>4.9843252145974381E-4</v>
      </c>
    </row>
    <row r="282" spans="1:36" x14ac:dyDescent="0.25">
      <c r="A282" s="1">
        <v>13908</v>
      </c>
      <c r="B282" s="1">
        <v>13908</v>
      </c>
      <c r="C282" s="1" t="s">
        <v>1971</v>
      </c>
      <c r="D282" s="1">
        <v>199871</v>
      </c>
      <c r="E282" s="1" t="s">
        <v>430</v>
      </c>
      <c r="F282" s="1" t="s">
        <v>1998</v>
      </c>
      <c r="G282" s="1" t="s">
        <v>1999</v>
      </c>
      <c r="H282" s="1" t="s">
        <v>76</v>
      </c>
      <c r="I282" s="1" t="s">
        <v>230</v>
      </c>
      <c r="J282" s="1" t="s">
        <v>61</v>
      </c>
      <c r="K282" s="1" t="s">
        <v>53</v>
      </c>
      <c r="L282" s="1" t="s">
        <v>821</v>
      </c>
      <c r="M282" s="1" t="s">
        <v>476</v>
      </c>
      <c r="N282" s="1" t="s">
        <v>921</v>
      </c>
      <c r="O282" s="1" t="s">
        <v>62</v>
      </c>
      <c r="P282" s="1" t="s">
        <v>1975</v>
      </c>
      <c r="Q282" s="1" t="s">
        <v>84</v>
      </c>
      <c r="R282" s="1" t="s">
        <v>57</v>
      </c>
      <c r="S282" s="1" t="s">
        <v>1207</v>
      </c>
      <c r="T282" s="69">
        <v>5.4279999999999999</v>
      </c>
      <c r="U282" s="70">
        <v>48266</v>
      </c>
      <c r="V282" s="68">
        <v>3.7499999999999999E-2</v>
      </c>
      <c r="W282" s="68">
        <v>4.9390000000000003E-2</v>
      </c>
      <c r="X282" s="1" t="s">
        <v>636</v>
      </c>
      <c r="Y282" s="140" t="s">
        <v>2853</v>
      </c>
      <c r="Z282" s="67">
        <v>1149000</v>
      </c>
      <c r="AA282" s="67">
        <v>3.19</v>
      </c>
      <c r="AB282" s="67">
        <v>94.700800000000001</v>
      </c>
      <c r="AC282" s="67">
        <v>0</v>
      </c>
      <c r="AD282" s="67">
        <v>3471.07789</v>
      </c>
      <c r="AE282" s="140" t="s">
        <v>2853</v>
      </c>
      <c r="AF282" s="140" t="s">
        <v>2853</v>
      </c>
      <c r="AG282" s="1" t="s">
        <v>17</v>
      </c>
      <c r="AH282" s="68">
        <v>2.2980000000000001E-3</v>
      </c>
      <c r="AI282" s="68">
        <v>6.5435550171167051E-3</v>
      </c>
      <c r="AJ282" s="68">
        <v>8.0545402465433515E-4</v>
      </c>
    </row>
    <row r="283" spans="1:36" x14ac:dyDescent="0.25">
      <c r="A283" s="1">
        <v>13908</v>
      </c>
      <c r="B283" s="1">
        <v>13908</v>
      </c>
      <c r="C283" s="1" t="s">
        <v>2000</v>
      </c>
      <c r="D283" s="1">
        <v>186044</v>
      </c>
      <c r="E283" s="1" t="s">
        <v>430</v>
      </c>
      <c r="F283" s="1" t="s">
        <v>2001</v>
      </c>
      <c r="G283" s="1" t="s">
        <v>2002</v>
      </c>
      <c r="H283" s="1" t="s">
        <v>76</v>
      </c>
      <c r="I283" s="1" t="s">
        <v>228</v>
      </c>
      <c r="J283" s="1" t="s">
        <v>61</v>
      </c>
      <c r="K283" s="1" t="s">
        <v>53</v>
      </c>
      <c r="L283" s="1" t="s">
        <v>821</v>
      </c>
      <c r="M283" s="1" t="s">
        <v>476</v>
      </c>
      <c r="N283" s="1" t="s">
        <v>195</v>
      </c>
      <c r="O283" s="1" t="s">
        <v>62</v>
      </c>
      <c r="P283" s="1" t="s">
        <v>1266</v>
      </c>
      <c r="Q283" s="1" t="s">
        <v>84</v>
      </c>
      <c r="R283" s="1" t="s">
        <v>57</v>
      </c>
      <c r="S283" s="1" t="s">
        <v>1207</v>
      </c>
      <c r="T283" s="69">
        <v>1.865</v>
      </c>
      <c r="U283" s="70">
        <v>46778</v>
      </c>
      <c r="V283" s="68">
        <v>5.3749999999999999E-2</v>
      </c>
      <c r="W283" s="68">
        <v>4.7230000000000001E-2</v>
      </c>
      <c r="X283" s="1" t="s">
        <v>636</v>
      </c>
      <c r="Y283" s="140" t="s">
        <v>2853</v>
      </c>
      <c r="Z283" s="67">
        <v>433000</v>
      </c>
      <c r="AA283" s="67">
        <v>3.19</v>
      </c>
      <c r="AB283" s="67">
        <v>102.7688</v>
      </c>
      <c r="AC283" s="67">
        <v>0</v>
      </c>
      <c r="AD283" s="67">
        <v>1419.5146</v>
      </c>
      <c r="AE283" s="140" t="s">
        <v>2853</v>
      </c>
      <c r="AF283" s="140" t="s">
        <v>2853</v>
      </c>
      <c r="AG283" s="1" t="s">
        <v>17</v>
      </c>
      <c r="AH283" s="68">
        <v>5.4124999999999996E-4</v>
      </c>
      <c r="AI283" s="68">
        <v>2.6760194317334701E-3</v>
      </c>
      <c r="AJ283" s="68">
        <v>3.293944370766018E-4</v>
      </c>
    </row>
    <row r="284" spans="1:36" x14ac:dyDescent="0.25">
      <c r="A284" s="1">
        <v>13908</v>
      </c>
      <c r="B284" s="1">
        <v>13908</v>
      </c>
      <c r="C284" s="1" t="s">
        <v>2003</v>
      </c>
      <c r="D284" s="1" t="s">
        <v>2004</v>
      </c>
      <c r="E284" s="1" t="s">
        <v>430</v>
      </c>
      <c r="F284" s="1" t="s">
        <v>2005</v>
      </c>
      <c r="G284" s="1" t="s">
        <v>2006</v>
      </c>
      <c r="H284" s="1" t="s">
        <v>76</v>
      </c>
      <c r="I284" s="1" t="s">
        <v>230</v>
      </c>
      <c r="J284" s="1" t="s">
        <v>61</v>
      </c>
      <c r="K284" s="1" t="s">
        <v>53</v>
      </c>
      <c r="L284" s="1" t="s">
        <v>821</v>
      </c>
      <c r="M284" s="1" t="s">
        <v>486</v>
      </c>
      <c r="N284" s="1" t="s">
        <v>910</v>
      </c>
      <c r="O284" s="1" t="s">
        <v>62</v>
      </c>
      <c r="P284" s="1" t="s">
        <v>2007</v>
      </c>
      <c r="Q284" s="1" t="s">
        <v>84</v>
      </c>
      <c r="R284" s="1" t="s">
        <v>57</v>
      </c>
      <c r="S284" s="1" t="s">
        <v>1212</v>
      </c>
      <c r="T284" s="69">
        <v>4.5330000000000004</v>
      </c>
      <c r="U284" s="70">
        <v>48106</v>
      </c>
      <c r="V284" s="68">
        <v>7.8750000000000001E-2</v>
      </c>
      <c r="W284" s="68">
        <v>3.9230000000000001E-2</v>
      </c>
      <c r="X284" s="1" t="s">
        <v>636</v>
      </c>
      <c r="Y284" s="140" t="s">
        <v>2853</v>
      </c>
      <c r="Z284" s="67">
        <v>8000</v>
      </c>
      <c r="AA284" s="67">
        <v>3.7454999999999998</v>
      </c>
      <c r="AB284" s="67">
        <v>122.38930000000001</v>
      </c>
      <c r="AC284" s="67">
        <v>0</v>
      </c>
      <c r="AD284" s="67">
        <v>36.672730000000001</v>
      </c>
      <c r="AE284" s="140" t="s">
        <v>2853</v>
      </c>
      <c r="AF284" s="140" t="s">
        <v>2853</v>
      </c>
      <c r="AG284" s="1" t="s">
        <v>17</v>
      </c>
      <c r="AH284" s="68">
        <v>1.5999999999999999E-5</v>
      </c>
      <c r="AI284" s="68">
        <v>6.913415198034242E-5</v>
      </c>
      <c r="AJ284" s="68">
        <v>8.5098055732658235E-6</v>
      </c>
    </row>
    <row r="285" spans="1:36" x14ac:dyDescent="0.25">
      <c r="A285" s="1">
        <v>13908</v>
      </c>
      <c r="B285" s="1">
        <v>13908</v>
      </c>
      <c r="C285" s="1" t="s">
        <v>2003</v>
      </c>
      <c r="D285" s="1" t="s">
        <v>2004</v>
      </c>
      <c r="E285" s="1" t="s">
        <v>430</v>
      </c>
      <c r="F285" s="1" t="s">
        <v>2008</v>
      </c>
      <c r="G285" s="1" t="s">
        <v>2009</v>
      </c>
      <c r="H285" s="1" t="s">
        <v>76</v>
      </c>
      <c r="I285" s="1" t="s">
        <v>230</v>
      </c>
      <c r="J285" s="1" t="s">
        <v>61</v>
      </c>
      <c r="K285" s="1" t="s">
        <v>53</v>
      </c>
      <c r="L285" s="1" t="s">
        <v>821</v>
      </c>
      <c r="M285" s="1" t="s">
        <v>486</v>
      </c>
      <c r="N285" s="1" t="s">
        <v>910</v>
      </c>
      <c r="O285" s="1" t="s">
        <v>62</v>
      </c>
      <c r="P285" s="1" t="s">
        <v>2007</v>
      </c>
      <c r="Q285" s="1" t="s">
        <v>84</v>
      </c>
      <c r="R285" s="1" t="s">
        <v>57</v>
      </c>
      <c r="S285" s="1" t="s">
        <v>1212</v>
      </c>
      <c r="T285" s="69">
        <v>3.0659999999999998</v>
      </c>
      <c r="U285" s="70">
        <v>47376</v>
      </c>
      <c r="V285" s="68">
        <v>7.3749999999999996E-2</v>
      </c>
      <c r="W285" s="68">
        <v>3.6240000000000001E-2</v>
      </c>
      <c r="X285" s="1" t="s">
        <v>636</v>
      </c>
      <c r="Y285" s="140" t="s">
        <v>2853</v>
      </c>
      <c r="Z285" s="67">
        <v>5067</v>
      </c>
      <c r="AA285" s="67">
        <v>3.7454999999999998</v>
      </c>
      <c r="AB285" s="67">
        <v>115.1075</v>
      </c>
      <c r="AC285" s="67">
        <v>0</v>
      </c>
      <c r="AD285" s="67">
        <v>21.84562</v>
      </c>
      <c r="AE285" s="140" t="s">
        <v>2853</v>
      </c>
      <c r="AF285" s="140" t="s">
        <v>2853</v>
      </c>
      <c r="AG285" s="1" t="s">
        <v>17</v>
      </c>
      <c r="AH285" s="68">
        <v>6.3337500000000001E-6</v>
      </c>
      <c r="AI285" s="68">
        <v>4.1182601163993192E-5</v>
      </c>
      <c r="AJ285" s="68">
        <v>5.0692157040789527E-6</v>
      </c>
    </row>
    <row r="286" spans="1:36" x14ac:dyDescent="0.25">
      <c r="A286" s="1">
        <v>13908</v>
      </c>
      <c r="B286" s="1">
        <v>13908</v>
      </c>
      <c r="C286" s="1" t="s">
        <v>1986</v>
      </c>
      <c r="D286" s="1" t="s">
        <v>2010</v>
      </c>
      <c r="E286" s="1" t="s">
        <v>430</v>
      </c>
      <c r="F286" s="1" t="s">
        <v>2011</v>
      </c>
      <c r="G286" s="1" t="s">
        <v>2012</v>
      </c>
      <c r="H286" s="1" t="s">
        <v>76</v>
      </c>
      <c r="I286" s="1" t="s">
        <v>228</v>
      </c>
      <c r="J286" s="1" t="s">
        <v>61</v>
      </c>
      <c r="K286" s="1" t="s">
        <v>53</v>
      </c>
      <c r="L286" s="1" t="s">
        <v>821</v>
      </c>
      <c r="M286" s="1" t="s">
        <v>476</v>
      </c>
      <c r="N286" s="1" t="s">
        <v>879</v>
      </c>
      <c r="O286" s="1" t="s">
        <v>62</v>
      </c>
      <c r="P286" s="1" t="s">
        <v>1983</v>
      </c>
      <c r="Q286" s="1" t="s">
        <v>84</v>
      </c>
      <c r="R286" s="1" t="s">
        <v>57</v>
      </c>
      <c r="S286" s="1" t="s">
        <v>1207</v>
      </c>
      <c r="T286" s="69">
        <v>3.9540000000000002</v>
      </c>
      <c r="U286" s="70">
        <v>48852</v>
      </c>
      <c r="V286" s="68">
        <v>8.5000000000000006E-2</v>
      </c>
      <c r="W286" s="68">
        <v>7.2849999999999998E-2</v>
      </c>
      <c r="X286" s="1" t="s">
        <v>636</v>
      </c>
      <c r="Y286" s="140" t="s">
        <v>2853</v>
      </c>
      <c r="Z286" s="67">
        <v>3280000</v>
      </c>
      <c r="AA286" s="67">
        <v>3.19</v>
      </c>
      <c r="AB286" s="67">
        <v>107.6808</v>
      </c>
      <c r="AC286" s="67">
        <v>0</v>
      </c>
      <c r="AD286" s="67">
        <v>11266.857470000001</v>
      </c>
      <c r="AE286" s="140" t="s">
        <v>2853</v>
      </c>
      <c r="AF286" s="140" t="s">
        <v>2853</v>
      </c>
      <c r="AG286" s="1" t="s">
        <v>17</v>
      </c>
      <c r="AH286" s="68">
        <v>4.3733333330000001E-3</v>
      </c>
      <c r="AI286" s="68">
        <v>2.1239886877029237E-2</v>
      </c>
      <c r="AJ286" s="68">
        <v>2.6144431159446728E-3</v>
      </c>
    </row>
    <row r="287" spans="1:36" x14ac:dyDescent="0.25">
      <c r="A287" s="1">
        <v>13908</v>
      </c>
      <c r="B287" s="1">
        <v>13908</v>
      </c>
      <c r="C287" s="1" t="s">
        <v>2013</v>
      </c>
      <c r="D287" s="1" t="s">
        <v>2014</v>
      </c>
      <c r="E287" s="1" t="s">
        <v>430</v>
      </c>
      <c r="F287" s="1" t="s">
        <v>2015</v>
      </c>
      <c r="G287" s="1" t="s">
        <v>2016</v>
      </c>
      <c r="H287" s="1" t="s">
        <v>76</v>
      </c>
      <c r="I287" s="1" t="s">
        <v>230</v>
      </c>
      <c r="J287" s="1" t="s">
        <v>61</v>
      </c>
      <c r="K287" s="1" t="s">
        <v>314</v>
      </c>
      <c r="L287" s="1" t="s">
        <v>821</v>
      </c>
      <c r="M287" s="1" t="s">
        <v>488</v>
      </c>
      <c r="N287" s="1" t="s">
        <v>921</v>
      </c>
      <c r="O287" s="1" t="s">
        <v>62</v>
      </c>
      <c r="P287" s="1" t="s">
        <v>298</v>
      </c>
      <c r="Q287" s="1" t="s">
        <v>298</v>
      </c>
      <c r="R287" s="1" t="s">
        <v>298</v>
      </c>
      <c r="S287" s="1" t="s">
        <v>1207</v>
      </c>
      <c r="T287" s="69">
        <v>1.94</v>
      </c>
      <c r="U287" s="70">
        <v>46583</v>
      </c>
      <c r="V287" s="68">
        <v>2.5000000000000001E-2</v>
      </c>
      <c r="W287" s="68">
        <v>-3.8600000000000002E-2</v>
      </c>
      <c r="X287" s="1" t="s">
        <v>636</v>
      </c>
      <c r="Y287" s="140" t="s">
        <v>2853</v>
      </c>
      <c r="Z287" s="67">
        <v>700000</v>
      </c>
      <c r="AA287" s="67">
        <v>3.19</v>
      </c>
      <c r="AB287" s="67">
        <v>135.5642</v>
      </c>
      <c r="AC287" s="67">
        <v>0</v>
      </c>
      <c r="AD287" s="67">
        <v>3027.1485899999998</v>
      </c>
      <c r="AE287" s="140" t="s">
        <v>2853</v>
      </c>
      <c r="AF287" s="140" t="s">
        <v>2853</v>
      </c>
      <c r="AG287" s="1" t="s">
        <v>17</v>
      </c>
      <c r="AH287" s="68">
        <v>1.469239374E-3</v>
      </c>
      <c r="AI287" s="68">
        <v>5.7066749786050634E-3</v>
      </c>
      <c r="AJ287" s="68">
        <v>7.0244145833391123E-4</v>
      </c>
    </row>
    <row r="288" spans="1:36" x14ac:dyDescent="0.25">
      <c r="A288" s="1">
        <v>13908</v>
      </c>
      <c r="B288" s="1">
        <v>13908</v>
      </c>
      <c r="C288" s="1" t="s">
        <v>2017</v>
      </c>
      <c r="D288" s="1" t="s">
        <v>2018</v>
      </c>
      <c r="E288" s="1" t="s">
        <v>430</v>
      </c>
      <c r="F288" s="1" t="s">
        <v>2019</v>
      </c>
      <c r="G288" s="1" t="s">
        <v>2020</v>
      </c>
      <c r="H288" s="1" t="s">
        <v>76</v>
      </c>
      <c r="I288" s="1" t="s">
        <v>230</v>
      </c>
      <c r="J288" s="1" t="s">
        <v>61</v>
      </c>
      <c r="K288" s="1" t="s">
        <v>315</v>
      </c>
      <c r="L288" s="1" t="s">
        <v>821</v>
      </c>
      <c r="M288" s="1" t="s">
        <v>102</v>
      </c>
      <c r="N288" s="1" t="s">
        <v>919</v>
      </c>
      <c r="O288" s="1" t="s">
        <v>62</v>
      </c>
      <c r="P288" s="1" t="s">
        <v>2021</v>
      </c>
      <c r="Q288" s="1" t="s">
        <v>84</v>
      </c>
      <c r="R288" s="1" t="s">
        <v>57</v>
      </c>
      <c r="S288" s="1" t="s">
        <v>1207</v>
      </c>
      <c r="T288" s="69">
        <v>2.5150000000000001</v>
      </c>
      <c r="U288" s="70">
        <v>47406</v>
      </c>
      <c r="V288" s="68">
        <v>8.1250000000000003E-2</v>
      </c>
      <c r="W288" s="68">
        <v>6.9559999999999997E-2</v>
      </c>
      <c r="X288" s="1" t="s">
        <v>636</v>
      </c>
      <c r="Y288" s="140" t="s">
        <v>2853</v>
      </c>
      <c r="Z288" s="67">
        <v>206000</v>
      </c>
      <c r="AA288" s="67">
        <v>3.19</v>
      </c>
      <c r="AB288" s="67">
        <v>105.41719999999999</v>
      </c>
      <c r="AC288" s="67">
        <v>0</v>
      </c>
      <c r="AD288" s="67">
        <v>692.73859000000004</v>
      </c>
      <c r="AE288" s="140" t="s">
        <v>2853</v>
      </c>
      <c r="AF288" s="140" t="s">
        <v>2853</v>
      </c>
      <c r="AG288" s="1" t="s">
        <v>17</v>
      </c>
      <c r="AH288" s="68">
        <v>2.7466666600000001E-4</v>
      </c>
      <c r="AI288" s="68">
        <v>1.3059266371417706E-3</v>
      </c>
      <c r="AJ288" s="68">
        <v>1.6074807395027066E-4</v>
      </c>
    </row>
    <row r="289" spans="1:36" x14ac:dyDescent="0.25">
      <c r="A289" s="1">
        <v>13908</v>
      </c>
      <c r="B289" s="1">
        <v>13908</v>
      </c>
      <c r="C289" s="1" t="s">
        <v>2022</v>
      </c>
      <c r="D289" s="1" t="s">
        <v>2023</v>
      </c>
      <c r="E289" s="1" t="s">
        <v>430</v>
      </c>
      <c r="F289" s="1" t="s">
        <v>2024</v>
      </c>
      <c r="G289" s="1" t="s">
        <v>2025</v>
      </c>
      <c r="H289" s="1" t="s">
        <v>76</v>
      </c>
      <c r="I289" s="1" t="s">
        <v>230</v>
      </c>
      <c r="J289" s="1" t="s">
        <v>61</v>
      </c>
      <c r="K289" s="1" t="s">
        <v>153</v>
      </c>
      <c r="L289" s="1" t="s">
        <v>821</v>
      </c>
      <c r="M289" s="1" t="s">
        <v>479</v>
      </c>
      <c r="N289" s="1" t="s">
        <v>1151</v>
      </c>
      <c r="O289" s="1" t="s">
        <v>62</v>
      </c>
      <c r="P289" s="1" t="s">
        <v>2026</v>
      </c>
      <c r="Q289" s="1" t="s">
        <v>84</v>
      </c>
      <c r="R289" s="1" t="s">
        <v>57</v>
      </c>
      <c r="S289" s="1" t="s">
        <v>1207</v>
      </c>
      <c r="T289" s="69">
        <v>6.2539999999999996</v>
      </c>
      <c r="U289" s="70">
        <v>48882</v>
      </c>
      <c r="V289" s="68">
        <v>6.5500000000000003E-2</v>
      </c>
      <c r="W289" s="68">
        <v>6.021E-2</v>
      </c>
      <c r="X289" s="1" t="s">
        <v>636</v>
      </c>
      <c r="Y289" s="140" t="s">
        <v>2853</v>
      </c>
      <c r="Z289" s="67">
        <v>600000</v>
      </c>
      <c r="AA289" s="67">
        <v>3.19</v>
      </c>
      <c r="AB289" s="67">
        <v>104.80840000000001</v>
      </c>
      <c r="AC289" s="67">
        <v>0</v>
      </c>
      <c r="AD289" s="67">
        <v>2006.03278</v>
      </c>
      <c r="AE289" s="140" t="s">
        <v>2853</v>
      </c>
      <c r="AF289" s="140" t="s">
        <v>2853</v>
      </c>
      <c r="AG289" s="1" t="s">
        <v>17</v>
      </c>
      <c r="AH289" s="68">
        <v>4.8000000000000001E-4</v>
      </c>
      <c r="AI289" s="68">
        <v>3.7817030553784466E-3</v>
      </c>
      <c r="AJ289" s="68">
        <v>4.6549435865281735E-4</v>
      </c>
    </row>
    <row r="290" spans="1:36" x14ac:dyDescent="0.25">
      <c r="A290" s="1">
        <v>13908</v>
      </c>
      <c r="B290" s="1">
        <v>13908</v>
      </c>
      <c r="C290" s="1" t="s">
        <v>2027</v>
      </c>
      <c r="D290" s="1" t="s">
        <v>2028</v>
      </c>
      <c r="E290" s="1" t="s">
        <v>430</v>
      </c>
      <c r="F290" s="1" t="s">
        <v>2029</v>
      </c>
      <c r="G290" s="1" t="s">
        <v>2030</v>
      </c>
      <c r="H290" s="1" t="s">
        <v>76</v>
      </c>
      <c r="I290" s="1" t="s">
        <v>230</v>
      </c>
      <c r="J290" s="1" t="s">
        <v>61</v>
      </c>
      <c r="K290" s="1" t="s">
        <v>314</v>
      </c>
      <c r="L290" s="1" t="s">
        <v>821</v>
      </c>
      <c r="M290" s="1" t="s">
        <v>479</v>
      </c>
      <c r="N290" s="1" t="s">
        <v>895</v>
      </c>
      <c r="O290" s="1" t="s">
        <v>62</v>
      </c>
      <c r="P290" s="1" t="s">
        <v>2007</v>
      </c>
      <c r="Q290" s="1" t="s">
        <v>84</v>
      </c>
      <c r="R290" s="1" t="s">
        <v>57</v>
      </c>
      <c r="S290" s="1" t="s">
        <v>1209</v>
      </c>
      <c r="T290" s="69">
        <v>4.8460000000000001</v>
      </c>
      <c r="U290" s="70">
        <v>48089</v>
      </c>
      <c r="V290" s="68">
        <v>6.1839999999999999E-2</v>
      </c>
      <c r="W290" s="68">
        <v>5.8049999999999997E-2</v>
      </c>
      <c r="X290" s="1" t="s">
        <v>636</v>
      </c>
      <c r="Y290" s="140" t="s">
        <v>2853</v>
      </c>
      <c r="Z290" s="67">
        <v>200000</v>
      </c>
      <c r="AA290" s="67">
        <v>4.29</v>
      </c>
      <c r="AB290" s="67">
        <v>103.92959999999999</v>
      </c>
      <c r="AC290" s="67">
        <v>0</v>
      </c>
      <c r="AD290" s="67">
        <v>891.71596999999997</v>
      </c>
      <c r="AE290" s="140" t="s">
        <v>2853</v>
      </c>
      <c r="AF290" s="140" t="s">
        <v>2853</v>
      </c>
      <c r="AG290" s="1" t="s">
        <v>17</v>
      </c>
      <c r="AH290" s="68">
        <v>5.0000000000000001E-4</v>
      </c>
      <c r="AI290" s="68">
        <v>1.6810318564578766E-3</v>
      </c>
      <c r="AJ290" s="68">
        <v>2.0692022468128606E-4</v>
      </c>
    </row>
    <row r="291" spans="1:36" x14ac:dyDescent="0.25">
      <c r="A291" s="1">
        <v>13908</v>
      </c>
      <c r="B291" s="1">
        <v>13908</v>
      </c>
      <c r="C291" s="1" t="s">
        <v>2031</v>
      </c>
      <c r="D291" s="1" t="s">
        <v>2032</v>
      </c>
      <c r="E291" s="1" t="s">
        <v>430</v>
      </c>
      <c r="F291" s="1" t="s">
        <v>2033</v>
      </c>
      <c r="G291" s="1" t="s">
        <v>2034</v>
      </c>
      <c r="H291" s="1" t="s">
        <v>76</v>
      </c>
      <c r="I291" s="1" t="s">
        <v>230</v>
      </c>
      <c r="J291" s="1" t="s">
        <v>61</v>
      </c>
      <c r="K291" s="1" t="s">
        <v>173</v>
      </c>
      <c r="L291" s="1" t="s">
        <v>821</v>
      </c>
      <c r="M291" s="1" t="s">
        <v>486</v>
      </c>
      <c r="N291" s="1" t="s">
        <v>931</v>
      </c>
      <c r="O291" s="1" t="s">
        <v>62</v>
      </c>
      <c r="P291" s="1" t="s">
        <v>298</v>
      </c>
      <c r="Q291" s="1" t="s">
        <v>298</v>
      </c>
      <c r="R291" s="1" t="s">
        <v>298</v>
      </c>
      <c r="S291" s="1" t="s">
        <v>1212</v>
      </c>
      <c r="T291" s="69">
        <v>2.371</v>
      </c>
      <c r="U291" s="70">
        <v>46996</v>
      </c>
      <c r="V291" s="68">
        <v>7.9000000000000001E-2</v>
      </c>
      <c r="W291" s="68">
        <v>8.7010000000000004E-2</v>
      </c>
      <c r="X291" s="1" t="s">
        <v>636</v>
      </c>
      <c r="Y291" s="140" t="s">
        <v>2853</v>
      </c>
      <c r="Z291" s="67">
        <v>461216.39</v>
      </c>
      <c r="AA291" s="67">
        <v>3.7454999999999998</v>
      </c>
      <c r="AB291" s="67">
        <v>102.4534</v>
      </c>
      <c r="AC291" s="67">
        <v>0</v>
      </c>
      <c r="AD291" s="67">
        <v>1769.8681300000001</v>
      </c>
      <c r="AE291" s="140" t="s">
        <v>2853</v>
      </c>
      <c r="AF291" s="140" t="s">
        <v>2853</v>
      </c>
      <c r="AG291" s="1" t="s">
        <v>17</v>
      </c>
      <c r="AH291" s="68">
        <v>5.2347335799999997E-4</v>
      </c>
      <c r="AI291" s="68">
        <v>3.3364936912137289E-3</v>
      </c>
      <c r="AJ291" s="68">
        <v>4.106930047645638E-4</v>
      </c>
    </row>
    <row r="292" spans="1:36" x14ac:dyDescent="0.25">
      <c r="A292" s="1">
        <v>13908</v>
      </c>
      <c r="B292" s="1">
        <v>13908</v>
      </c>
      <c r="C292" s="1" t="s">
        <v>2035</v>
      </c>
      <c r="D292" s="1" t="s">
        <v>2036</v>
      </c>
      <c r="E292" s="1" t="s">
        <v>430</v>
      </c>
      <c r="F292" s="1" t="s">
        <v>2037</v>
      </c>
      <c r="G292" s="1" t="s">
        <v>2038</v>
      </c>
      <c r="H292" s="1" t="s">
        <v>76</v>
      </c>
      <c r="I292" s="1" t="s">
        <v>230</v>
      </c>
      <c r="J292" s="1" t="s">
        <v>61</v>
      </c>
      <c r="K292" s="1" t="s">
        <v>314</v>
      </c>
      <c r="L292" s="1" t="s">
        <v>821</v>
      </c>
      <c r="M292" s="1" t="s">
        <v>476</v>
      </c>
      <c r="N292" s="1" t="s">
        <v>130</v>
      </c>
      <c r="O292" s="1" t="s">
        <v>62</v>
      </c>
      <c r="P292" s="1" t="s">
        <v>2039</v>
      </c>
      <c r="Q292" s="1" t="s">
        <v>84</v>
      </c>
      <c r="R292" s="1" t="s">
        <v>57</v>
      </c>
      <c r="S292" s="1" t="s">
        <v>1207</v>
      </c>
      <c r="T292" s="69">
        <v>2.198</v>
      </c>
      <c r="U292" s="70">
        <v>46917</v>
      </c>
      <c r="V292" s="68">
        <v>7.9500000000000001E-2</v>
      </c>
      <c r="W292" s="68">
        <v>5.3690000000000002E-2</v>
      </c>
      <c r="X292" s="1" t="s">
        <v>636</v>
      </c>
      <c r="Y292" s="140" t="s">
        <v>2853</v>
      </c>
      <c r="Z292" s="67">
        <v>300000</v>
      </c>
      <c r="AA292" s="67">
        <v>3.19</v>
      </c>
      <c r="AB292" s="67">
        <v>109.5163</v>
      </c>
      <c r="AC292" s="67">
        <v>0</v>
      </c>
      <c r="AD292" s="67">
        <v>1048.0709899999999</v>
      </c>
      <c r="AE292" s="140" t="s">
        <v>2853</v>
      </c>
      <c r="AF292" s="140" t="s">
        <v>2853</v>
      </c>
      <c r="AG292" s="1" t="s">
        <v>17</v>
      </c>
      <c r="AH292" s="68">
        <v>4.61538461E-4</v>
      </c>
      <c r="AI292" s="68">
        <v>1.975786888754885E-3</v>
      </c>
      <c r="AJ292" s="68">
        <v>2.4320197465201607E-4</v>
      </c>
    </row>
    <row r="293" spans="1:36" x14ac:dyDescent="0.25">
      <c r="A293" s="1">
        <v>13908</v>
      </c>
      <c r="B293" s="1">
        <v>13908</v>
      </c>
      <c r="C293" s="1" t="s">
        <v>2040</v>
      </c>
      <c r="D293" s="1" t="s">
        <v>2041</v>
      </c>
      <c r="E293" s="1" t="s">
        <v>430</v>
      </c>
      <c r="F293" s="1" t="s">
        <v>2042</v>
      </c>
      <c r="G293" s="1" t="s">
        <v>2043</v>
      </c>
      <c r="H293" s="1" t="s">
        <v>76</v>
      </c>
      <c r="I293" s="1" t="s">
        <v>230</v>
      </c>
      <c r="J293" s="1" t="s">
        <v>61</v>
      </c>
      <c r="K293" s="1" t="s">
        <v>314</v>
      </c>
      <c r="L293" s="1" t="s">
        <v>821</v>
      </c>
      <c r="M293" s="1" t="s">
        <v>488</v>
      </c>
      <c r="N293" s="1" t="s">
        <v>1151</v>
      </c>
      <c r="O293" s="1" t="s">
        <v>62</v>
      </c>
      <c r="P293" s="1" t="s">
        <v>298</v>
      </c>
      <c r="Q293" s="1" t="s">
        <v>298</v>
      </c>
      <c r="R293" s="1" t="s">
        <v>298</v>
      </c>
      <c r="S293" s="1" t="s">
        <v>1207</v>
      </c>
      <c r="T293" s="69">
        <v>4.5279999999999996</v>
      </c>
      <c r="U293" s="70">
        <v>48058</v>
      </c>
      <c r="V293" s="68">
        <v>6.7000000000000004E-2</v>
      </c>
      <c r="W293" s="68">
        <v>5.509E-2</v>
      </c>
      <c r="X293" s="1" t="s">
        <v>636</v>
      </c>
      <c r="Y293" s="140" t="s">
        <v>2853</v>
      </c>
      <c r="Z293" s="67">
        <v>188000</v>
      </c>
      <c r="AA293" s="67">
        <v>3.19</v>
      </c>
      <c r="AB293" s="67">
        <v>106.7657</v>
      </c>
      <c r="AC293" s="67">
        <v>0</v>
      </c>
      <c r="AD293" s="67">
        <v>640.29525999999998</v>
      </c>
      <c r="AE293" s="140" t="s">
        <v>2853</v>
      </c>
      <c r="AF293" s="140" t="s">
        <v>2853</v>
      </c>
      <c r="AG293" s="1" t="s">
        <v>17</v>
      </c>
      <c r="AH293" s="68">
        <v>1.8903857699999999E-4</v>
      </c>
      <c r="AI293" s="68">
        <v>1.2070622998923959E-3</v>
      </c>
      <c r="AJ293" s="68">
        <v>1.4857874426266301E-4</v>
      </c>
    </row>
    <row r="294" spans="1:36" x14ac:dyDescent="0.25">
      <c r="A294" s="1">
        <v>13908</v>
      </c>
      <c r="B294" s="1">
        <v>13908</v>
      </c>
      <c r="C294" s="1" t="s">
        <v>2044</v>
      </c>
      <c r="D294" s="1" t="s">
        <v>2045</v>
      </c>
      <c r="E294" s="1" t="s">
        <v>430</v>
      </c>
      <c r="F294" s="1" t="s">
        <v>2046</v>
      </c>
      <c r="G294" s="1" t="s">
        <v>2047</v>
      </c>
      <c r="H294" s="1" t="s">
        <v>76</v>
      </c>
      <c r="I294" s="1" t="s">
        <v>230</v>
      </c>
      <c r="J294" s="1" t="s">
        <v>61</v>
      </c>
      <c r="K294" s="1" t="s">
        <v>314</v>
      </c>
      <c r="L294" s="1" t="s">
        <v>821</v>
      </c>
      <c r="M294" s="1" t="s">
        <v>488</v>
      </c>
      <c r="N294" s="1" t="s">
        <v>195</v>
      </c>
      <c r="O294" s="1" t="s">
        <v>62</v>
      </c>
      <c r="P294" s="1" t="s">
        <v>298</v>
      </c>
      <c r="Q294" s="1" t="s">
        <v>298</v>
      </c>
      <c r="R294" s="1" t="s">
        <v>298</v>
      </c>
      <c r="S294" s="1" t="s">
        <v>1207</v>
      </c>
      <c r="T294" s="69">
        <v>3.7269999999999999</v>
      </c>
      <c r="U294" s="70">
        <v>47557</v>
      </c>
      <c r="V294" s="68">
        <v>5.8000000000000003E-2</v>
      </c>
      <c r="W294" s="68">
        <v>5.799E-2</v>
      </c>
      <c r="X294" s="1" t="s">
        <v>636</v>
      </c>
      <c r="Y294" s="140" t="s">
        <v>2853</v>
      </c>
      <c r="Z294" s="67">
        <v>76200</v>
      </c>
      <c r="AA294" s="67">
        <v>3.19</v>
      </c>
      <c r="AB294" s="67">
        <v>101.1451</v>
      </c>
      <c r="AC294" s="67">
        <v>0</v>
      </c>
      <c r="AD294" s="67">
        <v>245.86149</v>
      </c>
      <c r="AE294" s="140" t="s">
        <v>2853</v>
      </c>
      <c r="AF294" s="140" t="s">
        <v>2853</v>
      </c>
      <c r="AG294" s="1" t="s">
        <v>17</v>
      </c>
      <c r="AH294" s="68">
        <v>7.6288800163390203E-5</v>
      </c>
      <c r="AI294" s="68">
        <v>4.6348950884685813E-4</v>
      </c>
      <c r="AJ294" s="68">
        <v>5.7051478792373505E-5</v>
      </c>
    </row>
    <row r="295" spans="1:36" x14ac:dyDescent="0.25">
      <c r="A295" s="1">
        <v>13908</v>
      </c>
      <c r="B295" s="1">
        <v>13908</v>
      </c>
      <c r="C295" s="1" t="s">
        <v>2048</v>
      </c>
      <c r="D295" s="1" t="s">
        <v>2049</v>
      </c>
      <c r="E295" s="1" t="s">
        <v>430</v>
      </c>
      <c r="F295" s="1" t="s">
        <v>2050</v>
      </c>
      <c r="G295" s="1" t="s">
        <v>2051</v>
      </c>
      <c r="H295" s="1" t="s">
        <v>76</v>
      </c>
      <c r="I295" s="1" t="s">
        <v>230</v>
      </c>
      <c r="J295" s="1" t="s">
        <v>61</v>
      </c>
      <c r="K295" s="1" t="s">
        <v>196</v>
      </c>
      <c r="L295" s="1" t="s">
        <v>821</v>
      </c>
      <c r="M295" s="1" t="s">
        <v>476</v>
      </c>
      <c r="N295" s="1" t="s">
        <v>931</v>
      </c>
      <c r="O295" s="1" t="s">
        <v>62</v>
      </c>
      <c r="P295" s="1" t="s">
        <v>298</v>
      </c>
      <c r="Q295" s="1" t="s">
        <v>298</v>
      </c>
      <c r="R295" s="1" t="s">
        <v>298</v>
      </c>
      <c r="S295" s="1" t="s">
        <v>1212</v>
      </c>
      <c r="T295" s="69">
        <v>1.4E-2</v>
      </c>
      <c r="U295" s="70">
        <v>47208</v>
      </c>
      <c r="V295" s="68">
        <v>6.25E-2</v>
      </c>
      <c r="W295" s="68">
        <v>6.0830000000000002E-2</v>
      </c>
      <c r="X295" s="1" t="s">
        <v>636</v>
      </c>
      <c r="Y295" s="140" t="s">
        <v>2853</v>
      </c>
      <c r="Z295" s="67">
        <v>837000</v>
      </c>
      <c r="AA295" s="67">
        <v>3.7454999999999998</v>
      </c>
      <c r="AB295" s="67">
        <v>89.464799999999997</v>
      </c>
      <c r="AC295" s="67">
        <v>0</v>
      </c>
      <c r="AD295" s="67">
        <v>2804.7067200000001</v>
      </c>
      <c r="AE295" s="140" t="s">
        <v>2853</v>
      </c>
      <c r="AF295" s="140" t="s">
        <v>2853</v>
      </c>
      <c r="AG295" s="1" t="s">
        <v>17</v>
      </c>
      <c r="AH295" s="68">
        <v>2.725414933E-3</v>
      </c>
      <c r="AI295" s="68">
        <v>5.2873353208437905E-3</v>
      </c>
      <c r="AJ295" s="68">
        <v>6.5082443759251381E-4</v>
      </c>
    </row>
    <row r="296" spans="1:36" x14ac:dyDescent="0.25">
      <c r="A296" s="1">
        <v>13908</v>
      </c>
      <c r="B296" s="1">
        <v>13908</v>
      </c>
      <c r="C296" s="1" t="s">
        <v>2052</v>
      </c>
      <c r="D296" s="1" t="s">
        <v>2053</v>
      </c>
      <c r="E296" s="1" t="s">
        <v>430</v>
      </c>
      <c r="F296" s="1" t="s">
        <v>2054</v>
      </c>
      <c r="G296" s="1" t="s">
        <v>2055</v>
      </c>
      <c r="H296" s="1" t="s">
        <v>76</v>
      </c>
      <c r="I296" s="1" t="s">
        <v>230</v>
      </c>
      <c r="J296" s="1" t="s">
        <v>61</v>
      </c>
      <c r="K296" s="1" t="s">
        <v>67</v>
      </c>
      <c r="L296" s="1" t="s">
        <v>821</v>
      </c>
      <c r="M296" s="1" t="s">
        <v>476</v>
      </c>
      <c r="N296" s="1" t="s">
        <v>1151</v>
      </c>
      <c r="O296" s="1" t="s">
        <v>62</v>
      </c>
      <c r="P296" s="1" t="s">
        <v>2007</v>
      </c>
      <c r="Q296" s="1" t="s">
        <v>84</v>
      </c>
      <c r="R296" s="1" t="s">
        <v>57</v>
      </c>
      <c r="S296" s="1" t="s">
        <v>1207</v>
      </c>
      <c r="T296" s="69">
        <v>3.3849999999999998</v>
      </c>
      <c r="U296" s="70">
        <v>47392</v>
      </c>
      <c r="V296" s="68">
        <v>5.0259999999999999E-2</v>
      </c>
      <c r="W296" s="68">
        <v>7.3050000000000004E-2</v>
      </c>
      <c r="X296" s="1" t="s">
        <v>636</v>
      </c>
      <c r="Y296" s="140" t="s">
        <v>2853</v>
      </c>
      <c r="Z296" s="67">
        <v>22000</v>
      </c>
      <c r="AA296" s="67">
        <v>3.19</v>
      </c>
      <c r="AB296" s="67">
        <v>104.7735</v>
      </c>
      <c r="AC296" s="67">
        <v>0</v>
      </c>
      <c r="AD296" s="67">
        <v>73.53004</v>
      </c>
      <c r="AE296" s="140" t="s">
        <v>2853</v>
      </c>
      <c r="AF296" s="140" t="s">
        <v>2853</v>
      </c>
      <c r="AG296" s="1" t="s">
        <v>17</v>
      </c>
      <c r="AH296" s="68">
        <v>4.9285583070850303E-5</v>
      </c>
      <c r="AI296" s="68">
        <v>1.3861626774119783E-4</v>
      </c>
      <c r="AJ296" s="68">
        <v>1.70624424250515E-5</v>
      </c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Z10000"/>
  <sheetViews>
    <sheetView rightToLeft="1" topLeftCell="A62" zoomScale="40" zoomScaleNormal="40" workbookViewId="0">
      <selection activeCell="A2" sqref="A2:X129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36.19921875" style="1" bestFit="1" customWidth="1"/>
    <col min="4" max="4" width="11.796875" style="1" bestFit="1" customWidth="1"/>
    <col min="5" max="5" width="18.296875" style="1" customWidth="1"/>
    <col min="6" max="6" width="36.19921875" style="1" bestFit="1" customWidth="1"/>
    <col min="7" max="7" width="16.3984375" style="1" bestFit="1" customWidth="1"/>
    <col min="8" max="8" width="15.796875" style="1" customWidth="1"/>
    <col min="9" max="9" width="15.3984375" style="1" bestFit="1" customWidth="1"/>
    <col min="10" max="10" width="10.5" style="1" customWidth="1"/>
    <col min="11" max="11" width="19.5" style="1" customWidth="1"/>
    <col min="12" max="12" width="13.5" style="1" customWidth="1"/>
    <col min="13" max="13" width="10.796875" style="1" customWidth="1"/>
    <col min="14" max="14" width="44.69921875" style="1" bestFit="1" customWidth="1"/>
    <col min="15" max="15" width="15.296875" style="1" customWidth="1"/>
    <col min="16" max="16" width="12" style="1" customWidth="1"/>
    <col min="17" max="17" width="15" style="1" customWidth="1"/>
    <col min="18" max="18" width="10.296875" style="1" customWidth="1"/>
    <col min="19" max="19" width="13.5" style="1" customWidth="1"/>
    <col min="20" max="20" width="22.5" style="1" customWidth="1"/>
    <col min="21" max="21" width="16.796875" style="1" customWidth="1"/>
    <col min="22" max="22" width="19.296875" style="1" customWidth="1"/>
    <col min="23" max="23" width="21.5" style="1" customWidth="1"/>
    <col min="24" max="24" width="20.296875" style="1" customWidth="1"/>
    <col min="25" max="16384" width="9" style="1"/>
  </cols>
  <sheetData>
    <row r="1" spans="1:24" ht="66.75" customHeight="1" x14ac:dyDescent="0.25">
      <c r="A1" s="139" t="s">
        <v>667</v>
      </c>
      <c r="B1" s="139" t="s">
        <v>0</v>
      </c>
      <c r="C1" s="139" t="s">
        <v>740</v>
      </c>
      <c r="D1" s="139" t="s">
        <v>2</v>
      </c>
      <c r="E1" s="139" t="s">
        <v>756</v>
      </c>
      <c r="F1" s="139" t="s">
        <v>1154</v>
      </c>
      <c r="G1" s="139" t="s">
        <v>29</v>
      </c>
      <c r="H1" s="139" t="s">
        <v>28</v>
      </c>
      <c r="I1" s="139" t="s">
        <v>1</v>
      </c>
      <c r="J1" s="139" t="s">
        <v>620</v>
      </c>
      <c r="K1" s="139" t="s">
        <v>621</v>
      </c>
      <c r="L1" s="139" t="s">
        <v>625</v>
      </c>
      <c r="M1" s="139" t="s">
        <v>5</v>
      </c>
      <c r="N1" s="139" t="s">
        <v>9</v>
      </c>
      <c r="O1" s="139" t="s">
        <v>622</v>
      </c>
      <c r="P1" s="139" t="s">
        <v>396</v>
      </c>
      <c r="Q1" s="139" t="s">
        <v>789</v>
      </c>
      <c r="R1" s="139" t="s">
        <v>11</v>
      </c>
      <c r="S1" s="139" t="s">
        <v>15</v>
      </c>
      <c r="T1" s="139" t="s">
        <v>954</v>
      </c>
      <c r="U1" s="139" t="s">
        <v>1162</v>
      </c>
      <c r="V1" s="139" t="s">
        <v>18</v>
      </c>
      <c r="W1" s="139" t="s">
        <v>19</v>
      </c>
      <c r="X1" s="139" t="s">
        <v>30</v>
      </c>
    </row>
    <row r="2" spans="1:24" x14ac:dyDescent="0.25">
      <c r="A2" s="8">
        <v>13908</v>
      </c>
      <c r="B2" s="8">
        <v>13908</v>
      </c>
      <c r="C2" s="8" t="s">
        <v>1537</v>
      </c>
      <c r="D2" s="8">
        <v>520034257</v>
      </c>
      <c r="E2" s="8" t="s">
        <v>429</v>
      </c>
      <c r="F2" s="8" t="s">
        <v>2056</v>
      </c>
      <c r="G2" s="8" t="s">
        <v>2057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821</v>
      </c>
      <c r="M2" s="8" t="s">
        <v>311</v>
      </c>
      <c r="N2" s="8" t="s">
        <v>708</v>
      </c>
      <c r="O2" s="8" t="s">
        <v>55</v>
      </c>
      <c r="P2" s="8" t="s">
        <v>1206</v>
      </c>
      <c r="Q2" s="74">
        <v>1600000</v>
      </c>
      <c r="R2" s="74">
        <v>1</v>
      </c>
      <c r="S2" s="74">
        <v>840</v>
      </c>
      <c r="T2" s="74">
        <v>0</v>
      </c>
      <c r="U2" s="74">
        <v>13440</v>
      </c>
      <c r="V2" s="73">
        <v>5.9301713569999996E-3</v>
      </c>
      <c r="W2" s="68">
        <v>1.6172780804943176E-2</v>
      </c>
      <c r="X2" s="68">
        <v>3.118714829921107E-3</v>
      </c>
    </row>
    <row r="3" spans="1:24" x14ac:dyDescent="0.25">
      <c r="A3" s="8">
        <v>13908</v>
      </c>
      <c r="B3" s="8">
        <v>13908</v>
      </c>
      <c r="C3" s="8" t="s">
        <v>2058</v>
      </c>
      <c r="D3" s="8">
        <v>520034695</v>
      </c>
      <c r="E3" s="8" t="s">
        <v>429</v>
      </c>
      <c r="F3" s="8" t="s">
        <v>2059</v>
      </c>
      <c r="G3" s="8" t="s">
        <v>2060</v>
      </c>
      <c r="H3" s="8" t="s">
        <v>76</v>
      </c>
      <c r="I3" s="8" t="s">
        <v>73</v>
      </c>
      <c r="J3" s="8" t="s">
        <v>53</v>
      </c>
      <c r="K3" s="8" t="s">
        <v>53</v>
      </c>
      <c r="L3" s="8" t="s">
        <v>821</v>
      </c>
      <c r="M3" s="8" t="s">
        <v>311</v>
      </c>
      <c r="N3" s="8" t="s">
        <v>252</v>
      </c>
      <c r="O3" s="8" t="s">
        <v>62</v>
      </c>
      <c r="P3" s="8" t="s">
        <v>1206</v>
      </c>
      <c r="Q3" s="74">
        <v>42987</v>
      </c>
      <c r="R3" s="74">
        <v>1</v>
      </c>
      <c r="S3" s="74">
        <v>8801</v>
      </c>
      <c r="T3" s="74">
        <v>0</v>
      </c>
      <c r="U3" s="74">
        <v>3783.2858700000002</v>
      </c>
      <c r="V3" s="73">
        <v>5.8378623200000003E-4</v>
      </c>
      <c r="W3" s="68">
        <v>4.552548593597377E-3</v>
      </c>
      <c r="X3" s="68">
        <v>8.7790102296130782E-4</v>
      </c>
    </row>
    <row r="4" spans="1:24" x14ac:dyDescent="0.25">
      <c r="A4" s="8">
        <v>13908</v>
      </c>
      <c r="B4" s="8">
        <v>13908</v>
      </c>
      <c r="C4" s="8" t="s">
        <v>1540</v>
      </c>
      <c r="D4" s="8">
        <v>520036120</v>
      </c>
      <c r="E4" s="8" t="s">
        <v>429</v>
      </c>
      <c r="F4" s="8" t="s">
        <v>2061</v>
      </c>
      <c r="G4" s="8" t="s">
        <v>2062</v>
      </c>
      <c r="H4" s="8" t="s">
        <v>76</v>
      </c>
      <c r="I4" s="8" t="s">
        <v>73</v>
      </c>
      <c r="J4" s="8" t="s">
        <v>53</v>
      </c>
      <c r="K4" s="8" t="s">
        <v>53</v>
      </c>
      <c r="L4" s="8" t="s">
        <v>821</v>
      </c>
      <c r="M4" s="8" t="s">
        <v>311</v>
      </c>
      <c r="N4" s="8" t="s">
        <v>269</v>
      </c>
      <c r="O4" s="8" t="s">
        <v>62</v>
      </c>
      <c r="P4" s="8" t="s">
        <v>1206</v>
      </c>
      <c r="Q4" s="74">
        <v>127580</v>
      </c>
      <c r="R4" s="74">
        <v>1</v>
      </c>
      <c r="S4" s="74">
        <v>20570</v>
      </c>
      <c r="T4" s="74">
        <v>0</v>
      </c>
      <c r="U4" s="74">
        <v>26243.205999999998</v>
      </c>
      <c r="V4" s="73">
        <v>1.593850649E-3</v>
      </c>
      <c r="W4" s="68">
        <v>3.1579287072691184E-2</v>
      </c>
      <c r="X4" s="68">
        <v>6.0896633732793574E-3</v>
      </c>
    </row>
    <row r="5" spans="1:24" x14ac:dyDescent="0.25">
      <c r="A5" s="8">
        <v>13908</v>
      </c>
      <c r="B5" s="8">
        <v>13908</v>
      </c>
      <c r="C5" s="8" t="s">
        <v>1779</v>
      </c>
      <c r="D5" s="8">
        <v>520024126</v>
      </c>
      <c r="E5" s="8" t="s">
        <v>429</v>
      </c>
      <c r="F5" s="8" t="s">
        <v>2063</v>
      </c>
      <c r="G5" s="8" t="s">
        <v>2064</v>
      </c>
      <c r="H5" s="8" t="s">
        <v>76</v>
      </c>
      <c r="I5" s="8" t="s">
        <v>73</v>
      </c>
      <c r="J5" s="8" t="s">
        <v>53</v>
      </c>
      <c r="K5" s="8" t="s">
        <v>53</v>
      </c>
      <c r="L5" s="8" t="s">
        <v>821</v>
      </c>
      <c r="M5" s="8" t="s">
        <v>311</v>
      </c>
      <c r="N5" s="8" t="s">
        <v>651</v>
      </c>
      <c r="O5" s="8" t="s">
        <v>62</v>
      </c>
      <c r="P5" s="8" t="s">
        <v>1206</v>
      </c>
      <c r="Q5" s="74">
        <v>386595</v>
      </c>
      <c r="R5" s="74">
        <v>1</v>
      </c>
      <c r="S5" s="74">
        <v>1559</v>
      </c>
      <c r="T5" s="74">
        <v>0</v>
      </c>
      <c r="U5" s="74">
        <v>6027.0160500000002</v>
      </c>
      <c r="V5" s="73">
        <v>5.3424328199999996E-4</v>
      </c>
      <c r="W5" s="68">
        <v>7.2525007056937823E-3</v>
      </c>
      <c r="X5" s="68">
        <v>1.398552405900858E-3</v>
      </c>
    </row>
    <row r="6" spans="1:24" x14ac:dyDescent="0.25">
      <c r="A6" s="8">
        <v>13908</v>
      </c>
      <c r="B6" s="8">
        <v>13908</v>
      </c>
      <c r="C6" s="8" t="s">
        <v>1854</v>
      </c>
      <c r="D6" s="8">
        <v>520031931</v>
      </c>
      <c r="E6" s="8" t="s">
        <v>429</v>
      </c>
      <c r="F6" s="8" t="s">
        <v>2065</v>
      </c>
      <c r="G6" s="8" t="s">
        <v>2066</v>
      </c>
      <c r="H6" s="8" t="s">
        <v>76</v>
      </c>
      <c r="I6" s="8" t="s">
        <v>73</v>
      </c>
      <c r="J6" s="8" t="s">
        <v>53</v>
      </c>
      <c r="K6" s="8" t="s">
        <v>53</v>
      </c>
      <c r="L6" s="8" t="s">
        <v>821</v>
      </c>
      <c r="M6" s="8" t="s">
        <v>311</v>
      </c>
      <c r="N6" s="8" t="s">
        <v>260</v>
      </c>
      <c r="O6" s="8" t="s">
        <v>62</v>
      </c>
      <c r="P6" s="8" t="s">
        <v>1206</v>
      </c>
      <c r="Q6" s="74">
        <v>2558142</v>
      </c>
      <c r="R6" s="74">
        <v>1</v>
      </c>
      <c r="S6" s="74">
        <v>709.9</v>
      </c>
      <c r="T6" s="74">
        <v>0</v>
      </c>
      <c r="U6" s="74">
        <v>18160.250059999998</v>
      </c>
      <c r="V6" s="73">
        <v>9.2193023899999997E-4</v>
      </c>
      <c r="W6" s="68">
        <v>2.1852808302331557E-2</v>
      </c>
      <c r="X6" s="68">
        <v>4.2140358018748266E-3</v>
      </c>
    </row>
    <row r="7" spans="1:24" x14ac:dyDescent="0.25">
      <c r="A7" s="8">
        <v>13908</v>
      </c>
      <c r="B7" s="8">
        <v>13908</v>
      </c>
      <c r="C7" s="8" t="s">
        <v>2067</v>
      </c>
      <c r="D7" s="8">
        <v>550010003</v>
      </c>
      <c r="E7" s="8" t="s">
        <v>432</v>
      </c>
      <c r="F7" s="8" t="s">
        <v>2068</v>
      </c>
      <c r="G7" s="8" t="s">
        <v>2069</v>
      </c>
      <c r="H7" s="8" t="s">
        <v>76</v>
      </c>
      <c r="I7" s="8" t="s">
        <v>460</v>
      </c>
      <c r="J7" s="8" t="s">
        <v>53</v>
      </c>
      <c r="K7" s="8" t="s">
        <v>53</v>
      </c>
      <c r="L7" s="8" t="s">
        <v>821</v>
      </c>
      <c r="M7" s="8" t="s">
        <v>311</v>
      </c>
      <c r="N7" s="8" t="s">
        <v>267</v>
      </c>
      <c r="O7" s="8" t="s">
        <v>62</v>
      </c>
      <c r="P7" s="8" t="s">
        <v>1206</v>
      </c>
      <c r="Q7" s="74">
        <v>667292</v>
      </c>
      <c r="R7" s="74">
        <v>1</v>
      </c>
      <c r="S7" s="74">
        <v>245.5</v>
      </c>
      <c r="T7" s="74">
        <v>0</v>
      </c>
      <c r="U7" s="74">
        <v>1638.2018599999999</v>
      </c>
      <c r="V7" s="73">
        <v>2.56668756E-4</v>
      </c>
      <c r="W7" s="68">
        <v>1.9713005651808189E-3</v>
      </c>
      <c r="X7" s="68">
        <v>3.8014021095136461E-4</v>
      </c>
    </row>
    <row r="8" spans="1:24" x14ac:dyDescent="0.25">
      <c r="A8" s="8">
        <v>13908</v>
      </c>
      <c r="B8" s="8">
        <v>13908</v>
      </c>
      <c r="C8" s="8" t="s">
        <v>1728</v>
      </c>
      <c r="D8" s="8">
        <v>520036690</v>
      </c>
      <c r="E8" s="8" t="s">
        <v>429</v>
      </c>
      <c r="F8" s="8" t="s">
        <v>2070</v>
      </c>
      <c r="G8" s="8" t="s">
        <v>2071</v>
      </c>
      <c r="H8" s="8" t="s">
        <v>76</v>
      </c>
      <c r="I8" s="8" t="s">
        <v>73</v>
      </c>
      <c r="J8" s="8" t="s">
        <v>53</v>
      </c>
      <c r="K8" s="8" t="s">
        <v>53</v>
      </c>
      <c r="L8" s="8" t="s">
        <v>821</v>
      </c>
      <c r="M8" s="8" t="s">
        <v>311</v>
      </c>
      <c r="N8" s="8" t="s">
        <v>252</v>
      </c>
      <c r="O8" s="8" t="s">
        <v>62</v>
      </c>
      <c r="P8" s="8" t="s">
        <v>1206</v>
      </c>
      <c r="Q8" s="74">
        <v>3100</v>
      </c>
      <c r="R8" s="74">
        <v>1</v>
      </c>
      <c r="S8" s="74">
        <v>53730</v>
      </c>
      <c r="T8" s="74">
        <v>5.0839999999999996</v>
      </c>
      <c r="U8" s="74">
        <v>1670.7139999999999</v>
      </c>
      <c r="V8" s="73">
        <v>2.02182699E-4</v>
      </c>
      <c r="W8" s="68">
        <v>2.0104234605468623E-3</v>
      </c>
      <c r="X8" s="68">
        <v>3.8768456312178657E-4</v>
      </c>
    </row>
    <row r="9" spans="1:24" x14ac:dyDescent="0.25">
      <c r="A9" s="8">
        <v>13908</v>
      </c>
      <c r="B9" s="8">
        <v>13908</v>
      </c>
      <c r="C9" s="8" t="s">
        <v>2072</v>
      </c>
      <c r="D9" s="8">
        <v>520036153</v>
      </c>
      <c r="E9" s="8" t="s">
        <v>429</v>
      </c>
      <c r="F9" s="8" t="s">
        <v>2073</v>
      </c>
      <c r="G9" s="8" t="s">
        <v>2074</v>
      </c>
      <c r="H9" s="8" t="s">
        <v>76</v>
      </c>
      <c r="I9" s="8" t="s">
        <v>73</v>
      </c>
      <c r="J9" s="8" t="s">
        <v>53</v>
      </c>
      <c r="K9" s="8" t="s">
        <v>53</v>
      </c>
      <c r="L9" s="8" t="s">
        <v>821</v>
      </c>
      <c r="M9" s="8" t="s">
        <v>311</v>
      </c>
      <c r="N9" s="8" t="s">
        <v>654</v>
      </c>
      <c r="O9" s="8" t="s">
        <v>55</v>
      </c>
      <c r="P9" s="8" t="s">
        <v>1206</v>
      </c>
      <c r="Q9" s="74">
        <v>70163</v>
      </c>
      <c r="R9" s="74">
        <v>1</v>
      </c>
      <c r="S9" s="74">
        <v>4134</v>
      </c>
      <c r="T9" s="74">
        <v>0</v>
      </c>
      <c r="U9" s="74">
        <v>2900.5384199999999</v>
      </c>
      <c r="V9" s="73">
        <v>2.7610202630000001E-3</v>
      </c>
      <c r="W9" s="68">
        <v>3.4903104228404913E-3</v>
      </c>
      <c r="X9" s="68">
        <v>6.7306191854240595E-4</v>
      </c>
    </row>
    <row r="10" spans="1:24" x14ac:dyDescent="0.25">
      <c r="A10" s="8">
        <v>13908</v>
      </c>
      <c r="B10" s="8">
        <v>13908</v>
      </c>
      <c r="C10" s="8" t="s">
        <v>2075</v>
      </c>
      <c r="D10" s="8">
        <v>520036872</v>
      </c>
      <c r="E10" s="8" t="s">
        <v>429</v>
      </c>
      <c r="F10" s="8" t="s">
        <v>2076</v>
      </c>
      <c r="G10" s="8" t="s">
        <v>2077</v>
      </c>
      <c r="H10" s="8" t="s">
        <v>76</v>
      </c>
      <c r="I10" s="8" t="s">
        <v>73</v>
      </c>
      <c r="J10" s="8" t="s">
        <v>53</v>
      </c>
      <c r="K10" s="8" t="s">
        <v>53</v>
      </c>
      <c r="L10" s="8" t="s">
        <v>821</v>
      </c>
      <c r="M10" s="8" t="s">
        <v>311</v>
      </c>
      <c r="N10" s="8" t="s">
        <v>253</v>
      </c>
      <c r="O10" s="8" t="s">
        <v>62</v>
      </c>
      <c r="P10" s="8" t="s">
        <v>1206</v>
      </c>
      <c r="Q10" s="74">
        <v>16810</v>
      </c>
      <c r="R10" s="74">
        <v>1</v>
      </c>
      <c r="S10" s="74">
        <v>35710</v>
      </c>
      <c r="T10" s="74">
        <v>0</v>
      </c>
      <c r="U10" s="74">
        <v>6002.8509999999997</v>
      </c>
      <c r="V10" s="73">
        <v>2.7225548400000002E-4</v>
      </c>
      <c r="W10" s="68">
        <v>7.2234221300397274E-3</v>
      </c>
      <c r="X10" s="68">
        <v>1.3929449728799662E-3</v>
      </c>
    </row>
    <row r="11" spans="1:24" x14ac:dyDescent="0.25">
      <c r="A11" s="8">
        <v>13908</v>
      </c>
      <c r="B11" s="8">
        <v>13908</v>
      </c>
      <c r="C11" s="8" t="s">
        <v>2078</v>
      </c>
      <c r="D11" s="8">
        <v>520027830</v>
      </c>
      <c r="E11" s="8" t="s">
        <v>429</v>
      </c>
      <c r="F11" s="8" t="s">
        <v>2079</v>
      </c>
      <c r="G11" s="8" t="s">
        <v>2080</v>
      </c>
      <c r="H11" s="8" t="s">
        <v>76</v>
      </c>
      <c r="I11" s="8" t="s">
        <v>73</v>
      </c>
      <c r="J11" s="8" t="s">
        <v>53</v>
      </c>
      <c r="K11" s="8" t="s">
        <v>53</v>
      </c>
      <c r="L11" s="8" t="s">
        <v>821</v>
      </c>
      <c r="M11" s="8" t="s">
        <v>311</v>
      </c>
      <c r="N11" s="8" t="s">
        <v>265</v>
      </c>
      <c r="O11" s="8" t="s">
        <v>62</v>
      </c>
      <c r="P11" s="8" t="s">
        <v>1206</v>
      </c>
      <c r="Q11" s="74">
        <v>501190</v>
      </c>
      <c r="R11" s="74">
        <v>1</v>
      </c>
      <c r="S11" s="74">
        <v>1830</v>
      </c>
      <c r="T11" s="74">
        <v>0</v>
      </c>
      <c r="U11" s="74">
        <v>9171.777</v>
      </c>
      <c r="V11" s="73">
        <v>3.8831687400000002E-4</v>
      </c>
      <c r="W11" s="68">
        <v>1.103669189083477E-2</v>
      </c>
      <c r="X11" s="68">
        <v>2.1282854871003958E-3</v>
      </c>
    </row>
    <row r="12" spans="1:24" x14ac:dyDescent="0.25">
      <c r="A12" s="8">
        <v>13908</v>
      </c>
      <c r="B12" s="8">
        <v>13908</v>
      </c>
      <c r="C12" s="8" t="s">
        <v>2081</v>
      </c>
      <c r="D12" s="8">
        <v>520037425</v>
      </c>
      <c r="E12" s="8" t="s">
        <v>429</v>
      </c>
      <c r="F12" s="8" t="s">
        <v>2082</v>
      </c>
      <c r="G12" s="8" t="s">
        <v>2083</v>
      </c>
      <c r="H12" s="8" t="s">
        <v>76</v>
      </c>
      <c r="I12" s="8" t="s">
        <v>73</v>
      </c>
      <c r="J12" s="8" t="s">
        <v>53</v>
      </c>
      <c r="K12" s="8" t="s">
        <v>53</v>
      </c>
      <c r="L12" s="8" t="s">
        <v>54</v>
      </c>
      <c r="M12" s="8" t="s">
        <v>311</v>
      </c>
      <c r="N12" s="8" t="s">
        <v>75</v>
      </c>
      <c r="O12" s="8" t="s">
        <v>62</v>
      </c>
      <c r="P12" s="8" t="s">
        <v>1206</v>
      </c>
      <c r="Q12" s="74">
        <v>20000</v>
      </c>
      <c r="R12" s="74">
        <v>1</v>
      </c>
      <c r="S12" s="74">
        <v>17375.573799999998</v>
      </c>
      <c r="T12" s="74">
        <v>0</v>
      </c>
      <c r="U12" s="74">
        <v>3475.1147599999999</v>
      </c>
      <c r="V12" s="73">
        <v>1.511456919E-3</v>
      </c>
      <c r="W12" s="68">
        <v>4.181716464695142E-3</v>
      </c>
      <c r="X12" s="68">
        <v>8.0639076917334278E-4</v>
      </c>
    </row>
    <row r="13" spans="1:24" x14ac:dyDescent="0.25">
      <c r="A13" s="8">
        <v>13908</v>
      </c>
      <c r="B13" s="8">
        <v>13908</v>
      </c>
      <c r="C13" s="8" t="s">
        <v>1561</v>
      </c>
      <c r="D13" s="8">
        <v>520037789</v>
      </c>
      <c r="E13" s="8" t="s">
        <v>429</v>
      </c>
      <c r="F13" s="8" t="s">
        <v>2084</v>
      </c>
      <c r="G13" s="8" t="s">
        <v>2085</v>
      </c>
      <c r="H13" s="8" t="s">
        <v>76</v>
      </c>
      <c r="I13" s="8" t="s">
        <v>73</v>
      </c>
      <c r="J13" s="8" t="s">
        <v>53</v>
      </c>
      <c r="K13" s="8" t="s">
        <v>53</v>
      </c>
      <c r="L13" s="8" t="s">
        <v>821</v>
      </c>
      <c r="M13" s="8" t="s">
        <v>311</v>
      </c>
      <c r="N13" s="8" t="s">
        <v>651</v>
      </c>
      <c r="O13" s="8" t="s">
        <v>62</v>
      </c>
      <c r="P13" s="8" t="s">
        <v>1206</v>
      </c>
      <c r="Q13" s="74">
        <v>19576</v>
      </c>
      <c r="R13" s="74">
        <v>1</v>
      </c>
      <c r="S13" s="74">
        <v>41330</v>
      </c>
      <c r="T13" s="74">
        <v>0</v>
      </c>
      <c r="U13" s="74">
        <v>8090.7608</v>
      </c>
      <c r="V13" s="73">
        <v>4.1074307100000002E-4</v>
      </c>
      <c r="W13" s="68">
        <v>9.7358706074127006E-3</v>
      </c>
      <c r="X13" s="68">
        <v>1.8774386675821694E-3</v>
      </c>
    </row>
    <row r="14" spans="1:24" x14ac:dyDescent="0.25">
      <c r="A14" s="8">
        <v>13908</v>
      </c>
      <c r="B14" s="8">
        <v>13908</v>
      </c>
      <c r="C14" s="8" t="s">
        <v>1543</v>
      </c>
      <c r="D14" s="8">
        <v>520038274</v>
      </c>
      <c r="E14" s="8" t="s">
        <v>429</v>
      </c>
      <c r="F14" s="8" t="s">
        <v>2086</v>
      </c>
      <c r="G14" s="8" t="s">
        <v>2087</v>
      </c>
      <c r="H14" s="8" t="s">
        <v>76</v>
      </c>
      <c r="I14" s="8" t="s">
        <v>73</v>
      </c>
      <c r="J14" s="8" t="s">
        <v>53</v>
      </c>
      <c r="K14" s="8" t="s">
        <v>53</v>
      </c>
      <c r="L14" s="8" t="s">
        <v>821</v>
      </c>
      <c r="M14" s="8" t="s">
        <v>311</v>
      </c>
      <c r="N14" s="8" t="s">
        <v>140</v>
      </c>
      <c r="O14" s="8" t="s">
        <v>62</v>
      </c>
      <c r="P14" s="8" t="s">
        <v>1206</v>
      </c>
      <c r="Q14" s="74">
        <v>329659</v>
      </c>
      <c r="R14" s="74">
        <v>1</v>
      </c>
      <c r="S14" s="74">
        <v>2036</v>
      </c>
      <c r="T14" s="74">
        <v>0</v>
      </c>
      <c r="U14" s="74">
        <v>6711.8572400000003</v>
      </c>
      <c r="V14" s="73">
        <v>1.1538374079999999E-3</v>
      </c>
      <c r="W14" s="68">
        <v>8.0765919595677735E-3</v>
      </c>
      <c r="X14" s="68">
        <v>1.5574679100224219E-3</v>
      </c>
    </row>
    <row r="15" spans="1:24" x14ac:dyDescent="0.25">
      <c r="A15" s="8">
        <v>13908</v>
      </c>
      <c r="B15" s="8">
        <v>13908</v>
      </c>
      <c r="C15" s="8" t="s">
        <v>2088</v>
      </c>
      <c r="D15" s="8">
        <v>520038530</v>
      </c>
      <c r="E15" s="8" t="s">
        <v>429</v>
      </c>
      <c r="F15" s="8" t="s">
        <v>2089</v>
      </c>
      <c r="G15" s="8" t="s">
        <v>2090</v>
      </c>
      <c r="H15" s="8" t="s">
        <v>76</v>
      </c>
      <c r="I15" s="8" t="s">
        <v>73</v>
      </c>
      <c r="J15" s="8" t="s">
        <v>53</v>
      </c>
      <c r="K15" s="8" t="s">
        <v>53</v>
      </c>
      <c r="L15" s="8" t="s">
        <v>821</v>
      </c>
      <c r="M15" s="8" t="s">
        <v>311</v>
      </c>
      <c r="N15" s="8" t="s">
        <v>263</v>
      </c>
      <c r="O15" s="8" t="s">
        <v>55</v>
      </c>
      <c r="P15" s="8" t="s">
        <v>1206</v>
      </c>
      <c r="Q15" s="74">
        <v>18268</v>
      </c>
      <c r="R15" s="74">
        <v>1</v>
      </c>
      <c r="S15" s="74">
        <v>1738</v>
      </c>
      <c r="T15" s="74">
        <v>0</v>
      </c>
      <c r="U15" s="74">
        <v>317.49784</v>
      </c>
      <c r="V15" s="73">
        <v>4.9852856499999995E-4</v>
      </c>
      <c r="W15" s="68">
        <v>3.8205528068176485E-4</v>
      </c>
      <c r="X15" s="68">
        <v>7.3674495690172529E-5</v>
      </c>
    </row>
    <row r="16" spans="1:24" x14ac:dyDescent="0.25">
      <c r="A16" s="8">
        <v>13908</v>
      </c>
      <c r="B16" s="8">
        <v>13908</v>
      </c>
      <c r="C16" s="8" t="s">
        <v>2091</v>
      </c>
      <c r="D16" s="8">
        <v>520038894</v>
      </c>
      <c r="E16" s="8" t="s">
        <v>429</v>
      </c>
      <c r="F16" s="8" t="s">
        <v>2092</v>
      </c>
      <c r="G16" s="8" t="s">
        <v>2093</v>
      </c>
      <c r="H16" s="8" t="s">
        <v>76</v>
      </c>
      <c r="I16" s="8" t="s">
        <v>73</v>
      </c>
      <c r="J16" s="8" t="s">
        <v>53</v>
      </c>
      <c r="K16" s="8" t="s">
        <v>53</v>
      </c>
      <c r="L16" s="8" t="s">
        <v>821</v>
      </c>
      <c r="M16" s="8" t="s">
        <v>311</v>
      </c>
      <c r="N16" s="8" t="s">
        <v>652</v>
      </c>
      <c r="O16" s="8" t="s">
        <v>55</v>
      </c>
      <c r="P16" s="8" t="s">
        <v>1206</v>
      </c>
      <c r="Q16" s="74">
        <v>10200</v>
      </c>
      <c r="R16" s="74">
        <v>1</v>
      </c>
      <c r="S16" s="74">
        <v>24600</v>
      </c>
      <c r="T16" s="74">
        <v>0</v>
      </c>
      <c r="U16" s="74">
        <v>2509.1999999999998</v>
      </c>
      <c r="V16" s="73">
        <v>4.9506132599999998E-4</v>
      </c>
      <c r="W16" s="68">
        <v>3.0194004163514444E-3</v>
      </c>
      <c r="X16" s="68">
        <v>5.8225292047902092E-4</v>
      </c>
    </row>
    <row r="17" spans="1:24" x14ac:dyDescent="0.25">
      <c r="A17" s="8">
        <v>13908</v>
      </c>
      <c r="B17" s="8">
        <v>13908</v>
      </c>
      <c r="C17" s="8" t="s">
        <v>2094</v>
      </c>
      <c r="D17" s="8">
        <v>550012777</v>
      </c>
      <c r="E17" s="8" t="s">
        <v>432</v>
      </c>
      <c r="F17" s="8" t="s">
        <v>2095</v>
      </c>
      <c r="G17" s="8" t="s">
        <v>2096</v>
      </c>
      <c r="H17" s="8" t="s">
        <v>76</v>
      </c>
      <c r="I17" s="8" t="s">
        <v>460</v>
      </c>
      <c r="J17" s="8" t="s">
        <v>53</v>
      </c>
      <c r="K17" s="8" t="s">
        <v>53</v>
      </c>
      <c r="L17" s="8" t="s">
        <v>821</v>
      </c>
      <c r="M17" s="8" t="s">
        <v>311</v>
      </c>
      <c r="N17" s="8" t="s">
        <v>267</v>
      </c>
      <c r="O17" s="8" t="s">
        <v>62</v>
      </c>
      <c r="P17" s="8" t="s">
        <v>1206</v>
      </c>
      <c r="Q17" s="74">
        <v>318850</v>
      </c>
      <c r="R17" s="74">
        <v>1</v>
      </c>
      <c r="S17" s="74">
        <v>477.4</v>
      </c>
      <c r="T17" s="74">
        <v>0</v>
      </c>
      <c r="U17" s="74">
        <v>1522.1899000000001</v>
      </c>
      <c r="V17" s="73">
        <v>2.8370690099999997E-4</v>
      </c>
      <c r="W17" s="68">
        <v>1.8316996723361885E-3</v>
      </c>
      <c r="X17" s="68">
        <v>3.5321995647962255E-4</v>
      </c>
    </row>
    <row r="18" spans="1:24" x14ac:dyDescent="0.25">
      <c r="A18" s="8">
        <v>13908</v>
      </c>
      <c r="B18" s="8">
        <v>13908</v>
      </c>
      <c r="C18" s="8" t="s">
        <v>1554</v>
      </c>
      <c r="D18" s="8">
        <v>520038910</v>
      </c>
      <c r="E18" s="8" t="s">
        <v>429</v>
      </c>
      <c r="F18" s="8" t="s">
        <v>2097</v>
      </c>
      <c r="G18" s="8" t="s">
        <v>2098</v>
      </c>
      <c r="H18" s="8" t="s">
        <v>76</v>
      </c>
      <c r="I18" s="8" t="s">
        <v>73</v>
      </c>
      <c r="J18" s="8" t="s">
        <v>53</v>
      </c>
      <c r="K18" s="8" t="s">
        <v>53</v>
      </c>
      <c r="L18" s="8" t="s">
        <v>821</v>
      </c>
      <c r="M18" s="8" t="s">
        <v>311</v>
      </c>
      <c r="N18" s="8" t="s">
        <v>651</v>
      </c>
      <c r="O18" s="8" t="s">
        <v>55</v>
      </c>
      <c r="P18" s="8" t="s">
        <v>1206</v>
      </c>
      <c r="Q18" s="74">
        <v>5700</v>
      </c>
      <c r="R18" s="74">
        <v>1</v>
      </c>
      <c r="S18" s="74">
        <v>16580</v>
      </c>
      <c r="T18" s="74">
        <v>0</v>
      </c>
      <c r="U18" s="74">
        <v>945.06</v>
      </c>
      <c r="V18" s="73">
        <v>3.2171367500000001E-4</v>
      </c>
      <c r="W18" s="68">
        <v>1.1372208502618748E-3</v>
      </c>
      <c r="X18" s="68">
        <v>2.1929855931288996E-4</v>
      </c>
    </row>
    <row r="19" spans="1:24" x14ac:dyDescent="0.25">
      <c r="A19" s="8">
        <v>13908</v>
      </c>
      <c r="B19" s="8">
        <v>13908</v>
      </c>
      <c r="C19" s="8" t="s">
        <v>2099</v>
      </c>
      <c r="D19" s="8">
        <v>520039413</v>
      </c>
      <c r="E19" s="8" t="s">
        <v>429</v>
      </c>
      <c r="F19" s="8" t="s">
        <v>2100</v>
      </c>
      <c r="G19" s="8" t="s">
        <v>2101</v>
      </c>
      <c r="H19" s="8" t="s">
        <v>76</v>
      </c>
      <c r="I19" s="8" t="s">
        <v>73</v>
      </c>
      <c r="J19" s="8" t="s">
        <v>53</v>
      </c>
      <c r="K19" s="8" t="s">
        <v>53</v>
      </c>
      <c r="L19" s="8" t="s">
        <v>821</v>
      </c>
      <c r="M19" s="8" t="s">
        <v>311</v>
      </c>
      <c r="N19" s="8" t="s">
        <v>252</v>
      </c>
      <c r="O19" s="8" t="s">
        <v>62</v>
      </c>
      <c r="P19" s="8" t="s">
        <v>1206</v>
      </c>
      <c r="Q19" s="74">
        <v>12000</v>
      </c>
      <c r="R19" s="74">
        <v>1</v>
      </c>
      <c r="S19" s="74">
        <v>13960</v>
      </c>
      <c r="T19" s="74">
        <v>0</v>
      </c>
      <c r="U19" s="74">
        <v>1675.2</v>
      </c>
      <c r="V19" s="73">
        <v>1.88565521E-4</v>
      </c>
      <c r="W19" s="68">
        <v>2.0158216074732745E-3</v>
      </c>
      <c r="X19" s="68">
        <v>3.8872552701516651E-4</v>
      </c>
    </row>
    <row r="20" spans="1:24" x14ac:dyDescent="0.25">
      <c r="A20" s="1">
        <v>13908</v>
      </c>
      <c r="B20" s="1">
        <v>13908</v>
      </c>
      <c r="C20" s="1" t="s">
        <v>1689</v>
      </c>
      <c r="D20" s="1">
        <v>520039660</v>
      </c>
      <c r="E20" s="8" t="s">
        <v>429</v>
      </c>
      <c r="F20" s="1" t="s">
        <v>2102</v>
      </c>
      <c r="G20" s="1" t="s">
        <v>2103</v>
      </c>
      <c r="H20" s="8" t="s">
        <v>76</v>
      </c>
      <c r="I20" s="1" t="s">
        <v>73</v>
      </c>
      <c r="J20" s="1" t="s">
        <v>53</v>
      </c>
      <c r="K20" s="8" t="s">
        <v>53</v>
      </c>
      <c r="L20" s="8" t="s">
        <v>821</v>
      </c>
      <c r="M20" s="8" t="s">
        <v>311</v>
      </c>
      <c r="N20" s="8" t="s">
        <v>140</v>
      </c>
      <c r="O20" s="1" t="s">
        <v>62</v>
      </c>
      <c r="P20" s="1" t="s">
        <v>1206</v>
      </c>
      <c r="Q20" s="67">
        <v>105000</v>
      </c>
      <c r="R20" s="67">
        <v>1</v>
      </c>
      <c r="S20" s="67">
        <v>440.8</v>
      </c>
      <c r="T20" s="67">
        <v>0</v>
      </c>
      <c r="U20" s="67">
        <v>462.84</v>
      </c>
      <c r="V20" s="68">
        <v>2.4902169800000002E-4</v>
      </c>
      <c r="W20" s="68">
        <v>5.5695013897023057E-4</v>
      </c>
      <c r="X20" s="68">
        <v>1.074007419554081E-4</v>
      </c>
    </row>
    <row r="21" spans="1:24" x14ac:dyDescent="0.25">
      <c r="A21" s="1">
        <v>13908</v>
      </c>
      <c r="B21" s="1">
        <v>13908</v>
      </c>
      <c r="C21" s="1" t="s">
        <v>2104</v>
      </c>
      <c r="D21" s="1">
        <v>550013098</v>
      </c>
      <c r="E21" s="1" t="s">
        <v>432</v>
      </c>
      <c r="F21" s="1" t="s">
        <v>2105</v>
      </c>
      <c r="G21" s="1" t="s">
        <v>2106</v>
      </c>
      <c r="H21" s="1" t="s">
        <v>76</v>
      </c>
      <c r="I21" s="1" t="s">
        <v>460</v>
      </c>
      <c r="J21" s="1" t="s">
        <v>53</v>
      </c>
      <c r="K21" s="1" t="s">
        <v>53</v>
      </c>
      <c r="L21" s="1" t="s">
        <v>821</v>
      </c>
      <c r="M21" s="1" t="s">
        <v>311</v>
      </c>
      <c r="N21" s="8" t="s">
        <v>267</v>
      </c>
      <c r="O21" s="1" t="s">
        <v>62</v>
      </c>
      <c r="P21" s="1" t="s">
        <v>1206</v>
      </c>
      <c r="Q21" s="67">
        <v>351063</v>
      </c>
      <c r="R21" s="67">
        <v>1</v>
      </c>
      <c r="S21" s="67">
        <v>1803</v>
      </c>
      <c r="T21" s="67">
        <v>0</v>
      </c>
      <c r="U21" s="67">
        <v>6329.6658900000002</v>
      </c>
      <c r="V21" s="68">
        <v>2.9907872400000002E-4</v>
      </c>
      <c r="W21" s="68">
        <v>7.6166889142481814E-3</v>
      </c>
      <c r="X21" s="68">
        <v>1.4687814642551176E-3</v>
      </c>
    </row>
    <row r="22" spans="1:24" x14ac:dyDescent="0.25">
      <c r="A22" s="1">
        <v>13908</v>
      </c>
      <c r="B22" s="1">
        <v>13908</v>
      </c>
      <c r="C22" s="1" t="s">
        <v>2107</v>
      </c>
      <c r="D22" s="1">
        <v>520040338</v>
      </c>
      <c r="E22" s="1" t="s">
        <v>429</v>
      </c>
      <c r="F22" s="1" t="s">
        <v>2108</v>
      </c>
      <c r="G22" s="1" t="s">
        <v>2109</v>
      </c>
      <c r="H22" s="1" t="s">
        <v>76</v>
      </c>
      <c r="I22" s="1" t="s">
        <v>73</v>
      </c>
      <c r="J22" s="1" t="s">
        <v>53</v>
      </c>
      <c r="K22" s="1" t="s">
        <v>53</v>
      </c>
      <c r="L22" s="1" t="s">
        <v>821</v>
      </c>
      <c r="M22" s="1" t="s">
        <v>311</v>
      </c>
      <c r="N22" s="1" t="s">
        <v>75</v>
      </c>
      <c r="O22" s="1" t="s">
        <v>62</v>
      </c>
      <c r="P22" s="1" t="s">
        <v>1206</v>
      </c>
      <c r="Q22" s="67">
        <v>845</v>
      </c>
      <c r="R22" s="67">
        <v>1</v>
      </c>
      <c r="S22" s="67">
        <v>5968</v>
      </c>
      <c r="T22" s="67">
        <v>0</v>
      </c>
      <c r="U22" s="67">
        <v>50.429600000000001</v>
      </c>
      <c r="V22" s="68">
        <v>1.7643150599999999E-4</v>
      </c>
      <c r="W22" s="68">
        <v>6.0683546642928746E-5</v>
      </c>
      <c r="X22" s="68">
        <v>1.1702049210341477E-5</v>
      </c>
    </row>
    <row r="23" spans="1:24" x14ac:dyDescent="0.25">
      <c r="A23" s="1">
        <v>13908</v>
      </c>
      <c r="B23" s="1">
        <v>13908</v>
      </c>
      <c r="C23" s="1" t="s">
        <v>2110</v>
      </c>
      <c r="D23" s="1">
        <v>520007469</v>
      </c>
      <c r="E23" s="1" t="s">
        <v>429</v>
      </c>
      <c r="F23" s="1" t="s">
        <v>2111</v>
      </c>
      <c r="G23" s="1" t="s">
        <v>2112</v>
      </c>
      <c r="H23" s="1" t="s">
        <v>76</v>
      </c>
      <c r="I23" s="1" t="s">
        <v>73</v>
      </c>
      <c r="J23" s="1" t="s">
        <v>53</v>
      </c>
      <c r="K23" s="1" t="s">
        <v>53</v>
      </c>
      <c r="L23" s="1" t="s">
        <v>821</v>
      </c>
      <c r="M23" s="1" t="s">
        <v>311</v>
      </c>
      <c r="N23" s="1" t="s">
        <v>269</v>
      </c>
      <c r="O23" s="1" t="s">
        <v>62</v>
      </c>
      <c r="P23" s="1" t="s">
        <v>1206</v>
      </c>
      <c r="Q23" s="67">
        <v>3038</v>
      </c>
      <c r="R23" s="67">
        <v>1</v>
      </c>
      <c r="S23" s="67">
        <v>39940</v>
      </c>
      <c r="T23" s="67">
        <v>0</v>
      </c>
      <c r="U23" s="67">
        <v>1213.3771999999999</v>
      </c>
      <c r="V23" s="68">
        <v>4.8704709629992002E-5</v>
      </c>
      <c r="W23" s="68">
        <v>1.4600954977169415E-3</v>
      </c>
      <c r="X23" s="68">
        <v>2.8156082350655866E-4</v>
      </c>
    </row>
    <row r="24" spans="1:24" x14ac:dyDescent="0.25">
      <c r="A24" s="1">
        <v>13908</v>
      </c>
      <c r="B24" s="1">
        <v>13908</v>
      </c>
      <c r="C24" s="1" t="s">
        <v>1493</v>
      </c>
      <c r="D24" s="1">
        <v>520033424</v>
      </c>
      <c r="E24" s="1" t="s">
        <v>429</v>
      </c>
      <c r="F24" s="1" t="s">
        <v>2113</v>
      </c>
      <c r="G24" s="1" t="s">
        <v>2114</v>
      </c>
      <c r="H24" s="1" t="s">
        <v>76</v>
      </c>
      <c r="I24" s="1" t="s">
        <v>73</v>
      </c>
      <c r="J24" s="1" t="s">
        <v>53</v>
      </c>
      <c r="K24" s="1" t="s">
        <v>53</v>
      </c>
      <c r="L24" s="1" t="s">
        <v>821</v>
      </c>
      <c r="M24" s="1" t="s">
        <v>311</v>
      </c>
      <c r="N24" s="1" t="s">
        <v>140</v>
      </c>
      <c r="O24" s="1" t="s">
        <v>62</v>
      </c>
      <c r="P24" s="1" t="s">
        <v>1206</v>
      </c>
      <c r="Q24" s="67">
        <v>8000</v>
      </c>
      <c r="R24" s="67">
        <v>1</v>
      </c>
      <c r="S24" s="67">
        <v>53800</v>
      </c>
      <c r="T24" s="67">
        <v>0</v>
      </c>
      <c r="U24" s="67">
        <v>4304</v>
      </c>
      <c r="V24" s="68">
        <v>1.7476273220000001E-3</v>
      </c>
      <c r="W24" s="68">
        <v>5.1791405196782315E-3</v>
      </c>
      <c r="X24" s="68">
        <v>9.9873129672473538E-4</v>
      </c>
    </row>
    <row r="25" spans="1:24" x14ac:dyDescent="0.25">
      <c r="A25" s="1">
        <v>13908</v>
      </c>
      <c r="B25" s="1">
        <v>13908</v>
      </c>
      <c r="C25" s="1" t="s">
        <v>1897</v>
      </c>
      <c r="D25" s="1">
        <v>520033986</v>
      </c>
      <c r="E25" s="1" t="s">
        <v>429</v>
      </c>
      <c r="F25" s="1" t="s">
        <v>2115</v>
      </c>
      <c r="G25" s="1" t="s">
        <v>2116</v>
      </c>
      <c r="H25" s="1" t="s">
        <v>76</v>
      </c>
      <c r="I25" s="1" t="s">
        <v>73</v>
      </c>
      <c r="J25" s="1" t="s">
        <v>53</v>
      </c>
      <c r="K25" s="1" t="s">
        <v>53</v>
      </c>
      <c r="L25" s="1" t="s">
        <v>821</v>
      </c>
      <c r="M25" s="1" t="s">
        <v>311</v>
      </c>
      <c r="N25" s="1" t="s">
        <v>269</v>
      </c>
      <c r="O25" s="1" t="s">
        <v>62</v>
      </c>
      <c r="P25" s="1" t="s">
        <v>1206</v>
      </c>
      <c r="Q25" s="67">
        <v>78537</v>
      </c>
      <c r="R25" s="67">
        <v>1</v>
      </c>
      <c r="S25" s="67">
        <v>12430</v>
      </c>
      <c r="T25" s="67">
        <v>0</v>
      </c>
      <c r="U25" s="67">
        <v>9762.1491000000005</v>
      </c>
      <c r="V25" s="68">
        <v>3.8169425700000003E-4</v>
      </c>
      <c r="W25" s="68">
        <v>1.1747105474663191E-2</v>
      </c>
      <c r="X25" s="68">
        <v>2.2652797001540912E-3</v>
      </c>
    </row>
    <row r="26" spans="1:24" x14ac:dyDescent="0.25">
      <c r="A26" s="1">
        <v>13908</v>
      </c>
      <c r="B26" s="1">
        <v>13908</v>
      </c>
      <c r="C26" s="1" t="s">
        <v>2117</v>
      </c>
      <c r="D26" s="1">
        <v>520033358</v>
      </c>
      <c r="E26" s="1" t="s">
        <v>429</v>
      </c>
      <c r="F26" s="1" t="s">
        <v>2118</v>
      </c>
      <c r="G26" s="1" t="s">
        <v>2119</v>
      </c>
      <c r="H26" s="1" t="s">
        <v>76</v>
      </c>
      <c r="I26" s="1" t="s">
        <v>73</v>
      </c>
      <c r="J26" s="1" t="s">
        <v>53</v>
      </c>
      <c r="K26" s="1" t="s">
        <v>53</v>
      </c>
      <c r="L26" s="1" t="s">
        <v>821</v>
      </c>
      <c r="M26" s="1" t="s">
        <v>311</v>
      </c>
      <c r="N26" s="1" t="s">
        <v>654</v>
      </c>
      <c r="O26" s="8" t="s">
        <v>55</v>
      </c>
      <c r="P26" s="1" t="s">
        <v>1206</v>
      </c>
      <c r="Q26" s="67">
        <v>190927</v>
      </c>
      <c r="R26" s="67">
        <v>1</v>
      </c>
      <c r="S26" s="67">
        <v>4566</v>
      </c>
      <c r="T26" s="67">
        <v>0</v>
      </c>
      <c r="U26" s="67">
        <v>8717.7268199999999</v>
      </c>
      <c r="V26" s="68">
        <v>1.8768840459999999E-3</v>
      </c>
      <c r="W26" s="68">
        <v>1.0490318822710886E-2</v>
      </c>
      <c r="X26" s="68">
        <v>2.0229243985665901E-3</v>
      </c>
    </row>
    <row r="27" spans="1:24" x14ac:dyDescent="0.25">
      <c r="A27" s="1">
        <v>13908</v>
      </c>
      <c r="B27" s="1">
        <v>13908</v>
      </c>
      <c r="C27" s="1" t="s">
        <v>2120</v>
      </c>
      <c r="D27" s="1">
        <v>520029083</v>
      </c>
      <c r="E27" s="1" t="s">
        <v>429</v>
      </c>
      <c r="F27" s="1" t="s">
        <v>2121</v>
      </c>
      <c r="G27" s="1" t="s">
        <v>2122</v>
      </c>
      <c r="H27" s="1" t="s">
        <v>76</v>
      </c>
      <c r="I27" s="1" t="s">
        <v>73</v>
      </c>
      <c r="J27" s="1" t="s">
        <v>53</v>
      </c>
      <c r="K27" s="1" t="s">
        <v>53</v>
      </c>
      <c r="L27" s="1" t="s">
        <v>821</v>
      </c>
      <c r="M27" s="1" t="s">
        <v>311</v>
      </c>
      <c r="N27" s="1" t="s">
        <v>256</v>
      </c>
      <c r="O27" s="8" t="s">
        <v>55</v>
      </c>
      <c r="P27" s="1" t="s">
        <v>1206</v>
      </c>
      <c r="Q27" s="67">
        <v>47090</v>
      </c>
      <c r="R27" s="67">
        <v>1</v>
      </c>
      <c r="S27" s="67">
        <v>25050</v>
      </c>
      <c r="T27" s="67">
        <v>0</v>
      </c>
      <c r="U27" s="67">
        <v>11796.045</v>
      </c>
      <c r="V27" s="68">
        <v>4.6935095399999998E-4</v>
      </c>
      <c r="W27" s="68">
        <v>1.4194557302845679E-2</v>
      </c>
      <c r="X27" s="68">
        <v>2.7372396187438038E-3</v>
      </c>
    </row>
    <row r="28" spans="1:24" x14ac:dyDescent="0.25">
      <c r="A28" s="1">
        <v>13908</v>
      </c>
      <c r="B28" s="1">
        <v>13908</v>
      </c>
      <c r="C28" s="1" t="s">
        <v>1635</v>
      </c>
      <c r="D28" s="1">
        <v>520018078</v>
      </c>
      <c r="E28" s="1" t="s">
        <v>429</v>
      </c>
      <c r="F28" s="1" t="s">
        <v>2123</v>
      </c>
      <c r="G28" s="1" t="s">
        <v>2124</v>
      </c>
      <c r="H28" s="1" t="s">
        <v>76</v>
      </c>
      <c r="I28" s="1" t="s">
        <v>73</v>
      </c>
      <c r="J28" s="1" t="s">
        <v>53</v>
      </c>
      <c r="K28" s="1" t="s">
        <v>53</v>
      </c>
      <c r="L28" s="1" t="s">
        <v>821</v>
      </c>
      <c r="M28" s="1" t="s">
        <v>311</v>
      </c>
      <c r="N28" s="1" t="s">
        <v>256</v>
      </c>
      <c r="O28" s="1" t="s">
        <v>62</v>
      </c>
      <c r="P28" s="1" t="s">
        <v>1206</v>
      </c>
      <c r="Q28" s="67">
        <v>1231864</v>
      </c>
      <c r="R28" s="67">
        <v>1</v>
      </c>
      <c r="S28" s="67">
        <v>7020</v>
      </c>
      <c r="T28" s="67">
        <v>0</v>
      </c>
      <c r="U28" s="67">
        <v>86476.852799999993</v>
      </c>
      <c r="V28" s="68">
        <v>8.3023555899999996E-4</v>
      </c>
      <c r="W28" s="68">
        <v>0.10406035602944468</v>
      </c>
      <c r="X28" s="68">
        <v>2.006671452918635E-2</v>
      </c>
    </row>
    <row r="29" spans="1:24" x14ac:dyDescent="0.25">
      <c r="A29" s="1">
        <v>13908</v>
      </c>
      <c r="B29" s="1">
        <v>13908</v>
      </c>
      <c r="C29" s="1" t="s">
        <v>2125</v>
      </c>
      <c r="D29" s="1">
        <v>520025602</v>
      </c>
      <c r="E29" s="1" t="s">
        <v>429</v>
      </c>
      <c r="F29" s="1" t="s">
        <v>2126</v>
      </c>
      <c r="G29" s="1" t="s">
        <v>2127</v>
      </c>
      <c r="H29" s="1" t="s">
        <v>76</v>
      </c>
      <c r="I29" s="1" t="s">
        <v>73</v>
      </c>
      <c r="J29" s="1" t="s">
        <v>53</v>
      </c>
      <c r="K29" s="1" t="s">
        <v>53</v>
      </c>
      <c r="L29" s="1" t="s">
        <v>821</v>
      </c>
      <c r="M29" s="1" t="s">
        <v>311</v>
      </c>
      <c r="N29" s="1" t="s">
        <v>262</v>
      </c>
      <c r="O29" s="1" t="s">
        <v>62</v>
      </c>
      <c r="P29" s="1" t="s">
        <v>1206</v>
      </c>
      <c r="Q29" s="67">
        <v>800</v>
      </c>
      <c r="R29" s="67">
        <v>1</v>
      </c>
      <c r="S29" s="67">
        <v>17390</v>
      </c>
      <c r="T29" s="67">
        <v>0</v>
      </c>
      <c r="U29" s="67">
        <v>139.12</v>
      </c>
      <c r="V29" s="68">
        <v>3.0599620602953999E-5</v>
      </c>
      <c r="W29" s="68">
        <v>1.6740753464164395E-4</v>
      </c>
      <c r="X29" s="68">
        <v>3.2282411245433364E-5</v>
      </c>
    </row>
    <row r="30" spans="1:24" x14ac:dyDescent="0.25">
      <c r="A30" s="1">
        <v>13908</v>
      </c>
      <c r="B30" s="1">
        <v>13908</v>
      </c>
      <c r="C30" s="1" t="s">
        <v>2128</v>
      </c>
      <c r="D30" s="1">
        <v>520013954</v>
      </c>
      <c r="E30" s="1" t="s">
        <v>429</v>
      </c>
      <c r="F30" s="1" t="s">
        <v>2129</v>
      </c>
      <c r="G30" s="1" t="s">
        <v>2130</v>
      </c>
      <c r="H30" s="1" t="s">
        <v>76</v>
      </c>
      <c r="I30" s="1" t="s">
        <v>73</v>
      </c>
      <c r="J30" s="1" t="s">
        <v>53</v>
      </c>
      <c r="K30" s="1" t="s">
        <v>53</v>
      </c>
      <c r="L30" s="1" t="s">
        <v>821</v>
      </c>
      <c r="M30" s="1" t="s">
        <v>311</v>
      </c>
      <c r="N30" s="1" t="s">
        <v>85</v>
      </c>
      <c r="O30" s="1" t="s">
        <v>62</v>
      </c>
      <c r="P30" s="1" t="s">
        <v>1206</v>
      </c>
      <c r="Q30" s="67">
        <v>80639</v>
      </c>
      <c r="R30" s="67">
        <v>1</v>
      </c>
      <c r="S30" s="67">
        <v>10090</v>
      </c>
      <c r="T30" s="67">
        <v>0</v>
      </c>
      <c r="U30" s="67">
        <v>8136.4750999999997</v>
      </c>
      <c r="V30" s="68">
        <v>7.0314160808713396E-5</v>
      </c>
      <c r="W30" s="68">
        <v>9.7908800831233694E-3</v>
      </c>
      <c r="X30" s="68">
        <v>1.8880465444682901E-3</v>
      </c>
    </row>
    <row r="31" spans="1:24" x14ac:dyDescent="0.25">
      <c r="A31" s="1">
        <v>13908</v>
      </c>
      <c r="B31" s="1">
        <v>13908</v>
      </c>
      <c r="C31" s="1" t="s">
        <v>1499</v>
      </c>
      <c r="D31" s="1">
        <v>520000118</v>
      </c>
      <c r="E31" s="1" t="s">
        <v>429</v>
      </c>
      <c r="F31" s="1" t="s">
        <v>2131</v>
      </c>
      <c r="G31" s="1" t="s">
        <v>2132</v>
      </c>
      <c r="H31" s="1" t="s">
        <v>76</v>
      </c>
      <c r="I31" s="1" t="s">
        <v>73</v>
      </c>
      <c r="J31" s="1" t="s">
        <v>53</v>
      </c>
      <c r="K31" s="1" t="s">
        <v>53</v>
      </c>
      <c r="L31" s="1" t="s">
        <v>821</v>
      </c>
      <c r="M31" s="1" t="s">
        <v>311</v>
      </c>
      <c r="N31" s="1" t="s">
        <v>256</v>
      </c>
      <c r="O31" s="1" t="s">
        <v>62</v>
      </c>
      <c r="P31" s="1" t="s">
        <v>1206</v>
      </c>
      <c r="Q31" s="67">
        <v>957341</v>
      </c>
      <c r="R31" s="67">
        <v>1</v>
      </c>
      <c r="S31" s="67">
        <v>7205</v>
      </c>
      <c r="T31" s="67">
        <v>0</v>
      </c>
      <c r="U31" s="67">
        <v>68976.419049999997</v>
      </c>
      <c r="V31" s="68">
        <v>7.2878916799999996E-4</v>
      </c>
      <c r="W31" s="68">
        <v>8.3001525744461069E-2</v>
      </c>
      <c r="X31" s="68">
        <v>1.600578727723867E-2</v>
      </c>
    </row>
    <row r="32" spans="1:24" x14ac:dyDescent="0.25">
      <c r="A32" s="1">
        <v>13908</v>
      </c>
      <c r="B32" s="1">
        <v>13908</v>
      </c>
      <c r="C32" s="1" t="s">
        <v>2133</v>
      </c>
      <c r="D32" s="1">
        <v>520007030</v>
      </c>
      <c r="E32" s="1" t="s">
        <v>429</v>
      </c>
      <c r="F32" s="1" t="s">
        <v>2134</v>
      </c>
      <c r="G32" s="1" t="s">
        <v>2135</v>
      </c>
      <c r="H32" s="1" t="s">
        <v>76</v>
      </c>
      <c r="I32" s="1" t="s">
        <v>73</v>
      </c>
      <c r="J32" s="1" t="s">
        <v>53</v>
      </c>
      <c r="K32" s="1" t="s">
        <v>53</v>
      </c>
      <c r="L32" s="1" t="s">
        <v>821</v>
      </c>
      <c r="M32" s="1" t="s">
        <v>311</v>
      </c>
      <c r="N32" s="1" t="s">
        <v>256</v>
      </c>
      <c r="O32" s="8" t="s">
        <v>55</v>
      </c>
      <c r="P32" s="1" t="s">
        <v>1206</v>
      </c>
      <c r="Q32" s="67">
        <v>1030594</v>
      </c>
      <c r="R32" s="67">
        <v>1</v>
      </c>
      <c r="S32" s="67">
        <v>3382</v>
      </c>
      <c r="T32" s="67">
        <v>0</v>
      </c>
      <c r="U32" s="67">
        <v>34854.689079999996</v>
      </c>
      <c r="V32" s="68">
        <v>8.4248779200000003E-4</v>
      </c>
      <c r="W32" s="68">
        <v>4.1941759413339767E-2</v>
      </c>
      <c r="X32" s="68">
        <v>8.087934205809914E-3</v>
      </c>
    </row>
    <row r="33" spans="1:24" x14ac:dyDescent="0.25">
      <c r="A33" s="1">
        <v>13908</v>
      </c>
      <c r="B33" s="1">
        <v>13908</v>
      </c>
      <c r="C33" s="1" t="s">
        <v>2136</v>
      </c>
      <c r="D33" s="1">
        <v>520000522</v>
      </c>
      <c r="E33" s="1" t="s">
        <v>429</v>
      </c>
      <c r="F33" s="1" t="s">
        <v>2137</v>
      </c>
      <c r="G33" s="1" t="s">
        <v>2138</v>
      </c>
      <c r="H33" s="1" t="s">
        <v>76</v>
      </c>
      <c r="I33" s="1" t="s">
        <v>73</v>
      </c>
      <c r="J33" s="1" t="s">
        <v>53</v>
      </c>
      <c r="K33" s="1" t="s">
        <v>53</v>
      </c>
      <c r="L33" s="1" t="s">
        <v>821</v>
      </c>
      <c r="M33" s="1" t="s">
        <v>311</v>
      </c>
      <c r="N33" s="1" t="s">
        <v>256</v>
      </c>
      <c r="O33" s="1" t="s">
        <v>62</v>
      </c>
      <c r="P33" s="1" t="s">
        <v>1206</v>
      </c>
      <c r="Q33" s="67">
        <v>73761</v>
      </c>
      <c r="R33" s="67">
        <v>1</v>
      </c>
      <c r="S33" s="67">
        <v>22240</v>
      </c>
      <c r="T33" s="67">
        <v>0</v>
      </c>
      <c r="U33" s="67">
        <v>16404.446400000001</v>
      </c>
      <c r="V33" s="68">
        <v>2.8374761199999999E-4</v>
      </c>
      <c r="W33" s="68">
        <v>1.9739993739110059E-2</v>
      </c>
      <c r="X33" s="68">
        <v>3.8066064184766307E-3</v>
      </c>
    </row>
    <row r="34" spans="1:24" x14ac:dyDescent="0.25">
      <c r="A34" s="1">
        <v>13908</v>
      </c>
      <c r="B34" s="1">
        <v>13908</v>
      </c>
      <c r="C34" s="1" t="s">
        <v>1938</v>
      </c>
      <c r="D34" s="1">
        <v>520041146</v>
      </c>
      <c r="E34" s="1" t="s">
        <v>429</v>
      </c>
      <c r="F34" s="1" t="s">
        <v>2139</v>
      </c>
      <c r="G34" s="1" t="s">
        <v>2140</v>
      </c>
      <c r="H34" s="1" t="s">
        <v>76</v>
      </c>
      <c r="I34" s="1" t="s">
        <v>73</v>
      </c>
      <c r="J34" s="1" t="s">
        <v>53</v>
      </c>
      <c r="K34" s="1" t="s">
        <v>53</v>
      </c>
      <c r="L34" s="1" t="s">
        <v>821</v>
      </c>
      <c r="M34" s="1" t="s">
        <v>311</v>
      </c>
      <c r="N34" s="1" t="s">
        <v>647</v>
      </c>
      <c r="O34" s="1" t="s">
        <v>62</v>
      </c>
      <c r="P34" s="1" t="s">
        <v>1206</v>
      </c>
      <c r="Q34" s="67">
        <v>104857</v>
      </c>
      <c r="R34" s="67">
        <v>1</v>
      </c>
      <c r="S34" s="67">
        <v>14480</v>
      </c>
      <c r="T34" s="67">
        <v>0</v>
      </c>
      <c r="U34" s="67">
        <v>15183.293600000001</v>
      </c>
      <c r="V34" s="68">
        <v>7.9396637900000001E-4</v>
      </c>
      <c r="W34" s="68">
        <v>1.8270541613831591E-2</v>
      </c>
      <c r="X34" s="68">
        <v>3.5232412884945111E-3</v>
      </c>
    </row>
    <row r="35" spans="1:24" x14ac:dyDescent="0.25">
      <c r="A35" s="1">
        <v>13908</v>
      </c>
      <c r="B35" s="1">
        <v>13908</v>
      </c>
      <c r="C35" s="1" t="s">
        <v>1938</v>
      </c>
      <c r="D35" s="1">
        <v>520041146</v>
      </c>
      <c r="E35" s="1" t="s">
        <v>429</v>
      </c>
      <c r="F35" s="1" t="s">
        <v>2141</v>
      </c>
      <c r="G35" s="1" t="s">
        <v>2140</v>
      </c>
      <c r="H35" s="1" t="s">
        <v>76</v>
      </c>
      <c r="I35" s="1" t="s">
        <v>73</v>
      </c>
      <c r="J35" s="1" t="s">
        <v>53</v>
      </c>
      <c r="K35" s="1" t="s">
        <v>53</v>
      </c>
      <c r="L35" s="1" t="s">
        <v>54</v>
      </c>
      <c r="M35" s="1" t="s">
        <v>311</v>
      </c>
      <c r="N35" s="1" t="s">
        <v>647</v>
      </c>
      <c r="O35" s="1" t="s">
        <v>62</v>
      </c>
      <c r="P35" s="1" t="s">
        <v>1206</v>
      </c>
      <c r="Q35" s="67">
        <v>127747</v>
      </c>
      <c r="R35" s="67">
        <v>1</v>
      </c>
      <c r="S35" s="67">
        <v>14422.6304</v>
      </c>
      <c r="T35" s="67">
        <v>0</v>
      </c>
      <c r="U35" s="67">
        <v>18424.477650000001</v>
      </c>
      <c r="V35" s="68">
        <v>9.6728709599999999E-4</v>
      </c>
      <c r="W35" s="68">
        <v>2.217076179159409E-2</v>
      </c>
      <c r="X35" s="68">
        <v>4.2753490833783471E-3</v>
      </c>
    </row>
    <row r="36" spans="1:24" x14ac:dyDescent="0.25">
      <c r="A36" s="1">
        <v>13908</v>
      </c>
      <c r="B36" s="1">
        <v>13908</v>
      </c>
      <c r="C36" s="1" t="s">
        <v>1699</v>
      </c>
      <c r="D36" s="1">
        <v>520001736</v>
      </c>
      <c r="E36" s="1" t="s">
        <v>429</v>
      </c>
      <c r="F36" s="1" t="s">
        <v>2142</v>
      </c>
      <c r="G36" s="1" t="s">
        <v>2143</v>
      </c>
      <c r="H36" s="1" t="s">
        <v>76</v>
      </c>
      <c r="I36" s="1" t="s">
        <v>73</v>
      </c>
      <c r="J36" s="1" t="s">
        <v>53</v>
      </c>
      <c r="K36" s="1" t="s">
        <v>53</v>
      </c>
      <c r="L36" s="1" t="s">
        <v>821</v>
      </c>
      <c r="M36" s="1" t="s">
        <v>311</v>
      </c>
      <c r="N36" s="1" t="s">
        <v>651</v>
      </c>
      <c r="O36" s="1" t="s">
        <v>62</v>
      </c>
      <c r="P36" s="1" t="s">
        <v>1206</v>
      </c>
      <c r="Q36" s="67">
        <v>30000</v>
      </c>
      <c r="R36" s="67">
        <v>1</v>
      </c>
      <c r="S36" s="67">
        <v>3854</v>
      </c>
      <c r="T36" s="67">
        <v>0</v>
      </c>
      <c r="U36" s="67">
        <v>1156.2</v>
      </c>
      <c r="V36" s="68">
        <v>1.36094118E-4</v>
      </c>
      <c r="W36" s="68">
        <v>1.3912923487109598E-3</v>
      </c>
      <c r="X36" s="68">
        <v>2.6829301237758806E-4</v>
      </c>
    </row>
    <row r="37" spans="1:24" x14ac:dyDescent="0.25">
      <c r="A37" s="1">
        <v>13908</v>
      </c>
      <c r="B37" s="1">
        <v>13908</v>
      </c>
      <c r="C37" s="1" t="s">
        <v>1957</v>
      </c>
      <c r="D37" s="1">
        <v>520017450</v>
      </c>
      <c r="E37" s="1" t="s">
        <v>429</v>
      </c>
      <c r="F37" s="1" t="s">
        <v>2144</v>
      </c>
      <c r="G37" s="1" t="s">
        <v>2145</v>
      </c>
      <c r="H37" s="1" t="s">
        <v>76</v>
      </c>
      <c r="I37" s="1" t="s">
        <v>73</v>
      </c>
      <c r="J37" s="1" t="s">
        <v>53</v>
      </c>
      <c r="K37" s="1" t="s">
        <v>53</v>
      </c>
      <c r="L37" s="1" t="s">
        <v>821</v>
      </c>
      <c r="M37" s="1" t="s">
        <v>311</v>
      </c>
      <c r="N37" s="1" t="s">
        <v>269</v>
      </c>
      <c r="O37" s="1" t="s">
        <v>62</v>
      </c>
      <c r="P37" s="1" t="s">
        <v>1206</v>
      </c>
      <c r="Q37" s="67">
        <v>221601</v>
      </c>
      <c r="R37" s="67">
        <v>1</v>
      </c>
      <c r="S37" s="67">
        <v>13180</v>
      </c>
      <c r="T37" s="67">
        <v>0</v>
      </c>
      <c r="U37" s="67">
        <v>29207.0118</v>
      </c>
      <c r="V37" s="68">
        <v>8.7470164999999998E-4</v>
      </c>
      <c r="W37" s="68">
        <v>3.5145729152439645E-2</v>
      </c>
      <c r="X37" s="68">
        <v>6.7774063123765445E-3</v>
      </c>
    </row>
    <row r="38" spans="1:24" x14ac:dyDescent="0.25">
      <c r="A38" s="1">
        <v>13908</v>
      </c>
      <c r="B38" s="1">
        <v>13908</v>
      </c>
      <c r="C38" s="1" t="s">
        <v>1964</v>
      </c>
      <c r="D38" s="1">
        <v>520022732</v>
      </c>
      <c r="E38" s="1" t="s">
        <v>429</v>
      </c>
      <c r="F38" s="1" t="s">
        <v>2146</v>
      </c>
      <c r="G38" s="1" t="s">
        <v>2147</v>
      </c>
      <c r="H38" s="1" t="s">
        <v>76</v>
      </c>
      <c r="I38" s="1" t="s">
        <v>73</v>
      </c>
      <c r="J38" s="1" t="s">
        <v>53</v>
      </c>
      <c r="K38" s="1" t="s">
        <v>53</v>
      </c>
      <c r="L38" s="1" t="s">
        <v>821</v>
      </c>
      <c r="M38" s="1" t="s">
        <v>311</v>
      </c>
      <c r="N38" s="1" t="s">
        <v>650</v>
      </c>
      <c r="O38" s="1" t="s">
        <v>62</v>
      </c>
      <c r="P38" s="1" t="s">
        <v>1206</v>
      </c>
      <c r="Q38" s="67">
        <v>61290</v>
      </c>
      <c r="R38" s="67">
        <v>1</v>
      </c>
      <c r="S38" s="67">
        <v>3976</v>
      </c>
      <c r="T38" s="67">
        <v>0</v>
      </c>
      <c r="U38" s="67">
        <v>2436.8904000000002</v>
      </c>
      <c r="V38" s="68">
        <v>2.2973790199999999E-4</v>
      </c>
      <c r="W38" s="68">
        <v>2.9323879676242783E-3</v>
      </c>
      <c r="X38" s="68">
        <v>5.6547367778068296E-4</v>
      </c>
    </row>
    <row r="39" spans="1:24" x14ac:dyDescent="0.25">
      <c r="A39" s="1">
        <v>13908</v>
      </c>
      <c r="B39" s="1">
        <v>13908</v>
      </c>
      <c r="C39" s="1" t="s">
        <v>2148</v>
      </c>
      <c r="D39" s="1">
        <v>520032970</v>
      </c>
      <c r="E39" s="1" t="s">
        <v>429</v>
      </c>
      <c r="F39" s="1" t="s">
        <v>2149</v>
      </c>
      <c r="G39" s="1" t="s">
        <v>2150</v>
      </c>
      <c r="H39" s="1" t="s">
        <v>76</v>
      </c>
      <c r="I39" s="1" t="s">
        <v>73</v>
      </c>
      <c r="J39" s="1" t="s">
        <v>53</v>
      </c>
      <c r="K39" s="1" t="s">
        <v>53</v>
      </c>
      <c r="L39" s="1" t="s">
        <v>821</v>
      </c>
      <c r="M39" s="1" t="s">
        <v>311</v>
      </c>
      <c r="N39" s="1" t="s">
        <v>267</v>
      </c>
      <c r="O39" s="1" t="s">
        <v>62</v>
      </c>
      <c r="P39" s="1" t="s">
        <v>1206</v>
      </c>
      <c r="Q39" s="67">
        <v>19750</v>
      </c>
      <c r="R39" s="67">
        <v>1</v>
      </c>
      <c r="S39" s="67">
        <v>18700</v>
      </c>
      <c r="T39" s="67">
        <v>0</v>
      </c>
      <c r="U39" s="67">
        <v>3693.25</v>
      </c>
      <c r="V39" s="68">
        <v>2.772083504E-3</v>
      </c>
      <c r="W39" s="68">
        <v>4.444205558620266E-3</v>
      </c>
      <c r="X39" s="68">
        <v>8.5700844833378929E-4</v>
      </c>
    </row>
    <row r="40" spans="1:24" x14ac:dyDescent="0.25">
      <c r="A40" s="1">
        <v>13908</v>
      </c>
      <c r="B40" s="1">
        <v>13908</v>
      </c>
      <c r="C40" s="1" t="s">
        <v>2151</v>
      </c>
      <c r="D40" s="1">
        <v>520032988</v>
      </c>
      <c r="E40" s="1" t="s">
        <v>429</v>
      </c>
      <c r="F40" s="1" t="s">
        <v>2152</v>
      </c>
      <c r="G40" s="1" t="s">
        <v>2153</v>
      </c>
      <c r="H40" s="1" t="s">
        <v>76</v>
      </c>
      <c r="I40" s="1" t="s">
        <v>73</v>
      </c>
      <c r="J40" s="1" t="s">
        <v>53</v>
      </c>
      <c r="K40" s="1" t="s">
        <v>53</v>
      </c>
      <c r="L40" s="1" t="s">
        <v>821</v>
      </c>
      <c r="M40" s="1" t="s">
        <v>311</v>
      </c>
      <c r="N40" s="1" t="s">
        <v>265</v>
      </c>
      <c r="O40" s="1" t="s">
        <v>62</v>
      </c>
      <c r="P40" s="1" t="s">
        <v>1206</v>
      </c>
      <c r="Q40" s="67">
        <v>651</v>
      </c>
      <c r="R40" s="67">
        <v>1</v>
      </c>
      <c r="S40" s="67">
        <v>44270</v>
      </c>
      <c r="T40" s="67">
        <v>0</v>
      </c>
      <c r="U40" s="67">
        <v>288.1977</v>
      </c>
      <c r="V40" s="68">
        <v>5.2978515625E-5</v>
      </c>
      <c r="W40" s="68">
        <v>3.4679748739499788E-4</v>
      </c>
      <c r="X40" s="68">
        <v>6.6875479236544206E-5</v>
      </c>
    </row>
    <row r="41" spans="1:24" x14ac:dyDescent="0.25">
      <c r="A41" s="1">
        <v>13908</v>
      </c>
      <c r="B41" s="1">
        <v>13908</v>
      </c>
      <c r="C41" s="1" t="s">
        <v>2154</v>
      </c>
      <c r="D41" s="1">
        <v>516196425</v>
      </c>
      <c r="E41" s="1" t="s">
        <v>429</v>
      </c>
      <c r="F41" s="1" t="s">
        <v>2154</v>
      </c>
      <c r="G41" s="1" t="s">
        <v>2155</v>
      </c>
      <c r="H41" s="1" t="s">
        <v>76</v>
      </c>
      <c r="I41" s="1" t="s">
        <v>73</v>
      </c>
      <c r="J41" s="1" t="s">
        <v>53</v>
      </c>
      <c r="K41" s="1" t="s">
        <v>53</v>
      </c>
      <c r="L41" s="1" t="s">
        <v>821</v>
      </c>
      <c r="M41" s="1" t="s">
        <v>479</v>
      </c>
      <c r="N41" s="1" t="s">
        <v>253</v>
      </c>
      <c r="O41" s="1" t="s">
        <v>62</v>
      </c>
      <c r="P41" s="1" t="s">
        <v>1207</v>
      </c>
      <c r="Q41" s="67">
        <v>20000</v>
      </c>
      <c r="R41" s="67">
        <v>3.19</v>
      </c>
      <c r="S41" s="67">
        <v>940</v>
      </c>
      <c r="T41" s="67">
        <v>0</v>
      </c>
      <c r="U41" s="67">
        <v>599.72</v>
      </c>
      <c r="V41" s="68">
        <v>2.77946896E-4</v>
      </c>
      <c r="W41" s="68">
        <v>7.2166221014438408E-4</v>
      </c>
      <c r="X41" s="68">
        <v>1.3916336739585463E-4</v>
      </c>
    </row>
    <row r="42" spans="1:24" x14ac:dyDescent="0.25">
      <c r="A42" s="1">
        <v>13908</v>
      </c>
      <c r="B42" s="1">
        <v>13908</v>
      </c>
      <c r="C42" s="1" t="s">
        <v>2156</v>
      </c>
      <c r="D42" s="1">
        <v>520041963</v>
      </c>
      <c r="E42" s="1" t="s">
        <v>429</v>
      </c>
      <c r="F42" s="1" t="s">
        <v>2157</v>
      </c>
      <c r="G42" s="1" t="s">
        <v>2158</v>
      </c>
      <c r="H42" s="1" t="s">
        <v>76</v>
      </c>
      <c r="I42" s="1" t="s">
        <v>73</v>
      </c>
      <c r="J42" s="1" t="s">
        <v>53</v>
      </c>
      <c r="K42" s="1" t="s">
        <v>53</v>
      </c>
      <c r="L42" s="1" t="s">
        <v>54</v>
      </c>
      <c r="M42" s="1" t="s">
        <v>311</v>
      </c>
      <c r="N42" s="1" t="s">
        <v>257</v>
      </c>
      <c r="O42" s="1" t="s">
        <v>62</v>
      </c>
      <c r="P42" s="1" t="s">
        <v>1206</v>
      </c>
      <c r="Q42" s="67">
        <v>15000</v>
      </c>
      <c r="R42" s="67">
        <v>1</v>
      </c>
      <c r="S42" s="67">
        <v>16107.307699999999</v>
      </c>
      <c r="T42" s="67">
        <v>0</v>
      </c>
      <c r="U42" s="67">
        <v>2416.0961499999999</v>
      </c>
      <c r="V42" s="68">
        <v>1.1934287899999999E-3</v>
      </c>
      <c r="W42" s="68">
        <v>2.9073655831560346E-3</v>
      </c>
      <c r="X42" s="68">
        <v>5.6064842957740258E-4</v>
      </c>
    </row>
    <row r="43" spans="1:24" x14ac:dyDescent="0.25">
      <c r="A43" s="1">
        <v>13908</v>
      </c>
      <c r="B43" s="1">
        <v>13908</v>
      </c>
      <c r="C43" s="1" t="s">
        <v>2159</v>
      </c>
      <c r="D43" s="1">
        <v>520042482</v>
      </c>
      <c r="E43" s="1" t="s">
        <v>429</v>
      </c>
      <c r="F43" s="1" t="s">
        <v>2160</v>
      </c>
      <c r="G43" s="1" t="s">
        <v>2161</v>
      </c>
      <c r="H43" s="1" t="s">
        <v>76</v>
      </c>
      <c r="I43" s="1" t="s">
        <v>73</v>
      </c>
      <c r="J43" s="1" t="s">
        <v>53</v>
      </c>
      <c r="K43" s="1" t="s">
        <v>53</v>
      </c>
      <c r="L43" s="1" t="s">
        <v>821</v>
      </c>
      <c r="M43" s="1" t="s">
        <v>311</v>
      </c>
      <c r="N43" s="1" t="s">
        <v>259</v>
      </c>
      <c r="O43" s="1" t="s">
        <v>62</v>
      </c>
      <c r="P43" s="1" t="s">
        <v>1206</v>
      </c>
      <c r="Q43" s="67">
        <v>15000</v>
      </c>
      <c r="R43" s="67">
        <v>1</v>
      </c>
      <c r="S43" s="67">
        <v>15680</v>
      </c>
      <c r="T43" s="67">
        <v>0</v>
      </c>
      <c r="U43" s="67">
        <v>2352</v>
      </c>
      <c r="V43" s="68">
        <v>2.5020510499999999E-4</v>
      </c>
      <c r="W43" s="68">
        <v>2.8302366408650558E-3</v>
      </c>
      <c r="X43" s="68">
        <v>5.4577509523619369E-4</v>
      </c>
    </row>
    <row r="44" spans="1:24" x14ac:dyDescent="0.25">
      <c r="A44" s="1">
        <v>13908</v>
      </c>
      <c r="B44" s="1">
        <v>13908</v>
      </c>
      <c r="C44" s="1" t="s">
        <v>1578</v>
      </c>
      <c r="D44" s="1">
        <v>520042763</v>
      </c>
      <c r="E44" s="1" t="s">
        <v>429</v>
      </c>
      <c r="F44" s="1" t="s">
        <v>2162</v>
      </c>
      <c r="G44" s="1" t="s">
        <v>2163</v>
      </c>
      <c r="H44" s="1" t="s">
        <v>76</v>
      </c>
      <c r="I44" s="1" t="s">
        <v>73</v>
      </c>
      <c r="J44" s="1" t="s">
        <v>53</v>
      </c>
      <c r="K44" s="1" t="s">
        <v>53</v>
      </c>
      <c r="L44" s="1" t="s">
        <v>821</v>
      </c>
      <c r="M44" s="1" t="s">
        <v>311</v>
      </c>
      <c r="N44" s="1" t="s">
        <v>259</v>
      </c>
      <c r="O44" s="8" t="s">
        <v>55</v>
      </c>
      <c r="P44" s="1" t="s">
        <v>1206</v>
      </c>
      <c r="Q44" s="67">
        <v>10850</v>
      </c>
      <c r="R44" s="67">
        <v>1</v>
      </c>
      <c r="S44" s="67">
        <v>11280</v>
      </c>
      <c r="T44" s="67">
        <v>0</v>
      </c>
      <c r="U44" s="67">
        <v>1223.8800000000001</v>
      </c>
      <c r="V44" s="68">
        <v>6.2416158799999996E-4</v>
      </c>
      <c r="W44" s="68">
        <v>1.4727338520501381E-3</v>
      </c>
      <c r="X44" s="68">
        <v>2.839979691996908E-4</v>
      </c>
    </row>
    <row r="45" spans="1:24" x14ac:dyDescent="0.25">
      <c r="A45" s="1">
        <v>13908</v>
      </c>
      <c r="B45" s="1">
        <v>13908</v>
      </c>
      <c r="C45" s="1" t="s">
        <v>1578</v>
      </c>
      <c r="D45" s="1">
        <v>520042763</v>
      </c>
      <c r="E45" s="1" t="s">
        <v>429</v>
      </c>
      <c r="F45" s="1" t="s">
        <v>2164</v>
      </c>
      <c r="G45" s="1" t="s">
        <v>2163</v>
      </c>
      <c r="H45" s="1" t="s">
        <v>76</v>
      </c>
      <c r="I45" s="1" t="s">
        <v>73</v>
      </c>
      <c r="J45" s="1" t="s">
        <v>53</v>
      </c>
      <c r="K45" s="1" t="s">
        <v>53</v>
      </c>
      <c r="L45" s="1" t="s">
        <v>54</v>
      </c>
      <c r="M45" s="1" t="s">
        <v>311</v>
      </c>
      <c r="N45" s="1" t="s">
        <v>259</v>
      </c>
      <c r="O45" s="8" t="s">
        <v>55</v>
      </c>
      <c r="P45" s="1" t="s">
        <v>1206</v>
      </c>
      <c r="Q45" s="67">
        <v>2965</v>
      </c>
      <c r="R45" s="67">
        <v>1</v>
      </c>
      <c r="S45" s="67">
        <v>11316.684800000001</v>
      </c>
      <c r="T45" s="67">
        <v>0</v>
      </c>
      <c r="U45" s="67">
        <v>335.53969999999998</v>
      </c>
      <c r="V45" s="68">
        <v>1.7056581600000001E-4</v>
      </c>
      <c r="W45" s="68">
        <v>4.0376562644764814E-4</v>
      </c>
      <c r="X45" s="68">
        <v>7.7861059406047551E-5</v>
      </c>
    </row>
    <row r="46" spans="1:24" x14ac:dyDescent="0.25">
      <c r="A46" s="1">
        <v>13908</v>
      </c>
      <c r="B46" s="1">
        <v>13908</v>
      </c>
      <c r="C46" s="1" t="s">
        <v>1418</v>
      </c>
      <c r="D46" s="1">
        <v>520043027</v>
      </c>
      <c r="E46" s="1" t="s">
        <v>429</v>
      </c>
      <c r="F46" s="1" t="s">
        <v>2165</v>
      </c>
      <c r="G46" s="1" t="s">
        <v>2166</v>
      </c>
      <c r="H46" s="1" t="s">
        <v>76</v>
      </c>
      <c r="I46" s="1" t="s">
        <v>73</v>
      </c>
      <c r="J46" s="1" t="s">
        <v>53</v>
      </c>
      <c r="K46" s="1" t="s">
        <v>53</v>
      </c>
      <c r="L46" s="1" t="s">
        <v>821</v>
      </c>
      <c r="M46" s="1" t="s">
        <v>311</v>
      </c>
      <c r="N46" s="1" t="s">
        <v>654</v>
      </c>
      <c r="O46" s="1" t="s">
        <v>62</v>
      </c>
      <c r="P46" s="1" t="s">
        <v>1206</v>
      </c>
      <c r="Q46" s="67">
        <v>13107</v>
      </c>
      <c r="R46" s="67">
        <v>1</v>
      </c>
      <c r="S46" s="67">
        <v>183600</v>
      </c>
      <c r="T46" s="67">
        <v>31.270029999999998</v>
      </c>
      <c r="U46" s="67">
        <v>24095.722030000001</v>
      </c>
      <c r="V46" s="68">
        <v>2.8222188700000001E-4</v>
      </c>
      <c r="W46" s="68">
        <v>2.8995151095835597E-2</v>
      </c>
      <c r="X46" s="68">
        <v>5.5913456571888183E-3</v>
      </c>
    </row>
    <row r="47" spans="1:24" x14ac:dyDescent="0.25">
      <c r="A47" s="1">
        <v>13908</v>
      </c>
      <c r="B47" s="1">
        <v>13908</v>
      </c>
      <c r="C47" s="1" t="s">
        <v>2167</v>
      </c>
      <c r="D47" s="1">
        <v>520029984</v>
      </c>
      <c r="E47" s="1" t="s">
        <v>429</v>
      </c>
      <c r="F47" s="1" t="s">
        <v>2168</v>
      </c>
      <c r="G47" s="1" t="s">
        <v>2169</v>
      </c>
      <c r="H47" s="1" t="s">
        <v>76</v>
      </c>
      <c r="I47" s="1" t="s">
        <v>73</v>
      </c>
      <c r="J47" s="1" t="s">
        <v>53</v>
      </c>
      <c r="K47" s="1" t="s">
        <v>53</v>
      </c>
      <c r="L47" s="1" t="s">
        <v>821</v>
      </c>
      <c r="M47" s="1" t="s">
        <v>311</v>
      </c>
      <c r="N47" s="1" t="s">
        <v>269</v>
      </c>
      <c r="O47" s="1" t="s">
        <v>62</v>
      </c>
      <c r="P47" s="1" t="s">
        <v>1206</v>
      </c>
      <c r="Q47" s="67">
        <v>1031300</v>
      </c>
      <c r="R47" s="67">
        <v>1</v>
      </c>
      <c r="S47" s="67">
        <v>1546</v>
      </c>
      <c r="T47" s="67">
        <v>0</v>
      </c>
      <c r="U47" s="67">
        <v>15943.897999999999</v>
      </c>
      <c r="V47" s="68">
        <v>9.7481154899999999E-4</v>
      </c>
      <c r="W47" s="68">
        <v>1.918580115553362E-2</v>
      </c>
      <c r="X47" s="68">
        <v>3.6997374359635025E-3</v>
      </c>
    </row>
    <row r="48" spans="1:24" x14ac:dyDescent="0.25">
      <c r="A48" s="1">
        <v>13908</v>
      </c>
      <c r="B48" s="1">
        <v>13908</v>
      </c>
      <c r="C48" s="1" t="s">
        <v>2170</v>
      </c>
      <c r="D48" s="1">
        <v>520043480</v>
      </c>
      <c r="E48" s="1" t="s">
        <v>429</v>
      </c>
      <c r="F48" s="1" t="s">
        <v>2171</v>
      </c>
      <c r="G48" s="1" t="s">
        <v>2172</v>
      </c>
      <c r="H48" s="1" t="s">
        <v>76</v>
      </c>
      <c r="I48" s="1" t="s">
        <v>73</v>
      </c>
      <c r="J48" s="1" t="s">
        <v>53</v>
      </c>
      <c r="K48" s="1" t="s">
        <v>53</v>
      </c>
      <c r="L48" s="1" t="s">
        <v>821</v>
      </c>
      <c r="M48" s="1" t="s">
        <v>311</v>
      </c>
      <c r="N48" s="1" t="s">
        <v>263</v>
      </c>
      <c r="O48" s="8" t="s">
        <v>55</v>
      </c>
      <c r="P48" s="1" t="s">
        <v>1206</v>
      </c>
      <c r="Q48" s="67">
        <v>11071</v>
      </c>
      <c r="R48" s="67">
        <v>1</v>
      </c>
      <c r="S48" s="67">
        <v>75000</v>
      </c>
      <c r="T48" s="67">
        <v>0</v>
      </c>
      <c r="U48" s="67">
        <v>8303.25</v>
      </c>
      <c r="V48" s="68">
        <v>1.1688001410000001E-3</v>
      </c>
      <c r="W48" s="68">
        <v>9.9915656412681852E-3</v>
      </c>
      <c r="X48" s="68">
        <v>1.9267461987754785E-3</v>
      </c>
    </row>
    <row r="49" spans="1:24" x14ac:dyDescent="0.25">
      <c r="A49" s="1">
        <v>13908</v>
      </c>
      <c r="B49" s="1">
        <v>13908</v>
      </c>
      <c r="C49" s="1" t="s">
        <v>2173</v>
      </c>
      <c r="D49" s="1">
        <v>520041997</v>
      </c>
      <c r="E49" s="1" t="s">
        <v>429</v>
      </c>
      <c r="F49" s="1" t="s">
        <v>2174</v>
      </c>
      <c r="G49" s="1" t="s">
        <v>2175</v>
      </c>
      <c r="H49" s="1" t="s">
        <v>76</v>
      </c>
      <c r="I49" s="1" t="s">
        <v>73</v>
      </c>
      <c r="J49" s="1" t="s">
        <v>53</v>
      </c>
      <c r="K49" s="1" t="s">
        <v>53</v>
      </c>
      <c r="L49" s="1" t="s">
        <v>821</v>
      </c>
      <c r="M49" s="1" t="s">
        <v>311</v>
      </c>
      <c r="N49" s="1" t="s">
        <v>254</v>
      </c>
      <c r="O49" s="1" t="s">
        <v>62</v>
      </c>
      <c r="P49" s="1" t="s">
        <v>1206</v>
      </c>
      <c r="Q49" s="67">
        <v>4670</v>
      </c>
      <c r="R49" s="67">
        <v>1</v>
      </c>
      <c r="S49" s="67">
        <v>37300</v>
      </c>
      <c r="T49" s="67">
        <v>0</v>
      </c>
      <c r="U49" s="67">
        <v>1741.91</v>
      </c>
      <c r="V49" s="68">
        <v>4.1618220874172102E-5</v>
      </c>
      <c r="W49" s="68">
        <v>2.0960958788644769E-3</v>
      </c>
      <c r="X49" s="68">
        <v>4.0420539801993118E-4</v>
      </c>
    </row>
    <row r="50" spans="1:24" x14ac:dyDescent="0.25">
      <c r="A50" s="1">
        <v>13908</v>
      </c>
      <c r="B50" s="1">
        <v>13908</v>
      </c>
      <c r="C50" s="1" t="s">
        <v>2176</v>
      </c>
      <c r="D50" s="1">
        <v>520044231</v>
      </c>
      <c r="E50" s="1" t="s">
        <v>429</v>
      </c>
      <c r="F50" s="1" t="s">
        <v>2177</v>
      </c>
      <c r="G50" s="1" t="s">
        <v>2178</v>
      </c>
      <c r="H50" s="1" t="s">
        <v>76</v>
      </c>
      <c r="I50" s="1" t="s">
        <v>73</v>
      </c>
      <c r="J50" s="1" t="s">
        <v>53</v>
      </c>
      <c r="K50" s="1" t="s">
        <v>53</v>
      </c>
      <c r="L50" s="1" t="s">
        <v>821</v>
      </c>
      <c r="M50" s="1" t="s">
        <v>311</v>
      </c>
      <c r="N50" s="1" t="s">
        <v>253</v>
      </c>
      <c r="O50" s="8" t="s">
        <v>55</v>
      </c>
      <c r="P50" s="1" t="s">
        <v>1206</v>
      </c>
      <c r="Q50" s="67">
        <v>5280</v>
      </c>
      <c r="R50" s="67">
        <v>1</v>
      </c>
      <c r="S50" s="67">
        <v>1276</v>
      </c>
      <c r="T50" s="67">
        <v>0</v>
      </c>
      <c r="U50" s="67">
        <v>67.372799999999998</v>
      </c>
      <c r="V50" s="68">
        <v>2.4920214E-4</v>
      </c>
      <c r="W50" s="68">
        <v>8.1071839777922288E-5</v>
      </c>
      <c r="X50" s="68">
        <v>1.5633671911704519E-5</v>
      </c>
    </row>
    <row r="51" spans="1:24" x14ac:dyDescent="0.25">
      <c r="A51" s="1">
        <v>13908</v>
      </c>
      <c r="B51" s="1">
        <v>13908</v>
      </c>
      <c r="C51" s="1" t="s">
        <v>2179</v>
      </c>
      <c r="D51" s="1">
        <v>520044199</v>
      </c>
      <c r="E51" s="1" t="s">
        <v>429</v>
      </c>
      <c r="F51" s="1" t="s">
        <v>2180</v>
      </c>
      <c r="G51" s="1" t="s">
        <v>2181</v>
      </c>
      <c r="H51" s="1" t="s">
        <v>76</v>
      </c>
      <c r="I51" s="1" t="s">
        <v>73</v>
      </c>
      <c r="J51" s="1" t="s">
        <v>53</v>
      </c>
      <c r="K51" s="1" t="s">
        <v>53</v>
      </c>
      <c r="L51" s="1" t="s">
        <v>821</v>
      </c>
      <c r="M51" s="1" t="s">
        <v>311</v>
      </c>
      <c r="N51" s="1" t="s">
        <v>653</v>
      </c>
      <c r="O51" s="8" t="s">
        <v>55</v>
      </c>
      <c r="P51" s="1" t="s">
        <v>1206</v>
      </c>
      <c r="Q51" s="67">
        <v>100000</v>
      </c>
      <c r="R51" s="67">
        <v>1</v>
      </c>
      <c r="S51" s="67">
        <v>2300</v>
      </c>
      <c r="T51" s="67">
        <v>0</v>
      </c>
      <c r="U51" s="67">
        <v>2300</v>
      </c>
      <c r="V51" s="68">
        <v>7.1466591650000003E-3</v>
      </c>
      <c r="W51" s="68">
        <v>2.7676633817983113E-3</v>
      </c>
      <c r="X51" s="68">
        <v>5.3370863904899897E-4</v>
      </c>
    </row>
    <row r="52" spans="1:24" x14ac:dyDescent="0.25">
      <c r="A52" s="1">
        <v>13908</v>
      </c>
      <c r="B52" s="1">
        <v>13908</v>
      </c>
      <c r="C52" s="1" t="s">
        <v>2182</v>
      </c>
      <c r="D52" s="1">
        <v>511812463</v>
      </c>
      <c r="E52" s="1" t="s">
        <v>429</v>
      </c>
      <c r="F52" s="1" t="s">
        <v>2183</v>
      </c>
      <c r="G52" s="1" t="s">
        <v>2184</v>
      </c>
      <c r="H52" s="1" t="s">
        <v>76</v>
      </c>
      <c r="I52" s="1" t="s">
        <v>73</v>
      </c>
      <c r="J52" s="1" t="s">
        <v>53</v>
      </c>
      <c r="K52" s="1" t="s">
        <v>53</v>
      </c>
      <c r="L52" s="1" t="s">
        <v>821</v>
      </c>
      <c r="M52" s="1" t="s">
        <v>311</v>
      </c>
      <c r="N52" s="1" t="s">
        <v>254</v>
      </c>
      <c r="O52" s="1" t="s">
        <v>62</v>
      </c>
      <c r="P52" s="1" t="s">
        <v>1206</v>
      </c>
      <c r="Q52" s="67">
        <v>7390</v>
      </c>
      <c r="R52" s="67">
        <v>1</v>
      </c>
      <c r="S52" s="67">
        <v>106610</v>
      </c>
      <c r="T52" s="67">
        <v>0</v>
      </c>
      <c r="U52" s="67">
        <v>7878.4790000000003</v>
      </c>
      <c r="V52" s="68">
        <v>2.4211987400000001E-4</v>
      </c>
      <c r="W52" s="68">
        <v>9.4804251445943389E-3</v>
      </c>
      <c r="X52" s="68">
        <v>1.8281792629852689E-3</v>
      </c>
    </row>
    <row r="53" spans="1:24" x14ac:dyDescent="0.25">
      <c r="A53" s="1">
        <v>13908</v>
      </c>
      <c r="B53" s="1">
        <v>13908</v>
      </c>
      <c r="C53" s="1" t="s">
        <v>2185</v>
      </c>
      <c r="D53" s="1">
        <v>520039942</v>
      </c>
      <c r="E53" s="1" t="s">
        <v>429</v>
      </c>
      <c r="F53" s="1" t="s">
        <v>2186</v>
      </c>
      <c r="G53" s="1" t="s">
        <v>2187</v>
      </c>
      <c r="H53" s="1" t="s">
        <v>76</v>
      </c>
      <c r="I53" s="1" t="s">
        <v>73</v>
      </c>
      <c r="J53" s="1" t="s">
        <v>53</v>
      </c>
      <c r="K53" s="1" t="s">
        <v>53</v>
      </c>
      <c r="L53" s="1" t="s">
        <v>821</v>
      </c>
      <c r="M53" s="1" t="s">
        <v>311</v>
      </c>
      <c r="N53" s="1" t="s">
        <v>252</v>
      </c>
      <c r="O53" s="1" t="s">
        <v>62</v>
      </c>
      <c r="P53" s="1" t="s">
        <v>1206</v>
      </c>
      <c r="Q53" s="67">
        <v>2000</v>
      </c>
      <c r="R53" s="67">
        <v>1</v>
      </c>
      <c r="S53" s="67">
        <v>26390</v>
      </c>
      <c r="T53" s="67">
        <v>0</v>
      </c>
      <c r="U53" s="67">
        <v>527.79999999999995</v>
      </c>
      <c r="V53" s="68">
        <v>8.7154791310684702E-5</v>
      </c>
      <c r="W53" s="68">
        <v>6.3511857952745592E-4</v>
      </c>
      <c r="X53" s="68">
        <v>1.2247453030002678E-4</v>
      </c>
    </row>
    <row r="54" spans="1:24" x14ac:dyDescent="0.25">
      <c r="A54" s="1">
        <v>13908</v>
      </c>
      <c r="B54" s="1">
        <v>13908</v>
      </c>
      <c r="C54" s="1" t="s">
        <v>2188</v>
      </c>
      <c r="D54" s="1">
        <v>512157603</v>
      </c>
      <c r="E54" s="1" t="s">
        <v>429</v>
      </c>
      <c r="F54" s="1" t="s">
        <v>2189</v>
      </c>
      <c r="G54" s="1" t="s">
        <v>2190</v>
      </c>
      <c r="H54" s="1" t="s">
        <v>76</v>
      </c>
      <c r="I54" s="1" t="s">
        <v>73</v>
      </c>
      <c r="J54" s="1" t="s">
        <v>53</v>
      </c>
      <c r="K54" s="1" t="s">
        <v>53</v>
      </c>
      <c r="L54" s="1" t="s">
        <v>821</v>
      </c>
      <c r="M54" s="1" t="s">
        <v>311</v>
      </c>
      <c r="N54" s="1" t="s">
        <v>650</v>
      </c>
      <c r="O54" s="1" t="s">
        <v>62</v>
      </c>
      <c r="P54" s="1" t="s">
        <v>1206</v>
      </c>
      <c r="Q54" s="67">
        <v>200</v>
      </c>
      <c r="R54" s="67">
        <v>1</v>
      </c>
      <c r="S54" s="67">
        <v>31330</v>
      </c>
      <c r="T54" s="67">
        <v>0</v>
      </c>
      <c r="U54" s="67">
        <v>62.66</v>
      </c>
      <c r="V54" s="68">
        <v>1.44241459048516E-5</v>
      </c>
      <c r="W54" s="68">
        <v>7.5400777175427031E-5</v>
      </c>
      <c r="X54" s="68">
        <v>1.4540079705569682E-5</v>
      </c>
    </row>
    <row r="55" spans="1:24" x14ac:dyDescent="0.25">
      <c r="A55" s="1">
        <v>13908</v>
      </c>
      <c r="B55" s="1">
        <v>13908</v>
      </c>
      <c r="C55" s="1" t="s">
        <v>2191</v>
      </c>
      <c r="D55" s="1">
        <v>520017146</v>
      </c>
      <c r="E55" s="1" t="s">
        <v>429</v>
      </c>
      <c r="F55" s="1" t="s">
        <v>2192</v>
      </c>
      <c r="G55" s="1" t="s">
        <v>2193</v>
      </c>
      <c r="H55" s="1" t="s">
        <v>76</v>
      </c>
      <c r="I55" s="1" t="s">
        <v>73</v>
      </c>
      <c r="J55" s="1" t="s">
        <v>53</v>
      </c>
      <c r="K55" s="1" t="s">
        <v>53</v>
      </c>
      <c r="L55" s="1" t="s">
        <v>821</v>
      </c>
      <c r="M55" s="1" t="s">
        <v>311</v>
      </c>
      <c r="N55" s="1" t="s">
        <v>258</v>
      </c>
      <c r="O55" s="1" t="s">
        <v>62</v>
      </c>
      <c r="P55" s="1" t="s">
        <v>1206</v>
      </c>
      <c r="Q55" s="67">
        <v>658800</v>
      </c>
      <c r="R55" s="67">
        <v>1</v>
      </c>
      <c r="S55" s="67">
        <v>1636</v>
      </c>
      <c r="T55" s="67">
        <v>0</v>
      </c>
      <c r="U55" s="67">
        <v>10777.968000000001</v>
      </c>
      <c r="V55" s="68">
        <v>1.188636013E-3</v>
      </c>
      <c r="W55" s="68">
        <v>1.2969472766866949E-2</v>
      </c>
      <c r="X55" s="68">
        <v>2.5009976665189833E-3</v>
      </c>
    </row>
    <row r="56" spans="1:24" x14ac:dyDescent="0.25">
      <c r="A56" s="1">
        <v>13908</v>
      </c>
      <c r="B56" s="1">
        <v>13908</v>
      </c>
      <c r="C56" s="1" t="s">
        <v>2194</v>
      </c>
      <c r="D56" s="1">
        <v>511870891</v>
      </c>
      <c r="E56" s="1" t="s">
        <v>429</v>
      </c>
      <c r="F56" s="1" t="s">
        <v>2195</v>
      </c>
      <c r="G56" s="1" t="s">
        <v>2196</v>
      </c>
      <c r="H56" s="1" t="s">
        <v>76</v>
      </c>
      <c r="I56" s="1" t="s">
        <v>73</v>
      </c>
      <c r="J56" s="1" t="s">
        <v>53</v>
      </c>
      <c r="K56" s="1" t="s">
        <v>53</v>
      </c>
      <c r="L56" s="1" t="s">
        <v>821</v>
      </c>
      <c r="M56" s="1" t="s">
        <v>311</v>
      </c>
      <c r="N56" s="1" t="s">
        <v>263</v>
      </c>
      <c r="O56" s="8" t="s">
        <v>55</v>
      </c>
      <c r="P56" s="1" t="s">
        <v>1206</v>
      </c>
      <c r="Q56" s="67">
        <v>20000</v>
      </c>
      <c r="R56" s="67">
        <v>1</v>
      </c>
      <c r="S56" s="67">
        <v>253.2</v>
      </c>
      <c r="T56" s="67">
        <v>0</v>
      </c>
      <c r="U56" s="67">
        <v>50.64</v>
      </c>
      <c r="V56" s="68">
        <v>2.5477479400000001E-4</v>
      </c>
      <c r="W56" s="68">
        <v>6.0936727675768038E-5</v>
      </c>
      <c r="X56" s="68">
        <v>1.1750871948452742E-5</v>
      </c>
    </row>
    <row r="57" spans="1:24" x14ac:dyDescent="0.25">
      <c r="A57" s="1">
        <v>13908</v>
      </c>
      <c r="B57" s="1">
        <v>13908</v>
      </c>
      <c r="C57" s="1" t="s">
        <v>1326</v>
      </c>
      <c r="D57" s="1">
        <v>510560188</v>
      </c>
      <c r="E57" s="1" t="s">
        <v>429</v>
      </c>
      <c r="F57" s="1" t="s">
        <v>2197</v>
      </c>
      <c r="G57" s="1" t="s">
        <v>2198</v>
      </c>
      <c r="H57" s="1" t="s">
        <v>76</v>
      </c>
      <c r="I57" s="1" t="s">
        <v>73</v>
      </c>
      <c r="J57" s="1" t="s">
        <v>53</v>
      </c>
      <c r="K57" s="1" t="s">
        <v>53</v>
      </c>
      <c r="L57" s="1" t="s">
        <v>821</v>
      </c>
      <c r="M57" s="1" t="s">
        <v>311</v>
      </c>
      <c r="N57" s="1" t="s">
        <v>652</v>
      </c>
      <c r="O57" s="1" t="s">
        <v>62</v>
      </c>
      <c r="P57" s="1" t="s">
        <v>1206</v>
      </c>
      <c r="Q57" s="67">
        <v>1184</v>
      </c>
      <c r="R57" s="67">
        <v>1</v>
      </c>
      <c r="S57" s="67">
        <v>23380</v>
      </c>
      <c r="T57" s="67">
        <v>0</v>
      </c>
      <c r="U57" s="67">
        <v>276.81920000000002</v>
      </c>
      <c r="V57" s="68">
        <v>2.8580080528721801E-5</v>
      </c>
      <c r="W57" s="68">
        <v>3.3310537531247965E-4</v>
      </c>
      <c r="X57" s="68">
        <v>6.4235129780275066E-5</v>
      </c>
    </row>
    <row r="58" spans="1:24" x14ac:dyDescent="0.25">
      <c r="A58" s="1">
        <v>13908</v>
      </c>
      <c r="B58" s="1">
        <v>13908</v>
      </c>
      <c r="C58" s="1" t="s">
        <v>2199</v>
      </c>
      <c r="D58" s="1">
        <v>511888356</v>
      </c>
      <c r="E58" s="1" t="s">
        <v>429</v>
      </c>
      <c r="F58" s="1" t="s">
        <v>2200</v>
      </c>
      <c r="G58" s="1" t="s">
        <v>2201</v>
      </c>
      <c r="H58" s="1" t="s">
        <v>76</v>
      </c>
      <c r="I58" s="1" t="s">
        <v>73</v>
      </c>
      <c r="J58" s="1" t="s">
        <v>53</v>
      </c>
      <c r="K58" s="1" t="s">
        <v>53</v>
      </c>
      <c r="L58" s="1" t="s">
        <v>821</v>
      </c>
      <c r="M58" s="1" t="s">
        <v>311</v>
      </c>
      <c r="N58" s="1" t="s">
        <v>653</v>
      </c>
      <c r="O58" s="8" t="s">
        <v>55</v>
      </c>
      <c r="P58" s="1" t="s">
        <v>1206</v>
      </c>
      <c r="Q58" s="67">
        <v>200758</v>
      </c>
      <c r="R58" s="67">
        <v>1</v>
      </c>
      <c r="S58" s="67">
        <v>1325</v>
      </c>
      <c r="T58" s="67">
        <v>0</v>
      </c>
      <c r="U58" s="67">
        <v>2660.0435000000002</v>
      </c>
      <c r="V58" s="68">
        <v>2.7791507239999999E-3</v>
      </c>
      <c r="W58" s="68">
        <v>3.200915212582877E-3</v>
      </c>
      <c r="X58" s="68">
        <v>6.1725573747658082E-4</v>
      </c>
    </row>
    <row r="59" spans="1:24" x14ac:dyDescent="0.25">
      <c r="A59" s="1">
        <v>13908</v>
      </c>
      <c r="B59" s="1">
        <v>13908</v>
      </c>
      <c r="C59" s="1" t="s">
        <v>2202</v>
      </c>
      <c r="D59" s="1">
        <v>511235434</v>
      </c>
      <c r="E59" s="1" t="s">
        <v>429</v>
      </c>
      <c r="F59" s="1" t="s">
        <v>2203</v>
      </c>
      <c r="G59" s="1" t="s">
        <v>2204</v>
      </c>
      <c r="H59" s="1" t="s">
        <v>76</v>
      </c>
      <c r="I59" s="1" t="s">
        <v>73</v>
      </c>
      <c r="J59" s="1" t="s">
        <v>53</v>
      </c>
      <c r="K59" s="1" t="s">
        <v>53</v>
      </c>
      <c r="L59" s="1" t="s">
        <v>821</v>
      </c>
      <c r="M59" s="1" t="s">
        <v>311</v>
      </c>
      <c r="N59" s="1" t="s">
        <v>254</v>
      </c>
      <c r="O59" s="1" t="s">
        <v>62</v>
      </c>
      <c r="P59" s="1" t="s">
        <v>1206</v>
      </c>
      <c r="Q59" s="67">
        <v>20586</v>
      </c>
      <c r="R59" s="67">
        <v>1</v>
      </c>
      <c r="S59" s="67">
        <v>34250</v>
      </c>
      <c r="T59" s="67">
        <v>0</v>
      </c>
      <c r="U59" s="67">
        <v>7050.7049999999999</v>
      </c>
      <c r="V59" s="68">
        <v>4.5043541900000001E-4</v>
      </c>
      <c r="W59" s="68">
        <v>8.4843382801575058E-3</v>
      </c>
      <c r="X59" s="68">
        <v>1.6360965956025964E-3</v>
      </c>
    </row>
    <row r="60" spans="1:24" x14ac:dyDescent="0.25">
      <c r="A60" s="1">
        <v>13908</v>
      </c>
      <c r="B60" s="1">
        <v>13908</v>
      </c>
      <c r="C60" s="1" t="s">
        <v>1286</v>
      </c>
      <c r="D60" s="1">
        <v>511659401</v>
      </c>
      <c r="E60" s="1" t="s">
        <v>429</v>
      </c>
      <c r="F60" s="1" t="s">
        <v>2205</v>
      </c>
      <c r="G60" s="1" t="s">
        <v>2206</v>
      </c>
      <c r="H60" s="1" t="s">
        <v>76</v>
      </c>
      <c r="I60" s="1" t="s">
        <v>73</v>
      </c>
      <c r="J60" s="1" t="s">
        <v>53</v>
      </c>
      <c r="K60" s="1" t="s">
        <v>53</v>
      </c>
      <c r="L60" s="1" t="s">
        <v>821</v>
      </c>
      <c r="M60" s="1" t="s">
        <v>311</v>
      </c>
      <c r="N60" s="1" t="s">
        <v>651</v>
      </c>
      <c r="O60" s="1" t="s">
        <v>62</v>
      </c>
      <c r="P60" s="1" t="s">
        <v>1206</v>
      </c>
      <c r="Q60" s="67">
        <v>24350</v>
      </c>
      <c r="R60" s="67">
        <v>1</v>
      </c>
      <c r="S60" s="67">
        <v>6231</v>
      </c>
      <c r="T60" s="67">
        <v>0</v>
      </c>
      <c r="U60" s="67">
        <v>1517.2484999999999</v>
      </c>
      <c r="V60" s="68">
        <v>2.1243589599999999E-4</v>
      </c>
      <c r="W60" s="68">
        <v>1.8257535280601803E-3</v>
      </c>
      <c r="X60" s="68">
        <v>3.5207331827571086E-4</v>
      </c>
    </row>
    <row r="61" spans="1:24" x14ac:dyDescent="0.25">
      <c r="A61" s="1">
        <v>13908</v>
      </c>
      <c r="B61" s="1">
        <v>13908</v>
      </c>
      <c r="C61" s="1" t="s">
        <v>1305</v>
      </c>
      <c r="D61" s="1">
        <v>513623314</v>
      </c>
      <c r="E61" s="1" t="s">
        <v>429</v>
      </c>
      <c r="F61" s="1" t="s">
        <v>2207</v>
      </c>
      <c r="G61" s="1" t="s">
        <v>2208</v>
      </c>
      <c r="H61" s="1" t="s">
        <v>76</v>
      </c>
      <c r="I61" s="1" t="s">
        <v>73</v>
      </c>
      <c r="J61" s="1" t="s">
        <v>53</v>
      </c>
      <c r="K61" s="1" t="s">
        <v>53</v>
      </c>
      <c r="L61" s="1" t="s">
        <v>821</v>
      </c>
      <c r="M61" s="1" t="s">
        <v>311</v>
      </c>
      <c r="N61" s="1" t="s">
        <v>651</v>
      </c>
      <c r="O61" s="1" t="s">
        <v>62</v>
      </c>
      <c r="P61" s="1" t="s">
        <v>1206</v>
      </c>
      <c r="Q61" s="67">
        <v>10935</v>
      </c>
      <c r="R61" s="67">
        <v>1</v>
      </c>
      <c r="S61" s="67">
        <v>76490</v>
      </c>
      <c r="T61" s="67">
        <v>0</v>
      </c>
      <c r="U61" s="67">
        <v>8364.1815000000006</v>
      </c>
      <c r="V61" s="68">
        <v>4.3800737599999998E-4</v>
      </c>
      <c r="W61" s="68">
        <v>1.0064886459245597E-2</v>
      </c>
      <c r="X61" s="68">
        <v>1.9408851848364411E-3</v>
      </c>
    </row>
    <row r="62" spans="1:24" x14ac:dyDescent="0.25">
      <c r="A62" s="1">
        <v>13908</v>
      </c>
      <c r="B62" s="1">
        <v>13908</v>
      </c>
      <c r="C62" s="1" t="s">
        <v>1282</v>
      </c>
      <c r="D62" s="1">
        <v>520026683</v>
      </c>
      <c r="E62" s="1" t="s">
        <v>429</v>
      </c>
      <c r="F62" s="1" t="s">
        <v>2209</v>
      </c>
      <c r="G62" s="1" t="s">
        <v>2210</v>
      </c>
      <c r="H62" s="1" t="s">
        <v>76</v>
      </c>
      <c r="I62" s="1" t="s">
        <v>73</v>
      </c>
      <c r="J62" s="1" t="s">
        <v>53</v>
      </c>
      <c r="K62" s="1" t="s">
        <v>53</v>
      </c>
      <c r="L62" s="1" t="s">
        <v>821</v>
      </c>
      <c r="M62" s="1" t="s">
        <v>311</v>
      </c>
      <c r="N62" s="1" t="s">
        <v>651</v>
      </c>
      <c r="O62" s="1" t="s">
        <v>62</v>
      </c>
      <c r="P62" s="1" t="s">
        <v>1206</v>
      </c>
      <c r="Q62" s="67">
        <v>22710</v>
      </c>
      <c r="R62" s="67">
        <v>1</v>
      </c>
      <c r="S62" s="67">
        <v>2500</v>
      </c>
      <c r="T62" s="67">
        <v>0</v>
      </c>
      <c r="U62" s="67">
        <v>567.75</v>
      </c>
      <c r="V62" s="68">
        <v>4.6026412436139599E-5</v>
      </c>
      <c r="W62" s="68">
        <v>6.8319168913738744E-4</v>
      </c>
      <c r="X62" s="68">
        <v>1.3174481731307355E-4</v>
      </c>
    </row>
    <row r="63" spans="1:24" x14ac:dyDescent="0.25">
      <c r="A63" s="1">
        <v>13908</v>
      </c>
      <c r="B63" s="1">
        <v>13908</v>
      </c>
      <c r="C63" s="1" t="s">
        <v>1296</v>
      </c>
      <c r="D63" s="1">
        <v>513821488</v>
      </c>
      <c r="E63" s="1" t="s">
        <v>429</v>
      </c>
      <c r="F63" s="1" t="s">
        <v>2211</v>
      </c>
      <c r="G63" s="1" t="s">
        <v>2212</v>
      </c>
      <c r="H63" s="1" t="s">
        <v>76</v>
      </c>
      <c r="I63" s="1" t="s">
        <v>73</v>
      </c>
      <c r="J63" s="1" t="s">
        <v>53</v>
      </c>
      <c r="K63" s="1" t="s">
        <v>53</v>
      </c>
      <c r="L63" s="1" t="s">
        <v>821</v>
      </c>
      <c r="M63" s="1" t="s">
        <v>311</v>
      </c>
      <c r="N63" s="1" t="s">
        <v>651</v>
      </c>
      <c r="O63" s="1" t="s">
        <v>62</v>
      </c>
      <c r="P63" s="1" t="s">
        <v>1206</v>
      </c>
      <c r="Q63" s="67">
        <v>96839</v>
      </c>
      <c r="R63" s="67">
        <v>1</v>
      </c>
      <c r="S63" s="67">
        <v>2721</v>
      </c>
      <c r="T63" s="67">
        <v>0</v>
      </c>
      <c r="U63" s="67">
        <v>2634.9891899999998</v>
      </c>
      <c r="V63" s="68">
        <v>4.81591262E-4</v>
      </c>
      <c r="W63" s="68">
        <v>3.1707665619988661E-3</v>
      </c>
      <c r="X63" s="68">
        <v>6.1144195413205386E-4</v>
      </c>
    </row>
    <row r="64" spans="1:24" x14ac:dyDescent="0.25">
      <c r="A64" s="1">
        <v>13908</v>
      </c>
      <c r="B64" s="1">
        <v>13908</v>
      </c>
      <c r="C64" s="1" t="s">
        <v>2213</v>
      </c>
      <c r="D64" s="1">
        <v>510216054</v>
      </c>
      <c r="E64" s="1" t="s">
        <v>429</v>
      </c>
      <c r="F64" s="1" t="s">
        <v>2214</v>
      </c>
      <c r="G64" s="1" t="s">
        <v>2215</v>
      </c>
      <c r="H64" s="1" t="s">
        <v>76</v>
      </c>
      <c r="I64" s="1" t="s">
        <v>73</v>
      </c>
      <c r="J64" s="1" t="s">
        <v>53</v>
      </c>
      <c r="K64" s="1" t="s">
        <v>53</v>
      </c>
      <c r="L64" s="1" t="s">
        <v>821</v>
      </c>
      <c r="M64" s="1" t="s">
        <v>311</v>
      </c>
      <c r="N64" s="1" t="s">
        <v>156</v>
      </c>
      <c r="O64" s="1" t="s">
        <v>62</v>
      </c>
      <c r="P64" s="1" t="s">
        <v>1206</v>
      </c>
      <c r="Q64" s="67">
        <v>12520</v>
      </c>
      <c r="R64" s="67">
        <v>1</v>
      </c>
      <c r="S64" s="67">
        <v>71500</v>
      </c>
      <c r="T64" s="67">
        <v>139.65808000000001</v>
      </c>
      <c r="U64" s="67">
        <v>9091.4580800000003</v>
      </c>
      <c r="V64" s="68">
        <v>1.1638173279999999E-3</v>
      </c>
      <c r="W64" s="68">
        <v>1.0940041571813209E-2</v>
      </c>
      <c r="X64" s="68">
        <v>2.1096477038468806E-3</v>
      </c>
    </row>
    <row r="65" spans="1:24" x14ac:dyDescent="0.25">
      <c r="A65" s="1">
        <v>13908</v>
      </c>
      <c r="B65" s="1">
        <v>13908</v>
      </c>
      <c r="C65" s="1" t="s">
        <v>2216</v>
      </c>
      <c r="D65" s="1">
        <v>511930125</v>
      </c>
      <c r="E65" s="1" t="s">
        <v>429</v>
      </c>
      <c r="F65" s="1" t="s">
        <v>2217</v>
      </c>
      <c r="G65" s="1" t="s">
        <v>2218</v>
      </c>
      <c r="H65" s="1" t="s">
        <v>76</v>
      </c>
      <c r="I65" s="1" t="s">
        <v>73</v>
      </c>
      <c r="J65" s="1" t="s">
        <v>53</v>
      </c>
      <c r="K65" s="1" t="s">
        <v>53</v>
      </c>
      <c r="L65" s="1" t="s">
        <v>821</v>
      </c>
      <c r="M65" s="1" t="s">
        <v>311</v>
      </c>
      <c r="N65" s="1" t="s">
        <v>260</v>
      </c>
      <c r="O65" s="8" t="s">
        <v>55</v>
      </c>
      <c r="P65" s="1" t="s">
        <v>1206</v>
      </c>
      <c r="Q65" s="67">
        <v>69033</v>
      </c>
      <c r="R65" s="67">
        <v>1</v>
      </c>
      <c r="S65" s="67">
        <v>3750</v>
      </c>
      <c r="T65" s="67">
        <v>0</v>
      </c>
      <c r="U65" s="67">
        <v>2588.7375000000002</v>
      </c>
      <c r="V65" s="68">
        <v>4.1085500599999999E-4</v>
      </c>
      <c r="W65" s="68">
        <v>3.1151104277556984E-3</v>
      </c>
      <c r="X65" s="68">
        <v>6.0070937738265567E-4</v>
      </c>
    </row>
    <row r="66" spans="1:24" x14ac:dyDescent="0.25">
      <c r="A66" s="1">
        <v>13908</v>
      </c>
      <c r="B66" s="1">
        <v>13908</v>
      </c>
      <c r="C66" s="1" t="s">
        <v>2219</v>
      </c>
      <c r="D66" s="1">
        <v>513770669</v>
      </c>
      <c r="E66" s="1" t="s">
        <v>429</v>
      </c>
      <c r="F66" s="1" t="s">
        <v>2220</v>
      </c>
      <c r="G66" s="1" t="s">
        <v>2221</v>
      </c>
      <c r="H66" s="1" t="s">
        <v>76</v>
      </c>
      <c r="I66" s="1" t="s">
        <v>73</v>
      </c>
      <c r="J66" s="1" t="s">
        <v>53</v>
      </c>
      <c r="K66" s="1" t="s">
        <v>53</v>
      </c>
      <c r="L66" s="1" t="s">
        <v>821</v>
      </c>
      <c r="M66" s="1" t="s">
        <v>311</v>
      </c>
      <c r="N66" s="1" t="s">
        <v>650</v>
      </c>
      <c r="O66" s="1" t="s">
        <v>62</v>
      </c>
      <c r="P66" s="1" t="s">
        <v>1206</v>
      </c>
      <c r="Q66" s="67">
        <v>1122</v>
      </c>
      <c r="R66" s="67">
        <v>1</v>
      </c>
      <c r="S66" s="67">
        <v>35170</v>
      </c>
      <c r="T66" s="67">
        <v>0</v>
      </c>
      <c r="U66" s="67">
        <v>394.60739999999998</v>
      </c>
      <c r="V66" s="68">
        <v>8.1448458479034994E-5</v>
      </c>
      <c r="W66" s="68">
        <v>4.7484367442027778E-4</v>
      </c>
      <c r="X66" s="68">
        <v>9.1567555831593018E-5</v>
      </c>
    </row>
    <row r="67" spans="1:24" x14ac:dyDescent="0.25">
      <c r="A67" s="1">
        <v>13908</v>
      </c>
      <c r="B67" s="1">
        <v>13908</v>
      </c>
      <c r="C67" s="1" t="s">
        <v>2222</v>
      </c>
      <c r="D67" s="1">
        <v>511725459</v>
      </c>
      <c r="E67" s="1" t="s">
        <v>429</v>
      </c>
      <c r="F67" s="1" t="s">
        <v>2223</v>
      </c>
      <c r="G67" s="1" t="s">
        <v>2224</v>
      </c>
      <c r="H67" s="1" t="s">
        <v>76</v>
      </c>
      <c r="I67" s="1" t="s">
        <v>73</v>
      </c>
      <c r="J67" s="1" t="s">
        <v>53</v>
      </c>
      <c r="K67" s="1" t="s">
        <v>53</v>
      </c>
      <c r="L67" s="1" t="s">
        <v>821</v>
      </c>
      <c r="M67" s="1" t="s">
        <v>311</v>
      </c>
      <c r="N67" s="1" t="s">
        <v>75</v>
      </c>
      <c r="O67" s="8" t="s">
        <v>55</v>
      </c>
      <c r="P67" s="1" t="s">
        <v>1206</v>
      </c>
      <c r="Q67" s="67">
        <v>124605</v>
      </c>
      <c r="R67" s="67">
        <v>1</v>
      </c>
      <c r="S67" s="67">
        <v>15060</v>
      </c>
      <c r="T67" s="67">
        <v>0</v>
      </c>
      <c r="U67" s="67">
        <v>18765.512999999999</v>
      </c>
      <c r="V67" s="68">
        <v>5.9688862010000001E-3</v>
      </c>
      <c r="W67" s="68">
        <v>2.2581140509026161E-2</v>
      </c>
      <c r="X67" s="68">
        <v>4.3544853931679547E-3</v>
      </c>
    </row>
    <row r="68" spans="1:24" x14ac:dyDescent="0.25">
      <c r="A68" s="1">
        <v>13908</v>
      </c>
      <c r="B68" s="1">
        <v>13908</v>
      </c>
      <c r="C68" s="1" t="s">
        <v>2225</v>
      </c>
      <c r="D68" s="1">
        <v>512726712</v>
      </c>
      <c r="E68" s="1" t="s">
        <v>429</v>
      </c>
      <c r="F68" s="1" t="s">
        <v>2226</v>
      </c>
      <c r="G68" s="1" t="s">
        <v>2227</v>
      </c>
      <c r="H68" s="1" t="s">
        <v>76</v>
      </c>
      <c r="I68" s="1" t="s">
        <v>73</v>
      </c>
      <c r="J68" s="1" t="s">
        <v>53</v>
      </c>
      <c r="K68" s="1" t="s">
        <v>53</v>
      </c>
      <c r="L68" s="1" t="s">
        <v>821</v>
      </c>
      <c r="M68" s="1" t="s">
        <v>311</v>
      </c>
      <c r="N68" s="1" t="s">
        <v>140</v>
      </c>
      <c r="O68" s="8" t="s">
        <v>55</v>
      </c>
      <c r="P68" s="1" t="s">
        <v>1206</v>
      </c>
      <c r="Q68" s="67">
        <v>122000</v>
      </c>
      <c r="R68" s="67">
        <v>1</v>
      </c>
      <c r="S68" s="67">
        <v>1525</v>
      </c>
      <c r="T68" s="67">
        <v>0</v>
      </c>
      <c r="U68" s="67">
        <v>1860.5</v>
      </c>
      <c r="V68" s="68">
        <v>5.4074651290000001E-3</v>
      </c>
      <c r="W68" s="68">
        <v>2.2387990094938077E-3</v>
      </c>
      <c r="X68" s="68">
        <v>4.3172387954376628E-4</v>
      </c>
    </row>
    <row r="69" spans="1:24" x14ac:dyDescent="0.25">
      <c r="A69" s="1">
        <v>13908</v>
      </c>
      <c r="B69" s="1">
        <v>13908</v>
      </c>
      <c r="C69" s="1" t="s">
        <v>1624</v>
      </c>
      <c r="D69" s="1">
        <v>512781386</v>
      </c>
      <c r="E69" s="1" t="s">
        <v>429</v>
      </c>
      <c r="F69" s="1" t="s">
        <v>2228</v>
      </c>
      <c r="G69" s="1" t="s">
        <v>2229</v>
      </c>
      <c r="H69" s="1" t="s">
        <v>76</v>
      </c>
      <c r="I69" s="1" t="s">
        <v>73</v>
      </c>
      <c r="J69" s="1" t="s">
        <v>53</v>
      </c>
      <c r="K69" s="1" t="s">
        <v>53</v>
      </c>
      <c r="L69" s="1" t="s">
        <v>821</v>
      </c>
      <c r="M69" s="1" t="s">
        <v>311</v>
      </c>
      <c r="N69" s="1" t="s">
        <v>140</v>
      </c>
      <c r="O69" s="8" t="s">
        <v>55</v>
      </c>
      <c r="P69" s="1" t="s">
        <v>1206</v>
      </c>
      <c r="Q69" s="67">
        <v>490000</v>
      </c>
      <c r="R69" s="67">
        <v>1</v>
      </c>
      <c r="S69" s="67">
        <v>80.5</v>
      </c>
      <c r="T69" s="67">
        <v>0</v>
      </c>
      <c r="U69" s="67">
        <v>394.45</v>
      </c>
      <c r="V69" s="68">
        <v>1.499833737E-3</v>
      </c>
      <c r="W69" s="68">
        <v>4.7465426997841037E-4</v>
      </c>
      <c r="X69" s="68">
        <v>9.1531031596903318E-5</v>
      </c>
    </row>
    <row r="70" spans="1:24" x14ac:dyDescent="0.25">
      <c r="A70" s="1">
        <v>13908</v>
      </c>
      <c r="B70" s="1">
        <v>13908</v>
      </c>
      <c r="C70" s="1" t="s">
        <v>2230</v>
      </c>
      <c r="D70" s="1">
        <v>520041005</v>
      </c>
      <c r="E70" s="1" t="s">
        <v>429</v>
      </c>
      <c r="F70" s="1" t="s">
        <v>2231</v>
      </c>
      <c r="G70" s="1" t="s">
        <v>2232</v>
      </c>
      <c r="H70" s="1" t="s">
        <v>76</v>
      </c>
      <c r="I70" s="1" t="s">
        <v>73</v>
      </c>
      <c r="J70" s="1" t="s">
        <v>53</v>
      </c>
      <c r="K70" s="1" t="s">
        <v>53</v>
      </c>
      <c r="L70" s="1" t="s">
        <v>821</v>
      </c>
      <c r="M70" s="1" t="s">
        <v>311</v>
      </c>
      <c r="N70" s="1" t="s">
        <v>140</v>
      </c>
      <c r="O70" s="1" t="s">
        <v>62</v>
      </c>
      <c r="P70" s="1" t="s">
        <v>1206</v>
      </c>
      <c r="Q70" s="67">
        <v>246623</v>
      </c>
      <c r="R70" s="67">
        <v>1</v>
      </c>
      <c r="S70" s="67">
        <v>598.4</v>
      </c>
      <c r="T70" s="67">
        <v>0</v>
      </c>
      <c r="U70" s="67">
        <v>1475.7920300000001</v>
      </c>
      <c r="V70" s="68">
        <v>1.3187045210000001E-3</v>
      </c>
      <c r="W70" s="68">
        <v>1.7758676350351282E-3</v>
      </c>
      <c r="X70" s="68">
        <v>3.4245345906550408E-4</v>
      </c>
    </row>
    <row r="71" spans="1:24" x14ac:dyDescent="0.25">
      <c r="A71" s="1">
        <v>13908</v>
      </c>
      <c r="B71" s="1">
        <v>13908</v>
      </c>
      <c r="C71" s="1" t="s">
        <v>1301</v>
      </c>
      <c r="D71" s="1">
        <v>510960719</v>
      </c>
      <c r="E71" s="1" t="s">
        <v>429</v>
      </c>
      <c r="F71" s="1" t="s">
        <v>2233</v>
      </c>
      <c r="G71" s="1" t="s">
        <v>2234</v>
      </c>
      <c r="H71" s="1" t="s">
        <v>76</v>
      </c>
      <c r="I71" s="1" t="s">
        <v>73</v>
      </c>
      <c r="J71" s="1" t="s">
        <v>53</v>
      </c>
      <c r="K71" s="1" t="s">
        <v>53</v>
      </c>
      <c r="L71" s="1" t="s">
        <v>821</v>
      </c>
      <c r="M71" s="1" t="s">
        <v>311</v>
      </c>
      <c r="N71" s="1" t="s">
        <v>651</v>
      </c>
      <c r="O71" s="1" t="s">
        <v>62</v>
      </c>
      <c r="P71" s="1" t="s">
        <v>1206</v>
      </c>
      <c r="Q71" s="67">
        <v>18066</v>
      </c>
      <c r="R71" s="67">
        <v>1</v>
      </c>
      <c r="S71" s="67">
        <v>36050</v>
      </c>
      <c r="T71" s="67">
        <v>0</v>
      </c>
      <c r="U71" s="67">
        <v>6512.7929999999997</v>
      </c>
      <c r="V71" s="68">
        <v>1.48969974E-4</v>
      </c>
      <c r="W71" s="68">
        <v>7.8370516084053776E-3</v>
      </c>
      <c r="X71" s="68">
        <v>1.511275603668629E-3</v>
      </c>
    </row>
    <row r="72" spans="1:24" x14ac:dyDescent="0.25">
      <c r="A72" s="1">
        <v>13908</v>
      </c>
      <c r="B72" s="1">
        <v>13908</v>
      </c>
      <c r="C72" s="1" t="s">
        <v>1378</v>
      </c>
      <c r="D72" s="1">
        <v>513901371</v>
      </c>
      <c r="E72" s="1" t="s">
        <v>429</v>
      </c>
      <c r="F72" s="1" t="s">
        <v>2235</v>
      </c>
      <c r="G72" s="1" t="s">
        <v>2236</v>
      </c>
      <c r="H72" s="1" t="s">
        <v>76</v>
      </c>
      <c r="I72" s="1" t="s">
        <v>73</v>
      </c>
      <c r="J72" s="1" t="s">
        <v>53</v>
      </c>
      <c r="K72" s="1" t="s">
        <v>53</v>
      </c>
      <c r="L72" s="1" t="s">
        <v>821</v>
      </c>
      <c r="M72" s="1" t="s">
        <v>311</v>
      </c>
      <c r="N72" s="1" t="s">
        <v>647</v>
      </c>
      <c r="O72" s="1" t="s">
        <v>62</v>
      </c>
      <c r="P72" s="1" t="s">
        <v>1206</v>
      </c>
      <c r="Q72" s="67">
        <v>197905</v>
      </c>
      <c r="R72" s="67">
        <v>1</v>
      </c>
      <c r="S72" s="67">
        <v>1608</v>
      </c>
      <c r="T72" s="67">
        <v>0</v>
      </c>
      <c r="U72" s="67">
        <v>3182.3123999999998</v>
      </c>
      <c r="V72" s="68">
        <v>3.4265594899999998E-4</v>
      </c>
      <c r="W72" s="68">
        <v>3.8293780430098696E-3</v>
      </c>
      <c r="X72" s="68">
        <v>7.3844679131858848E-4</v>
      </c>
    </row>
    <row r="73" spans="1:24" x14ac:dyDescent="0.25">
      <c r="A73" s="1">
        <v>13908</v>
      </c>
      <c r="B73" s="1">
        <v>13908</v>
      </c>
      <c r="C73" s="1" t="s">
        <v>2237</v>
      </c>
      <c r="D73" s="1">
        <v>514068980</v>
      </c>
      <c r="E73" s="1" t="s">
        <v>429</v>
      </c>
      <c r="F73" s="1" t="s">
        <v>2238</v>
      </c>
      <c r="G73" s="1" t="s">
        <v>2239</v>
      </c>
      <c r="H73" s="1" t="s">
        <v>76</v>
      </c>
      <c r="I73" s="1" t="s">
        <v>73</v>
      </c>
      <c r="J73" s="1" t="s">
        <v>53</v>
      </c>
      <c r="K73" s="1" t="s">
        <v>53</v>
      </c>
      <c r="L73" s="1" t="s">
        <v>821</v>
      </c>
      <c r="M73" s="1" t="s">
        <v>311</v>
      </c>
      <c r="N73" s="1" t="s">
        <v>650</v>
      </c>
      <c r="O73" s="8" t="s">
        <v>55</v>
      </c>
      <c r="P73" s="1" t="s">
        <v>1206</v>
      </c>
      <c r="Q73" s="67">
        <v>3568</v>
      </c>
      <c r="R73" s="67">
        <v>1</v>
      </c>
      <c r="S73" s="67">
        <v>5627</v>
      </c>
      <c r="T73" s="67">
        <v>0</v>
      </c>
      <c r="U73" s="67">
        <v>200.77135999999999</v>
      </c>
      <c r="V73" s="68">
        <v>2.5152082599999998E-4</v>
      </c>
      <c r="W73" s="68">
        <v>2.4159458312428094E-4</v>
      </c>
      <c r="X73" s="68">
        <v>4.6588438828528964E-5</v>
      </c>
    </row>
    <row r="74" spans="1:24" x14ac:dyDescent="0.25">
      <c r="A74" s="1">
        <v>13908</v>
      </c>
      <c r="B74" s="1">
        <v>13908</v>
      </c>
      <c r="C74" s="1" t="s">
        <v>1293</v>
      </c>
      <c r="D74" s="1">
        <v>514065283</v>
      </c>
      <c r="E74" s="1" t="s">
        <v>429</v>
      </c>
      <c r="F74" s="1" t="s">
        <v>2240</v>
      </c>
      <c r="G74" s="1" t="s">
        <v>2241</v>
      </c>
      <c r="H74" s="1" t="s">
        <v>76</v>
      </c>
      <c r="I74" s="1" t="s">
        <v>73</v>
      </c>
      <c r="J74" s="1" t="s">
        <v>53</v>
      </c>
      <c r="K74" s="1" t="s">
        <v>53</v>
      </c>
      <c r="L74" s="1" t="s">
        <v>821</v>
      </c>
      <c r="M74" s="1" t="s">
        <v>311</v>
      </c>
      <c r="N74" s="1" t="s">
        <v>75</v>
      </c>
      <c r="O74" s="1" t="s">
        <v>62</v>
      </c>
      <c r="P74" s="1" t="s">
        <v>1206</v>
      </c>
      <c r="Q74" s="67">
        <v>13000</v>
      </c>
      <c r="R74" s="67">
        <v>1</v>
      </c>
      <c r="S74" s="67">
        <v>3548</v>
      </c>
      <c r="T74" s="67">
        <v>0</v>
      </c>
      <c r="U74" s="67">
        <v>461.24</v>
      </c>
      <c r="V74" s="68">
        <v>1.3751128000000001E-4</v>
      </c>
      <c r="W74" s="68">
        <v>5.5502480792202311E-4</v>
      </c>
      <c r="X74" s="68">
        <v>1.070294663804175E-4</v>
      </c>
    </row>
    <row r="75" spans="1:24" x14ac:dyDescent="0.25">
      <c r="A75" s="1">
        <v>13908</v>
      </c>
      <c r="B75" s="1">
        <v>13908</v>
      </c>
      <c r="C75" s="1" t="s">
        <v>1767</v>
      </c>
      <c r="D75" s="1">
        <v>512719485</v>
      </c>
      <c r="E75" s="1" t="s">
        <v>429</v>
      </c>
      <c r="F75" s="1" t="s">
        <v>2242</v>
      </c>
      <c r="G75" s="1" t="s">
        <v>2243</v>
      </c>
      <c r="H75" s="1" t="s">
        <v>76</v>
      </c>
      <c r="I75" s="1" t="s">
        <v>73</v>
      </c>
      <c r="J75" s="1" t="s">
        <v>53</v>
      </c>
      <c r="K75" s="1" t="s">
        <v>53</v>
      </c>
      <c r="L75" s="1" t="s">
        <v>821</v>
      </c>
      <c r="M75" s="1" t="s">
        <v>311</v>
      </c>
      <c r="N75" s="1" t="s">
        <v>651</v>
      </c>
      <c r="O75" s="8" t="s">
        <v>55</v>
      </c>
      <c r="P75" s="1" t="s">
        <v>1206</v>
      </c>
      <c r="Q75" s="67">
        <v>100000</v>
      </c>
      <c r="R75" s="67">
        <v>1</v>
      </c>
      <c r="S75" s="67">
        <v>1394</v>
      </c>
      <c r="T75" s="67">
        <v>0</v>
      </c>
      <c r="U75" s="67">
        <v>1394</v>
      </c>
      <c r="V75" s="68">
        <v>6.6192721899999997E-4</v>
      </c>
      <c r="W75" s="68">
        <v>1.6774446757508025E-3</v>
      </c>
      <c r="X75" s="68">
        <v>3.2347384471056718E-4</v>
      </c>
    </row>
    <row r="76" spans="1:24" x14ac:dyDescent="0.25">
      <c r="A76" s="1">
        <v>13908</v>
      </c>
      <c r="B76" s="1">
        <v>13908</v>
      </c>
      <c r="C76" s="1" t="s">
        <v>2244</v>
      </c>
      <c r="D76" s="1">
        <v>515001659</v>
      </c>
      <c r="E76" s="1" t="s">
        <v>429</v>
      </c>
      <c r="F76" s="1" t="s">
        <v>2245</v>
      </c>
      <c r="G76" s="1" t="s">
        <v>2246</v>
      </c>
      <c r="H76" s="1" t="s">
        <v>76</v>
      </c>
      <c r="I76" s="1" t="s">
        <v>73</v>
      </c>
      <c r="J76" s="1" t="s">
        <v>53</v>
      </c>
      <c r="K76" s="1" t="s">
        <v>53</v>
      </c>
      <c r="L76" s="1" t="s">
        <v>821</v>
      </c>
      <c r="M76" s="1" t="s">
        <v>311</v>
      </c>
      <c r="N76" s="1" t="s">
        <v>263</v>
      </c>
      <c r="O76" s="8" t="s">
        <v>55</v>
      </c>
      <c r="P76" s="1" t="s">
        <v>1206</v>
      </c>
      <c r="Q76" s="67">
        <v>225549</v>
      </c>
      <c r="R76" s="67">
        <v>1</v>
      </c>
      <c r="S76" s="67">
        <v>2200</v>
      </c>
      <c r="T76" s="67">
        <v>0</v>
      </c>
      <c r="U76" s="67">
        <v>4962.0780000000004</v>
      </c>
      <c r="V76" s="68">
        <v>1.512726597E-3</v>
      </c>
      <c r="W76" s="68">
        <v>5.9710267731421744E-3</v>
      </c>
      <c r="X76" s="68">
        <v>1.1514364766239038E-3</v>
      </c>
    </row>
    <row r="77" spans="1:24" x14ac:dyDescent="0.25">
      <c r="A77" s="1">
        <v>13908</v>
      </c>
      <c r="B77" s="1">
        <v>13908</v>
      </c>
      <c r="C77" s="1" t="s">
        <v>1422</v>
      </c>
      <c r="D77" s="1">
        <v>514892801</v>
      </c>
      <c r="E77" s="1" t="s">
        <v>429</v>
      </c>
      <c r="F77" s="1" t="s">
        <v>2247</v>
      </c>
      <c r="G77" s="1" t="s">
        <v>2248</v>
      </c>
      <c r="H77" s="1" t="s">
        <v>76</v>
      </c>
      <c r="I77" s="1" t="s">
        <v>73</v>
      </c>
      <c r="J77" s="1" t="s">
        <v>53</v>
      </c>
      <c r="K77" s="1" t="s">
        <v>53</v>
      </c>
      <c r="L77" s="1" t="s">
        <v>821</v>
      </c>
      <c r="M77" s="1" t="s">
        <v>311</v>
      </c>
      <c r="N77" s="1" t="s">
        <v>263</v>
      </c>
      <c r="O77" s="1" t="s">
        <v>62</v>
      </c>
      <c r="P77" s="1" t="s">
        <v>1206</v>
      </c>
      <c r="Q77" s="67">
        <v>150800</v>
      </c>
      <c r="R77" s="67">
        <v>1</v>
      </c>
      <c r="S77" s="67">
        <v>3129</v>
      </c>
      <c r="T77" s="67">
        <v>0</v>
      </c>
      <c r="U77" s="67">
        <v>4718.5320000000002</v>
      </c>
      <c r="V77" s="68">
        <v>4.21513065E-4</v>
      </c>
      <c r="W77" s="68">
        <v>5.6779601009754564E-3</v>
      </c>
      <c r="X77" s="68">
        <v>1.0949223008822396E-3</v>
      </c>
    </row>
    <row r="78" spans="1:24" x14ac:dyDescent="0.25">
      <c r="A78" s="1">
        <v>13908</v>
      </c>
      <c r="B78" s="1">
        <v>13908</v>
      </c>
      <c r="C78" s="1" t="s">
        <v>2249</v>
      </c>
      <c r="D78" s="1">
        <v>880326081</v>
      </c>
      <c r="E78" s="1" t="s">
        <v>430</v>
      </c>
      <c r="F78" s="1" t="s">
        <v>2250</v>
      </c>
      <c r="G78" s="1" t="s">
        <v>2251</v>
      </c>
      <c r="H78" s="1" t="s">
        <v>76</v>
      </c>
      <c r="I78" s="1" t="s">
        <v>73</v>
      </c>
      <c r="J78" s="1" t="s">
        <v>53</v>
      </c>
      <c r="K78" s="1" t="s">
        <v>314</v>
      </c>
      <c r="L78" s="1" t="s">
        <v>821</v>
      </c>
      <c r="M78" s="1" t="s">
        <v>311</v>
      </c>
      <c r="N78" s="1" t="s">
        <v>647</v>
      </c>
      <c r="O78" s="1" t="s">
        <v>62</v>
      </c>
      <c r="P78" s="1" t="s">
        <v>1206</v>
      </c>
      <c r="Q78" s="67">
        <v>12895</v>
      </c>
      <c r="R78" s="67">
        <v>1</v>
      </c>
      <c r="S78" s="67">
        <v>35050</v>
      </c>
      <c r="T78" s="67">
        <v>0</v>
      </c>
      <c r="U78" s="67">
        <v>4519.6975000000002</v>
      </c>
      <c r="V78" s="68">
        <v>2.2708788399999999E-4</v>
      </c>
      <c r="W78" s="68">
        <v>5.4386962032849451E-3</v>
      </c>
      <c r="X78" s="68">
        <v>1.0487833050600709E-3</v>
      </c>
    </row>
    <row r="79" spans="1:24" x14ac:dyDescent="0.25">
      <c r="A79" s="1">
        <v>13908</v>
      </c>
      <c r="B79" s="1">
        <v>13908</v>
      </c>
      <c r="C79" s="1" t="s">
        <v>1415</v>
      </c>
      <c r="D79" s="1">
        <v>515434074</v>
      </c>
      <c r="E79" s="1" t="s">
        <v>429</v>
      </c>
      <c r="F79" s="1" t="s">
        <v>2252</v>
      </c>
      <c r="G79" s="1" t="s">
        <v>2253</v>
      </c>
      <c r="H79" s="1" t="s">
        <v>76</v>
      </c>
      <c r="I79" s="1" t="s">
        <v>73</v>
      </c>
      <c r="J79" s="1" t="s">
        <v>53</v>
      </c>
      <c r="K79" s="1" t="s">
        <v>53</v>
      </c>
      <c r="L79" s="1" t="s">
        <v>821</v>
      </c>
      <c r="M79" s="1" t="s">
        <v>311</v>
      </c>
      <c r="N79" s="1" t="s">
        <v>651</v>
      </c>
      <c r="O79" s="8" t="s">
        <v>55</v>
      </c>
      <c r="P79" s="1" t="s">
        <v>1206</v>
      </c>
      <c r="Q79" s="67">
        <v>1220656</v>
      </c>
      <c r="R79" s="67">
        <v>1</v>
      </c>
      <c r="S79" s="67">
        <v>905</v>
      </c>
      <c r="T79" s="67">
        <v>41.574930000000002</v>
      </c>
      <c r="U79" s="67">
        <v>11088.51173</v>
      </c>
      <c r="V79" s="68">
        <v>8.3149951679999997E-3</v>
      </c>
      <c r="W79" s="68">
        <v>1.3343159945113932E-2</v>
      </c>
      <c r="X79" s="68">
        <v>2.5730584802161568E-3</v>
      </c>
    </row>
    <row r="80" spans="1:24" x14ac:dyDescent="0.25">
      <c r="A80" s="1">
        <v>13908</v>
      </c>
      <c r="B80" s="1">
        <v>13908</v>
      </c>
      <c r="C80" s="1" t="s">
        <v>1654</v>
      </c>
      <c r="D80" s="1">
        <v>514401702</v>
      </c>
      <c r="E80" s="1" t="s">
        <v>429</v>
      </c>
      <c r="F80" s="1" t="s">
        <v>2254</v>
      </c>
      <c r="G80" s="1" t="s">
        <v>2255</v>
      </c>
      <c r="H80" s="1" t="s">
        <v>76</v>
      </c>
      <c r="I80" s="1" t="s">
        <v>73</v>
      </c>
      <c r="J80" s="1" t="s">
        <v>53</v>
      </c>
      <c r="K80" s="1" t="s">
        <v>53</v>
      </c>
      <c r="L80" s="1" t="s">
        <v>821</v>
      </c>
      <c r="M80" s="1" t="s">
        <v>311</v>
      </c>
      <c r="N80" s="1" t="s">
        <v>156</v>
      </c>
      <c r="O80" s="1" t="s">
        <v>62</v>
      </c>
      <c r="P80" s="1" t="s">
        <v>1206</v>
      </c>
      <c r="Q80" s="67">
        <v>254292</v>
      </c>
      <c r="R80" s="67">
        <v>1</v>
      </c>
      <c r="S80" s="67">
        <v>7459</v>
      </c>
      <c r="T80" s="67">
        <v>0</v>
      </c>
      <c r="U80" s="67">
        <v>18967.64028</v>
      </c>
      <c r="V80" s="68">
        <v>8.4275451500000003E-4</v>
      </c>
      <c r="W80" s="68">
        <v>2.2824366713947247E-2</v>
      </c>
      <c r="X80" s="68">
        <v>4.4013884694825102E-3</v>
      </c>
    </row>
    <row r="81" spans="1:24" x14ac:dyDescent="0.25">
      <c r="A81" s="1">
        <v>13908</v>
      </c>
      <c r="B81" s="1">
        <v>13908</v>
      </c>
      <c r="C81" s="1" t="s">
        <v>1583</v>
      </c>
      <c r="D81" s="1">
        <v>550263107</v>
      </c>
      <c r="E81" s="1" t="s">
        <v>432</v>
      </c>
      <c r="F81" s="1" t="s">
        <v>2256</v>
      </c>
      <c r="G81" s="1" t="s">
        <v>2257</v>
      </c>
      <c r="H81" s="1" t="s">
        <v>76</v>
      </c>
      <c r="I81" s="1" t="s">
        <v>460</v>
      </c>
      <c r="J81" s="1" t="s">
        <v>53</v>
      </c>
      <c r="K81" s="1" t="s">
        <v>53</v>
      </c>
      <c r="L81" s="1" t="s">
        <v>821</v>
      </c>
      <c r="M81" s="1" t="s">
        <v>311</v>
      </c>
      <c r="N81" s="1" t="s">
        <v>267</v>
      </c>
      <c r="O81" s="1" t="s">
        <v>62</v>
      </c>
      <c r="P81" s="1" t="s">
        <v>1206</v>
      </c>
      <c r="Q81" s="67">
        <v>32981</v>
      </c>
      <c r="R81" s="67">
        <v>1</v>
      </c>
      <c r="S81" s="67">
        <v>11640</v>
      </c>
      <c r="T81" s="67">
        <v>0</v>
      </c>
      <c r="U81" s="67">
        <v>3838.9884000000002</v>
      </c>
      <c r="V81" s="68">
        <v>2.8214537999999998E-4</v>
      </c>
      <c r="W81" s="68">
        <v>4.6195772251428208E-3</v>
      </c>
      <c r="X81" s="68">
        <v>8.9082664099517127E-4</v>
      </c>
    </row>
    <row r="82" spans="1:24" x14ac:dyDescent="0.25">
      <c r="A82" s="1">
        <v>13908</v>
      </c>
      <c r="B82" s="1">
        <v>13908</v>
      </c>
      <c r="C82" s="1" t="s">
        <v>2258</v>
      </c>
      <c r="D82" s="1">
        <v>512466723</v>
      </c>
      <c r="E82" s="1" t="s">
        <v>429</v>
      </c>
      <c r="F82" s="1" t="s">
        <v>2259</v>
      </c>
      <c r="G82" s="1" t="s">
        <v>2260</v>
      </c>
      <c r="H82" s="1" t="s">
        <v>76</v>
      </c>
      <c r="I82" s="1" t="s">
        <v>73</v>
      </c>
      <c r="J82" s="1" t="s">
        <v>53</v>
      </c>
      <c r="K82" s="1" t="s">
        <v>53</v>
      </c>
      <c r="L82" s="1" t="s">
        <v>821</v>
      </c>
      <c r="M82" s="1" t="s">
        <v>311</v>
      </c>
      <c r="N82" s="1" t="s">
        <v>258</v>
      </c>
      <c r="O82" s="8" t="s">
        <v>55</v>
      </c>
      <c r="P82" s="1" t="s">
        <v>1206</v>
      </c>
      <c r="Q82" s="67">
        <v>71060</v>
      </c>
      <c r="R82" s="67">
        <v>1</v>
      </c>
      <c r="S82" s="67">
        <v>673.8</v>
      </c>
      <c r="T82" s="67">
        <v>7.6945399999999999</v>
      </c>
      <c r="U82" s="67">
        <v>486.49682000000001</v>
      </c>
      <c r="V82" s="68">
        <v>6.9950363300000005E-4</v>
      </c>
      <c r="W82" s="68">
        <v>5.8541714525014099E-4</v>
      </c>
      <c r="X82" s="68">
        <v>1.1289024161037644E-4</v>
      </c>
    </row>
    <row r="83" spans="1:24" x14ac:dyDescent="0.25">
      <c r="A83" s="1">
        <v>13908</v>
      </c>
      <c r="B83" s="1">
        <v>13908</v>
      </c>
      <c r="C83" s="1" t="s">
        <v>2261</v>
      </c>
      <c r="D83" s="1">
        <v>512607888</v>
      </c>
      <c r="E83" s="1" t="s">
        <v>429</v>
      </c>
      <c r="F83" s="1" t="s">
        <v>2262</v>
      </c>
      <c r="G83" s="1" t="s">
        <v>2263</v>
      </c>
      <c r="H83" s="1" t="s">
        <v>76</v>
      </c>
      <c r="I83" s="1" t="s">
        <v>73</v>
      </c>
      <c r="J83" s="1" t="s">
        <v>53</v>
      </c>
      <c r="K83" s="1" t="s">
        <v>53</v>
      </c>
      <c r="L83" s="1" t="s">
        <v>821</v>
      </c>
      <c r="M83" s="1" t="s">
        <v>311</v>
      </c>
      <c r="N83" s="1" t="s">
        <v>259</v>
      </c>
      <c r="O83" s="1" t="s">
        <v>62</v>
      </c>
      <c r="P83" s="1" t="s">
        <v>1206</v>
      </c>
      <c r="Q83" s="67">
        <v>6880</v>
      </c>
      <c r="R83" s="67">
        <v>1</v>
      </c>
      <c r="S83" s="67">
        <v>65150</v>
      </c>
      <c r="T83" s="67">
        <v>0</v>
      </c>
      <c r="U83" s="67">
        <v>4482.32</v>
      </c>
      <c r="V83" s="68">
        <v>4.1732685199999999E-4</v>
      </c>
      <c r="W83" s="68">
        <v>5.3937186650009593E-3</v>
      </c>
      <c r="X83" s="68">
        <v>1.0401099595574385E-3</v>
      </c>
    </row>
    <row r="84" spans="1:24" x14ac:dyDescent="0.25">
      <c r="A84" s="1">
        <v>13908</v>
      </c>
      <c r="B84" s="1">
        <v>13908</v>
      </c>
      <c r="C84" s="1" t="s">
        <v>1523</v>
      </c>
      <c r="D84" s="1">
        <v>511809071</v>
      </c>
      <c r="E84" s="1" t="s">
        <v>429</v>
      </c>
      <c r="F84" s="1" t="s">
        <v>2264</v>
      </c>
      <c r="G84" s="1" t="s">
        <v>2265</v>
      </c>
      <c r="H84" s="1" t="s">
        <v>76</v>
      </c>
      <c r="I84" s="1" t="s">
        <v>73</v>
      </c>
      <c r="J84" s="1" t="s">
        <v>53</v>
      </c>
      <c r="K84" s="1" t="s">
        <v>53</v>
      </c>
      <c r="L84" s="1" t="s">
        <v>821</v>
      </c>
      <c r="M84" s="1" t="s">
        <v>311</v>
      </c>
      <c r="N84" s="1" t="s">
        <v>75</v>
      </c>
      <c r="O84" s="1" t="s">
        <v>62</v>
      </c>
      <c r="P84" s="1" t="s">
        <v>1206</v>
      </c>
      <c r="Q84" s="67">
        <v>40000</v>
      </c>
      <c r="R84" s="67">
        <v>1</v>
      </c>
      <c r="S84" s="67">
        <v>3017</v>
      </c>
      <c r="T84" s="67">
        <v>0</v>
      </c>
      <c r="U84" s="67">
        <v>1206.8</v>
      </c>
      <c r="V84" s="68">
        <v>3.1746031700000002E-4</v>
      </c>
      <c r="W84" s="68">
        <v>1.4521809431105226E-3</v>
      </c>
      <c r="X84" s="68">
        <v>2.8003460243666606E-4</v>
      </c>
    </row>
    <row r="85" spans="1:24" x14ac:dyDescent="0.25">
      <c r="A85" s="1">
        <v>13908</v>
      </c>
      <c r="B85" s="1">
        <v>13908</v>
      </c>
      <c r="C85" s="1" t="s">
        <v>2266</v>
      </c>
      <c r="D85" s="1">
        <v>515809499</v>
      </c>
      <c r="E85" s="1" t="s">
        <v>429</v>
      </c>
      <c r="F85" s="1" t="s">
        <v>2267</v>
      </c>
      <c r="G85" s="1" t="s">
        <v>2268</v>
      </c>
      <c r="H85" s="1" t="s">
        <v>76</v>
      </c>
      <c r="I85" s="1" t="s">
        <v>73</v>
      </c>
      <c r="J85" s="1" t="s">
        <v>53</v>
      </c>
      <c r="K85" s="1" t="s">
        <v>53</v>
      </c>
      <c r="L85" s="1" t="s">
        <v>821</v>
      </c>
      <c r="M85" s="1" t="s">
        <v>311</v>
      </c>
      <c r="N85" s="1" t="s">
        <v>75</v>
      </c>
      <c r="O85" s="8" t="s">
        <v>55</v>
      </c>
      <c r="P85" s="1" t="s">
        <v>1206</v>
      </c>
      <c r="Q85" s="67">
        <v>5</v>
      </c>
      <c r="R85" s="67">
        <v>1</v>
      </c>
      <c r="S85" s="67">
        <v>45220</v>
      </c>
      <c r="T85" s="67">
        <v>0</v>
      </c>
      <c r="U85" s="67">
        <v>2.2610000000000001</v>
      </c>
      <c r="V85" s="68">
        <v>4.0419032190525602E-6</v>
      </c>
      <c r="W85" s="68">
        <v>2.7207334374982528E-6</v>
      </c>
      <c r="X85" s="68">
        <v>5.2465879690860289E-7</v>
      </c>
    </row>
    <row r="86" spans="1:24" x14ac:dyDescent="0.25">
      <c r="A86" s="1">
        <v>13908</v>
      </c>
      <c r="B86" s="1">
        <v>13908</v>
      </c>
      <c r="C86" s="1" t="s">
        <v>2269</v>
      </c>
      <c r="D86" s="1">
        <v>10758801</v>
      </c>
      <c r="E86" s="1" t="s">
        <v>430</v>
      </c>
      <c r="F86" s="1" t="s">
        <v>2270</v>
      </c>
      <c r="G86" s="1" t="s">
        <v>2271</v>
      </c>
      <c r="H86" s="1" t="s">
        <v>76</v>
      </c>
      <c r="I86" s="1" t="s">
        <v>73</v>
      </c>
      <c r="J86" s="1" t="s">
        <v>53</v>
      </c>
      <c r="K86" s="1" t="s">
        <v>53</v>
      </c>
      <c r="L86" s="1" t="s">
        <v>821</v>
      </c>
      <c r="M86" s="1" t="s">
        <v>311</v>
      </c>
      <c r="N86" s="1" t="s">
        <v>267</v>
      </c>
      <c r="O86" s="1" t="s">
        <v>62</v>
      </c>
      <c r="P86" s="1" t="s">
        <v>1206</v>
      </c>
      <c r="Q86" s="67">
        <v>38701</v>
      </c>
      <c r="R86" s="67">
        <v>1</v>
      </c>
      <c r="S86" s="67">
        <v>3960</v>
      </c>
      <c r="T86" s="67">
        <v>0</v>
      </c>
      <c r="U86" s="67">
        <v>1532.5596</v>
      </c>
      <c r="V86" s="68">
        <v>2.1001084499999999E-4</v>
      </c>
      <c r="W86" s="68">
        <v>1.8441778631928119E-3</v>
      </c>
      <c r="X86" s="68">
        <v>3.5562621668586006E-4</v>
      </c>
    </row>
    <row r="87" spans="1:24" x14ac:dyDescent="0.25">
      <c r="A87" s="1">
        <v>13908</v>
      </c>
      <c r="B87" s="1">
        <v>13908</v>
      </c>
      <c r="C87" s="1" t="s">
        <v>2272</v>
      </c>
      <c r="D87" s="1">
        <v>515846558</v>
      </c>
      <c r="E87" s="1" t="s">
        <v>429</v>
      </c>
      <c r="F87" s="1" t="s">
        <v>2273</v>
      </c>
      <c r="G87" s="1" t="s">
        <v>2274</v>
      </c>
      <c r="H87" s="1" t="s">
        <v>76</v>
      </c>
      <c r="I87" s="1" t="s">
        <v>73</v>
      </c>
      <c r="J87" s="1" t="s">
        <v>53</v>
      </c>
      <c r="K87" s="1" t="s">
        <v>53</v>
      </c>
      <c r="L87" s="1" t="s">
        <v>54</v>
      </c>
      <c r="M87" s="1" t="s">
        <v>311</v>
      </c>
      <c r="N87" s="1" t="s">
        <v>708</v>
      </c>
      <c r="O87" s="8" t="s">
        <v>55</v>
      </c>
      <c r="P87" s="1" t="s">
        <v>1206</v>
      </c>
      <c r="Q87" s="67">
        <v>3000000</v>
      </c>
      <c r="R87" s="67">
        <v>1</v>
      </c>
      <c r="S87" s="67">
        <v>137.09620000000001</v>
      </c>
      <c r="T87" s="67">
        <v>0</v>
      </c>
      <c r="U87" s="67">
        <v>4112.8860000000004</v>
      </c>
      <c r="V87" s="68">
        <v>1.9903936230000001E-3</v>
      </c>
      <c r="W87" s="68">
        <v>4.9491669459612742E-3</v>
      </c>
      <c r="X87" s="68">
        <v>9.5438382157551362E-4</v>
      </c>
    </row>
    <row r="88" spans="1:24" x14ac:dyDescent="0.25">
      <c r="A88" s="1">
        <v>13908</v>
      </c>
      <c r="B88" s="1">
        <v>13908</v>
      </c>
      <c r="C88" s="1" t="s">
        <v>2275</v>
      </c>
      <c r="D88" s="1">
        <v>520020033</v>
      </c>
      <c r="E88" s="1" t="s">
        <v>429</v>
      </c>
      <c r="F88" s="1" t="s">
        <v>2276</v>
      </c>
      <c r="G88" s="1" t="s">
        <v>2277</v>
      </c>
      <c r="H88" s="1" t="s">
        <v>76</v>
      </c>
      <c r="I88" s="1" t="s">
        <v>73</v>
      </c>
      <c r="J88" s="1" t="s">
        <v>53</v>
      </c>
      <c r="K88" s="1" t="s">
        <v>53</v>
      </c>
      <c r="L88" s="1" t="s">
        <v>821</v>
      </c>
      <c r="M88" s="1" t="s">
        <v>311</v>
      </c>
      <c r="N88" s="1" t="s">
        <v>257</v>
      </c>
      <c r="O88" s="1" t="s">
        <v>62</v>
      </c>
      <c r="P88" s="1" t="s">
        <v>1206</v>
      </c>
      <c r="Q88" s="67">
        <v>117000</v>
      </c>
      <c r="R88" s="67">
        <v>1</v>
      </c>
      <c r="S88" s="67">
        <v>9490</v>
      </c>
      <c r="T88" s="67">
        <v>0</v>
      </c>
      <c r="U88" s="67">
        <v>11103.3</v>
      </c>
      <c r="V88" s="68">
        <v>1.2634260199999999E-3</v>
      </c>
      <c r="W88" s="68">
        <v>1.3360955142226603E-2</v>
      </c>
      <c r="X88" s="68">
        <v>2.5764900573707608E-3</v>
      </c>
    </row>
    <row r="89" spans="1:24" x14ac:dyDescent="0.25">
      <c r="A89" s="1">
        <v>13908</v>
      </c>
      <c r="B89" s="1">
        <v>13908</v>
      </c>
      <c r="C89" s="1" t="s">
        <v>1432</v>
      </c>
      <c r="D89" s="1">
        <v>515364891</v>
      </c>
      <c r="E89" s="1" t="s">
        <v>429</v>
      </c>
      <c r="F89" s="1" t="s">
        <v>2278</v>
      </c>
      <c r="G89" s="1" t="s">
        <v>2279</v>
      </c>
      <c r="H89" s="1" t="s">
        <v>76</v>
      </c>
      <c r="I89" s="1" t="s">
        <v>73</v>
      </c>
      <c r="J89" s="1" t="s">
        <v>53</v>
      </c>
      <c r="K89" s="1" t="s">
        <v>53</v>
      </c>
      <c r="L89" s="1" t="s">
        <v>54</v>
      </c>
      <c r="M89" s="1" t="s">
        <v>311</v>
      </c>
      <c r="N89" s="1" t="s">
        <v>647</v>
      </c>
      <c r="O89" s="1" t="s">
        <v>62</v>
      </c>
      <c r="P89" s="1" t="s">
        <v>1206</v>
      </c>
      <c r="Q89" s="67">
        <v>200000</v>
      </c>
      <c r="R89" s="67">
        <v>1</v>
      </c>
      <c r="S89" s="67">
        <v>3575.6374000000001</v>
      </c>
      <c r="T89" s="67">
        <v>0</v>
      </c>
      <c r="U89" s="67">
        <v>7151.2748000000001</v>
      </c>
      <c r="V89" s="68">
        <v>1.0017158939999999E-3</v>
      </c>
      <c r="W89" s="68">
        <v>8.605357129190019E-3</v>
      </c>
      <c r="X89" s="68">
        <v>1.6594335395536531E-3</v>
      </c>
    </row>
    <row r="90" spans="1:24" x14ac:dyDescent="0.25">
      <c r="A90" s="1">
        <v>13908</v>
      </c>
      <c r="B90" s="1">
        <v>13908</v>
      </c>
      <c r="C90" s="1" t="s">
        <v>1791</v>
      </c>
      <c r="D90" s="1">
        <v>516167343</v>
      </c>
      <c r="E90" s="1" t="s">
        <v>429</v>
      </c>
      <c r="F90" s="1" t="s">
        <v>2280</v>
      </c>
      <c r="G90" s="1" t="s">
        <v>2281</v>
      </c>
      <c r="H90" s="1" t="s">
        <v>76</v>
      </c>
      <c r="I90" s="1" t="s">
        <v>73</v>
      </c>
      <c r="J90" s="1" t="s">
        <v>53</v>
      </c>
      <c r="K90" s="1" t="s">
        <v>53</v>
      </c>
      <c r="L90" s="1" t="s">
        <v>821</v>
      </c>
      <c r="M90" s="1" t="s">
        <v>311</v>
      </c>
      <c r="N90" s="1" t="s">
        <v>156</v>
      </c>
      <c r="O90" s="1" t="s">
        <v>62</v>
      </c>
      <c r="P90" s="1" t="s">
        <v>1206</v>
      </c>
      <c r="Q90" s="67">
        <v>67000</v>
      </c>
      <c r="R90" s="67">
        <v>1</v>
      </c>
      <c r="S90" s="67">
        <v>830</v>
      </c>
      <c r="T90" s="67">
        <v>0</v>
      </c>
      <c r="U90" s="67">
        <v>556.1</v>
      </c>
      <c r="V90" s="68">
        <v>9.4201397278359097E-5</v>
      </c>
      <c r="W90" s="68">
        <v>6.6917287244262649E-4</v>
      </c>
      <c r="X90" s="68">
        <v>1.2904146703267318E-4</v>
      </c>
    </row>
    <row r="91" spans="1:24" x14ac:dyDescent="0.25">
      <c r="A91" s="1">
        <v>13908</v>
      </c>
      <c r="B91" s="1">
        <v>13908</v>
      </c>
      <c r="C91" s="1" t="s">
        <v>2282</v>
      </c>
      <c r="D91" s="1">
        <v>513618967</v>
      </c>
      <c r="E91" s="1" t="s">
        <v>429</v>
      </c>
      <c r="F91" s="1" t="s">
        <v>2283</v>
      </c>
      <c r="G91" s="1" t="s">
        <v>2284</v>
      </c>
      <c r="H91" s="1" t="s">
        <v>76</v>
      </c>
      <c r="I91" s="1" t="s">
        <v>73</v>
      </c>
      <c r="J91" s="1" t="s">
        <v>53</v>
      </c>
      <c r="K91" s="1" t="s">
        <v>53</v>
      </c>
      <c r="L91" s="1" t="s">
        <v>821</v>
      </c>
      <c r="M91" s="1" t="s">
        <v>311</v>
      </c>
      <c r="N91" s="1" t="s">
        <v>650</v>
      </c>
      <c r="O91" s="8" t="s">
        <v>55</v>
      </c>
      <c r="P91" s="1" t="s">
        <v>1206</v>
      </c>
      <c r="Q91" s="67">
        <v>414636</v>
      </c>
      <c r="R91" s="67">
        <v>1</v>
      </c>
      <c r="S91" s="67">
        <v>2554</v>
      </c>
      <c r="T91" s="67">
        <v>0</v>
      </c>
      <c r="U91" s="67">
        <v>10589.80344</v>
      </c>
      <c r="V91" s="68">
        <v>2.9680774050000001E-3</v>
      </c>
      <c r="W91" s="68">
        <v>1.2743048348404257E-2</v>
      </c>
      <c r="X91" s="68">
        <v>2.4573346007646987E-3</v>
      </c>
    </row>
    <row r="92" spans="1:24" x14ac:dyDescent="0.25">
      <c r="A92" s="1">
        <v>13908</v>
      </c>
      <c r="B92" s="1">
        <v>13908</v>
      </c>
      <c r="C92" s="1" t="s">
        <v>1435</v>
      </c>
      <c r="D92" s="1">
        <v>514599943</v>
      </c>
      <c r="E92" s="1" t="s">
        <v>429</v>
      </c>
      <c r="F92" s="1" t="s">
        <v>2285</v>
      </c>
      <c r="G92" s="1" t="s">
        <v>2286</v>
      </c>
      <c r="H92" s="1" t="s">
        <v>76</v>
      </c>
      <c r="I92" s="1" t="s">
        <v>73</v>
      </c>
      <c r="J92" s="1" t="s">
        <v>53</v>
      </c>
      <c r="K92" s="1" t="s">
        <v>53</v>
      </c>
      <c r="L92" s="1" t="s">
        <v>821</v>
      </c>
      <c r="M92" s="1" t="s">
        <v>311</v>
      </c>
      <c r="N92" s="1" t="s">
        <v>647</v>
      </c>
      <c r="O92" s="1" t="s">
        <v>62</v>
      </c>
      <c r="P92" s="1" t="s">
        <v>1206</v>
      </c>
      <c r="Q92" s="67">
        <v>47465.2</v>
      </c>
      <c r="R92" s="67">
        <v>1</v>
      </c>
      <c r="S92" s="67">
        <v>11210</v>
      </c>
      <c r="T92" s="67">
        <v>0</v>
      </c>
      <c r="U92" s="67">
        <v>5320.8489200000004</v>
      </c>
      <c r="V92" s="68">
        <v>1.246455075E-3</v>
      </c>
      <c r="W92" s="68">
        <v>6.40274726781091E-3</v>
      </c>
      <c r="X92" s="68">
        <v>1.2346882763819721E-3</v>
      </c>
    </row>
    <row r="93" spans="1:24" x14ac:dyDescent="0.25">
      <c r="A93" s="1">
        <v>13908</v>
      </c>
      <c r="B93" s="1">
        <v>13908</v>
      </c>
      <c r="C93" s="1" t="s">
        <v>1463</v>
      </c>
      <c r="D93" s="1">
        <v>512764408</v>
      </c>
      <c r="E93" s="1" t="s">
        <v>429</v>
      </c>
      <c r="F93" s="1" t="s">
        <v>2287</v>
      </c>
      <c r="G93" s="1" t="s">
        <v>2288</v>
      </c>
      <c r="H93" s="1" t="s">
        <v>76</v>
      </c>
      <c r="I93" s="1" t="s">
        <v>73</v>
      </c>
      <c r="J93" s="1" t="s">
        <v>53</v>
      </c>
      <c r="K93" s="1" t="s">
        <v>53</v>
      </c>
      <c r="L93" s="1" t="s">
        <v>821</v>
      </c>
      <c r="M93" s="1" t="s">
        <v>311</v>
      </c>
      <c r="N93" s="1" t="s">
        <v>649</v>
      </c>
      <c r="O93" s="1" t="s">
        <v>62</v>
      </c>
      <c r="P93" s="1" t="s">
        <v>1206</v>
      </c>
      <c r="Q93" s="67">
        <v>283930</v>
      </c>
      <c r="R93" s="67">
        <v>1</v>
      </c>
      <c r="S93" s="67">
        <v>2447</v>
      </c>
      <c r="T93" s="67">
        <v>0</v>
      </c>
      <c r="U93" s="67">
        <v>6947.7671</v>
      </c>
      <c r="V93" s="68">
        <v>4.6606304170000003E-3</v>
      </c>
      <c r="W93" s="68">
        <v>8.3604698208404552E-3</v>
      </c>
      <c r="X93" s="68">
        <v>1.6122101405958305E-3</v>
      </c>
    </row>
    <row r="94" spans="1:24" x14ac:dyDescent="0.25">
      <c r="A94" s="1">
        <v>13908</v>
      </c>
      <c r="B94" s="1">
        <v>13908</v>
      </c>
      <c r="C94" s="1" t="s">
        <v>1449</v>
      </c>
      <c r="D94" s="1">
        <v>516046307</v>
      </c>
      <c r="E94" s="1" t="s">
        <v>429</v>
      </c>
      <c r="F94" s="1" t="s">
        <v>2289</v>
      </c>
      <c r="G94" s="1" t="s">
        <v>2290</v>
      </c>
      <c r="H94" s="1" t="s">
        <v>76</v>
      </c>
      <c r="I94" s="1" t="s">
        <v>73</v>
      </c>
      <c r="J94" s="1" t="s">
        <v>53</v>
      </c>
      <c r="K94" s="1" t="s">
        <v>53</v>
      </c>
      <c r="L94" s="1" t="s">
        <v>821</v>
      </c>
      <c r="M94" s="1" t="s">
        <v>311</v>
      </c>
      <c r="N94" s="1" t="s">
        <v>647</v>
      </c>
      <c r="O94" s="8" t="s">
        <v>55</v>
      </c>
      <c r="P94" s="1" t="s">
        <v>1206</v>
      </c>
      <c r="Q94" s="67">
        <v>265045</v>
      </c>
      <c r="R94" s="67">
        <v>1</v>
      </c>
      <c r="S94" s="67">
        <v>5841</v>
      </c>
      <c r="T94" s="67">
        <v>0</v>
      </c>
      <c r="U94" s="67">
        <v>15481.27845</v>
      </c>
      <c r="V94" s="68">
        <v>1.3189868516E-2</v>
      </c>
      <c r="W94" s="68">
        <v>1.8629116291081878E-2</v>
      </c>
      <c r="X94" s="68">
        <v>3.592387848820911E-3</v>
      </c>
    </row>
    <row r="95" spans="1:24" x14ac:dyDescent="0.25">
      <c r="A95" s="1">
        <v>13908</v>
      </c>
      <c r="B95" s="1">
        <v>13908</v>
      </c>
      <c r="C95" s="1" t="s">
        <v>2291</v>
      </c>
      <c r="D95" s="1">
        <v>512402538</v>
      </c>
      <c r="E95" s="1" t="s">
        <v>429</v>
      </c>
      <c r="F95" s="1" t="s">
        <v>2292</v>
      </c>
      <c r="G95" s="1" t="s">
        <v>2293</v>
      </c>
      <c r="H95" s="1" t="s">
        <v>76</v>
      </c>
      <c r="I95" s="1" t="s">
        <v>73</v>
      </c>
      <c r="J95" s="1" t="s">
        <v>53</v>
      </c>
      <c r="K95" s="1" t="s">
        <v>53</v>
      </c>
      <c r="L95" s="1" t="s">
        <v>821</v>
      </c>
      <c r="M95" s="1" t="s">
        <v>311</v>
      </c>
      <c r="N95" s="1" t="s">
        <v>75</v>
      </c>
      <c r="O95" s="8" t="s">
        <v>55</v>
      </c>
      <c r="P95" s="1" t="s">
        <v>1206</v>
      </c>
      <c r="Q95" s="67">
        <v>40000</v>
      </c>
      <c r="R95" s="67">
        <v>1</v>
      </c>
      <c r="S95" s="67">
        <v>473.5</v>
      </c>
      <c r="T95" s="67">
        <v>0</v>
      </c>
      <c r="U95" s="67">
        <v>189.4</v>
      </c>
      <c r="V95" s="68">
        <v>2.67123929E-4</v>
      </c>
      <c r="W95" s="68">
        <v>2.2791106283156528E-4</v>
      </c>
      <c r="X95" s="68">
        <v>4.3949746189513217E-5</v>
      </c>
    </row>
    <row r="96" spans="1:24" x14ac:dyDescent="0.25">
      <c r="A96" s="1">
        <v>13908</v>
      </c>
      <c r="B96" s="1">
        <v>13908</v>
      </c>
      <c r="C96" s="1" t="s">
        <v>2294</v>
      </c>
      <c r="D96" s="1">
        <v>510400740</v>
      </c>
      <c r="E96" s="1" t="s">
        <v>429</v>
      </c>
      <c r="F96" s="1" t="s">
        <v>2295</v>
      </c>
      <c r="G96" s="1" t="s">
        <v>2296</v>
      </c>
      <c r="H96" s="1" t="s">
        <v>76</v>
      </c>
      <c r="I96" s="1" t="s">
        <v>73</v>
      </c>
      <c r="J96" s="1" t="s">
        <v>53</v>
      </c>
      <c r="K96" s="1" t="s">
        <v>53</v>
      </c>
      <c r="L96" s="1" t="s">
        <v>821</v>
      </c>
      <c r="M96" s="1" t="s">
        <v>311</v>
      </c>
      <c r="N96" s="1" t="s">
        <v>75</v>
      </c>
      <c r="O96" s="8" t="s">
        <v>55</v>
      </c>
      <c r="P96" s="1" t="s">
        <v>1206</v>
      </c>
      <c r="Q96" s="67">
        <v>72383</v>
      </c>
      <c r="R96" s="67">
        <v>1</v>
      </c>
      <c r="S96" s="67">
        <v>4910</v>
      </c>
      <c r="T96" s="67">
        <v>0</v>
      </c>
      <c r="U96" s="67">
        <v>3554.0052999999998</v>
      </c>
      <c r="V96" s="68">
        <v>2.437893219E-3</v>
      </c>
      <c r="W96" s="68">
        <v>4.2766479684900527E-3</v>
      </c>
      <c r="X96" s="68">
        <v>8.2469710079823E-4</v>
      </c>
    </row>
    <row r="97" spans="1:24" x14ac:dyDescent="0.25">
      <c r="A97" s="1">
        <v>13908</v>
      </c>
      <c r="B97" s="1">
        <v>13908</v>
      </c>
      <c r="C97" s="1" t="s">
        <v>2294</v>
      </c>
      <c r="D97" s="1">
        <v>510400740</v>
      </c>
      <c r="E97" s="1" t="s">
        <v>429</v>
      </c>
      <c r="F97" s="1" t="s">
        <v>2297</v>
      </c>
      <c r="G97" s="1" t="s">
        <v>2296</v>
      </c>
      <c r="H97" s="1" t="s">
        <v>76</v>
      </c>
      <c r="I97" s="1" t="s">
        <v>73</v>
      </c>
      <c r="J97" s="1" t="s">
        <v>53</v>
      </c>
      <c r="K97" s="1" t="s">
        <v>53</v>
      </c>
      <c r="L97" s="1" t="s">
        <v>54</v>
      </c>
      <c r="M97" s="1" t="s">
        <v>311</v>
      </c>
      <c r="N97" s="1" t="s">
        <v>75</v>
      </c>
      <c r="O97" s="8" t="s">
        <v>55</v>
      </c>
      <c r="P97" s="1" t="s">
        <v>1206</v>
      </c>
      <c r="Q97" s="67">
        <v>5000</v>
      </c>
      <c r="R97" s="67">
        <v>1</v>
      </c>
      <c r="S97" s="67">
        <v>4863.2240000000002</v>
      </c>
      <c r="T97" s="67">
        <v>0</v>
      </c>
      <c r="U97" s="67">
        <v>243.16120000000001</v>
      </c>
      <c r="V97" s="68">
        <v>1.68402333E-4</v>
      </c>
      <c r="W97" s="68">
        <v>2.9260363004962413E-4</v>
      </c>
      <c r="X97" s="68">
        <v>5.6424883965878889E-5</v>
      </c>
    </row>
    <row r="98" spans="1:24" x14ac:dyDescent="0.25">
      <c r="A98" s="1">
        <v>13908</v>
      </c>
      <c r="B98" s="1">
        <v>13908</v>
      </c>
      <c r="C98" s="1" t="s">
        <v>2298</v>
      </c>
      <c r="D98" s="1">
        <v>513639013</v>
      </c>
      <c r="E98" s="1" t="s">
        <v>429</v>
      </c>
      <c r="F98" s="1" t="s">
        <v>2299</v>
      </c>
      <c r="G98" s="1" t="s">
        <v>2300</v>
      </c>
      <c r="H98" s="1" t="s">
        <v>76</v>
      </c>
      <c r="I98" s="1" t="s">
        <v>73</v>
      </c>
      <c r="J98" s="1" t="s">
        <v>53</v>
      </c>
      <c r="K98" s="1" t="s">
        <v>53</v>
      </c>
      <c r="L98" s="1" t="s">
        <v>821</v>
      </c>
      <c r="M98" s="1" t="s">
        <v>311</v>
      </c>
      <c r="N98" s="1" t="s">
        <v>253</v>
      </c>
      <c r="O98" s="1" t="s">
        <v>62</v>
      </c>
      <c r="P98" s="1" t="s">
        <v>1206</v>
      </c>
      <c r="Q98" s="67">
        <v>18007</v>
      </c>
      <c r="R98" s="67">
        <v>1</v>
      </c>
      <c r="S98" s="67">
        <v>16110</v>
      </c>
      <c r="T98" s="67">
        <v>0</v>
      </c>
      <c r="U98" s="67">
        <v>2900.9277000000002</v>
      </c>
      <c r="V98" s="68">
        <v>4.9189498699999995E-4</v>
      </c>
      <c r="W98" s="68">
        <v>3.4907788558845207E-3</v>
      </c>
      <c r="X98" s="68">
        <v>6.7315224988980123E-4</v>
      </c>
    </row>
    <row r="99" spans="1:24" x14ac:dyDescent="0.25">
      <c r="A99" s="1">
        <v>13908</v>
      </c>
      <c r="B99" s="1">
        <v>13908</v>
      </c>
      <c r="C99" s="1" t="s">
        <v>2301</v>
      </c>
      <c r="D99" s="1">
        <v>70252750</v>
      </c>
      <c r="E99" s="1" t="s">
        <v>430</v>
      </c>
      <c r="F99" s="1" t="s">
        <v>2302</v>
      </c>
      <c r="G99" s="1" t="s">
        <v>2303</v>
      </c>
      <c r="H99" s="1" t="s">
        <v>76</v>
      </c>
      <c r="I99" s="1" t="s">
        <v>73</v>
      </c>
      <c r="J99" s="1" t="s">
        <v>53</v>
      </c>
      <c r="K99" s="1" t="s">
        <v>53</v>
      </c>
      <c r="L99" s="1" t="s">
        <v>821</v>
      </c>
      <c r="M99" s="1" t="s">
        <v>311</v>
      </c>
      <c r="N99" s="1" t="s">
        <v>652</v>
      </c>
      <c r="O99" s="1" t="s">
        <v>62</v>
      </c>
      <c r="P99" s="1" t="s">
        <v>1206</v>
      </c>
      <c r="Q99" s="67">
        <v>10608</v>
      </c>
      <c r="R99" s="67">
        <v>1</v>
      </c>
      <c r="S99" s="67">
        <v>12990</v>
      </c>
      <c r="T99" s="67">
        <v>0</v>
      </c>
      <c r="U99" s="67">
        <v>1377.9792</v>
      </c>
      <c r="V99" s="68">
        <v>4.8750869199999999E-4</v>
      </c>
      <c r="W99" s="68">
        <v>1.6581663359651006E-3</v>
      </c>
      <c r="X99" s="68">
        <v>3.1975626237818621E-4</v>
      </c>
    </row>
    <row r="100" spans="1:24" x14ac:dyDescent="0.25">
      <c r="A100" s="1">
        <v>13908</v>
      </c>
      <c r="B100" s="1">
        <v>13908</v>
      </c>
      <c r="C100" s="1" t="s">
        <v>2304</v>
      </c>
      <c r="D100" s="1">
        <v>514211457</v>
      </c>
      <c r="E100" s="1" t="s">
        <v>429</v>
      </c>
      <c r="F100" s="1" t="s">
        <v>2305</v>
      </c>
      <c r="G100" s="1" t="s">
        <v>2306</v>
      </c>
      <c r="H100" s="1" t="s">
        <v>76</v>
      </c>
      <c r="I100" s="1" t="s">
        <v>73</v>
      </c>
      <c r="J100" s="1" t="s">
        <v>53</v>
      </c>
      <c r="K100" s="1" t="s">
        <v>53</v>
      </c>
      <c r="L100" s="1" t="s">
        <v>821</v>
      </c>
      <c r="M100" s="1" t="s">
        <v>311</v>
      </c>
      <c r="N100" s="1" t="s">
        <v>650</v>
      </c>
      <c r="O100" s="8" t="s">
        <v>55</v>
      </c>
      <c r="P100" s="1" t="s">
        <v>1206</v>
      </c>
      <c r="Q100" s="67">
        <v>49169</v>
      </c>
      <c r="R100" s="67">
        <v>1</v>
      </c>
      <c r="S100" s="67">
        <v>4249</v>
      </c>
      <c r="T100" s="67">
        <v>0</v>
      </c>
      <c r="U100" s="67">
        <v>2089.1908100000001</v>
      </c>
      <c r="V100" s="68">
        <v>1.0114121360000001E-3</v>
      </c>
      <c r="W100" s="68">
        <v>2.5139899575767621E-3</v>
      </c>
      <c r="X100" s="68">
        <v>4.8479094952990248E-4</v>
      </c>
    </row>
    <row r="101" spans="1:24" x14ac:dyDescent="0.25">
      <c r="A101" s="1">
        <v>13908</v>
      </c>
      <c r="B101" s="1">
        <v>13908</v>
      </c>
      <c r="C101" s="1" t="s">
        <v>2307</v>
      </c>
      <c r="D101" s="1">
        <v>512714494</v>
      </c>
      <c r="E101" s="1" t="s">
        <v>429</v>
      </c>
      <c r="F101" s="1" t="s">
        <v>2308</v>
      </c>
      <c r="G101" s="1" t="s">
        <v>2309</v>
      </c>
      <c r="H101" s="1" t="s">
        <v>76</v>
      </c>
      <c r="I101" s="1" t="s">
        <v>73</v>
      </c>
      <c r="J101" s="1" t="s">
        <v>53</v>
      </c>
      <c r="K101" s="1" t="s">
        <v>53</v>
      </c>
      <c r="L101" s="1" t="s">
        <v>821</v>
      </c>
      <c r="M101" s="1" t="s">
        <v>311</v>
      </c>
      <c r="N101" s="1" t="s">
        <v>263</v>
      </c>
      <c r="O101" s="1" t="s">
        <v>62</v>
      </c>
      <c r="P101" s="1" t="s">
        <v>1206</v>
      </c>
      <c r="Q101" s="67">
        <v>135700</v>
      </c>
      <c r="R101" s="67">
        <v>1</v>
      </c>
      <c r="S101" s="67">
        <v>889.3</v>
      </c>
      <c r="T101" s="67">
        <v>0</v>
      </c>
      <c r="U101" s="67">
        <v>1206.7800999999999</v>
      </c>
      <c r="V101" s="68">
        <v>4.7039616800000002E-4</v>
      </c>
      <c r="W101" s="68">
        <v>1.4521569968056105E-3</v>
      </c>
      <c r="X101" s="68">
        <v>2.8002998469670211E-4</v>
      </c>
    </row>
    <row r="102" spans="1:24" x14ac:dyDescent="0.25">
      <c r="A102" s="1">
        <v>13908</v>
      </c>
      <c r="B102" s="1">
        <v>13908</v>
      </c>
      <c r="C102" s="1" t="s">
        <v>2310</v>
      </c>
      <c r="D102" s="1">
        <v>514259019</v>
      </c>
      <c r="E102" s="1" t="s">
        <v>429</v>
      </c>
      <c r="F102" s="1" t="s">
        <v>2311</v>
      </c>
      <c r="G102" s="1" t="s">
        <v>2312</v>
      </c>
      <c r="H102" s="1" t="s">
        <v>76</v>
      </c>
      <c r="I102" s="1" t="s">
        <v>73</v>
      </c>
      <c r="J102" s="1" t="s">
        <v>53</v>
      </c>
      <c r="K102" s="1" t="s">
        <v>53</v>
      </c>
      <c r="L102" s="1" t="s">
        <v>821</v>
      </c>
      <c r="M102" s="1" t="s">
        <v>311</v>
      </c>
      <c r="N102" s="1" t="s">
        <v>654</v>
      </c>
      <c r="O102" s="1" t="s">
        <v>62</v>
      </c>
      <c r="P102" s="1" t="s">
        <v>1206</v>
      </c>
      <c r="Q102" s="67">
        <v>185247</v>
      </c>
      <c r="R102" s="67">
        <v>1</v>
      </c>
      <c r="S102" s="67">
        <v>20990</v>
      </c>
      <c r="T102" s="67">
        <v>0</v>
      </c>
      <c r="U102" s="67">
        <v>38883.345300000001</v>
      </c>
      <c r="V102" s="68">
        <v>2.034509508E-3</v>
      </c>
      <c r="W102" s="68">
        <v>4.6789569977664987E-2</v>
      </c>
      <c r="X102" s="68">
        <v>9.0227727398849086E-3</v>
      </c>
    </row>
    <row r="103" spans="1:24" x14ac:dyDescent="0.25">
      <c r="A103" s="1">
        <v>13908</v>
      </c>
      <c r="B103" s="1">
        <v>13908</v>
      </c>
      <c r="C103" s="1" t="s">
        <v>2313</v>
      </c>
      <c r="D103" s="1">
        <v>516339777</v>
      </c>
      <c r="E103" s="1" t="s">
        <v>429</v>
      </c>
      <c r="F103" s="1" t="s">
        <v>2314</v>
      </c>
      <c r="G103" s="1" t="s">
        <v>2315</v>
      </c>
      <c r="H103" s="1" t="s">
        <v>76</v>
      </c>
      <c r="I103" s="1" t="s">
        <v>73</v>
      </c>
      <c r="J103" s="1" t="s">
        <v>53</v>
      </c>
      <c r="K103" s="1" t="s">
        <v>53</v>
      </c>
      <c r="L103" s="1" t="s">
        <v>821</v>
      </c>
      <c r="M103" s="1" t="s">
        <v>311</v>
      </c>
      <c r="N103" s="1" t="s">
        <v>647</v>
      </c>
      <c r="O103" s="8" t="s">
        <v>55</v>
      </c>
      <c r="P103" s="1" t="s">
        <v>1206</v>
      </c>
      <c r="Q103" s="67">
        <v>125000</v>
      </c>
      <c r="R103" s="67">
        <v>1</v>
      </c>
      <c r="S103" s="67">
        <v>4615</v>
      </c>
      <c r="T103" s="67">
        <v>0</v>
      </c>
      <c r="U103" s="67">
        <v>5768.75</v>
      </c>
      <c r="V103" s="68">
        <v>2.0958233919999999E-3</v>
      </c>
      <c r="W103" s="68">
        <v>6.9417209277169599E-3</v>
      </c>
      <c r="X103" s="68">
        <v>1.3386224832669185E-3</v>
      </c>
    </row>
    <row r="104" spans="1:24" x14ac:dyDescent="0.25">
      <c r="A104" s="1">
        <v>13908</v>
      </c>
      <c r="B104" s="1">
        <v>13908</v>
      </c>
      <c r="C104" s="1" t="s">
        <v>2316</v>
      </c>
      <c r="D104" s="1">
        <v>512467994</v>
      </c>
      <c r="E104" s="1" t="s">
        <v>429</v>
      </c>
      <c r="F104" s="1" t="s">
        <v>2317</v>
      </c>
      <c r="G104" s="1" t="s">
        <v>2318</v>
      </c>
      <c r="H104" s="1" t="s">
        <v>76</v>
      </c>
      <c r="I104" s="1" t="s">
        <v>73</v>
      </c>
      <c r="J104" s="1" t="s">
        <v>53</v>
      </c>
      <c r="K104" s="1" t="s">
        <v>53</v>
      </c>
      <c r="L104" s="1" t="s">
        <v>821</v>
      </c>
      <c r="M104" s="1" t="s">
        <v>311</v>
      </c>
      <c r="N104" s="1" t="s">
        <v>140</v>
      </c>
      <c r="O104" s="1" t="s">
        <v>62</v>
      </c>
      <c r="P104" s="1" t="s">
        <v>1206</v>
      </c>
      <c r="Q104" s="67">
        <v>36732</v>
      </c>
      <c r="R104" s="67">
        <v>1</v>
      </c>
      <c r="S104" s="67">
        <v>8930</v>
      </c>
      <c r="T104" s="67">
        <v>0</v>
      </c>
      <c r="U104" s="67">
        <v>3280.1676000000002</v>
      </c>
      <c r="V104" s="68">
        <v>1.0139056500000001E-3</v>
      </c>
      <c r="W104" s="68">
        <v>3.9471303272527181E-3</v>
      </c>
      <c r="X104" s="68">
        <v>7.6115381984722666E-4</v>
      </c>
    </row>
    <row r="105" spans="1:24" x14ac:dyDescent="0.25">
      <c r="A105" s="1">
        <v>13908</v>
      </c>
      <c r="B105" s="1">
        <v>13908</v>
      </c>
      <c r="C105" s="1" t="s">
        <v>2319</v>
      </c>
      <c r="D105" s="1">
        <v>513561399</v>
      </c>
      <c r="E105" s="1" t="s">
        <v>429</v>
      </c>
      <c r="F105" s="1" t="s">
        <v>2320</v>
      </c>
      <c r="G105" s="1" t="s">
        <v>2321</v>
      </c>
      <c r="H105" s="1" t="s">
        <v>76</v>
      </c>
      <c r="I105" s="1" t="s">
        <v>73</v>
      </c>
      <c r="J105" s="1" t="s">
        <v>53</v>
      </c>
      <c r="K105" s="1" t="s">
        <v>53</v>
      </c>
      <c r="L105" s="1" t="s">
        <v>821</v>
      </c>
      <c r="M105" s="1" t="s">
        <v>311</v>
      </c>
      <c r="N105" s="1" t="s">
        <v>648</v>
      </c>
      <c r="O105" s="8" t="s">
        <v>55</v>
      </c>
      <c r="P105" s="1" t="s">
        <v>1206</v>
      </c>
      <c r="Q105" s="67">
        <v>165500</v>
      </c>
      <c r="R105" s="67">
        <v>1</v>
      </c>
      <c r="S105" s="67">
        <v>1347</v>
      </c>
      <c r="T105" s="67">
        <v>0</v>
      </c>
      <c r="U105" s="67">
        <v>2229.2849999999999</v>
      </c>
      <c r="V105" s="68">
        <v>1.341110325E-3</v>
      </c>
      <c r="W105" s="68">
        <v>2.6825697661270642E-3</v>
      </c>
      <c r="X105" s="68">
        <v>5.1729941887058582E-4</v>
      </c>
    </row>
    <row r="106" spans="1:24" x14ac:dyDescent="0.25">
      <c r="A106" s="1">
        <v>13908</v>
      </c>
      <c r="B106" s="1">
        <v>13908</v>
      </c>
      <c r="C106" s="1" t="s">
        <v>2322</v>
      </c>
      <c r="D106" s="1">
        <v>514160530</v>
      </c>
      <c r="E106" s="1" t="s">
        <v>429</v>
      </c>
      <c r="F106" s="1" t="s">
        <v>2323</v>
      </c>
      <c r="G106" s="1" t="s">
        <v>2324</v>
      </c>
      <c r="H106" s="1" t="s">
        <v>76</v>
      </c>
      <c r="I106" s="1" t="s">
        <v>73</v>
      </c>
      <c r="J106" s="1" t="s">
        <v>53</v>
      </c>
      <c r="K106" s="1" t="s">
        <v>53</v>
      </c>
      <c r="L106" s="1" t="s">
        <v>821</v>
      </c>
      <c r="M106" s="1" t="s">
        <v>311</v>
      </c>
      <c r="N106" s="1" t="s">
        <v>263</v>
      </c>
      <c r="O106" s="8" t="s">
        <v>55</v>
      </c>
      <c r="P106" s="1" t="s">
        <v>1206</v>
      </c>
      <c r="Q106" s="67">
        <v>1000000</v>
      </c>
      <c r="R106" s="67">
        <v>1</v>
      </c>
      <c r="S106" s="67">
        <v>134.1</v>
      </c>
      <c r="T106" s="67">
        <v>0</v>
      </c>
      <c r="U106" s="67">
        <v>1341</v>
      </c>
      <c r="V106" s="68">
        <v>2.436273356E-3</v>
      </c>
      <c r="W106" s="68">
        <v>1.6136680847789284E-3</v>
      </c>
      <c r="X106" s="68">
        <v>3.1117534128900331E-4</v>
      </c>
    </row>
    <row r="107" spans="1:24" x14ac:dyDescent="0.25">
      <c r="A107" s="1">
        <v>13908</v>
      </c>
      <c r="B107" s="1">
        <v>13908</v>
      </c>
      <c r="C107" s="1" t="s">
        <v>2322</v>
      </c>
      <c r="D107" s="1">
        <v>514160530</v>
      </c>
      <c r="E107" s="1" t="s">
        <v>429</v>
      </c>
      <c r="F107" s="1" t="s">
        <v>2325</v>
      </c>
      <c r="G107" s="1" t="s">
        <v>2324</v>
      </c>
      <c r="H107" s="1" t="s">
        <v>76</v>
      </c>
      <c r="I107" s="1" t="s">
        <v>73</v>
      </c>
      <c r="J107" s="1" t="s">
        <v>53</v>
      </c>
      <c r="K107" s="1" t="s">
        <v>53</v>
      </c>
      <c r="L107" s="1" t="s">
        <v>54</v>
      </c>
      <c r="M107" s="1" t="s">
        <v>311</v>
      </c>
      <c r="N107" s="1" t="s">
        <v>263</v>
      </c>
      <c r="O107" s="8" t="s">
        <v>55</v>
      </c>
      <c r="P107" s="1" t="s">
        <v>1206</v>
      </c>
      <c r="Q107" s="67">
        <v>303100</v>
      </c>
      <c r="R107" s="67">
        <v>1</v>
      </c>
      <c r="S107" s="67">
        <v>133.3793</v>
      </c>
      <c r="T107" s="67">
        <v>0</v>
      </c>
      <c r="U107" s="67">
        <v>404.27265</v>
      </c>
      <c r="V107" s="68">
        <v>7.3843445399999997E-4</v>
      </c>
      <c r="W107" s="68">
        <v>4.8647417811633264E-4</v>
      </c>
      <c r="X107" s="68">
        <v>9.3810350363579252E-5</v>
      </c>
    </row>
    <row r="108" spans="1:24" x14ac:dyDescent="0.25">
      <c r="A108" s="1">
        <v>13908</v>
      </c>
      <c r="B108" s="1">
        <v>13908</v>
      </c>
      <c r="C108" s="1" t="s">
        <v>2326</v>
      </c>
      <c r="D108" s="1">
        <v>513948216</v>
      </c>
      <c r="E108" s="1" t="s">
        <v>429</v>
      </c>
      <c r="F108" s="1" t="s">
        <v>2327</v>
      </c>
      <c r="G108" s="1" t="s">
        <v>2328</v>
      </c>
      <c r="H108" s="1" t="s">
        <v>76</v>
      </c>
      <c r="I108" s="1" t="s">
        <v>73</v>
      </c>
      <c r="J108" s="1" t="s">
        <v>53</v>
      </c>
      <c r="K108" s="1" t="s">
        <v>53</v>
      </c>
      <c r="L108" s="1" t="s">
        <v>821</v>
      </c>
      <c r="M108" s="1" t="s">
        <v>311</v>
      </c>
      <c r="N108" s="1" t="s">
        <v>140</v>
      </c>
      <c r="O108" s="8" t="s">
        <v>55</v>
      </c>
      <c r="P108" s="1" t="s">
        <v>1206</v>
      </c>
      <c r="Q108" s="67">
        <v>170000</v>
      </c>
      <c r="R108" s="67">
        <v>1</v>
      </c>
      <c r="S108" s="67">
        <v>1595</v>
      </c>
      <c r="T108" s="67">
        <v>0</v>
      </c>
      <c r="U108" s="67">
        <v>2711.5</v>
      </c>
      <c r="V108" s="68">
        <v>3.685939003E-3</v>
      </c>
      <c r="W108" s="68">
        <v>3.262834460759183E-3</v>
      </c>
      <c r="X108" s="68">
        <v>6.2919607599189588E-4</v>
      </c>
    </row>
    <row r="109" spans="1:24" x14ac:dyDescent="0.25">
      <c r="A109" s="1">
        <v>13908</v>
      </c>
      <c r="B109" s="1">
        <v>13908</v>
      </c>
      <c r="C109" s="1" t="s">
        <v>1782</v>
      </c>
      <c r="D109" s="1">
        <v>511605719</v>
      </c>
      <c r="E109" s="1" t="s">
        <v>429</v>
      </c>
      <c r="F109" s="1" t="s">
        <v>2329</v>
      </c>
      <c r="G109" s="1" t="s">
        <v>2330</v>
      </c>
      <c r="H109" s="1" t="s">
        <v>76</v>
      </c>
      <c r="I109" s="1" t="s">
        <v>73</v>
      </c>
      <c r="J109" s="1" t="s">
        <v>53</v>
      </c>
      <c r="K109" s="1" t="s">
        <v>53</v>
      </c>
      <c r="L109" s="1" t="s">
        <v>821</v>
      </c>
      <c r="M109" s="1" t="s">
        <v>311</v>
      </c>
      <c r="N109" s="1" t="s">
        <v>651</v>
      </c>
      <c r="O109" s="8" t="s">
        <v>55</v>
      </c>
      <c r="P109" s="1" t="s">
        <v>1206</v>
      </c>
      <c r="Q109" s="67">
        <v>3300</v>
      </c>
      <c r="R109" s="67">
        <v>1</v>
      </c>
      <c r="S109" s="67">
        <v>1440</v>
      </c>
      <c r="T109" s="67">
        <v>0</v>
      </c>
      <c r="U109" s="67">
        <v>47.52</v>
      </c>
      <c r="V109" s="68">
        <v>4.7187630789277E-5</v>
      </c>
      <c r="W109" s="68">
        <v>5.7182332131763372E-5</v>
      </c>
      <c r="X109" s="68">
        <v>1.1026884577221057E-5</v>
      </c>
    </row>
    <row r="110" spans="1:24" x14ac:dyDescent="0.25">
      <c r="A110" s="1">
        <v>13908</v>
      </c>
      <c r="B110" s="1">
        <v>13908</v>
      </c>
      <c r="C110" s="1" t="s">
        <v>1478</v>
      </c>
      <c r="D110" s="1">
        <v>511996803</v>
      </c>
      <c r="E110" s="1" t="s">
        <v>429</v>
      </c>
      <c r="F110" s="1" t="s">
        <v>2331</v>
      </c>
      <c r="G110" s="1" t="s">
        <v>2332</v>
      </c>
      <c r="H110" s="1" t="s">
        <v>76</v>
      </c>
      <c r="I110" s="1" t="s">
        <v>73</v>
      </c>
      <c r="J110" s="1" t="s">
        <v>53</v>
      </c>
      <c r="K110" s="1" t="s">
        <v>53</v>
      </c>
      <c r="L110" s="1" t="s">
        <v>821</v>
      </c>
      <c r="M110" s="1" t="s">
        <v>311</v>
      </c>
      <c r="N110" s="1" t="s">
        <v>140</v>
      </c>
      <c r="O110" s="1" t="s">
        <v>62</v>
      </c>
      <c r="P110" s="1" t="s">
        <v>1206</v>
      </c>
      <c r="Q110" s="67">
        <v>20000</v>
      </c>
      <c r="R110" s="67">
        <v>1</v>
      </c>
      <c r="S110" s="67">
        <v>4610</v>
      </c>
      <c r="T110" s="67">
        <v>0</v>
      </c>
      <c r="U110" s="67">
        <v>922</v>
      </c>
      <c r="V110" s="68">
        <v>3.1712843999999999E-4</v>
      </c>
      <c r="W110" s="68">
        <v>1.1094720165295839E-3</v>
      </c>
      <c r="X110" s="68">
        <v>2.1394755008833784E-4</v>
      </c>
    </row>
    <row r="111" spans="1:24" x14ac:dyDescent="0.25">
      <c r="A111" s="1">
        <v>13908</v>
      </c>
      <c r="B111" s="1">
        <v>13908</v>
      </c>
      <c r="C111" s="1" t="s">
        <v>2333</v>
      </c>
      <c r="D111" s="1">
        <v>510291750</v>
      </c>
      <c r="E111" s="1" t="s">
        <v>429</v>
      </c>
      <c r="F111" s="1" t="s">
        <v>2334</v>
      </c>
      <c r="G111" s="1" t="s">
        <v>2335</v>
      </c>
      <c r="H111" s="1" t="s">
        <v>76</v>
      </c>
      <c r="I111" s="1" t="s">
        <v>73</v>
      </c>
      <c r="J111" s="1" t="s">
        <v>53</v>
      </c>
      <c r="K111" s="1" t="s">
        <v>53</v>
      </c>
      <c r="L111" s="1" t="s">
        <v>821</v>
      </c>
      <c r="M111" s="1" t="s">
        <v>311</v>
      </c>
      <c r="N111" s="1" t="s">
        <v>258</v>
      </c>
      <c r="O111" s="1" t="s">
        <v>62</v>
      </c>
      <c r="P111" s="1" t="s">
        <v>1206</v>
      </c>
      <c r="Q111" s="67">
        <v>209143</v>
      </c>
      <c r="R111" s="67">
        <v>1</v>
      </c>
      <c r="S111" s="67">
        <v>175</v>
      </c>
      <c r="T111" s="67">
        <v>0</v>
      </c>
      <c r="U111" s="67">
        <v>366.00024999999999</v>
      </c>
      <c r="V111" s="68">
        <v>7.9817458199999997E-4</v>
      </c>
      <c r="W111" s="68">
        <v>4.4041977811044668E-4</v>
      </c>
      <c r="X111" s="68">
        <v>8.492934579091016E-5</v>
      </c>
    </row>
    <row r="112" spans="1:24" x14ac:dyDescent="0.25">
      <c r="A112" s="1">
        <v>13908</v>
      </c>
      <c r="B112" s="1">
        <v>13908</v>
      </c>
      <c r="C112" s="1" t="s">
        <v>1484</v>
      </c>
      <c r="D112" s="1">
        <v>510488190</v>
      </c>
      <c r="E112" s="1" t="s">
        <v>429</v>
      </c>
      <c r="F112" s="1" t="s">
        <v>2336</v>
      </c>
      <c r="G112" s="1" t="s">
        <v>2337</v>
      </c>
      <c r="H112" s="1" t="s">
        <v>76</v>
      </c>
      <c r="I112" s="1" t="s">
        <v>73</v>
      </c>
      <c r="J112" s="1" t="s">
        <v>53</v>
      </c>
      <c r="K112" s="1" t="s">
        <v>53</v>
      </c>
      <c r="L112" s="1" t="s">
        <v>821</v>
      </c>
      <c r="M112" s="1" t="s">
        <v>311</v>
      </c>
      <c r="N112" s="1" t="s">
        <v>140</v>
      </c>
      <c r="O112" s="1" t="s">
        <v>62</v>
      </c>
      <c r="P112" s="1" t="s">
        <v>1206</v>
      </c>
      <c r="Q112" s="67">
        <v>20000</v>
      </c>
      <c r="R112" s="67">
        <v>1</v>
      </c>
      <c r="S112" s="67">
        <v>3759</v>
      </c>
      <c r="T112" s="67">
        <v>0</v>
      </c>
      <c r="U112" s="67">
        <v>751.8</v>
      </c>
      <c r="V112" s="68">
        <v>3.4537234500000002E-4</v>
      </c>
      <c r="W112" s="68">
        <v>9.0466492627650885E-4</v>
      </c>
      <c r="X112" s="68">
        <v>1.744531107987119E-4</v>
      </c>
    </row>
    <row r="113" spans="1:24" x14ac:dyDescent="0.25">
      <c r="A113" s="1">
        <v>13908</v>
      </c>
      <c r="B113" s="1">
        <v>13908</v>
      </c>
      <c r="C113" s="1" t="s">
        <v>1594</v>
      </c>
      <c r="D113" s="1">
        <v>510459928</v>
      </c>
      <c r="E113" s="1" t="s">
        <v>429</v>
      </c>
      <c r="F113" s="1" t="s">
        <v>2338</v>
      </c>
      <c r="G113" s="1" t="s">
        <v>2339</v>
      </c>
      <c r="H113" s="1" t="s">
        <v>76</v>
      </c>
      <c r="I113" s="1" t="s">
        <v>73</v>
      </c>
      <c r="J113" s="1" t="s">
        <v>53</v>
      </c>
      <c r="K113" s="1" t="s">
        <v>53</v>
      </c>
      <c r="L113" s="1" t="s">
        <v>821</v>
      </c>
      <c r="M113" s="1" t="s">
        <v>311</v>
      </c>
      <c r="N113" s="1" t="s">
        <v>156</v>
      </c>
      <c r="O113" s="1" t="s">
        <v>62</v>
      </c>
      <c r="P113" s="1" t="s">
        <v>1206</v>
      </c>
      <c r="Q113" s="67">
        <v>658690</v>
      </c>
      <c r="R113" s="67">
        <v>1</v>
      </c>
      <c r="S113" s="67">
        <v>362.4</v>
      </c>
      <c r="T113" s="67">
        <v>0</v>
      </c>
      <c r="U113" s="67">
        <v>2387.09256</v>
      </c>
      <c r="V113" s="68">
        <v>7.1847690999999995E-4</v>
      </c>
      <c r="W113" s="68">
        <v>2.8724646379457339E-3</v>
      </c>
      <c r="X113" s="68">
        <v>5.5391822673112642E-4</v>
      </c>
    </row>
    <row r="114" spans="1:24" x14ac:dyDescent="0.25">
      <c r="A114" s="1">
        <v>13908</v>
      </c>
      <c r="B114" s="1">
        <v>13908</v>
      </c>
      <c r="C114" s="1" t="s">
        <v>1610</v>
      </c>
      <c r="D114" s="1">
        <v>513775163</v>
      </c>
      <c r="E114" s="1" t="s">
        <v>429</v>
      </c>
      <c r="F114" s="1" t="s">
        <v>2340</v>
      </c>
      <c r="G114" s="1" t="s">
        <v>2341</v>
      </c>
      <c r="H114" s="1" t="s">
        <v>76</v>
      </c>
      <c r="I114" s="1" t="s">
        <v>73</v>
      </c>
      <c r="J114" s="1" t="s">
        <v>53</v>
      </c>
      <c r="K114" s="1" t="s">
        <v>53</v>
      </c>
      <c r="L114" s="1" t="s">
        <v>821</v>
      </c>
      <c r="M114" s="1" t="s">
        <v>311</v>
      </c>
      <c r="N114" s="1" t="s">
        <v>156</v>
      </c>
      <c r="O114" s="8" t="s">
        <v>55</v>
      </c>
      <c r="P114" s="1" t="s">
        <v>1206</v>
      </c>
      <c r="Q114" s="67">
        <v>2741</v>
      </c>
      <c r="R114" s="67">
        <v>1</v>
      </c>
      <c r="S114" s="67">
        <v>5900</v>
      </c>
      <c r="T114" s="67">
        <v>0</v>
      </c>
      <c r="U114" s="67">
        <v>161.71899999999999</v>
      </c>
      <c r="V114" s="68">
        <v>2.19388588E-4</v>
      </c>
      <c r="W114" s="68">
        <v>1.9460163236567003E-4</v>
      </c>
      <c r="X114" s="68">
        <v>3.752644669494133E-5</v>
      </c>
    </row>
    <row r="115" spans="1:24" x14ac:dyDescent="0.25">
      <c r="A115" s="1">
        <v>13908</v>
      </c>
      <c r="B115" s="1">
        <v>13908</v>
      </c>
      <c r="C115" s="1" t="s">
        <v>1645</v>
      </c>
      <c r="D115" s="1">
        <v>24310225</v>
      </c>
      <c r="E115" s="1" t="s">
        <v>430</v>
      </c>
      <c r="F115" s="1" t="s">
        <v>2342</v>
      </c>
      <c r="G115" s="1" t="s">
        <v>2343</v>
      </c>
      <c r="H115" s="1" t="s">
        <v>76</v>
      </c>
      <c r="I115" s="1" t="s">
        <v>73</v>
      </c>
      <c r="J115" s="1" t="s">
        <v>53</v>
      </c>
      <c r="K115" s="1" t="s">
        <v>53</v>
      </c>
      <c r="L115" s="1" t="s">
        <v>821</v>
      </c>
      <c r="M115" s="1" t="s">
        <v>311</v>
      </c>
      <c r="N115" s="1" t="s">
        <v>140</v>
      </c>
      <c r="O115" s="1" t="s">
        <v>62</v>
      </c>
      <c r="P115" s="1" t="s">
        <v>1206</v>
      </c>
      <c r="Q115" s="67">
        <v>277714</v>
      </c>
      <c r="R115" s="67">
        <v>1</v>
      </c>
      <c r="S115" s="67">
        <v>2500</v>
      </c>
      <c r="T115" s="67">
        <v>0</v>
      </c>
      <c r="U115" s="67">
        <v>6942.85</v>
      </c>
      <c r="V115" s="68">
        <v>4.4123573330000004E-3</v>
      </c>
      <c r="W115" s="68">
        <v>8.3545529175297426E-3</v>
      </c>
      <c r="X115" s="68">
        <v>1.6110691411397142E-3</v>
      </c>
    </row>
    <row r="116" spans="1:24" x14ac:dyDescent="0.25">
      <c r="A116" s="1">
        <v>13908</v>
      </c>
      <c r="B116" s="1">
        <v>13908</v>
      </c>
      <c r="C116" s="1" t="s">
        <v>2344</v>
      </c>
      <c r="D116" s="1">
        <v>516854239</v>
      </c>
      <c r="E116" s="1" t="s">
        <v>429</v>
      </c>
      <c r="F116" s="1" t="s">
        <v>2345</v>
      </c>
      <c r="G116" s="1" t="s">
        <v>2346</v>
      </c>
      <c r="H116" s="1" t="s">
        <v>76</v>
      </c>
      <c r="I116" s="1" t="s">
        <v>73</v>
      </c>
      <c r="J116" s="1" t="s">
        <v>53</v>
      </c>
      <c r="K116" s="1" t="s">
        <v>53</v>
      </c>
      <c r="L116" s="1" t="s">
        <v>821</v>
      </c>
      <c r="M116" s="1" t="s">
        <v>311</v>
      </c>
      <c r="N116" s="1" t="s">
        <v>257</v>
      </c>
      <c r="O116" s="8" t="s">
        <v>55</v>
      </c>
      <c r="P116" s="1" t="s">
        <v>1206</v>
      </c>
      <c r="Q116" s="67">
        <v>240000</v>
      </c>
      <c r="R116" s="67">
        <v>1</v>
      </c>
      <c r="S116" s="67">
        <v>2123</v>
      </c>
      <c r="T116" s="67">
        <v>0</v>
      </c>
      <c r="U116" s="67">
        <v>5095.2</v>
      </c>
      <c r="V116" s="68">
        <v>5.4364749819999997E-3</v>
      </c>
      <c r="W116" s="68">
        <v>6.1312167230168496E-3</v>
      </c>
      <c r="X116" s="68">
        <v>1.182327068557591E-3</v>
      </c>
    </row>
    <row r="117" spans="1:24" x14ac:dyDescent="0.25">
      <c r="A117" s="1">
        <v>13908</v>
      </c>
      <c r="B117" s="1">
        <v>13908</v>
      </c>
      <c r="C117" s="1" t="s">
        <v>2347</v>
      </c>
      <c r="D117" s="1">
        <v>512951518</v>
      </c>
      <c r="E117" s="1" t="s">
        <v>429</v>
      </c>
      <c r="F117" s="1" t="s">
        <v>2348</v>
      </c>
      <c r="G117" s="1" t="s">
        <v>2349</v>
      </c>
      <c r="H117" s="1" t="s">
        <v>76</v>
      </c>
      <c r="I117" s="1" t="s">
        <v>73</v>
      </c>
      <c r="J117" s="1" t="s">
        <v>53</v>
      </c>
      <c r="K117" s="1" t="s">
        <v>53</v>
      </c>
      <c r="L117" s="1" t="s">
        <v>821</v>
      </c>
      <c r="M117" s="1" t="s">
        <v>311</v>
      </c>
      <c r="N117" s="1" t="s">
        <v>140</v>
      </c>
      <c r="O117" s="8" t="s">
        <v>55</v>
      </c>
      <c r="P117" s="1" t="s">
        <v>1206</v>
      </c>
      <c r="Q117" s="67">
        <v>10000</v>
      </c>
      <c r="R117" s="67">
        <v>1</v>
      </c>
      <c r="S117" s="67">
        <v>939.1</v>
      </c>
      <c r="T117" s="67">
        <v>0</v>
      </c>
      <c r="U117" s="67">
        <v>93.91</v>
      </c>
      <c r="V117" s="68">
        <v>1.98141315E-4</v>
      </c>
      <c r="W117" s="68">
        <v>1.1300489921073017E-4</v>
      </c>
      <c r="X117" s="68">
        <v>2.1791555779604995E-5</v>
      </c>
    </row>
    <row r="118" spans="1:24" x14ac:dyDescent="0.25">
      <c r="A118" s="1">
        <v>13908</v>
      </c>
      <c r="B118" s="1">
        <v>13908</v>
      </c>
      <c r="C118" s="1" t="s">
        <v>2350</v>
      </c>
      <c r="D118" s="1">
        <v>510542855</v>
      </c>
      <c r="E118" s="1" t="s">
        <v>429</v>
      </c>
      <c r="F118" s="1" t="s">
        <v>2351</v>
      </c>
      <c r="G118" s="1" t="s">
        <v>2352</v>
      </c>
      <c r="H118" s="1" t="s">
        <v>76</v>
      </c>
      <c r="I118" s="1" t="s">
        <v>73</v>
      </c>
      <c r="J118" s="1" t="s">
        <v>53</v>
      </c>
      <c r="K118" s="1" t="s">
        <v>53</v>
      </c>
      <c r="L118" s="1" t="s">
        <v>821</v>
      </c>
      <c r="M118" s="1" t="s">
        <v>311</v>
      </c>
      <c r="N118" s="1" t="s">
        <v>140</v>
      </c>
      <c r="O118" s="8" t="s">
        <v>55</v>
      </c>
      <c r="P118" s="1" t="s">
        <v>1206</v>
      </c>
      <c r="Q118" s="67">
        <v>110000</v>
      </c>
      <c r="R118" s="67">
        <v>1</v>
      </c>
      <c r="S118" s="67">
        <v>880.9</v>
      </c>
      <c r="T118" s="67">
        <v>0</v>
      </c>
      <c r="U118" s="67">
        <v>968.99</v>
      </c>
      <c r="V118" s="68">
        <v>8.4507059499999997E-4</v>
      </c>
      <c r="W118" s="68">
        <v>1.1660165827516286E-3</v>
      </c>
      <c r="X118" s="68">
        <v>2.2485144963134326E-4</v>
      </c>
    </row>
    <row r="119" spans="1:24" x14ac:dyDescent="0.25">
      <c r="A119" s="1">
        <v>13908</v>
      </c>
      <c r="B119" s="1">
        <v>13908</v>
      </c>
      <c r="C119" s="1" t="s">
        <v>2353</v>
      </c>
      <c r="D119" s="1">
        <v>515135408</v>
      </c>
      <c r="E119" s="1" t="s">
        <v>429</v>
      </c>
      <c r="F119" s="1" t="s">
        <v>2354</v>
      </c>
      <c r="G119" s="1" t="s">
        <v>2355</v>
      </c>
      <c r="H119" s="1" t="s">
        <v>76</v>
      </c>
      <c r="I119" s="1" t="s">
        <v>73</v>
      </c>
      <c r="J119" s="1" t="s">
        <v>53</v>
      </c>
      <c r="K119" s="1" t="s">
        <v>53</v>
      </c>
      <c r="L119" s="1" t="s">
        <v>821</v>
      </c>
      <c r="M119" s="1" t="s">
        <v>311</v>
      </c>
      <c r="N119" s="1" t="s">
        <v>650</v>
      </c>
      <c r="O119" s="8" t="s">
        <v>55</v>
      </c>
      <c r="P119" s="1" t="s">
        <v>1206</v>
      </c>
      <c r="Q119" s="67">
        <v>850000</v>
      </c>
      <c r="R119" s="67">
        <v>1</v>
      </c>
      <c r="S119" s="67">
        <v>863.7</v>
      </c>
      <c r="T119" s="67">
        <v>0</v>
      </c>
      <c r="U119" s="67">
        <v>7341.45</v>
      </c>
      <c r="V119" s="68">
        <v>6.0178056240000003E-3</v>
      </c>
      <c r="W119" s="68">
        <v>8.8342010149144393E-3</v>
      </c>
      <c r="X119" s="68">
        <v>1.7035631687592491E-3</v>
      </c>
    </row>
    <row r="120" spans="1:24" x14ac:dyDescent="0.25">
      <c r="A120" s="1">
        <v>13908</v>
      </c>
      <c r="B120" s="1">
        <v>13908</v>
      </c>
      <c r="C120" s="1" t="s">
        <v>2356</v>
      </c>
      <c r="D120" s="1">
        <v>510531775</v>
      </c>
      <c r="E120" s="1" t="s">
        <v>429</v>
      </c>
      <c r="F120" s="1" t="s">
        <v>2357</v>
      </c>
      <c r="G120" s="1" t="s">
        <v>2358</v>
      </c>
      <c r="H120" s="1" t="s">
        <v>76</v>
      </c>
      <c r="I120" s="1" t="s">
        <v>73</v>
      </c>
      <c r="J120" s="1" t="s">
        <v>53</v>
      </c>
      <c r="K120" s="1" t="s">
        <v>53</v>
      </c>
      <c r="L120" s="1" t="s">
        <v>821</v>
      </c>
      <c r="M120" s="1" t="s">
        <v>311</v>
      </c>
      <c r="N120" s="1" t="s">
        <v>651</v>
      </c>
      <c r="O120" s="1" t="s">
        <v>62</v>
      </c>
      <c r="P120" s="1" t="s">
        <v>1206</v>
      </c>
      <c r="Q120" s="67">
        <v>23725</v>
      </c>
      <c r="R120" s="67">
        <v>1</v>
      </c>
      <c r="S120" s="67">
        <v>4310</v>
      </c>
      <c r="T120" s="67">
        <v>0</v>
      </c>
      <c r="U120" s="67">
        <v>1022.5475</v>
      </c>
      <c r="V120" s="68">
        <v>1.6324787649999999E-3</v>
      </c>
      <c r="W120" s="68">
        <v>1.2304640312606125E-3</v>
      </c>
      <c r="X120" s="68">
        <v>2.3727931938606793E-4</v>
      </c>
    </row>
    <row r="121" spans="1:24" x14ac:dyDescent="0.25">
      <c r="A121" s="1">
        <v>13908</v>
      </c>
      <c r="B121" s="1">
        <v>13908</v>
      </c>
      <c r="C121" s="1" t="s">
        <v>2359</v>
      </c>
      <c r="D121" s="1">
        <v>511295412</v>
      </c>
      <c r="E121" s="1" t="s">
        <v>429</v>
      </c>
      <c r="F121" s="1" t="s">
        <v>2360</v>
      </c>
      <c r="G121" s="1" t="s">
        <v>2361</v>
      </c>
      <c r="H121" s="1" t="s">
        <v>76</v>
      </c>
      <c r="I121" s="1" t="s">
        <v>73</v>
      </c>
      <c r="J121" s="1" t="s">
        <v>53</v>
      </c>
      <c r="K121" s="1" t="s">
        <v>53</v>
      </c>
      <c r="L121" s="1" t="s">
        <v>821</v>
      </c>
      <c r="M121" s="1" t="s">
        <v>311</v>
      </c>
      <c r="N121" s="1" t="s">
        <v>258</v>
      </c>
      <c r="O121" s="8" t="s">
        <v>55</v>
      </c>
      <c r="P121" s="1" t="s">
        <v>1206</v>
      </c>
      <c r="Q121" s="67">
        <v>826787</v>
      </c>
      <c r="R121" s="67">
        <v>1</v>
      </c>
      <c r="S121" s="67">
        <v>1993</v>
      </c>
      <c r="T121" s="67">
        <v>0</v>
      </c>
      <c r="U121" s="67">
        <v>16477.86491</v>
      </c>
      <c r="V121" s="68">
        <v>5.9056214279999998E-3</v>
      </c>
      <c r="W121" s="68">
        <v>1.9828340574620143E-2</v>
      </c>
      <c r="X121" s="68">
        <v>3.8236429806736329E-3</v>
      </c>
    </row>
    <row r="122" spans="1:24" x14ac:dyDescent="0.25">
      <c r="A122" s="1">
        <v>13908</v>
      </c>
      <c r="B122" s="1">
        <v>13908</v>
      </c>
      <c r="C122" s="1" t="s">
        <v>2362</v>
      </c>
      <c r="D122" s="1">
        <v>520037573</v>
      </c>
      <c r="E122" s="1" t="s">
        <v>429</v>
      </c>
      <c r="F122" s="1" t="s">
        <v>2363</v>
      </c>
      <c r="G122" s="1" t="s">
        <v>2364</v>
      </c>
      <c r="H122" s="1" t="s">
        <v>76</v>
      </c>
      <c r="I122" s="1" t="s">
        <v>73</v>
      </c>
      <c r="J122" s="1" t="s">
        <v>53</v>
      </c>
      <c r="K122" s="1" t="s">
        <v>53</v>
      </c>
      <c r="L122" s="1" t="s">
        <v>821</v>
      </c>
      <c r="M122" s="1" t="s">
        <v>311</v>
      </c>
      <c r="N122" s="1" t="s">
        <v>261</v>
      </c>
      <c r="O122" s="1" t="s">
        <v>62</v>
      </c>
      <c r="P122" s="1" t="s">
        <v>1206</v>
      </c>
      <c r="Q122" s="67">
        <v>31200</v>
      </c>
      <c r="R122" s="67">
        <v>1</v>
      </c>
      <c r="S122" s="67">
        <v>2034</v>
      </c>
      <c r="T122" s="67">
        <v>0</v>
      </c>
      <c r="U122" s="67">
        <v>634.60799999999995</v>
      </c>
      <c r="V122" s="68">
        <v>5.3115823500000004E-4</v>
      </c>
      <c r="W122" s="68">
        <v>7.6364405365054891E-4</v>
      </c>
      <c r="X122" s="68">
        <v>1.4725903130852482E-4</v>
      </c>
    </row>
    <row r="123" spans="1:24" x14ac:dyDescent="0.25">
      <c r="A123" s="1">
        <v>13908</v>
      </c>
      <c r="B123" s="1">
        <v>13908</v>
      </c>
      <c r="C123" s="1" t="s">
        <v>2365</v>
      </c>
      <c r="D123" s="1">
        <v>520036658</v>
      </c>
      <c r="E123" s="1" t="s">
        <v>429</v>
      </c>
      <c r="F123" s="1" t="s">
        <v>2366</v>
      </c>
      <c r="G123" s="1" t="s">
        <v>2367</v>
      </c>
      <c r="H123" s="1" t="s">
        <v>76</v>
      </c>
      <c r="I123" s="1" t="s">
        <v>73</v>
      </c>
      <c r="J123" s="1" t="s">
        <v>53</v>
      </c>
      <c r="K123" s="1" t="s">
        <v>53</v>
      </c>
      <c r="L123" s="1" t="s">
        <v>821</v>
      </c>
      <c r="M123" s="1" t="s">
        <v>311</v>
      </c>
      <c r="N123" s="1" t="s">
        <v>156</v>
      </c>
      <c r="O123" s="1" t="s">
        <v>62</v>
      </c>
      <c r="P123" s="1" t="s">
        <v>1206</v>
      </c>
      <c r="Q123" s="67">
        <v>58572</v>
      </c>
      <c r="R123" s="67">
        <v>1</v>
      </c>
      <c r="S123" s="67">
        <v>99.1</v>
      </c>
      <c r="T123" s="67">
        <v>0</v>
      </c>
      <c r="U123" s="67">
        <v>58.044849999999997</v>
      </c>
      <c r="V123" s="68">
        <v>1.8828413691262998E-5</v>
      </c>
      <c r="W123" s="68">
        <v>6.9847219933467689E-5</v>
      </c>
      <c r="X123" s="68">
        <v>1.3469146911870992E-5</v>
      </c>
    </row>
    <row r="124" spans="1:24" x14ac:dyDescent="0.25">
      <c r="A124" s="1">
        <v>13908</v>
      </c>
      <c r="B124" s="1">
        <v>13908</v>
      </c>
      <c r="C124" s="1" t="s">
        <v>2368</v>
      </c>
      <c r="D124" s="1">
        <v>5493000</v>
      </c>
      <c r="E124" s="1" t="s">
        <v>430</v>
      </c>
      <c r="F124" s="1" t="s">
        <v>2368</v>
      </c>
      <c r="G124" s="1" t="s">
        <v>2369</v>
      </c>
      <c r="H124" s="1" t="s">
        <v>76</v>
      </c>
      <c r="I124" s="1" t="s">
        <v>73</v>
      </c>
      <c r="J124" s="1" t="s">
        <v>61</v>
      </c>
      <c r="K124" s="1" t="s">
        <v>314</v>
      </c>
      <c r="L124" s="1" t="s">
        <v>821</v>
      </c>
      <c r="M124" s="1" t="s">
        <v>479</v>
      </c>
      <c r="N124" s="1" t="s">
        <v>202</v>
      </c>
      <c r="O124" s="1" t="s">
        <v>62</v>
      </c>
      <c r="P124" s="1" t="s">
        <v>1207</v>
      </c>
      <c r="Q124" s="67">
        <v>5000</v>
      </c>
      <c r="R124" s="67">
        <v>3.19</v>
      </c>
      <c r="S124" s="67">
        <v>2885</v>
      </c>
      <c r="T124" s="67">
        <v>0</v>
      </c>
      <c r="U124" s="67">
        <v>460.15750000000003</v>
      </c>
      <c r="V124" s="68">
        <v>8.3611968825912897E-5</v>
      </c>
      <c r="W124" s="68">
        <v>5.5372220113472019E-4</v>
      </c>
      <c r="X124" s="68">
        <v>1.0677827524921293E-4</v>
      </c>
    </row>
    <row r="125" spans="1:24" x14ac:dyDescent="0.25">
      <c r="A125" s="1">
        <v>13908</v>
      </c>
      <c r="B125" s="1">
        <v>13908</v>
      </c>
      <c r="C125" s="1" t="s">
        <v>2370</v>
      </c>
      <c r="D125" s="1">
        <v>70769793</v>
      </c>
      <c r="E125" s="1" t="s">
        <v>430</v>
      </c>
      <c r="F125" s="1" t="s">
        <v>2370</v>
      </c>
      <c r="G125" s="1" t="s">
        <v>2371</v>
      </c>
      <c r="H125" s="1" t="s">
        <v>76</v>
      </c>
      <c r="I125" s="1" t="s">
        <v>73</v>
      </c>
      <c r="J125" s="1" t="s">
        <v>61</v>
      </c>
      <c r="K125" s="1" t="s">
        <v>314</v>
      </c>
      <c r="L125" s="1" t="s">
        <v>821</v>
      </c>
      <c r="M125" s="1" t="s">
        <v>479</v>
      </c>
      <c r="N125" s="1" t="s">
        <v>1150</v>
      </c>
      <c r="O125" s="1" t="s">
        <v>62</v>
      </c>
      <c r="P125" s="1" t="s">
        <v>1207</v>
      </c>
      <c r="Q125" s="67">
        <v>1900</v>
      </c>
      <c r="R125" s="67">
        <v>3.19</v>
      </c>
      <c r="S125" s="67">
        <v>4018</v>
      </c>
      <c r="T125" s="67">
        <v>0</v>
      </c>
      <c r="U125" s="67">
        <v>243.53098</v>
      </c>
      <c r="V125" s="68">
        <v>4.29075114363761E-5</v>
      </c>
      <c r="W125" s="68">
        <v>2.9304859812150297E-4</v>
      </c>
      <c r="X125" s="68">
        <v>5.6510690392203902E-5</v>
      </c>
    </row>
    <row r="126" spans="1:24" x14ac:dyDescent="0.25">
      <c r="A126" s="1">
        <v>13908</v>
      </c>
      <c r="B126" s="1">
        <v>13908</v>
      </c>
      <c r="C126" s="1" t="s">
        <v>2372</v>
      </c>
      <c r="D126" s="1">
        <v>70769793</v>
      </c>
      <c r="E126" s="1" t="s">
        <v>430</v>
      </c>
      <c r="F126" s="1" t="s">
        <v>2372</v>
      </c>
      <c r="G126" s="1" t="s">
        <v>2371</v>
      </c>
      <c r="H126" s="1" t="s">
        <v>76</v>
      </c>
      <c r="I126" s="1" t="s">
        <v>73</v>
      </c>
      <c r="J126" s="1" t="s">
        <v>61</v>
      </c>
      <c r="K126" s="1" t="s">
        <v>53</v>
      </c>
      <c r="L126" s="1" t="s">
        <v>821</v>
      </c>
      <c r="M126" s="1" t="s">
        <v>479</v>
      </c>
      <c r="N126" s="1" t="s">
        <v>915</v>
      </c>
      <c r="O126" s="1" t="s">
        <v>62</v>
      </c>
      <c r="P126" s="1" t="s">
        <v>1207</v>
      </c>
      <c r="Q126" s="67">
        <v>5542.55</v>
      </c>
      <c r="R126" s="67">
        <v>3.19</v>
      </c>
      <c r="S126" s="67">
        <v>4018</v>
      </c>
      <c r="T126" s="67">
        <v>0</v>
      </c>
      <c r="U126" s="67">
        <v>710.41191000000003</v>
      </c>
      <c r="V126" s="68">
        <v>0</v>
      </c>
      <c r="W126" s="68">
        <v>8.5486131708712939E-4</v>
      </c>
      <c r="X126" s="68">
        <v>1.6484911897839127E-4</v>
      </c>
    </row>
    <row r="127" spans="1:24" x14ac:dyDescent="0.25">
      <c r="A127" s="1">
        <v>13908</v>
      </c>
      <c r="B127" s="1">
        <v>13908</v>
      </c>
      <c r="C127" s="1" t="s">
        <v>2373</v>
      </c>
      <c r="D127" s="1">
        <v>21380089</v>
      </c>
      <c r="E127" s="1" t="s">
        <v>430</v>
      </c>
      <c r="F127" s="1" t="s">
        <v>2373</v>
      </c>
      <c r="G127" s="1" t="s">
        <v>2374</v>
      </c>
      <c r="H127" s="1" t="s">
        <v>76</v>
      </c>
      <c r="I127" s="1" t="s">
        <v>73</v>
      </c>
      <c r="J127" s="1" t="s">
        <v>61</v>
      </c>
      <c r="K127" s="1" t="s">
        <v>53</v>
      </c>
      <c r="L127" s="1" t="s">
        <v>821</v>
      </c>
      <c r="M127" s="1" t="s">
        <v>476</v>
      </c>
      <c r="N127" s="1" t="s">
        <v>894</v>
      </c>
      <c r="O127" s="1" t="s">
        <v>62</v>
      </c>
      <c r="P127" s="1" t="s">
        <v>1207</v>
      </c>
      <c r="Q127" s="67">
        <v>105205</v>
      </c>
      <c r="R127" s="67">
        <v>3.19</v>
      </c>
      <c r="S127" s="67">
        <v>2123</v>
      </c>
      <c r="T127" s="67">
        <v>0</v>
      </c>
      <c r="U127" s="67">
        <v>7124.8718600000002</v>
      </c>
      <c r="V127" s="68">
        <v>8.73378505E-4</v>
      </c>
      <c r="W127" s="68">
        <v>8.5735856290987938E-3</v>
      </c>
      <c r="X127" s="68">
        <v>1.6533068103474391E-3</v>
      </c>
    </row>
    <row r="128" spans="1:24" x14ac:dyDescent="0.25">
      <c r="A128" s="1">
        <v>13908</v>
      </c>
      <c r="B128" s="1">
        <v>13908</v>
      </c>
      <c r="C128" s="1" t="s">
        <v>2375</v>
      </c>
      <c r="D128" s="1">
        <v>1729029</v>
      </c>
      <c r="E128" s="1" t="s">
        <v>430</v>
      </c>
      <c r="F128" s="1" t="s">
        <v>2375</v>
      </c>
      <c r="G128" s="1" t="s">
        <v>2376</v>
      </c>
      <c r="H128" s="1" t="s">
        <v>76</v>
      </c>
      <c r="I128" s="1" t="s">
        <v>73</v>
      </c>
      <c r="J128" s="1" t="s">
        <v>61</v>
      </c>
      <c r="K128" s="1" t="s">
        <v>209</v>
      </c>
      <c r="L128" s="1" t="s">
        <v>821</v>
      </c>
      <c r="M128" s="1" t="s">
        <v>501</v>
      </c>
      <c r="N128" s="1" t="s">
        <v>907</v>
      </c>
      <c r="O128" s="1" t="s">
        <v>62</v>
      </c>
      <c r="P128" s="1" t="s">
        <v>1208</v>
      </c>
      <c r="Q128" s="67">
        <v>25000</v>
      </c>
      <c r="R128" s="67">
        <v>4.0213000000000001</v>
      </c>
      <c r="S128" s="67">
        <v>118</v>
      </c>
      <c r="T128" s="67">
        <v>0</v>
      </c>
      <c r="U128" s="67">
        <v>118.62835</v>
      </c>
      <c r="V128" s="68">
        <v>6.7458274200000003E-4</v>
      </c>
      <c r="W128" s="68">
        <v>1.4274927840789292E-4</v>
      </c>
      <c r="X128" s="68">
        <v>2.7527380535273179E-5</v>
      </c>
    </row>
    <row r="129" spans="1:24" x14ac:dyDescent="0.25">
      <c r="A129" s="1">
        <v>13908</v>
      </c>
      <c r="B129" s="1">
        <v>13908</v>
      </c>
      <c r="C129" s="1" t="s">
        <v>2377</v>
      </c>
      <c r="D129" s="1">
        <v>66296534</v>
      </c>
      <c r="E129" s="1" t="s">
        <v>430</v>
      </c>
      <c r="F129" s="1" t="s">
        <v>2377</v>
      </c>
      <c r="G129" s="1" t="s">
        <v>2378</v>
      </c>
      <c r="H129" s="1" t="s">
        <v>76</v>
      </c>
      <c r="I129" s="1" t="s">
        <v>73</v>
      </c>
      <c r="J129" s="1" t="s">
        <v>61</v>
      </c>
      <c r="K129" s="1" t="s">
        <v>53</v>
      </c>
      <c r="L129" s="1" t="s">
        <v>821</v>
      </c>
      <c r="M129" s="1" t="s">
        <v>494</v>
      </c>
      <c r="N129" s="1" t="s">
        <v>878</v>
      </c>
      <c r="O129" s="1" t="s">
        <v>62</v>
      </c>
      <c r="P129" s="1" t="s">
        <v>1209</v>
      </c>
      <c r="Q129" s="67">
        <v>770255</v>
      </c>
      <c r="R129" s="67">
        <v>4.29</v>
      </c>
      <c r="S129" s="67">
        <v>165.8</v>
      </c>
      <c r="T129" s="67">
        <v>0</v>
      </c>
      <c r="U129" s="67">
        <v>5478.6851699999997</v>
      </c>
      <c r="V129" s="68">
        <v>4.6576760199999999E-4</v>
      </c>
      <c r="W129" s="68">
        <v>6.592676663221937E-3</v>
      </c>
      <c r="X129" s="68">
        <v>1.2713137416776666E-3</v>
      </c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 O26:O27 O32 O44:O45 O48 O50:O51 O56 O58 O65 O67:O69 O73 O75:O76 O79 O82 O85 O87 O91 O94:O97 O100 O103 O105:O109 O114 O116:O119 O121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Z10000"/>
  <sheetViews>
    <sheetView rightToLeft="1" zoomScale="40" zoomScaleNormal="40" workbookViewId="0">
      <selection activeCell="A2" sqref="A2:W16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26.3984375" style="1" bestFit="1" customWidth="1"/>
    <col min="4" max="4" width="11.5" style="1" customWidth="1"/>
    <col min="5" max="5" width="18.296875" style="1" customWidth="1"/>
    <col min="6" max="6" width="35" style="1" bestFit="1" customWidth="1"/>
    <col min="7" max="7" width="15.3984375" style="1" bestFit="1" customWidth="1"/>
    <col min="8" max="8" width="15.796875" style="1" customWidth="1"/>
    <col min="9" max="9" width="28.19921875" style="1" bestFit="1" customWidth="1"/>
    <col min="10" max="10" width="10.5" style="1" customWidth="1"/>
    <col min="11" max="11" width="19.5" style="1" customWidth="1"/>
    <col min="12" max="12" width="10.796875" style="1" customWidth="1"/>
    <col min="13" max="13" width="55.69921875" style="1" bestFit="1" customWidth="1"/>
    <col min="14" max="14" width="15.296875" style="1" customWidth="1"/>
    <col min="15" max="15" width="12" style="1" customWidth="1"/>
    <col min="16" max="16" width="15.3984375" style="1" bestFit="1" customWidth="1"/>
    <col min="17" max="17" width="10.296875" style="1" customWidth="1"/>
    <col min="18" max="18" width="13.5" style="1" customWidth="1"/>
    <col min="19" max="19" width="22.5" style="1" customWidth="1"/>
    <col min="20" max="20" width="16.796875" style="1" customWidth="1"/>
    <col min="21" max="21" width="19.296875" style="1" customWidth="1"/>
    <col min="22" max="22" width="21.5" style="1" customWidth="1"/>
    <col min="23" max="23" width="20.296875" style="1" customWidth="1"/>
    <col min="24" max="24" width="11.69921875" style="1" customWidth="1"/>
    <col min="25" max="16384" width="9" style="1"/>
  </cols>
  <sheetData>
    <row r="1" spans="1:23" ht="66.75" customHeight="1" x14ac:dyDescent="0.25">
      <c r="A1" s="139" t="s">
        <v>667</v>
      </c>
      <c r="B1" s="139" t="s">
        <v>0</v>
      </c>
      <c r="C1" s="139" t="s">
        <v>740</v>
      </c>
      <c r="D1" s="139" t="s">
        <v>2</v>
      </c>
      <c r="E1" s="139" t="s">
        <v>756</v>
      </c>
      <c r="F1" s="139" t="s">
        <v>1154</v>
      </c>
      <c r="G1" s="139" t="s">
        <v>29</v>
      </c>
      <c r="H1" s="139" t="s">
        <v>28</v>
      </c>
      <c r="I1" s="139" t="s">
        <v>1</v>
      </c>
      <c r="J1" s="139" t="s">
        <v>620</v>
      </c>
      <c r="K1" s="139" t="s">
        <v>621</v>
      </c>
      <c r="L1" s="139" t="s">
        <v>5</v>
      </c>
      <c r="M1" s="139" t="s">
        <v>300</v>
      </c>
      <c r="N1" s="139" t="s">
        <v>622</v>
      </c>
      <c r="O1" s="139" t="s">
        <v>396</v>
      </c>
      <c r="P1" s="139" t="s">
        <v>789</v>
      </c>
      <c r="Q1" s="139" t="s">
        <v>11</v>
      </c>
      <c r="R1" s="139" t="s">
        <v>15</v>
      </c>
      <c r="S1" s="139" t="s">
        <v>954</v>
      </c>
      <c r="T1" s="139" t="s">
        <v>1162</v>
      </c>
      <c r="U1" s="139" t="s">
        <v>18</v>
      </c>
      <c r="V1" s="139" t="s">
        <v>19</v>
      </c>
      <c r="W1" s="139" t="s">
        <v>30</v>
      </c>
    </row>
    <row r="2" spans="1:23" x14ac:dyDescent="0.25">
      <c r="A2" s="8">
        <v>13908</v>
      </c>
      <c r="B2" s="8">
        <v>13908</v>
      </c>
      <c r="C2" s="8" t="s">
        <v>2379</v>
      </c>
      <c r="D2" s="8">
        <v>513534974</v>
      </c>
      <c r="E2" s="8" t="s">
        <v>429</v>
      </c>
      <c r="F2" s="8" t="s">
        <v>2380</v>
      </c>
      <c r="G2" s="8" t="s">
        <v>2381</v>
      </c>
      <c r="H2" s="8" t="s">
        <v>76</v>
      </c>
      <c r="I2" s="8" t="s">
        <v>234</v>
      </c>
      <c r="J2" s="8" t="s">
        <v>53</v>
      </c>
      <c r="K2" s="8" t="s">
        <v>53</v>
      </c>
      <c r="L2" s="8" t="s">
        <v>311</v>
      </c>
      <c r="M2" s="8" t="s">
        <v>1079</v>
      </c>
      <c r="N2" s="8" t="s">
        <v>62</v>
      </c>
      <c r="O2" s="8" t="s">
        <v>1206</v>
      </c>
      <c r="P2" s="74">
        <v>1880000</v>
      </c>
      <c r="Q2" s="74">
        <v>1</v>
      </c>
      <c r="R2" s="74">
        <v>3583</v>
      </c>
      <c r="S2" s="74">
        <v>0</v>
      </c>
      <c r="T2" s="74">
        <v>67360.399999999994</v>
      </c>
      <c r="U2" s="73">
        <v>4.2841713360000002E-3</v>
      </c>
      <c r="V2" s="68">
        <v>0.19453959249007474</v>
      </c>
      <c r="W2" s="68">
        <v>1.5630794525998342E-2</v>
      </c>
    </row>
    <row r="3" spans="1:23" x14ac:dyDescent="0.25">
      <c r="A3" s="8">
        <v>13908</v>
      </c>
      <c r="B3" s="8">
        <v>13908</v>
      </c>
      <c r="C3" s="8" t="s">
        <v>2379</v>
      </c>
      <c r="D3" s="8">
        <v>513534974</v>
      </c>
      <c r="E3" s="8" t="s">
        <v>429</v>
      </c>
      <c r="F3" s="8" t="s">
        <v>2382</v>
      </c>
      <c r="G3" s="8" t="s">
        <v>2383</v>
      </c>
      <c r="H3" s="8" t="s">
        <v>76</v>
      </c>
      <c r="I3" s="8" t="s">
        <v>236</v>
      </c>
      <c r="J3" s="8" t="s">
        <v>53</v>
      </c>
      <c r="K3" s="8" t="s">
        <v>53</v>
      </c>
      <c r="L3" s="8" t="s">
        <v>311</v>
      </c>
      <c r="M3" s="8" t="s">
        <v>981</v>
      </c>
      <c r="N3" s="8" t="s">
        <v>62</v>
      </c>
      <c r="O3" s="8" t="s">
        <v>1206</v>
      </c>
      <c r="P3" s="74">
        <v>15040200</v>
      </c>
      <c r="Q3" s="74">
        <v>1</v>
      </c>
      <c r="R3" s="74">
        <v>396.66</v>
      </c>
      <c r="S3" s="74">
        <v>0</v>
      </c>
      <c r="T3" s="74">
        <v>59658.457320000001</v>
      </c>
      <c r="U3" s="73">
        <v>1.1045029268E-2</v>
      </c>
      <c r="V3" s="68">
        <v>0.17229606676354828</v>
      </c>
      <c r="W3" s="68">
        <v>1.3843580027834777E-2</v>
      </c>
    </row>
    <row r="4" spans="1:23" x14ac:dyDescent="0.25">
      <c r="A4" s="8">
        <v>13908</v>
      </c>
      <c r="B4" s="8">
        <v>13908</v>
      </c>
      <c r="C4" s="8" t="s">
        <v>2384</v>
      </c>
      <c r="D4" s="8">
        <v>510938608</v>
      </c>
      <c r="E4" s="8" t="s">
        <v>429</v>
      </c>
      <c r="F4" s="8" t="s">
        <v>2385</v>
      </c>
      <c r="G4" s="8" t="s">
        <v>2386</v>
      </c>
      <c r="H4" s="8" t="s">
        <v>76</v>
      </c>
      <c r="I4" s="8" t="s">
        <v>236</v>
      </c>
      <c r="J4" s="8" t="s">
        <v>53</v>
      </c>
      <c r="K4" s="8" t="s">
        <v>53</v>
      </c>
      <c r="L4" s="8" t="s">
        <v>311</v>
      </c>
      <c r="M4" s="8" t="s">
        <v>979</v>
      </c>
      <c r="N4" s="8" t="s">
        <v>62</v>
      </c>
      <c r="O4" s="8" t="s">
        <v>1206</v>
      </c>
      <c r="P4" s="74">
        <v>3000</v>
      </c>
      <c r="Q4" s="74">
        <v>1</v>
      </c>
      <c r="R4" s="74">
        <v>4035.8</v>
      </c>
      <c r="S4" s="74">
        <v>0</v>
      </c>
      <c r="T4" s="74">
        <v>121.074</v>
      </c>
      <c r="U4" s="73">
        <v>5.7499699180740498E-5</v>
      </c>
      <c r="V4" s="68">
        <v>3.4966666797025126E-4</v>
      </c>
      <c r="W4" s="68">
        <v>2.8094886854008043E-5</v>
      </c>
    </row>
    <row r="5" spans="1:23" x14ac:dyDescent="0.25">
      <c r="A5" s="8">
        <v>13908</v>
      </c>
      <c r="B5" s="8">
        <v>13908</v>
      </c>
      <c r="C5" s="8" t="s">
        <v>2384</v>
      </c>
      <c r="D5" s="8">
        <v>510938608</v>
      </c>
      <c r="E5" s="8" t="s">
        <v>429</v>
      </c>
      <c r="F5" s="8" t="s">
        <v>2387</v>
      </c>
      <c r="G5" s="8" t="s">
        <v>2388</v>
      </c>
      <c r="H5" s="8" t="s">
        <v>76</v>
      </c>
      <c r="I5" s="8" t="s">
        <v>235</v>
      </c>
      <c r="J5" s="8" t="s">
        <v>53</v>
      </c>
      <c r="K5" s="8" t="s">
        <v>313</v>
      </c>
      <c r="L5" s="8" t="s">
        <v>311</v>
      </c>
      <c r="M5" s="8" t="s">
        <v>1122</v>
      </c>
      <c r="N5" s="8" t="s">
        <v>62</v>
      </c>
      <c r="O5" s="8" t="s">
        <v>1206</v>
      </c>
      <c r="P5" s="74">
        <v>103320</v>
      </c>
      <c r="Q5" s="74">
        <v>1</v>
      </c>
      <c r="R5" s="74">
        <v>52500</v>
      </c>
      <c r="S5" s="74">
        <v>0</v>
      </c>
      <c r="T5" s="74">
        <v>54243</v>
      </c>
      <c r="U5" s="73">
        <v>5.2414772727E-2</v>
      </c>
      <c r="V5" s="68">
        <v>0.15665600435031748</v>
      </c>
      <c r="W5" s="68">
        <v>1.2586938133884716E-2</v>
      </c>
    </row>
    <row r="6" spans="1:23" x14ac:dyDescent="0.25">
      <c r="A6" s="8">
        <v>13908</v>
      </c>
      <c r="B6" s="8">
        <v>13908</v>
      </c>
      <c r="C6" s="8" t="s">
        <v>2384</v>
      </c>
      <c r="D6" s="8">
        <v>510938608</v>
      </c>
      <c r="E6" s="8" t="s">
        <v>429</v>
      </c>
      <c r="F6" s="8" t="s">
        <v>2389</v>
      </c>
      <c r="G6" s="8" t="s">
        <v>2390</v>
      </c>
      <c r="H6" s="8" t="s">
        <v>76</v>
      </c>
      <c r="I6" s="8" t="s">
        <v>236</v>
      </c>
      <c r="J6" s="8" t="s">
        <v>53</v>
      </c>
      <c r="K6" s="8" t="s">
        <v>53</v>
      </c>
      <c r="L6" s="8" t="s">
        <v>311</v>
      </c>
      <c r="M6" s="8" t="s">
        <v>996</v>
      </c>
      <c r="N6" s="8" t="s">
        <v>62</v>
      </c>
      <c r="O6" s="8" t="s">
        <v>1206</v>
      </c>
      <c r="P6" s="74">
        <v>1559524</v>
      </c>
      <c r="Q6" s="74">
        <v>1</v>
      </c>
      <c r="R6" s="74">
        <v>3947.29</v>
      </c>
      <c r="S6" s="74">
        <v>0</v>
      </c>
      <c r="T6" s="74">
        <v>61558.9349</v>
      </c>
      <c r="U6" s="73">
        <v>2.1654100677E-2</v>
      </c>
      <c r="V6" s="68">
        <v>0.1777847238075938</v>
      </c>
      <c r="W6" s="68">
        <v>1.4284580594254314E-2</v>
      </c>
    </row>
    <row r="7" spans="1:23" x14ac:dyDescent="0.25">
      <c r="A7" s="8">
        <v>13908</v>
      </c>
      <c r="B7" s="8">
        <v>13908</v>
      </c>
      <c r="C7" s="8" t="s">
        <v>2391</v>
      </c>
      <c r="D7" s="8">
        <v>513765339</v>
      </c>
      <c r="E7" s="8" t="s">
        <v>429</v>
      </c>
      <c r="F7" s="8" t="s">
        <v>2392</v>
      </c>
      <c r="G7" s="8" t="s">
        <v>2393</v>
      </c>
      <c r="H7" s="8" t="s">
        <v>76</v>
      </c>
      <c r="I7" s="8" t="s">
        <v>236</v>
      </c>
      <c r="J7" s="8" t="s">
        <v>53</v>
      </c>
      <c r="K7" s="8" t="s">
        <v>53</v>
      </c>
      <c r="L7" s="8" t="s">
        <v>311</v>
      </c>
      <c r="M7" s="8" t="s">
        <v>981</v>
      </c>
      <c r="N7" s="8" t="s">
        <v>62</v>
      </c>
      <c r="O7" s="8" t="s">
        <v>1206</v>
      </c>
      <c r="P7" s="74">
        <v>5495390</v>
      </c>
      <c r="Q7" s="74">
        <v>1</v>
      </c>
      <c r="R7" s="74">
        <v>397.01</v>
      </c>
      <c r="S7" s="74">
        <v>0</v>
      </c>
      <c r="T7" s="74">
        <v>21817.24784</v>
      </c>
      <c r="U7" s="73">
        <v>3.9974870879999997E-3</v>
      </c>
      <c r="V7" s="68">
        <v>6.3009104816013031E-2</v>
      </c>
      <c r="W7" s="68">
        <v>5.0626320228178744E-3</v>
      </c>
    </row>
    <row r="8" spans="1:23" x14ac:dyDescent="0.25">
      <c r="A8" s="8">
        <v>13908</v>
      </c>
      <c r="B8" s="8">
        <v>13908</v>
      </c>
      <c r="C8" s="8" t="s">
        <v>2391</v>
      </c>
      <c r="D8" s="8">
        <v>513765339</v>
      </c>
      <c r="E8" s="8" t="s">
        <v>429</v>
      </c>
      <c r="F8" s="8" t="s">
        <v>2394</v>
      </c>
      <c r="G8" s="8" t="s">
        <v>2395</v>
      </c>
      <c r="H8" s="8" t="s">
        <v>76</v>
      </c>
      <c r="I8" s="8" t="s">
        <v>234</v>
      </c>
      <c r="J8" s="8" t="s">
        <v>53</v>
      </c>
      <c r="K8" s="8" t="s">
        <v>53</v>
      </c>
      <c r="L8" s="8" t="s">
        <v>311</v>
      </c>
      <c r="M8" s="8" t="s">
        <v>1079</v>
      </c>
      <c r="N8" s="8" t="s">
        <v>62</v>
      </c>
      <c r="O8" s="8" t="s">
        <v>1206</v>
      </c>
      <c r="P8" s="74">
        <v>160000</v>
      </c>
      <c r="Q8" s="74">
        <v>1</v>
      </c>
      <c r="R8" s="74">
        <v>3579</v>
      </c>
      <c r="S8" s="74">
        <v>0</v>
      </c>
      <c r="T8" s="74">
        <v>5726.4</v>
      </c>
      <c r="U8" s="73">
        <v>3.9873036700000002E-4</v>
      </c>
      <c r="V8" s="68">
        <v>1.6538077601011336E-2</v>
      </c>
      <c r="W8" s="68">
        <v>1.3287952828913857E-3</v>
      </c>
    </row>
    <row r="9" spans="1:23" x14ac:dyDescent="0.25">
      <c r="A9" s="8">
        <v>13908</v>
      </c>
      <c r="B9" s="8">
        <v>13908</v>
      </c>
      <c r="C9" s="8" t="s">
        <v>2396</v>
      </c>
      <c r="D9" s="8">
        <v>511776783</v>
      </c>
      <c r="E9" s="8" t="s">
        <v>429</v>
      </c>
      <c r="F9" s="8" t="s">
        <v>2397</v>
      </c>
      <c r="G9" s="8" t="s">
        <v>2398</v>
      </c>
      <c r="H9" s="8" t="s">
        <v>76</v>
      </c>
      <c r="I9" s="8" t="s">
        <v>235</v>
      </c>
      <c r="J9" s="8" t="s">
        <v>53</v>
      </c>
      <c r="K9" s="8" t="s">
        <v>314</v>
      </c>
      <c r="L9" s="8" t="s">
        <v>311</v>
      </c>
      <c r="M9" s="8" t="s">
        <v>1091</v>
      </c>
      <c r="N9" s="8" t="s">
        <v>62</v>
      </c>
      <c r="O9" s="8" t="s">
        <v>1206</v>
      </c>
      <c r="P9" s="74">
        <v>17250</v>
      </c>
      <c r="Q9" s="74">
        <v>1</v>
      </c>
      <c r="R9" s="74">
        <v>2567</v>
      </c>
      <c r="S9" s="74">
        <v>0</v>
      </c>
      <c r="T9" s="74">
        <v>442.8075</v>
      </c>
      <c r="U9" s="73">
        <v>4.5540018008344701E-5</v>
      </c>
      <c r="V9" s="68">
        <v>1.2788461856157146E-3</v>
      </c>
      <c r="W9" s="68">
        <v>1.0275225573290852E-4</v>
      </c>
    </row>
    <row r="10" spans="1:23" x14ac:dyDescent="0.25">
      <c r="A10" s="8">
        <v>13908</v>
      </c>
      <c r="B10" s="8">
        <v>13908</v>
      </c>
      <c r="C10" s="8" t="s">
        <v>2399</v>
      </c>
      <c r="D10" s="8">
        <v>511303661</v>
      </c>
      <c r="E10" s="8" t="s">
        <v>429</v>
      </c>
      <c r="F10" s="8" t="s">
        <v>2400</v>
      </c>
      <c r="G10" s="8" t="s">
        <v>2401</v>
      </c>
      <c r="H10" s="8" t="s">
        <v>76</v>
      </c>
      <c r="I10" s="8" t="s">
        <v>234</v>
      </c>
      <c r="J10" s="8" t="s">
        <v>53</v>
      </c>
      <c r="K10" s="8" t="s">
        <v>53</v>
      </c>
      <c r="L10" s="8" t="s">
        <v>311</v>
      </c>
      <c r="M10" s="8" t="s">
        <v>1079</v>
      </c>
      <c r="N10" s="8" t="s">
        <v>62</v>
      </c>
      <c r="O10" s="8" t="s">
        <v>1206</v>
      </c>
      <c r="P10" s="74">
        <v>5000</v>
      </c>
      <c r="Q10" s="74">
        <v>1</v>
      </c>
      <c r="R10" s="74">
        <v>5643</v>
      </c>
      <c r="S10" s="74">
        <v>0</v>
      </c>
      <c r="T10" s="74">
        <v>282.14999999999998</v>
      </c>
      <c r="U10" s="73">
        <v>5.2631578947368397E-5</v>
      </c>
      <c r="V10" s="68">
        <v>8.1486074935829638E-4</v>
      </c>
      <c r="W10" s="68">
        <v>6.5472127177250013E-5</v>
      </c>
    </row>
    <row r="11" spans="1:23" x14ac:dyDescent="0.25">
      <c r="A11" s="8">
        <v>13908</v>
      </c>
      <c r="B11" s="8">
        <v>13908</v>
      </c>
      <c r="C11" s="8" t="s">
        <v>2399</v>
      </c>
      <c r="D11" s="8">
        <v>511303661</v>
      </c>
      <c r="E11" s="8" t="s">
        <v>429</v>
      </c>
      <c r="F11" s="8" t="s">
        <v>2402</v>
      </c>
      <c r="G11" s="8" t="s">
        <v>2403</v>
      </c>
      <c r="H11" s="8" t="s">
        <v>76</v>
      </c>
      <c r="I11" s="8" t="s">
        <v>235</v>
      </c>
      <c r="J11" s="8" t="s">
        <v>53</v>
      </c>
      <c r="K11" s="8" t="s">
        <v>314</v>
      </c>
      <c r="L11" s="8" t="s">
        <v>311</v>
      </c>
      <c r="M11" s="8" t="s">
        <v>1090</v>
      </c>
      <c r="N11" s="8" t="s">
        <v>62</v>
      </c>
      <c r="O11" s="8" t="s">
        <v>1206</v>
      </c>
      <c r="P11" s="74">
        <v>12400</v>
      </c>
      <c r="Q11" s="74">
        <v>1</v>
      </c>
      <c r="R11" s="74">
        <v>9445</v>
      </c>
      <c r="S11" s="74">
        <v>0</v>
      </c>
      <c r="T11" s="74">
        <v>1171.18</v>
      </c>
      <c r="U11" s="73">
        <v>1.42038946E-4</v>
      </c>
      <c r="V11" s="68">
        <v>3.3824157803772808E-3</v>
      </c>
      <c r="W11" s="68">
        <v>2.7176907994843767E-4</v>
      </c>
    </row>
    <row r="12" spans="1:23" x14ac:dyDescent="0.25">
      <c r="A12" s="8">
        <v>13908</v>
      </c>
      <c r="B12" s="8">
        <v>13908</v>
      </c>
      <c r="C12" s="8" t="s">
        <v>2396</v>
      </c>
      <c r="D12" s="8">
        <v>511776783</v>
      </c>
      <c r="E12" s="8" t="s">
        <v>429</v>
      </c>
      <c r="F12" s="8" t="s">
        <v>2404</v>
      </c>
      <c r="G12" s="8" t="s">
        <v>2405</v>
      </c>
      <c r="H12" s="8" t="s">
        <v>76</v>
      </c>
      <c r="I12" s="8" t="s">
        <v>236</v>
      </c>
      <c r="J12" s="8" t="s">
        <v>53</v>
      </c>
      <c r="K12" s="8" t="s">
        <v>53</v>
      </c>
      <c r="L12" s="8" t="s">
        <v>311</v>
      </c>
      <c r="M12" s="8" t="s">
        <v>996</v>
      </c>
      <c r="N12" s="8" t="s">
        <v>62</v>
      </c>
      <c r="O12" s="8" t="s">
        <v>1206</v>
      </c>
      <c r="P12" s="74">
        <v>5205892</v>
      </c>
      <c r="Q12" s="74">
        <v>1</v>
      </c>
      <c r="R12" s="74">
        <v>395.49</v>
      </c>
      <c r="S12" s="74">
        <v>0</v>
      </c>
      <c r="T12" s="74">
        <v>20588.78227</v>
      </c>
      <c r="U12" s="73">
        <v>1.6850114741E-2</v>
      </c>
      <c r="V12" s="68">
        <v>5.9461245964582701E-2</v>
      </c>
      <c r="W12" s="68">
        <v>4.7775699847816778E-3</v>
      </c>
    </row>
    <row r="13" spans="1:23" x14ac:dyDescent="0.25">
      <c r="A13" s="8">
        <v>13908</v>
      </c>
      <c r="B13" s="8">
        <v>13908</v>
      </c>
      <c r="C13" s="8" t="s">
        <v>2384</v>
      </c>
      <c r="D13" s="8">
        <v>510938608</v>
      </c>
      <c r="E13" s="8" t="s">
        <v>429</v>
      </c>
      <c r="F13" s="8" t="s">
        <v>2406</v>
      </c>
      <c r="G13" s="8" t="s">
        <v>2407</v>
      </c>
      <c r="H13" s="8" t="s">
        <v>76</v>
      </c>
      <c r="I13" s="8" t="s">
        <v>236</v>
      </c>
      <c r="J13" s="8" t="s">
        <v>53</v>
      </c>
      <c r="K13" s="8" t="s">
        <v>53</v>
      </c>
      <c r="L13" s="8" t="s">
        <v>311</v>
      </c>
      <c r="M13" s="8" t="s">
        <v>1001</v>
      </c>
      <c r="N13" s="8" t="s">
        <v>62</v>
      </c>
      <c r="O13" s="8" t="s">
        <v>1206</v>
      </c>
      <c r="P13" s="74">
        <v>714515</v>
      </c>
      <c r="Q13" s="74">
        <v>1</v>
      </c>
      <c r="R13" s="74">
        <v>4341.57</v>
      </c>
      <c r="S13" s="74">
        <v>0</v>
      </c>
      <c r="T13" s="74">
        <v>31021.168890000001</v>
      </c>
      <c r="U13" s="73">
        <v>1.8313035508000002E-2</v>
      </c>
      <c r="V13" s="68">
        <v>8.9590405556178185E-2</v>
      </c>
      <c r="W13" s="68">
        <v>7.1983764478221936E-3</v>
      </c>
    </row>
    <row r="14" spans="1:23" x14ac:dyDescent="0.25">
      <c r="A14" s="8">
        <v>13908</v>
      </c>
      <c r="B14" s="8">
        <v>13908</v>
      </c>
      <c r="C14" s="8" t="s">
        <v>2391</v>
      </c>
      <c r="D14" s="8">
        <v>513765339</v>
      </c>
      <c r="E14" s="8" t="s">
        <v>429</v>
      </c>
      <c r="F14" s="8" t="s">
        <v>2408</v>
      </c>
      <c r="G14" s="8" t="s">
        <v>2409</v>
      </c>
      <c r="H14" s="8" t="s">
        <v>76</v>
      </c>
      <c r="I14" s="8" t="s">
        <v>236</v>
      </c>
      <c r="J14" s="8" t="s">
        <v>53</v>
      </c>
      <c r="K14" s="8" t="s">
        <v>53</v>
      </c>
      <c r="L14" s="8" t="s">
        <v>311</v>
      </c>
      <c r="M14" s="8" t="s">
        <v>981</v>
      </c>
      <c r="N14" s="8" t="s">
        <v>62</v>
      </c>
      <c r="O14" s="8" t="s">
        <v>1206</v>
      </c>
      <c r="P14" s="74">
        <v>2606700</v>
      </c>
      <c r="Q14" s="74">
        <v>1</v>
      </c>
      <c r="R14" s="74">
        <v>396.36</v>
      </c>
      <c r="S14" s="74">
        <v>0</v>
      </c>
      <c r="T14" s="74">
        <v>10331.91612</v>
      </c>
      <c r="U14" s="73">
        <v>1.7538347262000001E-2</v>
      </c>
      <c r="V14" s="68">
        <v>2.9838996674996503E-2</v>
      </c>
      <c r="W14" s="68">
        <v>2.3974925613798317E-3</v>
      </c>
    </row>
    <row r="15" spans="1:23" x14ac:dyDescent="0.25">
      <c r="A15" s="8">
        <v>13908</v>
      </c>
      <c r="B15" s="8">
        <v>13908</v>
      </c>
      <c r="C15" s="8" t="s">
        <v>2384</v>
      </c>
      <c r="D15" s="8">
        <v>510938608</v>
      </c>
      <c r="E15" s="8" t="s">
        <v>429</v>
      </c>
      <c r="F15" s="8" t="s">
        <v>2410</v>
      </c>
      <c r="G15" s="8" t="s">
        <v>2411</v>
      </c>
      <c r="H15" s="8" t="s">
        <v>76</v>
      </c>
      <c r="I15" s="8" t="s">
        <v>235</v>
      </c>
      <c r="J15" s="8" t="s">
        <v>53</v>
      </c>
      <c r="K15" s="8" t="s">
        <v>188</v>
      </c>
      <c r="L15" s="8" t="s">
        <v>311</v>
      </c>
      <c r="M15" s="8" t="s">
        <v>1123</v>
      </c>
      <c r="N15" s="8" t="s">
        <v>62</v>
      </c>
      <c r="O15" s="8" t="s">
        <v>1206</v>
      </c>
      <c r="P15" s="74">
        <v>3801</v>
      </c>
      <c r="Q15" s="74">
        <v>1</v>
      </c>
      <c r="R15" s="74">
        <v>27000</v>
      </c>
      <c r="S15" s="74">
        <v>0</v>
      </c>
      <c r="T15" s="74">
        <v>1026.27</v>
      </c>
      <c r="U15" s="73">
        <v>1.322938238E-3</v>
      </c>
      <c r="V15" s="68">
        <v>2.96390976871855E-3</v>
      </c>
      <c r="W15" s="68">
        <v>2.38143115216007E-4</v>
      </c>
    </row>
    <row r="16" spans="1:23" x14ac:dyDescent="0.25">
      <c r="A16" s="8">
        <v>13908</v>
      </c>
      <c r="B16" s="8">
        <v>13908</v>
      </c>
      <c r="C16" s="8" t="s">
        <v>2412</v>
      </c>
      <c r="D16" s="8">
        <v>78005</v>
      </c>
      <c r="E16" s="8" t="s">
        <v>430</v>
      </c>
      <c r="F16" s="8" t="s">
        <v>2413</v>
      </c>
      <c r="G16" s="8" t="s">
        <v>2414</v>
      </c>
      <c r="H16" s="8" t="s">
        <v>76</v>
      </c>
      <c r="I16" s="8" t="s">
        <v>237</v>
      </c>
      <c r="J16" s="8" t="s">
        <v>61</v>
      </c>
      <c r="K16" s="8" t="s">
        <v>314</v>
      </c>
      <c r="L16" s="8" t="s">
        <v>476</v>
      </c>
      <c r="M16" s="8" t="s">
        <v>776</v>
      </c>
      <c r="N16" s="8" t="s">
        <v>62</v>
      </c>
      <c r="O16" s="8" t="s">
        <v>1207</v>
      </c>
      <c r="P16" s="74">
        <v>42400</v>
      </c>
      <c r="Q16" s="74">
        <v>3.19</v>
      </c>
      <c r="R16" s="74">
        <v>8063</v>
      </c>
      <c r="S16" s="74">
        <v>0</v>
      </c>
      <c r="T16" s="74">
        <v>10905.691279999999</v>
      </c>
      <c r="U16" s="73">
        <v>1.7214778699999999E-4</v>
      </c>
      <c r="V16" s="68">
        <v>3.1496082823643592E-2</v>
      </c>
      <c r="W16" s="68">
        <v>2.5306355004075369E-3</v>
      </c>
    </row>
    <row r="17" spans="1:2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x14ac:dyDescent="0.25">
      <c r="E20" s="8"/>
      <c r="H20" s="8"/>
      <c r="I20" s="8"/>
      <c r="J20" s="8"/>
      <c r="K20" s="8"/>
      <c r="L20" s="8"/>
      <c r="M20" s="8"/>
      <c r="N20" s="8"/>
      <c r="P20" s="8"/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Z1048569"/>
  <sheetViews>
    <sheetView rightToLeft="1" zoomScale="40" zoomScaleNormal="40" workbookViewId="0">
      <selection activeCell="A2" sqref="A2:W13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31" style="1" bestFit="1" customWidth="1"/>
    <col min="4" max="4" width="13.19921875" style="1" bestFit="1" customWidth="1"/>
    <col min="5" max="5" width="18.296875" style="1" customWidth="1"/>
    <col min="6" max="6" width="32.19921875" style="1" bestFit="1" customWidth="1"/>
    <col min="7" max="7" width="15.3984375" style="1" bestFit="1" customWidth="1"/>
    <col min="8" max="8" width="15.796875" style="1" customWidth="1"/>
    <col min="9" max="9" width="11.19921875" style="1" bestFit="1" customWidth="1"/>
    <col min="10" max="10" width="10.5" style="1" customWidth="1"/>
    <col min="11" max="11" width="19.5" style="1" customWidth="1"/>
    <col min="12" max="12" width="13.5" style="1" customWidth="1"/>
    <col min="13" max="13" width="10.796875" style="1" customWidth="1"/>
    <col min="14" max="14" width="72.69921875" style="1" bestFit="1" customWidth="1"/>
    <col min="15" max="15" width="15.296875" style="1" customWidth="1"/>
    <col min="16" max="16" width="12" style="1" customWidth="1"/>
    <col min="17" max="17" width="15.3984375" style="1" bestFit="1" customWidth="1"/>
    <col min="18" max="18" width="10.296875" style="1" customWidth="1"/>
    <col min="19" max="19" width="13.5" style="1" customWidth="1"/>
    <col min="20" max="20" width="16.796875" style="1" customWidth="1"/>
    <col min="21" max="21" width="19.296875" style="1" customWidth="1"/>
    <col min="22" max="22" width="21.5" style="1" customWidth="1"/>
    <col min="23" max="23" width="20.296875" style="1" customWidth="1"/>
    <col min="24" max="24" width="11.69921875" style="1" customWidth="1"/>
    <col min="25" max="16384" width="9" style="1"/>
  </cols>
  <sheetData>
    <row r="1" spans="1:23" ht="66.75" customHeight="1" x14ac:dyDescent="0.25">
      <c r="A1" s="139" t="s">
        <v>667</v>
      </c>
      <c r="B1" s="139" t="s">
        <v>0</v>
      </c>
      <c r="C1" s="139" t="s">
        <v>740</v>
      </c>
      <c r="D1" s="139" t="s">
        <v>2</v>
      </c>
      <c r="E1" s="139" t="s">
        <v>756</v>
      </c>
      <c r="F1" s="139" t="s">
        <v>3</v>
      </c>
      <c r="G1" s="139" t="s">
        <v>29</v>
      </c>
      <c r="H1" s="139" t="s">
        <v>28</v>
      </c>
      <c r="I1" s="139" t="s">
        <v>1</v>
      </c>
      <c r="J1" s="139" t="s">
        <v>620</v>
      </c>
      <c r="K1" s="139" t="s">
        <v>621</v>
      </c>
      <c r="L1" s="139" t="s">
        <v>625</v>
      </c>
      <c r="M1" s="139" t="s">
        <v>5</v>
      </c>
      <c r="N1" s="139" t="s">
        <v>300</v>
      </c>
      <c r="O1" s="139" t="s">
        <v>622</v>
      </c>
      <c r="P1" s="139" t="s">
        <v>396</v>
      </c>
      <c r="Q1" s="139" t="s">
        <v>789</v>
      </c>
      <c r="R1" s="139" t="s">
        <v>11</v>
      </c>
      <c r="S1" s="139" t="s">
        <v>15</v>
      </c>
      <c r="T1" s="139" t="s">
        <v>1162</v>
      </c>
      <c r="U1" s="139" t="s">
        <v>18</v>
      </c>
      <c r="V1" s="139" t="s">
        <v>19</v>
      </c>
      <c r="W1" s="139" t="s">
        <v>30</v>
      </c>
    </row>
    <row r="2" spans="1:23" x14ac:dyDescent="0.25">
      <c r="A2" s="8">
        <v>13908</v>
      </c>
      <c r="B2" s="8">
        <v>13908</v>
      </c>
      <c r="C2" s="8" t="s">
        <v>2379</v>
      </c>
      <c r="D2" s="8">
        <v>513534974</v>
      </c>
      <c r="E2" s="8" t="s">
        <v>429</v>
      </c>
      <c r="F2" s="8" t="s">
        <v>2415</v>
      </c>
      <c r="G2" s="8" t="s">
        <v>2416</v>
      </c>
      <c r="H2" s="8" t="s">
        <v>76</v>
      </c>
      <c r="I2" s="8" t="s">
        <v>73</v>
      </c>
      <c r="J2" s="8" t="s">
        <v>53</v>
      </c>
      <c r="K2" s="8" t="s">
        <v>314</v>
      </c>
      <c r="L2" s="1" t="s">
        <v>821</v>
      </c>
      <c r="M2" s="8" t="s">
        <v>311</v>
      </c>
      <c r="N2" s="8" t="s">
        <v>1090</v>
      </c>
      <c r="O2" s="8" t="s">
        <v>62</v>
      </c>
      <c r="P2" s="8" t="s">
        <v>1206</v>
      </c>
      <c r="Q2" s="74">
        <v>16874000</v>
      </c>
      <c r="R2" s="74">
        <v>1</v>
      </c>
      <c r="S2" s="74">
        <v>780.91</v>
      </c>
      <c r="T2" s="74">
        <v>131770.75339999999</v>
      </c>
      <c r="U2" s="73">
        <v>1.2772090022999999E-2</v>
      </c>
      <c r="V2" s="68">
        <v>0.20268723258935994</v>
      </c>
      <c r="W2" s="68">
        <v>3.0577038897206626E-2</v>
      </c>
    </row>
    <row r="3" spans="1:23" x14ac:dyDescent="0.25">
      <c r="A3" s="8">
        <v>13908</v>
      </c>
      <c r="B3" s="8">
        <v>13908</v>
      </c>
      <c r="C3" s="8" t="s">
        <v>2379</v>
      </c>
      <c r="D3" s="8">
        <v>513534974</v>
      </c>
      <c r="E3" s="8" t="s">
        <v>429</v>
      </c>
      <c r="F3" s="8" t="s">
        <v>2417</v>
      </c>
      <c r="G3" s="8" t="s">
        <v>2418</v>
      </c>
      <c r="H3" s="8" t="s">
        <v>76</v>
      </c>
      <c r="I3" s="8" t="s">
        <v>73</v>
      </c>
      <c r="J3" s="8" t="s">
        <v>53</v>
      </c>
      <c r="K3" s="8" t="s">
        <v>53</v>
      </c>
      <c r="L3" s="1" t="s">
        <v>821</v>
      </c>
      <c r="M3" s="8" t="s">
        <v>311</v>
      </c>
      <c r="N3" s="8" t="s">
        <v>1079</v>
      </c>
      <c r="O3" s="8" t="s">
        <v>62</v>
      </c>
      <c r="P3" s="8" t="s">
        <v>1206</v>
      </c>
      <c r="Q3" s="74">
        <v>20431000</v>
      </c>
      <c r="R3" s="74">
        <v>1</v>
      </c>
      <c r="S3" s="74">
        <v>323.18</v>
      </c>
      <c r="T3" s="74">
        <v>66028.905799999993</v>
      </c>
      <c r="U3" s="73">
        <v>1.128253335E-2</v>
      </c>
      <c r="V3" s="68">
        <v>0.1015643899893308</v>
      </c>
      <c r="W3" s="68">
        <v>1.5321824979309803E-2</v>
      </c>
    </row>
    <row r="4" spans="1:23" x14ac:dyDescent="0.25">
      <c r="A4" s="8">
        <v>13908</v>
      </c>
      <c r="B4" s="8">
        <v>13908</v>
      </c>
      <c r="C4" s="8" t="s">
        <v>2379</v>
      </c>
      <c r="D4" s="8">
        <v>513534974</v>
      </c>
      <c r="E4" s="8" t="s">
        <v>429</v>
      </c>
      <c r="F4" s="8" t="s">
        <v>2419</v>
      </c>
      <c r="G4" s="8" t="s">
        <v>2420</v>
      </c>
      <c r="H4" s="8" t="s">
        <v>76</v>
      </c>
      <c r="I4" s="8" t="s">
        <v>211</v>
      </c>
      <c r="J4" s="8" t="s">
        <v>53</v>
      </c>
      <c r="K4" s="8" t="s">
        <v>53</v>
      </c>
      <c r="L4" s="1" t="s">
        <v>821</v>
      </c>
      <c r="M4" s="8" t="s">
        <v>311</v>
      </c>
      <c r="N4" s="8" t="s">
        <v>979</v>
      </c>
      <c r="O4" s="8" t="s">
        <v>62</v>
      </c>
      <c r="P4" s="8" t="s">
        <v>1206</v>
      </c>
      <c r="Q4" s="74">
        <v>43850136</v>
      </c>
      <c r="R4" s="74">
        <v>1</v>
      </c>
      <c r="S4" s="74">
        <v>110.8</v>
      </c>
      <c r="T4" s="74">
        <v>48585.950689999998</v>
      </c>
      <c r="U4" s="73">
        <v>0.24145350838900001</v>
      </c>
      <c r="V4" s="68">
        <v>7.4733972706262183E-2</v>
      </c>
      <c r="W4" s="68">
        <v>1.1274235486809421E-2</v>
      </c>
    </row>
    <row r="5" spans="1:23" x14ac:dyDescent="0.25">
      <c r="A5" s="8">
        <v>13908</v>
      </c>
      <c r="B5" s="8">
        <v>13908</v>
      </c>
      <c r="C5" s="8" t="s">
        <v>2384</v>
      </c>
      <c r="D5" s="8">
        <v>510938608</v>
      </c>
      <c r="E5" s="8" t="s">
        <v>429</v>
      </c>
      <c r="F5" s="8" t="s">
        <v>2421</v>
      </c>
      <c r="G5" s="8" t="s">
        <v>2422</v>
      </c>
      <c r="H5" s="8" t="s">
        <v>76</v>
      </c>
      <c r="I5" s="8" t="s">
        <v>211</v>
      </c>
      <c r="J5" s="8" t="s">
        <v>53</v>
      </c>
      <c r="K5" s="8" t="s">
        <v>53</v>
      </c>
      <c r="L5" s="1" t="s">
        <v>821</v>
      </c>
      <c r="M5" s="8" t="s">
        <v>311</v>
      </c>
      <c r="N5" s="8" t="s">
        <v>979</v>
      </c>
      <c r="O5" s="8" t="s">
        <v>62</v>
      </c>
      <c r="P5" s="8" t="s">
        <v>1206</v>
      </c>
      <c r="Q5" s="74">
        <v>19016000</v>
      </c>
      <c r="R5" s="74">
        <v>1</v>
      </c>
      <c r="S5" s="74">
        <v>151.94</v>
      </c>
      <c r="T5" s="74">
        <v>28892.910400000001</v>
      </c>
      <c r="U5" s="73">
        <v>5.7663025876000001E-2</v>
      </c>
      <c r="V5" s="68">
        <v>4.4442517776697617E-2</v>
      </c>
      <c r="W5" s="68">
        <v>6.7045199511950732E-3</v>
      </c>
    </row>
    <row r="6" spans="1:23" x14ac:dyDescent="0.25">
      <c r="A6" s="8">
        <v>13908</v>
      </c>
      <c r="B6" s="8">
        <v>13908</v>
      </c>
      <c r="C6" s="8" t="s">
        <v>2396</v>
      </c>
      <c r="D6" s="8">
        <v>511776783</v>
      </c>
      <c r="E6" s="8" t="s">
        <v>429</v>
      </c>
      <c r="F6" s="8" t="s">
        <v>2423</v>
      </c>
      <c r="G6" s="8" t="s">
        <v>2424</v>
      </c>
      <c r="H6" s="8" t="s">
        <v>76</v>
      </c>
      <c r="I6" s="8" t="s">
        <v>211</v>
      </c>
      <c r="J6" s="8" t="s">
        <v>53</v>
      </c>
      <c r="K6" s="8" t="s">
        <v>53</v>
      </c>
      <c r="L6" s="1" t="s">
        <v>821</v>
      </c>
      <c r="M6" s="8" t="s">
        <v>311</v>
      </c>
      <c r="N6" s="8" t="s">
        <v>996</v>
      </c>
      <c r="O6" s="8" t="s">
        <v>62</v>
      </c>
      <c r="P6" s="8" t="s">
        <v>1206</v>
      </c>
      <c r="Q6" s="74">
        <v>34768000</v>
      </c>
      <c r="R6" s="74">
        <v>1</v>
      </c>
      <c r="S6" s="74">
        <v>147.72999999999999</v>
      </c>
      <c r="T6" s="74">
        <v>51362.7664</v>
      </c>
      <c r="U6" s="73">
        <v>6.7512143772999994E-2</v>
      </c>
      <c r="V6" s="68">
        <v>7.9005217099637245E-2</v>
      </c>
      <c r="W6" s="68">
        <v>1.1918587892667674E-2</v>
      </c>
    </row>
    <row r="7" spans="1:23" x14ac:dyDescent="0.25">
      <c r="A7" s="8">
        <v>13908</v>
      </c>
      <c r="B7" s="8">
        <v>13908</v>
      </c>
      <c r="C7" s="8" t="s">
        <v>2399</v>
      </c>
      <c r="D7" s="8">
        <v>511303661</v>
      </c>
      <c r="E7" s="8" t="s">
        <v>429</v>
      </c>
      <c r="F7" s="8" t="s">
        <v>2425</v>
      </c>
      <c r="G7" s="8" t="s">
        <v>2426</v>
      </c>
      <c r="H7" s="8" t="s">
        <v>76</v>
      </c>
      <c r="I7" s="8" t="s">
        <v>73</v>
      </c>
      <c r="J7" s="8" t="s">
        <v>53</v>
      </c>
      <c r="K7" s="8" t="s">
        <v>314</v>
      </c>
      <c r="L7" s="1" t="s">
        <v>821</v>
      </c>
      <c r="M7" s="8" t="s">
        <v>311</v>
      </c>
      <c r="N7" s="8" t="s">
        <v>1090</v>
      </c>
      <c r="O7" s="8" t="s">
        <v>62</v>
      </c>
      <c r="P7" s="8" t="s">
        <v>1206</v>
      </c>
      <c r="Q7" s="74">
        <v>31459071</v>
      </c>
      <c r="R7" s="74">
        <v>1</v>
      </c>
      <c r="S7" s="74">
        <v>314.13</v>
      </c>
      <c r="T7" s="74">
        <v>98822.379730000001</v>
      </c>
      <c r="U7" s="73">
        <v>1.4262216037E-2</v>
      </c>
      <c r="V7" s="68">
        <v>0.15200667939239818</v>
      </c>
      <c r="W7" s="68">
        <v>2.2931459910122468E-2</v>
      </c>
    </row>
    <row r="8" spans="1:23" x14ac:dyDescent="0.25">
      <c r="A8" s="8">
        <v>13908</v>
      </c>
      <c r="B8" s="8">
        <v>13908</v>
      </c>
      <c r="C8" s="8" t="s">
        <v>2384</v>
      </c>
      <c r="D8" s="8">
        <v>510938608</v>
      </c>
      <c r="E8" s="8" t="s">
        <v>429</v>
      </c>
      <c r="F8" s="8" t="s">
        <v>2427</v>
      </c>
      <c r="G8" s="8" t="s">
        <v>2428</v>
      </c>
      <c r="H8" s="8" t="s">
        <v>76</v>
      </c>
      <c r="I8" s="8" t="s">
        <v>73</v>
      </c>
      <c r="J8" s="8" t="s">
        <v>53</v>
      </c>
      <c r="K8" s="8" t="s">
        <v>314</v>
      </c>
      <c r="L8" s="1" t="s">
        <v>821</v>
      </c>
      <c r="M8" s="8" t="s">
        <v>311</v>
      </c>
      <c r="N8" s="8" t="s">
        <v>1090</v>
      </c>
      <c r="O8" s="8" t="s">
        <v>62</v>
      </c>
      <c r="P8" s="8" t="s">
        <v>1206</v>
      </c>
      <c r="Q8" s="74">
        <v>23113000</v>
      </c>
      <c r="R8" s="74">
        <v>1</v>
      </c>
      <c r="S8" s="74">
        <v>298.39</v>
      </c>
      <c r="T8" s="74">
        <v>68966.880699999994</v>
      </c>
      <c r="U8" s="73">
        <v>5.0583355999999999E-3</v>
      </c>
      <c r="V8" s="68">
        <v>0.10608352634191996</v>
      </c>
      <c r="W8" s="68">
        <v>1.6003573929500726E-2</v>
      </c>
    </row>
    <row r="9" spans="1:23" x14ac:dyDescent="0.25">
      <c r="A9" s="8">
        <v>13908</v>
      </c>
      <c r="B9" s="8">
        <v>13908</v>
      </c>
      <c r="C9" s="8" t="s">
        <v>2391</v>
      </c>
      <c r="D9" s="8">
        <v>513765339</v>
      </c>
      <c r="E9" s="8" t="s">
        <v>429</v>
      </c>
      <c r="F9" s="8" t="s">
        <v>2429</v>
      </c>
      <c r="G9" s="8" t="s">
        <v>2430</v>
      </c>
      <c r="H9" s="8" t="s">
        <v>76</v>
      </c>
      <c r="I9" s="8" t="s">
        <v>73</v>
      </c>
      <c r="J9" s="8" t="s">
        <v>53</v>
      </c>
      <c r="K9" s="8" t="s">
        <v>314</v>
      </c>
      <c r="L9" s="1" t="s">
        <v>821</v>
      </c>
      <c r="M9" s="8" t="s">
        <v>311</v>
      </c>
      <c r="N9" s="8" t="s">
        <v>1090</v>
      </c>
      <c r="O9" s="8" t="s">
        <v>62</v>
      </c>
      <c r="P9" s="8" t="s">
        <v>1206</v>
      </c>
      <c r="Q9" s="74">
        <v>17528160</v>
      </c>
      <c r="R9" s="74">
        <v>1</v>
      </c>
      <c r="S9" s="74">
        <v>246.63</v>
      </c>
      <c r="T9" s="74">
        <v>43229.701009999997</v>
      </c>
      <c r="U9" s="73">
        <v>1.1680810660999999E-2</v>
      </c>
      <c r="V9" s="68">
        <v>6.6495092706833986E-2</v>
      </c>
      <c r="W9" s="68">
        <v>1.0031332561974884E-2</v>
      </c>
    </row>
    <row r="10" spans="1:23" x14ac:dyDescent="0.25">
      <c r="A10" s="8">
        <v>13908</v>
      </c>
      <c r="B10" s="8">
        <v>13908</v>
      </c>
      <c r="C10" s="8" t="s">
        <v>2391</v>
      </c>
      <c r="D10" s="8">
        <v>513765339</v>
      </c>
      <c r="E10" s="8" t="s">
        <v>429</v>
      </c>
      <c r="F10" s="8" t="s">
        <v>2431</v>
      </c>
      <c r="G10" s="8" t="s">
        <v>2432</v>
      </c>
      <c r="H10" s="8" t="s">
        <v>76</v>
      </c>
      <c r="I10" s="8" t="s">
        <v>73</v>
      </c>
      <c r="J10" s="8" t="s">
        <v>53</v>
      </c>
      <c r="K10" s="8" t="s">
        <v>314</v>
      </c>
      <c r="L10" s="1" t="s">
        <v>821</v>
      </c>
      <c r="M10" s="8" t="s">
        <v>311</v>
      </c>
      <c r="N10" s="8" t="s">
        <v>1084</v>
      </c>
      <c r="O10" s="8" t="s">
        <v>62</v>
      </c>
      <c r="P10" s="8" t="s">
        <v>1206</v>
      </c>
      <c r="Q10" s="74">
        <v>13119174</v>
      </c>
      <c r="R10" s="74">
        <v>1</v>
      </c>
      <c r="S10" s="74">
        <v>310.25</v>
      </c>
      <c r="T10" s="74">
        <v>40702.237330000004</v>
      </c>
      <c r="U10" s="73">
        <v>1.5662513191999999E-2</v>
      </c>
      <c r="V10" s="68">
        <v>6.2607396798970122E-2</v>
      </c>
      <c r="W10" s="68">
        <v>9.4448416050624609E-3</v>
      </c>
    </row>
    <row r="11" spans="1:23" x14ac:dyDescent="0.25">
      <c r="A11" s="8">
        <v>13908</v>
      </c>
      <c r="B11" s="8">
        <v>13908</v>
      </c>
      <c r="C11" s="8" t="s">
        <v>2396</v>
      </c>
      <c r="D11" s="8">
        <v>511776783</v>
      </c>
      <c r="E11" s="8" t="s">
        <v>429</v>
      </c>
      <c r="F11" s="8" t="s">
        <v>2433</v>
      </c>
      <c r="G11" s="8" t="s">
        <v>2434</v>
      </c>
      <c r="H11" s="8" t="s">
        <v>76</v>
      </c>
      <c r="I11" s="8" t="s">
        <v>73</v>
      </c>
      <c r="J11" s="8" t="s">
        <v>53</v>
      </c>
      <c r="K11" s="8" t="s">
        <v>314</v>
      </c>
      <c r="L11" s="1" t="s">
        <v>821</v>
      </c>
      <c r="M11" s="8" t="s">
        <v>311</v>
      </c>
      <c r="N11" s="8" t="s">
        <v>1124</v>
      </c>
      <c r="O11" s="8" t="s">
        <v>62</v>
      </c>
      <c r="P11" s="8" t="s">
        <v>1206</v>
      </c>
      <c r="Q11" s="74">
        <v>13860000</v>
      </c>
      <c r="R11" s="74">
        <v>1</v>
      </c>
      <c r="S11" s="74">
        <v>325.14</v>
      </c>
      <c r="T11" s="74">
        <v>45064.404000000002</v>
      </c>
      <c r="U11" s="73">
        <v>9.1288373559999993E-3</v>
      </c>
      <c r="V11" s="68">
        <v>6.9317197476453707E-2</v>
      </c>
      <c r="W11" s="68">
        <v>1.0457070316693158E-2</v>
      </c>
    </row>
    <row r="12" spans="1:23" x14ac:dyDescent="0.25">
      <c r="A12" s="8">
        <v>13908</v>
      </c>
      <c r="B12" s="8">
        <v>13908</v>
      </c>
      <c r="C12" s="8" t="s">
        <v>2391</v>
      </c>
      <c r="D12" s="8">
        <v>513765339</v>
      </c>
      <c r="E12" s="8" t="s">
        <v>429</v>
      </c>
      <c r="F12" s="8" t="s">
        <v>2435</v>
      </c>
      <c r="G12" s="8" t="s">
        <v>2436</v>
      </c>
      <c r="H12" s="8" t="s">
        <v>76</v>
      </c>
      <c r="I12" s="8" t="s">
        <v>73</v>
      </c>
      <c r="J12" s="8" t="s">
        <v>53</v>
      </c>
      <c r="K12" s="8" t="s">
        <v>313</v>
      </c>
      <c r="L12" s="1" t="s">
        <v>821</v>
      </c>
      <c r="M12" s="8" t="s">
        <v>311</v>
      </c>
      <c r="N12" s="8" t="s">
        <v>1095</v>
      </c>
      <c r="O12" s="8" t="s">
        <v>62</v>
      </c>
      <c r="P12" s="8" t="s">
        <v>1206</v>
      </c>
      <c r="Q12" s="74">
        <v>15622700</v>
      </c>
      <c r="R12" s="74">
        <v>1</v>
      </c>
      <c r="S12" s="74">
        <v>164.99</v>
      </c>
      <c r="T12" s="74">
        <v>25775.89273</v>
      </c>
      <c r="U12" s="73">
        <v>9.7651494891999993E-2</v>
      </c>
      <c r="V12" s="68">
        <v>3.9647981286899912E-2</v>
      </c>
      <c r="W12" s="68">
        <v>5.9812246213918636E-3</v>
      </c>
    </row>
    <row r="13" spans="1:23" x14ac:dyDescent="0.25">
      <c r="A13" s="8">
        <v>13908</v>
      </c>
      <c r="B13" s="8">
        <v>13908</v>
      </c>
      <c r="C13" s="8" t="s">
        <v>2437</v>
      </c>
      <c r="D13" s="8" t="s">
        <v>2438</v>
      </c>
      <c r="E13" s="8" t="s">
        <v>430</v>
      </c>
      <c r="F13" s="8" t="s">
        <v>2439</v>
      </c>
      <c r="G13" s="8" t="s">
        <v>2440</v>
      </c>
      <c r="H13" s="8" t="s">
        <v>76</v>
      </c>
      <c r="I13" s="8" t="s">
        <v>102</v>
      </c>
      <c r="J13" s="8" t="s">
        <v>61</v>
      </c>
      <c r="K13" s="8" t="s">
        <v>317</v>
      </c>
      <c r="L13" s="1" t="s">
        <v>821</v>
      </c>
      <c r="M13" s="8" t="s">
        <v>102</v>
      </c>
      <c r="N13" s="8" t="s">
        <v>776</v>
      </c>
      <c r="O13" s="8" t="s">
        <v>62</v>
      </c>
      <c r="P13" s="8" t="s">
        <v>1207</v>
      </c>
      <c r="Q13" s="74">
        <v>193.86</v>
      </c>
      <c r="R13" s="74">
        <v>3.19</v>
      </c>
      <c r="S13" s="74">
        <v>148102.29999999999</v>
      </c>
      <c r="T13" s="74">
        <v>915.88446999999996</v>
      </c>
      <c r="U13" s="73">
        <v>5.005292917E-3</v>
      </c>
      <c r="V13" s="68">
        <v>1.4087958352363239E-3</v>
      </c>
      <c r="W13" s="68">
        <v>2.1252845826513636E-4</v>
      </c>
    </row>
    <row r="14" spans="1:23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x14ac:dyDescent="0.25">
      <c r="E15" s="8"/>
      <c r="H15" s="8"/>
      <c r="I15" s="8"/>
      <c r="J15" s="8"/>
      <c r="K15" s="8"/>
      <c r="M15" s="8"/>
      <c r="N15" s="8"/>
      <c r="O15" s="8"/>
    </row>
    <row r="10000" spans="52:52" x14ac:dyDescent="0.25">
      <c r="AZ10000" s="1">
        <v>1</v>
      </c>
    </row>
    <row r="1048569" spans="14:14" x14ac:dyDescent="0.25">
      <c r="N1048569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15" xr:uid="{00000000-0002-0000-0800-000000000000}">
      <formula1>israel_abroad</formula1>
    </dataValidation>
    <dataValidation type="list" allowBlank="1" showInputMessage="1" showErrorMessage="1" sqref="O2:O15" xr:uid="{00000000-0002-0000-0800-000001000000}">
      <formula1>Holding_interest</formula1>
    </dataValidation>
    <dataValidation type="list" allowBlank="1" showInputMessage="1" showErrorMessage="1" sqref="N2:N15" xr:uid="{00000000-0002-0000-0800-000002000000}">
      <formula1>Fund_type</formula1>
    </dataValidation>
    <dataValidation type="list" allowBlank="1" showInputMessage="1" showErrorMessage="1" sqref="E2:E15" xr:uid="{00000000-0002-0000-0800-000003000000}">
      <formula1>Issuer_Type_TFunds</formula1>
    </dataValidation>
    <dataValidation type="list" allowBlank="1" showInputMessage="1" showErrorMessage="1" sqref="H2:H15" xr:uid="{00000000-0002-0000-0800-000004000000}">
      <formula1>Security_ID_Number_Type</formula1>
    </dataValidation>
    <dataValidation type="list" allowBlank="1" showInputMessage="1" showErrorMessage="1" sqref="L2:L15" xr:uid="{00000000-0002-0000-0800-000005000000}">
      <formula1>tradeable_status_funds</formula1>
    </dataValidation>
    <dataValidation type="list" allowBlank="1" showInputMessage="1" showErrorMessage="1" sqref="K2:K15" xr:uid="{00000000-0002-0000-0800-000006000000}">
      <formula1>Country_list_funds</formula1>
    </dataValidation>
    <dataValidation type="list" allowBlank="1" showInputMessage="1" showErrorMessage="1" sqref="M2:M15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I2:I15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Z10000"/>
  <sheetViews>
    <sheetView rightToLeft="1" zoomScale="40" zoomScaleNormal="40" workbookViewId="0">
      <selection activeCell="A2" sqref="A2:Y8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27.69921875" style="1" bestFit="1" customWidth="1"/>
    <col min="4" max="4" width="11.5" style="1" customWidth="1"/>
    <col min="5" max="5" width="18.296875" style="1" customWidth="1"/>
    <col min="6" max="6" width="16" style="1" bestFit="1" customWidth="1"/>
    <col min="7" max="7" width="14.19921875" style="1" bestFit="1" customWidth="1"/>
    <col min="8" max="8" width="15.796875" style="1" customWidth="1"/>
    <col min="9" max="9" width="10.5" style="1" customWidth="1"/>
    <col min="10" max="10" width="19.5" style="1" customWidth="1"/>
    <col min="11" max="11" width="13.5" style="1" customWidth="1"/>
    <col min="12" max="12" width="10.796875" style="1" customWidth="1"/>
    <col min="13" max="13" width="18.796875" style="1" customWidth="1"/>
    <col min="14" max="14" width="15.19921875" style="1" bestFit="1" customWidth="1"/>
    <col min="15" max="15" width="12.296875" style="1" customWidth="1"/>
    <col min="16" max="16" width="15.296875" style="1" customWidth="1"/>
    <col min="17" max="17" width="12" style="1" customWidth="1"/>
    <col min="18" max="18" width="11.19921875" style="1" bestFit="1" customWidth="1"/>
    <col min="19" max="19" width="9.796875" style="1" customWidth="1"/>
    <col min="20" max="20" width="15" style="1" customWidth="1"/>
    <col min="21" max="21" width="10.296875" style="1" customWidth="1"/>
    <col min="22" max="22" width="13.5" style="1" customWidth="1"/>
    <col min="23" max="23" width="16.796875" style="1" customWidth="1"/>
    <col min="24" max="24" width="21.5" style="1" customWidth="1"/>
    <col min="25" max="25" width="20.296875" style="1" customWidth="1"/>
    <col min="26" max="27" width="11.69921875" style="1" customWidth="1"/>
    <col min="28" max="16384" width="9" style="1"/>
  </cols>
  <sheetData>
    <row r="1" spans="1:25" ht="66.75" customHeight="1" x14ac:dyDescent="0.25">
      <c r="A1" s="139" t="s">
        <v>667</v>
      </c>
      <c r="B1" s="139" t="s">
        <v>0</v>
      </c>
      <c r="C1" s="139" t="s">
        <v>740</v>
      </c>
      <c r="D1" s="139" t="s">
        <v>2</v>
      </c>
      <c r="E1" s="139" t="s">
        <v>756</v>
      </c>
      <c r="F1" s="139" t="s">
        <v>1154</v>
      </c>
      <c r="G1" s="139" t="s">
        <v>29</v>
      </c>
      <c r="H1" s="139" t="s">
        <v>28</v>
      </c>
      <c r="I1" s="139" t="s">
        <v>620</v>
      </c>
      <c r="J1" s="139" t="s">
        <v>621</v>
      </c>
      <c r="K1" s="139" t="s">
        <v>625</v>
      </c>
      <c r="L1" s="139" t="s">
        <v>5</v>
      </c>
      <c r="M1" s="139" t="s">
        <v>754</v>
      </c>
      <c r="N1" s="139" t="s">
        <v>9</v>
      </c>
      <c r="O1" s="139" t="s">
        <v>682</v>
      </c>
      <c r="P1" s="139" t="s">
        <v>622</v>
      </c>
      <c r="Q1" s="139" t="s">
        <v>396</v>
      </c>
      <c r="R1" s="139" t="s">
        <v>23</v>
      </c>
      <c r="S1" s="139" t="s">
        <v>629</v>
      </c>
      <c r="T1" s="139" t="s">
        <v>789</v>
      </c>
      <c r="U1" s="139" t="s">
        <v>11</v>
      </c>
      <c r="V1" s="139" t="s">
        <v>15</v>
      </c>
      <c r="W1" s="139" t="s">
        <v>1162</v>
      </c>
      <c r="X1" s="139" t="s">
        <v>19</v>
      </c>
      <c r="Y1" s="139" t="s">
        <v>30</v>
      </c>
    </row>
    <row r="2" spans="1:25" x14ac:dyDescent="0.25">
      <c r="A2" s="8">
        <v>13908</v>
      </c>
      <c r="B2" s="8">
        <v>13908</v>
      </c>
      <c r="C2" s="8" t="s">
        <v>1534</v>
      </c>
      <c r="D2" s="8">
        <v>520039868</v>
      </c>
      <c r="E2" s="8" t="s">
        <v>429</v>
      </c>
      <c r="F2" s="8" t="s">
        <v>2452</v>
      </c>
      <c r="G2" s="8" t="s">
        <v>2453</v>
      </c>
      <c r="H2" s="8" t="s">
        <v>76</v>
      </c>
      <c r="I2" s="8" t="s">
        <v>53</v>
      </c>
      <c r="J2" s="8" t="s">
        <v>53</v>
      </c>
      <c r="K2" s="8" t="s">
        <v>821</v>
      </c>
      <c r="L2" s="8" t="s">
        <v>311</v>
      </c>
      <c r="M2" s="8" t="s">
        <v>2454</v>
      </c>
      <c r="N2" s="8" t="s">
        <v>647</v>
      </c>
      <c r="O2" s="72">
        <v>46757</v>
      </c>
      <c r="P2" s="8" t="s">
        <v>62</v>
      </c>
      <c r="Q2" s="8" t="s">
        <v>1206</v>
      </c>
      <c r="R2" s="74">
        <v>8000</v>
      </c>
      <c r="S2" s="8">
        <v>1</v>
      </c>
      <c r="T2" s="74">
        <v>2304</v>
      </c>
      <c r="U2" s="74">
        <v>1</v>
      </c>
      <c r="V2" s="74">
        <v>1354</v>
      </c>
      <c r="W2" s="74">
        <v>31.196159999999999</v>
      </c>
      <c r="X2" s="68">
        <v>8.7890457857492423E-3</v>
      </c>
      <c r="Y2" s="68">
        <v>7.2389826509368778E-6</v>
      </c>
    </row>
    <row r="3" spans="1:25" x14ac:dyDescent="0.25">
      <c r="A3" s="8">
        <v>13908</v>
      </c>
      <c r="B3" s="8">
        <v>13908</v>
      </c>
      <c r="C3" s="8" t="s">
        <v>2344</v>
      </c>
      <c r="D3" s="8">
        <v>516854239</v>
      </c>
      <c r="E3" s="8" t="s">
        <v>429</v>
      </c>
      <c r="F3" s="8" t="s">
        <v>2455</v>
      </c>
      <c r="G3" s="8" t="s">
        <v>2456</v>
      </c>
      <c r="H3" s="8" t="s">
        <v>76</v>
      </c>
      <c r="I3" s="8" t="s">
        <v>53</v>
      </c>
      <c r="J3" s="8" t="s">
        <v>53</v>
      </c>
      <c r="K3" s="8" t="s">
        <v>821</v>
      </c>
      <c r="L3" s="8" t="s">
        <v>311</v>
      </c>
      <c r="M3" s="8" t="s">
        <v>2346</v>
      </c>
      <c r="N3" s="8" t="s">
        <v>257</v>
      </c>
      <c r="O3" s="72">
        <v>46770</v>
      </c>
      <c r="P3" s="8" t="s">
        <v>55</v>
      </c>
      <c r="Q3" s="8" t="s">
        <v>1206</v>
      </c>
      <c r="R3" s="74">
        <v>690.94600000000003</v>
      </c>
      <c r="S3" s="8">
        <v>1</v>
      </c>
      <c r="T3" s="74">
        <v>192000</v>
      </c>
      <c r="U3" s="74">
        <v>1</v>
      </c>
      <c r="V3" s="74">
        <v>1495</v>
      </c>
      <c r="W3" s="74">
        <v>2870.4</v>
      </c>
      <c r="X3" s="68">
        <v>0.80869174358044793</v>
      </c>
      <c r="Y3" s="68">
        <v>6.6606838153315069E-4</v>
      </c>
    </row>
    <row r="4" spans="1:25" x14ac:dyDescent="0.25">
      <c r="A4" s="8">
        <v>13908</v>
      </c>
      <c r="B4" s="8">
        <v>13908</v>
      </c>
      <c r="C4" s="8" t="s">
        <v>2326</v>
      </c>
      <c r="D4" s="8">
        <v>513948216</v>
      </c>
      <c r="E4" s="8" t="s">
        <v>429</v>
      </c>
      <c r="F4" s="8" t="s">
        <v>2457</v>
      </c>
      <c r="G4" s="8" t="s">
        <v>2458</v>
      </c>
      <c r="H4" s="8" t="s">
        <v>76</v>
      </c>
      <c r="I4" s="8" t="s">
        <v>53</v>
      </c>
      <c r="J4" s="8" t="s">
        <v>53</v>
      </c>
      <c r="K4" s="8" t="s">
        <v>821</v>
      </c>
      <c r="L4" s="8" t="s">
        <v>311</v>
      </c>
      <c r="M4" s="8" t="s">
        <v>2328</v>
      </c>
      <c r="N4" s="8" t="s">
        <v>140</v>
      </c>
      <c r="O4" s="72">
        <v>46069</v>
      </c>
      <c r="P4" s="8" t="s">
        <v>55</v>
      </c>
      <c r="Q4" s="8" t="s">
        <v>1206</v>
      </c>
      <c r="R4" s="74">
        <v>1143.9100000000001</v>
      </c>
      <c r="S4" s="8">
        <v>1</v>
      </c>
      <c r="T4" s="74">
        <v>42500</v>
      </c>
      <c r="U4" s="74">
        <v>1</v>
      </c>
      <c r="V4" s="74">
        <v>646.1</v>
      </c>
      <c r="W4" s="74">
        <v>274.59249999999997</v>
      </c>
      <c r="X4" s="68">
        <v>7.7362279681965629E-2</v>
      </c>
      <c r="Y4" s="68">
        <v>6.3718430203505309E-5</v>
      </c>
    </row>
    <row r="5" spans="1:25" x14ac:dyDescent="0.25">
      <c r="A5" s="8">
        <v>13908</v>
      </c>
      <c r="B5" s="8">
        <v>13908</v>
      </c>
      <c r="C5" s="8" t="s">
        <v>2347</v>
      </c>
      <c r="D5" s="8">
        <v>512951518</v>
      </c>
      <c r="E5" s="8" t="s">
        <v>429</v>
      </c>
      <c r="F5" s="8" t="s">
        <v>2459</v>
      </c>
      <c r="G5" s="8" t="s">
        <v>2460</v>
      </c>
      <c r="H5" s="8" t="s">
        <v>76</v>
      </c>
      <c r="I5" s="8" t="s">
        <v>53</v>
      </c>
      <c r="J5" s="8" t="s">
        <v>53</v>
      </c>
      <c r="K5" s="8" t="s">
        <v>821</v>
      </c>
      <c r="L5" s="8" t="s">
        <v>311</v>
      </c>
      <c r="M5" s="8" t="s">
        <v>2349</v>
      </c>
      <c r="N5" s="8" t="s">
        <v>140</v>
      </c>
      <c r="O5" s="72">
        <v>46398</v>
      </c>
      <c r="P5" s="8" t="s">
        <v>55</v>
      </c>
      <c r="Q5" s="8" t="s">
        <v>1206</v>
      </c>
      <c r="R5" s="74">
        <v>1023</v>
      </c>
      <c r="S5" s="8">
        <v>1</v>
      </c>
      <c r="T5" s="74">
        <v>2500</v>
      </c>
      <c r="U5" s="74">
        <v>1</v>
      </c>
      <c r="V5" s="74">
        <v>113.2</v>
      </c>
      <c r="W5" s="74">
        <v>2.83</v>
      </c>
      <c r="X5" s="68">
        <v>7.973096552162304E-4</v>
      </c>
      <c r="Y5" s="68">
        <v>6.5669367326463778E-7</v>
      </c>
    </row>
    <row r="6" spans="1:25" x14ac:dyDescent="0.25">
      <c r="A6" s="8">
        <v>13908</v>
      </c>
      <c r="B6" s="8">
        <v>13908</v>
      </c>
      <c r="C6" s="8" t="s">
        <v>1764</v>
      </c>
      <c r="D6" s="8">
        <v>520033309</v>
      </c>
      <c r="E6" s="8" t="s">
        <v>429</v>
      </c>
      <c r="F6" s="8" t="s">
        <v>2461</v>
      </c>
      <c r="G6" s="8" t="s">
        <v>2462</v>
      </c>
      <c r="H6" s="8" t="s">
        <v>76</v>
      </c>
      <c r="I6" s="8" t="s">
        <v>53</v>
      </c>
      <c r="J6" s="8" t="s">
        <v>53</v>
      </c>
      <c r="K6" s="8" t="s">
        <v>821</v>
      </c>
      <c r="L6" s="8" t="s">
        <v>311</v>
      </c>
      <c r="M6" s="8" t="s">
        <v>2463</v>
      </c>
      <c r="N6" s="8" t="s">
        <v>140</v>
      </c>
      <c r="O6" s="72">
        <v>46233</v>
      </c>
      <c r="P6" s="8" t="s">
        <v>62</v>
      </c>
      <c r="Q6" s="8" t="s">
        <v>1206</v>
      </c>
      <c r="R6" s="74">
        <v>3230</v>
      </c>
      <c r="S6" s="8">
        <v>1</v>
      </c>
      <c r="T6" s="74">
        <v>15856</v>
      </c>
      <c r="U6" s="74">
        <v>1</v>
      </c>
      <c r="V6" s="74">
        <v>123.3</v>
      </c>
      <c r="W6" s="74">
        <v>19.550450000000001</v>
      </c>
      <c r="X6" s="68">
        <v>5.5080433034707249E-3</v>
      </c>
      <c r="Y6" s="68">
        <v>4.536627853171957E-6</v>
      </c>
    </row>
    <row r="7" spans="1:25" x14ac:dyDescent="0.25">
      <c r="A7" s="8">
        <v>13908</v>
      </c>
      <c r="B7" s="8">
        <v>13908</v>
      </c>
      <c r="C7" s="8" t="s">
        <v>2350</v>
      </c>
      <c r="D7" s="8">
        <v>510542855</v>
      </c>
      <c r="E7" s="8" t="s">
        <v>429</v>
      </c>
      <c r="F7" s="8" t="s">
        <v>2464</v>
      </c>
      <c r="G7" s="8" t="s">
        <v>2465</v>
      </c>
      <c r="H7" s="8" t="s">
        <v>76</v>
      </c>
      <c r="I7" s="8" t="s">
        <v>53</v>
      </c>
      <c r="J7" s="8" t="s">
        <v>53</v>
      </c>
      <c r="K7" s="8" t="s">
        <v>821</v>
      </c>
      <c r="L7" s="8" t="s">
        <v>311</v>
      </c>
      <c r="M7" s="8" t="s">
        <v>2352</v>
      </c>
      <c r="N7" s="8" t="s">
        <v>140</v>
      </c>
      <c r="O7" s="72">
        <v>47311</v>
      </c>
      <c r="P7" s="8" t="s">
        <v>55</v>
      </c>
      <c r="Q7" s="8" t="s">
        <v>1206</v>
      </c>
      <c r="R7" s="74">
        <v>850</v>
      </c>
      <c r="S7" s="8">
        <v>1</v>
      </c>
      <c r="T7" s="74">
        <v>60500</v>
      </c>
      <c r="U7" s="74">
        <v>1</v>
      </c>
      <c r="V7" s="74">
        <v>262.39999999999998</v>
      </c>
      <c r="W7" s="74">
        <v>158.75200000000001</v>
      </c>
      <c r="X7" s="68">
        <v>4.4725972574165024E-2</v>
      </c>
      <c r="Y7" s="68">
        <v>3.683796255056812E-5</v>
      </c>
    </row>
    <row r="8" spans="1:25" x14ac:dyDescent="0.25">
      <c r="A8" s="8">
        <v>13908</v>
      </c>
      <c r="B8" s="8">
        <v>13908</v>
      </c>
      <c r="C8" s="8" t="s">
        <v>1583</v>
      </c>
      <c r="D8" s="8">
        <v>550263107</v>
      </c>
      <c r="E8" s="8" t="s">
        <v>429</v>
      </c>
      <c r="F8" s="8" t="s">
        <v>2466</v>
      </c>
      <c r="G8" s="8" t="s">
        <v>2467</v>
      </c>
      <c r="H8" s="8" t="s">
        <v>76</v>
      </c>
      <c r="I8" s="8" t="s">
        <v>53</v>
      </c>
      <c r="J8" s="8" t="s">
        <v>53</v>
      </c>
      <c r="K8" s="8" t="s">
        <v>821</v>
      </c>
      <c r="L8" s="8" t="s">
        <v>311</v>
      </c>
      <c r="M8" s="8" t="s">
        <v>2257</v>
      </c>
      <c r="N8" s="8" t="s">
        <v>267</v>
      </c>
      <c r="O8" s="72">
        <v>46265</v>
      </c>
      <c r="P8" s="8" t="s">
        <v>62</v>
      </c>
      <c r="Q8" s="8" t="s">
        <v>1206</v>
      </c>
      <c r="R8" s="74">
        <v>11422.075999999999</v>
      </c>
      <c r="S8" s="8">
        <v>1</v>
      </c>
      <c r="T8" s="74">
        <v>10793</v>
      </c>
      <c r="U8" s="74">
        <v>1</v>
      </c>
      <c r="V8" s="74">
        <v>1780</v>
      </c>
      <c r="W8" s="74">
        <v>192.11539999999999</v>
      </c>
      <c r="X8" s="68">
        <v>5.4125605418985222E-2</v>
      </c>
      <c r="Y8" s="68">
        <v>4.4579847249719148E-5</v>
      </c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68"/>
      <c r="Y9" s="6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68"/>
      <c r="Y10" s="6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68"/>
      <c r="Y11" s="6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68"/>
      <c r="Y12" s="6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68"/>
      <c r="Y13" s="6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68"/>
      <c r="Y14" s="6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68"/>
      <c r="Y15" s="68"/>
    </row>
    <row r="16" spans="1:25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68"/>
      <c r="Y16" s="68"/>
    </row>
    <row r="17" spans="1:25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68"/>
      <c r="Y17" s="68"/>
    </row>
    <row r="18" spans="1:25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68"/>
      <c r="Y18" s="68"/>
    </row>
    <row r="19" spans="1:25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25">
      <c r="E20" s="8"/>
      <c r="H20" s="8"/>
      <c r="I20" s="8"/>
      <c r="J20" s="8"/>
      <c r="K20" s="8"/>
      <c r="L20" s="8"/>
      <c r="N20" s="8"/>
      <c r="P20" s="8"/>
    </row>
    <row r="10000" spans="52:52" x14ac:dyDescent="0.25">
      <c r="AZ10000" s="1">
        <v>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20"/>
  <sheetViews>
    <sheetView rightToLeft="1" zoomScale="85" zoomScaleNormal="85" workbookViewId="0"/>
  </sheetViews>
  <sheetFormatPr defaultColWidth="9" defaultRowHeight="13.8" x14ac:dyDescent="0.25"/>
  <cols>
    <col min="1" max="11" width="11.69921875" style="1" customWidth="1"/>
    <col min="12" max="12" width="11.69921875" style="1"/>
    <col min="13" max="25" width="11.69921875" style="1" customWidth="1"/>
    <col min="26" max="16384" width="9" style="1"/>
  </cols>
  <sheetData>
    <row r="1" spans="1:24" ht="66.75" customHeight="1" x14ac:dyDescent="0.25">
      <c r="A1" s="9" t="s">
        <v>667</v>
      </c>
      <c r="B1" s="9" t="s">
        <v>0</v>
      </c>
      <c r="C1" s="9" t="s">
        <v>740</v>
      </c>
      <c r="D1" s="9" t="s">
        <v>2</v>
      </c>
      <c r="E1" s="9" t="s">
        <v>756</v>
      </c>
      <c r="F1" s="9" t="s">
        <v>1154</v>
      </c>
      <c r="G1" s="9" t="s">
        <v>29</v>
      </c>
      <c r="H1" s="9" t="s">
        <v>28</v>
      </c>
      <c r="I1" s="9" t="s">
        <v>1</v>
      </c>
      <c r="J1" s="9" t="s">
        <v>620</v>
      </c>
      <c r="K1" s="9" t="s">
        <v>621</v>
      </c>
      <c r="L1" s="9" t="s">
        <v>5</v>
      </c>
      <c r="M1" s="9" t="s">
        <v>9</v>
      </c>
      <c r="N1" s="9" t="s">
        <v>10</v>
      </c>
      <c r="O1" s="9" t="s">
        <v>682</v>
      </c>
      <c r="P1" s="9" t="s">
        <v>622</v>
      </c>
      <c r="Q1" s="9" t="s">
        <v>396</v>
      </c>
      <c r="R1" s="9" t="s">
        <v>23</v>
      </c>
      <c r="S1" s="9" t="s">
        <v>789</v>
      </c>
      <c r="T1" s="9" t="s">
        <v>11</v>
      </c>
      <c r="U1" s="9" t="s">
        <v>15</v>
      </c>
      <c r="V1" s="9" t="s">
        <v>1162</v>
      </c>
      <c r="W1" s="9" t="s">
        <v>19</v>
      </c>
      <c r="X1" s="9" t="s">
        <v>30</v>
      </c>
    </row>
    <row r="2" spans="1:24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x14ac:dyDescent="0.25">
      <c r="E20" s="8"/>
      <c r="H20" s="8"/>
      <c r="I20" s="8"/>
      <c r="J20" s="8"/>
      <c r="K20" s="8"/>
      <c r="L20" s="8"/>
      <c r="M20" s="8"/>
      <c r="P2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AZ10000"/>
  <sheetViews>
    <sheetView rightToLeft="1" zoomScale="40" zoomScaleNormal="40" workbookViewId="0">
      <selection activeCell="A2" sqref="A2:T10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29.19921875" style="1" bestFit="1" customWidth="1"/>
    <col min="4" max="4" width="18.19921875" style="1" bestFit="1" customWidth="1"/>
    <col min="5" max="5" width="18.296875" style="1" customWidth="1"/>
    <col min="6" max="6" width="29.3984375" style="1" bestFit="1" customWidth="1"/>
    <col min="7" max="7" width="17.59765625" style="1" bestFit="1" customWidth="1"/>
    <col min="8" max="8" width="15.796875" style="1" customWidth="1"/>
    <col min="9" max="9" width="10.5" style="1" customWidth="1"/>
    <col min="10" max="10" width="19.5" style="1" customWidth="1"/>
    <col min="11" max="11" width="10.796875" style="1" customWidth="1"/>
    <col min="12" max="12" width="20.69921875" style="1" bestFit="1" customWidth="1"/>
    <col min="13" max="13" width="15.296875" style="1" customWidth="1"/>
    <col min="14" max="14" width="12" style="1" customWidth="1"/>
    <col min="15" max="15" width="15" style="1" customWidth="1"/>
    <col min="16" max="16" width="10.296875" style="1" customWidth="1"/>
    <col min="17" max="17" width="14.19921875" style="1" bestFit="1" customWidth="1"/>
    <col min="18" max="18" width="16.796875" style="1" customWidth="1"/>
    <col min="19" max="19" width="21.5" style="1" customWidth="1"/>
    <col min="20" max="20" width="20.296875" style="1" customWidth="1"/>
    <col min="21" max="16384" width="9" style="1"/>
  </cols>
  <sheetData>
    <row r="1" spans="1:20" ht="66.75" customHeight="1" x14ac:dyDescent="0.25">
      <c r="A1" s="139" t="s">
        <v>667</v>
      </c>
      <c r="B1" s="139" t="s">
        <v>0</v>
      </c>
      <c r="C1" s="139" t="s">
        <v>740</v>
      </c>
      <c r="D1" s="139" t="s">
        <v>2</v>
      </c>
      <c r="E1" s="139" t="s">
        <v>756</v>
      </c>
      <c r="F1" s="139" t="s">
        <v>1154</v>
      </c>
      <c r="G1" s="139" t="s">
        <v>29</v>
      </c>
      <c r="H1" s="139" t="s">
        <v>28</v>
      </c>
      <c r="I1" s="139" t="s">
        <v>620</v>
      </c>
      <c r="J1" s="139" t="s">
        <v>621</v>
      </c>
      <c r="K1" s="139" t="s">
        <v>5</v>
      </c>
      <c r="L1" s="139" t="s">
        <v>10</v>
      </c>
      <c r="M1" s="139" t="s">
        <v>622</v>
      </c>
      <c r="N1" s="139" t="s">
        <v>396</v>
      </c>
      <c r="O1" s="139" t="s">
        <v>789</v>
      </c>
      <c r="P1" s="139" t="s">
        <v>11</v>
      </c>
      <c r="Q1" s="139" t="s">
        <v>15</v>
      </c>
      <c r="R1" s="139" t="s">
        <v>1162</v>
      </c>
      <c r="S1" s="139" t="s">
        <v>19</v>
      </c>
      <c r="T1" s="139" t="s">
        <v>30</v>
      </c>
    </row>
    <row r="2" spans="1:20" x14ac:dyDescent="0.25">
      <c r="A2" s="8">
        <v>13908</v>
      </c>
      <c r="B2" s="8">
        <v>13908</v>
      </c>
      <c r="C2" s="1" t="s">
        <v>2468</v>
      </c>
      <c r="D2" s="1" t="s">
        <v>2469</v>
      </c>
      <c r="E2" s="8" t="s">
        <v>430</v>
      </c>
      <c r="F2" s="8" t="s">
        <v>2470</v>
      </c>
      <c r="G2" s="8" t="s">
        <v>2471</v>
      </c>
      <c r="H2" s="8" t="s">
        <v>102</v>
      </c>
      <c r="I2" s="8" t="s">
        <v>61</v>
      </c>
      <c r="J2" s="8" t="s">
        <v>157</v>
      </c>
      <c r="K2" s="8" t="s">
        <v>483</v>
      </c>
      <c r="L2" s="8" t="s">
        <v>97</v>
      </c>
      <c r="M2" s="8" t="s">
        <v>62</v>
      </c>
      <c r="N2" s="8" t="s">
        <v>1207</v>
      </c>
      <c r="O2" s="74">
        <v>20</v>
      </c>
      <c r="P2" s="74">
        <v>3.19</v>
      </c>
      <c r="Q2" s="74">
        <v>2634750</v>
      </c>
      <c r="R2" s="74">
        <v>27.264990000000001</v>
      </c>
      <c r="S2" s="68">
        <v>5.9600880746791332E-3</v>
      </c>
      <c r="T2" s="68">
        <v>6.3267655246019855E-6</v>
      </c>
    </row>
    <row r="3" spans="1:20" x14ac:dyDescent="0.25">
      <c r="A3" s="8">
        <v>13908</v>
      </c>
      <c r="B3" s="8">
        <v>13908</v>
      </c>
      <c r="C3" s="1" t="s">
        <v>2472</v>
      </c>
      <c r="D3" s="1" t="s">
        <v>2473</v>
      </c>
      <c r="E3" s="8" t="s">
        <v>430</v>
      </c>
      <c r="F3" s="8" t="s">
        <v>2474</v>
      </c>
      <c r="G3" s="8" t="s">
        <v>2475</v>
      </c>
      <c r="H3" s="8" t="s">
        <v>102</v>
      </c>
      <c r="I3" s="8" t="s">
        <v>61</v>
      </c>
      <c r="J3" s="8" t="s">
        <v>314</v>
      </c>
      <c r="K3" s="8" t="s">
        <v>485</v>
      </c>
      <c r="L3" s="8" t="s">
        <v>97</v>
      </c>
      <c r="M3" s="8" t="s">
        <v>62</v>
      </c>
      <c r="N3" s="8" t="s">
        <v>1207</v>
      </c>
      <c r="O3" s="74">
        <v>12</v>
      </c>
      <c r="P3" s="74">
        <v>3.19</v>
      </c>
      <c r="Q3" s="74">
        <v>11501.56</v>
      </c>
      <c r="R3" s="74">
        <v>-33.644289999999998</v>
      </c>
      <c r="S3" s="68">
        <v>-7.3545939906835243E-3</v>
      </c>
      <c r="T3" s="68">
        <v>-7.8070644468129748E-6</v>
      </c>
    </row>
    <row r="4" spans="1:20" x14ac:dyDescent="0.25">
      <c r="A4" s="8">
        <v>13908</v>
      </c>
      <c r="B4" s="8">
        <v>13908</v>
      </c>
      <c r="C4" s="1" t="s">
        <v>2476</v>
      </c>
      <c r="D4" s="1" t="s">
        <v>2477</v>
      </c>
      <c r="E4" s="8" t="s">
        <v>430</v>
      </c>
      <c r="F4" s="8" t="s">
        <v>2478</v>
      </c>
      <c r="G4" s="8" t="s">
        <v>2479</v>
      </c>
      <c r="H4" s="8" t="s">
        <v>102</v>
      </c>
      <c r="I4" s="8" t="s">
        <v>61</v>
      </c>
      <c r="J4" s="8" t="s">
        <v>166</v>
      </c>
      <c r="K4" s="8" t="s">
        <v>480</v>
      </c>
      <c r="L4" s="8" t="s">
        <v>97</v>
      </c>
      <c r="M4" s="8" t="s">
        <v>62</v>
      </c>
      <c r="N4" s="8" t="s">
        <v>1210</v>
      </c>
      <c r="O4" s="74">
        <v>295</v>
      </c>
      <c r="P4" s="74">
        <v>2.0365000000000001E-2</v>
      </c>
      <c r="Q4" s="74">
        <v>5040000</v>
      </c>
      <c r="R4" s="74">
        <v>-122.85695</v>
      </c>
      <c r="S4" s="68">
        <v>-2.6856354709334222E-2</v>
      </c>
      <c r="T4" s="68">
        <v>-2.8508615470526481E-5</v>
      </c>
    </row>
    <row r="5" spans="1:20" x14ac:dyDescent="0.25">
      <c r="A5" s="8">
        <v>13908</v>
      </c>
      <c r="B5" s="8">
        <v>13908</v>
      </c>
      <c r="C5" s="1" t="s">
        <v>2476</v>
      </c>
      <c r="D5" s="1" t="s">
        <v>2480</v>
      </c>
      <c r="E5" s="8" t="s">
        <v>430</v>
      </c>
      <c r="F5" s="8" t="s">
        <v>2481</v>
      </c>
      <c r="G5" s="8" t="s">
        <v>2482</v>
      </c>
      <c r="H5" s="8" t="s">
        <v>102</v>
      </c>
      <c r="I5" s="8" t="s">
        <v>61</v>
      </c>
      <c r="J5" s="8" t="s">
        <v>166</v>
      </c>
      <c r="K5" s="8" t="s">
        <v>480</v>
      </c>
      <c r="L5" s="8" t="s">
        <v>97</v>
      </c>
      <c r="M5" s="8" t="s">
        <v>62</v>
      </c>
      <c r="N5" s="8" t="s">
        <v>1210</v>
      </c>
      <c r="O5" s="74">
        <v>22</v>
      </c>
      <c r="P5" s="74">
        <v>2.0365000000000001E-2</v>
      </c>
      <c r="Q5" s="74">
        <v>341350</v>
      </c>
      <c r="R5" s="74">
        <v>121.86416</v>
      </c>
      <c r="S5" s="68">
        <v>2.663933222593479E-2</v>
      </c>
      <c r="T5" s="68">
        <v>2.8278241296717154E-5</v>
      </c>
    </row>
    <row r="6" spans="1:20" x14ac:dyDescent="0.25">
      <c r="A6" s="8">
        <v>13908</v>
      </c>
      <c r="B6" s="8">
        <v>13908</v>
      </c>
      <c r="C6" s="1" t="s">
        <v>2483</v>
      </c>
      <c r="D6" s="1" t="s">
        <v>2484</v>
      </c>
      <c r="E6" s="8" t="s">
        <v>430</v>
      </c>
      <c r="F6" s="8" t="s">
        <v>2485</v>
      </c>
      <c r="G6" s="8" t="s">
        <v>2486</v>
      </c>
      <c r="H6" s="8" t="s">
        <v>102</v>
      </c>
      <c r="I6" s="8" t="s">
        <v>61</v>
      </c>
      <c r="J6" s="8" t="s">
        <v>314</v>
      </c>
      <c r="K6" s="8" t="s">
        <v>484</v>
      </c>
      <c r="L6" s="8" t="s">
        <v>97</v>
      </c>
      <c r="M6" s="8" t="s">
        <v>62</v>
      </c>
      <c r="N6" s="8" t="s">
        <v>1207</v>
      </c>
      <c r="O6" s="74">
        <v>594</v>
      </c>
      <c r="P6" s="74">
        <v>3.19</v>
      </c>
      <c r="Q6" s="74">
        <v>689250</v>
      </c>
      <c r="R6" s="74">
        <v>1112.44388</v>
      </c>
      <c r="S6" s="68">
        <v>0.24317865155783239</v>
      </c>
      <c r="T6" s="68">
        <v>2.5813952574486431E-4</v>
      </c>
    </row>
    <row r="7" spans="1:20" x14ac:dyDescent="0.25">
      <c r="A7" s="8">
        <v>13908</v>
      </c>
      <c r="B7" s="8">
        <v>13908</v>
      </c>
      <c r="C7" s="1" t="s">
        <v>2487</v>
      </c>
      <c r="D7" s="1" t="s">
        <v>2488</v>
      </c>
      <c r="E7" s="8" t="s">
        <v>430</v>
      </c>
      <c r="F7" s="8" t="s">
        <v>2489</v>
      </c>
      <c r="G7" s="8" t="s">
        <v>2490</v>
      </c>
      <c r="H7" s="8" t="s">
        <v>102</v>
      </c>
      <c r="I7" s="8" t="s">
        <v>61</v>
      </c>
      <c r="J7" s="8" t="s">
        <v>314</v>
      </c>
      <c r="K7" s="8" t="s">
        <v>490</v>
      </c>
      <c r="L7" s="8" t="s">
        <v>97</v>
      </c>
      <c r="M7" s="8" t="s">
        <v>62</v>
      </c>
      <c r="N7" s="8" t="s">
        <v>1207</v>
      </c>
      <c r="O7" s="74">
        <v>400</v>
      </c>
      <c r="P7" s="74">
        <v>3.19</v>
      </c>
      <c r="Q7" s="74">
        <v>141140</v>
      </c>
      <c r="R7" s="74">
        <v>1426.568</v>
      </c>
      <c r="S7" s="68">
        <v>0.31184573786819147</v>
      </c>
      <c r="T7" s="68">
        <v>3.3103115903950099E-4</v>
      </c>
    </row>
    <row r="8" spans="1:20" x14ac:dyDescent="0.25">
      <c r="A8" s="8">
        <v>13908</v>
      </c>
      <c r="B8" s="8">
        <v>13908</v>
      </c>
      <c r="C8" s="1" t="s">
        <v>2483</v>
      </c>
      <c r="D8" s="1" t="s">
        <v>2491</v>
      </c>
      <c r="E8" s="8" t="s">
        <v>430</v>
      </c>
      <c r="F8" s="8" t="s">
        <v>2492</v>
      </c>
      <c r="G8" s="8" t="s">
        <v>2493</v>
      </c>
      <c r="H8" s="8" t="s">
        <v>102</v>
      </c>
      <c r="I8" s="8" t="s">
        <v>61</v>
      </c>
      <c r="J8" s="8" t="s">
        <v>314</v>
      </c>
      <c r="K8" s="8" t="s">
        <v>484</v>
      </c>
      <c r="L8" s="8" t="s">
        <v>97</v>
      </c>
      <c r="M8" s="8" t="s">
        <v>62</v>
      </c>
      <c r="N8" s="8" t="s">
        <v>1207</v>
      </c>
      <c r="O8" s="74">
        <v>54</v>
      </c>
      <c r="P8" s="74">
        <v>3.19</v>
      </c>
      <c r="Q8" s="74">
        <v>2545675</v>
      </c>
      <c r="R8" s="74">
        <v>394.99561999999997</v>
      </c>
      <c r="S8" s="68">
        <v>8.6345481304504063E-2</v>
      </c>
      <c r="T8" s="68">
        <v>9.1657641208919789E-5</v>
      </c>
    </row>
    <row r="9" spans="1:20" x14ac:dyDescent="0.25">
      <c r="A9" s="8">
        <v>13908</v>
      </c>
      <c r="B9" s="8">
        <v>13908</v>
      </c>
      <c r="C9" s="1" t="s">
        <v>2494</v>
      </c>
      <c r="D9" s="1" t="s">
        <v>2495</v>
      </c>
      <c r="E9" s="8" t="s">
        <v>430</v>
      </c>
      <c r="F9" s="8" t="s">
        <v>2496</v>
      </c>
      <c r="G9" s="8" t="s">
        <v>2497</v>
      </c>
      <c r="H9" s="8" t="s">
        <v>102</v>
      </c>
      <c r="I9" s="8" t="s">
        <v>61</v>
      </c>
      <c r="J9" s="8" t="s">
        <v>153</v>
      </c>
      <c r="K9" s="8" t="s">
        <v>487</v>
      </c>
      <c r="L9" s="8" t="s">
        <v>97</v>
      </c>
      <c r="M9" s="8" t="s">
        <v>62</v>
      </c>
      <c r="N9" s="8" t="s">
        <v>1212</v>
      </c>
      <c r="O9" s="74">
        <v>1058</v>
      </c>
      <c r="P9" s="74">
        <v>3.7454999999999998</v>
      </c>
      <c r="Q9" s="74">
        <v>59500</v>
      </c>
      <c r="R9" s="74">
        <v>2053.1347000000001</v>
      </c>
      <c r="S9" s="68">
        <v>0.4488123282341171</v>
      </c>
      <c r="T9" s="68">
        <v>4.7642422892229337E-4</v>
      </c>
    </row>
    <row r="10" spans="1:20" x14ac:dyDescent="0.25">
      <c r="A10" s="8">
        <v>13908</v>
      </c>
      <c r="B10" s="8">
        <v>13908</v>
      </c>
      <c r="C10" s="1" t="s">
        <v>2472</v>
      </c>
      <c r="D10" s="1" t="s">
        <v>2498</v>
      </c>
      <c r="E10" s="8" t="s">
        <v>430</v>
      </c>
      <c r="F10" s="8" t="s">
        <v>2499</v>
      </c>
      <c r="G10" s="8" t="s">
        <v>2500</v>
      </c>
      <c r="H10" s="8" t="s">
        <v>102</v>
      </c>
      <c r="I10" s="8" t="s">
        <v>61</v>
      </c>
      <c r="J10" s="8" t="s">
        <v>314</v>
      </c>
      <c r="K10" s="8" t="s">
        <v>485</v>
      </c>
      <c r="L10" s="8" t="s">
        <v>97</v>
      </c>
      <c r="M10" s="8" t="s">
        <v>62</v>
      </c>
      <c r="N10" s="8" t="s">
        <v>1207</v>
      </c>
      <c r="O10" s="74">
        <v>48</v>
      </c>
      <c r="P10" s="74">
        <v>3.19</v>
      </c>
      <c r="Q10" s="74">
        <v>4833600</v>
      </c>
      <c r="R10" s="74">
        <v>-405.17496</v>
      </c>
      <c r="S10" s="68">
        <v>-8.8570670565241164E-2</v>
      </c>
      <c r="T10" s="68">
        <v>-9.4019728903622866E-5</v>
      </c>
    </row>
    <row r="11" spans="1:20" x14ac:dyDescent="0.25">
      <c r="A11" s="8"/>
      <c r="B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25">
      <c r="A12" s="8"/>
      <c r="B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25">
      <c r="A13" s="8"/>
      <c r="B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25">
      <c r="A14" s="8"/>
      <c r="B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25">
      <c r="A15" s="8"/>
      <c r="B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25">
      <c r="A16" s="8"/>
      <c r="B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25">
      <c r="A17" s="8"/>
      <c r="B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25">
      <c r="A18" s="8"/>
      <c r="B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25">
      <c r="A19" s="8"/>
      <c r="B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25">
      <c r="E20" s="8"/>
      <c r="H20" s="8"/>
      <c r="J20" s="8"/>
      <c r="K20" s="8"/>
      <c r="L20" s="8"/>
      <c r="M20" s="8"/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Z10000"/>
  <sheetViews>
    <sheetView rightToLeft="1" zoomScale="40" zoomScaleNormal="40" workbookViewId="0">
      <selection activeCell="A2" sqref="A2:AB2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16.3984375" style="1" bestFit="1" customWidth="1"/>
    <col min="4" max="4" width="11.5" style="1" customWidth="1"/>
    <col min="5" max="5" width="18.296875" style="1" customWidth="1"/>
    <col min="6" max="6" width="15.19921875" style="1" bestFit="1" customWidth="1"/>
    <col min="7" max="7" width="14.19921875" style="1" bestFit="1" customWidth="1"/>
    <col min="8" max="8" width="15.796875" style="1" customWidth="1"/>
    <col min="9" max="9" width="11.19921875" style="1" bestFit="1" customWidth="1"/>
    <col min="10" max="10" width="10.5" style="1" customWidth="1"/>
    <col min="11" max="11" width="19.5" style="1" customWidth="1"/>
    <col min="12" max="12" width="13.5" style="1" customWidth="1"/>
    <col min="13" max="13" width="10.796875" style="1" customWidth="1"/>
    <col min="14" max="14" width="17.69921875" style="1" bestFit="1" customWidth="1"/>
    <col min="15" max="15" width="15.296875" style="1" customWidth="1"/>
    <col min="16" max="16" width="6.796875" style="1" customWidth="1"/>
    <col min="17" max="17" width="11" style="1" customWidth="1"/>
    <col min="18" max="18" width="11.796875" style="1" customWidth="1"/>
    <col min="19" max="19" width="6.796875" style="1" bestFit="1" customWidth="1"/>
    <col min="20" max="20" width="11.19921875" style="1" bestFit="1" customWidth="1"/>
    <col min="21" max="21" width="19" style="1" customWidth="1"/>
    <col min="22" max="22" width="12" style="1" customWidth="1"/>
    <col min="23" max="23" width="15" style="1" customWidth="1"/>
    <col min="24" max="24" width="10.296875" style="1" customWidth="1"/>
    <col min="25" max="25" width="13.5" style="1" customWidth="1"/>
    <col min="26" max="26" width="16.796875" style="1" customWidth="1"/>
    <col min="27" max="27" width="21.5" style="1" customWidth="1"/>
    <col min="28" max="28" width="20.296875" style="1" customWidth="1"/>
    <col min="29" max="16384" width="9" style="1"/>
  </cols>
  <sheetData>
    <row r="1" spans="1:28" ht="66.75" customHeight="1" x14ac:dyDescent="0.25">
      <c r="A1" s="139" t="s">
        <v>667</v>
      </c>
      <c r="B1" s="139" t="s">
        <v>0</v>
      </c>
      <c r="C1" s="139" t="s">
        <v>740</v>
      </c>
      <c r="D1" s="139" t="s">
        <v>2</v>
      </c>
      <c r="E1" s="139" t="s">
        <v>756</v>
      </c>
      <c r="F1" s="139" t="s">
        <v>1154</v>
      </c>
      <c r="G1" s="139" t="s">
        <v>29</v>
      </c>
      <c r="H1" s="139" t="s">
        <v>28</v>
      </c>
      <c r="I1" s="139" t="s">
        <v>1</v>
      </c>
      <c r="J1" s="139" t="s">
        <v>620</v>
      </c>
      <c r="K1" s="139" t="s">
        <v>621</v>
      </c>
      <c r="L1" s="139" t="s">
        <v>625</v>
      </c>
      <c r="M1" s="139" t="s">
        <v>5</v>
      </c>
      <c r="N1" s="139" t="s">
        <v>10</v>
      </c>
      <c r="O1" s="139" t="s">
        <v>622</v>
      </c>
      <c r="P1" s="139" t="s">
        <v>13</v>
      </c>
      <c r="Q1" s="139" t="s">
        <v>14</v>
      </c>
      <c r="R1" s="139" t="s">
        <v>637</v>
      </c>
      <c r="S1" s="139" t="s">
        <v>6</v>
      </c>
      <c r="T1" s="139" t="s">
        <v>8</v>
      </c>
      <c r="U1" s="139" t="s">
        <v>1155</v>
      </c>
      <c r="V1" s="139" t="s">
        <v>396</v>
      </c>
      <c r="W1" s="139" t="s">
        <v>789</v>
      </c>
      <c r="X1" s="139" t="s">
        <v>11</v>
      </c>
      <c r="Y1" s="139" t="s">
        <v>15</v>
      </c>
      <c r="Z1" s="139" t="s">
        <v>1162</v>
      </c>
      <c r="AA1" s="139" t="s">
        <v>19</v>
      </c>
      <c r="AB1" s="139" t="s">
        <v>30</v>
      </c>
    </row>
    <row r="2" spans="1:28" x14ac:dyDescent="0.25">
      <c r="A2" s="8">
        <v>13908</v>
      </c>
      <c r="B2" s="8">
        <v>13908</v>
      </c>
      <c r="C2" s="8" t="s">
        <v>1743</v>
      </c>
      <c r="D2" s="8">
        <v>515666881</v>
      </c>
      <c r="E2" s="8" t="s">
        <v>429</v>
      </c>
      <c r="F2" s="8" t="s">
        <v>2501</v>
      </c>
      <c r="G2" s="8" t="s">
        <v>2502</v>
      </c>
      <c r="H2" s="8" t="s">
        <v>76</v>
      </c>
      <c r="I2" s="8" t="s">
        <v>239</v>
      </c>
      <c r="J2" s="8" t="s">
        <v>53</v>
      </c>
      <c r="K2" s="8" t="s">
        <v>53</v>
      </c>
      <c r="L2" s="8" t="s">
        <v>821</v>
      </c>
      <c r="M2" s="8" t="s">
        <v>311</v>
      </c>
      <c r="N2" s="8" t="s">
        <v>79</v>
      </c>
      <c r="O2" s="8" t="s">
        <v>62</v>
      </c>
      <c r="P2" s="71">
        <v>2.5369999999999999</v>
      </c>
      <c r="Q2" s="73">
        <v>5.0000000000000001E-4</v>
      </c>
      <c r="R2" s="73">
        <v>2.52E-2</v>
      </c>
      <c r="S2" s="8" t="s">
        <v>1746</v>
      </c>
      <c r="T2" s="8" t="s">
        <v>65</v>
      </c>
      <c r="U2" s="8" t="s">
        <v>57</v>
      </c>
      <c r="V2" s="8" t="s">
        <v>1206</v>
      </c>
      <c r="W2" s="74">
        <v>6774</v>
      </c>
      <c r="X2" s="74">
        <v>1</v>
      </c>
      <c r="Y2" s="74">
        <v>110.17</v>
      </c>
      <c r="Z2" s="74">
        <v>7.4629200000000004</v>
      </c>
      <c r="AA2" s="68">
        <v>1</v>
      </c>
      <c r="AB2" s="68">
        <v>1.7317499463180674E-6</v>
      </c>
    </row>
    <row r="3" spans="1:2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68"/>
      <c r="AB3" s="68"/>
    </row>
    <row r="4" spans="1:2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68"/>
      <c r="AB4" s="68"/>
    </row>
    <row r="5" spans="1:2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68"/>
      <c r="AB5" s="68"/>
    </row>
    <row r="6" spans="1:2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68"/>
      <c r="AB6" s="68"/>
    </row>
    <row r="7" spans="1:2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68"/>
      <c r="AB7" s="68"/>
    </row>
    <row r="8" spans="1:2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68"/>
      <c r="AB8" s="68"/>
    </row>
    <row r="9" spans="1:2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68"/>
      <c r="AB9" s="68"/>
    </row>
    <row r="10" spans="1:2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68"/>
      <c r="AB10" s="68"/>
    </row>
    <row r="11" spans="1:2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25">
      <c r="E20" s="8"/>
      <c r="H20" s="8"/>
      <c r="I20" s="8"/>
      <c r="J20" s="8"/>
      <c r="K20" s="8"/>
      <c r="L20" s="8"/>
      <c r="M20" s="8"/>
      <c r="N20" s="8"/>
      <c r="O20" s="8"/>
      <c r="T20" s="8"/>
      <c r="U20" s="8"/>
    </row>
    <row r="21" spans="1:28" x14ac:dyDescent="0.25">
      <c r="N21" s="8"/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zoomScale="55" zoomScaleNormal="55" workbookViewId="0"/>
  </sheetViews>
  <sheetFormatPr defaultColWidth="8.796875" defaultRowHeight="13.8" x14ac:dyDescent="0.25"/>
  <cols>
    <col min="1" max="25" width="11.69921875" style="1" customWidth="1"/>
    <col min="26" max="16384" width="8.796875" style="1"/>
  </cols>
  <sheetData>
    <row r="1" spans="1:25" ht="66.75" customHeight="1" x14ac:dyDescent="0.25">
      <c r="A1" s="9" t="s">
        <v>667</v>
      </c>
      <c r="B1" s="9" t="s">
        <v>0</v>
      </c>
      <c r="C1" s="9" t="s">
        <v>740</v>
      </c>
      <c r="D1" s="9" t="s">
        <v>1154</v>
      </c>
      <c r="E1" s="9" t="s">
        <v>29</v>
      </c>
      <c r="F1" s="9" t="s">
        <v>28</v>
      </c>
      <c r="G1" s="9" t="s">
        <v>1</v>
      </c>
      <c r="H1" s="9" t="s">
        <v>620</v>
      </c>
      <c r="I1" s="9" t="s">
        <v>621</v>
      </c>
      <c r="J1" s="9" t="s">
        <v>12</v>
      </c>
      <c r="K1" s="9" t="s">
        <v>6</v>
      </c>
      <c r="L1" s="9" t="s">
        <v>8</v>
      </c>
      <c r="M1" s="9" t="s">
        <v>396</v>
      </c>
      <c r="N1" s="9" t="s">
        <v>13</v>
      </c>
      <c r="O1" s="9" t="s">
        <v>421</v>
      </c>
      <c r="P1" s="9" t="s">
        <v>14</v>
      </c>
      <c r="Q1" s="9" t="s">
        <v>637</v>
      </c>
      <c r="R1" s="9" t="s">
        <v>789</v>
      </c>
      <c r="S1" s="9" t="s">
        <v>11</v>
      </c>
      <c r="T1" s="9" t="s">
        <v>15</v>
      </c>
      <c r="U1" s="9" t="s">
        <v>1162</v>
      </c>
      <c r="V1" s="9" t="s">
        <v>1163</v>
      </c>
      <c r="W1" s="9" t="s">
        <v>26</v>
      </c>
      <c r="X1" s="9" t="s">
        <v>19</v>
      </c>
      <c r="Y1" s="9" t="s">
        <v>30</v>
      </c>
    </row>
    <row r="2" spans="1:25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N5" s="8"/>
      <c r="O5" s="8"/>
      <c r="P5" s="8"/>
      <c r="Q5" s="8"/>
      <c r="R5" s="8"/>
      <c r="T5" s="8"/>
      <c r="U5" s="8"/>
      <c r="V5" s="8"/>
      <c r="W5" s="8"/>
      <c r="X5" s="8"/>
      <c r="Y5" s="8"/>
    </row>
    <row r="6" spans="1:2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25">
      <c r="F20" s="8"/>
      <c r="G20" s="8"/>
      <c r="H20" s="8"/>
      <c r="I20" s="8"/>
      <c r="L20" s="8"/>
      <c r="W2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0"/>
  <sheetViews>
    <sheetView rightToLeft="1" workbookViewId="0"/>
  </sheetViews>
  <sheetFormatPr defaultColWidth="9" defaultRowHeight="13.8" x14ac:dyDescent="0.25"/>
  <cols>
    <col min="1" max="19" width="11.69921875" style="1" customWidth="1"/>
    <col min="20" max="16384" width="9" style="1"/>
  </cols>
  <sheetData>
    <row r="1" spans="1:18" ht="66.75" customHeight="1" x14ac:dyDescent="0.25">
      <c r="A1" s="9" t="s">
        <v>667</v>
      </c>
      <c r="B1" s="9" t="s">
        <v>0</v>
      </c>
      <c r="C1" s="9" t="s">
        <v>1</v>
      </c>
      <c r="D1" s="9" t="s">
        <v>1154</v>
      </c>
      <c r="E1" s="9" t="s">
        <v>29</v>
      </c>
      <c r="F1" s="9" t="s">
        <v>12</v>
      </c>
      <c r="G1" s="9" t="s">
        <v>13</v>
      </c>
      <c r="H1" s="9" t="s">
        <v>282</v>
      </c>
      <c r="I1" s="9" t="s">
        <v>421</v>
      </c>
      <c r="J1" s="9" t="s">
        <v>14</v>
      </c>
      <c r="K1" s="9" t="s">
        <v>637</v>
      </c>
      <c r="L1" s="9" t="s">
        <v>789</v>
      </c>
      <c r="M1" s="9" t="s">
        <v>15</v>
      </c>
      <c r="N1" s="9" t="s">
        <v>1162</v>
      </c>
      <c r="O1" s="9" t="s">
        <v>1163</v>
      </c>
      <c r="P1" s="9" t="s">
        <v>26</v>
      </c>
      <c r="Q1" s="9" t="s">
        <v>19</v>
      </c>
      <c r="R1" s="9" t="s">
        <v>30</v>
      </c>
    </row>
    <row r="2" spans="1:18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x14ac:dyDescent="0.25">
      <c r="C20" s="8"/>
      <c r="H20" s="8"/>
      <c r="P2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AZ10000"/>
  <sheetViews>
    <sheetView rightToLeft="1" zoomScale="55" zoomScaleNormal="55" workbookViewId="0">
      <selection activeCell="A2" sqref="A2:G40"/>
    </sheetView>
  </sheetViews>
  <sheetFormatPr defaultColWidth="9" defaultRowHeight="13.8" x14ac:dyDescent="0.25"/>
  <cols>
    <col min="1" max="3" width="11.69921875" style="1" customWidth="1"/>
    <col min="4" max="4" width="15.796875" style="1" customWidth="1"/>
    <col min="5" max="5" width="12.19921875" style="1" customWidth="1"/>
    <col min="6" max="6" width="24.19921875" style="1" customWidth="1"/>
    <col min="7" max="7" width="20.19921875" style="1" customWidth="1"/>
    <col min="8" max="8" width="11.69921875" style="1" customWidth="1"/>
    <col min="9" max="16384" width="9" style="1"/>
  </cols>
  <sheetData>
    <row r="1" spans="1:7" ht="66.75" customHeight="1" x14ac:dyDescent="0.25">
      <c r="A1" s="139" t="s">
        <v>800</v>
      </c>
      <c r="B1" s="139" t="s">
        <v>0</v>
      </c>
      <c r="C1" s="139" t="s">
        <v>1</v>
      </c>
      <c r="D1" s="139" t="s">
        <v>774</v>
      </c>
      <c r="E1" s="139" t="s">
        <v>773</v>
      </c>
      <c r="F1" s="139" t="s">
        <v>1170</v>
      </c>
      <c r="G1" s="139" t="s">
        <v>30</v>
      </c>
    </row>
    <row r="2" spans="1:7" x14ac:dyDescent="0.25">
      <c r="A2" s="8">
        <v>13908</v>
      </c>
      <c r="B2" s="8">
        <v>1001</v>
      </c>
      <c r="C2" s="8" t="s">
        <v>687</v>
      </c>
      <c r="D2" s="94">
        <v>44835</v>
      </c>
      <c r="E2" s="94">
        <v>46691</v>
      </c>
      <c r="F2" s="67">
        <v>-13917.949000000001</v>
      </c>
      <c r="G2" s="95">
        <v>-3.2296215735405981E-3</v>
      </c>
    </row>
    <row r="3" spans="1:7" x14ac:dyDescent="0.25">
      <c r="A3" s="8">
        <v>13908</v>
      </c>
      <c r="B3" s="8">
        <v>1001</v>
      </c>
      <c r="C3" s="8" t="s">
        <v>687</v>
      </c>
      <c r="D3" s="94">
        <v>44866</v>
      </c>
      <c r="E3" s="94">
        <v>46721</v>
      </c>
      <c r="F3" s="67">
        <v>-10071.984</v>
      </c>
      <c r="G3" s="95">
        <v>-2.3371760318101273E-3</v>
      </c>
    </row>
    <row r="4" spans="1:7" x14ac:dyDescent="0.25">
      <c r="A4" s="8">
        <v>13908</v>
      </c>
      <c r="B4" s="8">
        <v>1001</v>
      </c>
      <c r="C4" s="8" t="s">
        <v>687</v>
      </c>
      <c r="D4" s="94">
        <v>44896</v>
      </c>
      <c r="E4" s="94">
        <v>46752</v>
      </c>
      <c r="F4" s="67">
        <v>-15328.316999999999</v>
      </c>
      <c r="G4" s="95">
        <v>-3.5568935673833189E-3</v>
      </c>
    </row>
    <row r="5" spans="1:7" x14ac:dyDescent="0.25">
      <c r="A5" s="8">
        <v>13908</v>
      </c>
      <c r="B5" s="8">
        <v>1001</v>
      </c>
      <c r="C5" s="8" t="s">
        <v>687</v>
      </c>
      <c r="D5" s="94">
        <v>44927</v>
      </c>
      <c r="E5" s="94">
        <v>46783</v>
      </c>
      <c r="F5" s="67">
        <v>-11543.964</v>
      </c>
      <c r="G5" s="95">
        <v>-2.6787449198567991E-3</v>
      </c>
    </row>
    <row r="6" spans="1:7" x14ac:dyDescent="0.25">
      <c r="A6" s="8">
        <v>13908</v>
      </c>
      <c r="B6" s="8">
        <v>1001</v>
      </c>
      <c r="C6" s="8" t="s">
        <v>687</v>
      </c>
      <c r="D6" s="94">
        <v>44958</v>
      </c>
      <c r="E6" s="94">
        <v>46812</v>
      </c>
      <c r="F6" s="67">
        <v>-13311.294</v>
      </c>
      <c r="G6" s="95">
        <v>-3.0888489585743934E-3</v>
      </c>
    </row>
    <row r="7" spans="1:7" x14ac:dyDescent="0.25">
      <c r="A7" s="8">
        <v>13908</v>
      </c>
      <c r="B7" s="8">
        <v>1001</v>
      </c>
      <c r="C7" s="8" t="s">
        <v>687</v>
      </c>
      <c r="D7" s="94">
        <v>44986</v>
      </c>
      <c r="E7" s="94">
        <v>46843</v>
      </c>
      <c r="F7" s="67">
        <v>-11439.825000000001</v>
      </c>
      <c r="G7" s="95">
        <v>-2.6545797529168324E-3</v>
      </c>
    </row>
    <row r="8" spans="1:7" x14ac:dyDescent="0.25">
      <c r="A8" s="8">
        <v>13908</v>
      </c>
      <c r="B8" s="8">
        <v>1001</v>
      </c>
      <c r="C8" s="8" t="s">
        <v>687</v>
      </c>
      <c r="D8" s="94">
        <v>45017</v>
      </c>
      <c r="E8" s="94">
        <v>46873</v>
      </c>
      <c r="F8" s="67">
        <v>-11493.474</v>
      </c>
      <c r="G8" s="95">
        <v>-2.6670288549935019E-3</v>
      </c>
    </row>
    <row r="9" spans="1:7" x14ac:dyDescent="0.25">
      <c r="A9" s="8">
        <v>13908</v>
      </c>
      <c r="B9" s="8">
        <v>1001</v>
      </c>
      <c r="C9" s="8" t="s">
        <v>687</v>
      </c>
      <c r="D9" s="94">
        <v>45047</v>
      </c>
      <c r="E9" s="94">
        <v>46904</v>
      </c>
      <c r="F9" s="67">
        <v>-11607.998</v>
      </c>
      <c r="G9" s="95">
        <v>-2.6936038324623917E-3</v>
      </c>
    </row>
    <row r="10" spans="1:7" x14ac:dyDescent="0.25">
      <c r="A10" s="8">
        <v>13908</v>
      </c>
      <c r="B10" s="8">
        <v>1001</v>
      </c>
      <c r="C10" s="8" t="s">
        <v>687</v>
      </c>
      <c r="D10" s="94">
        <v>45078</v>
      </c>
      <c r="E10" s="94">
        <v>46934</v>
      </c>
      <c r="F10" s="67">
        <v>-12645.127</v>
      </c>
      <c r="G10" s="95">
        <v>-2.9342667485964136E-3</v>
      </c>
    </row>
    <row r="11" spans="1:7" x14ac:dyDescent="0.25">
      <c r="A11" s="8">
        <v>13908</v>
      </c>
      <c r="B11" s="8">
        <v>1001</v>
      </c>
      <c r="C11" s="8" t="s">
        <v>687</v>
      </c>
      <c r="D11" s="94">
        <v>45108</v>
      </c>
      <c r="E11" s="94">
        <v>46965</v>
      </c>
      <c r="F11" s="67">
        <v>-14075.342000000001</v>
      </c>
      <c r="G11" s="95">
        <v>-3.2661441838996589E-3</v>
      </c>
    </row>
    <row r="12" spans="1:7" x14ac:dyDescent="0.25">
      <c r="A12" s="8">
        <v>13908</v>
      </c>
      <c r="B12" s="8">
        <v>1001</v>
      </c>
      <c r="C12" s="8" t="s">
        <v>687</v>
      </c>
      <c r="D12" s="94">
        <v>45139</v>
      </c>
      <c r="E12" s="94">
        <v>46996</v>
      </c>
      <c r="F12" s="67">
        <v>-18748.810000000001</v>
      </c>
      <c r="G12" s="95">
        <v>-4.3506095082122883E-3</v>
      </c>
    </row>
    <row r="13" spans="1:7" x14ac:dyDescent="0.25">
      <c r="A13" s="8">
        <v>13908</v>
      </c>
      <c r="B13" s="8">
        <v>1001</v>
      </c>
      <c r="C13" s="8" t="s">
        <v>687</v>
      </c>
      <c r="D13" s="94">
        <v>45170</v>
      </c>
      <c r="E13" s="94">
        <v>47026</v>
      </c>
      <c r="F13" s="67">
        <v>-18311.026000000002</v>
      </c>
      <c r="G13" s="95">
        <v>-4.2490229417612331E-3</v>
      </c>
    </row>
    <row r="14" spans="1:7" x14ac:dyDescent="0.25">
      <c r="A14" s="8">
        <v>13908</v>
      </c>
      <c r="B14" s="8">
        <v>1001</v>
      </c>
      <c r="C14" s="8" t="s">
        <v>687</v>
      </c>
      <c r="D14" s="94">
        <v>45200</v>
      </c>
      <c r="E14" s="94">
        <v>47057</v>
      </c>
      <c r="F14" s="67">
        <v>-7276.9790000000003</v>
      </c>
      <c r="G14" s="95">
        <v>-1.688602851512237E-3</v>
      </c>
    </row>
    <row r="15" spans="1:7" x14ac:dyDescent="0.25">
      <c r="A15" s="8">
        <v>13908</v>
      </c>
      <c r="B15" s="8">
        <v>1001</v>
      </c>
      <c r="C15" s="8" t="s">
        <v>687</v>
      </c>
      <c r="D15" s="94">
        <v>45231</v>
      </c>
      <c r="E15" s="94">
        <v>47087</v>
      </c>
      <c r="F15" s="67">
        <v>-14504.120999999999</v>
      </c>
      <c r="G15" s="95">
        <v>-3.3656411650052195E-3</v>
      </c>
    </row>
    <row r="16" spans="1:7" x14ac:dyDescent="0.25">
      <c r="A16" s="8">
        <v>13908</v>
      </c>
      <c r="B16" s="8">
        <v>1001</v>
      </c>
      <c r="C16" s="8" t="s">
        <v>687</v>
      </c>
      <c r="D16" s="94">
        <v>45261</v>
      </c>
      <c r="E16" s="94">
        <v>47118</v>
      </c>
      <c r="F16" s="67">
        <v>-13500.503000000001</v>
      </c>
      <c r="G16" s="95">
        <v>-3.1327543837421424E-3</v>
      </c>
    </row>
    <row r="17" spans="1:7" x14ac:dyDescent="0.25">
      <c r="A17" s="8">
        <v>13908</v>
      </c>
      <c r="B17" s="8">
        <v>1001</v>
      </c>
      <c r="C17" s="8" t="s">
        <v>687</v>
      </c>
      <c r="D17" s="94">
        <v>45292</v>
      </c>
      <c r="E17" s="94">
        <v>47149</v>
      </c>
      <c r="F17" s="67">
        <v>-12372.868</v>
      </c>
      <c r="G17" s="95">
        <v>-2.8710898006143086E-3</v>
      </c>
    </row>
    <row r="18" spans="1:7" x14ac:dyDescent="0.25">
      <c r="A18" s="8">
        <v>13908</v>
      </c>
      <c r="B18" s="8">
        <v>1001</v>
      </c>
      <c r="C18" s="8" t="s">
        <v>687</v>
      </c>
      <c r="D18" s="94">
        <v>45323</v>
      </c>
      <c r="E18" s="94">
        <v>47177</v>
      </c>
      <c r="F18" s="67">
        <v>-15445.938</v>
      </c>
      <c r="G18" s="95">
        <v>-3.5841871951370506E-3</v>
      </c>
    </row>
    <row r="19" spans="1:7" x14ac:dyDescent="0.25">
      <c r="A19" s="8">
        <v>13908</v>
      </c>
      <c r="B19" s="8">
        <v>1001</v>
      </c>
      <c r="C19" s="8" t="s">
        <v>687</v>
      </c>
      <c r="D19" s="94">
        <v>45352</v>
      </c>
      <c r="E19" s="94">
        <v>47208</v>
      </c>
      <c r="F19" s="67">
        <v>-11412.212</v>
      </c>
      <c r="G19" s="95">
        <v>-2.6481722326341973E-3</v>
      </c>
    </row>
    <row r="20" spans="1:7" x14ac:dyDescent="0.25">
      <c r="A20" s="1">
        <v>13908</v>
      </c>
      <c r="B20" s="1">
        <v>1001</v>
      </c>
      <c r="C20" s="8" t="s">
        <v>687</v>
      </c>
      <c r="D20" s="94">
        <v>45383</v>
      </c>
      <c r="E20" s="94">
        <v>47238</v>
      </c>
      <c r="F20" s="67">
        <v>-13822.912</v>
      </c>
      <c r="G20" s="95">
        <v>-3.2075685005278592E-3</v>
      </c>
    </row>
    <row r="21" spans="1:7" x14ac:dyDescent="0.25">
      <c r="A21" s="1">
        <v>13908</v>
      </c>
      <c r="B21" s="1">
        <v>1001</v>
      </c>
      <c r="C21" s="1" t="s">
        <v>687</v>
      </c>
      <c r="D21" s="94">
        <v>45413</v>
      </c>
      <c r="E21" s="94">
        <v>47269</v>
      </c>
      <c r="F21" s="67">
        <v>-4629.2640000000001</v>
      </c>
      <c r="G21" s="95">
        <v>-1.074207908364576E-3</v>
      </c>
    </row>
    <row r="22" spans="1:7" x14ac:dyDescent="0.25">
      <c r="A22" s="1">
        <v>13908</v>
      </c>
      <c r="B22" s="1">
        <v>1001</v>
      </c>
      <c r="C22" s="1" t="s">
        <v>687</v>
      </c>
      <c r="D22" s="94">
        <v>45444</v>
      </c>
      <c r="E22" s="94">
        <v>47299</v>
      </c>
      <c r="F22" s="67">
        <v>-18290.897000000001</v>
      </c>
      <c r="G22" s="95">
        <v>-4.2443520629806162E-3</v>
      </c>
    </row>
    <row r="23" spans="1:7" x14ac:dyDescent="0.25">
      <c r="A23" s="1">
        <v>13908</v>
      </c>
      <c r="B23" s="1">
        <v>1001</v>
      </c>
      <c r="C23" s="1" t="s">
        <v>687</v>
      </c>
      <c r="D23" s="94">
        <v>45474</v>
      </c>
      <c r="E23" s="94">
        <v>47330</v>
      </c>
      <c r="F23" s="67">
        <v>-14269.617</v>
      </c>
      <c r="G23" s="95">
        <v>-3.3112251603567215E-3</v>
      </c>
    </row>
    <row r="24" spans="1:7" x14ac:dyDescent="0.25">
      <c r="A24" s="1">
        <v>13908</v>
      </c>
      <c r="B24" s="1">
        <v>1001</v>
      </c>
      <c r="C24" s="1" t="s">
        <v>687</v>
      </c>
      <c r="D24" s="94">
        <v>45505</v>
      </c>
      <c r="E24" s="94">
        <v>47361</v>
      </c>
      <c r="F24" s="67">
        <v>-14853.771000000001</v>
      </c>
      <c r="G24" s="95">
        <v>-3.4467764805023861E-3</v>
      </c>
    </row>
    <row r="25" spans="1:7" x14ac:dyDescent="0.25">
      <c r="A25" s="1">
        <v>13908</v>
      </c>
      <c r="B25" s="1">
        <v>1001</v>
      </c>
      <c r="C25" s="1" t="s">
        <v>687</v>
      </c>
      <c r="D25" s="94">
        <v>45536</v>
      </c>
      <c r="E25" s="94">
        <v>47391</v>
      </c>
      <c r="F25" s="67">
        <v>-21129.047999999999</v>
      </c>
      <c r="G25" s="95">
        <v>-4.9029371532525968E-3</v>
      </c>
    </row>
    <row r="26" spans="1:7" x14ac:dyDescent="0.25">
      <c r="A26" s="1">
        <v>13908</v>
      </c>
      <c r="B26" s="1">
        <v>1001</v>
      </c>
      <c r="C26" s="1" t="s">
        <v>687</v>
      </c>
      <c r="D26" s="94">
        <v>45566</v>
      </c>
      <c r="E26" s="94">
        <v>47422</v>
      </c>
      <c r="F26" s="67">
        <v>-14517.5</v>
      </c>
      <c r="G26" s="95">
        <v>-3.3687457249538442E-3</v>
      </c>
    </row>
    <row r="27" spans="1:7" x14ac:dyDescent="0.25">
      <c r="A27" s="1">
        <v>13908</v>
      </c>
      <c r="B27" s="1">
        <v>1001</v>
      </c>
      <c r="C27" s="1" t="s">
        <v>687</v>
      </c>
      <c r="D27" s="94">
        <v>45597</v>
      </c>
      <c r="E27" s="94">
        <v>47452</v>
      </c>
      <c r="F27" s="67">
        <v>-16223.004000000001</v>
      </c>
      <c r="G27" s="95">
        <v>-3.764503211359333E-3</v>
      </c>
    </row>
    <row r="28" spans="1:7" x14ac:dyDescent="0.25">
      <c r="A28" s="1">
        <v>13908</v>
      </c>
      <c r="B28" s="1">
        <v>1001</v>
      </c>
      <c r="C28" s="1" t="s">
        <v>687</v>
      </c>
      <c r="D28" s="94">
        <v>45627</v>
      </c>
      <c r="E28" s="94">
        <v>47483</v>
      </c>
      <c r="F28" s="67">
        <v>-15254.953</v>
      </c>
      <c r="G28" s="95">
        <v>-3.5398696540810621E-3</v>
      </c>
    </row>
    <row r="29" spans="1:7" x14ac:dyDescent="0.25">
      <c r="A29" s="1">
        <v>13908</v>
      </c>
      <c r="B29" s="1">
        <v>1001</v>
      </c>
      <c r="C29" s="1" t="s">
        <v>687</v>
      </c>
      <c r="D29" s="94">
        <v>45658</v>
      </c>
      <c r="E29" s="94">
        <v>47514</v>
      </c>
      <c r="F29" s="67">
        <v>-14866.093000000001</v>
      </c>
      <c r="G29" s="95">
        <v>-3.4496357665242828E-3</v>
      </c>
    </row>
    <row r="30" spans="1:7" x14ac:dyDescent="0.25">
      <c r="A30" s="1">
        <v>13908</v>
      </c>
      <c r="B30" s="1">
        <v>1001</v>
      </c>
      <c r="C30" s="1" t="s">
        <v>687</v>
      </c>
      <c r="D30" s="94">
        <v>45689</v>
      </c>
      <c r="E30" s="94">
        <v>47542</v>
      </c>
      <c r="F30" s="67">
        <v>-7051.1109999999999</v>
      </c>
      <c r="G30" s="95">
        <v>-1.6361908067797503E-3</v>
      </c>
    </row>
    <row r="31" spans="1:7" x14ac:dyDescent="0.25">
      <c r="A31" s="1">
        <v>13908</v>
      </c>
      <c r="B31" s="1">
        <v>1001</v>
      </c>
      <c r="C31" s="1" t="s">
        <v>687</v>
      </c>
      <c r="D31" s="94">
        <v>45717</v>
      </c>
      <c r="E31" s="94">
        <v>47573</v>
      </c>
      <c r="F31" s="67">
        <v>-9907.4269999999997</v>
      </c>
      <c r="G31" s="95">
        <v>-2.2989910350640461E-3</v>
      </c>
    </row>
    <row r="32" spans="1:7" x14ac:dyDescent="0.25">
      <c r="A32" s="1">
        <v>13908</v>
      </c>
      <c r="B32" s="1">
        <v>1001</v>
      </c>
      <c r="C32" s="1" t="s">
        <v>687</v>
      </c>
      <c r="D32" s="94">
        <v>45748</v>
      </c>
      <c r="E32" s="94">
        <v>47603</v>
      </c>
      <c r="F32" s="67">
        <v>-8279.1650000000009</v>
      </c>
      <c r="G32" s="95">
        <v>-1.9211573411356982E-3</v>
      </c>
    </row>
    <row r="33" spans="1:7" x14ac:dyDescent="0.25">
      <c r="A33" s="1">
        <v>13908</v>
      </c>
      <c r="B33" s="1">
        <v>1001</v>
      </c>
      <c r="C33" s="1" t="s">
        <v>687</v>
      </c>
      <c r="D33" s="94">
        <v>45778</v>
      </c>
      <c r="E33" s="94">
        <v>47634</v>
      </c>
      <c r="F33" s="67">
        <v>-8203.0169999999998</v>
      </c>
      <c r="G33" s="95">
        <v>-1.9034874083329574E-3</v>
      </c>
    </row>
    <row r="34" spans="1:7" x14ac:dyDescent="0.25">
      <c r="A34" s="1">
        <v>13908</v>
      </c>
      <c r="B34" s="1">
        <v>1001</v>
      </c>
      <c r="C34" s="1" t="s">
        <v>687</v>
      </c>
      <c r="D34" s="94">
        <v>45809</v>
      </c>
      <c r="E34" s="94">
        <v>47664</v>
      </c>
      <c r="F34" s="67">
        <v>-15162.19</v>
      </c>
      <c r="G34" s="95">
        <v>-3.5183442564792789E-3</v>
      </c>
    </row>
    <row r="35" spans="1:7" x14ac:dyDescent="0.25">
      <c r="A35" s="1">
        <v>13908</v>
      </c>
      <c r="B35" s="1">
        <v>1001</v>
      </c>
      <c r="C35" s="1" t="s">
        <v>687</v>
      </c>
      <c r="D35" s="94">
        <v>45839</v>
      </c>
      <c r="E35" s="94">
        <v>47695</v>
      </c>
      <c r="F35" s="67">
        <v>-8913.6010000000006</v>
      </c>
      <c r="G35" s="95">
        <v>-2.0683764603199113E-3</v>
      </c>
    </row>
    <row r="36" spans="1:7" x14ac:dyDescent="0.25">
      <c r="A36" s="1">
        <v>13908</v>
      </c>
      <c r="B36" s="1">
        <v>1001</v>
      </c>
      <c r="C36" s="1" t="s">
        <v>687</v>
      </c>
      <c r="D36" s="94">
        <v>45870</v>
      </c>
      <c r="E36" s="94">
        <v>47726</v>
      </c>
      <c r="F36" s="67">
        <v>-9081.518</v>
      </c>
      <c r="G36" s="95">
        <v>-2.1073411357734723E-3</v>
      </c>
    </row>
    <row r="37" spans="1:7" x14ac:dyDescent="0.25">
      <c r="A37" s="1">
        <v>13908</v>
      </c>
      <c r="B37" s="1">
        <v>1001</v>
      </c>
      <c r="C37" s="1" t="s">
        <v>687</v>
      </c>
      <c r="D37" s="94">
        <v>45901</v>
      </c>
      <c r="E37" s="94">
        <v>47756</v>
      </c>
      <c r="F37" s="67">
        <v>-4474.0879999999997</v>
      </c>
      <c r="G37" s="95">
        <v>-1.0381997467241119E-3</v>
      </c>
    </row>
    <row r="38" spans="1:7" x14ac:dyDescent="0.25">
      <c r="A38" s="1">
        <v>13908</v>
      </c>
      <c r="B38" s="1">
        <v>1001</v>
      </c>
      <c r="C38" s="1" t="s">
        <v>687</v>
      </c>
      <c r="D38" s="94">
        <v>45901</v>
      </c>
      <c r="E38" s="94">
        <v>47756</v>
      </c>
      <c r="F38" s="67">
        <v>-2431.5529999999999</v>
      </c>
      <c r="G38" s="95">
        <v>-5.6423514887196104E-4</v>
      </c>
    </row>
    <row r="39" spans="1:7" x14ac:dyDescent="0.25">
      <c r="A39" s="1">
        <v>13908</v>
      </c>
      <c r="B39" s="1">
        <v>1001</v>
      </c>
      <c r="C39" s="1" t="s">
        <v>687</v>
      </c>
      <c r="D39" s="94">
        <v>45901</v>
      </c>
      <c r="E39" s="94">
        <v>47756</v>
      </c>
      <c r="F39" s="67">
        <v>-2250.357</v>
      </c>
      <c r="G39" s="95">
        <v>-5.2218911819321221E-4</v>
      </c>
    </row>
    <row r="40" spans="1:7" x14ac:dyDescent="0.25">
      <c r="A40" s="1">
        <v>13908</v>
      </c>
      <c r="B40" s="1">
        <v>1001</v>
      </c>
      <c r="C40" s="1" t="s">
        <v>687</v>
      </c>
      <c r="D40" s="94">
        <v>45901</v>
      </c>
      <c r="E40" s="94">
        <v>47756</v>
      </c>
      <c r="F40" s="67">
        <v>-765.79</v>
      </c>
      <c r="G40" s="95">
        <v>-1.7769945160753603E-4</v>
      </c>
    </row>
    <row r="10000" spans="52:52" x14ac:dyDescent="0.25">
      <c r="AZ10000" s="1">
        <v>1</v>
      </c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Z10000"/>
  <sheetViews>
    <sheetView rightToLeft="1" zoomScale="25" zoomScaleNormal="25" workbookViewId="0">
      <selection activeCell="A2" sqref="A2:AN2"/>
    </sheetView>
  </sheetViews>
  <sheetFormatPr defaultColWidth="8.796875" defaultRowHeight="13.8" x14ac:dyDescent="0.25"/>
  <cols>
    <col min="1" max="1" width="26.3984375" style="1" customWidth="1"/>
    <col min="2" max="2" width="11.19921875" style="1" customWidth="1"/>
    <col min="3" max="3" width="14" style="1" bestFit="1" customWidth="1"/>
    <col min="4" max="4" width="11.19921875" style="1" bestFit="1" customWidth="1"/>
    <col min="5" max="5" width="17.59765625" style="1" customWidth="1"/>
    <col min="6" max="6" width="13" style="1" bestFit="1" customWidth="1"/>
    <col min="7" max="7" width="12.3984375" style="1" customWidth="1"/>
    <col min="8" max="8" width="14.796875" style="1" customWidth="1"/>
    <col min="9" max="9" width="26.19921875" style="1" bestFit="1" customWidth="1"/>
    <col min="10" max="10" width="10.3984375" style="1" customWidth="1"/>
    <col min="11" max="11" width="19.19921875" style="1" customWidth="1"/>
    <col min="12" max="12" width="9.59765625" style="1" customWidth="1"/>
    <col min="13" max="13" width="14.3984375" style="1" customWidth="1"/>
    <col min="14" max="14" width="11.59765625" style="1" bestFit="1" customWidth="1"/>
    <col min="15" max="15" width="6.3984375" style="1" customWidth="1"/>
    <col min="16" max="16" width="14.19921875" style="1" bestFit="1" customWidth="1"/>
    <col min="17" max="17" width="18" style="1" customWidth="1"/>
    <col min="18" max="18" width="12" style="1" customWidth="1"/>
    <col min="19" max="19" width="7.19921875" style="1" customWidth="1"/>
    <col min="20" max="20" width="10" style="1" customWidth="1"/>
    <col min="21" max="21" width="9.59765625" style="1" customWidth="1"/>
    <col min="22" max="22" width="11.19921875" style="1" bestFit="1" customWidth="1"/>
    <col min="23" max="23" width="10.796875" style="1" customWidth="1"/>
    <col min="24" max="24" width="11.59765625" style="1" customWidth="1"/>
    <col min="25" max="25" width="12.19921875" style="1" bestFit="1" customWidth="1"/>
    <col min="26" max="26" width="16" style="1" customWidth="1"/>
    <col min="27" max="27" width="13.59765625" style="1" customWidth="1"/>
    <col min="28" max="28" width="18.3984375" style="1" customWidth="1"/>
    <col min="29" max="29" width="13.59765625" style="1" customWidth="1"/>
    <col min="30" max="30" width="15.19921875" style="1" customWidth="1"/>
    <col min="31" max="31" width="27.59765625" style="1" customWidth="1"/>
    <col min="32" max="32" width="14.19921875" style="1" bestFit="1" customWidth="1"/>
    <col min="33" max="33" width="10" style="1" customWidth="1"/>
    <col min="34" max="34" width="12.3984375" style="1" customWidth="1"/>
    <col min="35" max="35" width="16.3984375" style="1" customWidth="1"/>
    <col min="36" max="36" width="20.3984375" style="1" customWidth="1"/>
    <col min="37" max="37" width="24" style="1" customWidth="1"/>
    <col min="38" max="38" width="20.3984375" style="1" customWidth="1"/>
    <col min="39" max="39" width="20" style="1" customWidth="1"/>
    <col min="40" max="40" width="18.796875" style="1" customWidth="1"/>
    <col min="41" max="16384" width="8.796875" style="1"/>
  </cols>
  <sheetData>
    <row r="1" spans="1:40" ht="66.75" customHeight="1" x14ac:dyDescent="0.25">
      <c r="A1" s="139" t="s">
        <v>667</v>
      </c>
      <c r="B1" s="139" t="s">
        <v>0</v>
      </c>
      <c r="C1" s="139" t="s">
        <v>740</v>
      </c>
      <c r="D1" s="139" t="s">
        <v>2</v>
      </c>
      <c r="E1" s="139" t="s">
        <v>756</v>
      </c>
      <c r="F1" s="139" t="s">
        <v>1154</v>
      </c>
      <c r="G1" s="139" t="s">
        <v>29</v>
      </c>
      <c r="H1" s="139" t="s">
        <v>28</v>
      </c>
      <c r="I1" s="139" t="s">
        <v>1</v>
      </c>
      <c r="J1" s="139" t="s">
        <v>620</v>
      </c>
      <c r="K1" s="139" t="s">
        <v>621</v>
      </c>
      <c r="L1" s="139" t="s">
        <v>9</v>
      </c>
      <c r="M1" s="139" t="s">
        <v>622</v>
      </c>
      <c r="N1" s="139" t="s">
        <v>12</v>
      </c>
      <c r="O1" s="139" t="s">
        <v>6</v>
      </c>
      <c r="P1" s="139" t="s">
        <v>8</v>
      </c>
      <c r="Q1" s="139" t="s">
        <v>1155</v>
      </c>
      <c r="R1" s="139" t="s">
        <v>396</v>
      </c>
      <c r="S1" s="139" t="s">
        <v>13</v>
      </c>
      <c r="T1" s="139" t="s">
        <v>282</v>
      </c>
      <c r="U1" s="139" t="s">
        <v>309</v>
      </c>
      <c r="V1" s="139" t="s">
        <v>421</v>
      </c>
      <c r="W1" s="139" t="s">
        <v>14</v>
      </c>
      <c r="X1" s="139" t="s">
        <v>637</v>
      </c>
      <c r="Y1" s="139" t="s">
        <v>941</v>
      </c>
      <c r="Z1" s="139" t="s">
        <v>685</v>
      </c>
      <c r="AA1" s="139" t="s">
        <v>933</v>
      </c>
      <c r="AB1" s="139" t="s">
        <v>372</v>
      </c>
      <c r="AC1" s="139" t="s">
        <v>747</v>
      </c>
      <c r="AD1" s="139" t="s">
        <v>16</v>
      </c>
      <c r="AE1" s="139" t="s">
        <v>1156</v>
      </c>
      <c r="AF1" s="139" t="s">
        <v>789</v>
      </c>
      <c r="AG1" s="139" t="s">
        <v>11</v>
      </c>
      <c r="AH1" s="139" t="s">
        <v>15</v>
      </c>
      <c r="AI1" s="139" t="s">
        <v>1162</v>
      </c>
      <c r="AJ1" s="139" t="s">
        <v>1163</v>
      </c>
      <c r="AK1" s="139" t="s">
        <v>804</v>
      </c>
      <c r="AL1" s="139" t="s">
        <v>26</v>
      </c>
      <c r="AM1" s="139" t="s">
        <v>19</v>
      </c>
      <c r="AN1" s="139" t="s">
        <v>30</v>
      </c>
    </row>
    <row r="2" spans="1:40" x14ac:dyDescent="0.25">
      <c r="A2" s="8">
        <v>13908</v>
      </c>
      <c r="B2" s="8">
        <v>13908</v>
      </c>
      <c r="C2" s="8" t="s">
        <v>1289</v>
      </c>
      <c r="D2" s="8">
        <v>520036104</v>
      </c>
      <c r="E2" s="8" t="s">
        <v>429</v>
      </c>
      <c r="F2" s="8" t="s">
        <v>2503</v>
      </c>
      <c r="G2" s="8">
        <v>11020132</v>
      </c>
      <c r="H2" s="8" t="s">
        <v>78</v>
      </c>
      <c r="I2" s="8" t="s">
        <v>228</v>
      </c>
      <c r="J2" s="8" t="s">
        <v>53</v>
      </c>
      <c r="K2" s="8" t="s">
        <v>53</v>
      </c>
      <c r="L2" s="8" t="s">
        <v>140</v>
      </c>
      <c r="M2" s="8" t="s">
        <v>62</v>
      </c>
      <c r="N2" s="72">
        <v>45657</v>
      </c>
      <c r="O2" s="8" t="s">
        <v>1323</v>
      </c>
      <c r="P2" s="8" t="s">
        <v>70</v>
      </c>
      <c r="Q2" s="8" t="s">
        <v>57</v>
      </c>
      <c r="R2" s="8" t="s">
        <v>1206</v>
      </c>
      <c r="S2" s="71">
        <v>2.0499999999999998</v>
      </c>
      <c r="T2" s="8" t="s">
        <v>283</v>
      </c>
      <c r="U2" s="8" t="s">
        <v>362</v>
      </c>
      <c r="V2" s="72">
        <v>46172</v>
      </c>
      <c r="W2" s="73">
        <v>7.0999999999999994E-2</v>
      </c>
      <c r="X2" s="73">
        <v>6.4000000000000001E-2</v>
      </c>
      <c r="Y2" s="8" t="s">
        <v>636</v>
      </c>
      <c r="Z2" s="141" t="s">
        <v>2853</v>
      </c>
      <c r="AA2" s="8" t="s">
        <v>791</v>
      </c>
      <c r="AB2" s="8" t="s">
        <v>305</v>
      </c>
      <c r="AC2" s="141" t="s">
        <v>2853</v>
      </c>
      <c r="AD2" s="72">
        <v>46022</v>
      </c>
      <c r="AE2" s="141" t="s">
        <v>2853</v>
      </c>
      <c r="AF2" s="74">
        <v>4740000</v>
      </c>
      <c r="AG2" s="74">
        <v>1</v>
      </c>
      <c r="AH2" s="74">
        <v>95.36</v>
      </c>
      <c r="AI2" s="74">
        <v>4520.0640000000003</v>
      </c>
      <c r="AJ2" s="140" t="s">
        <v>2853</v>
      </c>
      <c r="AK2" s="141" t="s">
        <v>2853</v>
      </c>
      <c r="AL2" s="8" t="s">
        <v>17</v>
      </c>
      <c r="AM2" s="68">
        <v>1</v>
      </c>
      <c r="AN2" s="68">
        <v>1.0488683503714672E-3</v>
      </c>
    </row>
    <row r="3" spans="1:40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F3" s="8"/>
      <c r="AG3" s="8"/>
      <c r="AH3" s="8"/>
      <c r="AI3" s="8"/>
      <c r="AK3" s="8"/>
      <c r="AL3" s="8"/>
    </row>
    <row r="4" spans="1:4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D4" s="8"/>
      <c r="AE4" s="8"/>
      <c r="AF4" s="8"/>
      <c r="AG4" s="8"/>
      <c r="AH4" s="8"/>
      <c r="AI4" s="8"/>
      <c r="AK4" s="8"/>
      <c r="AL4" s="8"/>
    </row>
    <row r="5" spans="1:4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D5" s="8"/>
      <c r="AE5" s="8"/>
      <c r="AF5" s="8"/>
      <c r="AG5" s="8"/>
      <c r="AH5" s="8"/>
      <c r="AI5" s="8"/>
      <c r="AK5" s="8"/>
      <c r="AL5" s="8"/>
    </row>
    <row r="6" spans="1:40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D6" s="8"/>
      <c r="AE6" s="8"/>
      <c r="AF6" s="8"/>
      <c r="AG6" s="8"/>
      <c r="AH6" s="8"/>
      <c r="AI6" s="8"/>
      <c r="AK6" s="8"/>
      <c r="AL6" s="8"/>
    </row>
    <row r="7" spans="1:40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D7" s="8"/>
      <c r="AE7" s="8"/>
      <c r="AF7" s="8"/>
      <c r="AG7" s="8"/>
      <c r="AH7" s="8"/>
      <c r="AI7" s="8"/>
      <c r="AK7" s="8"/>
      <c r="AL7" s="8"/>
    </row>
    <row r="8" spans="1:40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D8" s="8"/>
      <c r="AE8" s="8"/>
      <c r="AF8" s="8"/>
      <c r="AG8" s="8"/>
      <c r="AH8" s="8"/>
      <c r="AI8" s="8"/>
      <c r="AK8" s="8"/>
      <c r="AL8" s="8"/>
    </row>
    <row r="9" spans="1:40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D9" s="8"/>
      <c r="AE9" s="8"/>
      <c r="AF9" s="8"/>
      <c r="AG9" s="8"/>
      <c r="AH9" s="8"/>
      <c r="AL9" s="8"/>
    </row>
    <row r="10" spans="1:4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D10" s="8"/>
      <c r="AE10" s="8"/>
      <c r="AF10" s="8"/>
      <c r="AG10" s="8"/>
      <c r="AH10" s="8"/>
      <c r="AL10" s="8"/>
    </row>
    <row r="11" spans="1:4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D11" s="8"/>
      <c r="AE11" s="8"/>
      <c r="AF11" s="8"/>
      <c r="AG11" s="8"/>
      <c r="AH11" s="8"/>
      <c r="AI11" s="8"/>
      <c r="AK11" s="8"/>
      <c r="AL11" s="8"/>
    </row>
    <row r="12" spans="1:4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D12" s="8"/>
      <c r="AE12" s="8"/>
      <c r="AF12" s="8"/>
      <c r="AG12" s="8"/>
      <c r="AH12" s="8"/>
      <c r="AI12" s="8"/>
      <c r="AK12" s="8"/>
      <c r="AL12" s="8"/>
    </row>
    <row r="13" spans="1:4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D13" s="8"/>
      <c r="AE13" s="8"/>
      <c r="AF13" s="8"/>
      <c r="AG13" s="8"/>
      <c r="AH13" s="8"/>
      <c r="AI13" s="8"/>
      <c r="AK13" s="8"/>
      <c r="AL13" s="8"/>
    </row>
    <row r="14" spans="1:4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D14" s="8"/>
      <c r="AE14" s="8"/>
      <c r="AF14" s="8"/>
      <c r="AG14" s="8"/>
      <c r="AH14" s="8"/>
      <c r="AI14" s="8"/>
      <c r="AK14" s="8"/>
      <c r="AL14" s="8"/>
    </row>
    <row r="15" spans="1:40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D15" s="8"/>
      <c r="AE15" s="8"/>
      <c r="AF15" s="8"/>
      <c r="AG15" s="8"/>
      <c r="AH15" s="8"/>
      <c r="AI15" s="8"/>
      <c r="AK15" s="8"/>
      <c r="AL15" s="8"/>
    </row>
    <row r="16" spans="1:40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D16" s="8"/>
      <c r="AE16" s="8"/>
      <c r="AF16" s="8"/>
      <c r="AG16" s="8"/>
      <c r="AH16" s="8"/>
      <c r="AI16" s="8"/>
      <c r="AK16" s="8"/>
      <c r="AL16" s="8"/>
    </row>
    <row r="17" spans="1:3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D17" s="8"/>
      <c r="AE17" s="8"/>
      <c r="AF17" s="8"/>
      <c r="AG17" s="8"/>
      <c r="AH17" s="8"/>
      <c r="AI17" s="8"/>
      <c r="AK17" s="8"/>
      <c r="AL17" s="8"/>
    </row>
    <row r="18" spans="1:3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D18" s="8"/>
      <c r="AE18" s="8"/>
      <c r="AF18" s="8"/>
      <c r="AG18" s="8"/>
      <c r="AH18" s="8"/>
      <c r="AI18" s="8"/>
      <c r="AK18" s="8"/>
      <c r="AL18" s="8"/>
    </row>
    <row r="19" spans="1:3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D19" s="8"/>
      <c r="AE19" s="8"/>
      <c r="AF19" s="8"/>
      <c r="AG19" s="8"/>
      <c r="AH19" s="8"/>
      <c r="AI19" s="8"/>
      <c r="AK19" s="8"/>
      <c r="AL19" s="8"/>
    </row>
    <row r="20" spans="1:38" x14ac:dyDescent="0.25">
      <c r="E20" s="8"/>
      <c r="H20" s="8"/>
      <c r="I20" s="8"/>
      <c r="J20" s="8"/>
      <c r="K20" s="8"/>
      <c r="L20" s="8"/>
      <c r="M20" s="8"/>
      <c r="P20" s="8"/>
      <c r="Q20" s="8"/>
      <c r="T20" s="8"/>
      <c r="U20" s="8"/>
      <c r="Y20" s="8"/>
      <c r="Z20" s="8"/>
      <c r="AA20" s="8"/>
      <c r="AB20" s="8"/>
      <c r="AL20" s="8"/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Z10000"/>
  <sheetViews>
    <sheetView rightToLeft="1" zoomScale="25" zoomScaleNormal="25" workbookViewId="0">
      <selection activeCell="A2" sqref="A2:AL33"/>
    </sheetView>
  </sheetViews>
  <sheetFormatPr defaultColWidth="9" defaultRowHeight="13.8" x14ac:dyDescent="0.25"/>
  <cols>
    <col min="1" max="1" width="26.3984375" style="1" customWidth="1"/>
    <col min="2" max="2" width="11.19921875" style="1" customWidth="1"/>
    <col min="3" max="3" width="32.59765625" style="1" bestFit="1" customWidth="1"/>
    <col min="4" max="4" width="11.19921875" style="1" bestFit="1" customWidth="1"/>
    <col min="5" max="5" width="17.59765625" style="1" customWidth="1"/>
    <col min="6" max="6" width="16.796875" style="1" bestFit="1" customWidth="1"/>
    <col min="7" max="7" width="14.19921875" style="1" bestFit="1" customWidth="1"/>
    <col min="8" max="8" width="14.796875" style="1" customWidth="1"/>
    <col min="9" max="9" width="26.19921875" style="1" bestFit="1" customWidth="1"/>
    <col min="10" max="10" width="10.3984375" style="1" customWidth="1"/>
    <col min="11" max="11" width="19.19921875" style="1" customWidth="1"/>
    <col min="12" max="12" width="13.19921875" style="1" customWidth="1"/>
    <col min="13" max="13" width="16.19921875" style="1" bestFit="1" customWidth="1"/>
    <col min="14" max="14" width="14.3984375" style="1" customWidth="1"/>
    <col min="15" max="15" width="11.59765625" style="1" bestFit="1" customWidth="1"/>
    <col min="16" max="16" width="6.3984375" style="1" customWidth="1"/>
    <col min="17" max="17" width="14.19921875" style="1" bestFit="1" customWidth="1"/>
    <col min="18" max="18" width="18" style="1" customWidth="1"/>
    <col min="19" max="19" width="12" style="1" customWidth="1"/>
    <col min="20" max="20" width="7.19921875" style="1" bestFit="1" customWidth="1"/>
    <col min="21" max="21" width="13.796875" style="1" bestFit="1" customWidth="1"/>
    <col min="22" max="22" width="11.59765625" style="1" customWidth="1"/>
    <col min="23" max="23" width="10.796875" style="1" customWidth="1"/>
    <col min="24" max="24" width="12.19921875" style="1" bestFit="1" customWidth="1"/>
    <col min="25" max="25" width="16" style="1" customWidth="1"/>
    <col min="26" max="26" width="13.59765625" style="1" customWidth="1"/>
    <col min="27" max="27" width="18.3984375" style="1" customWidth="1"/>
    <col min="28" max="28" width="15.19921875" style="1" customWidth="1"/>
    <col min="29" max="29" width="27.59765625" style="1" customWidth="1"/>
    <col min="30" max="30" width="15.3984375" style="1" bestFit="1" customWidth="1"/>
    <col min="31" max="31" width="10" style="1" customWidth="1"/>
    <col min="32" max="32" width="12.3984375" style="1" customWidth="1"/>
    <col min="33" max="33" width="16.3984375" style="1" customWidth="1"/>
    <col min="34" max="34" width="20.3984375" style="1" customWidth="1"/>
    <col min="35" max="35" width="24" style="1" customWidth="1"/>
    <col min="36" max="36" width="20.3984375" style="1" customWidth="1"/>
    <col min="37" max="37" width="20" style="1" customWidth="1"/>
    <col min="38" max="38" width="18.796875" style="1" customWidth="1"/>
    <col min="39" max="16384" width="9" style="1"/>
  </cols>
  <sheetData>
    <row r="1" spans="1:38" ht="66.75" customHeight="1" x14ac:dyDescent="0.25">
      <c r="A1" s="139" t="s">
        <v>667</v>
      </c>
      <c r="B1" s="139" t="s">
        <v>0</v>
      </c>
      <c r="C1" s="139" t="s">
        <v>740</v>
      </c>
      <c r="D1" s="139" t="s">
        <v>2</v>
      </c>
      <c r="E1" s="139" t="s">
        <v>756</v>
      </c>
      <c r="F1" s="139" t="s">
        <v>1154</v>
      </c>
      <c r="G1" s="139" t="s">
        <v>29</v>
      </c>
      <c r="H1" s="139" t="s">
        <v>28</v>
      </c>
      <c r="I1" s="139" t="s">
        <v>1</v>
      </c>
      <c r="J1" s="139" t="s">
        <v>620</v>
      </c>
      <c r="K1" s="139" t="s">
        <v>621</v>
      </c>
      <c r="L1" s="139" t="s">
        <v>625</v>
      </c>
      <c r="M1" s="139" t="s">
        <v>9</v>
      </c>
      <c r="N1" s="139" t="s">
        <v>622</v>
      </c>
      <c r="O1" s="139" t="s">
        <v>12</v>
      </c>
      <c r="P1" s="139" t="s">
        <v>6</v>
      </c>
      <c r="Q1" s="139" t="s">
        <v>8</v>
      </c>
      <c r="R1" s="139" t="s">
        <v>1155</v>
      </c>
      <c r="S1" s="139" t="s">
        <v>396</v>
      </c>
      <c r="T1" s="139" t="s">
        <v>13</v>
      </c>
      <c r="U1" s="139" t="s">
        <v>421</v>
      </c>
      <c r="V1" s="139" t="s">
        <v>637</v>
      </c>
      <c r="W1" s="139" t="s">
        <v>14</v>
      </c>
      <c r="X1" s="139" t="s">
        <v>941</v>
      </c>
      <c r="Y1" s="139" t="s">
        <v>685</v>
      </c>
      <c r="Z1" s="139" t="s">
        <v>933</v>
      </c>
      <c r="AA1" s="139" t="s">
        <v>372</v>
      </c>
      <c r="AB1" s="139" t="s">
        <v>16</v>
      </c>
      <c r="AC1" s="139" t="s">
        <v>1156</v>
      </c>
      <c r="AD1" s="139" t="s">
        <v>789</v>
      </c>
      <c r="AE1" s="139" t="s">
        <v>11</v>
      </c>
      <c r="AF1" s="139" t="s">
        <v>15</v>
      </c>
      <c r="AG1" s="139" t="s">
        <v>1162</v>
      </c>
      <c r="AH1" s="139" t="s">
        <v>1163</v>
      </c>
      <c r="AI1" s="139" t="s">
        <v>804</v>
      </c>
      <c r="AJ1" s="139" t="s">
        <v>26</v>
      </c>
      <c r="AK1" s="139" t="s">
        <v>19</v>
      </c>
      <c r="AL1" s="139" t="s">
        <v>30</v>
      </c>
    </row>
    <row r="2" spans="1:38" x14ac:dyDescent="0.25">
      <c r="A2" s="1">
        <v>13908</v>
      </c>
      <c r="B2" s="8">
        <v>13908</v>
      </c>
      <c r="C2" s="8" t="s">
        <v>1362</v>
      </c>
      <c r="D2" s="8">
        <v>520010869</v>
      </c>
      <c r="E2" s="8" t="s">
        <v>429</v>
      </c>
      <c r="F2" s="8" t="s">
        <v>2504</v>
      </c>
      <c r="G2" s="8" t="s">
        <v>2505</v>
      </c>
      <c r="H2" s="8" t="s">
        <v>76</v>
      </c>
      <c r="I2" s="8" t="s">
        <v>229</v>
      </c>
      <c r="J2" s="8" t="s">
        <v>53</v>
      </c>
      <c r="K2" s="8" t="s">
        <v>53</v>
      </c>
      <c r="L2" s="8" t="s">
        <v>974</v>
      </c>
      <c r="M2" s="8" t="s">
        <v>258</v>
      </c>
      <c r="N2" s="8" t="s">
        <v>62</v>
      </c>
      <c r="O2" s="72">
        <v>45753</v>
      </c>
      <c r="P2" s="8" t="s">
        <v>1205</v>
      </c>
      <c r="Q2" s="8" t="s">
        <v>65</v>
      </c>
      <c r="R2" s="8" t="s">
        <v>57</v>
      </c>
      <c r="S2" s="8" t="s">
        <v>1206</v>
      </c>
      <c r="T2" s="71">
        <v>5.37</v>
      </c>
      <c r="U2" s="72">
        <v>50034</v>
      </c>
      <c r="V2" s="73">
        <v>2.5600000000000001E-2</v>
      </c>
      <c r="W2" s="68">
        <v>4.9000000000000002E-2</v>
      </c>
      <c r="X2" s="8" t="s">
        <v>636</v>
      </c>
      <c r="Y2" s="141" t="s">
        <v>2853</v>
      </c>
      <c r="Z2" s="8" t="s">
        <v>791</v>
      </c>
      <c r="AA2" s="8" t="s">
        <v>305</v>
      </c>
      <c r="AB2" s="70">
        <v>46022</v>
      </c>
      <c r="AC2" s="141" t="s">
        <v>2853</v>
      </c>
      <c r="AD2" s="74">
        <v>3735417.21</v>
      </c>
      <c r="AE2" s="74">
        <v>1</v>
      </c>
      <c r="AF2" s="74">
        <v>163.76</v>
      </c>
      <c r="AG2" s="74">
        <v>6117.1192199999996</v>
      </c>
      <c r="AH2" s="141" t="s">
        <v>2853</v>
      </c>
      <c r="AI2" s="141" t="s">
        <v>2853</v>
      </c>
      <c r="AJ2" s="8" t="s">
        <v>17</v>
      </c>
      <c r="AK2" s="68">
        <v>5.7857490139219113E-2</v>
      </c>
      <c r="AL2" s="68">
        <v>1.4194605973072494E-3</v>
      </c>
    </row>
    <row r="3" spans="1:38" x14ac:dyDescent="0.25">
      <c r="A3" s="8">
        <v>13908</v>
      </c>
      <c r="B3" s="8">
        <v>13908</v>
      </c>
      <c r="C3" s="8" t="s">
        <v>1362</v>
      </c>
      <c r="D3" s="8">
        <v>520010869</v>
      </c>
      <c r="E3" s="8" t="s">
        <v>429</v>
      </c>
      <c r="F3" s="8" t="s">
        <v>2506</v>
      </c>
      <c r="G3" s="8" t="s">
        <v>2507</v>
      </c>
      <c r="H3" s="8" t="s">
        <v>76</v>
      </c>
      <c r="I3" s="8" t="s">
        <v>229</v>
      </c>
      <c r="J3" s="8" t="s">
        <v>53</v>
      </c>
      <c r="K3" s="8" t="s">
        <v>53</v>
      </c>
      <c r="L3" s="8" t="s">
        <v>974</v>
      </c>
      <c r="M3" s="8" t="s">
        <v>258</v>
      </c>
      <c r="N3" s="8" t="s">
        <v>62</v>
      </c>
      <c r="O3" s="72">
        <v>45657</v>
      </c>
      <c r="P3" s="8" t="s">
        <v>1205</v>
      </c>
      <c r="Q3" s="8" t="s">
        <v>65</v>
      </c>
      <c r="R3" s="8" t="s">
        <v>57</v>
      </c>
      <c r="S3" s="8" t="s">
        <v>1206</v>
      </c>
      <c r="T3" s="71">
        <v>9.27</v>
      </c>
      <c r="U3" s="72">
        <v>54253</v>
      </c>
      <c r="V3" s="73">
        <v>2.8199999999999999E-2</v>
      </c>
      <c r="W3" s="68">
        <v>4.1000000000000002E-2</v>
      </c>
      <c r="X3" s="8" t="s">
        <v>636</v>
      </c>
      <c r="Y3" s="141" t="s">
        <v>2853</v>
      </c>
      <c r="Z3" s="8" t="s">
        <v>791</v>
      </c>
      <c r="AA3" s="8" t="s">
        <v>305</v>
      </c>
      <c r="AB3" s="70">
        <v>46022</v>
      </c>
      <c r="AC3" s="141" t="s">
        <v>2853</v>
      </c>
      <c r="AD3" s="74">
        <v>353846.21</v>
      </c>
      <c r="AE3" s="74">
        <v>1</v>
      </c>
      <c r="AF3" s="74">
        <v>140.13</v>
      </c>
      <c r="AG3" s="74">
        <v>495.84469000000001</v>
      </c>
      <c r="AH3" s="141" t="s">
        <v>2853</v>
      </c>
      <c r="AI3" s="141" t="s">
        <v>2853</v>
      </c>
      <c r="AJ3" s="8" t="s">
        <v>17</v>
      </c>
      <c r="AK3" s="68">
        <v>4.6898430830745134E-3</v>
      </c>
      <c r="AL3" s="68">
        <v>1.150593889911186E-4</v>
      </c>
    </row>
    <row r="4" spans="1:38" x14ac:dyDescent="0.25">
      <c r="A4" s="8">
        <v>13908</v>
      </c>
      <c r="B4" s="8">
        <v>13908</v>
      </c>
      <c r="C4" s="8" t="s">
        <v>2508</v>
      </c>
      <c r="D4" s="8">
        <v>510687403</v>
      </c>
      <c r="E4" s="8" t="s">
        <v>429</v>
      </c>
      <c r="F4" s="8" t="s">
        <v>2509</v>
      </c>
      <c r="G4" s="8" t="s">
        <v>2510</v>
      </c>
      <c r="H4" s="8" t="s">
        <v>76</v>
      </c>
      <c r="I4" s="8" t="s">
        <v>228</v>
      </c>
      <c r="J4" s="8" t="s">
        <v>53</v>
      </c>
      <c r="K4" s="8" t="s">
        <v>53</v>
      </c>
      <c r="L4" s="8" t="s">
        <v>974</v>
      </c>
      <c r="M4" s="8" t="s">
        <v>651</v>
      </c>
      <c r="N4" s="8" t="s">
        <v>62</v>
      </c>
      <c r="O4" s="70">
        <v>45657</v>
      </c>
      <c r="P4" s="8" t="s">
        <v>1455</v>
      </c>
      <c r="Q4" s="8" t="s">
        <v>70</v>
      </c>
      <c r="R4" s="8" t="s">
        <v>57</v>
      </c>
      <c r="S4" s="8" t="s">
        <v>1206</v>
      </c>
      <c r="T4" s="71">
        <v>0.98</v>
      </c>
      <c r="U4" s="72">
        <v>46568</v>
      </c>
      <c r="V4" s="73">
        <v>4.6399999999999997E-2</v>
      </c>
      <c r="W4" s="68">
        <v>3.1E-2</v>
      </c>
      <c r="X4" s="8" t="s">
        <v>636</v>
      </c>
      <c r="Y4" s="141" t="s">
        <v>2853</v>
      </c>
      <c r="Z4" s="8" t="s">
        <v>791</v>
      </c>
      <c r="AA4" s="8" t="s">
        <v>305</v>
      </c>
      <c r="AB4" s="70">
        <v>46022</v>
      </c>
      <c r="AC4" s="140" t="s">
        <v>2853</v>
      </c>
      <c r="AD4" s="67">
        <v>1846153.94</v>
      </c>
      <c r="AE4" s="74">
        <v>1</v>
      </c>
      <c r="AF4" s="74">
        <v>96.3</v>
      </c>
      <c r="AG4" s="74">
        <v>1777.8462400000001</v>
      </c>
      <c r="AH4" s="141" t="s">
        <v>2853</v>
      </c>
      <c r="AI4" s="141" t="s">
        <v>2853</v>
      </c>
      <c r="AJ4" s="8" t="s">
        <v>17</v>
      </c>
      <c r="AK4" s="68">
        <v>1.6815386066621044E-2</v>
      </c>
      <c r="AL4" s="68">
        <v>4.1254430312555649E-4</v>
      </c>
    </row>
    <row r="5" spans="1:38" x14ac:dyDescent="0.25">
      <c r="A5" s="8">
        <v>13908</v>
      </c>
      <c r="B5" s="8">
        <v>13908</v>
      </c>
      <c r="C5" s="8" t="s">
        <v>2511</v>
      </c>
      <c r="D5" s="8">
        <v>520042185</v>
      </c>
      <c r="E5" s="8" t="s">
        <v>429</v>
      </c>
      <c r="F5" s="8" t="s">
        <v>2512</v>
      </c>
      <c r="G5" s="8" t="s">
        <v>2513</v>
      </c>
      <c r="H5" s="8" t="s">
        <v>76</v>
      </c>
      <c r="I5" s="8" t="s">
        <v>228</v>
      </c>
      <c r="J5" s="8" t="s">
        <v>53</v>
      </c>
      <c r="K5" s="8" t="s">
        <v>53</v>
      </c>
      <c r="L5" s="8" t="s">
        <v>974</v>
      </c>
      <c r="M5" s="8" t="s">
        <v>654</v>
      </c>
      <c r="N5" s="8" t="s">
        <v>62</v>
      </c>
      <c r="O5" s="72">
        <v>45657</v>
      </c>
      <c r="P5" s="8" t="s">
        <v>1727</v>
      </c>
      <c r="Q5" s="8" t="s">
        <v>70</v>
      </c>
      <c r="R5" s="8" t="s">
        <v>57</v>
      </c>
      <c r="S5" s="8" t="s">
        <v>1206</v>
      </c>
      <c r="T5" s="71">
        <v>4.18</v>
      </c>
      <c r="U5" s="72">
        <v>49202</v>
      </c>
      <c r="V5" s="73">
        <v>5.0099999999999999E-2</v>
      </c>
      <c r="W5" s="68">
        <v>3.7400000000000003E-2</v>
      </c>
      <c r="X5" s="8" t="s">
        <v>636</v>
      </c>
      <c r="Y5" s="141" t="s">
        <v>2853</v>
      </c>
      <c r="Z5" s="8" t="s">
        <v>791</v>
      </c>
      <c r="AA5" s="8" t="s">
        <v>305</v>
      </c>
      <c r="AB5" s="70">
        <v>46022</v>
      </c>
      <c r="AC5" s="141" t="s">
        <v>2853</v>
      </c>
      <c r="AD5" s="74">
        <v>1595937.8</v>
      </c>
      <c r="AE5" s="74">
        <v>1</v>
      </c>
      <c r="AF5" s="74">
        <v>95.99</v>
      </c>
      <c r="AG5" s="67">
        <v>1531.9406899999999</v>
      </c>
      <c r="AH5" s="140" t="s">
        <v>2853</v>
      </c>
      <c r="AI5" s="140" t="s">
        <v>2853</v>
      </c>
      <c r="AJ5" s="8" t="s">
        <v>17</v>
      </c>
      <c r="AK5" s="68">
        <v>1.4489539957918872E-2</v>
      </c>
      <c r="AL5" s="68">
        <v>3.5548260033203664E-4</v>
      </c>
    </row>
    <row r="6" spans="1:38" x14ac:dyDescent="0.25">
      <c r="A6" s="8">
        <v>13908</v>
      </c>
      <c r="B6" s="8">
        <v>13908</v>
      </c>
      <c r="C6" s="8" t="s">
        <v>2249</v>
      </c>
      <c r="D6" s="8">
        <v>880326081</v>
      </c>
      <c r="E6" s="8" t="s">
        <v>430</v>
      </c>
      <c r="F6" s="8" t="s">
        <v>2514</v>
      </c>
      <c r="G6" s="8" t="s">
        <v>2515</v>
      </c>
      <c r="H6" s="8" t="s">
        <v>76</v>
      </c>
      <c r="I6" s="8" t="s">
        <v>228</v>
      </c>
      <c r="J6" s="8" t="s">
        <v>53</v>
      </c>
      <c r="K6" s="8" t="s">
        <v>314</v>
      </c>
      <c r="L6" s="8" t="s">
        <v>974</v>
      </c>
      <c r="M6" s="8" t="s">
        <v>647</v>
      </c>
      <c r="N6" s="8" t="s">
        <v>62</v>
      </c>
      <c r="O6" s="72">
        <v>45657</v>
      </c>
      <c r="P6" s="8" t="s">
        <v>1281</v>
      </c>
      <c r="Q6" s="8" t="s">
        <v>65</v>
      </c>
      <c r="R6" s="8" t="s">
        <v>57</v>
      </c>
      <c r="S6" s="8" t="s">
        <v>1206</v>
      </c>
      <c r="T6" s="71">
        <v>2.75</v>
      </c>
      <c r="U6" s="72">
        <v>48014</v>
      </c>
      <c r="V6" s="73">
        <v>5.9400000000000001E-2</v>
      </c>
      <c r="W6" s="68">
        <v>3.3500000000000002E-2</v>
      </c>
      <c r="X6" s="8" t="s">
        <v>636</v>
      </c>
      <c r="Y6" s="141" t="s">
        <v>2853</v>
      </c>
      <c r="Z6" s="8" t="s">
        <v>791</v>
      </c>
      <c r="AA6" s="8" t="s">
        <v>305</v>
      </c>
      <c r="AB6" s="70">
        <v>46022</v>
      </c>
      <c r="AC6" s="141" t="s">
        <v>2853</v>
      </c>
      <c r="AD6" s="74">
        <v>100000</v>
      </c>
      <c r="AE6" s="74">
        <v>1</v>
      </c>
      <c r="AF6" s="74">
        <v>92</v>
      </c>
      <c r="AG6" s="67">
        <v>92</v>
      </c>
      <c r="AH6" s="140" t="s">
        <v>2853</v>
      </c>
      <c r="AI6" s="140" t="s">
        <v>2853</v>
      </c>
      <c r="AJ6" s="8" t="s">
        <v>17</v>
      </c>
      <c r="AK6" s="68">
        <v>8.7016271898133102E-4</v>
      </c>
      <c r="AL6" s="68">
        <v>2.1348345561959957E-5</v>
      </c>
    </row>
    <row r="7" spans="1:38" x14ac:dyDescent="0.25">
      <c r="A7" s="8">
        <v>13908</v>
      </c>
      <c r="B7" s="8">
        <v>13908</v>
      </c>
      <c r="C7" s="8" t="s">
        <v>2516</v>
      </c>
      <c r="D7" s="8">
        <v>500102868</v>
      </c>
      <c r="E7" s="8" t="s">
        <v>429</v>
      </c>
      <c r="F7" s="8" t="s">
        <v>2517</v>
      </c>
      <c r="G7" s="8" t="s">
        <v>2518</v>
      </c>
      <c r="H7" s="8" t="s">
        <v>76</v>
      </c>
      <c r="I7" s="8" t="s">
        <v>229</v>
      </c>
      <c r="J7" s="8" t="s">
        <v>53</v>
      </c>
      <c r="K7" s="8" t="s">
        <v>53</v>
      </c>
      <c r="L7" s="8" t="s">
        <v>974</v>
      </c>
      <c r="M7" s="8" t="s">
        <v>258</v>
      </c>
      <c r="N7" s="8" t="s">
        <v>62</v>
      </c>
      <c r="O7" s="72">
        <v>45657</v>
      </c>
      <c r="P7" s="8" t="s">
        <v>1727</v>
      </c>
      <c r="Q7" s="8" t="s">
        <v>70</v>
      </c>
      <c r="R7" s="8" t="s">
        <v>57</v>
      </c>
      <c r="S7" s="8" t="s">
        <v>1206</v>
      </c>
      <c r="T7" s="71">
        <v>3.45</v>
      </c>
      <c r="U7" s="72">
        <v>48213</v>
      </c>
      <c r="V7" s="73">
        <v>2.58E-2</v>
      </c>
      <c r="W7" s="68">
        <v>1.55E-2</v>
      </c>
      <c r="X7" s="8" t="s">
        <v>636</v>
      </c>
      <c r="Y7" s="141" t="s">
        <v>2853</v>
      </c>
      <c r="Z7" s="8" t="s">
        <v>791</v>
      </c>
      <c r="AA7" s="8" t="s">
        <v>305</v>
      </c>
      <c r="AB7" s="70">
        <v>46022</v>
      </c>
      <c r="AC7" s="141" t="s">
        <v>2853</v>
      </c>
      <c r="AD7" s="74">
        <v>349762.4</v>
      </c>
      <c r="AE7" s="74">
        <v>1</v>
      </c>
      <c r="AF7" s="74">
        <v>101.4</v>
      </c>
      <c r="AG7" s="74">
        <v>354.65906999999999</v>
      </c>
      <c r="AH7" s="141" t="s">
        <v>2853</v>
      </c>
      <c r="AI7" s="141" t="s">
        <v>2853</v>
      </c>
      <c r="AJ7" s="8" t="s">
        <v>17</v>
      </c>
      <c r="AK7" s="68">
        <v>3.354468485462937E-3</v>
      </c>
      <c r="AL7" s="68">
        <v>8.2297656337427673E-5</v>
      </c>
    </row>
    <row r="8" spans="1:38" x14ac:dyDescent="0.25">
      <c r="A8" s="8">
        <v>13908</v>
      </c>
      <c r="B8" s="8">
        <v>13908</v>
      </c>
      <c r="C8" s="8" t="s">
        <v>2516</v>
      </c>
      <c r="D8" s="8">
        <v>500102868</v>
      </c>
      <c r="E8" s="8" t="s">
        <v>429</v>
      </c>
      <c r="F8" s="8" t="s">
        <v>2519</v>
      </c>
      <c r="G8" s="8" t="s">
        <v>2520</v>
      </c>
      <c r="H8" s="8" t="s">
        <v>76</v>
      </c>
      <c r="I8" s="8" t="s">
        <v>229</v>
      </c>
      <c r="J8" s="8" t="s">
        <v>53</v>
      </c>
      <c r="K8" s="8" t="s">
        <v>53</v>
      </c>
      <c r="L8" s="8" t="s">
        <v>974</v>
      </c>
      <c r="M8" s="8" t="s">
        <v>258</v>
      </c>
      <c r="N8" s="8" t="s">
        <v>62</v>
      </c>
      <c r="O8" s="72">
        <v>45657</v>
      </c>
      <c r="P8" s="8" t="s">
        <v>1727</v>
      </c>
      <c r="Q8" s="8" t="s">
        <v>70</v>
      </c>
      <c r="R8" s="8" t="s">
        <v>57</v>
      </c>
      <c r="S8" s="8" t="s">
        <v>1206</v>
      </c>
      <c r="T8" s="71">
        <v>6.37</v>
      </c>
      <c r="U8" s="72">
        <v>50040</v>
      </c>
      <c r="V8" s="73">
        <v>2.5999999999999999E-2</v>
      </c>
      <c r="W8" s="68">
        <v>1.7500000000000002E-2</v>
      </c>
      <c r="X8" s="8" t="s">
        <v>636</v>
      </c>
      <c r="Y8" s="141" t="s">
        <v>2853</v>
      </c>
      <c r="Z8" s="8" t="s">
        <v>791</v>
      </c>
      <c r="AA8" s="8" t="s">
        <v>305</v>
      </c>
      <c r="AB8" s="70">
        <v>46022</v>
      </c>
      <c r="AC8" s="141" t="s">
        <v>2853</v>
      </c>
      <c r="AD8" s="74">
        <v>2793368.29</v>
      </c>
      <c r="AE8" s="74">
        <v>1</v>
      </c>
      <c r="AF8" s="74">
        <v>106.5</v>
      </c>
      <c r="AG8" s="74">
        <v>2974.93723</v>
      </c>
      <c r="AH8" s="141" t="s">
        <v>2853</v>
      </c>
      <c r="AI8" s="141" t="s">
        <v>2853</v>
      </c>
      <c r="AJ8" s="8" t="s">
        <v>17</v>
      </c>
      <c r="AK8" s="68">
        <v>2.8137820313647709E-2</v>
      </c>
      <c r="AL8" s="68">
        <v>6.9032595664326026E-4</v>
      </c>
    </row>
    <row r="9" spans="1:38" x14ac:dyDescent="0.25">
      <c r="A9" s="8">
        <v>13908</v>
      </c>
      <c r="B9" s="8">
        <v>13908</v>
      </c>
      <c r="C9" s="8" t="s">
        <v>585</v>
      </c>
      <c r="D9" s="8">
        <v>520030677</v>
      </c>
      <c r="E9" s="8" t="s">
        <v>429</v>
      </c>
      <c r="F9" s="8" t="s">
        <v>2521</v>
      </c>
      <c r="G9" s="8" t="s">
        <v>2522</v>
      </c>
      <c r="H9" s="8" t="s">
        <v>76</v>
      </c>
      <c r="I9" s="8" t="s">
        <v>228</v>
      </c>
      <c r="J9" s="8" t="s">
        <v>53</v>
      </c>
      <c r="K9" s="8" t="s">
        <v>53</v>
      </c>
      <c r="L9" s="8" t="s">
        <v>974</v>
      </c>
      <c r="M9" s="8" t="s">
        <v>269</v>
      </c>
      <c r="N9" s="8" t="s">
        <v>62</v>
      </c>
      <c r="O9" s="72">
        <v>45657</v>
      </c>
      <c r="P9" s="8" t="s">
        <v>1438</v>
      </c>
      <c r="Q9" s="8" t="s">
        <v>70</v>
      </c>
      <c r="R9" s="8" t="s">
        <v>57</v>
      </c>
      <c r="S9" s="8" t="s">
        <v>1206</v>
      </c>
      <c r="T9" s="71">
        <v>1.89</v>
      </c>
      <c r="U9" s="72">
        <v>47848</v>
      </c>
      <c r="V9" s="73">
        <v>7.2599999999999998E-2</v>
      </c>
      <c r="W9" s="68">
        <v>7.7499999999999999E-2</v>
      </c>
      <c r="X9" s="8" t="s">
        <v>636</v>
      </c>
      <c r="Y9" s="141" t="s">
        <v>2853</v>
      </c>
      <c r="Z9" s="8" t="s">
        <v>791</v>
      </c>
      <c r="AA9" s="8" t="s">
        <v>305</v>
      </c>
      <c r="AB9" s="70">
        <v>46022</v>
      </c>
      <c r="AC9" s="141" t="s">
        <v>2853</v>
      </c>
      <c r="AD9" s="74">
        <v>105000</v>
      </c>
      <c r="AE9" s="74">
        <v>1</v>
      </c>
      <c r="AF9" s="74">
        <v>105.18</v>
      </c>
      <c r="AG9" s="74">
        <v>110.43899999999999</v>
      </c>
      <c r="AH9" s="141" t="s">
        <v>2853</v>
      </c>
      <c r="AI9" s="141" t="s">
        <v>2853</v>
      </c>
      <c r="AJ9" s="8" t="s">
        <v>17</v>
      </c>
      <c r="AK9" s="68">
        <v>1.0445641361041219E-3</v>
      </c>
      <c r="AL9" s="68">
        <v>2.5627064516492342E-5</v>
      </c>
    </row>
    <row r="10" spans="1:38" x14ac:dyDescent="0.25">
      <c r="A10" s="8">
        <v>13908</v>
      </c>
      <c r="B10" s="8">
        <v>13908</v>
      </c>
      <c r="C10" s="8" t="s">
        <v>2523</v>
      </c>
      <c r="D10" s="8">
        <v>516556545</v>
      </c>
      <c r="E10" s="8" t="s">
        <v>429</v>
      </c>
      <c r="F10" s="8" t="s">
        <v>2524</v>
      </c>
      <c r="G10" s="8" t="s">
        <v>2525</v>
      </c>
      <c r="H10" s="8" t="s">
        <v>76</v>
      </c>
      <c r="I10" s="8" t="s">
        <v>228</v>
      </c>
      <c r="J10" s="8" t="s">
        <v>53</v>
      </c>
      <c r="K10" s="8" t="s">
        <v>53</v>
      </c>
      <c r="L10" s="8" t="s">
        <v>974</v>
      </c>
      <c r="M10" s="8" t="s">
        <v>649</v>
      </c>
      <c r="N10" s="8" t="s">
        <v>62</v>
      </c>
      <c r="O10" s="72">
        <v>45657</v>
      </c>
      <c r="P10" s="8" t="s">
        <v>1455</v>
      </c>
      <c r="Q10" s="8" t="s">
        <v>70</v>
      </c>
      <c r="R10" s="8" t="s">
        <v>57</v>
      </c>
      <c r="S10" s="8" t="s">
        <v>1206</v>
      </c>
      <c r="T10" s="71">
        <v>0.2</v>
      </c>
      <c r="U10" s="72">
        <v>46096</v>
      </c>
      <c r="V10" s="73">
        <v>6.7000000000000004E-2</v>
      </c>
      <c r="W10" s="68">
        <v>6.5000000000000002E-2</v>
      </c>
      <c r="X10" s="8" t="s">
        <v>636</v>
      </c>
      <c r="Y10" s="141" t="s">
        <v>2853</v>
      </c>
      <c r="Z10" s="8" t="s">
        <v>791</v>
      </c>
      <c r="AA10" s="8" t="s">
        <v>305</v>
      </c>
      <c r="AB10" s="70">
        <v>46022</v>
      </c>
      <c r="AC10" s="141" t="s">
        <v>2853</v>
      </c>
      <c r="AD10" s="74">
        <v>37005.839999999997</v>
      </c>
      <c r="AE10" s="74">
        <v>1</v>
      </c>
      <c r="AF10" s="74">
        <v>100</v>
      </c>
      <c r="AG10" s="74">
        <v>37.005839999999999</v>
      </c>
      <c r="AH10" s="141" t="s">
        <v>2853</v>
      </c>
      <c r="AI10" s="141" t="s">
        <v>2853</v>
      </c>
      <c r="AJ10" s="8" t="s">
        <v>17</v>
      </c>
      <c r="AK10" s="68">
        <v>3.5001198209334887E-4</v>
      </c>
      <c r="AL10" s="68">
        <v>8.5871028275065237E-6</v>
      </c>
    </row>
    <row r="11" spans="1:38" x14ac:dyDescent="0.25">
      <c r="A11" s="8">
        <v>13908</v>
      </c>
      <c r="B11" s="8">
        <v>13908</v>
      </c>
      <c r="C11" s="8" t="s">
        <v>2526</v>
      </c>
      <c r="D11" s="8">
        <v>512905423</v>
      </c>
      <c r="E11" s="8" t="s">
        <v>429</v>
      </c>
      <c r="F11" s="8" t="s">
        <v>2527</v>
      </c>
      <c r="G11" s="8" t="s">
        <v>2528</v>
      </c>
      <c r="H11" s="8" t="s">
        <v>76</v>
      </c>
      <c r="I11" s="8" t="s">
        <v>228</v>
      </c>
      <c r="J11" s="8" t="s">
        <v>53</v>
      </c>
      <c r="K11" s="8" t="s">
        <v>53</v>
      </c>
      <c r="L11" s="8" t="s">
        <v>974</v>
      </c>
      <c r="M11" s="8" t="s">
        <v>257</v>
      </c>
      <c r="N11" s="8" t="s">
        <v>62</v>
      </c>
      <c r="O11" s="72">
        <v>45657</v>
      </c>
      <c r="P11" s="8" t="s">
        <v>1323</v>
      </c>
      <c r="Q11" s="8" t="s">
        <v>70</v>
      </c>
      <c r="R11" s="8" t="s">
        <v>57</v>
      </c>
      <c r="S11" s="8" t="s">
        <v>1206</v>
      </c>
      <c r="T11" s="71">
        <v>2.62</v>
      </c>
      <c r="U11" s="72">
        <v>47073</v>
      </c>
      <c r="V11" s="73">
        <v>6.6699999999999995E-2</v>
      </c>
      <c r="W11" s="68">
        <v>7.3300000000000004E-2</v>
      </c>
      <c r="X11" s="8" t="s">
        <v>636</v>
      </c>
      <c r="Y11" s="141" t="s">
        <v>2853</v>
      </c>
      <c r="Z11" s="8" t="s">
        <v>791</v>
      </c>
      <c r="AA11" s="8" t="s">
        <v>305</v>
      </c>
      <c r="AB11" s="70">
        <v>46022</v>
      </c>
      <c r="AC11" s="141" t="s">
        <v>2853</v>
      </c>
      <c r="AD11" s="74">
        <v>300000</v>
      </c>
      <c r="AE11" s="74">
        <v>1</v>
      </c>
      <c r="AF11" s="74">
        <v>108.56</v>
      </c>
      <c r="AG11" s="74">
        <v>325.68</v>
      </c>
      <c r="AH11" s="141" t="s">
        <v>2853</v>
      </c>
      <c r="AI11" s="141" t="s">
        <v>2853</v>
      </c>
      <c r="AJ11" s="8" t="s">
        <v>17</v>
      </c>
      <c r="AK11" s="68">
        <v>3.0803760251939117E-3</v>
      </c>
      <c r="AL11" s="68">
        <v>7.5573143289338256E-5</v>
      </c>
    </row>
    <row r="12" spans="1:38" x14ac:dyDescent="0.25">
      <c r="A12" s="8">
        <v>13908</v>
      </c>
      <c r="B12" s="8">
        <v>13908</v>
      </c>
      <c r="C12" s="8" t="s">
        <v>1635</v>
      </c>
      <c r="D12" s="8">
        <v>520018078</v>
      </c>
      <c r="E12" s="8" t="s">
        <v>429</v>
      </c>
      <c r="F12" s="8" t="s">
        <v>2529</v>
      </c>
      <c r="G12" s="8" t="s">
        <v>2530</v>
      </c>
      <c r="H12" s="8" t="s">
        <v>76</v>
      </c>
      <c r="I12" s="8" t="s">
        <v>228</v>
      </c>
      <c r="J12" s="8" t="s">
        <v>53</v>
      </c>
      <c r="K12" s="8" t="s">
        <v>53</v>
      </c>
      <c r="L12" s="8" t="s">
        <v>974</v>
      </c>
      <c r="M12" s="8" t="s">
        <v>256</v>
      </c>
      <c r="N12" s="8" t="s">
        <v>62</v>
      </c>
      <c r="O12" s="72">
        <v>45657</v>
      </c>
      <c r="P12" s="8" t="s">
        <v>1414</v>
      </c>
      <c r="Q12" s="8" t="s">
        <v>65</v>
      </c>
      <c r="R12" s="8" t="s">
        <v>57</v>
      </c>
      <c r="S12" s="8" t="s">
        <v>1206</v>
      </c>
      <c r="T12" s="71">
        <v>0.95</v>
      </c>
      <c r="U12" s="72">
        <v>46380</v>
      </c>
      <c r="V12" s="73">
        <v>6.3899999999999998E-2</v>
      </c>
      <c r="W12" s="68">
        <v>6.8000000000000005E-2</v>
      </c>
      <c r="X12" s="8" t="s">
        <v>636</v>
      </c>
      <c r="Y12" s="141" t="s">
        <v>2853</v>
      </c>
      <c r="Z12" s="8" t="s">
        <v>791</v>
      </c>
      <c r="AA12" s="8" t="s">
        <v>305</v>
      </c>
      <c r="AB12" s="70">
        <v>46022</v>
      </c>
      <c r="AC12" s="141" t="s">
        <v>2853</v>
      </c>
      <c r="AD12" s="74">
        <v>89023.47</v>
      </c>
      <c r="AE12" s="74">
        <v>1</v>
      </c>
      <c r="AF12" s="74">
        <v>100</v>
      </c>
      <c r="AG12" s="74">
        <v>89.023470000000003</v>
      </c>
      <c r="AH12" s="141" t="s">
        <v>2853</v>
      </c>
      <c r="AI12" s="141" t="s">
        <v>2853</v>
      </c>
      <c r="AJ12" s="8" t="s">
        <v>17</v>
      </c>
      <c r="AK12" s="68">
        <v>8.4200983378644517E-4</v>
      </c>
      <c r="AL12" s="68">
        <v>2.0657650007443211E-5</v>
      </c>
    </row>
    <row r="13" spans="1:38" x14ac:dyDescent="0.25">
      <c r="A13" s="8">
        <v>13908</v>
      </c>
      <c r="B13" s="8">
        <v>13908</v>
      </c>
      <c r="C13" s="8" t="s">
        <v>2531</v>
      </c>
      <c r="D13" s="8">
        <v>516041118</v>
      </c>
      <c r="E13" s="8" t="s">
        <v>429</v>
      </c>
      <c r="F13" s="8" t="s">
        <v>2532</v>
      </c>
      <c r="G13" s="8" t="s">
        <v>2533</v>
      </c>
      <c r="H13" s="8" t="s">
        <v>76</v>
      </c>
      <c r="I13" s="8" t="s">
        <v>229</v>
      </c>
      <c r="J13" s="8" t="s">
        <v>53</v>
      </c>
      <c r="K13" s="8" t="s">
        <v>53</v>
      </c>
      <c r="L13" s="8" t="s">
        <v>974</v>
      </c>
      <c r="M13" s="8" t="s">
        <v>258</v>
      </c>
      <c r="N13" s="8" t="s">
        <v>62</v>
      </c>
      <c r="O13" s="72">
        <v>45657</v>
      </c>
      <c r="P13" s="8" t="s">
        <v>1281</v>
      </c>
      <c r="Q13" s="8" t="s">
        <v>65</v>
      </c>
      <c r="R13" s="8" t="s">
        <v>57</v>
      </c>
      <c r="S13" s="8" t="s">
        <v>1206</v>
      </c>
      <c r="T13" s="71">
        <v>2.54</v>
      </c>
      <c r="U13" s="72">
        <v>47483</v>
      </c>
      <c r="V13" s="73">
        <v>2.86E-2</v>
      </c>
      <c r="W13" s="68">
        <v>3.6400000000000002E-2</v>
      </c>
      <c r="X13" s="8" t="s">
        <v>636</v>
      </c>
      <c r="Y13" s="141" t="s">
        <v>2853</v>
      </c>
      <c r="Z13" s="8" t="s">
        <v>791</v>
      </c>
      <c r="AA13" s="8" t="s">
        <v>305</v>
      </c>
      <c r="AB13" s="70">
        <v>46022</v>
      </c>
      <c r="AC13" s="141" t="s">
        <v>2853</v>
      </c>
      <c r="AD13" s="74">
        <v>1049999.98</v>
      </c>
      <c r="AE13" s="74">
        <v>1</v>
      </c>
      <c r="AF13" s="74">
        <v>109.72</v>
      </c>
      <c r="AG13" s="74">
        <v>1152.05998</v>
      </c>
      <c r="AH13" s="141" t="s">
        <v>2853</v>
      </c>
      <c r="AI13" s="141" t="s">
        <v>2853</v>
      </c>
      <c r="AJ13" s="8" t="s">
        <v>17</v>
      </c>
      <c r="AK13" s="68">
        <v>1.0896517876373671E-2</v>
      </c>
      <c r="AL13" s="68">
        <v>2.673323321863552E-4</v>
      </c>
    </row>
    <row r="14" spans="1:38" x14ac:dyDescent="0.25">
      <c r="A14" s="8">
        <v>13908</v>
      </c>
      <c r="B14" s="8">
        <v>13908</v>
      </c>
      <c r="C14" s="8" t="s">
        <v>1635</v>
      </c>
      <c r="D14" s="8">
        <v>520018078</v>
      </c>
      <c r="E14" s="8" t="s">
        <v>429</v>
      </c>
      <c r="F14" s="8" t="s">
        <v>2534</v>
      </c>
      <c r="G14" s="8" t="s">
        <v>2535</v>
      </c>
      <c r="H14" s="8" t="s">
        <v>76</v>
      </c>
      <c r="I14" s="8" t="s">
        <v>228</v>
      </c>
      <c r="J14" s="8" t="s">
        <v>53</v>
      </c>
      <c r="K14" s="8" t="s">
        <v>53</v>
      </c>
      <c r="L14" s="8" t="s">
        <v>974</v>
      </c>
      <c r="M14" s="8" t="s">
        <v>256</v>
      </c>
      <c r="N14" s="8" t="s">
        <v>62</v>
      </c>
      <c r="O14" s="72">
        <v>45657</v>
      </c>
      <c r="P14" s="8" t="s">
        <v>1414</v>
      </c>
      <c r="Q14" s="8" t="s">
        <v>65</v>
      </c>
      <c r="R14" s="8" t="s">
        <v>57</v>
      </c>
      <c r="S14" s="8" t="s">
        <v>1206</v>
      </c>
      <c r="T14" s="71">
        <v>4.07</v>
      </c>
      <c r="U14" s="72">
        <v>47720</v>
      </c>
      <c r="V14" s="73">
        <v>5.8400000000000001E-2</v>
      </c>
      <c r="W14" s="68">
        <v>6.8000000000000005E-2</v>
      </c>
      <c r="X14" s="8" t="s">
        <v>636</v>
      </c>
      <c r="Y14" s="141" t="s">
        <v>2853</v>
      </c>
      <c r="Z14" s="8" t="s">
        <v>791</v>
      </c>
      <c r="AA14" s="8" t="s">
        <v>305</v>
      </c>
      <c r="AB14" s="70">
        <v>46022</v>
      </c>
      <c r="AC14" s="141" t="s">
        <v>2853</v>
      </c>
      <c r="AD14" s="74">
        <v>2996249.26</v>
      </c>
      <c r="AE14" s="74">
        <v>1</v>
      </c>
      <c r="AF14" s="74">
        <v>100</v>
      </c>
      <c r="AG14" s="74">
        <v>2996.24926</v>
      </c>
      <c r="AH14" s="141" t="s">
        <v>2853</v>
      </c>
      <c r="AI14" s="141" t="s">
        <v>2853</v>
      </c>
      <c r="AJ14" s="8" t="s">
        <v>17</v>
      </c>
      <c r="AK14" s="68">
        <v>2.8339395682906533E-2</v>
      </c>
      <c r="AL14" s="68">
        <v>6.9527135426355221E-4</v>
      </c>
    </row>
    <row r="15" spans="1:38" x14ac:dyDescent="0.25">
      <c r="A15" s="8">
        <v>13908</v>
      </c>
      <c r="B15" s="8">
        <v>13908</v>
      </c>
      <c r="C15" s="8" t="s">
        <v>2536</v>
      </c>
      <c r="D15" s="8">
        <v>515759777</v>
      </c>
      <c r="E15" s="8" t="s">
        <v>429</v>
      </c>
      <c r="F15" s="8" t="s">
        <v>2537</v>
      </c>
      <c r="G15" s="8" t="s">
        <v>2538</v>
      </c>
      <c r="H15" s="8" t="s">
        <v>76</v>
      </c>
      <c r="I15" s="8" t="s">
        <v>229</v>
      </c>
      <c r="J15" s="8" t="s">
        <v>53</v>
      </c>
      <c r="K15" s="8" t="s">
        <v>53</v>
      </c>
      <c r="L15" s="8" t="s">
        <v>974</v>
      </c>
      <c r="M15" s="8" t="s">
        <v>649</v>
      </c>
      <c r="N15" s="8" t="s">
        <v>62</v>
      </c>
      <c r="O15" s="72">
        <v>45657</v>
      </c>
      <c r="P15" s="8" t="s">
        <v>298</v>
      </c>
      <c r="Q15" s="8" t="s">
        <v>298</v>
      </c>
      <c r="R15" s="8" t="s">
        <v>298</v>
      </c>
      <c r="S15" s="8" t="s">
        <v>1206</v>
      </c>
      <c r="T15" s="71">
        <v>0.73</v>
      </c>
      <c r="U15" s="72">
        <v>46356</v>
      </c>
      <c r="V15" s="73">
        <v>5.16E-2</v>
      </c>
      <c r="W15" s="68">
        <v>7.0000000000000007E-2</v>
      </c>
      <c r="X15" s="8" t="s">
        <v>636</v>
      </c>
      <c r="Y15" s="141" t="s">
        <v>2853</v>
      </c>
      <c r="Z15" s="8" t="s">
        <v>791</v>
      </c>
      <c r="AA15" s="8" t="s">
        <v>305</v>
      </c>
      <c r="AB15" s="70">
        <v>46022</v>
      </c>
      <c r="AC15" s="141" t="s">
        <v>2853</v>
      </c>
      <c r="AD15" s="74">
        <v>368985.75</v>
      </c>
      <c r="AE15" s="74">
        <v>1</v>
      </c>
      <c r="AF15" s="74">
        <v>100</v>
      </c>
      <c r="AG15" s="74">
        <v>368.98575</v>
      </c>
      <c r="AH15" s="141" t="s">
        <v>2853</v>
      </c>
      <c r="AI15" s="141" t="s">
        <v>2853</v>
      </c>
      <c r="AJ15" s="8" t="s">
        <v>17</v>
      </c>
      <c r="AK15" s="68">
        <v>3.4899743857104964E-3</v>
      </c>
      <c r="AL15" s="68">
        <v>8.5622122809119198E-5</v>
      </c>
    </row>
    <row r="16" spans="1:38" x14ac:dyDescent="0.25">
      <c r="A16" s="8">
        <v>13908</v>
      </c>
      <c r="B16" s="8">
        <v>13908</v>
      </c>
      <c r="C16" s="8" t="s">
        <v>2539</v>
      </c>
      <c r="D16" s="8">
        <v>514189596</v>
      </c>
      <c r="E16" s="8" t="s">
        <v>429</v>
      </c>
      <c r="F16" s="8" t="s">
        <v>2540</v>
      </c>
      <c r="G16" s="8" t="s">
        <v>2541</v>
      </c>
      <c r="H16" s="8" t="s">
        <v>76</v>
      </c>
      <c r="I16" s="8" t="s">
        <v>229</v>
      </c>
      <c r="J16" s="8" t="s">
        <v>53</v>
      </c>
      <c r="K16" s="8" t="s">
        <v>53</v>
      </c>
      <c r="L16" s="8" t="s">
        <v>974</v>
      </c>
      <c r="M16" s="8" t="s">
        <v>651</v>
      </c>
      <c r="N16" s="8" t="s">
        <v>62</v>
      </c>
      <c r="O16" s="72">
        <v>45657</v>
      </c>
      <c r="P16" s="8" t="s">
        <v>1329</v>
      </c>
      <c r="Q16" s="8" t="s">
        <v>65</v>
      </c>
      <c r="R16" s="8" t="s">
        <v>57</v>
      </c>
      <c r="S16" s="8" t="s">
        <v>1206</v>
      </c>
      <c r="T16" s="71">
        <v>2.77</v>
      </c>
      <c r="U16" s="72">
        <v>47118</v>
      </c>
      <c r="V16" s="73">
        <v>3.1300000000000001E-2</v>
      </c>
      <c r="W16" s="68">
        <v>3.8399999999999997E-2</v>
      </c>
      <c r="X16" s="8" t="s">
        <v>636</v>
      </c>
      <c r="Y16" s="141" t="s">
        <v>2853</v>
      </c>
      <c r="Z16" s="8" t="s">
        <v>791</v>
      </c>
      <c r="AA16" s="8" t="s">
        <v>305</v>
      </c>
      <c r="AB16" s="70">
        <v>46022</v>
      </c>
      <c r="AC16" s="141" t="s">
        <v>2853</v>
      </c>
      <c r="AD16" s="74">
        <v>1950000</v>
      </c>
      <c r="AE16" s="74">
        <v>1</v>
      </c>
      <c r="AF16" s="74">
        <v>104.27</v>
      </c>
      <c r="AG16" s="74">
        <v>2033.2650000000001</v>
      </c>
      <c r="AH16" s="141" t="s">
        <v>2853</v>
      </c>
      <c r="AI16" s="141" t="s">
        <v>2853</v>
      </c>
      <c r="AJ16" s="8" t="s">
        <v>17</v>
      </c>
      <c r="AK16" s="68">
        <v>1.9231210878364956E-2</v>
      </c>
      <c r="AL16" s="68">
        <v>4.7181351998954905E-4</v>
      </c>
    </row>
    <row r="17" spans="1:38" x14ac:dyDescent="0.25">
      <c r="A17" s="8">
        <v>13908</v>
      </c>
      <c r="B17" s="8">
        <v>13908</v>
      </c>
      <c r="C17" s="8" t="s">
        <v>1499</v>
      </c>
      <c r="D17" s="8">
        <v>520000118</v>
      </c>
      <c r="E17" s="8" t="s">
        <v>429</v>
      </c>
      <c r="F17" s="8" t="s">
        <v>2542</v>
      </c>
      <c r="G17" s="8" t="s">
        <v>2543</v>
      </c>
      <c r="H17" s="8" t="s">
        <v>76</v>
      </c>
      <c r="I17" s="8" t="s">
        <v>228</v>
      </c>
      <c r="J17" s="8" t="s">
        <v>53</v>
      </c>
      <c r="K17" s="8" t="s">
        <v>53</v>
      </c>
      <c r="L17" s="8" t="s">
        <v>974</v>
      </c>
      <c r="M17" s="8" t="s">
        <v>256</v>
      </c>
      <c r="N17" s="8" t="s">
        <v>62</v>
      </c>
      <c r="O17" s="72">
        <v>45657</v>
      </c>
      <c r="P17" s="8" t="s">
        <v>1281</v>
      </c>
      <c r="Q17" s="8" t="s">
        <v>65</v>
      </c>
      <c r="R17" s="8" t="s">
        <v>57</v>
      </c>
      <c r="S17" s="8" t="s">
        <v>1206</v>
      </c>
      <c r="T17" s="71">
        <v>1.66</v>
      </c>
      <c r="U17" s="72">
        <v>46660</v>
      </c>
      <c r="V17" s="73">
        <v>5.2600000000000001E-2</v>
      </c>
      <c r="W17" s="68">
        <v>6.5000000000000002E-2</v>
      </c>
      <c r="X17" s="8" t="s">
        <v>636</v>
      </c>
      <c r="Y17" s="141" t="s">
        <v>2853</v>
      </c>
      <c r="Z17" s="8" t="s">
        <v>791</v>
      </c>
      <c r="AA17" s="8" t="s">
        <v>305</v>
      </c>
      <c r="AB17" s="70">
        <v>46022</v>
      </c>
      <c r="AC17" s="141" t="s">
        <v>2853</v>
      </c>
      <c r="AD17" s="74">
        <v>2062008.84</v>
      </c>
      <c r="AE17" s="74">
        <v>1</v>
      </c>
      <c r="AF17" s="74">
        <v>100</v>
      </c>
      <c r="AG17" s="74">
        <v>2062.00884</v>
      </c>
      <c r="AH17" s="141" t="s">
        <v>2853</v>
      </c>
      <c r="AI17" s="141" t="s">
        <v>2853</v>
      </c>
      <c r="AJ17" s="8" t="s">
        <v>17</v>
      </c>
      <c r="AK17" s="68">
        <v>1.9503078464977612E-2</v>
      </c>
      <c r="AL17" s="68">
        <v>4.7848344856669782E-4</v>
      </c>
    </row>
    <row r="18" spans="1:38" x14ac:dyDescent="0.25">
      <c r="A18" s="8">
        <v>13908</v>
      </c>
      <c r="B18" s="8">
        <v>13908</v>
      </c>
      <c r="C18" s="8" t="s">
        <v>2544</v>
      </c>
      <c r="D18" s="8">
        <v>2624970</v>
      </c>
      <c r="E18" s="8" t="s">
        <v>430</v>
      </c>
      <c r="F18" s="8" t="s">
        <v>2545</v>
      </c>
      <c r="G18" s="8" t="s">
        <v>2546</v>
      </c>
      <c r="H18" s="8" t="s">
        <v>76</v>
      </c>
      <c r="I18" s="8" t="s">
        <v>228</v>
      </c>
      <c r="J18" s="8" t="s">
        <v>53</v>
      </c>
      <c r="K18" s="8" t="s">
        <v>204</v>
      </c>
      <c r="L18" s="8" t="s">
        <v>974</v>
      </c>
      <c r="M18" s="8" t="s">
        <v>140</v>
      </c>
      <c r="N18" s="8" t="s">
        <v>62</v>
      </c>
      <c r="O18" s="72">
        <v>45657</v>
      </c>
      <c r="P18" s="8" t="s">
        <v>298</v>
      </c>
      <c r="Q18" s="8" t="s">
        <v>298</v>
      </c>
      <c r="R18" s="8" t="s">
        <v>298</v>
      </c>
      <c r="S18" s="8" t="s">
        <v>1206</v>
      </c>
      <c r="T18" s="71">
        <v>2.89</v>
      </c>
      <c r="U18" s="72">
        <v>47238</v>
      </c>
      <c r="V18" s="73">
        <v>9.8500000000000004E-2</v>
      </c>
      <c r="W18" s="68">
        <v>9.5000000000000001E-2</v>
      </c>
      <c r="X18" s="8" t="s">
        <v>636</v>
      </c>
      <c r="Y18" s="141" t="s">
        <v>2853</v>
      </c>
      <c r="Z18" s="8" t="s">
        <v>791</v>
      </c>
      <c r="AA18" s="8" t="s">
        <v>305</v>
      </c>
      <c r="AB18" s="70">
        <v>46022</v>
      </c>
      <c r="AC18" s="141" t="s">
        <v>2853</v>
      </c>
      <c r="AD18" s="74">
        <v>5330000</v>
      </c>
      <c r="AE18" s="74">
        <v>1</v>
      </c>
      <c r="AF18" s="74">
        <v>101.24</v>
      </c>
      <c r="AG18" s="74">
        <v>5396.0919999999996</v>
      </c>
      <c r="AH18" s="141" t="s">
        <v>2853</v>
      </c>
      <c r="AI18" s="141" t="s">
        <v>2853</v>
      </c>
      <c r="AJ18" s="8" t="s">
        <v>17</v>
      </c>
      <c r="AK18" s="68">
        <v>5.1037805289058782E-2</v>
      </c>
      <c r="AL18" s="68">
        <v>1.2521482250013871E-3</v>
      </c>
    </row>
    <row r="19" spans="1:38" x14ac:dyDescent="0.25">
      <c r="A19" s="8">
        <v>13908</v>
      </c>
      <c r="B19" s="8">
        <v>13908</v>
      </c>
      <c r="C19" s="8" t="s">
        <v>1635</v>
      </c>
      <c r="D19" s="8">
        <v>520018078</v>
      </c>
      <c r="E19" s="8" t="s">
        <v>429</v>
      </c>
      <c r="F19" s="8" t="s">
        <v>2547</v>
      </c>
      <c r="G19" s="8" t="s">
        <v>2548</v>
      </c>
      <c r="H19" s="8" t="s">
        <v>76</v>
      </c>
      <c r="I19" s="8" t="s">
        <v>229</v>
      </c>
      <c r="J19" s="8" t="s">
        <v>53</v>
      </c>
      <c r="K19" s="8" t="s">
        <v>53</v>
      </c>
      <c r="L19" s="8" t="s">
        <v>974</v>
      </c>
      <c r="M19" s="8" t="s">
        <v>256</v>
      </c>
      <c r="N19" s="8" t="s">
        <v>62</v>
      </c>
      <c r="O19" s="72">
        <v>45657</v>
      </c>
      <c r="P19" s="8" t="s">
        <v>1414</v>
      </c>
      <c r="Q19" s="8" t="s">
        <v>65</v>
      </c>
      <c r="R19" s="8" t="s">
        <v>57</v>
      </c>
      <c r="S19" s="8" t="s">
        <v>1206</v>
      </c>
      <c r="T19" s="71">
        <v>3.04</v>
      </c>
      <c r="U19" s="72">
        <v>49453</v>
      </c>
      <c r="V19" s="73">
        <v>3.3300000000000003E-2</v>
      </c>
      <c r="W19" s="68">
        <v>3.6900000000000002E-2</v>
      </c>
      <c r="X19" s="8" t="s">
        <v>636</v>
      </c>
      <c r="Y19" s="141" t="s">
        <v>2853</v>
      </c>
      <c r="Z19" s="8" t="s">
        <v>791</v>
      </c>
      <c r="AA19" s="8" t="s">
        <v>305</v>
      </c>
      <c r="AB19" s="70">
        <v>46022</v>
      </c>
      <c r="AC19" s="141" t="s">
        <v>2853</v>
      </c>
      <c r="AD19" s="74">
        <v>17182030.239999998</v>
      </c>
      <c r="AE19" s="74">
        <v>1</v>
      </c>
      <c r="AF19" s="74">
        <v>103.25</v>
      </c>
      <c r="AG19" s="74">
        <v>17740.446220000002</v>
      </c>
      <c r="AH19" s="141" t="s">
        <v>2853</v>
      </c>
      <c r="AI19" s="141" t="s">
        <v>2853</v>
      </c>
      <c r="AJ19" s="8" t="s">
        <v>17</v>
      </c>
      <c r="AK19" s="68">
        <v>0.16779429259497042</v>
      </c>
      <c r="AL19" s="68">
        <v>4.1166214818252863E-3</v>
      </c>
    </row>
    <row r="20" spans="1:38" x14ac:dyDescent="0.25">
      <c r="A20" s="1">
        <v>13908</v>
      </c>
      <c r="B20" s="1">
        <v>13908</v>
      </c>
      <c r="C20" s="1" t="s">
        <v>2536</v>
      </c>
      <c r="D20" s="1">
        <v>515759777</v>
      </c>
      <c r="E20" s="8" t="s">
        <v>429</v>
      </c>
      <c r="F20" s="1" t="s">
        <v>2549</v>
      </c>
      <c r="G20" s="1" t="s">
        <v>2550</v>
      </c>
      <c r="H20" s="8" t="s">
        <v>76</v>
      </c>
      <c r="I20" s="8" t="s">
        <v>228</v>
      </c>
      <c r="J20" s="8" t="s">
        <v>53</v>
      </c>
      <c r="K20" s="8" t="s">
        <v>53</v>
      </c>
      <c r="L20" s="8" t="s">
        <v>974</v>
      </c>
      <c r="M20" s="8" t="s">
        <v>649</v>
      </c>
      <c r="N20" s="8" t="s">
        <v>62</v>
      </c>
      <c r="O20" s="70">
        <v>45657</v>
      </c>
      <c r="P20" s="1" t="s">
        <v>298</v>
      </c>
      <c r="Q20" s="8" t="s">
        <v>298</v>
      </c>
      <c r="R20" s="8" t="s">
        <v>298</v>
      </c>
      <c r="S20" s="1" t="s">
        <v>1206</v>
      </c>
      <c r="T20" s="69">
        <v>1.78</v>
      </c>
      <c r="U20" s="70">
        <v>46754</v>
      </c>
      <c r="V20" s="68">
        <v>7.0199999999999999E-2</v>
      </c>
      <c r="W20" s="68">
        <v>7.5079999999999994E-2</v>
      </c>
      <c r="X20" s="8" t="s">
        <v>636</v>
      </c>
      <c r="Y20" s="141" t="s">
        <v>2853</v>
      </c>
      <c r="Z20" s="1" t="s">
        <v>791</v>
      </c>
      <c r="AA20" s="8" t="s">
        <v>305</v>
      </c>
      <c r="AB20" s="70">
        <v>46022</v>
      </c>
      <c r="AC20" s="140" t="s">
        <v>2853</v>
      </c>
      <c r="AD20" s="67">
        <v>3975859.59</v>
      </c>
      <c r="AE20" s="67">
        <v>1</v>
      </c>
      <c r="AF20" s="67">
        <v>101.29</v>
      </c>
      <c r="AG20" s="67">
        <v>4027.1481800000001</v>
      </c>
      <c r="AH20" s="140" t="s">
        <v>2853</v>
      </c>
      <c r="AI20" s="140" t="s">
        <v>2853</v>
      </c>
      <c r="AJ20" s="8" t="s">
        <v>17</v>
      </c>
      <c r="AK20" s="68">
        <v>3.8089937065755641E-2</v>
      </c>
      <c r="AL20" s="68">
        <v>9.3448859756367522E-4</v>
      </c>
    </row>
    <row r="21" spans="1:38" x14ac:dyDescent="0.25">
      <c r="A21" s="1">
        <v>13908</v>
      </c>
      <c r="B21" s="1">
        <v>13908</v>
      </c>
      <c r="C21" s="1" t="s">
        <v>2551</v>
      </c>
      <c r="D21" s="1">
        <v>517014023</v>
      </c>
      <c r="E21" s="1" t="s">
        <v>429</v>
      </c>
      <c r="F21" s="1" t="s">
        <v>2552</v>
      </c>
      <c r="G21" s="1" t="s">
        <v>2553</v>
      </c>
      <c r="H21" s="1" t="s">
        <v>76</v>
      </c>
      <c r="I21" s="1" t="s">
        <v>229</v>
      </c>
      <c r="J21" s="1" t="s">
        <v>53</v>
      </c>
      <c r="K21" s="1" t="s">
        <v>53</v>
      </c>
      <c r="L21" s="1" t="s">
        <v>974</v>
      </c>
      <c r="M21" s="1" t="s">
        <v>649</v>
      </c>
      <c r="N21" s="1" t="s">
        <v>62</v>
      </c>
      <c r="O21" s="70">
        <v>45657</v>
      </c>
      <c r="P21" s="1" t="s">
        <v>1304</v>
      </c>
      <c r="Q21" s="1" t="s">
        <v>70</v>
      </c>
      <c r="R21" s="1" t="s">
        <v>57</v>
      </c>
      <c r="S21" s="1" t="s">
        <v>1206</v>
      </c>
      <c r="T21" s="69">
        <v>10.44</v>
      </c>
      <c r="U21" s="70">
        <v>56300</v>
      </c>
      <c r="V21" s="68">
        <v>4.5199999999999997E-2</v>
      </c>
      <c r="W21" s="68">
        <v>0.05</v>
      </c>
      <c r="X21" s="1" t="s">
        <v>636</v>
      </c>
      <c r="Y21" s="140" t="s">
        <v>2853</v>
      </c>
      <c r="Z21" s="1" t="s">
        <v>791</v>
      </c>
      <c r="AA21" s="1" t="s">
        <v>305</v>
      </c>
      <c r="AB21" s="70">
        <v>46022</v>
      </c>
      <c r="AC21" s="140" t="s">
        <v>2853</v>
      </c>
      <c r="AD21" s="67">
        <v>5591890.3300000001</v>
      </c>
      <c r="AE21" s="67">
        <v>1</v>
      </c>
      <c r="AF21" s="67">
        <v>109.5</v>
      </c>
      <c r="AG21" s="67">
        <v>6123.1199100000003</v>
      </c>
      <c r="AH21" s="140" t="s">
        <v>2853</v>
      </c>
      <c r="AI21" s="140" t="s">
        <v>2853</v>
      </c>
      <c r="AJ21" s="1" t="s">
        <v>17</v>
      </c>
      <c r="AK21" s="68">
        <v>5.7914246407981776E-2</v>
      </c>
      <c r="AL21" s="68">
        <v>1.420853040826056E-3</v>
      </c>
    </row>
    <row r="22" spans="1:38" x14ac:dyDescent="0.25">
      <c r="A22" s="1">
        <v>13908</v>
      </c>
      <c r="B22" s="1">
        <v>13908</v>
      </c>
      <c r="C22" s="1" t="s">
        <v>2554</v>
      </c>
      <c r="D22" s="1">
        <v>540333101</v>
      </c>
      <c r="E22" s="1" t="s">
        <v>432</v>
      </c>
      <c r="F22" s="1" t="s">
        <v>2555</v>
      </c>
      <c r="G22" s="1" t="s">
        <v>2556</v>
      </c>
      <c r="H22" s="1" t="s">
        <v>76</v>
      </c>
      <c r="I22" s="1" t="s">
        <v>229</v>
      </c>
      <c r="J22" s="1" t="s">
        <v>53</v>
      </c>
      <c r="K22" s="1" t="s">
        <v>53</v>
      </c>
      <c r="L22" s="1" t="s">
        <v>974</v>
      </c>
      <c r="M22" s="1" t="s">
        <v>647</v>
      </c>
      <c r="N22" s="1" t="s">
        <v>62</v>
      </c>
      <c r="O22" s="70">
        <v>45659</v>
      </c>
      <c r="P22" s="1" t="s">
        <v>1358</v>
      </c>
      <c r="Q22" s="1" t="s">
        <v>70</v>
      </c>
      <c r="R22" s="1" t="s">
        <v>57</v>
      </c>
      <c r="S22" s="1" t="s">
        <v>1206</v>
      </c>
      <c r="T22" s="69">
        <v>8.01</v>
      </c>
      <c r="U22" s="70">
        <v>52596</v>
      </c>
      <c r="V22" s="68">
        <v>3.7600000000000001E-2</v>
      </c>
      <c r="W22" s="68">
        <v>3.9E-2</v>
      </c>
      <c r="X22" s="1" t="s">
        <v>636</v>
      </c>
      <c r="Y22" s="140" t="s">
        <v>2853</v>
      </c>
      <c r="Z22" s="1" t="s">
        <v>791</v>
      </c>
      <c r="AA22" s="1" t="s">
        <v>305</v>
      </c>
      <c r="AB22" s="70">
        <v>46022</v>
      </c>
      <c r="AC22" s="140" t="s">
        <v>2853</v>
      </c>
      <c r="AD22" s="67">
        <v>3119999.88</v>
      </c>
      <c r="AE22" s="67">
        <v>1</v>
      </c>
      <c r="AF22" s="67">
        <v>106.5</v>
      </c>
      <c r="AG22" s="67">
        <v>3322.7998699999998</v>
      </c>
      <c r="AH22" s="140" t="s">
        <v>2853</v>
      </c>
      <c r="AI22" s="140" t="s">
        <v>2853</v>
      </c>
      <c r="AJ22" s="1" t="s">
        <v>17</v>
      </c>
      <c r="AK22" s="68">
        <v>3.1428006190326228E-2</v>
      </c>
      <c r="AL22" s="68">
        <v>7.7104652019560453E-4</v>
      </c>
    </row>
    <row r="23" spans="1:38" x14ac:dyDescent="0.25">
      <c r="A23" s="1">
        <v>13908</v>
      </c>
      <c r="B23" s="1">
        <v>13908</v>
      </c>
      <c r="C23" s="1" t="s">
        <v>1635</v>
      </c>
      <c r="D23" s="1">
        <v>520018078</v>
      </c>
      <c r="E23" s="1" t="s">
        <v>429</v>
      </c>
      <c r="F23" s="1" t="s">
        <v>2557</v>
      </c>
      <c r="G23" s="1" t="s">
        <v>2558</v>
      </c>
      <c r="H23" s="1" t="s">
        <v>76</v>
      </c>
      <c r="I23" s="1" t="s">
        <v>228</v>
      </c>
      <c r="J23" s="1" t="s">
        <v>53</v>
      </c>
      <c r="K23" s="1" t="s">
        <v>53</v>
      </c>
      <c r="L23" s="1" t="s">
        <v>974</v>
      </c>
      <c r="M23" s="1" t="s">
        <v>256</v>
      </c>
      <c r="N23" s="1" t="s">
        <v>62</v>
      </c>
      <c r="O23" s="70">
        <v>45798</v>
      </c>
      <c r="P23" s="1" t="s">
        <v>1414</v>
      </c>
      <c r="Q23" s="1" t="s">
        <v>65</v>
      </c>
      <c r="R23" s="1" t="s">
        <v>57</v>
      </c>
      <c r="S23" s="1" t="s">
        <v>1206</v>
      </c>
      <c r="T23" s="69">
        <v>3.15</v>
      </c>
      <c r="U23" s="70">
        <v>47293</v>
      </c>
      <c r="V23" s="68">
        <v>6.0100000000000001E-2</v>
      </c>
      <c r="W23" s="68">
        <v>6.4500000000000002E-2</v>
      </c>
      <c r="X23" s="1" t="s">
        <v>636</v>
      </c>
      <c r="Y23" s="140" t="s">
        <v>2853</v>
      </c>
      <c r="Z23" s="1" t="s">
        <v>791</v>
      </c>
      <c r="AA23" s="1" t="s">
        <v>305</v>
      </c>
      <c r="AB23" s="70">
        <v>46022</v>
      </c>
      <c r="AC23" s="140" t="s">
        <v>2853</v>
      </c>
      <c r="AD23" s="67">
        <v>14813331.779999999</v>
      </c>
      <c r="AE23" s="67">
        <v>1</v>
      </c>
      <c r="AF23" s="67">
        <v>101.19</v>
      </c>
      <c r="AG23" s="67">
        <v>14989.610430000001</v>
      </c>
      <c r="AH23" s="140" t="s">
        <v>2853</v>
      </c>
      <c r="AI23" s="140" t="s">
        <v>2853</v>
      </c>
      <c r="AJ23" s="1" t="s">
        <v>17</v>
      </c>
      <c r="AK23" s="68">
        <v>0.14177608878521433</v>
      </c>
      <c r="AL23" s="68">
        <v>3.4782976445521651E-3</v>
      </c>
    </row>
    <row r="24" spans="1:38" x14ac:dyDescent="0.25">
      <c r="A24" s="1">
        <v>13908</v>
      </c>
      <c r="B24" s="1">
        <v>13908</v>
      </c>
      <c r="C24" s="1" t="s">
        <v>2508</v>
      </c>
      <c r="D24" s="1">
        <v>510687403</v>
      </c>
      <c r="E24" s="1" t="s">
        <v>429</v>
      </c>
      <c r="F24" s="1" t="s">
        <v>2559</v>
      </c>
      <c r="G24" s="1" t="s">
        <v>2560</v>
      </c>
      <c r="H24" s="1" t="s">
        <v>76</v>
      </c>
      <c r="I24" s="1" t="s">
        <v>229</v>
      </c>
      <c r="J24" s="1" t="s">
        <v>53</v>
      </c>
      <c r="K24" s="1" t="s">
        <v>53</v>
      </c>
      <c r="L24" s="1" t="s">
        <v>974</v>
      </c>
      <c r="M24" s="1" t="s">
        <v>651</v>
      </c>
      <c r="N24" s="1" t="s">
        <v>62</v>
      </c>
      <c r="O24" s="70">
        <v>45832</v>
      </c>
      <c r="P24" s="1" t="s">
        <v>1285</v>
      </c>
      <c r="Q24" s="1" t="s">
        <v>65</v>
      </c>
      <c r="R24" s="1" t="s">
        <v>57</v>
      </c>
      <c r="S24" s="1" t="s">
        <v>1206</v>
      </c>
      <c r="T24" s="69">
        <v>5.09</v>
      </c>
      <c r="U24" s="70">
        <v>49491</v>
      </c>
      <c r="V24" s="68">
        <v>3.1399999999999997E-2</v>
      </c>
      <c r="W24" s="68">
        <v>3.4000000000000002E-2</v>
      </c>
      <c r="X24" s="1" t="s">
        <v>636</v>
      </c>
      <c r="Y24" s="140" t="s">
        <v>2853</v>
      </c>
      <c r="Z24" s="1" t="s">
        <v>791</v>
      </c>
      <c r="AA24" s="1" t="s">
        <v>305</v>
      </c>
      <c r="AB24" s="70">
        <v>46022</v>
      </c>
      <c r="AC24" s="140" t="s">
        <v>2853</v>
      </c>
      <c r="AD24" s="67">
        <v>1037000</v>
      </c>
      <c r="AE24" s="67">
        <v>1</v>
      </c>
      <c r="AF24" s="67">
        <v>99.5</v>
      </c>
      <c r="AG24" s="67">
        <v>1031.8150000000001</v>
      </c>
      <c r="AH24" s="140" t="s">
        <v>2853</v>
      </c>
      <c r="AI24" s="140" t="s">
        <v>2853</v>
      </c>
      <c r="AJ24" s="1" t="s">
        <v>17</v>
      </c>
      <c r="AK24" s="68">
        <v>9.7592059335404567E-3</v>
      </c>
      <c r="AL24" s="68">
        <v>2.3942981713058386E-4</v>
      </c>
    </row>
    <row r="25" spans="1:38" x14ac:dyDescent="0.25">
      <c r="A25" s="1">
        <v>13908</v>
      </c>
      <c r="B25" s="1">
        <v>13908</v>
      </c>
      <c r="C25" s="1" t="s">
        <v>589</v>
      </c>
      <c r="D25" s="1">
        <v>520004078</v>
      </c>
      <c r="E25" s="1" t="s">
        <v>429</v>
      </c>
      <c r="F25" s="1" t="s">
        <v>2561</v>
      </c>
      <c r="G25" s="1" t="s">
        <v>2562</v>
      </c>
      <c r="H25" s="1" t="s">
        <v>76</v>
      </c>
      <c r="I25" s="1" t="s">
        <v>228</v>
      </c>
      <c r="J25" s="1" t="s">
        <v>53</v>
      </c>
      <c r="K25" s="1" t="s">
        <v>53</v>
      </c>
      <c r="L25" s="1" t="s">
        <v>974</v>
      </c>
      <c r="M25" s="1" t="s">
        <v>269</v>
      </c>
      <c r="N25" s="1" t="s">
        <v>62</v>
      </c>
      <c r="O25" s="70">
        <v>45846</v>
      </c>
      <c r="P25" s="1" t="s">
        <v>298</v>
      </c>
      <c r="Q25" s="1" t="s">
        <v>298</v>
      </c>
      <c r="R25" s="1" t="s">
        <v>298</v>
      </c>
      <c r="S25" s="1" t="s">
        <v>1206</v>
      </c>
      <c r="T25" s="69">
        <v>2.99</v>
      </c>
      <c r="U25" s="70">
        <v>47202</v>
      </c>
      <c r="V25" s="68">
        <v>5.3900000000000003E-2</v>
      </c>
      <c r="W25" s="68">
        <v>5.8299999999999998E-2</v>
      </c>
      <c r="X25" s="1" t="s">
        <v>636</v>
      </c>
      <c r="Y25" s="140" t="s">
        <v>2853</v>
      </c>
      <c r="Z25" s="1" t="s">
        <v>791</v>
      </c>
      <c r="AA25" s="1" t="s">
        <v>305</v>
      </c>
      <c r="AB25" s="70">
        <v>46022</v>
      </c>
      <c r="AC25" s="140" t="s">
        <v>2853</v>
      </c>
      <c r="AD25" s="67">
        <v>968982.44</v>
      </c>
      <c r="AE25" s="67">
        <v>1</v>
      </c>
      <c r="AF25" s="67">
        <v>100</v>
      </c>
      <c r="AG25" s="67">
        <v>968.98244</v>
      </c>
      <c r="AH25" s="140" t="s">
        <v>2853</v>
      </c>
      <c r="AI25" s="140" t="s">
        <v>2853</v>
      </c>
      <c r="AJ25" s="1" t="s">
        <v>17</v>
      </c>
      <c r="AK25" s="68">
        <v>9.1649173329952649E-3</v>
      </c>
      <c r="AL25" s="68">
        <v>2.2484969535425142E-4</v>
      </c>
    </row>
    <row r="26" spans="1:38" x14ac:dyDescent="0.25">
      <c r="A26" s="1">
        <v>13908</v>
      </c>
      <c r="B26" s="1">
        <v>13908</v>
      </c>
      <c r="C26" s="1" t="s">
        <v>2536</v>
      </c>
      <c r="D26" s="1">
        <v>515759777</v>
      </c>
      <c r="E26" s="1" t="s">
        <v>429</v>
      </c>
      <c r="F26" s="1" t="s">
        <v>2563</v>
      </c>
      <c r="G26" s="1" t="s">
        <v>2564</v>
      </c>
      <c r="H26" s="1" t="s">
        <v>76</v>
      </c>
      <c r="I26" s="1" t="s">
        <v>228</v>
      </c>
      <c r="J26" s="1" t="s">
        <v>53</v>
      </c>
      <c r="K26" s="1" t="s">
        <v>53</v>
      </c>
      <c r="L26" s="1" t="s">
        <v>974</v>
      </c>
      <c r="M26" s="1" t="s">
        <v>649</v>
      </c>
      <c r="N26" s="1" t="s">
        <v>62</v>
      </c>
      <c r="O26" s="70">
        <v>45858</v>
      </c>
      <c r="P26" s="1" t="s">
        <v>298</v>
      </c>
      <c r="Q26" s="1" t="s">
        <v>298</v>
      </c>
      <c r="R26" s="1" t="s">
        <v>298</v>
      </c>
      <c r="S26" s="1" t="s">
        <v>1206</v>
      </c>
      <c r="T26" s="69">
        <v>3.52</v>
      </c>
      <c r="U26" s="70">
        <v>47574</v>
      </c>
      <c r="V26" s="68">
        <v>7.5300000000000006E-2</v>
      </c>
      <c r="W26" s="68">
        <v>6.6000000000000003E-2</v>
      </c>
      <c r="X26" s="1" t="s">
        <v>636</v>
      </c>
      <c r="Y26" s="140" t="s">
        <v>2853</v>
      </c>
      <c r="Z26" s="1" t="s">
        <v>791</v>
      </c>
      <c r="AA26" s="1" t="s">
        <v>305</v>
      </c>
      <c r="AB26" s="70">
        <v>46022</v>
      </c>
      <c r="AC26" s="140" t="s">
        <v>2853</v>
      </c>
      <c r="AD26" s="67">
        <v>693603.98</v>
      </c>
      <c r="AE26" s="67">
        <v>1</v>
      </c>
      <c r="AF26" s="67">
        <v>103.5</v>
      </c>
      <c r="AG26" s="67">
        <v>717.88012000000003</v>
      </c>
      <c r="AH26" s="140" t="s">
        <v>2853</v>
      </c>
      <c r="AI26" s="140" t="s">
        <v>2853</v>
      </c>
      <c r="AJ26" s="1" t="s">
        <v>17</v>
      </c>
      <c r="AK26" s="68">
        <v>6.7899186643678722E-3</v>
      </c>
      <c r="AL26" s="68">
        <v>1.6658209645457916E-4</v>
      </c>
    </row>
    <row r="27" spans="1:38" x14ac:dyDescent="0.25">
      <c r="A27" s="1">
        <v>13908</v>
      </c>
      <c r="B27" s="1">
        <v>13908</v>
      </c>
      <c r="C27" s="1" t="s">
        <v>2551</v>
      </c>
      <c r="D27" s="1">
        <v>517112074</v>
      </c>
      <c r="E27" s="1" t="s">
        <v>429</v>
      </c>
      <c r="F27" s="1" t="s">
        <v>2565</v>
      </c>
      <c r="G27" s="1" t="s">
        <v>2566</v>
      </c>
      <c r="H27" s="1" t="s">
        <v>76</v>
      </c>
      <c r="I27" s="1" t="s">
        <v>229</v>
      </c>
      <c r="J27" s="1" t="s">
        <v>53</v>
      </c>
      <c r="K27" s="1" t="s">
        <v>53</v>
      </c>
      <c r="L27" s="1" t="s">
        <v>974</v>
      </c>
      <c r="M27" s="1" t="s">
        <v>649</v>
      </c>
      <c r="N27" s="1" t="s">
        <v>62</v>
      </c>
      <c r="O27" s="70">
        <v>45867</v>
      </c>
      <c r="P27" s="1" t="s">
        <v>1304</v>
      </c>
      <c r="Q27" s="1" t="s">
        <v>70</v>
      </c>
      <c r="R27" s="1" t="s">
        <v>57</v>
      </c>
      <c r="S27" s="1" t="s">
        <v>1206</v>
      </c>
      <c r="T27" s="69">
        <v>10.220000000000001</v>
      </c>
      <c r="U27" s="70">
        <v>56421</v>
      </c>
      <c r="V27" s="68">
        <v>4.8599999999999997E-2</v>
      </c>
      <c r="W27" s="68">
        <v>5.2499999999999998E-2</v>
      </c>
      <c r="X27" s="1" t="s">
        <v>636</v>
      </c>
      <c r="Y27" s="140" t="s">
        <v>2853</v>
      </c>
      <c r="Z27" s="1" t="s">
        <v>791</v>
      </c>
      <c r="AA27" s="1" t="s">
        <v>305</v>
      </c>
      <c r="AB27" s="70">
        <v>46022</v>
      </c>
      <c r="AC27" s="140" t="s">
        <v>2853</v>
      </c>
      <c r="AD27" s="67">
        <v>600402.46</v>
      </c>
      <c r="AE27" s="67">
        <v>1</v>
      </c>
      <c r="AF27" s="67">
        <v>106.12</v>
      </c>
      <c r="AG27" s="67">
        <v>637.14709000000005</v>
      </c>
      <c r="AH27" s="140" t="s">
        <v>2853</v>
      </c>
      <c r="AI27" s="140" t="s">
        <v>2853</v>
      </c>
      <c r="AJ27" s="1" t="s">
        <v>17</v>
      </c>
      <c r="AK27" s="68">
        <v>6.0263222198417704E-3</v>
      </c>
      <c r="AL27" s="68">
        <v>1.4784822012083916E-4</v>
      </c>
    </row>
    <row r="28" spans="1:38" x14ac:dyDescent="0.25">
      <c r="A28" s="1">
        <v>13908</v>
      </c>
      <c r="B28" s="1">
        <v>13908</v>
      </c>
      <c r="C28" s="1" t="s">
        <v>2551</v>
      </c>
      <c r="D28" s="1">
        <v>517112074</v>
      </c>
      <c r="E28" s="1" t="s">
        <v>429</v>
      </c>
      <c r="F28" s="1" t="s">
        <v>2567</v>
      </c>
      <c r="G28" s="1" t="s">
        <v>2568</v>
      </c>
      <c r="H28" s="1" t="s">
        <v>76</v>
      </c>
      <c r="I28" s="1" t="s">
        <v>228</v>
      </c>
      <c r="J28" s="1" t="s">
        <v>53</v>
      </c>
      <c r="K28" s="1" t="s">
        <v>53</v>
      </c>
      <c r="L28" s="1" t="s">
        <v>974</v>
      </c>
      <c r="M28" s="1" t="s">
        <v>649</v>
      </c>
      <c r="N28" s="1" t="s">
        <v>62</v>
      </c>
      <c r="O28" s="70">
        <v>45867</v>
      </c>
      <c r="P28" s="1" t="s">
        <v>1304</v>
      </c>
      <c r="Q28" s="1" t="s">
        <v>70</v>
      </c>
      <c r="R28" s="1" t="s">
        <v>57</v>
      </c>
      <c r="S28" s="1" t="s">
        <v>1206</v>
      </c>
      <c r="T28" s="69">
        <v>7.02</v>
      </c>
      <c r="U28" s="70">
        <v>56421</v>
      </c>
      <c r="V28" s="68">
        <v>8.48E-2</v>
      </c>
      <c r="W28" s="68">
        <v>7.5499999999999998E-2</v>
      </c>
      <c r="X28" s="1" t="s">
        <v>636</v>
      </c>
      <c r="Y28" s="140" t="s">
        <v>2853</v>
      </c>
      <c r="Z28" s="1" t="s">
        <v>791</v>
      </c>
      <c r="AA28" s="1" t="s">
        <v>305</v>
      </c>
      <c r="AB28" s="70">
        <v>46022</v>
      </c>
      <c r="AC28" s="140" t="s">
        <v>2853</v>
      </c>
      <c r="AD28" s="67">
        <v>336672.77</v>
      </c>
      <c r="AE28" s="67">
        <v>1</v>
      </c>
      <c r="AF28" s="67">
        <v>105.08</v>
      </c>
      <c r="AG28" s="67">
        <v>353.77575000000002</v>
      </c>
      <c r="AH28" s="140" t="s">
        <v>2853</v>
      </c>
      <c r="AI28" s="140" t="s">
        <v>2853</v>
      </c>
      <c r="AJ28" s="1" t="s">
        <v>17</v>
      </c>
      <c r="AK28" s="68">
        <v>3.3461137883658656E-3</v>
      </c>
      <c r="AL28" s="68">
        <v>8.2092684374364741E-5</v>
      </c>
    </row>
    <row r="29" spans="1:38" x14ac:dyDescent="0.25">
      <c r="A29" s="1">
        <v>13908</v>
      </c>
      <c r="B29" s="1">
        <v>13908</v>
      </c>
      <c r="C29" s="1" t="s">
        <v>1499</v>
      </c>
      <c r="D29" s="1">
        <v>520000118</v>
      </c>
      <c r="E29" s="1" t="s">
        <v>429</v>
      </c>
      <c r="F29" s="1" t="s">
        <v>2569</v>
      </c>
      <c r="G29" s="1" t="s">
        <v>2570</v>
      </c>
      <c r="H29" s="1" t="s">
        <v>76</v>
      </c>
      <c r="I29" s="1" t="s">
        <v>228</v>
      </c>
      <c r="J29" s="1" t="s">
        <v>53</v>
      </c>
      <c r="K29" s="1" t="s">
        <v>53</v>
      </c>
      <c r="L29" s="1" t="s">
        <v>974</v>
      </c>
      <c r="M29" s="1" t="s">
        <v>256</v>
      </c>
      <c r="N29" s="1" t="s">
        <v>62</v>
      </c>
      <c r="O29" s="70">
        <v>45896</v>
      </c>
      <c r="P29" s="1" t="s">
        <v>1281</v>
      </c>
      <c r="Q29" s="1" t="s">
        <v>65</v>
      </c>
      <c r="R29" s="1" t="s">
        <v>57</v>
      </c>
      <c r="S29" s="1" t="s">
        <v>1206</v>
      </c>
      <c r="T29" s="69">
        <v>2.62</v>
      </c>
      <c r="U29" s="70">
        <v>47064</v>
      </c>
      <c r="V29" s="68">
        <v>5.96E-2</v>
      </c>
      <c r="W29" s="68">
        <v>7.8191999999999998E-2</v>
      </c>
      <c r="X29" s="1" t="s">
        <v>636</v>
      </c>
      <c r="Y29" s="140" t="s">
        <v>2853</v>
      </c>
      <c r="Z29" s="1" t="s">
        <v>791</v>
      </c>
      <c r="AA29" s="1" t="s">
        <v>305</v>
      </c>
      <c r="AB29" s="70">
        <v>46022</v>
      </c>
      <c r="AC29" s="140" t="s">
        <v>2853</v>
      </c>
      <c r="AD29" s="67">
        <v>20000000</v>
      </c>
      <c r="AE29" s="67">
        <v>1</v>
      </c>
      <c r="AF29" s="67">
        <v>100</v>
      </c>
      <c r="AG29" s="67">
        <v>20000</v>
      </c>
      <c r="AH29" s="140" t="s">
        <v>2853</v>
      </c>
      <c r="AI29" s="140" t="s">
        <v>2853</v>
      </c>
      <c r="AJ29" s="1" t="s">
        <v>17</v>
      </c>
      <c r="AK29" s="68">
        <v>0.18916580847420239</v>
      </c>
      <c r="AL29" s="68">
        <v>4.6409446873825998E-3</v>
      </c>
    </row>
    <row r="30" spans="1:38" x14ac:dyDescent="0.25">
      <c r="A30" s="1">
        <v>13908</v>
      </c>
      <c r="B30" s="1">
        <v>13908</v>
      </c>
      <c r="C30" s="1" t="s">
        <v>2536</v>
      </c>
      <c r="D30" s="1">
        <v>515759777</v>
      </c>
      <c r="E30" s="1" t="s">
        <v>429</v>
      </c>
      <c r="F30" s="1" t="s">
        <v>2571</v>
      </c>
      <c r="G30" s="1" t="s">
        <v>2572</v>
      </c>
      <c r="H30" s="1" t="s">
        <v>76</v>
      </c>
      <c r="I30" s="1" t="s">
        <v>228</v>
      </c>
      <c r="J30" s="1" t="s">
        <v>53</v>
      </c>
      <c r="K30" s="1" t="s">
        <v>53</v>
      </c>
      <c r="L30" s="1" t="s">
        <v>974</v>
      </c>
      <c r="M30" s="1" t="s">
        <v>649</v>
      </c>
      <c r="N30" s="1" t="s">
        <v>62</v>
      </c>
      <c r="O30" s="70">
        <v>45985</v>
      </c>
      <c r="P30" s="1" t="s">
        <v>298</v>
      </c>
      <c r="Q30" s="1" t="s">
        <v>298</v>
      </c>
      <c r="R30" s="1" t="s">
        <v>298</v>
      </c>
      <c r="S30" s="1" t="s">
        <v>1206</v>
      </c>
      <c r="T30" s="69">
        <v>3.96</v>
      </c>
      <c r="U30" s="70">
        <v>47881</v>
      </c>
      <c r="V30" s="68">
        <v>6.8699999999999997E-2</v>
      </c>
      <c r="W30" s="68">
        <v>4.4799999999999999E-4</v>
      </c>
      <c r="X30" s="1" t="s">
        <v>636</v>
      </c>
      <c r="Y30" s="140" t="s">
        <v>2853</v>
      </c>
      <c r="Z30" s="1" t="s">
        <v>791</v>
      </c>
      <c r="AA30" s="1" t="s">
        <v>305</v>
      </c>
      <c r="AB30" s="70">
        <v>46022</v>
      </c>
      <c r="AC30" s="140" t="s">
        <v>2853</v>
      </c>
      <c r="AD30" s="67">
        <v>2000000</v>
      </c>
      <c r="AE30" s="67">
        <v>1</v>
      </c>
      <c r="AF30" s="67">
        <v>102.5</v>
      </c>
      <c r="AG30" s="67">
        <v>2050</v>
      </c>
      <c r="AH30" s="140" t="s">
        <v>2853</v>
      </c>
      <c r="AI30" s="140" t="s">
        <v>2853</v>
      </c>
      <c r="AJ30" s="1" t="s">
        <v>17</v>
      </c>
      <c r="AK30" s="68">
        <v>1.9389495368605746E-2</v>
      </c>
      <c r="AL30" s="68">
        <v>4.7569683045671642E-4</v>
      </c>
    </row>
    <row r="31" spans="1:38" x14ac:dyDescent="0.25">
      <c r="A31" s="1">
        <v>13908</v>
      </c>
      <c r="B31" s="1">
        <v>13908</v>
      </c>
      <c r="C31" s="1" t="s">
        <v>2573</v>
      </c>
      <c r="D31" s="1">
        <v>520037664</v>
      </c>
      <c r="E31" s="1" t="s">
        <v>429</v>
      </c>
      <c r="F31" s="1" t="s">
        <v>2574</v>
      </c>
      <c r="G31" s="1" t="s">
        <v>2575</v>
      </c>
      <c r="H31" s="1" t="s">
        <v>76</v>
      </c>
      <c r="I31" s="1" t="s">
        <v>228</v>
      </c>
      <c r="J31" s="1" t="s">
        <v>53</v>
      </c>
      <c r="K31" s="1" t="s">
        <v>53</v>
      </c>
      <c r="L31" s="1" t="s">
        <v>974</v>
      </c>
      <c r="M31" s="1" t="s">
        <v>708</v>
      </c>
      <c r="N31" s="1" t="s">
        <v>62</v>
      </c>
      <c r="O31" s="70">
        <v>45657</v>
      </c>
      <c r="P31" s="1" t="s">
        <v>1323</v>
      </c>
      <c r="Q31" s="1" t="s">
        <v>70</v>
      </c>
      <c r="R31" s="1" t="s">
        <v>57</v>
      </c>
      <c r="S31" s="1" t="s">
        <v>1206</v>
      </c>
      <c r="T31" s="69">
        <v>1.08</v>
      </c>
      <c r="U31" s="70">
        <v>46798</v>
      </c>
      <c r="V31" s="68">
        <v>4.7699999999999999E-2</v>
      </c>
      <c r="W31" s="68">
        <v>2.1000000000000001E-2</v>
      </c>
      <c r="X31" s="1" t="s">
        <v>636</v>
      </c>
      <c r="Y31" s="140" t="s">
        <v>2853</v>
      </c>
      <c r="Z31" s="1" t="s">
        <v>791</v>
      </c>
      <c r="AA31" s="1" t="s">
        <v>305</v>
      </c>
      <c r="AB31" s="70">
        <v>46022</v>
      </c>
      <c r="AC31" s="140" t="s">
        <v>2853</v>
      </c>
      <c r="AD31" s="67">
        <v>668987.99</v>
      </c>
      <c r="AE31" s="67">
        <v>1</v>
      </c>
      <c r="AF31" s="67">
        <v>94.8</v>
      </c>
      <c r="AG31" s="67">
        <v>634.20060999999998</v>
      </c>
      <c r="AH31" s="140" t="s">
        <v>2853</v>
      </c>
      <c r="AI31" s="140" t="s">
        <v>2853</v>
      </c>
      <c r="AJ31" s="1" t="s">
        <v>17</v>
      </c>
      <c r="AK31" s="68">
        <v>5.9984535562741161E-3</v>
      </c>
      <c r="AL31" s="68">
        <v>1.4716449758571517E-4</v>
      </c>
    </row>
    <row r="32" spans="1:38" x14ac:dyDescent="0.25">
      <c r="A32" s="1">
        <v>13908</v>
      </c>
      <c r="B32" s="1">
        <v>13908</v>
      </c>
      <c r="C32" s="1" t="s">
        <v>2576</v>
      </c>
      <c r="D32" s="1">
        <v>520021874</v>
      </c>
      <c r="E32" s="1" t="s">
        <v>429</v>
      </c>
      <c r="F32" s="1" t="s">
        <v>2577</v>
      </c>
      <c r="G32" s="1" t="s">
        <v>2578</v>
      </c>
      <c r="H32" s="1" t="s">
        <v>76</v>
      </c>
      <c r="I32" s="1" t="s">
        <v>228</v>
      </c>
      <c r="J32" s="1" t="s">
        <v>53</v>
      </c>
      <c r="K32" s="1" t="s">
        <v>53</v>
      </c>
      <c r="L32" s="1" t="s">
        <v>974</v>
      </c>
      <c r="M32" s="1" t="s">
        <v>708</v>
      </c>
      <c r="N32" s="1" t="s">
        <v>62</v>
      </c>
      <c r="O32" s="70">
        <v>45657</v>
      </c>
      <c r="P32" s="1" t="s">
        <v>1358</v>
      </c>
      <c r="Q32" s="1" t="s">
        <v>70</v>
      </c>
      <c r="R32" s="1" t="s">
        <v>57</v>
      </c>
      <c r="S32" s="1" t="s">
        <v>1206</v>
      </c>
      <c r="T32" s="69">
        <v>1.34</v>
      </c>
      <c r="U32" s="70">
        <v>46568</v>
      </c>
      <c r="V32" s="68">
        <v>5.2999999999999999E-2</v>
      </c>
      <c r="W32" s="68">
        <v>4.4699999999999997E-2</v>
      </c>
      <c r="X32" s="1" t="s">
        <v>636</v>
      </c>
      <c r="Y32" s="140" t="s">
        <v>2853</v>
      </c>
      <c r="Z32" s="1" t="s">
        <v>791</v>
      </c>
      <c r="AA32" s="1" t="s">
        <v>305</v>
      </c>
      <c r="AB32" s="70">
        <v>46022</v>
      </c>
      <c r="AC32" s="140" t="s">
        <v>2853</v>
      </c>
      <c r="AD32" s="67">
        <v>3450000.76</v>
      </c>
      <c r="AE32" s="67">
        <v>1</v>
      </c>
      <c r="AF32" s="67">
        <v>101</v>
      </c>
      <c r="AG32" s="67">
        <v>3484.5007700000001</v>
      </c>
      <c r="AH32" s="140" t="s">
        <v>2853</v>
      </c>
      <c r="AI32" s="140" t="s">
        <v>2853</v>
      </c>
      <c r="AJ32" s="1" t="s">
        <v>17</v>
      </c>
      <c r="AK32" s="68">
        <v>3.295742026430154E-2</v>
      </c>
      <c r="AL32" s="68">
        <v>8.0856876683560387E-4</v>
      </c>
    </row>
    <row r="33" spans="1:38" x14ac:dyDescent="0.25">
      <c r="A33" s="1">
        <v>13908</v>
      </c>
      <c r="B33" s="1">
        <v>13908</v>
      </c>
      <c r="C33" s="1" t="s">
        <v>2579</v>
      </c>
      <c r="D33" s="1">
        <v>516481561</v>
      </c>
      <c r="E33" s="1" t="s">
        <v>429</v>
      </c>
      <c r="F33" s="1" t="s">
        <v>2580</v>
      </c>
      <c r="G33" s="1">
        <v>11022551</v>
      </c>
      <c r="H33" s="1" t="s">
        <v>78</v>
      </c>
      <c r="I33" s="110" t="s">
        <v>290</v>
      </c>
      <c r="J33" s="1" t="s">
        <v>53</v>
      </c>
      <c r="K33" s="1" t="s">
        <v>53</v>
      </c>
      <c r="L33" s="1" t="s">
        <v>974</v>
      </c>
      <c r="M33" s="1" t="s">
        <v>261</v>
      </c>
      <c r="N33" s="1" t="s">
        <v>62</v>
      </c>
      <c r="O33" s="70">
        <v>46021</v>
      </c>
      <c r="P33" s="1" t="s">
        <v>298</v>
      </c>
      <c r="Q33" s="1" t="s">
        <v>298</v>
      </c>
      <c r="R33" s="1" t="s">
        <v>298</v>
      </c>
      <c r="S33" s="1" t="s">
        <v>1206</v>
      </c>
      <c r="T33" s="69">
        <v>7.992</v>
      </c>
      <c r="U33" s="70">
        <v>48939</v>
      </c>
      <c r="V33" s="68">
        <v>0.12</v>
      </c>
      <c r="W33" s="68">
        <v>0.12</v>
      </c>
      <c r="X33" s="1" t="s">
        <v>636</v>
      </c>
      <c r="Y33" s="140" t="s">
        <v>2853</v>
      </c>
      <c r="Z33" s="1" t="s">
        <v>791</v>
      </c>
      <c r="AA33" s="1" t="s">
        <v>305</v>
      </c>
      <c r="AB33" s="70">
        <v>46022</v>
      </c>
      <c r="AC33" s="140" t="s">
        <v>2853</v>
      </c>
      <c r="AD33" s="67">
        <v>1730769.23</v>
      </c>
      <c r="AE33" s="67">
        <v>1</v>
      </c>
      <c r="AF33" s="67">
        <v>100</v>
      </c>
      <c r="AG33" s="67">
        <v>1730.7692300000001</v>
      </c>
      <c r="AH33" s="140" t="s">
        <v>2853</v>
      </c>
      <c r="AI33" s="140" t="s">
        <v>2853</v>
      </c>
      <c r="AJ33" s="1" t="s">
        <v>17</v>
      </c>
      <c r="AK33" s="68">
        <v>1.6370118033761139E-2</v>
      </c>
      <c r="AL33" s="68">
        <v>4.0162021315268864E-4</v>
      </c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Z10000"/>
  <sheetViews>
    <sheetView rightToLeft="1" zoomScale="40" zoomScaleNormal="40" workbookViewId="0">
      <selection activeCell="A2" sqref="A2:Z17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33.19921875" style="1" bestFit="1" customWidth="1"/>
    <col min="4" max="4" width="15.796875" style="1" bestFit="1" customWidth="1"/>
    <col min="5" max="5" width="26.19921875" style="1" bestFit="1" customWidth="1"/>
    <col min="6" max="6" width="17.59765625" style="1" bestFit="1" customWidth="1"/>
    <col min="7" max="7" width="13.296875" style="1" customWidth="1"/>
    <col min="8" max="8" width="15.796875" style="1" customWidth="1"/>
    <col min="9" max="9" width="14.69921875" style="1" bestFit="1" customWidth="1"/>
    <col min="10" max="10" width="10.5" style="1" customWidth="1"/>
    <col min="11" max="11" width="19.5" style="1" customWidth="1"/>
    <col min="12" max="12" width="13.5" style="1" customWidth="1"/>
    <col min="13" max="13" width="44" style="1" bestFit="1" customWidth="1"/>
    <col min="14" max="14" width="15.296875" style="1" customWidth="1"/>
    <col min="15" max="15" width="12.296875" style="1" customWidth="1"/>
    <col min="16" max="16" width="12" style="1" customWidth="1"/>
    <col min="17" max="17" width="15.19921875" style="1" bestFit="1" customWidth="1"/>
    <col min="18" max="18" width="19" style="1" customWidth="1"/>
    <col min="19" max="19" width="16.5" style="1" customWidth="1"/>
    <col min="20" max="20" width="30.5" style="1" customWidth="1"/>
    <col min="21" max="21" width="15" style="1" customWidth="1"/>
    <col min="22" max="22" width="10.296875" style="1" customWidth="1"/>
    <col min="23" max="23" width="13.5" style="1" customWidth="1"/>
    <col min="24" max="24" width="16.796875" style="1" customWidth="1"/>
    <col min="25" max="25" width="21.5" style="1" customWidth="1"/>
    <col min="26" max="26" width="20.296875" style="1" customWidth="1"/>
    <col min="27" max="16384" width="9" style="1"/>
  </cols>
  <sheetData>
    <row r="1" spans="1:26" ht="66.75" customHeight="1" x14ac:dyDescent="0.25">
      <c r="A1" s="139" t="s">
        <v>667</v>
      </c>
      <c r="B1" s="139" t="s">
        <v>0</v>
      </c>
      <c r="C1" s="139" t="s">
        <v>740</v>
      </c>
      <c r="D1" s="139" t="s">
        <v>2</v>
      </c>
      <c r="E1" s="139" t="s">
        <v>756</v>
      </c>
      <c r="F1" s="139" t="s">
        <v>1154</v>
      </c>
      <c r="G1" s="139" t="s">
        <v>29</v>
      </c>
      <c r="H1" s="139" t="s">
        <v>28</v>
      </c>
      <c r="I1" s="139" t="s">
        <v>1</v>
      </c>
      <c r="J1" s="139" t="s">
        <v>620</v>
      </c>
      <c r="K1" s="139" t="s">
        <v>621</v>
      </c>
      <c r="L1" s="139" t="s">
        <v>625</v>
      </c>
      <c r="M1" s="139" t="s">
        <v>9</v>
      </c>
      <c r="N1" s="139" t="s">
        <v>622</v>
      </c>
      <c r="O1" s="139" t="s">
        <v>12</v>
      </c>
      <c r="P1" s="139" t="s">
        <v>396</v>
      </c>
      <c r="Q1" s="139" t="s">
        <v>933</v>
      </c>
      <c r="R1" s="139" t="s">
        <v>372</v>
      </c>
      <c r="S1" s="139" t="s">
        <v>16</v>
      </c>
      <c r="T1" s="139" t="s">
        <v>1156</v>
      </c>
      <c r="U1" s="139" t="s">
        <v>789</v>
      </c>
      <c r="V1" s="139" t="s">
        <v>11</v>
      </c>
      <c r="W1" s="139" t="s">
        <v>15</v>
      </c>
      <c r="X1" s="139" t="s">
        <v>1162</v>
      </c>
      <c r="Y1" s="139" t="s">
        <v>19</v>
      </c>
      <c r="Z1" s="139" t="s">
        <v>30</v>
      </c>
    </row>
    <row r="2" spans="1:26" x14ac:dyDescent="0.25">
      <c r="A2" s="8">
        <v>13908</v>
      </c>
      <c r="B2" s="8">
        <v>13908</v>
      </c>
      <c r="C2" s="8" t="s">
        <v>2581</v>
      </c>
      <c r="D2" s="8">
        <v>515599009</v>
      </c>
      <c r="E2" s="8" t="s">
        <v>429</v>
      </c>
      <c r="F2" s="8" t="s">
        <v>2581</v>
      </c>
      <c r="G2" s="8">
        <v>11019400</v>
      </c>
      <c r="H2" s="8" t="s">
        <v>78</v>
      </c>
      <c r="I2" s="8" t="s">
        <v>465</v>
      </c>
      <c r="J2" s="8" t="s">
        <v>53</v>
      </c>
      <c r="K2" s="8" t="s">
        <v>153</v>
      </c>
      <c r="L2" s="8" t="s">
        <v>974</v>
      </c>
      <c r="M2" s="8" t="s">
        <v>253</v>
      </c>
      <c r="N2" s="8" t="s">
        <v>62</v>
      </c>
      <c r="O2" s="72">
        <v>45657</v>
      </c>
      <c r="P2" s="8" t="s">
        <v>1207</v>
      </c>
      <c r="Q2" s="8" t="s">
        <v>301</v>
      </c>
      <c r="R2" s="8" t="s">
        <v>305</v>
      </c>
      <c r="S2" s="72">
        <v>46022</v>
      </c>
      <c r="T2" s="141" t="s">
        <v>2853</v>
      </c>
      <c r="U2" s="74">
        <v>617</v>
      </c>
      <c r="V2" s="74">
        <v>3.19</v>
      </c>
      <c r="W2" s="74">
        <v>8620</v>
      </c>
      <c r="X2" s="74">
        <v>169.66143</v>
      </c>
      <c r="Y2" s="68">
        <v>5.6869127455036854E-3</v>
      </c>
      <c r="Z2" s="68">
        <v>3.9369465610611734E-5</v>
      </c>
    </row>
    <row r="3" spans="1:26" x14ac:dyDescent="0.25">
      <c r="A3" s="8">
        <v>13908</v>
      </c>
      <c r="B3" s="8">
        <v>13908</v>
      </c>
      <c r="C3" s="8" t="s">
        <v>2582</v>
      </c>
      <c r="D3" s="8">
        <v>540300662</v>
      </c>
      <c r="E3" s="8" t="s">
        <v>432</v>
      </c>
      <c r="F3" s="8" t="s">
        <v>2583</v>
      </c>
      <c r="G3" s="8">
        <v>11019989</v>
      </c>
      <c r="H3" s="8" t="s">
        <v>78</v>
      </c>
      <c r="I3" s="8" t="s">
        <v>465</v>
      </c>
      <c r="J3" s="8" t="s">
        <v>53</v>
      </c>
      <c r="K3" s="8" t="s">
        <v>314</v>
      </c>
      <c r="L3" s="8" t="s">
        <v>974</v>
      </c>
      <c r="M3" s="8" t="s">
        <v>258</v>
      </c>
      <c r="N3" s="8" t="s">
        <v>62</v>
      </c>
      <c r="O3" s="72">
        <v>45657</v>
      </c>
      <c r="P3" s="8" t="s">
        <v>1207</v>
      </c>
      <c r="Q3" s="8" t="s">
        <v>303</v>
      </c>
      <c r="R3" s="8" t="s">
        <v>305</v>
      </c>
      <c r="S3" s="72">
        <v>46022</v>
      </c>
      <c r="T3" s="141" t="s">
        <v>2853</v>
      </c>
      <c r="U3" s="74">
        <v>70928.240000000005</v>
      </c>
      <c r="V3" s="74">
        <v>3.19</v>
      </c>
      <c r="W3" s="74">
        <v>122</v>
      </c>
      <c r="X3" s="74">
        <v>276.03852000000001</v>
      </c>
      <c r="Y3" s="68">
        <v>9.2525860334784042E-3</v>
      </c>
      <c r="Z3" s="68">
        <v>6.4053975145347776E-5</v>
      </c>
    </row>
    <row r="4" spans="1:26" x14ac:dyDescent="0.25">
      <c r="A4" s="8">
        <v>13908</v>
      </c>
      <c r="B4" s="8">
        <v>13908</v>
      </c>
      <c r="C4" s="8" t="s">
        <v>2582</v>
      </c>
      <c r="D4" s="8">
        <v>540300662</v>
      </c>
      <c r="E4" s="8" t="s">
        <v>432</v>
      </c>
      <c r="F4" s="8" t="s">
        <v>2583</v>
      </c>
      <c r="G4" s="8">
        <v>11020458</v>
      </c>
      <c r="H4" s="8" t="s">
        <v>78</v>
      </c>
      <c r="I4" s="8" t="s">
        <v>465</v>
      </c>
      <c r="J4" s="8" t="s">
        <v>53</v>
      </c>
      <c r="K4" s="8" t="s">
        <v>314</v>
      </c>
      <c r="L4" s="8" t="s">
        <v>974</v>
      </c>
      <c r="M4" s="8" t="s">
        <v>71</v>
      </c>
      <c r="N4" s="8" t="s">
        <v>62</v>
      </c>
      <c r="O4" s="70">
        <v>45657</v>
      </c>
      <c r="P4" s="8" t="s">
        <v>1207</v>
      </c>
      <c r="Q4" s="8" t="s">
        <v>303</v>
      </c>
      <c r="R4" s="8" t="s">
        <v>305</v>
      </c>
      <c r="S4" s="72">
        <v>46022</v>
      </c>
      <c r="T4" s="141" t="s">
        <v>2853</v>
      </c>
      <c r="U4" s="74">
        <v>24318.29</v>
      </c>
      <c r="V4" s="74">
        <v>3.19</v>
      </c>
      <c r="W4" s="74">
        <v>122</v>
      </c>
      <c r="X4" s="74">
        <v>94.641919999999999</v>
      </c>
      <c r="Y4" s="68">
        <v>3.1723199616255746E-3</v>
      </c>
      <c r="Z4" s="68">
        <v>2.1961395791384447E-5</v>
      </c>
    </row>
    <row r="5" spans="1:26" x14ac:dyDescent="0.25">
      <c r="A5" s="8">
        <v>13908</v>
      </c>
      <c r="B5" s="8">
        <v>13908</v>
      </c>
      <c r="C5" s="8" t="s">
        <v>2584</v>
      </c>
      <c r="D5" s="8">
        <v>516491776</v>
      </c>
      <c r="E5" s="8" t="s">
        <v>429</v>
      </c>
      <c r="F5" s="8" t="s">
        <v>2585</v>
      </c>
      <c r="G5" s="8">
        <v>11021113</v>
      </c>
      <c r="H5" s="8" t="s">
        <v>78</v>
      </c>
      <c r="I5" s="8" t="s">
        <v>465</v>
      </c>
      <c r="J5" s="8" t="s">
        <v>53</v>
      </c>
      <c r="K5" s="8" t="s">
        <v>53</v>
      </c>
      <c r="L5" s="8" t="s">
        <v>974</v>
      </c>
      <c r="M5" s="8" t="s">
        <v>257</v>
      </c>
      <c r="N5" s="8" t="s">
        <v>62</v>
      </c>
      <c r="O5" s="72">
        <v>45657</v>
      </c>
      <c r="P5" s="8" t="s">
        <v>1206</v>
      </c>
      <c r="Q5" s="8" t="s">
        <v>301</v>
      </c>
      <c r="R5" s="8" t="s">
        <v>305</v>
      </c>
      <c r="S5" s="72">
        <v>46022</v>
      </c>
      <c r="T5" s="141" t="s">
        <v>2853</v>
      </c>
      <c r="U5" s="74">
        <v>648150.93999999994</v>
      </c>
      <c r="V5" s="74">
        <v>1</v>
      </c>
      <c r="W5" s="74">
        <v>167.27</v>
      </c>
      <c r="X5" s="74">
        <v>1084.1620800000001</v>
      </c>
      <c r="Y5" s="68">
        <v>3.6340228600830408E-2</v>
      </c>
      <c r="Z5" s="68">
        <v>2.5157681227188343E-4</v>
      </c>
    </row>
    <row r="6" spans="1:26" x14ac:dyDescent="0.25">
      <c r="A6" s="8">
        <v>13908</v>
      </c>
      <c r="B6" s="8">
        <v>13908</v>
      </c>
      <c r="C6" s="8" t="s">
        <v>2586</v>
      </c>
      <c r="D6" s="8">
        <v>515859049</v>
      </c>
      <c r="E6" s="8" t="s">
        <v>429</v>
      </c>
      <c r="F6" s="8" t="s">
        <v>2587</v>
      </c>
      <c r="G6" s="8">
        <v>11021257</v>
      </c>
      <c r="H6" s="8" t="s">
        <v>78</v>
      </c>
      <c r="I6" s="8" t="s">
        <v>465</v>
      </c>
      <c r="J6" s="8" t="s">
        <v>53</v>
      </c>
      <c r="K6" s="8" t="s">
        <v>314</v>
      </c>
      <c r="L6" s="8" t="s">
        <v>974</v>
      </c>
      <c r="M6" s="8" t="s">
        <v>253</v>
      </c>
      <c r="N6" s="8" t="s">
        <v>62</v>
      </c>
      <c r="O6" s="72">
        <v>45657</v>
      </c>
      <c r="P6" s="8" t="s">
        <v>1207</v>
      </c>
      <c r="Q6" s="8" t="s">
        <v>303</v>
      </c>
      <c r="R6" s="8" t="s">
        <v>305</v>
      </c>
      <c r="S6" s="72">
        <v>46022</v>
      </c>
      <c r="T6" s="141" t="s">
        <v>2853</v>
      </c>
      <c r="U6" s="74">
        <v>84186</v>
      </c>
      <c r="V6" s="74">
        <v>3.19</v>
      </c>
      <c r="W6" s="74">
        <v>671.13</v>
      </c>
      <c r="X6" s="74">
        <v>1802.34203</v>
      </c>
      <c r="Y6" s="68">
        <v>6.0413034725476412E-2</v>
      </c>
      <c r="Z6" s="68">
        <v>4.1822848344874348E-4</v>
      </c>
    </row>
    <row r="7" spans="1:26" x14ac:dyDescent="0.25">
      <c r="A7" s="8">
        <v>13908</v>
      </c>
      <c r="B7" s="8">
        <v>13908</v>
      </c>
      <c r="C7" s="8" t="s">
        <v>2588</v>
      </c>
      <c r="D7" s="8">
        <v>515599009</v>
      </c>
      <c r="E7" s="8" t="s">
        <v>429</v>
      </c>
      <c r="F7" s="8" t="s">
        <v>2589</v>
      </c>
      <c r="G7" s="8">
        <v>11021301</v>
      </c>
      <c r="H7" s="8" t="s">
        <v>78</v>
      </c>
      <c r="I7" s="8" t="s">
        <v>465</v>
      </c>
      <c r="J7" s="8" t="s">
        <v>53</v>
      </c>
      <c r="K7" s="8" t="s">
        <v>314</v>
      </c>
      <c r="L7" s="8" t="s">
        <v>974</v>
      </c>
      <c r="M7" s="8" t="s">
        <v>122</v>
      </c>
      <c r="N7" s="8" t="s">
        <v>62</v>
      </c>
      <c r="O7" s="72">
        <v>45657</v>
      </c>
      <c r="P7" s="8" t="s">
        <v>1207</v>
      </c>
      <c r="Q7" s="8" t="s">
        <v>303</v>
      </c>
      <c r="R7" s="8" t="s">
        <v>305</v>
      </c>
      <c r="S7" s="72">
        <v>46022</v>
      </c>
      <c r="T7" s="141" t="s">
        <v>2853</v>
      </c>
      <c r="U7" s="74">
        <v>650000</v>
      </c>
      <c r="V7" s="74">
        <v>3.19</v>
      </c>
      <c r="W7" s="74">
        <v>100</v>
      </c>
      <c r="X7" s="74">
        <v>2073.5</v>
      </c>
      <c r="Y7" s="68">
        <v>6.950202870388332E-2</v>
      </c>
      <c r="Z7" s="68">
        <v>4.8114994046439099E-4</v>
      </c>
    </row>
    <row r="8" spans="1:26" x14ac:dyDescent="0.25">
      <c r="A8" s="8">
        <v>13908</v>
      </c>
      <c r="B8" s="8">
        <v>13908</v>
      </c>
      <c r="C8" s="8" t="s">
        <v>2590</v>
      </c>
      <c r="D8" s="8">
        <v>515446821</v>
      </c>
      <c r="E8" s="8" t="s">
        <v>429</v>
      </c>
      <c r="F8" s="8" t="s">
        <v>2591</v>
      </c>
      <c r="G8" s="8">
        <v>11021306</v>
      </c>
      <c r="H8" s="8" t="s">
        <v>78</v>
      </c>
      <c r="I8" s="8" t="s">
        <v>465</v>
      </c>
      <c r="J8" s="8" t="s">
        <v>53</v>
      </c>
      <c r="K8" s="8" t="s">
        <v>314</v>
      </c>
      <c r="L8" s="8" t="s">
        <v>974</v>
      </c>
      <c r="M8" s="8" t="s">
        <v>257</v>
      </c>
      <c r="N8" s="8" t="s">
        <v>62</v>
      </c>
      <c r="O8" s="72">
        <v>45657</v>
      </c>
      <c r="P8" s="8" t="s">
        <v>1207</v>
      </c>
      <c r="Q8" s="8" t="s">
        <v>303</v>
      </c>
      <c r="R8" s="8" t="s">
        <v>305</v>
      </c>
      <c r="S8" s="72">
        <v>46022</v>
      </c>
      <c r="T8" s="141" t="s">
        <v>2853</v>
      </c>
      <c r="U8" s="74">
        <v>300000</v>
      </c>
      <c r="V8" s="74">
        <v>3.19</v>
      </c>
      <c r="W8" s="74">
        <v>173.14269999999999</v>
      </c>
      <c r="X8" s="74">
        <v>1656.9756400000001</v>
      </c>
      <c r="Y8" s="68">
        <v>5.5540471903986227E-2</v>
      </c>
      <c r="Z8" s="68">
        <v>3.8449661467901918E-4</v>
      </c>
    </row>
    <row r="9" spans="1:26" x14ac:dyDescent="0.25">
      <c r="A9" s="8">
        <v>13908</v>
      </c>
      <c r="B9" s="8">
        <v>13908</v>
      </c>
      <c r="C9" s="8" t="s">
        <v>2592</v>
      </c>
      <c r="D9" s="8">
        <v>513591115</v>
      </c>
      <c r="E9" s="8" t="s">
        <v>429</v>
      </c>
      <c r="F9" s="8" t="s">
        <v>2593</v>
      </c>
      <c r="G9" s="8">
        <v>11022486</v>
      </c>
      <c r="H9" s="8" t="s">
        <v>78</v>
      </c>
      <c r="I9" s="8" t="s">
        <v>465</v>
      </c>
      <c r="J9" s="8" t="s">
        <v>53</v>
      </c>
      <c r="K9" s="8" t="s">
        <v>53</v>
      </c>
      <c r="L9" s="8" t="s">
        <v>974</v>
      </c>
      <c r="M9" s="8" t="s">
        <v>650</v>
      </c>
      <c r="N9" s="8" t="s">
        <v>62</v>
      </c>
      <c r="O9" s="72">
        <v>45875</v>
      </c>
      <c r="P9" s="8" t="s">
        <v>1206</v>
      </c>
      <c r="Q9" s="8" t="s">
        <v>303</v>
      </c>
      <c r="R9" s="8" t="s">
        <v>305</v>
      </c>
      <c r="S9" s="72">
        <v>46022</v>
      </c>
      <c r="T9" s="141" t="s">
        <v>2853</v>
      </c>
      <c r="U9" s="74">
        <v>9000000</v>
      </c>
      <c r="V9" s="74">
        <v>1</v>
      </c>
      <c r="W9" s="74">
        <v>100</v>
      </c>
      <c r="X9" s="74">
        <v>9000</v>
      </c>
      <c r="Y9" s="68">
        <v>0.3016726589510248</v>
      </c>
      <c r="Z9" s="68">
        <v>2.0884251093221699E-3</v>
      </c>
    </row>
    <row r="10" spans="1:26" x14ac:dyDescent="0.25">
      <c r="A10" s="8">
        <v>13908</v>
      </c>
      <c r="B10" s="8">
        <v>13908</v>
      </c>
      <c r="C10" s="8" t="s">
        <v>2594</v>
      </c>
      <c r="D10" s="8">
        <v>516961604</v>
      </c>
      <c r="E10" s="8" t="s">
        <v>429</v>
      </c>
      <c r="F10" s="8" t="s">
        <v>2595</v>
      </c>
      <c r="G10" s="8">
        <v>11022516</v>
      </c>
      <c r="H10" s="8" t="s">
        <v>78</v>
      </c>
      <c r="I10" s="8" t="s">
        <v>465</v>
      </c>
      <c r="J10" s="8" t="s">
        <v>53</v>
      </c>
      <c r="K10" s="8" t="s">
        <v>53</v>
      </c>
      <c r="L10" s="8" t="s">
        <v>974</v>
      </c>
      <c r="M10" s="8" t="s">
        <v>257</v>
      </c>
      <c r="N10" s="8" t="s">
        <v>62</v>
      </c>
      <c r="O10" s="72">
        <v>45897</v>
      </c>
      <c r="P10" s="8" t="s">
        <v>1206</v>
      </c>
      <c r="Q10" s="8" t="s">
        <v>303</v>
      </c>
      <c r="R10" s="8" t="s">
        <v>305</v>
      </c>
      <c r="S10" s="72">
        <v>46022</v>
      </c>
      <c r="T10" s="141" t="s">
        <v>2853</v>
      </c>
      <c r="U10" s="74">
        <v>16293.33</v>
      </c>
      <c r="V10" s="74">
        <v>1</v>
      </c>
      <c r="W10" s="74">
        <v>14400</v>
      </c>
      <c r="X10" s="74">
        <v>2346.2395200000001</v>
      </c>
      <c r="Y10" s="68">
        <v>7.8644034948264011E-2</v>
      </c>
      <c r="Z10" s="68">
        <v>5.4443839178355499E-4</v>
      </c>
    </row>
    <row r="11" spans="1:26" x14ac:dyDescent="0.25">
      <c r="A11" s="8">
        <v>13908</v>
      </c>
      <c r="B11" s="8">
        <v>13908</v>
      </c>
      <c r="C11" s="8" t="s">
        <v>2596</v>
      </c>
      <c r="D11" s="8">
        <v>516491776</v>
      </c>
      <c r="E11" s="8" t="s">
        <v>429</v>
      </c>
      <c r="F11" s="8" t="s">
        <v>2584</v>
      </c>
      <c r="G11" s="8">
        <v>11022519</v>
      </c>
      <c r="H11" s="8" t="s">
        <v>78</v>
      </c>
      <c r="I11" s="8" t="s">
        <v>465</v>
      </c>
      <c r="J11" s="8" t="s">
        <v>53</v>
      </c>
      <c r="K11" s="8" t="s">
        <v>53</v>
      </c>
      <c r="L11" s="8" t="s">
        <v>974</v>
      </c>
      <c r="M11" s="8" t="s">
        <v>257</v>
      </c>
      <c r="N11" s="8" t="s">
        <v>62</v>
      </c>
      <c r="O11" s="72">
        <v>45930</v>
      </c>
      <c r="P11" s="8" t="s">
        <v>1206</v>
      </c>
      <c r="Q11" s="8" t="s">
        <v>303</v>
      </c>
      <c r="R11" s="8" t="s">
        <v>305</v>
      </c>
      <c r="S11" s="72">
        <v>46022</v>
      </c>
      <c r="T11" s="141" t="s">
        <v>2853</v>
      </c>
      <c r="U11" s="74">
        <v>1825568.12</v>
      </c>
      <c r="V11" s="74">
        <v>1</v>
      </c>
      <c r="W11" s="74">
        <v>100</v>
      </c>
      <c r="X11" s="74">
        <v>1825.5681199999999</v>
      </c>
      <c r="Y11" s="68">
        <v>6.1191554317402606E-2</v>
      </c>
      <c r="Z11" s="68">
        <v>4.2361803339845198E-4</v>
      </c>
    </row>
    <row r="12" spans="1:26" x14ac:dyDescent="0.25">
      <c r="A12" s="8">
        <v>13908</v>
      </c>
      <c r="B12" s="8">
        <v>13908</v>
      </c>
      <c r="C12" s="8" t="s">
        <v>2582</v>
      </c>
      <c r="D12" s="8">
        <v>540300662</v>
      </c>
      <c r="E12" s="8" t="s">
        <v>432</v>
      </c>
      <c r="F12" s="8" t="s">
        <v>2597</v>
      </c>
      <c r="G12" s="8">
        <v>11022827</v>
      </c>
      <c r="H12" s="8" t="s">
        <v>78</v>
      </c>
      <c r="I12" s="8" t="s">
        <v>465</v>
      </c>
      <c r="J12" s="8" t="s">
        <v>53</v>
      </c>
      <c r="K12" s="8" t="s">
        <v>314</v>
      </c>
      <c r="L12" s="8" t="s">
        <v>974</v>
      </c>
      <c r="M12" s="8" t="s">
        <v>269</v>
      </c>
      <c r="N12" s="8" t="s">
        <v>62</v>
      </c>
      <c r="O12" s="72">
        <v>45853</v>
      </c>
      <c r="P12" s="8" t="s">
        <v>1207</v>
      </c>
      <c r="Q12" s="8" t="s">
        <v>303</v>
      </c>
      <c r="R12" s="8" t="s">
        <v>305</v>
      </c>
      <c r="S12" s="72">
        <v>46022</v>
      </c>
      <c r="T12" s="141" t="s">
        <v>2853</v>
      </c>
      <c r="U12" s="74">
        <v>15624.83</v>
      </c>
      <c r="V12" s="74">
        <v>3.19</v>
      </c>
      <c r="W12" s="74">
        <v>100</v>
      </c>
      <c r="X12" s="74">
        <v>49.843209999999999</v>
      </c>
      <c r="Y12" s="68">
        <v>1.670703743483812E-3</v>
      </c>
      <c r="Z12" s="68">
        <v>1.1565979032579762E-5</v>
      </c>
    </row>
    <row r="13" spans="1:26" x14ac:dyDescent="0.25">
      <c r="A13" s="8">
        <v>13908</v>
      </c>
      <c r="B13" s="8">
        <v>13908</v>
      </c>
      <c r="C13" s="8" t="s">
        <v>2598</v>
      </c>
      <c r="D13" s="8">
        <v>514234202</v>
      </c>
      <c r="E13" s="8" t="s">
        <v>429</v>
      </c>
      <c r="F13" s="8" t="s">
        <v>2599</v>
      </c>
      <c r="G13" s="8">
        <v>11022831</v>
      </c>
      <c r="H13" s="8" t="s">
        <v>78</v>
      </c>
      <c r="I13" s="8" t="s">
        <v>465</v>
      </c>
      <c r="J13" s="8" t="s">
        <v>53</v>
      </c>
      <c r="K13" s="8" t="s">
        <v>314</v>
      </c>
      <c r="L13" s="8" t="s">
        <v>974</v>
      </c>
      <c r="M13" s="8" t="s">
        <v>253</v>
      </c>
      <c r="N13" s="8" t="s">
        <v>62</v>
      </c>
      <c r="O13" s="72">
        <v>45880</v>
      </c>
      <c r="P13" s="8" t="s">
        <v>1207</v>
      </c>
      <c r="Q13" s="8" t="s">
        <v>303</v>
      </c>
      <c r="R13" s="8" t="s">
        <v>305</v>
      </c>
      <c r="S13" s="72">
        <v>46022</v>
      </c>
      <c r="T13" s="141" t="s">
        <v>2853</v>
      </c>
      <c r="U13" s="74">
        <v>362900</v>
      </c>
      <c r="V13" s="74">
        <v>3.19</v>
      </c>
      <c r="W13" s="74">
        <v>100</v>
      </c>
      <c r="X13" s="74">
        <v>1157.6510000000001</v>
      </c>
      <c r="Y13" s="68">
        <v>3.8803517256368089E-2</v>
      </c>
      <c r="Z13" s="68">
        <v>2.6862971291465769E-4</v>
      </c>
    </row>
    <row r="14" spans="1:26" x14ac:dyDescent="0.25">
      <c r="A14" s="8">
        <v>13908</v>
      </c>
      <c r="B14" s="8">
        <v>13908</v>
      </c>
      <c r="C14" s="8" t="s">
        <v>2600</v>
      </c>
      <c r="D14" s="8">
        <v>54254180</v>
      </c>
      <c r="E14" s="8" t="s">
        <v>783</v>
      </c>
      <c r="F14" s="8" t="s">
        <v>2601</v>
      </c>
      <c r="G14" s="8">
        <v>11019758</v>
      </c>
      <c r="H14" s="8" t="s">
        <v>78</v>
      </c>
      <c r="I14" s="8" t="s">
        <v>465</v>
      </c>
      <c r="J14" s="8" t="s">
        <v>61</v>
      </c>
      <c r="K14" s="8" t="s">
        <v>314</v>
      </c>
      <c r="L14" s="8" t="s">
        <v>974</v>
      </c>
      <c r="M14" s="8" t="s">
        <v>915</v>
      </c>
      <c r="N14" s="8" t="s">
        <v>62</v>
      </c>
      <c r="O14" s="72">
        <v>45699</v>
      </c>
      <c r="P14" s="8" t="s">
        <v>1207</v>
      </c>
      <c r="Q14" s="8" t="s">
        <v>303</v>
      </c>
      <c r="R14" s="8" t="s">
        <v>305</v>
      </c>
      <c r="S14" s="72">
        <v>46022</v>
      </c>
      <c r="T14" s="141" t="s">
        <v>2853</v>
      </c>
      <c r="U14" s="74">
        <v>66260.84</v>
      </c>
      <c r="V14" s="74">
        <v>3.19</v>
      </c>
      <c r="W14" s="74">
        <v>1129</v>
      </c>
      <c r="X14" s="74">
        <v>2386.3907800000002</v>
      </c>
      <c r="Y14" s="68">
        <v>7.9989872433201117E-2</v>
      </c>
      <c r="Z14" s="68">
        <v>5.5375538062299088E-4</v>
      </c>
    </row>
    <row r="15" spans="1:26" x14ac:dyDescent="0.25">
      <c r="A15" s="8">
        <v>13908</v>
      </c>
      <c r="B15" s="8">
        <v>13908</v>
      </c>
      <c r="C15" s="8" t="s">
        <v>2602</v>
      </c>
      <c r="D15" s="8" t="s">
        <v>2603</v>
      </c>
      <c r="E15" s="8" t="s">
        <v>430</v>
      </c>
      <c r="F15" s="8" t="s">
        <v>2604</v>
      </c>
      <c r="G15" s="8">
        <v>11021270</v>
      </c>
      <c r="H15" s="8" t="s">
        <v>78</v>
      </c>
      <c r="I15" s="8" t="s">
        <v>465</v>
      </c>
      <c r="J15" s="8" t="s">
        <v>61</v>
      </c>
      <c r="K15" s="8" t="s">
        <v>314</v>
      </c>
      <c r="L15" s="8" t="s">
        <v>974</v>
      </c>
      <c r="M15" s="8" t="s">
        <v>917</v>
      </c>
      <c r="N15" s="8" t="s">
        <v>62</v>
      </c>
      <c r="O15" s="72">
        <v>45657</v>
      </c>
      <c r="P15" s="8" t="s">
        <v>1207</v>
      </c>
      <c r="Q15" s="8" t="s">
        <v>303</v>
      </c>
      <c r="R15" s="8" t="s">
        <v>305</v>
      </c>
      <c r="S15" s="72">
        <v>46022</v>
      </c>
      <c r="T15" s="141" t="s">
        <v>2853</v>
      </c>
      <c r="U15" s="74">
        <v>900000</v>
      </c>
      <c r="V15" s="74">
        <v>3.19</v>
      </c>
      <c r="W15" s="74">
        <v>100</v>
      </c>
      <c r="X15" s="74">
        <v>2871</v>
      </c>
      <c r="Y15" s="68">
        <v>9.623357820537691E-2</v>
      </c>
      <c r="Z15" s="68">
        <v>6.6620760987377218E-4</v>
      </c>
    </row>
    <row r="16" spans="1:26" x14ac:dyDescent="0.25">
      <c r="A16" s="8">
        <v>13908</v>
      </c>
      <c r="B16" s="8">
        <v>13908</v>
      </c>
      <c r="C16" s="8" t="s">
        <v>2605</v>
      </c>
      <c r="D16" s="8">
        <v>20213498049</v>
      </c>
      <c r="E16" s="8" t="s">
        <v>783</v>
      </c>
      <c r="F16" s="8" t="s">
        <v>2606</v>
      </c>
      <c r="G16" s="8">
        <v>11022807</v>
      </c>
      <c r="H16" s="8" t="s">
        <v>78</v>
      </c>
      <c r="I16" s="8" t="s">
        <v>465</v>
      </c>
      <c r="J16" s="8" t="s">
        <v>61</v>
      </c>
      <c r="K16" s="8" t="s">
        <v>314</v>
      </c>
      <c r="L16" s="8" t="s">
        <v>974</v>
      </c>
      <c r="M16" s="8" t="s">
        <v>130</v>
      </c>
      <c r="N16" s="8" t="s">
        <v>62</v>
      </c>
      <c r="O16" s="72">
        <v>45775</v>
      </c>
      <c r="P16" s="8" t="s">
        <v>1207</v>
      </c>
      <c r="Q16" s="8" t="s">
        <v>303</v>
      </c>
      <c r="R16" s="8" t="s">
        <v>305</v>
      </c>
      <c r="S16" s="72">
        <v>46022</v>
      </c>
      <c r="T16" s="141" t="s">
        <v>2853</v>
      </c>
      <c r="U16" s="74">
        <v>1007</v>
      </c>
      <c r="V16" s="74">
        <v>3.19</v>
      </c>
      <c r="W16" s="74">
        <v>5250</v>
      </c>
      <c r="X16" s="74">
        <v>168.64732000000001</v>
      </c>
      <c r="Y16" s="68">
        <v>5.6529206054849275E-3</v>
      </c>
      <c r="Z16" s="68">
        <v>3.9134144189765659E-5</v>
      </c>
    </row>
    <row r="17" spans="1:26" x14ac:dyDescent="0.25">
      <c r="A17" s="8">
        <v>13908</v>
      </c>
      <c r="B17" s="8">
        <v>13908</v>
      </c>
      <c r="C17" s="8" t="s">
        <v>2607</v>
      </c>
      <c r="D17" s="8">
        <v>7310928</v>
      </c>
      <c r="E17" s="8" t="s">
        <v>783</v>
      </c>
      <c r="F17" s="8" t="s">
        <v>2608</v>
      </c>
      <c r="G17" s="8">
        <v>11022824</v>
      </c>
      <c r="H17" s="8" t="s">
        <v>78</v>
      </c>
      <c r="I17" s="8" t="s">
        <v>465</v>
      </c>
      <c r="J17" s="8" t="s">
        <v>61</v>
      </c>
      <c r="K17" s="8" t="s">
        <v>314</v>
      </c>
      <c r="L17" s="8" t="s">
        <v>974</v>
      </c>
      <c r="M17" s="8" t="s">
        <v>913</v>
      </c>
      <c r="N17" s="8" t="s">
        <v>62</v>
      </c>
      <c r="O17" s="72">
        <v>45806</v>
      </c>
      <c r="P17" s="8" t="s">
        <v>1207</v>
      </c>
      <c r="Q17" s="8" t="s">
        <v>303</v>
      </c>
      <c r="R17" s="8" t="s">
        <v>305</v>
      </c>
      <c r="S17" s="72">
        <v>46022</v>
      </c>
      <c r="T17" s="141" t="s">
        <v>2853</v>
      </c>
      <c r="U17" s="74">
        <v>1214083.3500000001</v>
      </c>
      <c r="V17" s="74">
        <v>3.19</v>
      </c>
      <c r="W17" s="74">
        <v>74.13</v>
      </c>
      <c r="X17" s="74">
        <v>2870.9999600000001</v>
      </c>
      <c r="Y17" s="68">
        <v>9.6233576864609538E-2</v>
      </c>
      <c r="Z17" s="68">
        <v>6.662076005918828E-4</v>
      </c>
    </row>
    <row r="18" spans="1:26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5">
      <c r="E20" s="8"/>
      <c r="I20" s="8"/>
      <c r="J20" s="8"/>
      <c r="K20" s="8"/>
      <c r="L20" s="8"/>
      <c r="M20" s="8"/>
      <c r="N20" s="8"/>
      <c r="R20" s="8"/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Z1048571"/>
  <sheetViews>
    <sheetView rightToLeft="1" zoomScale="25" zoomScaleNormal="25" workbookViewId="0">
      <selection activeCell="A2" sqref="A2:Z58"/>
    </sheetView>
  </sheetViews>
  <sheetFormatPr defaultColWidth="9" defaultRowHeight="13.8" x14ac:dyDescent="0.25"/>
  <cols>
    <col min="1" max="1" width="26.3984375" style="1" customWidth="1"/>
    <col min="2" max="2" width="11.19921875" style="1" customWidth="1"/>
    <col min="3" max="3" width="55.3984375" style="1" bestFit="1" customWidth="1"/>
    <col min="4" max="4" width="26" style="1" customWidth="1"/>
    <col min="5" max="5" width="28.3984375" style="1" customWidth="1"/>
    <col min="6" max="6" width="41.796875" style="1" bestFit="1" customWidth="1"/>
    <col min="7" max="7" width="18" style="1" customWidth="1"/>
    <col min="8" max="8" width="21.19921875" style="1" customWidth="1"/>
    <col min="9" max="9" width="22" style="1" bestFit="1" customWidth="1"/>
    <col min="10" max="10" width="32.59765625" style="1" bestFit="1" customWidth="1"/>
    <col min="11" max="11" width="10.3984375" style="1" customWidth="1"/>
    <col min="12" max="12" width="21.19921875" style="1" customWidth="1"/>
    <col min="13" max="13" width="20" style="1" customWidth="1"/>
    <col min="14" max="14" width="27.3984375" style="1" bestFit="1" customWidth="1"/>
    <col min="15" max="15" width="14.3984375" style="1" customWidth="1"/>
    <col min="16" max="16" width="11.59765625" style="1" bestFit="1" customWidth="1"/>
    <col min="17" max="17" width="12" style="1" customWidth="1"/>
    <col min="18" max="18" width="14.3984375" style="1" bestFit="1" customWidth="1"/>
    <col min="19" max="19" width="18.3984375" style="1" customWidth="1"/>
    <col min="20" max="20" width="15.19921875" style="1" customWidth="1"/>
    <col min="21" max="21" width="10" style="1" bestFit="1" customWidth="1"/>
    <col min="22" max="22" width="11.3984375" style="1" bestFit="1" customWidth="1"/>
    <col min="23" max="23" width="16.3984375" style="1" customWidth="1"/>
    <col min="24" max="24" width="19.19921875" style="1" customWidth="1"/>
    <col min="25" max="25" width="20" style="1" customWidth="1"/>
    <col min="26" max="26" width="18.796875" style="1" customWidth="1"/>
    <col min="27" max="16384" width="9" style="1"/>
  </cols>
  <sheetData>
    <row r="1" spans="1:26" ht="66.75" customHeight="1" x14ac:dyDescent="0.25">
      <c r="A1" s="9" t="s">
        <v>667</v>
      </c>
      <c r="B1" s="9" t="s">
        <v>0</v>
      </c>
      <c r="C1" s="9" t="s">
        <v>796</v>
      </c>
      <c r="D1" s="9" t="s">
        <v>809</v>
      </c>
      <c r="E1" s="9" t="s">
        <v>797</v>
      </c>
      <c r="F1" s="9" t="s">
        <v>763</v>
      </c>
      <c r="G1" s="9" t="s">
        <v>762</v>
      </c>
      <c r="H1" s="9" t="s">
        <v>767</v>
      </c>
      <c r="I1" s="9" t="s">
        <v>1</v>
      </c>
      <c r="J1" s="9" t="s">
        <v>289</v>
      </c>
      <c r="K1" s="9" t="s">
        <v>620</v>
      </c>
      <c r="L1" s="9" t="s">
        <v>755</v>
      </c>
      <c r="M1" s="9" t="s">
        <v>770</v>
      </c>
      <c r="N1" s="9" t="s">
        <v>621</v>
      </c>
      <c r="O1" s="9" t="s">
        <v>622</v>
      </c>
      <c r="P1" s="13" t="s">
        <v>12</v>
      </c>
      <c r="Q1" s="9" t="s">
        <v>396</v>
      </c>
      <c r="R1" s="9" t="s">
        <v>933</v>
      </c>
      <c r="S1" s="9" t="s">
        <v>372</v>
      </c>
      <c r="T1" s="9" t="s">
        <v>16</v>
      </c>
      <c r="U1" s="9" t="s">
        <v>11</v>
      </c>
      <c r="V1" s="22" t="s">
        <v>938</v>
      </c>
      <c r="W1" s="9" t="s">
        <v>1162</v>
      </c>
      <c r="X1" s="9" t="s">
        <v>752</v>
      </c>
      <c r="Y1" s="9" t="s">
        <v>19</v>
      </c>
      <c r="Z1" s="9" t="s">
        <v>30</v>
      </c>
    </row>
    <row r="2" spans="1:26" x14ac:dyDescent="0.25">
      <c r="A2" s="8">
        <v>13908</v>
      </c>
      <c r="B2" s="8">
        <v>13908</v>
      </c>
      <c r="C2" s="8" t="s">
        <v>2609</v>
      </c>
      <c r="D2" s="141" t="s">
        <v>2853</v>
      </c>
      <c r="E2" s="141" t="s">
        <v>2853</v>
      </c>
      <c r="F2" s="8" t="s">
        <v>2610</v>
      </c>
      <c r="G2" s="8">
        <v>11020474</v>
      </c>
      <c r="H2" s="8" t="s">
        <v>78</v>
      </c>
      <c r="I2" s="1" t="s">
        <v>942</v>
      </c>
      <c r="J2" s="141" t="s">
        <v>2853</v>
      </c>
      <c r="K2" s="8" t="s">
        <v>53</v>
      </c>
      <c r="L2" s="141" t="s">
        <v>2853</v>
      </c>
      <c r="M2" s="141" t="s">
        <v>2853</v>
      </c>
      <c r="N2" s="8" t="s">
        <v>53</v>
      </c>
      <c r="O2" s="8" t="s">
        <v>62</v>
      </c>
      <c r="P2" s="70">
        <v>45657</v>
      </c>
      <c r="Q2" s="8" t="s">
        <v>1207</v>
      </c>
      <c r="R2" s="8" t="s">
        <v>303</v>
      </c>
      <c r="S2" s="8" t="s">
        <v>305</v>
      </c>
      <c r="T2" s="72">
        <v>46022</v>
      </c>
      <c r="U2" s="74">
        <v>3.19</v>
      </c>
      <c r="V2" s="74">
        <v>714.745526645768</v>
      </c>
      <c r="W2" s="74">
        <v>2280.0382300000001</v>
      </c>
      <c r="X2" s="73">
        <v>0</v>
      </c>
      <c r="Y2" s="68">
        <v>1.3511860511010781E-2</v>
      </c>
      <c r="Z2" s="68">
        <v>5.2907656552738627E-4</v>
      </c>
    </row>
    <row r="3" spans="1:26" x14ac:dyDescent="0.25">
      <c r="A3" s="8">
        <v>13908</v>
      </c>
      <c r="B3" s="8">
        <v>13908</v>
      </c>
      <c r="C3" s="8" t="s">
        <v>2611</v>
      </c>
      <c r="D3" s="140" t="s">
        <v>2853</v>
      </c>
      <c r="E3" s="141" t="s">
        <v>2853</v>
      </c>
      <c r="F3" s="8" t="s">
        <v>2612</v>
      </c>
      <c r="G3" s="8">
        <v>11020490</v>
      </c>
      <c r="H3" s="8" t="s">
        <v>78</v>
      </c>
      <c r="I3" s="1" t="s">
        <v>942</v>
      </c>
      <c r="J3" s="141" t="s">
        <v>2853</v>
      </c>
      <c r="K3" s="8" t="s">
        <v>53</v>
      </c>
      <c r="L3" s="141" t="s">
        <v>2853</v>
      </c>
      <c r="M3" s="141" t="s">
        <v>2853</v>
      </c>
      <c r="N3" s="8" t="s">
        <v>314</v>
      </c>
      <c r="O3" s="8" t="s">
        <v>62</v>
      </c>
      <c r="P3" s="70">
        <v>45657</v>
      </c>
      <c r="Q3" s="8" t="s">
        <v>1207</v>
      </c>
      <c r="R3" s="8" t="s">
        <v>303</v>
      </c>
      <c r="S3" s="8" t="s">
        <v>305</v>
      </c>
      <c r="T3" s="72">
        <v>46022</v>
      </c>
      <c r="U3" s="74">
        <v>3.19</v>
      </c>
      <c r="V3" s="74">
        <v>56.285620689654998</v>
      </c>
      <c r="W3" s="74">
        <v>179.55113</v>
      </c>
      <c r="X3" s="73">
        <v>0</v>
      </c>
      <c r="Y3" s="68">
        <v>1.0640478704404719E-3</v>
      </c>
      <c r="Z3" s="68">
        <v>4.1664343144352125E-5</v>
      </c>
    </row>
    <row r="4" spans="1:26" x14ac:dyDescent="0.25">
      <c r="A4" s="8">
        <v>13908</v>
      </c>
      <c r="B4" s="8">
        <v>13908</v>
      </c>
      <c r="C4" s="8" t="s">
        <v>2613</v>
      </c>
      <c r="D4" s="140" t="s">
        <v>2853</v>
      </c>
      <c r="E4" s="141" t="s">
        <v>2853</v>
      </c>
      <c r="F4" s="8" t="s">
        <v>2614</v>
      </c>
      <c r="G4" s="8">
        <v>11021127</v>
      </c>
      <c r="H4" s="8" t="s">
        <v>78</v>
      </c>
      <c r="I4" s="1" t="s">
        <v>280</v>
      </c>
      <c r="J4" s="141" t="s">
        <v>2853</v>
      </c>
      <c r="K4" s="8" t="s">
        <v>53</v>
      </c>
      <c r="L4" s="141" t="s">
        <v>2853</v>
      </c>
      <c r="M4" s="141" t="s">
        <v>2853</v>
      </c>
      <c r="N4" s="8" t="s">
        <v>204</v>
      </c>
      <c r="O4" s="8" t="s">
        <v>62</v>
      </c>
      <c r="P4" s="70">
        <v>45657</v>
      </c>
      <c r="Q4" s="8" t="s">
        <v>1206</v>
      </c>
      <c r="R4" s="8" t="s">
        <v>303</v>
      </c>
      <c r="S4" s="8" t="s">
        <v>305</v>
      </c>
      <c r="T4" s="72">
        <v>46022</v>
      </c>
      <c r="U4" s="74">
        <v>1</v>
      </c>
      <c r="V4" s="74">
        <v>922.32435999999996</v>
      </c>
      <c r="W4" s="74">
        <v>922.32435999999996</v>
      </c>
      <c r="X4" s="73">
        <v>0</v>
      </c>
      <c r="Y4" s="68">
        <v>5.4658373417832079E-3</v>
      </c>
      <c r="Z4" s="68">
        <v>2.140228169292778E-4</v>
      </c>
    </row>
    <row r="5" spans="1:26" x14ac:dyDescent="0.25">
      <c r="A5" s="8">
        <v>13908</v>
      </c>
      <c r="B5" s="8">
        <v>13908</v>
      </c>
      <c r="C5" s="8" t="s">
        <v>2615</v>
      </c>
      <c r="D5" s="140" t="s">
        <v>2853</v>
      </c>
      <c r="E5" s="141" t="s">
        <v>2853</v>
      </c>
      <c r="F5" s="8" t="s">
        <v>2616</v>
      </c>
      <c r="G5" s="8">
        <v>11021133</v>
      </c>
      <c r="H5" s="8" t="s">
        <v>78</v>
      </c>
      <c r="I5" s="1" t="s">
        <v>765</v>
      </c>
      <c r="J5" s="141" t="s">
        <v>2853</v>
      </c>
      <c r="K5" s="8" t="s">
        <v>53</v>
      </c>
      <c r="L5" s="141" t="s">
        <v>2853</v>
      </c>
      <c r="M5" s="141" t="s">
        <v>2853</v>
      </c>
      <c r="N5" s="8" t="s">
        <v>1175</v>
      </c>
      <c r="O5" s="8" t="s">
        <v>62</v>
      </c>
      <c r="P5" s="70">
        <v>45657</v>
      </c>
      <c r="Q5" s="8" t="s">
        <v>1206</v>
      </c>
      <c r="R5" s="8" t="s">
        <v>303</v>
      </c>
      <c r="S5" s="8" t="s">
        <v>305</v>
      </c>
      <c r="T5" s="72">
        <v>46022</v>
      </c>
      <c r="U5" s="74">
        <v>1</v>
      </c>
      <c r="V5" s="74">
        <v>3914.72487</v>
      </c>
      <c r="W5" s="74">
        <v>3914.72487</v>
      </c>
      <c r="X5" s="73">
        <v>0</v>
      </c>
      <c r="Y5" s="68">
        <v>2.319926731334887E-2</v>
      </c>
      <c r="Z5" s="68">
        <v>9.084010793995518E-4</v>
      </c>
    </row>
    <row r="6" spans="1:26" x14ac:dyDescent="0.25">
      <c r="A6" s="8">
        <v>13908</v>
      </c>
      <c r="B6" s="8">
        <v>13908</v>
      </c>
      <c r="C6" s="8" t="s">
        <v>2617</v>
      </c>
      <c r="D6" s="140" t="s">
        <v>2853</v>
      </c>
      <c r="E6" s="141" t="s">
        <v>2853</v>
      </c>
      <c r="F6" s="8" t="s">
        <v>2618</v>
      </c>
      <c r="G6" s="8">
        <v>11021279</v>
      </c>
      <c r="H6" s="8" t="s">
        <v>78</v>
      </c>
      <c r="I6" s="1" t="s">
        <v>942</v>
      </c>
      <c r="J6" s="141" t="s">
        <v>2853</v>
      </c>
      <c r="K6" s="8" t="s">
        <v>53</v>
      </c>
      <c r="L6" s="141" t="s">
        <v>2853</v>
      </c>
      <c r="M6" s="141" t="s">
        <v>2853</v>
      </c>
      <c r="N6" s="8" t="s">
        <v>53</v>
      </c>
      <c r="O6" s="8" t="s">
        <v>62</v>
      </c>
      <c r="P6" s="70">
        <v>45657</v>
      </c>
      <c r="Q6" s="8" t="s">
        <v>1207</v>
      </c>
      <c r="R6" s="8" t="s">
        <v>303</v>
      </c>
      <c r="S6" s="8" t="s">
        <v>305</v>
      </c>
      <c r="T6" s="72">
        <v>46022</v>
      </c>
      <c r="U6" s="74">
        <v>3.19</v>
      </c>
      <c r="V6" s="74">
        <v>243.02381191222599</v>
      </c>
      <c r="W6" s="74">
        <v>775.24595999999997</v>
      </c>
      <c r="X6" s="73">
        <v>0</v>
      </c>
      <c r="Y6" s="68">
        <v>4.5942279104875545E-3</v>
      </c>
      <c r="Z6" s="68">
        <v>1.7989368097384115E-4</v>
      </c>
    </row>
    <row r="7" spans="1:26" x14ac:dyDescent="0.25">
      <c r="A7" s="8">
        <v>13908</v>
      </c>
      <c r="B7" s="8">
        <v>13908</v>
      </c>
      <c r="C7" s="8" t="s">
        <v>2619</v>
      </c>
      <c r="D7" s="140" t="s">
        <v>2853</v>
      </c>
      <c r="E7" s="141" t="s">
        <v>2853</v>
      </c>
      <c r="F7" s="8" t="s">
        <v>2620</v>
      </c>
      <c r="G7" s="8">
        <v>11022492</v>
      </c>
      <c r="H7" s="8" t="s">
        <v>78</v>
      </c>
      <c r="I7" s="1" t="s">
        <v>942</v>
      </c>
      <c r="J7" s="141" t="s">
        <v>2853</v>
      </c>
      <c r="K7" s="8" t="s">
        <v>53</v>
      </c>
      <c r="L7" s="141" t="s">
        <v>2853</v>
      </c>
      <c r="M7" s="141" t="s">
        <v>2853</v>
      </c>
      <c r="N7" s="8" t="s">
        <v>53</v>
      </c>
      <c r="O7" s="8" t="s">
        <v>62</v>
      </c>
      <c r="P7" s="70">
        <v>45960</v>
      </c>
      <c r="Q7" s="8" t="s">
        <v>1206</v>
      </c>
      <c r="R7" s="8" t="s">
        <v>303</v>
      </c>
      <c r="S7" s="8" t="s">
        <v>305</v>
      </c>
      <c r="T7" s="72">
        <v>46022</v>
      </c>
      <c r="U7" s="74">
        <v>1</v>
      </c>
      <c r="V7" s="74">
        <v>15112.49797</v>
      </c>
      <c r="W7" s="74">
        <v>15112.49797</v>
      </c>
      <c r="X7" s="73">
        <v>0</v>
      </c>
      <c r="Y7" s="68">
        <v>8.9559009080112481E-2</v>
      </c>
      <c r="Z7" s="68">
        <v>3.5068133583475909E-3</v>
      </c>
    </row>
    <row r="8" spans="1:26" x14ac:dyDescent="0.25">
      <c r="A8" s="8">
        <v>13908</v>
      </c>
      <c r="B8" s="8">
        <v>13908</v>
      </c>
      <c r="C8" s="8" t="s">
        <v>2621</v>
      </c>
      <c r="D8" s="140" t="s">
        <v>2853</v>
      </c>
      <c r="E8" s="141" t="s">
        <v>2853</v>
      </c>
      <c r="F8" s="8" t="s">
        <v>2622</v>
      </c>
      <c r="G8" s="8">
        <v>11022549</v>
      </c>
      <c r="H8" s="8" t="s">
        <v>78</v>
      </c>
      <c r="I8" s="1" t="s">
        <v>942</v>
      </c>
      <c r="J8" s="141" t="s">
        <v>2853</v>
      </c>
      <c r="K8" s="8" t="s">
        <v>53</v>
      </c>
      <c r="L8" s="141" t="s">
        <v>2853</v>
      </c>
      <c r="M8" s="141" t="s">
        <v>2853</v>
      </c>
      <c r="N8" s="8" t="s">
        <v>53</v>
      </c>
      <c r="O8" s="8" t="s">
        <v>62</v>
      </c>
      <c r="P8" s="70">
        <v>46019</v>
      </c>
      <c r="Q8" s="8" t="s">
        <v>1206</v>
      </c>
      <c r="R8" s="8" t="s">
        <v>303</v>
      </c>
      <c r="S8" s="8" t="s">
        <v>305</v>
      </c>
      <c r="T8" s="72">
        <v>46022</v>
      </c>
      <c r="U8" s="74">
        <v>1</v>
      </c>
      <c r="V8" s="74">
        <v>4741.4829300000001</v>
      </c>
      <c r="W8" s="74">
        <v>4741.4829300000001</v>
      </c>
      <c r="X8" s="73">
        <v>0</v>
      </c>
      <c r="Y8" s="68">
        <v>2.8098763925330627E-2</v>
      </c>
      <c r="Z8" s="68">
        <v>1.100248000714939E-3</v>
      </c>
    </row>
    <row r="9" spans="1:26" x14ac:dyDescent="0.25">
      <c r="A9" s="8">
        <v>13908</v>
      </c>
      <c r="B9" s="8">
        <v>13908</v>
      </c>
      <c r="C9" s="8" t="s">
        <v>2623</v>
      </c>
      <c r="D9" s="140" t="s">
        <v>2853</v>
      </c>
      <c r="E9" s="141" t="s">
        <v>2853</v>
      </c>
      <c r="F9" s="8" t="s">
        <v>2624</v>
      </c>
      <c r="G9" s="8">
        <v>11022778</v>
      </c>
      <c r="H9" s="8" t="s">
        <v>78</v>
      </c>
      <c r="I9" s="1" t="s">
        <v>765</v>
      </c>
      <c r="J9" s="141" t="s">
        <v>2853</v>
      </c>
      <c r="K9" s="8" t="s">
        <v>53</v>
      </c>
      <c r="L9" s="141" t="s">
        <v>2853</v>
      </c>
      <c r="M9" s="141" t="s">
        <v>2853</v>
      </c>
      <c r="N9" s="8" t="s">
        <v>314</v>
      </c>
      <c r="O9" s="8" t="s">
        <v>62</v>
      </c>
      <c r="P9" s="70">
        <v>45673</v>
      </c>
      <c r="Q9" s="8" t="s">
        <v>1207</v>
      </c>
      <c r="R9" s="8" t="s">
        <v>303</v>
      </c>
      <c r="S9" s="8" t="s">
        <v>305</v>
      </c>
      <c r="T9" s="72">
        <v>46022</v>
      </c>
      <c r="U9" s="74">
        <v>3.19</v>
      </c>
      <c r="V9" s="74">
        <v>603.75</v>
      </c>
      <c r="W9" s="74">
        <v>1925.9625000000001</v>
      </c>
      <c r="X9" s="73">
        <v>0</v>
      </c>
      <c r="Y9" s="68">
        <v>1.1413552767243557E-2</v>
      </c>
      <c r="Z9" s="68">
        <v>4.469142716236555E-4</v>
      </c>
    </row>
    <row r="10" spans="1:26" x14ac:dyDescent="0.25">
      <c r="A10" s="8">
        <v>13908</v>
      </c>
      <c r="B10" s="8">
        <v>13908</v>
      </c>
      <c r="C10" s="8" t="s">
        <v>2625</v>
      </c>
      <c r="D10" s="140" t="s">
        <v>2853</v>
      </c>
      <c r="E10" s="141" t="s">
        <v>2853</v>
      </c>
      <c r="F10" s="8" t="s">
        <v>2626</v>
      </c>
      <c r="G10" s="8">
        <v>11022812</v>
      </c>
      <c r="H10" s="8" t="s">
        <v>78</v>
      </c>
      <c r="I10" s="1" t="s">
        <v>942</v>
      </c>
      <c r="J10" s="141" t="s">
        <v>2853</v>
      </c>
      <c r="K10" s="8" t="s">
        <v>53</v>
      </c>
      <c r="L10" s="141" t="s">
        <v>2853</v>
      </c>
      <c r="M10" s="141" t="s">
        <v>2853</v>
      </c>
      <c r="N10" s="8" t="s">
        <v>53</v>
      </c>
      <c r="O10" s="8" t="s">
        <v>62</v>
      </c>
      <c r="P10" s="70">
        <v>45771</v>
      </c>
      <c r="Q10" s="8" t="s">
        <v>1207</v>
      </c>
      <c r="R10" s="8" t="s">
        <v>303</v>
      </c>
      <c r="S10" s="8" t="s">
        <v>305</v>
      </c>
      <c r="T10" s="72">
        <v>46022</v>
      </c>
      <c r="U10" s="74">
        <v>3.19</v>
      </c>
      <c r="V10" s="74">
        <v>793.33220062695898</v>
      </c>
      <c r="W10" s="74">
        <v>2530.7297199999998</v>
      </c>
      <c r="X10" s="73">
        <v>0</v>
      </c>
      <c r="Y10" s="68">
        <v>1.4997497198855901E-2</v>
      </c>
      <c r="Z10" s="68">
        <v>5.8724883246176257E-4</v>
      </c>
    </row>
    <row r="11" spans="1:26" x14ac:dyDescent="0.25">
      <c r="A11" s="8">
        <v>13908</v>
      </c>
      <c r="B11" s="8">
        <v>13908</v>
      </c>
      <c r="C11" s="8" t="s">
        <v>2627</v>
      </c>
      <c r="D11" s="140" t="s">
        <v>2853</v>
      </c>
      <c r="E11" s="141" t="s">
        <v>2853</v>
      </c>
      <c r="F11" s="8" t="s">
        <v>2628</v>
      </c>
      <c r="G11" s="8">
        <v>11022813</v>
      </c>
      <c r="H11" s="8" t="s">
        <v>78</v>
      </c>
      <c r="I11" s="1" t="s">
        <v>942</v>
      </c>
      <c r="J11" s="141" t="s">
        <v>2853</v>
      </c>
      <c r="K11" s="8" t="s">
        <v>53</v>
      </c>
      <c r="L11" s="141" t="s">
        <v>2853</v>
      </c>
      <c r="M11" s="141" t="s">
        <v>2853</v>
      </c>
      <c r="N11" s="8" t="s">
        <v>53</v>
      </c>
      <c r="O11" s="8" t="s">
        <v>62</v>
      </c>
      <c r="P11" s="70">
        <v>45771</v>
      </c>
      <c r="Q11" s="8" t="s">
        <v>1207</v>
      </c>
      <c r="R11" s="8" t="s">
        <v>303</v>
      </c>
      <c r="S11" s="8" t="s">
        <v>305</v>
      </c>
      <c r="T11" s="72">
        <v>46022</v>
      </c>
      <c r="U11" s="74">
        <v>3.19</v>
      </c>
      <c r="V11" s="74">
        <v>49.705420062694998</v>
      </c>
      <c r="W11" s="74">
        <v>158.56029000000001</v>
      </c>
      <c r="X11" s="73">
        <v>0</v>
      </c>
      <c r="Y11" s="68">
        <v>9.3965289391898389E-4</v>
      </c>
      <c r="Z11" s="68">
        <v>3.6793476775267214E-5</v>
      </c>
    </row>
    <row r="12" spans="1:26" x14ac:dyDescent="0.25">
      <c r="A12" s="8">
        <v>13908</v>
      </c>
      <c r="B12" s="8">
        <v>13908</v>
      </c>
      <c r="C12" s="8" t="s">
        <v>2629</v>
      </c>
      <c r="D12" s="140" t="s">
        <v>2853</v>
      </c>
      <c r="E12" s="141" t="s">
        <v>2853</v>
      </c>
      <c r="F12" s="8" t="s">
        <v>2630</v>
      </c>
      <c r="G12" s="8">
        <v>11022819</v>
      </c>
      <c r="H12" s="8" t="s">
        <v>78</v>
      </c>
      <c r="I12" s="1" t="s">
        <v>765</v>
      </c>
      <c r="J12" s="141" t="s">
        <v>2853</v>
      </c>
      <c r="K12" s="8" t="s">
        <v>53</v>
      </c>
      <c r="L12" s="141" t="s">
        <v>2853</v>
      </c>
      <c r="M12" s="141" t="s">
        <v>2853</v>
      </c>
      <c r="N12" s="8" t="s">
        <v>53</v>
      </c>
      <c r="O12" s="8" t="s">
        <v>62</v>
      </c>
      <c r="P12" s="70">
        <v>45797</v>
      </c>
      <c r="Q12" s="8" t="s">
        <v>1207</v>
      </c>
      <c r="R12" s="8" t="s">
        <v>303</v>
      </c>
      <c r="S12" s="8" t="s">
        <v>305</v>
      </c>
      <c r="T12" s="72">
        <v>46022</v>
      </c>
      <c r="U12" s="74">
        <v>3.19</v>
      </c>
      <c r="V12" s="74">
        <v>35.391510971785998</v>
      </c>
      <c r="W12" s="74">
        <v>112.89892</v>
      </c>
      <c r="X12" s="73">
        <v>0</v>
      </c>
      <c r="Y12" s="68">
        <v>6.6905652668980257E-4</v>
      </c>
      <c r="Z12" s="68">
        <v>2.6197882149261655E-5</v>
      </c>
    </row>
    <row r="13" spans="1:26" x14ac:dyDescent="0.25">
      <c r="A13" s="8">
        <v>13908</v>
      </c>
      <c r="B13" s="8">
        <v>13908</v>
      </c>
      <c r="C13" s="8" t="s">
        <v>2631</v>
      </c>
      <c r="D13" s="140" t="s">
        <v>2853</v>
      </c>
      <c r="E13" s="141" t="s">
        <v>2853</v>
      </c>
      <c r="F13" s="8" t="s">
        <v>2632</v>
      </c>
      <c r="G13" s="8">
        <v>11022828</v>
      </c>
      <c r="H13" s="8" t="s">
        <v>78</v>
      </c>
      <c r="I13" s="1" t="s">
        <v>942</v>
      </c>
      <c r="J13" s="141" t="s">
        <v>2853</v>
      </c>
      <c r="K13" s="8" t="s">
        <v>53</v>
      </c>
      <c r="L13" s="141" t="s">
        <v>2853</v>
      </c>
      <c r="M13" s="141" t="s">
        <v>2853</v>
      </c>
      <c r="N13" s="8" t="s">
        <v>53</v>
      </c>
      <c r="O13" s="8" t="s">
        <v>62</v>
      </c>
      <c r="P13" s="70">
        <v>45868</v>
      </c>
      <c r="Q13" s="8" t="s">
        <v>1207</v>
      </c>
      <c r="R13" s="8" t="s">
        <v>303</v>
      </c>
      <c r="S13" s="8" t="s">
        <v>305</v>
      </c>
      <c r="T13" s="72">
        <v>46022</v>
      </c>
      <c r="U13" s="74">
        <v>3.19</v>
      </c>
      <c r="V13" s="74">
        <v>1100</v>
      </c>
      <c r="W13" s="74">
        <v>3509</v>
      </c>
      <c r="X13" s="73">
        <v>0</v>
      </c>
      <c r="Y13" s="68">
        <v>2.079487874777294E-2</v>
      </c>
      <c r="Z13" s="68">
        <v>8.1425374540127708E-4</v>
      </c>
    </row>
    <row r="14" spans="1:26" x14ac:dyDescent="0.25">
      <c r="A14" s="8">
        <v>13908</v>
      </c>
      <c r="B14" s="8">
        <v>13908</v>
      </c>
      <c r="C14" s="8" t="s">
        <v>2633</v>
      </c>
      <c r="D14" s="140" t="s">
        <v>2853</v>
      </c>
      <c r="E14" s="141" t="s">
        <v>2853</v>
      </c>
      <c r="F14" s="8" t="s">
        <v>2634</v>
      </c>
      <c r="G14" s="8">
        <v>11022851</v>
      </c>
      <c r="H14" s="8" t="s">
        <v>78</v>
      </c>
      <c r="I14" s="1" t="s">
        <v>765</v>
      </c>
      <c r="J14" s="141" t="s">
        <v>2853</v>
      </c>
      <c r="K14" s="8" t="s">
        <v>53</v>
      </c>
      <c r="L14" s="141" t="s">
        <v>2853</v>
      </c>
      <c r="M14" s="141" t="s">
        <v>2853</v>
      </c>
      <c r="N14" s="8" t="s">
        <v>314</v>
      </c>
      <c r="O14" s="8" t="s">
        <v>62</v>
      </c>
      <c r="P14" s="70">
        <v>46013</v>
      </c>
      <c r="Q14" s="8" t="s">
        <v>1207</v>
      </c>
      <c r="R14" s="8" t="s">
        <v>303</v>
      </c>
      <c r="S14" s="8" t="s">
        <v>305</v>
      </c>
      <c r="T14" s="72">
        <v>46022</v>
      </c>
      <c r="U14" s="74">
        <v>3.19</v>
      </c>
      <c r="V14" s="74">
        <v>144</v>
      </c>
      <c r="W14" s="74">
        <v>459.36</v>
      </c>
      <c r="X14" s="73">
        <v>0</v>
      </c>
      <c r="Y14" s="68">
        <v>2.7222386724357304E-3</v>
      </c>
      <c r="Z14" s="68">
        <v>1.0659321757980354E-4</v>
      </c>
    </row>
    <row r="15" spans="1:26" x14ac:dyDescent="0.25">
      <c r="A15" s="8">
        <v>13908</v>
      </c>
      <c r="B15" s="8">
        <v>13908</v>
      </c>
      <c r="C15" s="8" t="s">
        <v>2635</v>
      </c>
      <c r="D15" s="140" t="s">
        <v>2853</v>
      </c>
      <c r="E15" s="141" t="s">
        <v>2853</v>
      </c>
      <c r="F15" s="8" t="s">
        <v>2636</v>
      </c>
      <c r="G15" s="8">
        <v>11022864</v>
      </c>
      <c r="H15" s="8" t="s">
        <v>78</v>
      </c>
      <c r="I15" s="1" t="s">
        <v>942</v>
      </c>
      <c r="J15" s="141" t="s">
        <v>2853</v>
      </c>
      <c r="K15" s="8" t="s">
        <v>53</v>
      </c>
      <c r="L15" s="141" t="s">
        <v>2853</v>
      </c>
      <c r="M15" s="141" t="s">
        <v>2853</v>
      </c>
      <c r="N15" s="8" t="s">
        <v>314</v>
      </c>
      <c r="O15" s="8" t="s">
        <v>62</v>
      </c>
      <c r="P15" s="70">
        <v>46006</v>
      </c>
      <c r="Q15" s="8" t="s">
        <v>1207</v>
      </c>
      <c r="R15" s="8" t="s">
        <v>303</v>
      </c>
      <c r="S15" s="8" t="s">
        <v>305</v>
      </c>
      <c r="T15" s="72">
        <v>46022</v>
      </c>
      <c r="U15" s="74">
        <v>3.19</v>
      </c>
      <c r="V15" s="74">
        <v>2000</v>
      </c>
      <c r="W15" s="74">
        <v>6380</v>
      </c>
      <c r="X15" s="73">
        <v>0</v>
      </c>
      <c r="Y15" s="68">
        <v>3.7808870450496253E-2</v>
      </c>
      <c r="Z15" s="68">
        <v>1.4804613552750492E-3</v>
      </c>
    </row>
    <row r="16" spans="1:26" x14ac:dyDescent="0.25">
      <c r="A16" s="8">
        <v>13908</v>
      </c>
      <c r="B16" s="8">
        <v>13908</v>
      </c>
      <c r="C16" s="8" t="s">
        <v>2637</v>
      </c>
      <c r="D16" s="140" t="s">
        <v>2853</v>
      </c>
      <c r="E16" s="141" t="s">
        <v>2853</v>
      </c>
      <c r="F16" s="8" t="s">
        <v>2638</v>
      </c>
      <c r="G16" s="8">
        <v>11019351</v>
      </c>
      <c r="H16" s="8" t="s">
        <v>78</v>
      </c>
      <c r="I16" s="1" t="s">
        <v>241</v>
      </c>
      <c r="J16" s="141" t="s">
        <v>2853</v>
      </c>
      <c r="K16" s="8" t="s">
        <v>61</v>
      </c>
      <c r="L16" s="141" t="s">
        <v>2853</v>
      </c>
      <c r="M16" s="141" t="s">
        <v>2853</v>
      </c>
      <c r="N16" s="8" t="s">
        <v>313</v>
      </c>
      <c r="O16" s="8" t="s">
        <v>62</v>
      </c>
      <c r="P16" s="70">
        <v>45657</v>
      </c>
      <c r="Q16" s="8" t="s">
        <v>1212</v>
      </c>
      <c r="R16" s="8" t="s">
        <v>303</v>
      </c>
      <c r="S16" s="8" t="s">
        <v>305</v>
      </c>
      <c r="T16" s="72">
        <v>46022</v>
      </c>
      <c r="U16" s="74">
        <v>3.7454999999999998</v>
      </c>
      <c r="V16" s="74">
        <v>1026.6331063943401</v>
      </c>
      <c r="W16" s="74">
        <v>3845.2543000000001</v>
      </c>
      <c r="X16" s="73">
        <v>0</v>
      </c>
      <c r="Y16" s="68">
        <v>2.2787573930707471E-2</v>
      </c>
      <c r="Z16" s="68">
        <v>8.9228062576100482E-4</v>
      </c>
    </row>
    <row r="17" spans="1:26" x14ac:dyDescent="0.25">
      <c r="A17" s="8">
        <v>13908</v>
      </c>
      <c r="B17" s="8">
        <v>13908</v>
      </c>
      <c r="C17" s="8" t="s">
        <v>2639</v>
      </c>
      <c r="D17" s="140" t="s">
        <v>2853</v>
      </c>
      <c r="E17" s="141" t="s">
        <v>2853</v>
      </c>
      <c r="F17" s="8" t="s">
        <v>2640</v>
      </c>
      <c r="G17" s="8">
        <v>11019352</v>
      </c>
      <c r="H17" s="8" t="s">
        <v>78</v>
      </c>
      <c r="I17" s="1" t="s">
        <v>942</v>
      </c>
      <c r="J17" s="141" t="s">
        <v>2853</v>
      </c>
      <c r="K17" s="8" t="s">
        <v>61</v>
      </c>
      <c r="L17" s="141" t="s">
        <v>2853</v>
      </c>
      <c r="M17" s="141" t="s">
        <v>2853</v>
      </c>
      <c r="N17" s="8" t="s">
        <v>192</v>
      </c>
      <c r="O17" s="8" t="s">
        <v>62</v>
      </c>
      <c r="P17" s="70">
        <v>45657</v>
      </c>
      <c r="Q17" s="8" t="s">
        <v>1212</v>
      </c>
      <c r="R17" s="8" t="s">
        <v>303</v>
      </c>
      <c r="S17" s="8" t="s">
        <v>305</v>
      </c>
      <c r="T17" s="72">
        <v>46022</v>
      </c>
      <c r="U17" s="74">
        <v>3.7454999999999998</v>
      </c>
      <c r="V17" s="74">
        <v>1775.33393939394</v>
      </c>
      <c r="W17" s="74">
        <v>6649.5132700000004</v>
      </c>
      <c r="X17" s="73">
        <v>0</v>
      </c>
      <c r="Y17" s="68">
        <v>3.9406047928571428E-2</v>
      </c>
      <c r="Z17" s="68">
        <v>1.5430011642043298E-3</v>
      </c>
    </row>
    <row r="18" spans="1:26" x14ac:dyDescent="0.25">
      <c r="A18" s="8">
        <v>13908</v>
      </c>
      <c r="B18" s="8">
        <v>13908</v>
      </c>
      <c r="C18" s="8" t="s">
        <v>2641</v>
      </c>
      <c r="D18" s="140" t="s">
        <v>2853</v>
      </c>
      <c r="E18" s="141" t="s">
        <v>2853</v>
      </c>
      <c r="F18" s="8" t="s">
        <v>2642</v>
      </c>
      <c r="G18" s="8">
        <v>11019991</v>
      </c>
      <c r="H18" s="8" t="s">
        <v>78</v>
      </c>
      <c r="I18" s="1" t="s">
        <v>942</v>
      </c>
      <c r="J18" s="141" t="s">
        <v>2853</v>
      </c>
      <c r="K18" s="8" t="s">
        <v>61</v>
      </c>
      <c r="L18" s="141" t="s">
        <v>2853</v>
      </c>
      <c r="M18" s="141" t="s">
        <v>2853</v>
      </c>
      <c r="N18" s="8" t="s">
        <v>314</v>
      </c>
      <c r="O18" s="8" t="s">
        <v>62</v>
      </c>
      <c r="P18" s="70">
        <v>45657</v>
      </c>
      <c r="Q18" s="8" t="s">
        <v>1207</v>
      </c>
      <c r="R18" s="8" t="s">
        <v>303</v>
      </c>
      <c r="S18" s="8" t="s">
        <v>305</v>
      </c>
      <c r="T18" s="72">
        <v>46022</v>
      </c>
      <c r="U18" s="74">
        <v>3.19</v>
      </c>
      <c r="V18" s="74">
        <v>310.37527586206897</v>
      </c>
      <c r="W18" s="74">
        <v>990.09712999999999</v>
      </c>
      <c r="X18" s="73">
        <v>0</v>
      </c>
      <c r="Y18" s="68">
        <v>5.8674692980530008E-3</v>
      </c>
      <c r="Z18" s="68">
        <v>2.2974930077331295E-4</v>
      </c>
    </row>
    <row r="19" spans="1:26" x14ac:dyDescent="0.25">
      <c r="A19" s="8">
        <v>13908</v>
      </c>
      <c r="B19" s="8">
        <v>13908</v>
      </c>
      <c r="C19" s="8" t="s">
        <v>2643</v>
      </c>
      <c r="D19" s="140" t="s">
        <v>2853</v>
      </c>
      <c r="E19" s="141" t="s">
        <v>2853</v>
      </c>
      <c r="F19" s="8" t="s">
        <v>2644</v>
      </c>
      <c r="G19" s="8">
        <v>11019995</v>
      </c>
      <c r="H19" s="8" t="s">
        <v>78</v>
      </c>
      <c r="I19" s="1" t="s">
        <v>942</v>
      </c>
      <c r="J19" s="141" t="s">
        <v>2853</v>
      </c>
      <c r="K19" s="8" t="s">
        <v>61</v>
      </c>
      <c r="L19" s="141" t="s">
        <v>2853</v>
      </c>
      <c r="M19" s="141" t="s">
        <v>2853</v>
      </c>
      <c r="N19" s="8" t="s">
        <v>314</v>
      </c>
      <c r="O19" s="8" t="s">
        <v>62</v>
      </c>
      <c r="P19" s="70">
        <v>45657</v>
      </c>
      <c r="Q19" s="8" t="s">
        <v>1207</v>
      </c>
      <c r="R19" s="8" t="s">
        <v>303</v>
      </c>
      <c r="S19" s="8" t="s">
        <v>305</v>
      </c>
      <c r="T19" s="72">
        <v>46022</v>
      </c>
      <c r="U19" s="74">
        <v>3.19</v>
      </c>
      <c r="V19" s="74">
        <v>115.95711285266501</v>
      </c>
      <c r="W19" s="74">
        <v>369.90319</v>
      </c>
      <c r="X19" s="73">
        <v>0</v>
      </c>
      <c r="Y19" s="68">
        <v>2.1921037288299846E-3</v>
      </c>
      <c r="Z19" s="68">
        <v>8.5835012223818807E-5</v>
      </c>
    </row>
    <row r="20" spans="1:26" x14ac:dyDescent="0.25">
      <c r="A20" s="1">
        <v>13908</v>
      </c>
      <c r="B20" s="1">
        <v>13908</v>
      </c>
      <c r="C20" s="1" t="s">
        <v>2645</v>
      </c>
      <c r="D20" s="140" t="s">
        <v>2853</v>
      </c>
      <c r="E20" s="141" t="s">
        <v>2853</v>
      </c>
      <c r="F20" s="1" t="s">
        <v>2646</v>
      </c>
      <c r="G20" s="1">
        <v>11020002</v>
      </c>
      <c r="H20" s="8" t="s">
        <v>78</v>
      </c>
      <c r="I20" s="1" t="s">
        <v>942</v>
      </c>
      <c r="J20" s="141" t="s">
        <v>2853</v>
      </c>
      <c r="K20" s="8" t="s">
        <v>61</v>
      </c>
      <c r="L20" s="141" t="s">
        <v>2853</v>
      </c>
      <c r="M20" s="141" t="s">
        <v>2853</v>
      </c>
      <c r="N20" s="8" t="s">
        <v>314</v>
      </c>
      <c r="O20" s="8" t="s">
        <v>62</v>
      </c>
      <c r="P20" s="70">
        <v>45657</v>
      </c>
      <c r="Q20" s="1" t="s">
        <v>1207</v>
      </c>
      <c r="R20" s="8" t="s">
        <v>303</v>
      </c>
      <c r="S20" s="8" t="s">
        <v>305</v>
      </c>
      <c r="T20" s="70">
        <v>46022</v>
      </c>
      <c r="U20" s="67">
        <v>3.19</v>
      </c>
      <c r="V20" s="67">
        <v>60.278758620688997</v>
      </c>
      <c r="W20" s="67">
        <v>192.28924000000001</v>
      </c>
      <c r="X20" s="68">
        <v>0</v>
      </c>
      <c r="Y20" s="68">
        <v>1.1395358878031948E-3</v>
      </c>
      <c r="Z20" s="68">
        <v>4.462018634094188E-5</v>
      </c>
    </row>
    <row r="21" spans="1:26" x14ac:dyDescent="0.25">
      <c r="A21" s="1">
        <v>13908</v>
      </c>
      <c r="B21" s="1">
        <v>13908</v>
      </c>
      <c r="C21" s="1" t="s">
        <v>2647</v>
      </c>
      <c r="D21" s="140" t="s">
        <v>2853</v>
      </c>
      <c r="E21" s="140" t="s">
        <v>2853</v>
      </c>
      <c r="F21" s="1" t="s">
        <v>2648</v>
      </c>
      <c r="G21" s="1">
        <v>11020009</v>
      </c>
      <c r="H21" s="1" t="s">
        <v>78</v>
      </c>
      <c r="I21" s="1" t="s">
        <v>281</v>
      </c>
      <c r="J21" s="140" t="s">
        <v>2853</v>
      </c>
      <c r="K21" s="1" t="s">
        <v>61</v>
      </c>
      <c r="L21" s="140" t="s">
        <v>2853</v>
      </c>
      <c r="M21" s="140" t="s">
        <v>2853</v>
      </c>
      <c r="N21" s="1" t="s">
        <v>109</v>
      </c>
      <c r="O21" s="1" t="s">
        <v>62</v>
      </c>
      <c r="P21" s="70">
        <v>45657</v>
      </c>
      <c r="Q21" s="1" t="s">
        <v>1207</v>
      </c>
      <c r="R21" s="1" t="s">
        <v>303</v>
      </c>
      <c r="S21" s="1" t="s">
        <v>305</v>
      </c>
      <c r="T21" s="70">
        <v>46022</v>
      </c>
      <c r="U21" s="67">
        <v>3.19</v>
      </c>
      <c r="V21" s="67">
        <v>317.92446394984302</v>
      </c>
      <c r="W21" s="67">
        <v>1014.17904</v>
      </c>
      <c r="X21" s="68">
        <v>0</v>
      </c>
      <c r="Y21" s="68">
        <v>6.0101824352615449E-3</v>
      </c>
      <c r="Z21" s="68">
        <v>2.3533744138713923E-4</v>
      </c>
    </row>
    <row r="22" spans="1:26" x14ac:dyDescent="0.25">
      <c r="A22" s="1">
        <v>13908</v>
      </c>
      <c r="B22" s="1">
        <v>13908</v>
      </c>
      <c r="C22" s="1" t="s">
        <v>2649</v>
      </c>
      <c r="D22" s="140" t="s">
        <v>2853</v>
      </c>
      <c r="E22" s="140" t="s">
        <v>2853</v>
      </c>
      <c r="F22" s="1" t="s">
        <v>2650</v>
      </c>
      <c r="G22" s="1">
        <v>11020012</v>
      </c>
      <c r="H22" s="1" t="s">
        <v>78</v>
      </c>
      <c r="I22" s="1" t="s">
        <v>241</v>
      </c>
      <c r="J22" s="140" t="s">
        <v>2853</v>
      </c>
      <c r="K22" s="1" t="s">
        <v>61</v>
      </c>
      <c r="L22" s="140" t="s">
        <v>2853</v>
      </c>
      <c r="M22" s="140" t="s">
        <v>2853</v>
      </c>
      <c r="N22" s="1" t="s">
        <v>314</v>
      </c>
      <c r="O22" s="1" t="s">
        <v>62</v>
      </c>
      <c r="P22" s="70">
        <v>45657</v>
      </c>
      <c r="Q22" s="1" t="s">
        <v>1207</v>
      </c>
      <c r="R22" s="1" t="s">
        <v>303</v>
      </c>
      <c r="S22" s="1" t="s">
        <v>305</v>
      </c>
      <c r="T22" s="70">
        <v>46022</v>
      </c>
      <c r="U22" s="67">
        <v>3.19</v>
      </c>
      <c r="V22" s="67">
        <v>545.95990595611295</v>
      </c>
      <c r="W22" s="67">
        <v>1741.6121000000001</v>
      </c>
      <c r="X22" s="68">
        <v>0</v>
      </c>
      <c r="Y22" s="68">
        <v>1.0321063677729895E-2</v>
      </c>
      <c r="Z22" s="68">
        <v>4.0413627114881264E-4</v>
      </c>
    </row>
    <row r="23" spans="1:26" x14ac:dyDescent="0.25">
      <c r="A23" s="1">
        <v>13908</v>
      </c>
      <c r="B23" s="1">
        <v>13908</v>
      </c>
      <c r="C23" s="1" t="s">
        <v>2651</v>
      </c>
      <c r="D23" s="140" t="s">
        <v>2853</v>
      </c>
      <c r="E23" s="140" t="s">
        <v>2853</v>
      </c>
      <c r="F23" s="1" t="s">
        <v>2652</v>
      </c>
      <c r="G23" s="1">
        <v>11020456</v>
      </c>
      <c r="H23" s="1" t="s">
        <v>78</v>
      </c>
      <c r="I23" s="1" t="s">
        <v>942</v>
      </c>
      <c r="J23" s="140" t="s">
        <v>2853</v>
      </c>
      <c r="K23" s="1" t="s">
        <v>61</v>
      </c>
      <c r="L23" s="140" t="s">
        <v>2853</v>
      </c>
      <c r="M23" s="140" t="s">
        <v>2853</v>
      </c>
      <c r="N23" s="1" t="s">
        <v>173</v>
      </c>
      <c r="O23" s="1" t="s">
        <v>62</v>
      </c>
      <c r="P23" s="70">
        <v>45657</v>
      </c>
      <c r="Q23" s="1" t="s">
        <v>1207</v>
      </c>
      <c r="R23" s="1" t="s">
        <v>303</v>
      </c>
      <c r="S23" s="1" t="s">
        <v>305</v>
      </c>
      <c r="T23" s="70">
        <v>46022</v>
      </c>
      <c r="U23" s="67">
        <v>3.19</v>
      </c>
      <c r="V23" s="67">
        <v>863.76807836990599</v>
      </c>
      <c r="W23" s="67">
        <v>2755.4201699999999</v>
      </c>
      <c r="X23" s="68">
        <v>0</v>
      </c>
      <c r="Y23" s="68">
        <v>1.6329047687180933E-2</v>
      </c>
      <c r="Z23" s="68">
        <v>6.3938762997341788E-4</v>
      </c>
    </row>
    <row r="24" spans="1:26" x14ac:dyDescent="0.25">
      <c r="A24" s="1">
        <v>13908</v>
      </c>
      <c r="B24" s="1">
        <v>13908</v>
      </c>
      <c r="C24" s="1" t="s">
        <v>2653</v>
      </c>
      <c r="D24" s="140" t="s">
        <v>2853</v>
      </c>
      <c r="E24" s="141" t="s">
        <v>2853</v>
      </c>
      <c r="F24" s="1" t="s">
        <v>2654</v>
      </c>
      <c r="G24" s="1">
        <v>11020463</v>
      </c>
      <c r="H24" s="1" t="s">
        <v>78</v>
      </c>
      <c r="I24" s="1" t="s">
        <v>765</v>
      </c>
      <c r="J24" s="140" t="s">
        <v>2853</v>
      </c>
      <c r="K24" s="1" t="s">
        <v>61</v>
      </c>
      <c r="L24" s="140" t="s">
        <v>2853</v>
      </c>
      <c r="M24" s="140" t="s">
        <v>2853</v>
      </c>
      <c r="N24" s="1" t="s">
        <v>53</v>
      </c>
      <c r="O24" s="1" t="s">
        <v>62</v>
      </c>
      <c r="P24" s="70">
        <v>45657</v>
      </c>
      <c r="Q24" s="1" t="s">
        <v>1207</v>
      </c>
      <c r="R24" s="1" t="s">
        <v>303</v>
      </c>
      <c r="S24" s="1" t="s">
        <v>305</v>
      </c>
      <c r="T24" s="70">
        <v>46022</v>
      </c>
      <c r="U24" s="67">
        <v>3.19</v>
      </c>
      <c r="V24" s="67">
        <v>115.233059561129</v>
      </c>
      <c r="W24" s="67">
        <v>367.59345999999999</v>
      </c>
      <c r="X24" s="68">
        <v>0</v>
      </c>
      <c r="Y24" s="68">
        <v>2.1784159102805137E-3</v>
      </c>
      <c r="Z24" s="68">
        <v>8.5299045765179404E-5</v>
      </c>
    </row>
    <row r="25" spans="1:26" x14ac:dyDescent="0.25">
      <c r="A25" s="1">
        <v>13908</v>
      </c>
      <c r="B25" s="1">
        <v>13908</v>
      </c>
      <c r="C25" s="1" t="s">
        <v>2655</v>
      </c>
      <c r="D25" s="140" t="s">
        <v>2853</v>
      </c>
      <c r="E25" s="140" t="s">
        <v>2853</v>
      </c>
      <c r="F25" s="1" t="s">
        <v>2656</v>
      </c>
      <c r="G25" s="1">
        <v>11020470</v>
      </c>
      <c r="H25" s="1" t="s">
        <v>78</v>
      </c>
      <c r="I25" s="1" t="s">
        <v>942</v>
      </c>
      <c r="J25" s="140" t="s">
        <v>2853</v>
      </c>
      <c r="K25" s="1" t="s">
        <v>61</v>
      </c>
      <c r="L25" s="140" t="s">
        <v>2853</v>
      </c>
      <c r="M25" s="140" t="s">
        <v>2853</v>
      </c>
      <c r="N25" s="1" t="s">
        <v>314</v>
      </c>
      <c r="O25" s="1" t="s">
        <v>62</v>
      </c>
      <c r="P25" s="70">
        <v>45657</v>
      </c>
      <c r="Q25" s="1" t="s">
        <v>1207</v>
      </c>
      <c r="R25" s="1" t="s">
        <v>303</v>
      </c>
      <c r="S25" s="1" t="s">
        <v>305</v>
      </c>
      <c r="T25" s="70">
        <v>46022</v>
      </c>
      <c r="U25" s="67">
        <v>3.19</v>
      </c>
      <c r="V25" s="67">
        <v>239.07079310344801</v>
      </c>
      <c r="W25" s="67">
        <v>762.63583000000006</v>
      </c>
      <c r="X25" s="68">
        <v>0</v>
      </c>
      <c r="Y25" s="68">
        <v>4.5194983224728352E-3</v>
      </c>
      <c r="Z25" s="68">
        <v>1.7696753518230598E-4</v>
      </c>
    </row>
    <row r="26" spans="1:26" x14ac:dyDescent="0.25">
      <c r="A26" s="1">
        <v>13908</v>
      </c>
      <c r="B26" s="1">
        <v>13908</v>
      </c>
      <c r="C26" s="1" t="s">
        <v>2657</v>
      </c>
      <c r="D26" s="140" t="s">
        <v>2853</v>
      </c>
      <c r="E26" s="140" t="s">
        <v>2853</v>
      </c>
      <c r="F26" s="1" t="s">
        <v>2658</v>
      </c>
      <c r="G26" s="1">
        <v>11020471</v>
      </c>
      <c r="H26" s="1" t="s">
        <v>78</v>
      </c>
      <c r="I26" s="1" t="s">
        <v>241</v>
      </c>
      <c r="J26" s="140" t="s">
        <v>2853</v>
      </c>
      <c r="K26" s="1" t="s">
        <v>61</v>
      </c>
      <c r="L26" s="140" t="s">
        <v>2853</v>
      </c>
      <c r="M26" s="140" t="s">
        <v>2853</v>
      </c>
      <c r="N26" s="1" t="s">
        <v>173</v>
      </c>
      <c r="O26" s="1" t="s">
        <v>62</v>
      </c>
      <c r="P26" s="70">
        <v>45657</v>
      </c>
      <c r="Q26" s="1" t="s">
        <v>1212</v>
      </c>
      <c r="R26" s="1" t="s">
        <v>303</v>
      </c>
      <c r="S26" s="1" t="s">
        <v>305</v>
      </c>
      <c r="T26" s="70">
        <v>46022</v>
      </c>
      <c r="U26" s="67">
        <v>3.7454999999999998</v>
      </c>
      <c r="V26" s="67">
        <v>1165.6199813109099</v>
      </c>
      <c r="W26" s="67">
        <v>4365.8296399999999</v>
      </c>
      <c r="X26" s="68">
        <v>0</v>
      </c>
      <c r="Y26" s="68">
        <v>2.5872584211237726E-2</v>
      </c>
      <c r="Z26" s="68">
        <v>1.0130786936887743E-3</v>
      </c>
    </row>
    <row r="27" spans="1:26" x14ac:dyDescent="0.25">
      <c r="A27" s="1">
        <v>13908</v>
      </c>
      <c r="B27" s="1">
        <v>13908</v>
      </c>
      <c r="C27" s="1" t="s">
        <v>2645</v>
      </c>
      <c r="D27" s="140" t="s">
        <v>2853</v>
      </c>
      <c r="E27" s="140" t="s">
        <v>2853</v>
      </c>
      <c r="F27" s="1" t="s">
        <v>2659</v>
      </c>
      <c r="G27" s="1">
        <v>11020475</v>
      </c>
      <c r="H27" s="1" t="s">
        <v>78</v>
      </c>
      <c r="I27" s="1" t="s">
        <v>942</v>
      </c>
      <c r="J27" s="140" t="s">
        <v>2853</v>
      </c>
      <c r="K27" s="1" t="s">
        <v>61</v>
      </c>
      <c r="L27" s="140" t="s">
        <v>2853</v>
      </c>
      <c r="M27" s="140" t="s">
        <v>2853</v>
      </c>
      <c r="N27" s="1" t="s">
        <v>314</v>
      </c>
      <c r="O27" s="1" t="s">
        <v>62</v>
      </c>
      <c r="P27" s="70">
        <v>45657</v>
      </c>
      <c r="Q27" s="1" t="s">
        <v>1207</v>
      </c>
      <c r="R27" s="1" t="s">
        <v>303</v>
      </c>
      <c r="S27" s="1" t="s">
        <v>305</v>
      </c>
      <c r="T27" s="70">
        <v>46022</v>
      </c>
      <c r="U27" s="67">
        <v>3.19</v>
      </c>
      <c r="V27" s="67">
        <v>665.669614420063</v>
      </c>
      <c r="W27" s="67">
        <v>2123.4860699999999</v>
      </c>
      <c r="X27" s="68">
        <v>0</v>
      </c>
      <c r="Y27" s="68">
        <v>1.2584108107219971E-2</v>
      </c>
      <c r="Z27" s="68">
        <v>4.9274906976487271E-4</v>
      </c>
    </row>
    <row r="28" spans="1:26" x14ac:dyDescent="0.25">
      <c r="A28" s="1">
        <v>13908</v>
      </c>
      <c r="B28" s="1">
        <v>13908</v>
      </c>
      <c r="C28" s="1" t="s">
        <v>2660</v>
      </c>
      <c r="D28" s="140" t="s">
        <v>2853</v>
      </c>
      <c r="E28" s="140" t="s">
        <v>2853</v>
      </c>
      <c r="F28" s="1" t="s">
        <v>2661</v>
      </c>
      <c r="G28" s="1">
        <v>11020481</v>
      </c>
      <c r="H28" s="1" t="s">
        <v>78</v>
      </c>
      <c r="I28" s="1" t="s">
        <v>765</v>
      </c>
      <c r="J28" s="140" t="s">
        <v>2853</v>
      </c>
      <c r="K28" s="1" t="s">
        <v>61</v>
      </c>
      <c r="L28" s="140" t="s">
        <v>2853</v>
      </c>
      <c r="M28" s="140" t="s">
        <v>2853</v>
      </c>
      <c r="N28" s="1" t="s">
        <v>314</v>
      </c>
      <c r="O28" s="1" t="s">
        <v>62</v>
      </c>
      <c r="P28" s="70">
        <v>45657</v>
      </c>
      <c r="Q28" s="1" t="s">
        <v>1207</v>
      </c>
      <c r="R28" s="1" t="s">
        <v>303</v>
      </c>
      <c r="S28" s="1" t="s">
        <v>305</v>
      </c>
      <c r="T28" s="70">
        <v>46022</v>
      </c>
      <c r="U28" s="67">
        <v>3.19</v>
      </c>
      <c r="V28" s="67">
        <v>245.281344827586</v>
      </c>
      <c r="W28" s="67">
        <v>782.44749000000002</v>
      </c>
      <c r="X28" s="68">
        <v>0</v>
      </c>
      <c r="Y28" s="68">
        <v>4.6369052952548529E-3</v>
      </c>
      <c r="Z28" s="68">
        <v>1.8156477609356748E-4</v>
      </c>
    </row>
    <row r="29" spans="1:26" x14ac:dyDescent="0.25">
      <c r="A29" s="1">
        <v>13908</v>
      </c>
      <c r="B29" s="1">
        <v>13908</v>
      </c>
      <c r="C29" s="1" t="s">
        <v>2662</v>
      </c>
      <c r="D29" s="140" t="s">
        <v>2853</v>
      </c>
      <c r="E29" s="140" t="s">
        <v>2853</v>
      </c>
      <c r="F29" s="1" t="s">
        <v>2663</v>
      </c>
      <c r="G29" s="1">
        <v>11020502</v>
      </c>
      <c r="H29" s="1" t="s">
        <v>78</v>
      </c>
      <c r="I29" s="1" t="s">
        <v>942</v>
      </c>
      <c r="J29" s="140" t="s">
        <v>2853</v>
      </c>
      <c r="K29" s="1" t="s">
        <v>61</v>
      </c>
      <c r="L29" s="140" t="s">
        <v>2853</v>
      </c>
      <c r="M29" s="140" t="s">
        <v>2853</v>
      </c>
      <c r="N29" s="1" t="s">
        <v>109</v>
      </c>
      <c r="O29" s="1" t="s">
        <v>62</v>
      </c>
      <c r="P29" s="70">
        <v>45657</v>
      </c>
      <c r="Q29" s="1" t="s">
        <v>1207</v>
      </c>
      <c r="R29" s="1" t="s">
        <v>303</v>
      </c>
      <c r="S29" s="1" t="s">
        <v>305</v>
      </c>
      <c r="T29" s="70">
        <v>46022</v>
      </c>
      <c r="U29" s="67">
        <v>3.19</v>
      </c>
      <c r="V29" s="67">
        <v>843.51541692789999</v>
      </c>
      <c r="W29" s="67">
        <v>2690.8141799999999</v>
      </c>
      <c r="X29" s="68">
        <v>0</v>
      </c>
      <c r="Y29" s="68">
        <v>1.5946182560811647E-2</v>
      </c>
      <c r="Z29" s="68">
        <v>6.2439598867023826E-4</v>
      </c>
    </row>
    <row r="30" spans="1:26" x14ac:dyDescent="0.25">
      <c r="A30" s="1">
        <v>13908</v>
      </c>
      <c r="B30" s="1">
        <v>13908</v>
      </c>
      <c r="C30" s="1" t="s">
        <v>2664</v>
      </c>
      <c r="D30" s="140" t="s">
        <v>2853</v>
      </c>
      <c r="E30" s="140" t="s">
        <v>2853</v>
      </c>
      <c r="F30" s="1" t="s">
        <v>2665</v>
      </c>
      <c r="G30" s="1">
        <v>11020508</v>
      </c>
      <c r="H30" s="1" t="s">
        <v>78</v>
      </c>
      <c r="I30" s="1" t="s">
        <v>942</v>
      </c>
      <c r="J30" s="140" t="s">
        <v>2853</v>
      </c>
      <c r="K30" s="1" t="s">
        <v>61</v>
      </c>
      <c r="L30" s="140" t="s">
        <v>2853</v>
      </c>
      <c r="M30" s="140" t="s">
        <v>2853</v>
      </c>
      <c r="N30" s="1" t="s">
        <v>314</v>
      </c>
      <c r="O30" s="1" t="s">
        <v>62</v>
      </c>
      <c r="P30" s="70">
        <v>45657</v>
      </c>
      <c r="Q30" s="1" t="s">
        <v>1207</v>
      </c>
      <c r="R30" s="1" t="s">
        <v>303</v>
      </c>
      <c r="S30" s="1" t="s">
        <v>305</v>
      </c>
      <c r="T30" s="70">
        <v>46022</v>
      </c>
      <c r="U30" s="67">
        <v>3.19</v>
      </c>
      <c r="V30" s="67">
        <v>1104.5385015674001</v>
      </c>
      <c r="W30" s="67">
        <v>3523.4778200000001</v>
      </c>
      <c r="X30" s="68">
        <v>0</v>
      </c>
      <c r="Y30" s="68">
        <v>2.0880676556673503E-2</v>
      </c>
      <c r="Z30" s="68">
        <v>8.1761328349197113E-4</v>
      </c>
    </row>
    <row r="31" spans="1:26" x14ac:dyDescent="0.25">
      <c r="A31" s="1">
        <v>13908</v>
      </c>
      <c r="B31" s="1">
        <v>13908</v>
      </c>
      <c r="C31" s="1" t="s">
        <v>2666</v>
      </c>
      <c r="D31" s="140" t="s">
        <v>2853</v>
      </c>
      <c r="E31" s="140" t="s">
        <v>2853</v>
      </c>
      <c r="F31" s="1" t="s">
        <v>2666</v>
      </c>
      <c r="G31" s="1">
        <v>11020523</v>
      </c>
      <c r="H31" s="1" t="s">
        <v>78</v>
      </c>
      <c r="I31" s="1" t="s">
        <v>942</v>
      </c>
      <c r="J31" s="140" t="s">
        <v>2853</v>
      </c>
      <c r="K31" s="1" t="s">
        <v>61</v>
      </c>
      <c r="L31" s="140" t="s">
        <v>2853</v>
      </c>
      <c r="M31" s="140" t="s">
        <v>2853</v>
      </c>
      <c r="N31" s="1" t="s">
        <v>314</v>
      </c>
      <c r="O31" s="1" t="s">
        <v>62</v>
      </c>
      <c r="P31" s="70">
        <v>45657</v>
      </c>
      <c r="Q31" s="1" t="s">
        <v>1207</v>
      </c>
      <c r="R31" s="1" t="s">
        <v>303</v>
      </c>
      <c r="S31" s="1" t="s">
        <v>305</v>
      </c>
      <c r="T31" s="70">
        <v>46022</v>
      </c>
      <c r="U31" s="67">
        <v>3.19</v>
      </c>
      <c r="V31" s="67">
        <v>1310.6995485893401</v>
      </c>
      <c r="W31" s="67">
        <v>4181.1315599999998</v>
      </c>
      <c r="X31" s="68">
        <v>0</v>
      </c>
      <c r="Y31" s="68">
        <v>2.477803471606917E-2</v>
      </c>
      <c r="Z31" s="68">
        <v>9.7022001503148598E-4</v>
      </c>
    </row>
    <row r="32" spans="1:26" x14ac:dyDescent="0.25">
      <c r="A32" s="1">
        <v>13908</v>
      </c>
      <c r="B32" s="1">
        <v>13908</v>
      </c>
      <c r="C32" s="1" t="s">
        <v>2666</v>
      </c>
      <c r="D32" s="140" t="s">
        <v>2853</v>
      </c>
      <c r="E32" s="140" t="s">
        <v>2853</v>
      </c>
      <c r="F32" s="1" t="s">
        <v>2667</v>
      </c>
      <c r="G32" s="1">
        <v>11020525</v>
      </c>
      <c r="H32" s="1" t="s">
        <v>78</v>
      </c>
      <c r="I32" s="1" t="s">
        <v>942</v>
      </c>
      <c r="J32" s="140" t="s">
        <v>2853</v>
      </c>
      <c r="K32" s="1" t="s">
        <v>61</v>
      </c>
      <c r="L32" s="140" t="s">
        <v>2853</v>
      </c>
      <c r="M32" s="140" t="s">
        <v>2853</v>
      </c>
      <c r="N32" s="1" t="s">
        <v>173</v>
      </c>
      <c r="O32" s="1" t="s">
        <v>62</v>
      </c>
      <c r="P32" s="70">
        <v>45657</v>
      </c>
      <c r="Q32" s="1" t="s">
        <v>1207</v>
      </c>
      <c r="R32" s="1" t="s">
        <v>303</v>
      </c>
      <c r="S32" s="1" t="s">
        <v>305</v>
      </c>
      <c r="T32" s="70">
        <v>46022</v>
      </c>
      <c r="U32" s="67">
        <v>3.19</v>
      </c>
      <c r="V32" s="67">
        <v>1323.36062068966</v>
      </c>
      <c r="W32" s="67">
        <v>4221.5203799999999</v>
      </c>
      <c r="X32" s="68">
        <v>0</v>
      </c>
      <c r="Y32" s="68">
        <v>2.501738513347174E-2</v>
      </c>
      <c r="Z32" s="68">
        <v>9.795921290119186E-4</v>
      </c>
    </row>
    <row r="33" spans="1:26" x14ac:dyDescent="0.25">
      <c r="A33" s="1">
        <v>13908</v>
      </c>
      <c r="B33" s="1">
        <v>13908</v>
      </c>
      <c r="C33" s="1" t="s">
        <v>2668</v>
      </c>
      <c r="D33" s="140" t="s">
        <v>2853</v>
      </c>
      <c r="E33" s="140" t="s">
        <v>2853</v>
      </c>
      <c r="F33" s="1" t="s">
        <v>2669</v>
      </c>
      <c r="G33" s="1">
        <v>11021256</v>
      </c>
      <c r="H33" s="1" t="s">
        <v>78</v>
      </c>
      <c r="I33" s="1" t="s">
        <v>942</v>
      </c>
      <c r="J33" s="140" t="s">
        <v>2853</v>
      </c>
      <c r="K33" s="1" t="s">
        <v>61</v>
      </c>
      <c r="L33" s="140" t="s">
        <v>2853</v>
      </c>
      <c r="M33" s="140" t="s">
        <v>2853</v>
      </c>
      <c r="N33" s="1" t="s">
        <v>53</v>
      </c>
      <c r="O33" s="1" t="s">
        <v>62</v>
      </c>
      <c r="P33" s="70">
        <v>45657</v>
      </c>
      <c r="Q33" s="1" t="s">
        <v>1207</v>
      </c>
      <c r="R33" s="1" t="s">
        <v>303</v>
      </c>
      <c r="S33" s="1" t="s">
        <v>305</v>
      </c>
      <c r="T33" s="70">
        <v>46022</v>
      </c>
      <c r="U33" s="67">
        <v>3.19</v>
      </c>
      <c r="V33" s="67">
        <v>380.34431034482799</v>
      </c>
      <c r="W33" s="67">
        <v>1213.29835</v>
      </c>
      <c r="X33" s="68">
        <v>0</v>
      </c>
      <c r="Y33" s="68">
        <v>7.1901943782054639E-3</v>
      </c>
      <c r="Z33" s="68">
        <v>2.8154252658212867E-4</v>
      </c>
    </row>
    <row r="34" spans="1:26" x14ac:dyDescent="0.25">
      <c r="A34" s="1">
        <v>13908</v>
      </c>
      <c r="B34" s="1">
        <v>13908</v>
      </c>
      <c r="C34" s="1" t="s">
        <v>2670</v>
      </c>
      <c r="D34" s="140" t="s">
        <v>2853</v>
      </c>
      <c r="E34" s="140" t="s">
        <v>2853</v>
      </c>
      <c r="F34" s="1" t="s">
        <v>2671</v>
      </c>
      <c r="G34" s="1">
        <v>11021278</v>
      </c>
      <c r="H34" s="1" t="s">
        <v>78</v>
      </c>
      <c r="I34" s="1" t="s">
        <v>942</v>
      </c>
      <c r="J34" s="140" t="s">
        <v>2853</v>
      </c>
      <c r="K34" s="1" t="s">
        <v>61</v>
      </c>
      <c r="L34" s="140" t="s">
        <v>2853</v>
      </c>
      <c r="M34" s="140" t="s">
        <v>2853</v>
      </c>
      <c r="N34" s="1" t="s">
        <v>314</v>
      </c>
      <c r="O34" s="1" t="s">
        <v>62</v>
      </c>
      <c r="P34" s="70">
        <v>45657</v>
      </c>
      <c r="Q34" s="1" t="s">
        <v>1207</v>
      </c>
      <c r="R34" s="1" t="s">
        <v>303</v>
      </c>
      <c r="S34" s="1" t="s">
        <v>305</v>
      </c>
      <c r="T34" s="70">
        <v>46022</v>
      </c>
      <c r="U34" s="67">
        <v>3.19</v>
      </c>
      <c r="V34" s="67">
        <v>704.99542946708505</v>
      </c>
      <c r="W34" s="67">
        <v>2248.9354199999998</v>
      </c>
      <c r="X34" s="68">
        <v>0</v>
      </c>
      <c r="Y34" s="68">
        <v>1.3327540430456485E-2</v>
      </c>
      <c r="Z34" s="68">
        <v>5.2185924448577771E-4</v>
      </c>
    </row>
    <row r="35" spans="1:26" x14ac:dyDescent="0.25">
      <c r="A35" s="1">
        <v>13908</v>
      </c>
      <c r="B35" s="1">
        <v>13908</v>
      </c>
      <c r="C35" s="1" t="s">
        <v>2672</v>
      </c>
      <c r="D35" s="140" t="s">
        <v>2853</v>
      </c>
      <c r="E35" s="140" t="s">
        <v>2853</v>
      </c>
      <c r="F35" s="1" t="s">
        <v>2673</v>
      </c>
      <c r="G35" s="1">
        <v>11021280</v>
      </c>
      <c r="H35" s="1" t="s">
        <v>78</v>
      </c>
      <c r="I35" s="1" t="s">
        <v>942</v>
      </c>
      <c r="J35" s="140" t="s">
        <v>2853</v>
      </c>
      <c r="K35" s="1" t="s">
        <v>61</v>
      </c>
      <c r="L35" s="140" t="s">
        <v>2853</v>
      </c>
      <c r="M35" s="140" t="s">
        <v>2853</v>
      </c>
      <c r="N35" s="1" t="s">
        <v>204</v>
      </c>
      <c r="O35" s="1" t="s">
        <v>62</v>
      </c>
      <c r="P35" s="70">
        <v>45657</v>
      </c>
      <c r="Q35" s="1" t="s">
        <v>1207</v>
      </c>
      <c r="R35" s="1" t="s">
        <v>303</v>
      </c>
      <c r="S35" s="1" t="s">
        <v>305</v>
      </c>
      <c r="T35" s="70">
        <v>46022</v>
      </c>
      <c r="U35" s="67">
        <v>3.19</v>
      </c>
      <c r="V35" s="67">
        <v>2261.2012225705298</v>
      </c>
      <c r="W35" s="67">
        <v>7213.2318999999998</v>
      </c>
      <c r="X35" s="68">
        <v>0</v>
      </c>
      <c r="Y35" s="68">
        <v>4.2746732043336511E-2</v>
      </c>
      <c r="Z35" s="68">
        <v>1.6738105132581846E-3</v>
      </c>
    </row>
    <row r="36" spans="1:26" x14ac:dyDescent="0.25">
      <c r="A36" s="1">
        <v>13908</v>
      </c>
      <c r="B36" s="1">
        <v>13908</v>
      </c>
      <c r="C36" s="1" t="s">
        <v>2674</v>
      </c>
      <c r="D36" s="140" t="s">
        <v>2853</v>
      </c>
      <c r="E36" s="140" t="s">
        <v>2853</v>
      </c>
      <c r="F36" s="1" t="s">
        <v>2675</v>
      </c>
      <c r="G36" s="1">
        <v>11021293</v>
      </c>
      <c r="H36" s="1" t="s">
        <v>78</v>
      </c>
      <c r="I36" s="1" t="s">
        <v>942</v>
      </c>
      <c r="J36" s="140" t="s">
        <v>2853</v>
      </c>
      <c r="K36" s="1" t="s">
        <v>61</v>
      </c>
      <c r="L36" s="140" t="s">
        <v>2853</v>
      </c>
      <c r="M36" s="140" t="s">
        <v>2853</v>
      </c>
      <c r="N36" s="1" t="s">
        <v>314</v>
      </c>
      <c r="O36" s="1" t="s">
        <v>62</v>
      </c>
      <c r="P36" s="70">
        <v>45657</v>
      </c>
      <c r="Q36" s="1" t="s">
        <v>1207</v>
      </c>
      <c r="R36" s="1" t="s">
        <v>303</v>
      </c>
      <c r="S36" s="1" t="s">
        <v>305</v>
      </c>
      <c r="T36" s="70">
        <v>46022</v>
      </c>
      <c r="U36" s="67">
        <v>3.19</v>
      </c>
      <c r="V36" s="67">
        <v>612.92178369906003</v>
      </c>
      <c r="W36" s="67">
        <v>1955.2204899999999</v>
      </c>
      <c r="X36" s="68">
        <v>0</v>
      </c>
      <c r="Y36" s="68">
        <v>1.1586940158082414E-2</v>
      </c>
      <c r="Z36" s="68">
        <v>4.5370350728635514E-4</v>
      </c>
    </row>
    <row r="37" spans="1:26" x14ac:dyDescent="0.25">
      <c r="A37" s="1">
        <v>13908</v>
      </c>
      <c r="B37" s="1">
        <v>13908</v>
      </c>
      <c r="C37" s="1" t="s">
        <v>2660</v>
      </c>
      <c r="D37" s="140" t="s">
        <v>2853</v>
      </c>
      <c r="E37" s="140" t="s">
        <v>2853</v>
      </c>
      <c r="F37" s="1" t="s">
        <v>2676</v>
      </c>
      <c r="G37" s="1">
        <v>11021294</v>
      </c>
      <c r="H37" s="1" t="s">
        <v>78</v>
      </c>
      <c r="I37" s="1" t="s">
        <v>765</v>
      </c>
      <c r="J37" s="140" t="s">
        <v>2853</v>
      </c>
      <c r="K37" s="1" t="s">
        <v>61</v>
      </c>
      <c r="L37" s="140" t="s">
        <v>2853</v>
      </c>
      <c r="M37" s="140" t="s">
        <v>2853</v>
      </c>
      <c r="N37" s="1" t="s">
        <v>314</v>
      </c>
      <c r="O37" s="1" t="s">
        <v>62</v>
      </c>
      <c r="P37" s="70">
        <v>45657</v>
      </c>
      <c r="Q37" s="1" t="s">
        <v>1207</v>
      </c>
      <c r="R37" s="1" t="s">
        <v>303</v>
      </c>
      <c r="S37" s="1" t="s">
        <v>305</v>
      </c>
      <c r="T37" s="70">
        <v>46022</v>
      </c>
      <c r="U37" s="67">
        <v>3.19</v>
      </c>
      <c r="V37" s="67">
        <v>3.213479623824</v>
      </c>
      <c r="W37" s="67">
        <v>10.250999999999999</v>
      </c>
      <c r="X37" s="68">
        <v>0</v>
      </c>
      <c r="Y37" s="68">
        <v>6.0749017396244056E-5</v>
      </c>
      <c r="Z37" s="68">
        <v>2.3787161995179511E-6</v>
      </c>
    </row>
    <row r="38" spans="1:26" x14ac:dyDescent="0.25">
      <c r="A38" s="1">
        <v>13908</v>
      </c>
      <c r="B38" s="1">
        <v>13908</v>
      </c>
      <c r="C38" s="1" t="s">
        <v>2677</v>
      </c>
      <c r="D38" s="140" t="s">
        <v>2853</v>
      </c>
      <c r="E38" s="140" t="s">
        <v>2853</v>
      </c>
      <c r="F38" s="1" t="s">
        <v>2678</v>
      </c>
      <c r="G38" s="1">
        <v>11021307</v>
      </c>
      <c r="H38" s="1" t="s">
        <v>78</v>
      </c>
      <c r="I38" s="1" t="s">
        <v>942</v>
      </c>
      <c r="J38" s="140" t="s">
        <v>2853</v>
      </c>
      <c r="K38" s="1" t="s">
        <v>61</v>
      </c>
      <c r="L38" s="140" t="s">
        <v>2853</v>
      </c>
      <c r="M38" s="140" t="s">
        <v>2853</v>
      </c>
      <c r="N38" s="1" t="s">
        <v>314</v>
      </c>
      <c r="O38" s="1" t="s">
        <v>62</v>
      </c>
      <c r="P38" s="70">
        <v>45657</v>
      </c>
      <c r="Q38" s="1" t="s">
        <v>1207</v>
      </c>
      <c r="R38" s="1" t="s">
        <v>303</v>
      </c>
      <c r="S38" s="1" t="s">
        <v>305</v>
      </c>
      <c r="T38" s="70">
        <v>46022</v>
      </c>
      <c r="U38" s="67">
        <v>3.19</v>
      </c>
      <c r="V38" s="67">
        <v>400.08884012539198</v>
      </c>
      <c r="W38" s="67">
        <v>1276.2834</v>
      </c>
      <c r="X38" s="68">
        <v>0</v>
      </c>
      <c r="Y38" s="68">
        <v>7.5634535624951238E-3</v>
      </c>
      <c r="Z38" s="68">
        <v>2.9615803324123006E-4</v>
      </c>
    </row>
    <row r="39" spans="1:26" x14ac:dyDescent="0.25">
      <c r="A39" s="1">
        <v>13908</v>
      </c>
      <c r="B39" s="1">
        <v>13908</v>
      </c>
      <c r="C39" s="1" t="s">
        <v>2677</v>
      </c>
      <c r="D39" s="140" t="s">
        <v>2853</v>
      </c>
      <c r="E39" s="140" t="s">
        <v>2853</v>
      </c>
      <c r="F39" s="1" t="s">
        <v>2679</v>
      </c>
      <c r="G39" s="1">
        <v>11021308</v>
      </c>
      <c r="H39" s="1" t="s">
        <v>78</v>
      </c>
      <c r="I39" s="1" t="s">
        <v>942</v>
      </c>
      <c r="J39" s="140" t="s">
        <v>2853</v>
      </c>
      <c r="K39" s="1" t="s">
        <v>61</v>
      </c>
      <c r="L39" s="140" t="s">
        <v>2853</v>
      </c>
      <c r="M39" s="140" t="s">
        <v>2853</v>
      </c>
      <c r="N39" s="1" t="s">
        <v>314</v>
      </c>
      <c r="O39" s="1" t="s">
        <v>62</v>
      </c>
      <c r="P39" s="70">
        <v>45657</v>
      </c>
      <c r="Q39" s="1" t="s">
        <v>1207</v>
      </c>
      <c r="R39" s="1" t="s">
        <v>303</v>
      </c>
      <c r="S39" s="1" t="s">
        <v>305</v>
      </c>
      <c r="T39" s="70">
        <v>46022</v>
      </c>
      <c r="U39" s="67">
        <v>3.19</v>
      </c>
      <c r="V39" s="67">
        <v>2298.9764796238201</v>
      </c>
      <c r="W39" s="67">
        <v>7333.7349700000004</v>
      </c>
      <c r="X39" s="68">
        <v>0</v>
      </c>
      <c r="Y39" s="68">
        <v>4.3460851943417561E-2</v>
      </c>
      <c r="Z39" s="68">
        <v>1.7017729173846744E-3</v>
      </c>
    </row>
    <row r="40" spans="1:26" x14ac:dyDescent="0.25">
      <c r="A40" s="1">
        <v>13908</v>
      </c>
      <c r="B40" s="1">
        <v>13908</v>
      </c>
      <c r="C40" s="1" t="s">
        <v>2680</v>
      </c>
      <c r="D40" s="140" t="s">
        <v>2853</v>
      </c>
      <c r="E40" s="140" t="s">
        <v>2853</v>
      </c>
      <c r="F40" s="1" t="s">
        <v>2681</v>
      </c>
      <c r="G40" s="1">
        <v>11022776</v>
      </c>
      <c r="H40" s="1" t="s">
        <v>78</v>
      </c>
      <c r="I40" s="1" t="s">
        <v>942</v>
      </c>
      <c r="J40" s="140" t="s">
        <v>2853</v>
      </c>
      <c r="K40" s="1" t="s">
        <v>61</v>
      </c>
      <c r="L40" s="140" t="s">
        <v>2853</v>
      </c>
      <c r="M40" s="140" t="s">
        <v>2853</v>
      </c>
      <c r="N40" s="1" t="s">
        <v>314</v>
      </c>
      <c r="O40" s="1" t="s">
        <v>62</v>
      </c>
      <c r="P40" s="70">
        <v>45664</v>
      </c>
      <c r="Q40" s="1" t="s">
        <v>1207</v>
      </c>
      <c r="R40" s="1" t="s">
        <v>303</v>
      </c>
      <c r="S40" s="1" t="s">
        <v>305</v>
      </c>
      <c r="T40" s="70">
        <v>46022</v>
      </c>
      <c r="U40" s="67">
        <v>3.19</v>
      </c>
      <c r="V40" s="67">
        <v>1171.47834482759</v>
      </c>
      <c r="W40" s="67">
        <v>3737.0159199999998</v>
      </c>
      <c r="X40" s="68">
        <v>0</v>
      </c>
      <c r="Y40" s="68">
        <v>2.2146136487573992E-2</v>
      </c>
      <c r="Z40" s="68">
        <v>8.671642090294098E-4</v>
      </c>
    </row>
    <row r="41" spans="1:26" x14ac:dyDescent="0.25">
      <c r="A41" s="1">
        <v>13908</v>
      </c>
      <c r="B41" s="1">
        <v>13908</v>
      </c>
      <c r="C41" s="1" t="s">
        <v>2682</v>
      </c>
      <c r="D41" s="140" t="s">
        <v>2853</v>
      </c>
      <c r="E41" s="140" t="s">
        <v>2853</v>
      </c>
      <c r="F41" s="1" t="s">
        <v>2683</v>
      </c>
      <c r="G41" s="1">
        <v>11022777</v>
      </c>
      <c r="H41" s="1" t="s">
        <v>78</v>
      </c>
      <c r="I41" s="1" t="s">
        <v>765</v>
      </c>
      <c r="J41" s="140" t="s">
        <v>2853</v>
      </c>
      <c r="K41" s="1" t="s">
        <v>61</v>
      </c>
      <c r="L41" s="140" t="s">
        <v>2853</v>
      </c>
      <c r="M41" s="140" t="s">
        <v>2853</v>
      </c>
      <c r="N41" s="1" t="s">
        <v>53</v>
      </c>
      <c r="O41" s="1" t="s">
        <v>62</v>
      </c>
      <c r="P41" s="70">
        <v>45666</v>
      </c>
      <c r="Q41" s="1" t="s">
        <v>1207</v>
      </c>
      <c r="R41" s="1" t="s">
        <v>303</v>
      </c>
      <c r="S41" s="1" t="s">
        <v>305</v>
      </c>
      <c r="T41" s="70">
        <v>46022</v>
      </c>
      <c r="U41" s="67">
        <v>3.19</v>
      </c>
      <c r="V41" s="67">
        <v>425.43890595611299</v>
      </c>
      <c r="W41" s="67">
        <v>1357.15011</v>
      </c>
      <c r="X41" s="68">
        <v>0</v>
      </c>
      <c r="Y41" s="68">
        <v>8.0426822399477654E-3</v>
      </c>
      <c r="Z41" s="68">
        <v>3.1492292964926054E-4</v>
      </c>
    </row>
    <row r="42" spans="1:26" x14ac:dyDescent="0.25">
      <c r="A42" s="1">
        <v>13908</v>
      </c>
      <c r="B42" s="1">
        <v>13908</v>
      </c>
      <c r="C42" s="1" t="s">
        <v>2684</v>
      </c>
      <c r="D42" s="140" t="s">
        <v>2853</v>
      </c>
      <c r="E42" s="140" t="s">
        <v>2853</v>
      </c>
      <c r="F42" s="1" t="s">
        <v>2685</v>
      </c>
      <c r="G42" s="1">
        <v>11022784</v>
      </c>
      <c r="H42" s="1" t="s">
        <v>78</v>
      </c>
      <c r="I42" s="1" t="s">
        <v>942</v>
      </c>
      <c r="J42" s="140" t="s">
        <v>2853</v>
      </c>
      <c r="K42" s="1" t="s">
        <v>61</v>
      </c>
      <c r="L42" s="140" t="s">
        <v>2853</v>
      </c>
      <c r="M42" s="140" t="s">
        <v>2853</v>
      </c>
      <c r="N42" s="1" t="s">
        <v>314</v>
      </c>
      <c r="O42" s="1" t="s">
        <v>62</v>
      </c>
      <c r="P42" s="70">
        <v>45694</v>
      </c>
      <c r="Q42" s="1" t="s">
        <v>1207</v>
      </c>
      <c r="R42" s="1" t="s">
        <v>303</v>
      </c>
      <c r="S42" s="1" t="s">
        <v>304</v>
      </c>
      <c r="T42" s="70">
        <v>46022</v>
      </c>
      <c r="U42" s="67">
        <v>3.19</v>
      </c>
      <c r="V42" s="67">
        <v>775.99760815047</v>
      </c>
      <c r="W42" s="67">
        <v>2475.43237</v>
      </c>
      <c r="X42" s="68">
        <v>0</v>
      </c>
      <c r="Y42" s="68">
        <v>1.4669796518228043E-2</v>
      </c>
      <c r="Z42" s="68">
        <v>5.7441723532632085E-4</v>
      </c>
    </row>
    <row r="43" spans="1:26" x14ac:dyDescent="0.25">
      <c r="A43" s="1">
        <v>13908</v>
      </c>
      <c r="B43" s="1">
        <v>13908</v>
      </c>
      <c r="C43" s="1" t="s">
        <v>2686</v>
      </c>
      <c r="D43" s="140" t="s">
        <v>2853</v>
      </c>
      <c r="E43" s="140" t="s">
        <v>2853</v>
      </c>
      <c r="F43" s="1" t="s">
        <v>2687</v>
      </c>
      <c r="G43" s="1">
        <v>11022785</v>
      </c>
      <c r="H43" s="1" t="s">
        <v>78</v>
      </c>
      <c r="I43" s="1" t="s">
        <v>942</v>
      </c>
      <c r="J43" s="140" t="s">
        <v>2853</v>
      </c>
      <c r="K43" s="1" t="s">
        <v>61</v>
      </c>
      <c r="L43" s="140" t="s">
        <v>2853</v>
      </c>
      <c r="M43" s="140" t="s">
        <v>2853</v>
      </c>
      <c r="N43" s="1" t="s">
        <v>314</v>
      </c>
      <c r="O43" s="1" t="s">
        <v>62</v>
      </c>
      <c r="P43" s="70">
        <v>45713</v>
      </c>
      <c r="Q43" s="1" t="s">
        <v>1207</v>
      </c>
      <c r="R43" s="1" t="s">
        <v>303</v>
      </c>
      <c r="S43" s="1" t="s">
        <v>305</v>
      </c>
      <c r="T43" s="70">
        <v>46022</v>
      </c>
      <c r="U43" s="67">
        <v>3.19</v>
      </c>
      <c r="V43" s="67">
        <v>6851.6781536050203</v>
      </c>
      <c r="W43" s="67">
        <v>21856.853309999999</v>
      </c>
      <c r="X43" s="68">
        <v>0</v>
      </c>
      <c r="Y43" s="68">
        <v>0.1295271058390737</v>
      </c>
      <c r="Z43" s="68">
        <v>5.071822362597264E-3</v>
      </c>
    </row>
    <row r="44" spans="1:26" x14ac:dyDescent="0.25">
      <c r="A44" s="1">
        <v>13908</v>
      </c>
      <c r="B44" s="1">
        <v>13908</v>
      </c>
      <c r="C44" s="1" t="s">
        <v>2688</v>
      </c>
      <c r="D44" s="140" t="s">
        <v>2853</v>
      </c>
      <c r="E44" s="140" t="s">
        <v>2853</v>
      </c>
      <c r="F44" s="1" t="s">
        <v>2689</v>
      </c>
      <c r="G44" s="1">
        <v>11022791</v>
      </c>
      <c r="H44" s="1" t="s">
        <v>78</v>
      </c>
      <c r="I44" s="1" t="s">
        <v>942</v>
      </c>
      <c r="J44" s="140" t="s">
        <v>2853</v>
      </c>
      <c r="K44" s="1" t="s">
        <v>61</v>
      </c>
      <c r="L44" s="140" t="s">
        <v>2853</v>
      </c>
      <c r="M44" s="140" t="s">
        <v>2853</v>
      </c>
      <c r="N44" s="1" t="s">
        <v>314</v>
      </c>
      <c r="O44" s="1" t="s">
        <v>62</v>
      </c>
      <c r="P44" s="70">
        <v>45714</v>
      </c>
      <c r="Q44" s="1" t="s">
        <v>1207</v>
      </c>
      <c r="R44" s="1" t="s">
        <v>303</v>
      </c>
      <c r="S44" s="1" t="s">
        <v>305</v>
      </c>
      <c r="T44" s="70">
        <v>46022</v>
      </c>
      <c r="U44" s="67">
        <v>3.19</v>
      </c>
      <c r="V44" s="67">
        <v>422.43327272727299</v>
      </c>
      <c r="W44" s="67">
        <v>1347.56214</v>
      </c>
      <c r="X44" s="68">
        <v>0</v>
      </c>
      <c r="Y44" s="68">
        <v>7.9858624412623026E-3</v>
      </c>
      <c r="Z44" s="68">
        <v>3.1269806772754632E-4</v>
      </c>
    </row>
    <row r="45" spans="1:26" x14ac:dyDescent="0.25">
      <c r="A45" s="1">
        <v>13908</v>
      </c>
      <c r="B45" s="1">
        <v>13908</v>
      </c>
      <c r="C45" s="1" t="s">
        <v>2688</v>
      </c>
      <c r="D45" s="140" t="s">
        <v>2853</v>
      </c>
      <c r="E45" s="140" t="s">
        <v>2853</v>
      </c>
      <c r="F45" s="1" t="s">
        <v>2690</v>
      </c>
      <c r="G45" s="1">
        <v>11022792</v>
      </c>
      <c r="H45" s="1" t="s">
        <v>78</v>
      </c>
      <c r="I45" s="1" t="s">
        <v>942</v>
      </c>
      <c r="J45" s="140" t="s">
        <v>2853</v>
      </c>
      <c r="K45" s="1" t="s">
        <v>61</v>
      </c>
      <c r="L45" s="140" t="s">
        <v>2853</v>
      </c>
      <c r="M45" s="140" t="s">
        <v>2853</v>
      </c>
      <c r="N45" s="1" t="s">
        <v>314</v>
      </c>
      <c r="O45" s="1" t="s">
        <v>62</v>
      </c>
      <c r="P45" s="70">
        <v>45714</v>
      </c>
      <c r="Q45" s="1" t="s">
        <v>1207</v>
      </c>
      <c r="R45" s="1" t="s">
        <v>303</v>
      </c>
      <c r="S45" s="1" t="s">
        <v>305</v>
      </c>
      <c r="T45" s="70">
        <v>46022</v>
      </c>
      <c r="U45" s="67">
        <v>3.19</v>
      </c>
      <c r="V45" s="67">
        <v>408.232131661442</v>
      </c>
      <c r="W45" s="67">
        <v>1302.2605000000001</v>
      </c>
      <c r="X45" s="68">
        <v>0</v>
      </c>
      <c r="Y45" s="68">
        <v>7.7173978898586962E-3</v>
      </c>
      <c r="Z45" s="68">
        <v>3.0218594745316042E-4</v>
      </c>
    </row>
    <row r="46" spans="1:26" x14ac:dyDescent="0.25">
      <c r="A46" s="1">
        <v>13908</v>
      </c>
      <c r="B46" s="1">
        <v>13908</v>
      </c>
      <c r="C46" s="1" t="s">
        <v>2691</v>
      </c>
      <c r="D46" s="140" t="s">
        <v>2853</v>
      </c>
      <c r="E46" s="140" t="s">
        <v>2853</v>
      </c>
      <c r="F46" s="1" t="s">
        <v>2692</v>
      </c>
      <c r="G46" s="1">
        <v>11022794</v>
      </c>
      <c r="H46" s="1" t="s">
        <v>78</v>
      </c>
      <c r="I46" s="1" t="s">
        <v>765</v>
      </c>
      <c r="J46" s="140" t="s">
        <v>2853</v>
      </c>
      <c r="K46" s="1" t="s">
        <v>61</v>
      </c>
      <c r="L46" s="140" t="s">
        <v>2853</v>
      </c>
      <c r="M46" s="140" t="s">
        <v>2853</v>
      </c>
      <c r="N46" s="1" t="s">
        <v>314</v>
      </c>
      <c r="O46" s="1" t="s">
        <v>62</v>
      </c>
      <c r="P46" s="70">
        <v>45721</v>
      </c>
      <c r="Q46" s="1" t="s">
        <v>1207</v>
      </c>
      <c r="R46" s="1" t="s">
        <v>303</v>
      </c>
      <c r="S46" s="1" t="s">
        <v>305</v>
      </c>
      <c r="T46" s="70">
        <v>46022</v>
      </c>
      <c r="U46" s="67">
        <v>3.19</v>
      </c>
      <c r="V46" s="67">
        <v>411.940824451411</v>
      </c>
      <c r="W46" s="67">
        <v>1314.09123</v>
      </c>
      <c r="X46" s="68">
        <v>3.2517606326470001</v>
      </c>
      <c r="Y46" s="68">
        <v>7.7875086324770025E-3</v>
      </c>
      <c r="Z46" s="68">
        <v>3.0493123563022826E-4</v>
      </c>
    </row>
    <row r="47" spans="1:26" x14ac:dyDescent="0.25">
      <c r="A47" s="1">
        <v>13908</v>
      </c>
      <c r="B47" s="1">
        <v>13908</v>
      </c>
      <c r="C47" s="1" t="s">
        <v>2693</v>
      </c>
      <c r="D47" s="140" t="s">
        <v>2853</v>
      </c>
      <c r="E47" s="140" t="s">
        <v>2853</v>
      </c>
      <c r="F47" s="1" t="s">
        <v>2694</v>
      </c>
      <c r="G47" s="1">
        <v>11022818</v>
      </c>
      <c r="H47" s="1" t="s">
        <v>78</v>
      </c>
      <c r="I47" s="1" t="s">
        <v>942</v>
      </c>
      <c r="J47" s="140" t="s">
        <v>2853</v>
      </c>
      <c r="K47" s="1" t="s">
        <v>61</v>
      </c>
      <c r="L47" s="140" t="s">
        <v>2853</v>
      </c>
      <c r="M47" s="140" t="s">
        <v>2853</v>
      </c>
      <c r="N47" s="1" t="s">
        <v>314</v>
      </c>
      <c r="O47" s="1" t="s">
        <v>62</v>
      </c>
      <c r="P47" s="70">
        <v>46015</v>
      </c>
      <c r="Q47" s="1" t="s">
        <v>1207</v>
      </c>
      <c r="R47" s="1" t="s">
        <v>303</v>
      </c>
      <c r="S47" s="1" t="s">
        <v>305</v>
      </c>
      <c r="T47" s="70">
        <v>46022</v>
      </c>
      <c r="U47" s="67">
        <v>3.19</v>
      </c>
      <c r="V47" s="67">
        <v>377.15343887147299</v>
      </c>
      <c r="W47" s="67">
        <v>1203.1194700000001</v>
      </c>
      <c r="X47" s="68">
        <v>0</v>
      </c>
      <c r="Y47" s="68">
        <v>7.1298727551253474E-3</v>
      </c>
      <c r="Z47" s="68">
        <v>2.7918054562915348E-4</v>
      </c>
    </row>
    <row r="48" spans="1:26" x14ac:dyDescent="0.25">
      <c r="A48" s="1">
        <v>13908</v>
      </c>
      <c r="B48" s="1">
        <v>13908</v>
      </c>
      <c r="C48" s="1" t="s">
        <v>2695</v>
      </c>
      <c r="D48" s="140" t="s">
        <v>2853</v>
      </c>
      <c r="E48" s="140" t="s">
        <v>2853</v>
      </c>
      <c r="F48" s="1" t="s">
        <v>2696</v>
      </c>
      <c r="G48" s="1">
        <v>11022833</v>
      </c>
      <c r="H48" s="1" t="s">
        <v>78</v>
      </c>
      <c r="I48" s="1" t="s">
        <v>942</v>
      </c>
      <c r="J48" s="140" t="s">
        <v>2853</v>
      </c>
      <c r="K48" s="1" t="s">
        <v>61</v>
      </c>
      <c r="L48" s="140" t="s">
        <v>2853</v>
      </c>
      <c r="M48" s="140" t="s">
        <v>2853</v>
      </c>
      <c r="N48" s="1" t="s">
        <v>314</v>
      </c>
      <c r="O48" s="1" t="s">
        <v>62</v>
      </c>
      <c r="P48" s="70">
        <v>45890</v>
      </c>
      <c r="Q48" s="1" t="s">
        <v>1207</v>
      </c>
      <c r="R48" s="1" t="s">
        <v>303</v>
      </c>
      <c r="S48" s="1" t="s">
        <v>305</v>
      </c>
      <c r="T48" s="70">
        <v>46022</v>
      </c>
      <c r="U48" s="67">
        <v>3.19</v>
      </c>
      <c r="V48" s="67">
        <v>2221.70335736677</v>
      </c>
      <c r="W48" s="67">
        <v>7087.2337100000004</v>
      </c>
      <c r="X48" s="68">
        <v>0</v>
      </c>
      <c r="Y48" s="68">
        <v>4.2000047209056417E-2</v>
      </c>
      <c r="Z48" s="68">
        <v>1.6445729817331687E-3</v>
      </c>
    </row>
    <row r="49" spans="1:26" x14ac:dyDescent="0.25">
      <c r="A49" s="1">
        <v>13908</v>
      </c>
      <c r="B49" s="1">
        <v>13908</v>
      </c>
      <c r="C49" s="1" t="s">
        <v>2697</v>
      </c>
      <c r="D49" s="140" t="s">
        <v>2853</v>
      </c>
      <c r="E49" s="140" t="s">
        <v>2853</v>
      </c>
      <c r="F49" s="1" t="s">
        <v>2698</v>
      </c>
      <c r="G49" s="1">
        <v>11022854</v>
      </c>
      <c r="H49" s="1" t="s">
        <v>78</v>
      </c>
      <c r="I49" s="1" t="s">
        <v>241</v>
      </c>
      <c r="J49" s="140" t="s">
        <v>2853</v>
      </c>
      <c r="K49" s="1" t="s">
        <v>61</v>
      </c>
      <c r="L49" s="140" t="s">
        <v>2853</v>
      </c>
      <c r="M49" s="140" t="s">
        <v>2853</v>
      </c>
      <c r="N49" s="1" t="s">
        <v>314</v>
      </c>
      <c r="O49" s="1" t="s">
        <v>62</v>
      </c>
      <c r="P49" s="70">
        <v>45986</v>
      </c>
      <c r="Q49" s="1" t="s">
        <v>1207</v>
      </c>
      <c r="R49" s="1" t="s">
        <v>303</v>
      </c>
      <c r="S49" s="1" t="s">
        <v>305</v>
      </c>
      <c r="T49" s="70">
        <v>46022</v>
      </c>
      <c r="U49" s="67">
        <v>3.19</v>
      </c>
      <c r="V49" s="67">
        <v>423.91684639498402</v>
      </c>
      <c r="W49" s="67">
        <v>1352.29474</v>
      </c>
      <c r="X49" s="68">
        <v>0</v>
      </c>
      <c r="Y49" s="68">
        <v>8.013908563565441E-3</v>
      </c>
      <c r="Z49" s="68">
        <v>3.1379625446892171E-4</v>
      </c>
    </row>
    <row r="50" spans="1:26" x14ac:dyDescent="0.25">
      <c r="A50" s="1">
        <v>13908</v>
      </c>
      <c r="B50" s="1">
        <v>13908</v>
      </c>
      <c r="C50" s="1" t="s">
        <v>2697</v>
      </c>
      <c r="D50" s="140" t="s">
        <v>2853</v>
      </c>
      <c r="E50" s="140" t="s">
        <v>2853</v>
      </c>
      <c r="F50" s="1" t="s">
        <v>2699</v>
      </c>
      <c r="G50" s="1">
        <v>11022855</v>
      </c>
      <c r="H50" s="1" t="s">
        <v>78</v>
      </c>
      <c r="I50" s="1" t="s">
        <v>241</v>
      </c>
      <c r="J50" s="140" t="s">
        <v>2853</v>
      </c>
      <c r="K50" s="1" t="s">
        <v>61</v>
      </c>
      <c r="L50" s="140" t="s">
        <v>2853</v>
      </c>
      <c r="M50" s="140" t="s">
        <v>2853</v>
      </c>
      <c r="N50" s="1" t="s">
        <v>314</v>
      </c>
      <c r="O50" s="1" t="s">
        <v>62</v>
      </c>
      <c r="P50" s="70">
        <v>45987</v>
      </c>
      <c r="Q50" s="1" t="s">
        <v>1207</v>
      </c>
      <c r="R50" s="1" t="s">
        <v>303</v>
      </c>
      <c r="S50" s="1" t="s">
        <v>305</v>
      </c>
      <c r="T50" s="70">
        <v>46022</v>
      </c>
      <c r="U50" s="67">
        <v>3.19</v>
      </c>
      <c r="V50" s="67">
        <v>930.50580877742902</v>
      </c>
      <c r="W50" s="67">
        <v>2968.3135299999999</v>
      </c>
      <c r="X50" s="68">
        <v>0</v>
      </c>
      <c r="Y50" s="68">
        <v>1.7590686788750035E-2</v>
      </c>
      <c r="Z50" s="68">
        <v>6.8878894537696949E-4</v>
      </c>
    </row>
    <row r="51" spans="1:26" x14ac:dyDescent="0.25">
      <c r="A51" s="1">
        <v>13908</v>
      </c>
      <c r="B51" s="1">
        <v>13908</v>
      </c>
      <c r="C51" s="1" t="s">
        <v>2700</v>
      </c>
      <c r="D51" s="140" t="s">
        <v>2853</v>
      </c>
      <c r="E51" s="140" t="s">
        <v>2853</v>
      </c>
      <c r="F51" s="1" t="s">
        <v>2701</v>
      </c>
      <c r="G51" s="1">
        <v>11022858</v>
      </c>
      <c r="H51" s="1" t="s">
        <v>78</v>
      </c>
      <c r="I51" s="1" t="s">
        <v>942</v>
      </c>
      <c r="J51" s="140" t="s">
        <v>2853</v>
      </c>
      <c r="K51" s="1" t="s">
        <v>61</v>
      </c>
      <c r="L51" s="140" t="s">
        <v>2853</v>
      </c>
      <c r="M51" s="140" t="s">
        <v>2853</v>
      </c>
      <c r="N51" s="1" t="s">
        <v>314</v>
      </c>
      <c r="O51" s="1" t="s">
        <v>62</v>
      </c>
      <c r="P51" s="70">
        <v>45992</v>
      </c>
      <c r="Q51" s="1" t="s">
        <v>1207</v>
      </c>
      <c r="R51" s="1" t="s">
        <v>303</v>
      </c>
      <c r="S51" s="1" t="s">
        <v>305</v>
      </c>
      <c r="T51" s="70">
        <v>46022</v>
      </c>
      <c r="U51" s="67">
        <v>3.19</v>
      </c>
      <c r="V51" s="67">
        <v>2200</v>
      </c>
      <c r="W51" s="67">
        <v>7018</v>
      </c>
      <c r="X51" s="68">
        <v>0</v>
      </c>
      <c r="Y51" s="68">
        <v>4.158975749554588E-2</v>
      </c>
      <c r="Z51" s="68">
        <v>1.6285074908025542E-3</v>
      </c>
    </row>
    <row r="52" spans="1:26" x14ac:dyDescent="0.25">
      <c r="A52" s="1">
        <v>13908</v>
      </c>
      <c r="B52" s="1">
        <v>13908</v>
      </c>
      <c r="C52" s="1" t="s">
        <v>2702</v>
      </c>
      <c r="D52" s="140" t="s">
        <v>2853</v>
      </c>
      <c r="E52" s="140" t="s">
        <v>2853</v>
      </c>
      <c r="F52" s="1" t="s">
        <v>2703</v>
      </c>
      <c r="G52" s="1">
        <v>11022859</v>
      </c>
      <c r="H52" s="1" t="s">
        <v>78</v>
      </c>
      <c r="I52" s="1" t="s">
        <v>942</v>
      </c>
      <c r="J52" s="140" t="s">
        <v>2853</v>
      </c>
      <c r="K52" s="1" t="s">
        <v>61</v>
      </c>
      <c r="L52" s="140" t="s">
        <v>2853</v>
      </c>
      <c r="M52" s="140" t="s">
        <v>2853</v>
      </c>
      <c r="N52" s="1" t="s">
        <v>314</v>
      </c>
      <c r="O52" s="1" t="s">
        <v>62</v>
      </c>
      <c r="P52" s="70">
        <v>46015</v>
      </c>
      <c r="Q52" s="1" t="s">
        <v>1207</v>
      </c>
      <c r="R52" s="1" t="s">
        <v>303</v>
      </c>
      <c r="S52" s="1" t="s">
        <v>305</v>
      </c>
      <c r="T52" s="70">
        <v>46022</v>
      </c>
      <c r="U52" s="67">
        <v>3.19</v>
      </c>
      <c r="V52" s="67">
        <v>73.521799373039997</v>
      </c>
      <c r="W52" s="67">
        <v>234.53453999999999</v>
      </c>
      <c r="X52" s="68">
        <v>0</v>
      </c>
      <c r="Y52" s="68">
        <v>1.3898880938913371E-3</v>
      </c>
      <c r="Z52" s="68">
        <v>5.4423091371036087E-5</v>
      </c>
    </row>
    <row r="53" spans="1:26" x14ac:dyDescent="0.25">
      <c r="A53" s="1">
        <v>13908</v>
      </c>
      <c r="B53" s="1">
        <v>13908</v>
      </c>
      <c r="C53" s="1" t="s">
        <v>2704</v>
      </c>
      <c r="D53" s="140" t="s">
        <v>2853</v>
      </c>
      <c r="E53" s="140" t="s">
        <v>2853</v>
      </c>
      <c r="F53" s="1" t="s">
        <v>2705</v>
      </c>
      <c r="G53" s="1" t="s">
        <v>2706</v>
      </c>
      <c r="H53" s="1" t="s">
        <v>78</v>
      </c>
      <c r="I53" s="97" t="s">
        <v>281</v>
      </c>
      <c r="J53" s="140" t="s">
        <v>2853</v>
      </c>
      <c r="K53" s="1" t="s">
        <v>61</v>
      </c>
      <c r="L53" s="140" t="s">
        <v>2853</v>
      </c>
      <c r="M53" s="140" t="s">
        <v>2853</v>
      </c>
      <c r="N53" s="1" t="s">
        <v>314</v>
      </c>
      <c r="O53" s="97" t="s">
        <v>55</v>
      </c>
      <c r="P53" s="70">
        <v>45963</v>
      </c>
      <c r="Q53" s="1" t="s">
        <v>1207</v>
      </c>
      <c r="R53" s="1" t="s">
        <v>303</v>
      </c>
      <c r="S53" s="1" t="s">
        <v>305</v>
      </c>
      <c r="T53" s="70">
        <v>46022</v>
      </c>
      <c r="U53" s="67">
        <v>3.19</v>
      </c>
      <c r="V53" s="67">
        <v>1258.3681943573699</v>
      </c>
      <c r="W53" s="67">
        <v>4014.19454</v>
      </c>
      <c r="X53" s="68">
        <v>0</v>
      </c>
      <c r="Y53" s="68">
        <v>2.3788740019741284E-2</v>
      </c>
      <c r="Z53" s="68">
        <v>9.3148274122666183E-4</v>
      </c>
    </row>
    <row r="54" spans="1:26" s="93" customFormat="1" x14ac:dyDescent="0.25">
      <c r="A54" s="97">
        <v>13908</v>
      </c>
      <c r="B54" s="97">
        <v>13908</v>
      </c>
      <c r="C54" s="97" t="s">
        <v>2441</v>
      </c>
      <c r="D54" s="140" t="s">
        <v>2853</v>
      </c>
      <c r="E54" s="140" t="s">
        <v>2853</v>
      </c>
      <c r="F54" s="97" t="s">
        <v>2442</v>
      </c>
      <c r="G54" s="97" t="s">
        <v>2443</v>
      </c>
      <c r="H54" s="97" t="s">
        <v>78</v>
      </c>
      <c r="I54" s="97" t="s">
        <v>281</v>
      </c>
      <c r="J54" s="142" t="s">
        <v>2853</v>
      </c>
      <c r="K54" s="1" t="s">
        <v>61</v>
      </c>
      <c r="L54" s="142" t="s">
        <v>2853</v>
      </c>
      <c r="M54" s="142" t="s">
        <v>2853</v>
      </c>
      <c r="N54" s="97" t="s">
        <v>53</v>
      </c>
      <c r="O54" s="97" t="s">
        <v>55</v>
      </c>
      <c r="P54" s="98">
        <v>45169</v>
      </c>
      <c r="Q54" s="97" t="s">
        <v>1207</v>
      </c>
      <c r="R54" s="97" t="s">
        <v>303</v>
      </c>
      <c r="S54" s="97" t="s">
        <v>305</v>
      </c>
      <c r="T54" s="98">
        <v>46022</v>
      </c>
      <c r="U54" s="99">
        <v>3.19</v>
      </c>
      <c r="V54" s="99">
        <v>174.72283385579939</v>
      </c>
      <c r="W54" s="99">
        <v>557.36584000000005</v>
      </c>
      <c r="X54" s="100">
        <v>0</v>
      </c>
      <c r="Y54" s="68">
        <v>3.30303649499875E-3</v>
      </c>
      <c r="Z54" s="68">
        <v>1.2933520170382702E-4</v>
      </c>
    </row>
    <row r="55" spans="1:26" s="93" customFormat="1" x14ac:dyDescent="0.25">
      <c r="A55" s="97">
        <v>13908</v>
      </c>
      <c r="B55" s="97">
        <v>13908</v>
      </c>
      <c r="C55" s="97" t="s">
        <v>2441</v>
      </c>
      <c r="D55" s="140" t="s">
        <v>2853</v>
      </c>
      <c r="E55" s="140" t="s">
        <v>2853</v>
      </c>
      <c r="F55" s="97" t="s">
        <v>2444</v>
      </c>
      <c r="G55" s="97" t="s">
        <v>2445</v>
      </c>
      <c r="H55" s="97" t="s">
        <v>78</v>
      </c>
      <c r="I55" s="97" t="s">
        <v>281</v>
      </c>
      <c r="J55" s="142" t="s">
        <v>2853</v>
      </c>
      <c r="K55" s="1" t="s">
        <v>61</v>
      </c>
      <c r="L55" s="142" t="s">
        <v>2853</v>
      </c>
      <c r="M55" s="142" t="s">
        <v>2853</v>
      </c>
      <c r="N55" s="97" t="s">
        <v>53</v>
      </c>
      <c r="O55" s="97" t="s">
        <v>55</v>
      </c>
      <c r="P55" s="98">
        <v>44985</v>
      </c>
      <c r="Q55" s="97" t="s">
        <v>1207</v>
      </c>
      <c r="R55" s="97" t="s">
        <v>303</v>
      </c>
      <c r="S55" s="97" t="s">
        <v>305</v>
      </c>
      <c r="T55" s="98">
        <v>46022</v>
      </c>
      <c r="U55" s="99">
        <v>3.19</v>
      </c>
      <c r="V55" s="99">
        <v>327.19070846394987</v>
      </c>
      <c r="W55" s="99">
        <v>1043.7383600000001</v>
      </c>
      <c r="X55" s="100">
        <v>0</v>
      </c>
      <c r="Y55" s="68">
        <v>6.1853555544597845E-3</v>
      </c>
      <c r="Z55" s="68">
        <v>2.4219659984297135E-4</v>
      </c>
    </row>
    <row r="56" spans="1:26" s="93" customFormat="1" x14ac:dyDescent="0.25">
      <c r="A56" s="97">
        <v>13908</v>
      </c>
      <c r="B56" s="97">
        <v>13908</v>
      </c>
      <c r="C56" s="97" t="s">
        <v>2441</v>
      </c>
      <c r="D56" s="140" t="s">
        <v>2853</v>
      </c>
      <c r="E56" s="140" t="s">
        <v>2853</v>
      </c>
      <c r="F56" s="97" t="s">
        <v>2446</v>
      </c>
      <c r="G56" s="97" t="s">
        <v>2447</v>
      </c>
      <c r="H56" s="97" t="s">
        <v>78</v>
      </c>
      <c r="I56" s="97" t="s">
        <v>281</v>
      </c>
      <c r="J56" s="142" t="s">
        <v>2853</v>
      </c>
      <c r="K56" s="1" t="s">
        <v>61</v>
      </c>
      <c r="L56" s="142" t="s">
        <v>2853</v>
      </c>
      <c r="M56" s="142" t="s">
        <v>2853</v>
      </c>
      <c r="N56" s="97" t="s">
        <v>53</v>
      </c>
      <c r="O56" s="97" t="s">
        <v>55</v>
      </c>
      <c r="P56" s="98">
        <v>45016</v>
      </c>
      <c r="Q56" s="97" t="s">
        <v>1207</v>
      </c>
      <c r="R56" s="97" t="s">
        <v>303</v>
      </c>
      <c r="S56" s="97" t="s">
        <v>305</v>
      </c>
      <c r="T56" s="98">
        <v>46022</v>
      </c>
      <c r="U56" s="99">
        <v>3.19</v>
      </c>
      <c r="V56" s="99">
        <v>463.21192476489034</v>
      </c>
      <c r="W56" s="99">
        <v>1477.6460400000001</v>
      </c>
      <c r="X56" s="100">
        <v>0</v>
      </c>
      <c r="Y56" s="68">
        <v>8.7567598272803773E-3</v>
      </c>
      <c r="Z56" s="68">
        <v>3.4288367695849679E-4</v>
      </c>
    </row>
    <row r="57" spans="1:26" s="93" customFormat="1" x14ac:dyDescent="0.25">
      <c r="A57" s="97">
        <v>13908</v>
      </c>
      <c r="B57" s="97">
        <v>13908</v>
      </c>
      <c r="C57" s="97" t="s">
        <v>2441</v>
      </c>
      <c r="D57" s="140" t="s">
        <v>2853</v>
      </c>
      <c r="E57" s="140" t="s">
        <v>2853</v>
      </c>
      <c r="F57" s="97" t="s">
        <v>2448</v>
      </c>
      <c r="G57" s="97" t="s">
        <v>2449</v>
      </c>
      <c r="H57" s="97" t="s">
        <v>78</v>
      </c>
      <c r="I57" s="97" t="s">
        <v>281</v>
      </c>
      <c r="J57" s="142" t="s">
        <v>2853</v>
      </c>
      <c r="K57" s="1" t="s">
        <v>61</v>
      </c>
      <c r="L57" s="142" t="s">
        <v>2853</v>
      </c>
      <c r="M57" s="142" t="s">
        <v>2853</v>
      </c>
      <c r="N57" s="97" t="s">
        <v>53</v>
      </c>
      <c r="O57" s="97" t="s">
        <v>55</v>
      </c>
      <c r="P57" s="98">
        <v>45596</v>
      </c>
      <c r="Q57" s="97" t="s">
        <v>1207</v>
      </c>
      <c r="R57" s="97" t="s">
        <v>303</v>
      </c>
      <c r="S57" s="97" t="s">
        <v>305</v>
      </c>
      <c r="T57" s="98">
        <v>46022</v>
      </c>
      <c r="U57" s="99">
        <v>3.19</v>
      </c>
      <c r="V57" s="99">
        <v>907.50101880877742</v>
      </c>
      <c r="W57" s="99">
        <v>2894.9282499999999</v>
      </c>
      <c r="X57" s="100">
        <v>0</v>
      </c>
      <c r="Y57" s="68">
        <v>1.7155794226917213E-2</v>
      </c>
      <c r="Z57" s="68">
        <v>6.7176009410956528E-4</v>
      </c>
    </row>
    <row r="58" spans="1:26" s="93" customFormat="1" x14ac:dyDescent="0.25">
      <c r="A58" s="97">
        <v>13908</v>
      </c>
      <c r="B58" s="97">
        <v>13908</v>
      </c>
      <c r="C58" s="97" t="s">
        <v>2441</v>
      </c>
      <c r="D58" s="140" t="s">
        <v>2853</v>
      </c>
      <c r="E58" s="140" t="s">
        <v>2853</v>
      </c>
      <c r="F58" s="97" t="s">
        <v>2450</v>
      </c>
      <c r="G58" s="97" t="s">
        <v>2451</v>
      </c>
      <c r="H58" s="97" t="s">
        <v>78</v>
      </c>
      <c r="I58" s="97" t="s">
        <v>281</v>
      </c>
      <c r="J58" s="142" t="s">
        <v>2853</v>
      </c>
      <c r="K58" s="1" t="s">
        <v>61</v>
      </c>
      <c r="L58" s="142" t="s">
        <v>2853</v>
      </c>
      <c r="M58" s="142" t="s">
        <v>2853</v>
      </c>
      <c r="N58" s="97" t="s">
        <v>53</v>
      </c>
      <c r="O58" s="97" t="s">
        <v>55</v>
      </c>
      <c r="P58" s="98">
        <v>45657</v>
      </c>
      <c r="Q58" s="97" t="s">
        <v>1206</v>
      </c>
      <c r="R58" s="97" t="s">
        <v>303</v>
      </c>
      <c r="S58" s="97" t="s">
        <v>305</v>
      </c>
      <c r="T58" s="98">
        <v>46022</v>
      </c>
      <c r="U58" s="99">
        <v>1</v>
      </c>
      <c r="V58" s="99">
        <v>671.19821000000002</v>
      </c>
      <c r="W58" s="99">
        <v>671.19821000000002</v>
      </c>
      <c r="X58" s="100">
        <v>0</v>
      </c>
      <c r="Y58" s="68">
        <v>3.9776247913001538E-3</v>
      </c>
      <c r="Z58" s="68">
        <v>1.5574968834401051E-4</v>
      </c>
    </row>
    <row r="10000" spans="52:52" x14ac:dyDescent="0.25">
      <c r="AZ10000" s="1">
        <v>1</v>
      </c>
    </row>
    <row r="1048571" spans="12:12" x14ac:dyDescent="0.25">
      <c r="L1048571" s="8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1:L1048576" xr:uid="{00000000-0002-0000-1300-000006000000}">
      <formula1>Country</formula1>
    </dataValidation>
    <dataValidation type="list" allowBlank="1" showInputMessage="1" showErrorMessage="1" sqref="E2:E20 E24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Z10000"/>
  <sheetViews>
    <sheetView rightToLeft="1" zoomScale="40" zoomScaleNormal="40" workbookViewId="0">
      <selection activeCell="A2" sqref="A2:AB12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30.796875" style="1" bestFit="1" customWidth="1"/>
    <col min="4" max="4" width="11.5" style="1" customWidth="1"/>
    <col min="5" max="5" width="26.19921875" style="1" bestFit="1" customWidth="1"/>
    <col min="6" max="6" width="23.59765625" style="1" bestFit="1" customWidth="1"/>
    <col min="7" max="7" width="13.296875" style="1" customWidth="1"/>
    <col min="8" max="8" width="15.796875" style="1" customWidth="1"/>
    <col min="9" max="9" width="10.5" style="1" customWidth="1"/>
    <col min="10" max="10" width="19.5" style="1" customWidth="1"/>
    <col min="11" max="11" width="13.5" style="1" customWidth="1"/>
    <col min="12" max="12" width="18.796875" style="1" customWidth="1"/>
    <col min="13" max="13" width="16.796875" style="1" bestFit="1" customWidth="1"/>
    <col min="14" max="14" width="12.296875" style="1" customWidth="1"/>
    <col min="15" max="15" width="15.296875" style="1" customWidth="1"/>
    <col min="16" max="16" width="12.296875" style="1" customWidth="1"/>
    <col min="17" max="17" width="12" style="1" customWidth="1"/>
    <col min="18" max="18" width="14.296875" style="1" customWidth="1"/>
    <col min="19" max="19" width="19" style="1" customWidth="1"/>
    <col min="20" max="20" width="16.5" style="1" customWidth="1"/>
    <col min="21" max="21" width="11.19921875" style="1" bestFit="1" customWidth="1"/>
    <col min="22" max="22" width="9.796875" style="1" customWidth="1"/>
    <col min="23" max="23" width="15" style="1" customWidth="1"/>
    <col min="24" max="24" width="13.5" style="1" customWidth="1"/>
    <col min="25" max="25" width="10.296875" style="1" customWidth="1"/>
    <col min="26" max="26" width="16.796875" style="1" customWidth="1"/>
    <col min="27" max="27" width="21.5" style="1" customWidth="1"/>
    <col min="28" max="28" width="20.296875" style="1" customWidth="1"/>
    <col min="29" max="29" width="11.69921875" style="1" customWidth="1"/>
    <col min="30" max="16384" width="9" style="1"/>
  </cols>
  <sheetData>
    <row r="1" spans="1:28" ht="66.75" customHeight="1" x14ac:dyDescent="0.25">
      <c r="A1" s="139" t="s">
        <v>667</v>
      </c>
      <c r="B1" s="139" t="s">
        <v>0</v>
      </c>
      <c r="C1" s="139" t="s">
        <v>740</v>
      </c>
      <c r="D1" s="139" t="s">
        <v>2</v>
      </c>
      <c r="E1" s="139" t="s">
        <v>756</v>
      </c>
      <c r="F1" s="139" t="s">
        <v>1154</v>
      </c>
      <c r="G1" s="139" t="s">
        <v>29</v>
      </c>
      <c r="H1" s="139" t="s">
        <v>28</v>
      </c>
      <c r="I1" s="139" t="s">
        <v>620</v>
      </c>
      <c r="J1" s="139" t="s">
        <v>621</v>
      </c>
      <c r="K1" s="139" t="s">
        <v>625</v>
      </c>
      <c r="L1" s="139" t="s">
        <v>754</v>
      </c>
      <c r="M1" s="139" t="s">
        <v>9</v>
      </c>
      <c r="N1" s="139" t="s">
        <v>682</v>
      </c>
      <c r="O1" s="139" t="s">
        <v>622</v>
      </c>
      <c r="P1" s="139" t="s">
        <v>12</v>
      </c>
      <c r="Q1" s="139" t="s">
        <v>396</v>
      </c>
      <c r="R1" s="139" t="s">
        <v>933</v>
      </c>
      <c r="S1" s="139" t="s">
        <v>372</v>
      </c>
      <c r="T1" s="139" t="s">
        <v>16</v>
      </c>
      <c r="U1" s="139" t="s">
        <v>23</v>
      </c>
      <c r="V1" s="139" t="s">
        <v>629</v>
      </c>
      <c r="W1" s="139" t="s">
        <v>789</v>
      </c>
      <c r="X1" s="139" t="s">
        <v>15</v>
      </c>
      <c r="Y1" s="139" t="s">
        <v>11</v>
      </c>
      <c r="Z1" s="139" t="s">
        <v>1162</v>
      </c>
      <c r="AA1" s="139" t="s">
        <v>19</v>
      </c>
      <c r="AB1" s="139" t="s">
        <v>30</v>
      </c>
    </row>
    <row r="2" spans="1:28" x14ac:dyDescent="0.25">
      <c r="A2" s="8">
        <v>13908</v>
      </c>
      <c r="B2" s="8">
        <v>13908</v>
      </c>
      <c r="C2" s="8" t="s">
        <v>2225</v>
      </c>
      <c r="D2" s="8">
        <v>512726712</v>
      </c>
      <c r="E2" s="8" t="s">
        <v>429</v>
      </c>
      <c r="F2" s="8" t="s">
        <v>2707</v>
      </c>
      <c r="G2" s="8">
        <v>11019773</v>
      </c>
      <c r="H2" s="8" t="s">
        <v>78</v>
      </c>
      <c r="I2" s="8" t="s">
        <v>53</v>
      </c>
      <c r="J2" s="8" t="s">
        <v>53</v>
      </c>
      <c r="K2" s="8" t="s">
        <v>974</v>
      </c>
      <c r="L2" s="8" t="s">
        <v>2227</v>
      </c>
      <c r="M2" s="8" t="s">
        <v>140</v>
      </c>
      <c r="N2" s="72">
        <v>46329</v>
      </c>
      <c r="O2" s="8" t="s">
        <v>62</v>
      </c>
      <c r="P2" s="72">
        <v>45657</v>
      </c>
      <c r="Q2" s="8" t="s">
        <v>1206</v>
      </c>
      <c r="R2" s="8" t="s">
        <v>102</v>
      </c>
      <c r="S2" s="8" t="s">
        <v>305</v>
      </c>
      <c r="T2" s="72">
        <v>46022</v>
      </c>
      <c r="U2" s="74">
        <v>1004.64</v>
      </c>
      <c r="V2" s="8">
        <v>1</v>
      </c>
      <c r="W2" s="74">
        <v>100000</v>
      </c>
      <c r="X2" s="74">
        <v>9.1847999999999992</v>
      </c>
      <c r="Y2" s="74">
        <v>1</v>
      </c>
      <c r="Z2" s="74">
        <v>9.1847999999999992</v>
      </c>
      <c r="AA2" s="68">
        <v>3.3055619415892214E-3</v>
      </c>
      <c r="AB2" s="68">
        <v>2.1313074382335849E-6</v>
      </c>
    </row>
    <row r="3" spans="1:28" x14ac:dyDescent="0.25">
      <c r="A3" s="8">
        <v>13908</v>
      </c>
      <c r="B3" s="8">
        <v>13908</v>
      </c>
      <c r="C3" s="8" t="s">
        <v>1449</v>
      </c>
      <c r="D3" s="8">
        <v>516046307</v>
      </c>
      <c r="E3" s="8" t="s">
        <v>429</v>
      </c>
      <c r="F3" s="8" t="s">
        <v>2708</v>
      </c>
      <c r="G3" s="8">
        <v>11019939</v>
      </c>
      <c r="H3" s="8" t="s">
        <v>78</v>
      </c>
      <c r="I3" s="8" t="s">
        <v>53</v>
      </c>
      <c r="J3" s="8" t="s">
        <v>53</v>
      </c>
      <c r="K3" s="8" t="s">
        <v>974</v>
      </c>
      <c r="L3" s="8" t="s">
        <v>2290</v>
      </c>
      <c r="M3" s="8" t="s">
        <v>647</v>
      </c>
      <c r="N3" s="72">
        <v>46747</v>
      </c>
      <c r="O3" s="8" t="s">
        <v>62</v>
      </c>
      <c r="P3" s="72">
        <v>45657</v>
      </c>
      <c r="Q3" s="8" t="s">
        <v>1206</v>
      </c>
      <c r="R3" s="8" t="s">
        <v>102</v>
      </c>
      <c r="S3" s="8" t="s">
        <v>305</v>
      </c>
      <c r="T3" s="72">
        <v>46022</v>
      </c>
      <c r="U3" s="74">
        <v>4560</v>
      </c>
      <c r="V3" s="8">
        <v>1</v>
      </c>
      <c r="W3" s="74">
        <v>52500</v>
      </c>
      <c r="X3" s="74">
        <v>1910.1293000000001</v>
      </c>
      <c r="Y3" s="74">
        <v>1</v>
      </c>
      <c r="Z3" s="74">
        <v>1002.8178799999999</v>
      </c>
      <c r="AA3" s="68">
        <v>0.36090896029017366</v>
      </c>
      <c r="AB3" s="68">
        <v>2.3270111562991404E-4</v>
      </c>
    </row>
    <row r="4" spans="1:28" x14ac:dyDescent="0.25">
      <c r="A4" s="8">
        <v>13908</v>
      </c>
      <c r="B4" s="8">
        <v>13908</v>
      </c>
      <c r="C4" s="8" t="s">
        <v>2322</v>
      </c>
      <c r="D4" s="8">
        <v>514160530</v>
      </c>
      <c r="E4" s="8" t="s">
        <v>429</v>
      </c>
      <c r="F4" s="8" t="s">
        <v>2709</v>
      </c>
      <c r="G4" s="8">
        <v>11022283</v>
      </c>
      <c r="H4" s="8" t="s">
        <v>78</v>
      </c>
      <c r="I4" s="8" t="s">
        <v>53</v>
      </c>
      <c r="J4" s="8" t="s">
        <v>53</v>
      </c>
      <c r="K4" s="8" t="s">
        <v>974</v>
      </c>
      <c r="L4" s="8" t="s">
        <v>2324</v>
      </c>
      <c r="M4" s="8" t="s">
        <v>263</v>
      </c>
      <c r="N4" s="72">
        <v>46947</v>
      </c>
      <c r="O4" s="8" t="s">
        <v>62</v>
      </c>
      <c r="P4" s="72">
        <v>45851</v>
      </c>
      <c r="Q4" s="8" t="s">
        <v>1206</v>
      </c>
      <c r="R4" s="8" t="s">
        <v>102</v>
      </c>
      <c r="S4" s="8" t="s">
        <v>305</v>
      </c>
      <c r="T4" s="72">
        <v>46022</v>
      </c>
      <c r="U4" s="74">
        <v>130</v>
      </c>
      <c r="V4" s="8">
        <v>1</v>
      </c>
      <c r="W4" s="74">
        <v>303100</v>
      </c>
      <c r="X4" s="74">
        <v>36.390799999999999</v>
      </c>
      <c r="Y4" s="74">
        <v>1</v>
      </c>
      <c r="Z4" s="74">
        <v>110.30051</v>
      </c>
      <c r="AA4" s="68">
        <v>3.9696582178586508E-2</v>
      </c>
      <c r="AB4" s="68">
        <v>2.5594928295004565E-5</v>
      </c>
    </row>
    <row r="5" spans="1:28" x14ac:dyDescent="0.25">
      <c r="A5" s="8">
        <v>13908</v>
      </c>
      <c r="B5" s="8">
        <v>13908</v>
      </c>
      <c r="C5" s="8" t="s">
        <v>1478</v>
      </c>
      <c r="D5" s="8">
        <v>511996803</v>
      </c>
      <c r="E5" s="8" t="s">
        <v>429</v>
      </c>
      <c r="F5" s="8" t="s">
        <v>2710</v>
      </c>
      <c r="G5" s="8">
        <v>11022448</v>
      </c>
      <c r="H5" s="8" t="s">
        <v>78</v>
      </c>
      <c r="I5" s="8" t="s">
        <v>53</v>
      </c>
      <c r="J5" s="8" t="s">
        <v>53</v>
      </c>
      <c r="K5" s="8" t="s">
        <v>974</v>
      </c>
      <c r="L5" s="8" t="s">
        <v>2332</v>
      </c>
      <c r="M5" s="8" t="s">
        <v>140</v>
      </c>
      <c r="N5" s="72">
        <v>46239</v>
      </c>
      <c r="O5" s="8" t="s">
        <v>62</v>
      </c>
      <c r="P5" s="72">
        <v>45698</v>
      </c>
      <c r="Q5" s="8" t="s">
        <v>1206</v>
      </c>
      <c r="R5" s="8" t="s">
        <v>102</v>
      </c>
      <c r="S5" s="8" t="s">
        <v>305</v>
      </c>
      <c r="T5" s="72">
        <v>46022</v>
      </c>
      <c r="U5" s="74">
        <v>7000</v>
      </c>
      <c r="V5" s="8">
        <v>1</v>
      </c>
      <c r="W5" s="74">
        <v>6000</v>
      </c>
      <c r="X5" s="74">
        <v>74.382599999999996</v>
      </c>
      <c r="Y5" s="74">
        <v>1</v>
      </c>
      <c r="Z5" s="74">
        <v>4.4629599999999998</v>
      </c>
      <c r="AA5" s="68">
        <v>1.6061961853099723E-3</v>
      </c>
      <c r="AB5" s="68">
        <v>1.0356175251000522E-6</v>
      </c>
    </row>
    <row r="6" spans="1:28" x14ac:dyDescent="0.25">
      <c r="A6" s="8">
        <v>13908</v>
      </c>
      <c r="B6" s="8">
        <v>13908</v>
      </c>
      <c r="C6" s="8" t="s">
        <v>2711</v>
      </c>
      <c r="D6" s="8">
        <v>516316775</v>
      </c>
      <c r="E6" s="8" t="s">
        <v>429</v>
      </c>
      <c r="F6" s="8" t="s">
        <v>2711</v>
      </c>
      <c r="G6" s="8">
        <v>11022462</v>
      </c>
      <c r="H6" s="8" t="s">
        <v>78</v>
      </c>
      <c r="I6" s="8" t="s">
        <v>53</v>
      </c>
      <c r="J6" s="8" t="s">
        <v>53</v>
      </c>
      <c r="K6" s="8" t="s">
        <v>974</v>
      </c>
      <c r="L6" s="141" t="s">
        <v>2853</v>
      </c>
      <c r="M6" s="8" t="s">
        <v>651</v>
      </c>
      <c r="N6" s="72">
        <v>47664</v>
      </c>
      <c r="O6" s="8" t="s">
        <v>62</v>
      </c>
      <c r="P6" s="72">
        <v>45746</v>
      </c>
      <c r="Q6" s="8" t="s">
        <v>1206</v>
      </c>
      <c r="R6" s="8" t="s">
        <v>102</v>
      </c>
      <c r="S6" s="8" t="s">
        <v>305</v>
      </c>
      <c r="T6" s="72">
        <v>46022</v>
      </c>
      <c r="U6" s="74">
        <v>10</v>
      </c>
      <c r="V6" s="8">
        <v>1</v>
      </c>
      <c r="W6" s="74">
        <v>310602.88</v>
      </c>
      <c r="X6" s="74">
        <v>100</v>
      </c>
      <c r="Y6" s="74">
        <v>1</v>
      </c>
      <c r="Z6" s="74">
        <v>310.60288000000003</v>
      </c>
      <c r="AA6" s="68">
        <v>0.11178436755030095</v>
      </c>
      <c r="AB6" s="68">
        <v>7.2074539291086751E-5</v>
      </c>
    </row>
    <row r="7" spans="1:28" x14ac:dyDescent="0.25">
      <c r="A7" s="8">
        <v>13908</v>
      </c>
      <c r="B7" s="8">
        <v>13908</v>
      </c>
      <c r="C7" s="8" t="s">
        <v>1484</v>
      </c>
      <c r="D7" s="8">
        <v>510488190</v>
      </c>
      <c r="E7" s="8" t="s">
        <v>429</v>
      </c>
      <c r="F7" s="8" t="s">
        <v>2712</v>
      </c>
      <c r="G7" s="8">
        <v>11022496</v>
      </c>
      <c r="H7" s="8" t="s">
        <v>78</v>
      </c>
      <c r="I7" s="8" t="s">
        <v>53</v>
      </c>
      <c r="J7" s="8" t="s">
        <v>53</v>
      </c>
      <c r="K7" s="8" t="s">
        <v>974</v>
      </c>
      <c r="L7" s="8" t="s">
        <v>2337</v>
      </c>
      <c r="M7" s="8" t="s">
        <v>140</v>
      </c>
      <c r="N7" s="72">
        <v>46202</v>
      </c>
      <c r="O7" s="8" t="s">
        <v>62</v>
      </c>
      <c r="P7" s="72">
        <v>45837</v>
      </c>
      <c r="Q7" s="8" t="s">
        <v>1206</v>
      </c>
      <c r="R7" s="8" t="s">
        <v>102</v>
      </c>
      <c r="S7" s="8" t="s">
        <v>305</v>
      </c>
      <c r="T7" s="72">
        <v>46022</v>
      </c>
      <c r="U7" s="74">
        <v>4000</v>
      </c>
      <c r="V7" s="8">
        <v>1</v>
      </c>
      <c r="W7" s="74">
        <v>4000</v>
      </c>
      <c r="X7" s="74">
        <v>392.56029999999998</v>
      </c>
      <c r="Y7" s="74">
        <v>1</v>
      </c>
      <c r="Z7" s="74">
        <v>15.70241</v>
      </c>
      <c r="AA7" s="68">
        <v>5.6512160185556585E-3</v>
      </c>
      <c r="AB7" s="68">
        <v>3.6437008134301702E-6</v>
      </c>
    </row>
    <row r="8" spans="1:28" x14ac:dyDescent="0.25">
      <c r="A8" s="8">
        <v>13908</v>
      </c>
      <c r="B8" s="8">
        <v>13908</v>
      </c>
      <c r="C8" s="8" t="s">
        <v>2713</v>
      </c>
      <c r="D8" s="8">
        <v>513754812</v>
      </c>
      <c r="E8" s="8" t="s">
        <v>429</v>
      </c>
      <c r="F8" s="8" t="s">
        <v>2713</v>
      </c>
      <c r="G8" s="8">
        <v>11022502</v>
      </c>
      <c r="H8" s="8" t="s">
        <v>78</v>
      </c>
      <c r="I8" s="8" t="s">
        <v>53</v>
      </c>
      <c r="J8" s="8" t="s">
        <v>53</v>
      </c>
      <c r="K8" s="8" t="s">
        <v>974</v>
      </c>
      <c r="L8" s="8" t="s">
        <v>2163</v>
      </c>
      <c r="M8" s="8" t="s">
        <v>259</v>
      </c>
      <c r="N8" s="72">
        <v>47309</v>
      </c>
      <c r="O8" s="8" t="s">
        <v>62</v>
      </c>
      <c r="P8" s="72">
        <v>45853</v>
      </c>
      <c r="Q8" s="8" t="s">
        <v>1206</v>
      </c>
      <c r="R8" s="8" t="s">
        <v>102</v>
      </c>
      <c r="S8" s="8" t="s">
        <v>305</v>
      </c>
      <c r="T8" s="72">
        <v>46022</v>
      </c>
      <c r="U8" s="74">
        <v>16000</v>
      </c>
      <c r="V8" s="8">
        <v>1</v>
      </c>
      <c r="W8" s="74">
        <v>2965</v>
      </c>
      <c r="X8" s="74">
        <v>1919.6062999999999</v>
      </c>
      <c r="Y8" s="74">
        <v>1</v>
      </c>
      <c r="Z8" s="74">
        <v>56.916330000000002</v>
      </c>
      <c r="AA8" s="68">
        <v>2.0483892333304252E-2</v>
      </c>
      <c r="AB8" s="68">
        <v>1.3207276966940743E-5</v>
      </c>
    </row>
    <row r="9" spans="1:28" x14ac:dyDescent="0.25">
      <c r="A9" s="8">
        <v>13908</v>
      </c>
      <c r="B9" s="8">
        <v>13908</v>
      </c>
      <c r="C9" s="8" t="s">
        <v>2213</v>
      </c>
      <c r="D9" s="8">
        <v>510216054</v>
      </c>
      <c r="E9" s="8" t="s">
        <v>429</v>
      </c>
      <c r="F9" s="8" t="s">
        <v>2714</v>
      </c>
      <c r="G9" s="8">
        <v>11022509</v>
      </c>
      <c r="H9" s="8" t="s">
        <v>78</v>
      </c>
      <c r="I9" s="8" t="s">
        <v>53</v>
      </c>
      <c r="J9" s="8" t="s">
        <v>53</v>
      </c>
      <c r="K9" s="8" t="s">
        <v>974</v>
      </c>
      <c r="L9" s="8" t="s">
        <v>2215</v>
      </c>
      <c r="M9" s="8" t="s">
        <v>156</v>
      </c>
      <c r="N9" s="72">
        <v>46053</v>
      </c>
      <c r="O9" s="8" t="s">
        <v>62</v>
      </c>
      <c r="P9" s="72">
        <v>45866</v>
      </c>
      <c r="Q9" s="8" t="s">
        <v>1206</v>
      </c>
      <c r="R9" s="8" t="s">
        <v>102</v>
      </c>
      <c r="S9" s="8" t="s">
        <v>305</v>
      </c>
      <c r="T9" s="72">
        <v>46022</v>
      </c>
      <c r="U9" s="74">
        <v>67000</v>
      </c>
      <c r="V9" s="8">
        <v>0.111</v>
      </c>
      <c r="W9" s="74">
        <v>3132</v>
      </c>
      <c r="X9" s="74">
        <v>5308.6918999999998</v>
      </c>
      <c r="Y9" s="74">
        <v>1</v>
      </c>
      <c r="Z9" s="74">
        <v>166.26822999999999</v>
      </c>
      <c r="AA9" s="68">
        <v>5.9839074686808998E-2</v>
      </c>
      <c r="AB9" s="68">
        <v>3.8582082934950402E-5</v>
      </c>
    </row>
    <row r="10" spans="1:28" x14ac:dyDescent="0.25">
      <c r="A10" s="8">
        <v>13908</v>
      </c>
      <c r="B10" s="8">
        <v>13908</v>
      </c>
      <c r="C10" s="8" t="s">
        <v>2272</v>
      </c>
      <c r="D10" s="8">
        <v>515846558</v>
      </c>
      <c r="E10" s="8" t="s">
        <v>429</v>
      </c>
      <c r="F10" s="8" t="s">
        <v>2715</v>
      </c>
      <c r="G10" s="8">
        <v>11022534</v>
      </c>
      <c r="H10" s="8" t="s">
        <v>78</v>
      </c>
      <c r="I10" s="8" t="s">
        <v>53</v>
      </c>
      <c r="J10" s="8" t="s">
        <v>53</v>
      </c>
      <c r="K10" s="8" t="s">
        <v>974</v>
      </c>
      <c r="L10" s="8" t="s">
        <v>2274</v>
      </c>
      <c r="M10" s="8" t="s">
        <v>708</v>
      </c>
      <c r="N10" s="72">
        <v>47141</v>
      </c>
      <c r="O10" s="8" t="s">
        <v>62</v>
      </c>
      <c r="P10" s="72">
        <v>45953</v>
      </c>
      <c r="Q10" s="8" t="s">
        <v>1206</v>
      </c>
      <c r="R10" s="8" t="s">
        <v>102</v>
      </c>
      <c r="S10" s="8" t="s">
        <v>305</v>
      </c>
      <c r="T10" s="72">
        <v>46022</v>
      </c>
      <c r="U10" s="74">
        <v>140</v>
      </c>
      <c r="V10" s="8">
        <v>1</v>
      </c>
      <c r="W10" s="74">
        <v>2000000</v>
      </c>
      <c r="X10" s="74">
        <v>34.517800000000001</v>
      </c>
      <c r="Y10" s="74">
        <v>1</v>
      </c>
      <c r="Z10" s="74">
        <v>690.35599999999999</v>
      </c>
      <c r="AA10" s="68">
        <v>0.24845554826972485</v>
      </c>
      <c r="AB10" s="68">
        <v>1.6019520053013508E-4</v>
      </c>
    </row>
    <row r="11" spans="1:28" x14ac:dyDescent="0.25">
      <c r="A11" s="8">
        <v>13908</v>
      </c>
      <c r="B11" s="8">
        <v>13908</v>
      </c>
      <c r="C11" s="8" t="s">
        <v>1502</v>
      </c>
      <c r="D11" s="8">
        <v>520020116</v>
      </c>
      <c r="E11" s="8" t="s">
        <v>429</v>
      </c>
      <c r="F11" s="8" t="s">
        <v>2716</v>
      </c>
      <c r="G11" s="8">
        <v>11022539</v>
      </c>
      <c r="H11" s="8" t="s">
        <v>78</v>
      </c>
      <c r="I11" s="8" t="s">
        <v>53</v>
      </c>
      <c r="J11" s="8" t="s">
        <v>53</v>
      </c>
      <c r="K11" s="8" t="s">
        <v>974</v>
      </c>
      <c r="L11" s="8" t="s">
        <v>2717</v>
      </c>
      <c r="M11" s="8" t="s">
        <v>85</v>
      </c>
      <c r="N11" s="72">
        <v>46508</v>
      </c>
      <c r="O11" s="8" t="s">
        <v>62</v>
      </c>
      <c r="P11" s="72">
        <v>45970</v>
      </c>
      <c r="Q11" s="8" t="s">
        <v>1206</v>
      </c>
      <c r="R11" s="8" t="s">
        <v>102</v>
      </c>
      <c r="S11" s="8" t="s">
        <v>305</v>
      </c>
      <c r="T11" s="72">
        <v>46022</v>
      </c>
      <c r="U11" s="74">
        <v>5000</v>
      </c>
      <c r="V11" s="8">
        <v>1</v>
      </c>
      <c r="W11" s="74">
        <v>22500</v>
      </c>
      <c r="X11" s="74">
        <v>408.57299999999998</v>
      </c>
      <c r="Y11" s="74">
        <v>1</v>
      </c>
      <c r="Z11" s="74">
        <v>91.928920000000005</v>
      </c>
      <c r="AA11" s="68">
        <v>3.3084742104716514E-2</v>
      </c>
      <c r="AB11" s="68">
        <v>2.1331851644541001E-5</v>
      </c>
    </row>
    <row r="12" spans="1:28" x14ac:dyDescent="0.25">
      <c r="A12" s="8">
        <v>13908</v>
      </c>
      <c r="B12" s="8">
        <v>13908</v>
      </c>
      <c r="C12" s="8" t="s">
        <v>2718</v>
      </c>
      <c r="D12" s="8">
        <v>70390929</v>
      </c>
      <c r="E12" s="8" t="s">
        <v>783</v>
      </c>
      <c r="F12" s="8" t="s">
        <v>2718</v>
      </c>
      <c r="G12" s="8">
        <v>11019990</v>
      </c>
      <c r="H12" s="8" t="s">
        <v>78</v>
      </c>
      <c r="I12" s="8" t="s">
        <v>61</v>
      </c>
      <c r="J12" s="8" t="s">
        <v>314</v>
      </c>
      <c r="K12" s="8" t="s">
        <v>974</v>
      </c>
      <c r="L12" s="8" t="s">
        <v>2719</v>
      </c>
      <c r="M12" s="8" t="s">
        <v>910</v>
      </c>
      <c r="N12" s="72">
        <v>47788</v>
      </c>
      <c r="O12" s="8" t="s">
        <v>62</v>
      </c>
      <c r="P12" s="72">
        <v>45657</v>
      </c>
      <c r="Q12" s="8" t="s">
        <v>1207</v>
      </c>
      <c r="R12" s="8" t="s">
        <v>102</v>
      </c>
      <c r="S12" s="8" t="s">
        <v>305</v>
      </c>
      <c r="T12" s="72">
        <v>46022</v>
      </c>
      <c r="U12" s="74">
        <v>1E-3</v>
      </c>
      <c r="V12" s="8">
        <v>1</v>
      </c>
      <c r="W12" s="74">
        <v>82236.67</v>
      </c>
      <c r="X12" s="74">
        <v>122</v>
      </c>
      <c r="Y12" s="74">
        <v>3.19</v>
      </c>
      <c r="Z12" s="74">
        <v>320.04867000000002</v>
      </c>
      <c r="AA12" s="68">
        <v>0.11518385844092938</v>
      </c>
      <c r="AB12" s="68">
        <v>7.4266408737018336E-5</v>
      </c>
    </row>
    <row r="13" spans="1:2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25">
      <c r="E20" s="8"/>
      <c r="H20" s="8"/>
      <c r="I20" s="8"/>
      <c r="J20" s="8"/>
      <c r="K20" s="8"/>
      <c r="M20" s="8"/>
      <c r="O20" s="8"/>
      <c r="S20" s="8"/>
    </row>
    <row r="10000" spans="52:52" x14ac:dyDescent="0.25">
      <c r="AZ10000" s="1">
        <v>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40" zoomScaleNormal="40" workbookViewId="0"/>
  </sheetViews>
  <sheetFormatPr defaultColWidth="9" defaultRowHeight="13.8" x14ac:dyDescent="0.25"/>
  <cols>
    <col min="1" max="29" width="11.69921875" style="1" customWidth="1"/>
    <col min="30" max="16384" width="9" style="1"/>
  </cols>
  <sheetData>
    <row r="1" spans="1:28" ht="66.75" customHeight="1" x14ac:dyDescent="0.25">
      <c r="A1" s="9" t="s">
        <v>667</v>
      </c>
      <c r="B1" s="9" t="s">
        <v>0</v>
      </c>
      <c r="C1" s="9" t="s">
        <v>740</v>
      </c>
      <c r="D1" s="9" t="s">
        <v>2</v>
      </c>
      <c r="E1" s="9" t="s">
        <v>756</v>
      </c>
      <c r="F1" s="9" t="s">
        <v>1154</v>
      </c>
      <c r="G1" s="9" t="s">
        <v>29</v>
      </c>
      <c r="H1" s="9" t="s">
        <v>28</v>
      </c>
      <c r="I1" s="9" t="s">
        <v>1</v>
      </c>
      <c r="J1" s="9" t="s">
        <v>620</v>
      </c>
      <c r="K1" s="9" t="s">
        <v>621</v>
      </c>
      <c r="L1" s="9" t="s">
        <v>9</v>
      </c>
      <c r="M1" s="9" t="s">
        <v>10</v>
      </c>
      <c r="N1" s="9" t="s">
        <v>682</v>
      </c>
      <c r="O1" s="9" t="s">
        <v>622</v>
      </c>
      <c r="P1" s="9" t="s">
        <v>12</v>
      </c>
      <c r="Q1" s="9" t="s">
        <v>396</v>
      </c>
      <c r="R1" s="9" t="s">
        <v>933</v>
      </c>
      <c r="S1" s="9" t="s">
        <v>372</v>
      </c>
      <c r="T1" s="9" t="s">
        <v>16</v>
      </c>
      <c r="U1" s="9" t="s">
        <v>23</v>
      </c>
      <c r="V1" s="9" t="s">
        <v>629</v>
      </c>
      <c r="W1" s="9" t="s">
        <v>789</v>
      </c>
      <c r="X1" s="9" t="s">
        <v>15</v>
      </c>
      <c r="Y1" s="9" t="s">
        <v>11</v>
      </c>
      <c r="Z1" s="9" t="s">
        <v>787</v>
      </c>
      <c r="AA1" s="9" t="s">
        <v>19</v>
      </c>
      <c r="AB1" s="9" t="s">
        <v>30</v>
      </c>
    </row>
    <row r="2" spans="1:28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25">
      <c r="E20" s="8"/>
      <c r="H20" s="8"/>
      <c r="I20" s="8"/>
      <c r="J20" s="8"/>
      <c r="K20" s="8"/>
      <c r="L20" s="8"/>
      <c r="M20" s="8"/>
      <c r="O20" s="8"/>
      <c r="R20" s="8"/>
      <c r="S2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Z10000"/>
  <sheetViews>
    <sheetView rightToLeft="1" zoomScale="25" zoomScaleNormal="25" workbookViewId="0">
      <selection activeCell="A2" sqref="A2:AO10"/>
    </sheetView>
  </sheetViews>
  <sheetFormatPr defaultColWidth="9" defaultRowHeight="13.8" x14ac:dyDescent="0.25"/>
  <cols>
    <col min="1" max="1" width="26.3984375" style="1" customWidth="1"/>
    <col min="2" max="2" width="11.19921875" style="1" customWidth="1"/>
    <col min="3" max="3" width="34.796875" style="1" bestFit="1" customWidth="1"/>
    <col min="4" max="4" width="15.796875" style="1" bestFit="1" customWidth="1"/>
    <col min="5" max="5" width="16.796875" style="1" customWidth="1"/>
    <col min="6" max="6" width="10" style="1" customWidth="1"/>
    <col min="7" max="7" width="15" style="1" bestFit="1" customWidth="1"/>
    <col min="8" max="8" width="22.796875" style="1" customWidth="1"/>
    <col min="9" max="9" width="24.796875" style="1" customWidth="1"/>
    <col min="10" max="10" width="23.59765625" style="1" customWidth="1"/>
    <col min="11" max="11" width="16" style="1" bestFit="1" customWidth="1"/>
    <col min="12" max="12" width="16.796875" style="1" customWidth="1"/>
    <col min="13" max="13" width="10.796875" style="1" customWidth="1"/>
    <col min="14" max="14" width="15.3984375" style="1" bestFit="1" customWidth="1"/>
    <col min="15" max="15" width="22.796875" style="1" customWidth="1"/>
    <col min="16" max="16" width="21.59765625" style="1" customWidth="1"/>
    <col min="17" max="17" width="23.59765625" style="1" customWidth="1"/>
    <col min="18" max="18" width="19.59765625" style="1" customWidth="1"/>
    <col min="19" max="19" width="10.3984375" style="1" customWidth="1"/>
    <col min="20" max="20" width="19.19921875" style="1" customWidth="1"/>
    <col min="21" max="21" width="10.59765625" style="1" bestFit="1" customWidth="1"/>
    <col min="22" max="22" width="11.19921875" style="1" customWidth="1"/>
    <col min="23" max="23" width="10.3984375" style="1" customWidth="1"/>
    <col min="24" max="24" width="8.3984375" style="1" bestFit="1" customWidth="1"/>
    <col min="25" max="25" width="14.3984375" style="1" customWidth="1"/>
    <col min="26" max="26" width="18.3984375" style="1" customWidth="1"/>
    <col min="27" max="27" width="12" style="1" customWidth="1"/>
    <col min="28" max="28" width="12.3984375" style="1" customWidth="1"/>
    <col min="29" max="29" width="11.3984375" style="1" bestFit="1" customWidth="1"/>
    <col min="30" max="30" width="24.796875" style="1" customWidth="1"/>
    <col min="31" max="31" width="10.796875" style="1" customWidth="1"/>
    <col min="32" max="32" width="9.59765625" style="1" customWidth="1"/>
    <col min="33" max="33" width="14.3984375" style="1" customWidth="1"/>
    <col min="34" max="34" width="13.59765625" style="1" customWidth="1"/>
    <col min="35" max="35" width="29.19921875" style="1" customWidth="1"/>
    <col min="36" max="36" width="26.796875" style="1" customWidth="1"/>
    <col min="37" max="37" width="23.59765625" style="1" customWidth="1"/>
    <col min="38" max="38" width="22.796875" style="1" customWidth="1"/>
    <col min="39" max="39" width="18.3984375" style="1" customWidth="1"/>
    <col min="40" max="40" width="20" style="1" customWidth="1"/>
    <col min="41" max="41" width="18.796875" style="1" customWidth="1"/>
    <col min="42" max="16384" width="9" style="1"/>
  </cols>
  <sheetData>
    <row r="1" spans="1:41" ht="66.75" customHeight="1" x14ac:dyDescent="0.25">
      <c r="A1" s="139" t="s">
        <v>667</v>
      </c>
      <c r="B1" s="139" t="s">
        <v>0</v>
      </c>
      <c r="C1" s="139" t="s">
        <v>1</v>
      </c>
      <c r="D1" s="139" t="s">
        <v>418</v>
      </c>
      <c r="E1" s="139" t="s">
        <v>814</v>
      </c>
      <c r="F1" s="139" t="s">
        <v>11</v>
      </c>
      <c r="G1" s="139" t="s">
        <v>326</v>
      </c>
      <c r="H1" s="139" t="s">
        <v>330</v>
      </c>
      <c r="I1" s="139" t="s">
        <v>328</v>
      </c>
      <c r="J1" s="139" t="s">
        <v>329</v>
      </c>
      <c r="K1" s="139" t="s">
        <v>419</v>
      </c>
      <c r="L1" s="139" t="s">
        <v>815</v>
      </c>
      <c r="M1" s="139" t="s">
        <v>2854</v>
      </c>
      <c r="N1" s="139" t="s">
        <v>327</v>
      </c>
      <c r="O1" s="139" t="s">
        <v>331</v>
      </c>
      <c r="P1" s="139" t="s">
        <v>959</v>
      </c>
      <c r="Q1" s="139" t="s">
        <v>348</v>
      </c>
      <c r="R1" s="139" t="s">
        <v>1164</v>
      </c>
      <c r="S1" s="139" t="s">
        <v>620</v>
      </c>
      <c r="T1" s="139" t="s">
        <v>621</v>
      </c>
      <c r="U1" s="139" t="s">
        <v>464</v>
      </c>
      <c r="V1" s="139" t="s">
        <v>343</v>
      </c>
      <c r="W1" s="139" t="s">
        <v>463</v>
      </c>
      <c r="X1" s="139" t="s">
        <v>99</v>
      </c>
      <c r="Y1" s="139" t="s">
        <v>622</v>
      </c>
      <c r="Z1" s="139" t="s">
        <v>365</v>
      </c>
      <c r="AA1" s="139" t="s">
        <v>366</v>
      </c>
      <c r="AB1" s="139" t="s">
        <v>628</v>
      </c>
      <c r="AC1" s="139" t="s">
        <v>308</v>
      </c>
      <c r="AD1" s="139" t="s">
        <v>368</v>
      </c>
      <c r="AE1" s="139" t="s">
        <v>753</v>
      </c>
      <c r="AF1" s="139" t="s">
        <v>309</v>
      </c>
      <c r="AG1" s="139" t="s">
        <v>310</v>
      </c>
      <c r="AH1" s="139" t="s">
        <v>349</v>
      </c>
      <c r="AI1" s="139" t="s">
        <v>367</v>
      </c>
      <c r="AJ1" s="139" t="s">
        <v>633</v>
      </c>
      <c r="AK1" s="139" t="s">
        <v>364</v>
      </c>
      <c r="AL1" s="139" t="s">
        <v>458</v>
      </c>
      <c r="AM1" s="139" t="s">
        <v>436</v>
      </c>
      <c r="AN1" s="139" t="s">
        <v>19</v>
      </c>
      <c r="AO1" s="139" t="s">
        <v>30</v>
      </c>
    </row>
    <row r="2" spans="1:41" x14ac:dyDescent="0.25">
      <c r="A2" s="26">
        <v>13908</v>
      </c>
      <c r="B2" s="26">
        <v>13908</v>
      </c>
      <c r="C2" s="26" t="s">
        <v>399</v>
      </c>
      <c r="D2" s="26" t="s">
        <v>2720</v>
      </c>
      <c r="E2" s="26" t="s">
        <v>1207</v>
      </c>
      <c r="F2" s="96">
        <v>3.69</v>
      </c>
      <c r="G2" s="96">
        <v>-38970</v>
      </c>
      <c r="H2" s="96">
        <v>-3149.6554764890302</v>
      </c>
      <c r="I2" s="68">
        <v>0.10410148192021908</v>
      </c>
      <c r="J2" s="101">
        <v>-2.6969060289536474E-3</v>
      </c>
      <c r="K2" s="1" t="s">
        <v>2721</v>
      </c>
      <c r="L2" s="26" t="s">
        <v>1207</v>
      </c>
      <c r="M2" s="67">
        <v>3.69</v>
      </c>
      <c r="N2" s="67">
        <v>38970</v>
      </c>
      <c r="O2" s="67">
        <v>3142.1511003134801</v>
      </c>
      <c r="P2" s="101">
        <v>2.6904803746233717E-3</v>
      </c>
      <c r="Q2" s="68">
        <v>3.1827380409945163E-2</v>
      </c>
      <c r="R2" s="96">
        <v>-23.938960000000002</v>
      </c>
      <c r="S2" s="1" t="s">
        <v>53</v>
      </c>
      <c r="T2" s="8" t="s">
        <v>314</v>
      </c>
      <c r="U2" s="26" t="s">
        <v>382</v>
      </c>
      <c r="V2" s="26" t="s">
        <v>102</v>
      </c>
      <c r="W2" s="1" t="s">
        <v>705</v>
      </c>
      <c r="X2" s="26" t="s">
        <v>2722</v>
      </c>
      <c r="Y2" s="26" t="s">
        <v>62</v>
      </c>
      <c r="Z2" s="102">
        <v>45762</v>
      </c>
      <c r="AA2" s="102">
        <v>46122</v>
      </c>
      <c r="AB2" s="26" t="s">
        <v>359</v>
      </c>
      <c r="AC2" s="26" t="s">
        <v>370</v>
      </c>
      <c r="AD2" s="26" t="s">
        <v>62</v>
      </c>
      <c r="AE2" s="26" t="s">
        <v>341</v>
      </c>
      <c r="AF2" s="26" t="s">
        <v>325</v>
      </c>
      <c r="AG2" s="26" t="s">
        <v>359</v>
      </c>
      <c r="AH2" s="140" t="s">
        <v>2853</v>
      </c>
      <c r="AI2" s="96">
        <v>7733</v>
      </c>
      <c r="AJ2" s="140" t="s">
        <v>2853</v>
      </c>
      <c r="AK2" s="143" t="s">
        <v>2853</v>
      </c>
      <c r="AL2" s="140" t="s">
        <v>2853</v>
      </c>
      <c r="AM2" s="1" t="s">
        <v>2723</v>
      </c>
      <c r="AN2" s="68">
        <v>-4.6459307350519424E-3</v>
      </c>
      <c r="AO2" s="68">
        <v>-5.554969461673228E-6</v>
      </c>
    </row>
    <row r="3" spans="1:41" x14ac:dyDescent="0.25">
      <c r="A3" s="26">
        <v>13908</v>
      </c>
      <c r="B3" s="26">
        <v>13908</v>
      </c>
      <c r="C3" s="26" t="s">
        <v>352</v>
      </c>
      <c r="D3" s="26">
        <v>502295</v>
      </c>
      <c r="E3" s="26" t="s">
        <v>1207</v>
      </c>
      <c r="F3" s="96">
        <v>3.6469999999999998</v>
      </c>
      <c r="G3" s="96">
        <v>-2760000</v>
      </c>
      <c r="H3" s="96">
        <v>-3034.5490532915401</v>
      </c>
      <c r="I3" s="68">
        <v>1.0029701840000001E-3</v>
      </c>
      <c r="J3" s="101">
        <v>-2.5680668349681154E-3</v>
      </c>
      <c r="K3" s="1">
        <v>502295</v>
      </c>
      <c r="L3" s="26" t="s">
        <v>1206</v>
      </c>
      <c r="M3" s="67">
        <v>1</v>
      </c>
      <c r="N3" s="67">
        <v>10065720</v>
      </c>
      <c r="O3" s="67">
        <v>10065.719999999999</v>
      </c>
      <c r="P3" s="101">
        <v>2.3357224879340388E-3</v>
      </c>
      <c r="Q3" s="68">
        <v>0.10195738184202267</v>
      </c>
      <c r="R3" s="96">
        <v>385.50851999999998</v>
      </c>
      <c r="S3" s="1" t="s">
        <v>53</v>
      </c>
      <c r="T3" s="8" t="s">
        <v>53</v>
      </c>
      <c r="U3" s="26" t="s">
        <v>72</v>
      </c>
      <c r="V3" s="26" t="s">
        <v>102</v>
      </c>
      <c r="W3" s="1" t="s">
        <v>707</v>
      </c>
      <c r="X3" s="26" t="s">
        <v>2724</v>
      </c>
      <c r="Y3" s="26" t="s">
        <v>62</v>
      </c>
      <c r="Z3" s="102">
        <v>45657</v>
      </c>
      <c r="AA3" s="102">
        <v>47083</v>
      </c>
      <c r="AB3" s="26" t="s">
        <v>362</v>
      </c>
      <c r="AC3" s="26" t="s">
        <v>363</v>
      </c>
      <c r="AD3" s="26" t="s">
        <v>62</v>
      </c>
      <c r="AE3" s="26" t="s">
        <v>341</v>
      </c>
      <c r="AF3" s="26" t="s">
        <v>362</v>
      </c>
      <c r="AG3" s="26" t="s">
        <v>362</v>
      </c>
      <c r="AH3" s="140" t="s">
        <v>2853</v>
      </c>
      <c r="AI3" s="1">
        <v>3.6469999999999998</v>
      </c>
      <c r="AJ3" s="140" t="s">
        <v>2853</v>
      </c>
      <c r="AK3" s="143" t="s">
        <v>2853</v>
      </c>
      <c r="AL3" s="140" t="s">
        <v>2853</v>
      </c>
      <c r="AM3" s="1" t="s">
        <v>2723</v>
      </c>
      <c r="AN3" s="68">
        <v>7.4817196807730413E-2</v>
      </c>
      <c r="AO3" s="68">
        <v>8.9456185891736417E-5</v>
      </c>
    </row>
    <row r="4" spans="1:41" x14ac:dyDescent="0.25">
      <c r="A4" s="26">
        <v>13908</v>
      </c>
      <c r="B4" s="26">
        <v>13908</v>
      </c>
      <c r="C4" s="26" t="s">
        <v>352</v>
      </c>
      <c r="D4" s="26">
        <v>502296</v>
      </c>
      <c r="E4" s="26" t="s">
        <v>1212</v>
      </c>
      <c r="F4" s="96">
        <v>3.7964000000000002</v>
      </c>
      <c r="G4" s="96">
        <v>-2370000</v>
      </c>
      <c r="H4" s="96">
        <v>-2282.8848618341999</v>
      </c>
      <c r="I4" s="68">
        <v>7.5453235700000002E-4</v>
      </c>
      <c r="J4" s="101">
        <v>-2.0110939969459037E-3</v>
      </c>
      <c r="K4" s="1">
        <v>502296</v>
      </c>
      <c r="L4" s="26" t="s">
        <v>1206</v>
      </c>
      <c r="M4" s="67">
        <v>1</v>
      </c>
      <c r="N4" s="67">
        <v>8997468</v>
      </c>
      <c r="O4" s="67">
        <v>8997.4680000000008</v>
      </c>
      <c r="P4" s="101">
        <v>2.0878375657247474E-3</v>
      </c>
      <c r="Q4" s="68">
        <v>9.113687649640366E-2</v>
      </c>
      <c r="R4" s="96">
        <v>446.92275000000001</v>
      </c>
      <c r="S4" s="1" t="s">
        <v>53</v>
      </c>
      <c r="T4" s="8" t="s">
        <v>53</v>
      </c>
      <c r="U4" s="26" t="s">
        <v>72</v>
      </c>
      <c r="V4" s="26" t="s">
        <v>102</v>
      </c>
      <c r="W4" s="1" t="s">
        <v>707</v>
      </c>
      <c r="X4" s="26" t="s">
        <v>2725</v>
      </c>
      <c r="Y4" s="26" t="s">
        <v>62</v>
      </c>
      <c r="Z4" s="102">
        <v>45657</v>
      </c>
      <c r="AA4" s="102">
        <v>47083</v>
      </c>
      <c r="AB4" s="26" t="s">
        <v>362</v>
      </c>
      <c r="AC4" s="26" t="s">
        <v>363</v>
      </c>
      <c r="AD4" s="26" t="s">
        <v>62</v>
      </c>
      <c r="AE4" s="26" t="s">
        <v>341</v>
      </c>
      <c r="AF4" s="26" t="s">
        <v>362</v>
      </c>
      <c r="AG4" s="26" t="s">
        <v>362</v>
      </c>
      <c r="AH4" s="140" t="s">
        <v>2853</v>
      </c>
      <c r="AI4" s="1">
        <v>3.7963999999999998</v>
      </c>
      <c r="AJ4" s="140" t="s">
        <v>2853</v>
      </c>
      <c r="AK4" s="143" t="s">
        <v>2853</v>
      </c>
      <c r="AL4" s="140" t="s">
        <v>2853</v>
      </c>
      <c r="AM4" s="1" t="s">
        <v>2723</v>
      </c>
      <c r="AN4" s="68">
        <v>8.673610467701752E-2</v>
      </c>
      <c r="AO4" s="68">
        <v>1.0370718811414609E-4</v>
      </c>
    </row>
    <row r="5" spans="1:41" x14ac:dyDescent="0.25">
      <c r="A5" s="26">
        <v>13908</v>
      </c>
      <c r="B5" s="26">
        <v>13908</v>
      </c>
      <c r="C5" s="26" t="s">
        <v>352</v>
      </c>
      <c r="D5" s="26">
        <v>903776</v>
      </c>
      <c r="E5" s="26" t="s">
        <v>1207</v>
      </c>
      <c r="F5" s="96">
        <v>3.3660000000000001</v>
      </c>
      <c r="G5" s="96">
        <v>-2800000</v>
      </c>
      <c r="H5" s="96">
        <v>-2815.5369090909098</v>
      </c>
      <c r="I5" s="68">
        <v>9.3058293700000005E-4</v>
      </c>
      <c r="J5" s="101">
        <v>-2.1991342034611266E-3</v>
      </c>
      <c r="K5" s="1">
        <v>903776</v>
      </c>
      <c r="L5" s="26" t="s">
        <v>1206</v>
      </c>
      <c r="M5" s="67">
        <v>1</v>
      </c>
      <c r="N5" s="67">
        <v>9424800</v>
      </c>
      <c r="O5" s="67">
        <v>9424.7999999999993</v>
      </c>
      <c r="P5" s="101">
        <v>2.1869987744821758E-3</v>
      </c>
      <c r="Q5" s="68">
        <v>9.5465394664732903E-2</v>
      </c>
      <c r="R5" s="96">
        <v>443.23725999999999</v>
      </c>
      <c r="S5" s="1" t="s">
        <v>53</v>
      </c>
      <c r="T5" s="8" t="s">
        <v>53</v>
      </c>
      <c r="U5" s="26" t="s">
        <v>72</v>
      </c>
      <c r="V5" s="26" t="s">
        <v>102</v>
      </c>
      <c r="W5" s="1" t="s">
        <v>707</v>
      </c>
      <c r="X5" s="26" t="s">
        <v>2724</v>
      </c>
      <c r="Y5" s="26" t="s">
        <v>62</v>
      </c>
      <c r="Z5" s="102">
        <v>45868</v>
      </c>
      <c r="AA5" s="102">
        <v>46233</v>
      </c>
      <c r="AB5" s="26" t="s">
        <v>362</v>
      </c>
      <c r="AC5" s="26" t="s">
        <v>363</v>
      </c>
      <c r="AD5" s="26" t="s">
        <v>62</v>
      </c>
      <c r="AE5" s="26" t="s">
        <v>341</v>
      </c>
      <c r="AF5" s="26" t="s">
        <v>362</v>
      </c>
      <c r="AG5" s="26" t="s">
        <v>362</v>
      </c>
      <c r="AH5" s="140" t="s">
        <v>2853</v>
      </c>
      <c r="AI5" s="1">
        <v>3.3660000000000001</v>
      </c>
      <c r="AJ5" s="140" t="s">
        <v>2853</v>
      </c>
      <c r="AK5" s="143" t="s">
        <v>2853</v>
      </c>
      <c r="AL5" s="140" t="s">
        <v>2853</v>
      </c>
      <c r="AM5" s="1" t="s">
        <v>2726</v>
      </c>
      <c r="AN5" s="68">
        <v>8.6020846734954595E-2</v>
      </c>
      <c r="AO5" s="68">
        <v>1.02851980352351E-4</v>
      </c>
    </row>
    <row r="6" spans="1:41" x14ac:dyDescent="0.25">
      <c r="A6" s="26">
        <v>13908</v>
      </c>
      <c r="B6" s="26">
        <v>13908</v>
      </c>
      <c r="C6" s="26" t="s">
        <v>352</v>
      </c>
      <c r="D6" s="26">
        <v>903784</v>
      </c>
      <c r="E6" s="26" t="s">
        <v>1212</v>
      </c>
      <c r="F6" s="96">
        <v>3.8824999999999998</v>
      </c>
      <c r="G6" s="96">
        <v>-2400000</v>
      </c>
      <c r="H6" s="96">
        <v>-2384.68416766787</v>
      </c>
      <c r="I6" s="68">
        <v>7.8817876300000004E-4</v>
      </c>
      <c r="J6" s="101">
        <v>-2.148417738305456E-3</v>
      </c>
      <c r="K6" s="1">
        <v>903784</v>
      </c>
      <c r="L6" s="26" t="s">
        <v>1206</v>
      </c>
      <c r="M6" s="67">
        <v>1</v>
      </c>
      <c r="N6" s="67">
        <v>9318000</v>
      </c>
      <c r="O6" s="67">
        <v>9318</v>
      </c>
      <c r="P6" s="101">
        <v>2.1622161298515529E-3</v>
      </c>
      <c r="Q6" s="68">
        <v>9.4383599385236952E-2</v>
      </c>
      <c r="R6" s="96">
        <v>386.16545000000002</v>
      </c>
      <c r="S6" s="1" t="s">
        <v>53</v>
      </c>
      <c r="T6" s="8" t="s">
        <v>53</v>
      </c>
      <c r="U6" s="26" t="s">
        <v>72</v>
      </c>
      <c r="V6" s="26" t="s">
        <v>102</v>
      </c>
      <c r="W6" s="1" t="s">
        <v>707</v>
      </c>
      <c r="X6" s="26" t="s">
        <v>2725</v>
      </c>
      <c r="Y6" s="26" t="s">
        <v>62</v>
      </c>
      <c r="Z6" s="102">
        <v>45868</v>
      </c>
      <c r="AA6" s="102">
        <v>46233</v>
      </c>
      <c r="AB6" s="26" t="s">
        <v>362</v>
      </c>
      <c r="AC6" s="26" t="s">
        <v>363</v>
      </c>
      <c r="AD6" s="26" t="s">
        <v>62</v>
      </c>
      <c r="AE6" s="26" t="s">
        <v>341</v>
      </c>
      <c r="AF6" s="26" t="s">
        <v>362</v>
      </c>
      <c r="AG6" s="26" t="s">
        <v>362</v>
      </c>
      <c r="AH6" s="140" t="s">
        <v>2853</v>
      </c>
      <c r="AI6" s="1">
        <v>3.8824999999999998</v>
      </c>
      <c r="AJ6" s="140" t="s">
        <v>2853</v>
      </c>
      <c r="AK6" s="143" t="s">
        <v>2853</v>
      </c>
      <c r="AL6" s="140" t="s">
        <v>2853</v>
      </c>
      <c r="AM6" s="1" t="s">
        <v>2726</v>
      </c>
      <c r="AN6" s="68">
        <v>7.4944689868321937E-2</v>
      </c>
      <c r="AO6" s="68">
        <v>8.9608624681410549E-5</v>
      </c>
    </row>
    <row r="7" spans="1:41" x14ac:dyDescent="0.25">
      <c r="A7" s="26">
        <v>13908</v>
      </c>
      <c r="B7" s="26">
        <v>13908</v>
      </c>
      <c r="C7" s="26" t="s">
        <v>352</v>
      </c>
      <c r="D7" s="26">
        <v>502297</v>
      </c>
      <c r="E7" s="26" t="s">
        <v>1207</v>
      </c>
      <c r="F7" s="96">
        <v>3.3540000000000001</v>
      </c>
      <c r="G7" s="96">
        <v>-2750000</v>
      </c>
      <c r="H7" s="96">
        <v>-2744.4008620689701</v>
      </c>
      <c r="I7" s="68">
        <v>9.07071261E-4</v>
      </c>
      <c r="J7" s="101">
        <v>-2.1359299331654316E-3</v>
      </c>
      <c r="K7" s="1">
        <v>502297</v>
      </c>
      <c r="L7" s="26" t="s">
        <v>1206</v>
      </c>
      <c r="M7" s="67">
        <v>1</v>
      </c>
      <c r="N7" s="67">
        <v>9223500</v>
      </c>
      <c r="O7" s="67">
        <v>9223.5</v>
      </c>
      <c r="P7" s="101">
        <v>2.1402876662036702E-3</v>
      </c>
      <c r="Q7" s="68">
        <v>9.3426392887930143E-2</v>
      </c>
      <c r="R7" s="96">
        <v>468.86124999999998</v>
      </c>
      <c r="S7" s="1" t="s">
        <v>53</v>
      </c>
      <c r="T7" s="8" t="s">
        <v>53</v>
      </c>
      <c r="U7" s="26" t="s">
        <v>72</v>
      </c>
      <c r="V7" s="26" t="s">
        <v>102</v>
      </c>
      <c r="W7" s="1" t="s">
        <v>707</v>
      </c>
      <c r="X7" s="26" t="s">
        <v>2727</v>
      </c>
      <c r="Y7" s="26" t="s">
        <v>62</v>
      </c>
      <c r="Z7" s="102">
        <v>45860</v>
      </c>
      <c r="AA7" s="102">
        <v>46238</v>
      </c>
      <c r="AB7" s="26" t="s">
        <v>362</v>
      </c>
      <c r="AC7" s="26" t="s">
        <v>363</v>
      </c>
      <c r="AD7" s="26" t="s">
        <v>62</v>
      </c>
      <c r="AE7" s="26" t="s">
        <v>341</v>
      </c>
      <c r="AF7" s="26" t="s">
        <v>362</v>
      </c>
      <c r="AG7" s="26" t="s">
        <v>362</v>
      </c>
      <c r="AH7" s="140" t="s">
        <v>2853</v>
      </c>
      <c r="AI7" s="1">
        <v>3.3539999999999996</v>
      </c>
      <c r="AJ7" s="140" t="s">
        <v>2853</v>
      </c>
      <c r="AK7" s="143" t="s">
        <v>2853</v>
      </c>
      <c r="AL7" s="140" t="s">
        <v>2853</v>
      </c>
      <c r="AM7" s="1" t="s">
        <v>2723</v>
      </c>
      <c r="AN7" s="68">
        <v>9.0993798053460639E-2</v>
      </c>
      <c r="AO7" s="68">
        <v>1.0879795636535324E-4</v>
      </c>
    </row>
    <row r="8" spans="1:41" x14ac:dyDescent="0.25">
      <c r="A8" s="26">
        <v>13908</v>
      </c>
      <c r="B8" s="26">
        <v>13908</v>
      </c>
      <c r="C8" s="26" t="s">
        <v>352</v>
      </c>
      <c r="D8" s="26">
        <v>502298</v>
      </c>
      <c r="E8" s="26" t="s">
        <v>1212</v>
      </c>
      <c r="F8" s="96">
        <v>3.9260999999999999</v>
      </c>
      <c r="G8" s="96">
        <v>-2400000</v>
      </c>
      <c r="H8" s="96">
        <v>-2421.4881858229901</v>
      </c>
      <c r="I8" s="68">
        <v>8.0034311799999998E-4</v>
      </c>
      <c r="J8" s="101">
        <v>-2.2060741631678912E-3</v>
      </c>
      <c r="K8" s="1">
        <v>502298</v>
      </c>
      <c r="L8" s="26" t="s">
        <v>1206</v>
      </c>
      <c r="M8" s="67">
        <v>1</v>
      </c>
      <c r="N8" s="67">
        <v>9422640</v>
      </c>
      <c r="O8" s="67">
        <v>9422.64</v>
      </c>
      <c r="P8" s="101">
        <v>2.1864975524559386E-3</v>
      </c>
      <c r="Q8" s="68">
        <v>9.5443515659080172E-2</v>
      </c>
      <c r="R8" s="96">
        <v>352.95600000000002</v>
      </c>
      <c r="S8" s="1" t="s">
        <v>53</v>
      </c>
      <c r="T8" s="8" t="s">
        <v>53</v>
      </c>
      <c r="U8" s="26" t="s">
        <v>72</v>
      </c>
      <c r="V8" s="26" t="s">
        <v>102</v>
      </c>
      <c r="W8" s="1" t="s">
        <v>707</v>
      </c>
      <c r="X8" s="26" t="s">
        <v>2728</v>
      </c>
      <c r="Y8" s="26" t="s">
        <v>62</v>
      </c>
      <c r="Z8" s="102">
        <v>45860</v>
      </c>
      <c r="AA8" s="102">
        <v>46238</v>
      </c>
      <c r="AB8" s="26" t="s">
        <v>362</v>
      </c>
      <c r="AC8" s="26" t="s">
        <v>363</v>
      </c>
      <c r="AD8" s="26" t="s">
        <v>62</v>
      </c>
      <c r="AE8" s="26" t="s">
        <v>341</v>
      </c>
      <c r="AF8" s="26" t="s">
        <v>362</v>
      </c>
      <c r="AG8" s="26" t="s">
        <v>362</v>
      </c>
      <c r="AH8" s="140" t="s">
        <v>2853</v>
      </c>
      <c r="AI8" s="1">
        <v>3.9260999999999999</v>
      </c>
      <c r="AJ8" s="140" t="s">
        <v>2853</v>
      </c>
      <c r="AK8" s="143" t="s">
        <v>2853</v>
      </c>
      <c r="AL8" s="140" t="s">
        <v>2853</v>
      </c>
      <c r="AM8" s="1" t="s">
        <v>2723</v>
      </c>
      <c r="AN8" s="68">
        <v>6.8499597665102968E-2</v>
      </c>
      <c r="AO8" s="68">
        <v>8.1902463653990638E-5</v>
      </c>
    </row>
    <row r="9" spans="1:41" x14ac:dyDescent="0.25">
      <c r="A9" s="26">
        <v>13908</v>
      </c>
      <c r="B9" s="26">
        <v>13908</v>
      </c>
      <c r="C9" s="26" t="s">
        <v>352</v>
      </c>
      <c r="D9" s="26">
        <v>961365</v>
      </c>
      <c r="E9" s="26" t="s">
        <v>1207</v>
      </c>
      <c r="F9" s="96">
        <v>3.448</v>
      </c>
      <c r="G9" s="96">
        <v>-5700000</v>
      </c>
      <c r="H9" s="96">
        <v>-5725.9915705329204</v>
      </c>
      <c r="I9" s="68">
        <v>1.8925378099999999E-3</v>
      </c>
      <c r="J9" s="101">
        <v>-4.5813593514568212E-3</v>
      </c>
      <c r="K9" s="1">
        <v>961365</v>
      </c>
      <c r="L9" s="26" t="s">
        <v>1206</v>
      </c>
      <c r="M9" s="67">
        <v>1</v>
      </c>
      <c r="N9" s="67">
        <v>19653600</v>
      </c>
      <c r="O9" s="67">
        <v>19653.599999999999</v>
      </c>
      <c r="P9" s="101">
        <v>4.5605635253971322E-3</v>
      </c>
      <c r="Q9" s="68">
        <v>0.19907464143353648</v>
      </c>
      <c r="R9" s="96">
        <v>1387.6868899999999</v>
      </c>
      <c r="S9" s="1" t="s">
        <v>53</v>
      </c>
      <c r="T9" s="8" t="s">
        <v>53</v>
      </c>
      <c r="U9" s="26" t="s">
        <v>72</v>
      </c>
      <c r="V9" s="26" t="s">
        <v>102</v>
      </c>
      <c r="W9" s="1" t="s">
        <v>707</v>
      </c>
      <c r="X9" s="26" t="s">
        <v>2727</v>
      </c>
      <c r="Y9" s="26" t="s">
        <v>62</v>
      </c>
      <c r="Z9" s="102">
        <v>45875</v>
      </c>
      <c r="AA9" s="102">
        <v>46149</v>
      </c>
      <c r="AB9" s="26" t="s">
        <v>362</v>
      </c>
      <c r="AC9" s="26" t="s">
        <v>363</v>
      </c>
      <c r="AD9" s="26" t="s">
        <v>62</v>
      </c>
      <c r="AE9" s="26" t="s">
        <v>341</v>
      </c>
      <c r="AF9" s="26" t="s">
        <v>362</v>
      </c>
      <c r="AG9" s="26" t="s">
        <v>362</v>
      </c>
      <c r="AH9" s="140" t="s">
        <v>2853</v>
      </c>
      <c r="AI9" s="1">
        <v>3.448</v>
      </c>
      <c r="AJ9" s="140" t="s">
        <v>2853</v>
      </c>
      <c r="AK9" s="143" t="s">
        <v>2853</v>
      </c>
      <c r="AL9" s="140" t="s">
        <v>2853</v>
      </c>
      <c r="AM9" s="1" t="s">
        <v>2726</v>
      </c>
      <c r="AN9" s="68">
        <v>0.26931400415388318</v>
      </c>
      <c r="AO9" s="68">
        <v>3.2200890499479908E-4</v>
      </c>
    </row>
    <row r="10" spans="1:41" x14ac:dyDescent="0.25">
      <c r="A10" s="26">
        <v>13908</v>
      </c>
      <c r="B10" s="26">
        <v>13908</v>
      </c>
      <c r="C10" s="26" t="s">
        <v>352</v>
      </c>
      <c r="D10" s="26">
        <v>975548</v>
      </c>
      <c r="E10" s="26" t="s">
        <v>1207</v>
      </c>
      <c r="F10" s="96">
        <v>3.4169999999999998</v>
      </c>
      <c r="G10" s="96">
        <v>-5700000</v>
      </c>
      <c r="H10" s="96">
        <v>-5696.4346583072102</v>
      </c>
      <c r="I10" s="68">
        <v>1.882768747E-3</v>
      </c>
      <c r="J10" s="101">
        <v>-4.5167338004036221E-3</v>
      </c>
      <c r="K10" s="1">
        <v>975548</v>
      </c>
      <c r="L10" s="26" t="s">
        <v>1206</v>
      </c>
      <c r="M10" s="67">
        <v>1</v>
      </c>
      <c r="N10" s="67">
        <v>19476900</v>
      </c>
      <c r="O10" s="67">
        <v>19476.900000000001</v>
      </c>
      <c r="P10" s="101">
        <v>4.5195607790841077E-3</v>
      </c>
      <c r="Q10" s="68">
        <v>0.19728481722111202</v>
      </c>
      <c r="R10" s="96">
        <v>1305.2734399999999</v>
      </c>
      <c r="S10" s="1" t="s">
        <v>53</v>
      </c>
      <c r="T10" s="8" t="s">
        <v>53</v>
      </c>
      <c r="U10" s="26" t="s">
        <v>72</v>
      </c>
      <c r="V10" s="26" t="s">
        <v>102</v>
      </c>
      <c r="W10" s="1" t="s">
        <v>707</v>
      </c>
      <c r="X10" s="26" t="s">
        <v>2727</v>
      </c>
      <c r="Y10" s="26" t="s">
        <v>62</v>
      </c>
      <c r="Z10" s="102">
        <v>45876</v>
      </c>
      <c r="AA10" s="102">
        <v>46244</v>
      </c>
      <c r="AB10" s="26" t="s">
        <v>362</v>
      </c>
      <c r="AC10" s="26" t="s">
        <v>363</v>
      </c>
      <c r="AD10" s="26" t="s">
        <v>62</v>
      </c>
      <c r="AE10" s="26" t="s">
        <v>341</v>
      </c>
      <c r="AF10" s="26" t="s">
        <v>362</v>
      </c>
      <c r="AG10" s="26" t="s">
        <v>362</v>
      </c>
      <c r="AH10" s="140" t="s">
        <v>2853</v>
      </c>
      <c r="AI10" s="1">
        <v>3.4169999999999998</v>
      </c>
      <c r="AJ10" s="140" t="s">
        <v>2853</v>
      </c>
      <c r="AK10" s="143" t="s">
        <v>2853</v>
      </c>
      <c r="AL10" s="140" t="s">
        <v>2853</v>
      </c>
      <c r="AM10" s="1" t="s">
        <v>2726</v>
      </c>
      <c r="AN10" s="68">
        <v>0.25331969277458072</v>
      </c>
      <c r="AO10" s="68">
        <v>3.0288509184748049E-4</v>
      </c>
    </row>
    <row r="11" spans="1:41" x14ac:dyDescent="0.25">
      <c r="A11" s="26"/>
      <c r="B11" s="26"/>
      <c r="C11" s="26"/>
      <c r="D11" s="26"/>
      <c r="E11" s="26"/>
      <c r="F11" s="26"/>
      <c r="G11" s="26"/>
      <c r="H11" s="103"/>
      <c r="J11" s="104"/>
      <c r="L11" s="26"/>
      <c r="R11" s="103"/>
      <c r="T11" s="8"/>
      <c r="U11" s="26"/>
      <c r="V11" s="26"/>
      <c r="X11" s="26"/>
      <c r="Y11" s="26"/>
      <c r="Z11" s="26"/>
      <c r="AA11" s="102"/>
      <c r="AB11" s="26"/>
      <c r="AC11" s="26"/>
      <c r="AD11" s="26"/>
      <c r="AE11" s="26"/>
      <c r="AF11" s="26"/>
      <c r="AG11" s="26"/>
      <c r="AI11" s="26"/>
      <c r="AJ11" s="26"/>
      <c r="AK11" s="26"/>
      <c r="AN11" s="68"/>
      <c r="AO11" s="68"/>
    </row>
    <row r="12" spans="1:41" x14ac:dyDescent="0.25">
      <c r="A12" s="26"/>
      <c r="B12" s="26"/>
      <c r="C12" s="26"/>
      <c r="D12" s="26"/>
      <c r="E12" s="26"/>
      <c r="F12" s="26"/>
      <c r="G12" s="26"/>
      <c r="H12" s="103"/>
      <c r="J12" s="104"/>
      <c r="L12" s="26"/>
      <c r="R12" s="103"/>
      <c r="T12" s="8"/>
      <c r="U12" s="26"/>
      <c r="V12" s="26"/>
      <c r="X12" s="26"/>
      <c r="Y12" s="26"/>
      <c r="Z12" s="26"/>
      <c r="AA12" s="102"/>
      <c r="AB12" s="26"/>
      <c r="AC12" s="26"/>
      <c r="AD12" s="26"/>
      <c r="AE12" s="26"/>
      <c r="AF12" s="26"/>
      <c r="AG12" s="26"/>
      <c r="AI12" s="26"/>
      <c r="AJ12" s="26"/>
      <c r="AK12" s="26"/>
      <c r="AN12" s="68"/>
      <c r="AO12" s="68"/>
    </row>
    <row r="13" spans="1:41" x14ac:dyDescent="0.25">
      <c r="A13" s="26"/>
      <c r="B13" s="26"/>
      <c r="C13" s="26"/>
      <c r="D13" s="26"/>
      <c r="E13" s="26"/>
      <c r="F13" s="26"/>
      <c r="G13" s="26"/>
      <c r="H13" s="103"/>
      <c r="J13" s="104"/>
      <c r="L13" s="26"/>
      <c r="R13" s="103"/>
      <c r="T13" s="8"/>
      <c r="U13" s="26"/>
      <c r="V13" s="26"/>
      <c r="X13" s="26"/>
      <c r="Y13" s="26"/>
      <c r="Z13" s="26"/>
      <c r="AA13" s="102"/>
      <c r="AB13" s="26"/>
      <c r="AC13" s="26"/>
      <c r="AD13" s="26"/>
      <c r="AE13" s="26"/>
      <c r="AF13" s="26"/>
      <c r="AG13" s="26"/>
      <c r="AI13" s="26"/>
      <c r="AJ13" s="26"/>
      <c r="AK13" s="26"/>
      <c r="AN13" s="8"/>
      <c r="AO13" s="8"/>
    </row>
    <row r="14" spans="1:41" x14ac:dyDescent="0.25">
      <c r="A14" s="26"/>
      <c r="B14" s="26"/>
      <c r="C14" s="26"/>
      <c r="D14" s="26"/>
      <c r="E14" s="26"/>
      <c r="F14" s="26"/>
      <c r="G14" s="26"/>
      <c r="H14" s="103"/>
      <c r="J14" s="104"/>
      <c r="L14" s="26"/>
      <c r="R14" s="103"/>
      <c r="T14" s="8"/>
      <c r="U14" s="26"/>
      <c r="V14" s="26"/>
      <c r="X14" s="26"/>
      <c r="Y14" s="26"/>
      <c r="Z14" s="26"/>
      <c r="AA14" s="102"/>
      <c r="AB14" s="26"/>
      <c r="AC14" s="26"/>
      <c r="AD14" s="26"/>
      <c r="AE14" s="26"/>
      <c r="AF14" s="26"/>
      <c r="AG14" s="26"/>
      <c r="AI14" s="26"/>
      <c r="AJ14" s="26"/>
      <c r="AK14" s="26"/>
      <c r="AN14" s="8"/>
      <c r="AO14" s="8"/>
    </row>
    <row r="15" spans="1:41" x14ac:dyDescent="0.25">
      <c r="A15" s="26"/>
      <c r="B15" s="26"/>
      <c r="C15" s="26"/>
      <c r="D15" s="26"/>
      <c r="E15" s="26"/>
      <c r="F15" s="26"/>
      <c r="G15" s="26"/>
      <c r="H15" s="103"/>
      <c r="J15" s="104"/>
      <c r="L15" s="26"/>
      <c r="R15" s="103"/>
      <c r="T15" s="8"/>
      <c r="U15" s="26"/>
      <c r="V15" s="26"/>
      <c r="X15" s="26"/>
      <c r="Y15" s="26"/>
      <c r="Z15" s="26"/>
      <c r="AA15" s="102"/>
      <c r="AB15" s="26"/>
      <c r="AC15" s="26"/>
      <c r="AD15" s="26"/>
      <c r="AE15" s="26"/>
      <c r="AF15" s="26"/>
      <c r="AG15" s="26"/>
      <c r="AI15" s="26"/>
      <c r="AJ15" s="26"/>
      <c r="AK15" s="26"/>
      <c r="AN15" s="8"/>
      <c r="AO15" s="8"/>
    </row>
    <row r="16" spans="1:41" x14ac:dyDescent="0.25">
      <c r="A16" s="26"/>
      <c r="B16" s="26"/>
      <c r="C16" s="26"/>
      <c r="D16" s="26"/>
      <c r="E16" s="26"/>
      <c r="F16" s="26"/>
      <c r="G16" s="26"/>
      <c r="H16" s="103"/>
      <c r="J16" s="104"/>
      <c r="L16" s="26"/>
      <c r="R16" s="103"/>
      <c r="T16" s="8"/>
      <c r="U16" s="26"/>
      <c r="V16" s="26"/>
      <c r="X16" s="26"/>
      <c r="Y16" s="26"/>
      <c r="Z16" s="26"/>
      <c r="AA16" s="102"/>
      <c r="AB16" s="26"/>
      <c r="AC16" s="26"/>
      <c r="AD16" s="26"/>
      <c r="AE16" s="26"/>
      <c r="AF16" s="26"/>
      <c r="AG16" s="26"/>
      <c r="AI16" s="26"/>
      <c r="AJ16" s="26"/>
      <c r="AK16" s="26"/>
      <c r="AN16" s="8"/>
      <c r="AO16" s="8"/>
    </row>
    <row r="17" spans="1:41" x14ac:dyDescent="0.25">
      <c r="A17" s="26"/>
      <c r="B17" s="26"/>
      <c r="C17" s="26"/>
      <c r="D17" s="26"/>
      <c r="E17" s="26"/>
      <c r="F17" s="26"/>
      <c r="G17" s="26"/>
      <c r="H17" s="103"/>
      <c r="J17" s="104"/>
      <c r="L17" s="26"/>
      <c r="R17" s="103"/>
      <c r="T17" s="8"/>
      <c r="U17" s="26"/>
      <c r="V17" s="26"/>
      <c r="X17" s="26"/>
      <c r="Y17" s="26"/>
      <c r="Z17" s="26"/>
      <c r="AA17" s="102"/>
      <c r="AB17" s="26"/>
      <c r="AC17" s="26"/>
      <c r="AD17" s="26"/>
      <c r="AE17" s="26"/>
      <c r="AF17" s="26"/>
      <c r="AG17" s="26"/>
      <c r="AI17" s="26"/>
      <c r="AJ17" s="26"/>
      <c r="AK17" s="26"/>
      <c r="AN17" s="8"/>
      <c r="AO17" s="8"/>
    </row>
    <row r="18" spans="1:41" x14ac:dyDescent="0.25">
      <c r="A18" s="26"/>
      <c r="B18" s="26"/>
      <c r="C18" s="26"/>
      <c r="D18" s="26"/>
      <c r="E18" s="26"/>
      <c r="F18" s="26"/>
      <c r="G18" s="26"/>
      <c r="H18" s="103"/>
      <c r="J18" s="104"/>
      <c r="L18" s="26"/>
      <c r="R18" s="103"/>
      <c r="T18" s="8"/>
      <c r="U18" s="26"/>
      <c r="V18" s="26"/>
      <c r="X18" s="26"/>
      <c r="Y18" s="26"/>
      <c r="Z18" s="26"/>
      <c r="AA18" s="102"/>
      <c r="AB18" s="26"/>
      <c r="AC18" s="26"/>
      <c r="AD18" s="26"/>
      <c r="AE18" s="26"/>
      <c r="AF18" s="26"/>
      <c r="AG18" s="26"/>
      <c r="AI18" s="26"/>
      <c r="AJ18" s="26"/>
      <c r="AK18" s="26"/>
      <c r="AN18" s="8"/>
      <c r="AO18" s="8"/>
    </row>
    <row r="19" spans="1:41" x14ac:dyDescent="0.25">
      <c r="A19" s="26"/>
      <c r="B19" s="26"/>
      <c r="C19" s="26"/>
      <c r="D19" s="26"/>
      <c r="E19" s="26"/>
      <c r="F19" s="26"/>
      <c r="G19" s="26"/>
      <c r="H19" s="103"/>
      <c r="J19" s="104"/>
      <c r="L19" s="26"/>
      <c r="R19" s="103"/>
      <c r="T19" s="8"/>
      <c r="U19" s="26"/>
      <c r="V19" s="26"/>
      <c r="X19" s="26"/>
      <c r="Y19" s="26"/>
      <c r="Z19" s="26"/>
      <c r="AA19" s="102"/>
      <c r="AB19" s="26"/>
      <c r="AC19" s="26"/>
      <c r="AD19" s="26"/>
      <c r="AE19" s="26"/>
      <c r="AF19" s="26"/>
      <c r="AG19" s="26"/>
      <c r="AI19" s="26"/>
      <c r="AJ19" s="26"/>
      <c r="AK19" s="26"/>
      <c r="AN19" s="8"/>
      <c r="AO19" s="8"/>
    </row>
    <row r="20" spans="1:41" x14ac:dyDescent="0.25">
      <c r="C20" s="26"/>
      <c r="E20" s="26"/>
      <c r="T20" s="8"/>
      <c r="U20" s="26"/>
      <c r="V20" s="26"/>
      <c r="Y20" s="26"/>
      <c r="AB20" s="26"/>
      <c r="AC20" s="26"/>
      <c r="AD20" s="26"/>
      <c r="AE20" s="26"/>
      <c r="AF20" s="26"/>
      <c r="AG20" s="26"/>
      <c r="AK20" s="26"/>
    </row>
    <row r="22" spans="1:41" x14ac:dyDescent="0.25">
      <c r="C22" s="26"/>
      <c r="E22" s="26"/>
      <c r="T22" s="8"/>
      <c r="AE22" s="26"/>
      <c r="AF22" s="26"/>
    </row>
    <row r="23" spans="1:41" x14ac:dyDescent="0.25">
      <c r="C23" s="26"/>
      <c r="E23" s="26"/>
      <c r="T23" s="8"/>
      <c r="AE23" s="26"/>
      <c r="AF23" s="26"/>
    </row>
    <row r="24" spans="1:41" x14ac:dyDescent="0.25">
      <c r="C24" s="26"/>
      <c r="E24" s="26"/>
      <c r="T24" s="8"/>
      <c r="AE24" s="26"/>
      <c r="AF24" s="26"/>
    </row>
    <row r="25" spans="1:41" x14ac:dyDescent="0.25">
      <c r="C25" s="26"/>
      <c r="E25" s="26"/>
      <c r="T25" s="8"/>
      <c r="AE25" s="26"/>
      <c r="AF25" s="26"/>
    </row>
    <row r="26" spans="1:41" x14ac:dyDescent="0.25">
      <c r="C26" s="26"/>
      <c r="E26" s="26"/>
      <c r="T26" s="8"/>
      <c r="AE26" s="26"/>
      <c r="AF26" s="26"/>
    </row>
    <row r="27" spans="1:41" x14ac:dyDescent="0.25">
      <c r="C27" s="26"/>
      <c r="E27" s="26"/>
      <c r="T27" s="8"/>
    </row>
    <row r="28" spans="1:41" x14ac:dyDescent="0.25">
      <c r="C28" s="26"/>
      <c r="E28" s="26"/>
      <c r="T28" s="8"/>
    </row>
    <row r="29" spans="1:41" x14ac:dyDescent="0.25">
      <c r="C29" s="26"/>
      <c r="E29" s="26"/>
      <c r="T29" s="8"/>
    </row>
    <row r="30" spans="1:41" x14ac:dyDescent="0.25">
      <c r="C30" s="26"/>
      <c r="E30" s="26"/>
      <c r="T30" s="8"/>
    </row>
    <row r="31" spans="1:41" x14ac:dyDescent="0.25">
      <c r="C31" s="26"/>
      <c r="E31" s="26"/>
      <c r="T31" s="8"/>
    </row>
    <row r="32" spans="1:41" x14ac:dyDescent="0.25">
      <c r="C32" s="26"/>
      <c r="E32" s="26"/>
      <c r="T32" s="8"/>
    </row>
    <row r="33" spans="3:20" x14ac:dyDescent="0.25">
      <c r="C33" s="26"/>
      <c r="T33" s="8"/>
    </row>
    <row r="34" spans="3:20" x14ac:dyDescent="0.25">
      <c r="C34" s="26"/>
      <c r="T34" s="8"/>
    </row>
    <row r="35" spans="3:20" x14ac:dyDescent="0.25">
      <c r="C35" s="26"/>
    </row>
    <row r="36" spans="3:20" x14ac:dyDescent="0.25">
      <c r="C36" s="26"/>
    </row>
    <row r="37" spans="3:20" x14ac:dyDescent="0.25">
      <c r="C37" s="26"/>
    </row>
    <row r="38" spans="3:20" x14ac:dyDescent="0.25">
      <c r="C38" s="26"/>
    </row>
    <row r="39" spans="3:20" x14ac:dyDescent="0.25">
      <c r="C39" s="26"/>
    </row>
    <row r="40" spans="3:20" x14ac:dyDescent="0.25">
      <c r="C40" s="26"/>
    </row>
    <row r="41" spans="3:20" x14ac:dyDescent="0.25">
      <c r="C41" s="26"/>
    </row>
    <row r="42" spans="3:20" x14ac:dyDescent="0.25">
      <c r="C42" s="26"/>
    </row>
    <row r="43" spans="3:20" x14ac:dyDescent="0.25">
      <c r="C43" s="26"/>
    </row>
    <row r="44" spans="3:20" x14ac:dyDescent="0.25">
      <c r="C44" s="26"/>
    </row>
    <row r="45" spans="3:20" x14ac:dyDescent="0.25">
      <c r="C45" s="26"/>
    </row>
    <row r="46" spans="3:20" x14ac:dyDescent="0.25">
      <c r="C46" s="26"/>
    </row>
    <row r="47" spans="3:20" x14ac:dyDescent="0.25">
      <c r="C47" s="26"/>
    </row>
    <row r="48" spans="3:20" x14ac:dyDescent="0.25">
      <c r="C48" s="26"/>
    </row>
    <row r="49" spans="3:3" x14ac:dyDescent="0.25">
      <c r="C49" s="26"/>
    </row>
    <row r="50" spans="3:3" x14ac:dyDescent="0.25">
      <c r="C50" s="26"/>
    </row>
    <row r="51" spans="3:3" x14ac:dyDescent="0.25">
      <c r="C51" s="26"/>
    </row>
    <row r="52" spans="3:3" x14ac:dyDescent="0.25">
      <c r="C52" s="26"/>
    </row>
    <row r="53" spans="3:3" x14ac:dyDescent="0.25">
      <c r="C53" s="26"/>
    </row>
    <row r="54" spans="3:3" x14ac:dyDescent="0.25">
      <c r="C54" s="26"/>
    </row>
    <row r="55" spans="3:3" x14ac:dyDescent="0.25">
      <c r="C55" s="26"/>
    </row>
    <row r="56" spans="3:3" x14ac:dyDescent="0.25">
      <c r="C56" s="26"/>
    </row>
    <row r="57" spans="3:3" x14ac:dyDescent="0.25">
      <c r="C57" s="26"/>
    </row>
    <row r="58" spans="3:3" x14ac:dyDescent="0.25">
      <c r="C58" s="26"/>
    </row>
    <row r="59" spans="3:3" x14ac:dyDescent="0.25">
      <c r="C59" s="26"/>
    </row>
    <row r="60" spans="3:3" x14ac:dyDescent="0.25">
      <c r="C60" s="26"/>
    </row>
    <row r="61" spans="3:3" x14ac:dyDescent="0.25">
      <c r="C61" s="26"/>
    </row>
    <row r="62" spans="3:3" x14ac:dyDescent="0.25">
      <c r="C62" s="26"/>
    </row>
    <row r="63" spans="3:3" x14ac:dyDescent="0.25">
      <c r="C63" s="26"/>
    </row>
    <row r="64" spans="3:3" x14ac:dyDescent="0.25">
      <c r="C64" s="26"/>
    </row>
    <row r="65" spans="3:3" x14ac:dyDescent="0.25">
      <c r="C65" s="26"/>
    </row>
    <row r="66" spans="3:3" x14ac:dyDescent="0.25">
      <c r="C66" s="26"/>
    </row>
    <row r="67" spans="3:3" x14ac:dyDescent="0.25">
      <c r="C67" s="26"/>
    </row>
    <row r="68" spans="3:3" x14ac:dyDescent="0.25">
      <c r="C68" s="26"/>
    </row>
    <row r="69" spans="3:3" x14ac:dyDescent="0.25">
      <c r="C69" s="26"/>
    </row>
    <row r="70" spans="3:3" x14ac:dyDescent="0.25">
      <c r="C70" s="26"/>
    </row>
    <row r="71" spans="3:3" x14ac:dyDescent="0.25">
      <c r="C71" s="26"/>
    </row>
    <row r="72" spans="3:3" x14ac:dyDescent="0.25">
      <c r="C72" s="26"/>
    </row>
    <row r="73" spans="3:3" x14ac:dyDescent="0.25">
      <c r="C73" s="26"/>
    </row>
    <row r="74" spans="3:3" x14ac:dyDescent="0.25">
      <c r="C74" s="26"/>
    </row>
    <row r="75" spans="3:3" x14ac:dyDescent="0.25">
      <c r="C75" s="26"/>
    </row>
    <row r="76" spans="3:3" x14ac:dyDescent="0.25">
      <c r="C76" s="26"/>
    </row>
    <row r="10000" spans="52:52" x14ac:dyDescent="0.25">
      <c r="AZ10000" s="1">
        <v>1</v>
      </c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J2:K19 D2:D19 I3:I19 P2:P19 R2:R19 Q11:Q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0"/>
  <sheetViews>
    <sheetView rightToLeft="1" zoomScale="10" zoomScaleNormal="10" workbookViewId="0">
      <selection activeCell="A2" sqref="A2:BA33"/>
    </sheetView>
  </sheetViews>
  <sheetFormatPr defaultColWidth="9" defaultRowHeight="13.8" x14ac:dyDescent="0.25"/>
  <cols>
    <col min="1" max="1" width="38" style="1" customWidth="1"/>
    <col min="2" max="2" width="14" style="1" customWidth="1"/>
    <col min="3" max="3" width="18" style="1" customWidth="1"/>
    <col min="4" max="4" width="26.19921875" style="1" bestFit="1" customWidth="1"/>
    <col min="5" max="5" width="27.59765625" style="1" bestFit="1" customWidth="1"/>
    <col min="6" max="6" width="15" style="1" customWidth="1"/>
    <col min="7" max="7" width="16" style="1" customWidth="1"/>
    <col min="8" max="8" width="57.796875" style="1" bestFit="1" customWidth="1"/>
    <col min="9" max="9" width="14" style="1" customWidth="1"/>
    <col min="10" max="10" width="26" style="1" customWidth="1"/>
    <col min="11" max="11" width="29.3984375" style="1" bestFit="1" customWidth="1"/>
    <col min="12" max="12" width="21" style="1" customWidth="1"/>
    <col min="13" max="13" width="25" style="1" customWidth="1"/>
    <col min="14" max="14" width="30" style="1" customWidth="1"/>
    <col min="15" max="15" width="22" style="1" customWidth="1"/>
    <col min="16" max="16" width="9" style="1" customWidth="1"/>
    <col min="17" max="17" width="14.19921875" style="1" bestFit="1" customWidth="1"/>
    <col min="18" max="18" width="23" style="1" customWidth="1"/>
    <col min="19" max="19" width="15" style="1" customWidth="1"/>
    <col min="20" max="20" width="8" style="1" customWidth="1"/>
    <col min="21" max="21" width="14" style="1" customWidth="1"/>
    <col min="22" max="22" width="15" style="1" customWidth="1"/>
    <col min="23" max="23" width="13" style="1" customWidth="1"/>
    <col min="24" max="24" width="15" style="1" bestFit="1" customWidth="1"/>
    <col min="25" max="25" width="34" style="1" customWidth="1"/>
    <col min="26" max="26" width="16" style="1" customWidth="1"/>
    <col min="27" max="27" width="14" style="1" customWidth="1"/>
    <col min="28" max="28" width="16" style="1" customWidth="1"/>
    <col min="29" max="29" width="26" style="1" bestFit="1" customWidth="1"/>
    <col min="30" max="30" width="37" style="1" customWidth="1"/>
    <col min="31" max="31" width="23" style="1" customWidth="1"/>
    <col min="32" max="32" width="34" style="1" customWidth="1"/>
    <col min="33" max="33" width="13" style="1" customWidth="1"/>
    <col min="34" max="34" width="20" style="1" customWidth="1"/>
    <col min="35" max="35" width="53.3984375" style="1" bestFit="1" customWidth="1"/>
    <col min="36" max="36" width="21" style="1" customWidth="1"/>
    <col min="37" max="37" width="18" style="1" customWidth="1"/>
    <col min="38" max="38" width="17" style="1" customWidth="1"/>
    <col min="39" max="39" width="23" style="1" customWidth="1"/>
    <col min="40" max="40" width="21" style="1" customWidth="1"/>
    <col min="41" max="41" width="40" style="1" customWidth="1"/>
    <col min="42" max="42" width="42" style="1" customWidth="1"/>
    <col min="43" max="43" width="14.19921875" style="1" bestFit="1" customWidth="1"/>
    <col min="44" max="45" width="14" style="1" customWidth="1"/>
    <col min="46" max="46" width="25" style="1" customWidth="1"/>
    <col min="47" max="47" width="29" style="1" customWidth="1"/>
    <col min="48" max="48" width="27" style="1" customWidth="1"/>
    <col min="49" max="49" width="31" style="1" customWidth="1"/>
    <col min="50" max="50" width="24" style="1" customWidth="1"/>
    <col min="51" max="52" width="27" style="1" customWidth="1"/>
    <col min="53" max="53" width="25" style="1" customWidth="1"/>
    <col min="54" max="16384" width="9" style="1"/>
  </cols>
  <sheetData>
    <row r="1" spans="1:53" ht="52.8" x14ac:dyDescent="0.25">
      <c r="A1" s="139" t="s">
        <v>667</v>
      </c>
      <c r="B1" s="139" t="s">
        <v>0</v>
      </c>
      <c r="C1" s="139" t="s">
        <v>741</v>
      </c>
      <c r="D1" s="139" t="s">
        <v>742</v>
      </c>
      <c r="E1" s="139" t="s">
        <v>743</v>
      </c>
      <c r="F1" s="139" t="s">
        <v>744</v>
      </c>
      <c r="G1" s="139" t="s">
        <v>1</v>
      </c>
      <c r="H1" s="139" t="s">
        <v>932</v>
      </c>
      <c r="I1" s="139" t="s">
        <v>620</v>
      </c>
      <c r="J1" s="139" t="s">
        <v>621</v>
      </c>
      <c r="K1" s="139" t="s">
        <v>9</v>
      </c>
      <c r="L1" s="139" t="s">
        <v>622</v>
      </c>
      <c r="M1" s="139" t="s">
        <v>297</v>
      </c>
      <c r="N1" s="139" t="s">
        <v>608</v>
      </c>
      <c r="O1" s="139" t="s">
        <v>748</v>
      </c>
      <c r="P1" s="139" t="s">
        <v>6</v>
      </c>
      <c r="Q1" s="139" t="s">
        <v>8</v>
      </c>
      <c r="R1" s="139" t="s">
        <v>1157</v>
      </c>
      <c r="S1" s="139" t="s">
        <v>396</v>
      </c>
      <c r="T1" s="139" t="s">
        <v>13</v>
      </c>
      <c r="U1" s="139" t="s">
        <v>440</v>
      </c>
      <c r="V1" s="139" t="s">
        <v>14</v>
      </c>
      <c r="W1" s="139" t="s">
        <v>282</v>
      </c>
      <c r="X1" s="139" t="s">
        <v>309</v>
      </c>
      <c r="Y1" s="139" t="s">
        <v>689</v>
      </c>
      <c r="Z1" s="139" t="s">
        <v>637</v>
      </c>
      <c r="AA1" s="139" t="s">
        <v>421</v>
      </c>
      <c r="AB1" s="139" t="s">
        <v>941</v>
      </c>
      <c r="AC1" s="139" t="s">
        <v>20</v>
      </c>
      <c r="AD1" s="139" t="s">
        <v>784</v>
      </c>
      <c r="AE1" s="139" t="s">
        <v>674</v>
      </c>
      <c r="AF1" s="139" t="s">
        <v>675</v>
      </c>
      <c r="AG1" s="139" t="s">
        <v>866</v>
      </c>
      <c r="AH1" s="139" t="s">
        <v>420</v>
      </c>
      <c r="AI1" s="139" t="s">
        <v>21</v>
      </c>
      <c r="AJ1" s="139" t="s">
        <v>690</v>
      </c>
      <c r="AK1" s="139" t="s">
        <v>933</v>
      </c>
      <c r="AL1" s="139" t="s">
        <v>747</v>
      </c>
      <c r="AM1" s="139" t="s">
        <v>372</v>
      </c>
      <c r="AN1" s="139" t="s">
        <v>16</v>
      </c>
      <c r="AO1" s="139" t="s">
        <v>1156</v>
      </c>
      <c r="AP1" s="139" t="s">
        <v>638</v>
      </c>
      <c r="AQ1" s="139" t="s">
        <v>964</v>
      </c>
      <c r="AR1" s="139" t="s">
        <v>745</v>
      </c>
      <c r="AS1" s="139" t="s">
        <v>11</v>
      </c>
      <c r="AT1" s="139" t="s">
        <v>1162</v>
      </c>
      <c r="AU1" s="139" t="s">
        <v>803</v>
      </c>
      <c r="AV1" s="139" t="s">
        <v>1163</v>
      </c>
      <c r="AW1" s="139" t="s">
        <v>804</v>
      </c>
      <c r="AX1" s="139" t="s">
        <v>685</v>
      </c>
      <c r="AY1" s="139" t="s">
        <v>26</v>
      </c>
      <c r="AZ1" s="139" t="s">
        <v>19</v>
      </c>
      <c r="BA1" s="139" t="s">
        <v>30</v>
      </c>
    </row>
    <row r="2" spans="1:53" x14ac:dyDescent="0.25">
      <c r="A2" s="1">
        <v>13908</v>
      </c>
      <c r="B2" s="1">
        <v>13908</v>
      </c>
      <c r="C2" s="141" t="s">
        <v>2853</v>
      </c>
      <c r="D2" s="141" t="s">
        <v>2853</v>
      </c>
      <c r="E2" s="110" t="s">
        <v>2817</v>
      </c>
      <c r="F2" s="8">
        <v>11020447</v>
      </c>
      <c r="G2" s="8" t="s">
        <v>245</v>
      </c>
      <c r="H2" s="1" t="s">
        <v>869</v>
      </c>
      <c r="I2" s="8" t="s">
        <v>53</v>
      </c>
      <c r="J2" s="141" t="s">
        <v>2853</v>
      </c>
      <c r="K2" s="8" t="s">
        <v>651</v>
      </c>
      <c r="L2" s="8" t="s">
        <v>62</v>
      </c>
      <c r="M2" s="8" t="s">
        <v>62</v>
      </c>
      <c r="N2" s="141" t="s">
        <v>2853</v>
      </c>
      <c r="O2" s="72">
        <v>45657</v>
      </c>
      <c r="P2" s="8" t="s">
        <v>298</v>
      </c>
      <c r="Q2" s="8" t="s">
        <v>298</v>
      </c>
      <c r="R2" s="8" t="s">
        <v>298</v>
      </c>
      <c r="S2" s="8" t="s">
        <v>1206</v>
      </c>
      <c r="T2" s="71">
        <v>1.1100000000000001</v>
      </c>
      <c r="U2" s="8" t="s">
        <v>2729</v>
      </c>
      <c r="V2" s="73">
        <v>0.11</v>
      </c>
      <c r="W2" s="141" t="s">
        <v>2853</v>
      </c>
      <c r="X2" s="141" t="s">
        <v>2853</v>
      </c>
      <c r="Y2" s="141" t="s">
        <v>2853</v>
      </c>
      <c r="Z2" s="73">
        <v>7.3200000000000001E-2</v>
      </c>
      <c r="AA2" s="72">
        <v>46445</v>
      </c>
      <c r="AB2" s="8" t="s">
        <v>635</v>
      </c>
      <c r="AC2" s="141" t="s">
        <v>2853</v>
      </c>
      <c r="AD2" s="141" t="s">
        <v>2853</v>
      </c>
      <c r="AE2" s="141" t="s">
        <v>2853</v>
      </c>
      <c r="AF2" s="72">
        <v>45473</v>
      </c>
      <c r="AG2" s="141" t="s">
        <v>2853</v>
      </c>
      <c r="AH2" s="141" t="s">
        <v>2853</v>
      </c>
      <c r="AI2" s="140" t="s">
        <v>2853</v>
      </c>
      <c r="AJ2" s="1" t="s">
        <v>55</v>
      </c>
      <c r="AK2" s="8" t="s">
        <v>791</v>
      </c>
      <c r="AL2" s="141" t="s">
        <v>2853</v>
      </c>
      <c r="AM2" s="8" t="s">
        <v>305</v>
      </c>
      <c r="AN2" s="70">
        <v>46022</v>
      </c>
      <c r="AO2" s="70">
        <v>46022</v>
      </c>
      <c r="AP2" s="140" t="s">
        <v>2853</v>
      </c>
      <c r="AQ2" s="67">
        <v>1190994.45</v>
      </c>
      <c r="AR2" s="74">
        <v>104.32</v>
      </c>
      <c r="AS2" s="74">
        <v>1</v>
      </c>
      <c r="AT2" s="74">
        <v>1242.44541</v>
      </c>
      <c r="AU2" s="74">
        <v>1242.44541</v>
      </c>
      <c r="AV2" s="141" t="s">
        <v>2853</v>
      </c>
      <c r="AW2" s="141" t="s">
        <v>2853</v>
      </c>
      <c r="AX2" s="141" t="s">
        <v>2853</v>
      </c>
      <c r="AY2" s="8" t="s">
        <v>17</v>
      </c>
      <c r="AZ2" s="68">
        <v>2.4872151165571066E-2</v>
      </c>
      <c r="BA2" s="68">
        <v>2.8830602124511976E-4</v>
      </c>
    </row>
    <row r="3" spans="1:53" x14ac:dyDescent="0.25">
      <c r="A3" s="1">
        <v>13908</v>
      </c>
      <c r="B3" s="1">
        <v>13908</v>
      </c>
      <c r="C3" s="141" t="s">
        <v>2853</v>
      </c>
      <c r="D3" s="141" t="s">
        <v>2853</v>
      </c>
      <c r="E3" s="110" t="s">
        <v>2818</v>
      </c>
      <c r="F3" s="8">
        <v>11020451</v>
      </c>
      <c r="G3" s="8" t="s">
        <v>245</v>
      </c>
      <c r="H3" s="1" t="s">
        <v>869</v>
      </c>
      <c r="I3" s="8" t="s">
        <v>53</v>
      </c>
      <c r="J3" s="141" t="s">
        <v>2853</v>
      </c>
      <c r="K3" s="8" t="s">
        <v>651</v>
      </c>
      <c r="L3" s="8" t="s">
        <v>62</v>
      </c>
      <c r="M3" s="8" t="s">
        <v>62</v>
      </c>
      <c r="N3" s="141" t="s">
        <v>2853</v>
      </c>
      <c r="O3" s="72">
        <v>45657</v>
      </c>
      <c r="P3" s="8" t="s">
        <v>298</v>
      </c>
      <c r="Q3" s="8" t="s">
        <v>298</v>
      </c>
      <c r="R3" s="8" t="s">
        <v>298</v>
      </c>
      <c r="S3" s="8" t="s">
        <v>1206</v>
      </c>
      <c r="T3" s="71">
        <v>1.1100000000000001</v>
      </c>
      <c r="U3" s="8" t="s">
        <v>2729</v>
      </c>
      <c r="V3" s="73">
        <v>0.11</v>
      </c>
      <c r="W3" s="141" t="s">
        <v>2853</v>
      </c>
      <c r="X3" s="141" t="s">
        <v>2853</v>
      </c>
      <c r="Y3" s="141" t="s">
        <v>2853</v>
      </c>
      <c r="Z3" s="73">
        <v>8.3699999999999997E-2</v>
      </c>
      <c r="AA3" s="72">
        <v>46445</v>
      </c>
      <c r="AB3" s="8" t="s">
        <v>635</v>
      </c>
      <c r="AC3" s="141" t="s">
        <v>2853</v>
      </c>
      <c r="AD3" s="141" t="s">
        <v>2853</v>
      </c>
      <c r="AE3" s="141" t="s">
        <v>2853</v>
      </c>
      <c r="AF3" s="72">
        <v>45473</v>
      </c>
      <c r="AG3" s="141" t="s">
        <v>2853</v>
      </c>
      <c r="AH3" s="141" t="s">
        <v>2853</v>
      </c>
      <c r="AI3" s="140" t="s">
        <v>2853</v>
      </c>
      <c r="AJ3" s="1" t="s">
        <v>55</v>
      </c>
      <c r="AK3" s="8" t="s">
        <v>791</v>
      </c>
      <c r="AL3" s="141" t="s">
        <v>2853</v>
      </c>
      <c r="AM3" s="8" t="s">
        <v>305</v>
      </c>
      <c r="AN3" s="70">
        <v>46022</v>
      </c>
      <c r="AO3" s="70">
        <v>46022</v>
      </c>
      <c r="AP3" s="140" t="s">
        <v>2853</v>
      </c>
      <c r="AQ3" s="67">
        <v>2056307.69</v>
      </c>
      <c r="AR3" s="74">
        <v>103.2</v>
      </c>
      <c r="AS3" s="74">
        <v>1</v>
      </c>
      <c r="AT3" s="74">
        <v>2122.1095399999999</v>
      </c>
      <c r="AU3" s="74">
        <v>2122.1095399999999</v>
      </c>
      <c r="AV3" s="141" t="s">
        <v>2853</v>
      </c>
      <c r="AW3" s="141" t="s">
        <v>2853</v>
      </c>
      <c r="AX3" s="141" t="s">
        <v>2853</v>
      </c>
      <c r="AY3" s="8" t="s">
        <v>17</v>
      </c>
      <c r="AZ3" s="68">
        <v>4.2481890024271142E-2</v>
      </c>
      <c r="BA3" s="68">
        <v>4.9242964978534658E-4</v>
      </c>
    </row>
    <row r="4" spans="1:53" x14ac:dyDescent="0.25">
      <c r="A4" s="1">
        <v>13908</v>
      </c>
      <c r="B4" s="1">
        <v>13908</v>
      </c>
      <c r="C4" s="141" t="s">
        <v>2853</v>
      </c>
      <c r="D4" s="141" t="s">
        <v>2853</v>
      </c>
      <c r="E4" s="110" t="s">
        <v>2819</v>
      </c>
      <c r="F4" s="8">
        <v>11021112</v>
      </c>
      <c r="G4" s="8" t="s">
        <v>245</v>
      </c>
      <c r="H4" s="140" t="s">
        <v>2853</v>
      </c>
      <c r="I4" s="8" t="s">
        <v>53</v>
      </c>
      <c r="J4" s="141" t="s">
        <v>2853</v>
      </c>
      <c r="K4" s="8" t="s">
        <v>257</v>
      </c>
      <c r="L4" s="8" t="s">
        <v>62</v>
      </c>
      <c r="M4" s="8" t="s">
        <v>62</v>
      </c>
      <c r="N4" s="141" t="s">
        <v>2853</v>
      </c>
      <c r="O4" s="72">
        <v>45657</v>
      </c>
      <c r="P4" s="8" t="s">
        <v>298</v>
      </c>
      <c r="Q4" s="8" t="s">
        <v>298</v>
      </c>
      <c r="R4" s="8" t="s">
        <v>298</v>
      </c>
      <c r="S4" s="8" t="s">
        <v>1206</v>
      </c>
      <c r="T4" s="71">
        <v>1.63</v>
      </c>
      <c r="U4" s="8" t="s">
        <v>441</v>
      </c>
      <c r="V4" s="73">
        <v>0.107</v>
      </c>
      <c r="W4" s="141" t="s">
        <v>2853</v>
      </c>
      <c r="X4" s="141" t="s">
        <v>2853</v>
      </c>
      <c r="Y4" s="141" t="s">
        <v>2853</v>
      </c>
      <c r="Z4" s="73">
        <v>0.14249999999999999</v>
      </c>
      <c r="AA4" s="72">
        <v>47223</v>
      </c>
      <c r="AB4" s="8" t="s">
        <v>635</v>
      </c>
      <c r="AC4" s="141" t="s">
        <v>2853</v>
      </c>
      <c r="AD4" s="141" t="s">
        <v>2853</v>
      </c>
      <c r="AE4" s="141" t="s">
        <v>2853</v>
      </c>
      <c r="AF4" s="141" t="s">
        <v>2853</v>
      </c>
      <c r="AG4" s="141" t="s">
        <v>2853</v>
      </c>
      <c r="AH4" s="141" t="s">
        <v>2853</v>
      </c>
      <c r="AI4" s="140" t="s">
        <v>2853</v>
      </c>
      <c r="AJ4" s="1" t="s">
        <v>55</v>
      </c>
      <c r="AK4" s="8" t="s">
        <v>791</v>
      </c>
      <c r="AL4" s="141" t="s">
        <v>2853</v>
      </c>
      <c r="AM4" s="8" t="s">
        <v>305</v>
      </c>
      <c r="AN4" s="70">
        <v>46022</v>
      </c>
      <c r="AO4" s="70">
        <v>46022</v>
      </c>
      <c r="AP4" s="140" t="s">
        <v>2853</v>
      </c>
      <c r="AQ4" s="67">
        <v>1400000</v>
      </c>
      <c r="AR4" s="74">
        <v>102.41</v>
      </c>
      <c r="AS4" s="74">
        <v>1</v>
      </c>
      <c r="AT4" s="74">
        <v>1433.74</v>
      </c>
      <c r="AU4" s="74">
        <v>1433.74</v>
      </c>
      <c r="AV4" s="141" t="s">
        <v>2853</v>
      </c>
      <c r="AW4" s="141" t="s">
        <v>2853</v>
      </c>
      <c r="AX4" s="141" t="s">
        <v>2853</v>
      </c>
      <c r="AY4" s="8" t="s">
        <v>17</v>
      </c>
      <c r="AZ4" s="68">
        <v>2.8701621596498035E-2</v>
      </c>
      <c r="BA4" s="68">
        <v>3.3269540180439638E-4</v>
      </c>
    </row>
    <row r="5" spans="1:53" x14ac:dyDescent="0.25">
      <c r="A5" s="1">
        <v>13908</v>
      </c>
      <c r="B5" s="1">
        <v>13908</v>
      </c>
      <c r="C5" s="141" t="s">
        <v>2853</v>
      </c>
      <c r="D5" s="141" t="s">
        <v>2853</v>
      </c>
      <c r="E5" s="110" t="s">
        <v>2820</v>
      </c>
      <c r="F5" s="8">
        <v>11021116</v>
      </c>
      <c r="G5" s="8" t="s">
        <v>245</v>
      </c>
      <c r="H5" s="1" t="s">
        <v>869</v>
      </c>
      <c r="I5" s="8" t="s">
        <v>53</v>
      </c>
      <c r="J5" s="141" t="s">
        <v>2853</v>
      </c>
      <c r="K5" s="8" t="s">
        <v>651</v>
      </c>
      <c r="L5" s="8" t="s">
        <v>62</v>
      </c>
      <c r="M5" s="8" t="s">
        <v>62</v>
      </c>
      <c r="N5" s="141" t="s">
        <v>2853</v>
      </c>
      <c r="O5" s="72">
        <v>45657</v>
      </c>
      <c r="P5" s="8" t="s">
        <v>298</v>
      </c>
      <c r="Q5" s="8" t="s">
        <v>298</v>
      </c>
      <c r="R5" s="8" t="s">
        <v>298</v>
      </c>
      <c r="S5" s="8" t="s">
        <v>1206</v>
      </c>
      <c r="T5" s="71">
        <v>1.1000000000000001</v>
      </c>
      <c r="U5" s="8" t="s">
        <v>2729</v>
      </c>
      <c r="V5" s="73">
        <v>0.11</v>
      </c>
      <c r="W5" s="141" t="s">
        <v>2853</v>
      </c>
      <c r="X5" s="141" t="s">
        <v>2853</v>
      </c>
      <c r="Y5" s="141" t="s">
        <v>2853</v>
      </c>
      <c r="Z5" s="73">
        <v>0.1268</v>
      </c>
      <c r="AA5" s="72">
        <v>46445</v>
      </c>
      <c r="AB5" s="8" t="s">
        <v>635</v>
      </c>
      <c r="AC5" s="141" t="s">
        <v>2853</v>
      </c>
      <c r="AD5" s="141" t="s">
        <v>2853</v>
      </c>
      <c r="AE5" s="141" t="s">
        <v>2853</v>
      </c>
      <c r="AF5" s="72">
        <v>45473</v>
      </c>
      <c r="AG5" s="141" t="s">
        <v>2853</v>
      </c>
      <c r="AH5" s="141" t="s">
        <v>2853</v>
      </c>
      <c r="AI5" s="140" t="s">
        <v>2853</v>
      </c>
      <c r="AJ5" s="1" t="s">
        <v>55</v>
      </c>
      <c r="AK5" s="8" t="s">
        <v>791</v>
      </c>
      <c r="AL5" s="141" t="s">
        <v>2853</v>
      </c>
      <c r="AM5" s="8" t="s">
        <v>305</v>
      </c>
      <c r="AN5" s="70">
        <v>46022</v>
      </c>
      <c r="AO5" s="70">
        <v>46022</v>
      </c>
      <c r="AP5" s="140" t="s">
        <v>2853</v>
      </c>
      <c r="AQ5" s="67">
        <v>1003076.92</v>
      </c>
      <c r="AR5" s="74">
        <v>98.82</v>
      </c>
      <c r="AS5" s="74">
        <v>1</v>
      </c>
      <c r="AT5" s="74">
        <v>991.24060999999995</v>
      </c>
      <c r="AU5" s="74">
        <v>991.24060999999995</v>
      </c>
      <c r="AV5" s="141" t="s">
        <v>2853</v>
      </c>
      <c r="AW5" s="141" t="s">
        <v>2853</v>
      </c>
      <c r="AX5" s="141" t="s">
        <v>2853</v>
      </c>
      <c r="AY5" s="8" t="s">
        <v>17</v>
      </c>
      <c r="AZ5" s="68">
        <v>1.984335576834146E-2</v>
      </c>
      <c r="BA5" s="68">
        <v>2.3001464214486935E-4</v>
      </c>
    </row>
    <row r="6" spans="1:53" x14ac:dyDescent="0.25">
      <c r="A6" s="1">
        <v>13908</v>
      </c>
      <c r="B6" s="1">
        <v>13908</v>
      </c>
      <c r="C6" s="141" t="s">
        <v>2853</v>
      </c>
      <c r="D6" s="141" t="s">
        <v>2853</v>
      </c>
      <c r="E6" s="110" t="s">
        <v>2821</v>
      </c>
      <c r="F6" s="8">
        <v>11021122</v>
      </c>
      <c r="G6" s="8" t="s">
        <v>245</v>
      </c>
      <c r="H6" s="1" t="s">
        <v>843</v>
      </c>
      <c r="I6" s="8" t="s">
        <v>53</v>
      </c>
      <c r="J6" s="141" t="s">
        <v>2853</v>
      </c>
      <c r="K6" s="8" t="s">
        <v>140</v>
      </c>
      <c r="L6" s="8" t="s">
        <v>62</v>
      </c>
      <c r="M6" s="8" t="s">
        <v>62</v>
      </c>
      <c r="N6" s="141" t="s">
        <v>2853</v>
      </c>
      <c r="O6" s="72">
        <v>45657</v>
      </c>
      <c r="P6" s="8" t="s">
        <v>298</v>
      </c>
      <c r="Q6" s="8" t="s">
        <v>298</v>
      </c>
      <c r="R6" s="8" t="s">
        <v>298</v>
      </c>
      <c r="S6" s="8" t="s">
        <v>1206</v>
      </c>
      <c r="T6" s="71">
        <v>2.2200000000000002</v>
      </c>
      <c r="U6" s="8" t="s">
        <v>2729</v>
      </c>
      <c r="V6" s="73">
        <v>0.1085</v>
      </c>
      <c r="W6" s="141" t="s">
        <v>2853</v>
      </c>
      <c r="X6" s="141" t="s">
        <v>2853</v>
      </c>
      <c r="Y6" s="141" t="s">
        <v>2853</v>
      </c>
      <c r="Z6" s="73">
        <v>0.14319999999999999</v>
      </c>
      <c r="AA6" s="72">
        <v>46935</v>
      </c>
      <c r="AB6" s="8" t="s">
        <v>635</v>
      </c>
      <c r="AC6" s="141" t="s">
        <v>2853</v>
      </c>
      <c r="AD6" s="141" t="s">
        <v>2853</v>
      </c>
      <c r="AE6" s="141" t="s">
        <v>2853</v>
      </c>
      <c r="AF6" s="72">
        <v>45443</v>
      </c>
      <c r="AG6" s="141" t="s">
        <v>2853</v>
      </c>
      <c r="AH6" s="141" t="s">
        <v>2853</v>
      </c>
      <c r="AI6" s="140" t="s">
        <v>2853</v>
      </c>
      <c r="AJ6" s="1" t="s">
        <v>55</v>
      </c>
      <c r="AK6" s="8" t="s">
        <v>791</v>
      </c>
      <c r="AL6" s="141" t="s">
        <v>2853</v>
      </c>
      <c r="AM6" s="8" t="s">
        <v>305</v>
      </c>
      <c r="AN6" s="70">
        <v>46022</v>
      </c>
      <c r="AO6" s="70">
        <v>46022</v>
      </c>
      <c r="AP6" s="140" t="s">
        <v>2853</v>
      </c>
      <c r="AQ6" s="67">
        <v>1227272.73</v>
      </c>
      <c r="AR6" s="74">
        <v>102.72</v>
      </c>
      <c r="AS6" s="74">
        <v>1</v>
      </c>
      <c r="AT6" s="74">
        <v>1260.65455</v>
      </c>
      <c r="AU6" s="74">
        <v>1260.65455</v>
      </c>
      <c r="AV6" s="141" t="s">
        <v>2853</v>
      </c>
      <c r="AW6" s="141" t="s">
        <v>2853</v>
      </c>
      <c r="AX6" s="141" t="s">
        <v>2853</v>
      </c>
      <c r="AY6" s="8" t="s">
        <v>17</v>
      </c>
      <c r="AZ6" s="68">
        <v>2.523667461185676E-2</v>
      </c>
      <c r="BA6" s="68">
        <v>2.9253140182236006E-4</v>
      </c>
    </row>
    <row r="7" spans="1:53" x14ac:dyDescent="0.25">
      <c r="A7" s="1">
        <v>13908</v>
      </c>
      <c r="B7" s="1">
        <v>13908</v>
      </c>
      <c r="C7" s="141" t="s">
        <v>2853</v>
      </c>
      <c r="D7" s="141" t="s">
        <v>2853</v>
      </c>
      <c r="E7" s="110" t="s">
        <v>2822</v>
      </c>
      <c r="F7" s="8">
        <v>11021130</v>
      </c>
      <c r="G7" s="8" t="s">
        <v>245</v>
      </c>
      <c r="H7" s="1" t="s">
        <v>843</v>
      </c>
      <c r="I7" s="8" t="s">
        <v>53</v>
      </c>
      <c r="J7" s="141" t="s">
        <v>2853</v>
      </c>
      <c r="K7" s="8" t="s">
        <v>140</v>
      </c>
      <c r="L7" s="8" t="s">
        <v>62</v>
      </c>
      <c r="M7" s="8" t="s">
        <v>62</v>
      </c>
      <c r="N7" s="141" t="s">
        <v>2853</v>
      </c>
      <c r="O7" s="72">
        <v>45657</v>
      </c>
      <c r="P7" s="8" t="s">
        <v>298</v>
      </c>
      <c r="Q7" s="8" t="s">
        <v>298</v>
      </c>
      <c r="R7" s="8" t="s">
        <v>298</v>
      </c>
      <c r="S7" s="8" t="s">
        <v>1206</v>
      </c>
      <c r="T7" s="71">
        <v>1.49</v>
      </c>
      <c r="U7" s="8" t="s">
        <v>2729</v>
      </c>
      <c r="V7" s="73">
        <v>9.2499999999999999E-2</v>
      </c>
      <c r="W7" s="141" t="s">
        <v>2853</v>
      </c>
      <c r="X7" s="141" t="s">
        <v>2853</v>
      </c>
      <c r="Y7" s="141" t="s">
        <v>2853</v>
      </c>
      <c r="Z7" s="73">
        <v>9.6699999999999994E-2</v>
      </c>
      <c r="AA7" s="72">
        <v>46599</v>
      </c>
      <c r="AB7" s="8" t="s">
        <v>635</v>
      </c>
      <c r="AC7" s="141" t="s">
        <v>2853</v>
      </c>
      <c r="AD7" s="141" t="s">
        <v>2853</v>
      </c>
      <c r="AE7" s="141" t="s">
        <v>2853</v>
      </c>
      <c r="AF7" s="72">
        <v>45493</v>
      </c>
      <c r="AG7" s="141" t="s">
        <v>2853</v>
      </c>
      <c r="AH7" s="141" t="s">
        <v>2853</v>
      </c>
      <c r="AI7" s="140" t="s">
        <v>2853</v>
      </c>
      <c r="AJ7" s="1" t="s">
        <v>55</v>
      </c>
      <c r="AK7" s="8" t="s">
        <v>791</v>
      </c>
      <c r="AL7" s="141" t="s">
        <v>2853</v>
      </c>
      <c r="AM7" s="8" t="s">
        <v>305</v>
      </c>
      <c r="AN7" s="70">
        <v>46022</v>
      </c>
      <c r="AO7" s="70">
        <v>46022</v>
      </c>
      <c r="AP7" s="140" t="s">
        <v>2853</v>
      </c>
      <c r="AQ7" s="67">
        <v>3078571</v>
      </c>
      <c r="AR7" s="74">
        <v>99.92</v>
      </c>
      <c r="AS7" s="74">
        <v>1</v>
      </c>
      <c r="AT7" s="74">
        <v>3076.1081399999998</v>
      </c>
      <c r="AU7" s="74">
        <v>3076.1081399999998</v>
      </c>
      <c r="AV7" s="141" t="s">
        <v>2853</v>
      </c>
      <c r="AW7" s="141" t="s">
        <v>2853</v>
      </c>
      <c r="AX7" s="141" t="s">
        <v>2853</v>
      </c>
      <c r="AY7" s="8" t="s">
        <v>17</v>
      </c>
      <c r="AZ7" s="68">
        <v>6.1579708890166555E-2</v>
      </c>
      <c r="BA7" s="68">
        <v>7.1380238650736846E-4</v>
      </c>
    </row>
    <row r="8" spans="1:53" x14ac:dyDescent="0.25">
      <c r="A8" s="1">
        <v>13908</v>
      </c>
      <c r="B8" s="1">
        <v>13908</v>
      </c>
      <c r="C8" s="141" t="s">
        <v>2853</v>
      </c>
      <c r="D8" s="141" t="s">
        <v>2853</v>
      </c>
      <c r="E8" s="110" t="s">
        <v>2823</v>
      </c>
      <c r="F8" s="8">
        <v>11021131</v>
      </c>
      <c r="G8" s="8" t="s">
        <v>245</v>
      </c>
      <c r="H8" s="140" t="s">
        <v>2853</v>
      </c>
      <c r="I8" s="8" t="s">
        <v>53</v>
      </c>
      <c r="J8" s="141" t="s">
        <v>2853</v>
      </c>
      <c r="K8" s="8" t="s">
        <v>257</v>
      </c>
      <c r="L8" s="8" t="s">
        <v>62</v>
      </c>
      <c r="M8" s="8" t="s">
        <v>62</v>
      </c>
      <c r="N8" s="141" t="s">
        <v>2853</v>
      </c>
      <c r="O8" s="72">
        <v>45657</v>
      </c>
      <c r="P8" s="8" t="s">
        <v>298</v>
      </c>
      <c r="Q8" s="8" t="s">
        <v>298</v>
      </c>
      <c r="R8" s="8" t="s">
        <v>298</v>
      </c>
      <c r="S8" s="8" t="s">
        <v>1206</v>
      </c>
      <c r="T8" s="71">
        <v>1.62</v>
      </c>
      <c r="U8" s="8" t="s">
        <v>441</v>
      </c>
      <c r="V8" s="73">
        <v>0.107</v>
      </c>
      <c r="W8" s="141" t="s">
        <v>2853</v>
      </c>
      <c r="X8" s="141" t="s">
        <v>2853</v>
      </c>
      <c r="Y8" s="141" t="s">
        <v>2853</v>
      </c>
      <c r="Z8" s="73">
        <v>4.4999999999999998E-2</v>
      </c>
      <c r="AA8" s="72">
        <v>47223</v>
      </c>
      <c r="AB8" s="8" t="s">
        <v>635</v>
      </c>
      <c r="AC8" s="141" t="s">
        <v>2853</v>
      </c>
      <c r="AD8" s="141" t="s">
        <v>2853</v>
      </c>
      <c r="AE8" s="141" t="s">
        <v>2853</v>
      </c>
      <c r="AF8" s="141" t="s">
        <v>2853</v>
      </c>
      <c r="AG8" s="141" t="s">
        <v>2853</v>
      </c>
      <c r="AH8" s="141" t="s">
        <v>2853</v>
      </c>
      <c r="AI8" s="140" t="s">
        <v>2853</v>
      </c>
      <c r="AJ8" s="1" t="s">
        <v>55</v>
      </c>
      <c r="AK8" s="8" t="s">
        <v>791</v>
      </c>
      <c r="AL8" s="141" t="s">
        <v>2853</v>
      </c>
      <c r="AM8" s="8" t="s">
        <v>305</v>
      </c>
      <c r="AN8" s="70">
        <v>46022</v>
      </c>
      <c r="AO8" s="70">
        <v>46022</v>
      </c>
      <c r="AP8" s="140" t="s">
        <v>2853</v>
      </c>
      <c r="AQ8" s="67">
        <v>1400000</v>
      </c>
      <c r="AR8" s="74">
        <v>102.24</v>
      </c>
      <c r="AS8" s="74">
        <v>1</v>
      </c>
      <c r="AT8" s="74">
        <v>1431.36</v>
      </c>
      <c r="AU8" s="74">
        <v>1431.36</v>
      </c>
      <c r="AV8" s="141" t="s">
        <v>2853</v>
      </c>
      <c r="AW8" s="141" t="s">
        <v>2853</v>
      </c>
      <c r="AX8" s="141" t="s">
        <v>2853</v>
      </c>
      <c r="AY8" s="8" t="s">
        <v>17</v>
      </c>
      <c r="AZ8" s="68">
        <v>2.8653977072804992E-2</v>
      </c>
      <c r="BA8" s="68">
        <v>3.3214312938659787E-4</v>
      </c>
    </row>
    <row r="9" spans="1:53" x14ac:dyDescent="0.25">
      <c r="A9" s="1">
        <v>13908</v>
      </c>
      <c r="B9" s="1">
        <v>13908</v>
      </c>
      <c r="C9" s="141" t="s">
        <v>2853</v>
      </c>
      <c r="D9" s="141" t="s">
        <v>2853</v>
      </c>
      <c r="E9" s="110" t="s">
        <v>2824</v>
      </c>
      <c r="F9" s="8">
        <v>11022433</v>
      </c>
      <c r="G9" s="8" t="s">
        <v>245</v>
      </c>
      <c r="H9" s="1" t="s">
        <v>869</v>
      </c>
      <c r="I9" s="8" t="s">
        <v>53</v>
      </c>
      <c r="J9" s="141" t="s">
        <v>2853</v>
      </c>
      <c r="K9" s="8" t="s">
        <v>651</v>
      </c>
      <c r="L9" s="8" t="s">
        <v>62</v>
      </c>
      <c r="M9" s="8" t="s">
        <v>62</v>
      </c>
      <c r="N9" s="141" t="s">
        <v>2853</v>
      </c>
      <c r="O9" s="72">
        <v>45657</v>
      </c>
      <c r="P9" s="8" t="s">
        <v>298</v>
      </c>
      <c r="Q9" s="8" t="s">
        <v>298</v>
      </c>
      <c r="R9" s="8" t="s">
        <v>298</v>
      </c>
      <c r="S9" s="8" t="s">
        <v>1206</v>
      </c>
      <c r="T9" s="71">
        <v>1.1000000000000001</v>
      </c>
      <c r="U9" s="8" t="s">
        <v>2729</v>
      </c>
      <c r="V9" s="73">
        <v>0.11</v>
      </c>
      <c r="W9" s="141" t="s">
        <v>2853</v>
      </c>
      <c r="X9" s="141" t="s">
        <v>2853</v>
      </c>
      <c r="Y9" s="141" t="s">
        <v>2853</v>
      </c>
      <c r="Z9" s="73">
        <v>0.1464</v>
      </c>
      <c r="AA9" s="72">
        <v>46445</v>
      </c>
      <c r="AB9" s="8" t="s">
        <v>635</v>
      </c>
      <c r="AC9" s="141" t="s">
        <v>2853</v>
      </c>
      <c r="AD9" s="141" t="s">
        <v>2853</v>
      </c>
      <c r="AE9" s="141" t="s">
        <v>2853</v>
      </c>
      <c r="AF9" s="72">
        <v>45473</v>
      </c>
      <c r="AG9" s="141" t="s">
        <v>2853</v>
      </c>
      <c r="AH9" s="141" t="s">
        <v>2853</v>
      </c>
      <c r="AI9" s="140" t="s">
        <v>2853</v>
      </c>
      <c r="AJ9" s="1" t="s">
        <v>55</v>
      </c>
      <c r="AK9" s="8" t="s">
        <v>791</v>
      </c>
      <c r="AL9" s="141" t="s">
        <v>2853</v>
      </c>
      <c r="AM9" s="8" t="s">
        <v>305</v>
      </c>
      <c r="AN9" s="70">
        <v>46022</v>
      </c>
      <c r="AO9" s="70">
        <v>46022</v>
      </c>
      <c r="AP9" s="140" t="s">
        <v>2853</v>
      </c>
      <c r="AQ9" s="67">
        <v>1504615.38</v>
      </c>
      <c r="AR9" s="74">
        <v>96.95</v>
      </c>
      <c r="AS9" s="74">
        <v>1</v>
      </c>
      <c r="AT9" s="74">
        <v>1458.72461</v>
      </c>
      <c r="AU9" s="74">
        <v>1458.72461</v>
      </c>
      <c r="AV9" s="141" t="s">
        <v>2853</v>
      </c>
      <c r="AW9" s="141" t="s">
        <v>2853</v>
      </c>
      <c r="AX9" s="141" t="s">
        <v>2853</v>
      </c>
      <c r="AY9" s="8" t="s">
        <v>17</v>
      </c>
      <c r="AZ9" s="68">
        <v>2.9201781194441931E-2</v>
      </c>
      <c r="BA9" s="68">
        <v>3.3849301145668769E-4</v>
      </c>
    </row>
    <row r="10" spans="1:53" x14ac:dyDescent="0.25">
      <c r="A10" s="1">
        <v>13908</v>
      </c>
      <c r="B10" s="1">
        <v>13908</v>
      </c>
      <c r="C10" s="141" t="s">
        <v>2853</v>
      </c>
      <c r="D10" s="141" t="s">
        <v>2853</v>
      </c>
      <c r="E10" s="110" t="s">
        <v>2825</v>
      </c>
      <c r="F10" s="8">
        <v>11022434</v>
      </c>
      <c r="G10" s="8" t="s">
        <v>245</v>
      </c>
      <c r="H10" s="1" t="s">
        <v>869</v>
      </c>
      <c r="I10" s="8" t="s">
        <v>53</v>
      </c>
      <c r="J10" s="141" t="s">
        <v>2853</v>
      </c>
      <c r="K10" s="8" t="s">
        <v>140</v>
      </c>
      <c r="L10" s="8" t="s">
        <v>62</v>
      </c>
      <c r="M10" s="8" t="s">
        <v>62</v>
      </c>
      <c r="N10" s="141" t="s">
        <v>2853</v>
      </c>
      <c r="O10" s="72">
        <v>45657</v>
      </c>
      <c r="P10" s="8" t="s">
        <v>298</v>
      </c>
      <c r="Q10" s="8" t="s">
        <v>298</v>
      </c>
      <c r="R10" s="8" t="s">
        <v>298</v>
      </c>
      <c r="S10" s="8" t="s">
        <v>1206</v>
      </c>
      <c r="T10" s="71">
        <v>1.49</v>
      </c>
      <c r="U10" s="8" t="s">
        <v>2729</v>
      </c>
      <c r="V10" s="73">
        <v>9.2499999999999999E-2</v>
      </c>
      <c r="W10" s="141" t="s">
        <v>2853</v>
      </c>
      <c r="X10" s="141" t="s">
        <v>2853</v>
      </c>
      <c r="Y10" s="141" t="s">
        <v>2853</v>
      </c>
      <c r="Z10" s="73">
        <v>0.12189999999999999</v>
      </c>
      <c r="AA10" s="72">
        <v>46599</v>
      </c>
      <c r="AB10" s="8" t="s">
        <v>635</v>
      </c>
      <c r="AC10" s="141" t="s">
        <v>2853</v>
      </c>
      <c r="AD10" s="141" t="s">
        <v>2853</v>
      </c>
      <c r="AE10" s="141" t="s">
        <v>2853</v>
      </c>
      <c r="AF10" s="72">
        <v>45493</v>
      </c>
      <c r="AG10" s="141" t="s">
        <v>2853</v>
      </c>
      <c r="AH10" s="141" t="s">
        <v>2853</v>
      </c>
      <c r="AI10" s="140" t="s">
        <v>2853</v>
      </c>
      <c r="AJ10" s="1" t="s">
        <v>55</v>
      </c>
      <c r="AK10" s="8" t="s">
        <v>791</v>
      </c>
      <c r="AL10" s="141" t="s">
        <v>2853</v>
      </c>
      <c r="AM10" s="8" t="s">
        <v>305</v>
      </c>
      <c r="AN10" s="70">
        <v>46022</v>
      </c>
      <c r="AO10" s="70">
        <v>46022</v>
      </c>
      <c r="AP10" s="140" t="s">
        <v>2853</v>
      </c>
      <c r="AQ10" s="67">
        <v>1231429</v>
      </c>
      <c r="AR10" s="74">
        <v>96.6</v>
      </c>
      <c r="AS10" s="74">
        <v>1</v>
      </c>
      <c r="AT10" s="74">
        <v>1189.56041</v>
      </c>
      <c r="AU10" s="74">
        <v>1189.56041</v>
      </c>
      <c r="AV10" s="141" t="s">
        <v>2853</v>
      </c>
      <c r="AW10" s="141" t="s">
        <v>2853</v>
      </c>
      <c r="AX10" s="141" t="s">
        <v>2853</v>
      </c>
      <c r="AY10" s="8" t="s">
        <v>17</v>
      </c>
      <c r="AZ10" s="68">
        <v>2.3813461822921215E-2</v>
      </c>
      <c r="BA10" s="68">
        <v>2.7603420325550832E-4</v>
      </c>
    </row>
    <row r="11" spans="1:53" x14ac:dyDescent="0.25">
      <c r="A11" s="1">
        <v>13908</v>
      </c>
      <c r="B11" s="1">
        <v>13908</v>
      </c>
      <c r="C11" s="141" t="s">
        <v>2853</v>
      </c>
      <c r="D11" s="141" t="s">
        <v>2853</v>
      </c>
      <c r="E11" s="110" t="s">
        <v>2826</v>
      </c>
      <c r="F11" s="8">
        <v>11022435</v>
      </c>
      <c r="G11" s="8" t="s">
        <v>245</v>
      </c>
      <c r="H11" s="1" t="s">
        <v>855</v>
      </c>
      <c r="I11" s="8" t="s">
        <v>53</v>
      </c>
      <c r="J11" s="141" t="s">
        <v>2853</v>
      </c>
      <c r="K11" s="8" t="s">
        <v>140</v>
      </c>
      <c r="L11" s="8" t="s">
        <v>62</v>
      </c>
      <c r="M11" s="8" t="s">
        <v>62</v>
      </c>
      <c r="N11" s="141" t="s">
        <v>2853</v>
      </c>
      <c r="O11" s="72">
        <v>45665</v>
      </c>
      <c r="P11" s="8" t="s">
        <v>298</v>
      </c>
      <c r="Q11" s="8" t="s">
        <v>298</v>
      </c>
      <c r="R11" s="8" t="s">
        <v>298</v>
      </c>
      <c r="S11" s="8" t="s">
        <v>1206</v>
      </c>
      <c r="T11" s="71">
        <v>3.42</v>
      </c>
      <c r="U11" s="8" t="s">
        <v>2729</v>
      </c>
      <c r="V11" s="73">
        <v>3.7999999999999999E-2</v>
      </c>
      <c r="W11" s="141" t="s">
        <v>2853</v>
      </c>
      <c r="X11" s="141" t="s">
        <v>2853</v>
      </c>
      <c r="Y11" s="141" t="s">
        <v>2853</v>
      </c>
      <c r="Z11" s="73">
        <v>7.5499999999999998E-2</v>
      </c>
      <c r="AA11" s="72">
        <v>47664</v>
      </c>
      <c r="AB11" s="8" t="s">
        <v>636</v>
      </c>
      <c r="AC11" s="141" t="s">
        <v>2853</v>
      </c>
      <c r="AD11" s="141" t="s">
        <v>2853</v>
      </c>
      <c r="AE11" s="141" t="s">
        <v>2853</v>
      </c>
      <c r="AF11" s="141" t="s">
        <v>2853</v>
      </c>
      <c r="AG11" s="141" t="s">
        <v>2853</v>
      </c>
      <c r="AH11" s="141" t="s">
        <v>2853</v>
      </c>
      <c r="AI11" s="140" t="s">
        <v>2853</v>
      </c>
      <c r="AJ11" s="1" t="s">
        <v>62</v>
      </c>
      <c r="AK11" s="8" t="s">
        <v>791</v>
      </c>
      <c r="AL11" s="141" t="s">
        <v>2853</v>
      </c>
      <c r="AM11" s="8" t="s">
        <v>305</v>
      </c>
      <c r="AN11" s="70">
        <v>46022</v>
      </c>
      <c r="AO11" s="70">
        <v>46022</v>
      </c>
      <c r="AP11" s="140" t="s">
        <v>2853</v>
      </c>
      <c r="AQ11" s="67">
        <v>74343.09</v>
      </c>
      <c r="AR11" s="74">
        <v>99.59</v>
      </c>
      <c r="AS11" s="74">
        <v>1</v>
      </c>
      <c r="AT11" s="74">
        <v>74.03828</v>
      </c>
      <c r="AU11" s="74">
        <v>74.03828</v>
      </c>
      <c r="AV11" s="141" t="s">
        <v>2853</v>
      </c>
      <c r="AW11" s="141" t="s">
        <v>2853</v>
      </c>
      <c r="AX11" s="141" t="s">
        <v>2853</v>
      </c>
      <c r="AY11" s="8" t="s">
        <v>17</v>
      </c>
      <c r="AZ11" s="68">
        <v>1.4821506662404402E-3</v>
      </c>
      <c r="BA11" s="68">
        <v>1.7180378111447268E-5</v>
      </c>
    </row>
    <row r="12" spans="1:53" x14ac:dyDescent="0.25">
      <c r="A12" s="1">
        <v>13908</v>
      </c>
      <c r="B12" s="1">
        <v>13908</v>
      </c>
      <c r="C12" s="141" t="s">
        <v>2853</v>
      </c>
      <c r="D12" s="141" t="s">
        <v>2853</v>
      </c>
      <c r="E12" s="110" t="s">
        <v>2827</v>
      </c>
      <c r="F12" s="8">
        <v>11022442</v>
      </c>
      <c r="G12" s="8" t="s">
        <v>245</v>
      </c>
      <c r="H12" s="1" t="s">
        <v>869</v>
      </c>
      <c r="I12" s="8" t="s">
        <v>53</v>
      </c>
      <c r="J12" s="141" t="s">
        <v>2853</v>
      </c>
      <c r="K12" s="8" t="s">
        <v>651</v>
      </c>
      <c r="L12" s="8" t="s">
        <v>62</v>
      </c>
      <c r="M12" s="8" t="s">
        <v>62</v>
      </c>
      <c r="N12" s="141" t="s">
        <v>2853</v>
      </c>
      <c r="O12" s="72">
        <v>45685</v>
      </c>
      <c r="P12" s="8" t="s">
        <v>298</v>
      </c>
      <c r="Q12" s="8" t="s">
        <v>298</v>
      </c>
      <c r="R12" s="8" t="s">
        <v>298</v>
      </c>
      <c r="S12" s="8" t="s">
        <v>1206</v>
      </c>
      <c r="T12" s="71">
        <v>1.1000000000000001</v>
      </c>
      <c r="U12" s="8" t="s">
        <v>2729</v>
      </c>
      <c r="V12" s="73">
        <v>0.11</v>
      </c>
      <c r="W12" s="141" t="s">
        <v>2853</v>
      </c>
      <c r="X12" s="141" t="s">
        <v>2853</v>
      </c>
      <c r="Y12" s="141" t="s">
        <v>2853</v>
      </c>
      <c r="Z12" s="73">
        <v>0.17560000000000001</v>
      </c>
      <c r="AA12" s="72">
        <v>46446</v>
      </c>
      <c r="AB12" s="8" t="s">
        <v>635</v>
      </c>
      <c r="AC12" s="141" t="s">
        <v>2853</v>
      </c>
      <c r="AD12" s="141" t="s">
        <v>2853</v>
      </c>
      <c r="AE12" s="141" t="s">
        <v>2853</v>
      </c>
      <c r="AF12" s="72">
        <v>45473</v>
      </c>
      <c r="AG12" s="141" t="s">
        <v>2853</v>
      </c>
      <c r="AH12" s="141" t="s">
        <v>2853</v>
      </c>
      <c r="AI12" s="140" t="s">
        <v>2853</v>
      </c>
      <c r="AJ12" s="1" t="s">
        <v>55</v>
      </c>
      <c r="AK12" s="8" t="s">
        <v>791</v>
      </c>
      <c r="AL12" s="141" t="s">
        <v>2853</v>
      </c>
      <c r="AM12" s="8" t="s">
        <v>305</v>
      </c>
      <c r="AN12" s="70">
        <v>46022</v>
      </c>
      <c r="AO12" s="70">
        <v>46022</v>
      </c>
      <c r="AP12" s="140" t="s">
        <v>2853</v>
      </c>
      <c r="AQ12" s="67">
        <v>200615.38</v>
      </c>
      <c r="AR12" s="74">
        <v>94.3</v>
      </c>
      <c r="AS12" s="74">
        <v>1</v>
      </c>
      <c r="AT12" s="74">
        <v>189.18029999999999</v>
      </c>
      <c r="AU12" s="74">
        <v>189.18029999999999</v>
      </c>
      <c r="AV12" s="141" t="s">
        <v>2853</v>
      </c>
      <c r="AW12" s="141" t="s">
        <v>2853</v>
      </c>
      <c r="AX12" s="141" t="s">
        <v>2853</v>
      </c>
      <c r="AY12" s="8" t="s">
        <v>17</v>
      </c>
      <c r="AZ12" s="68">
        <v>3.7871450779862299E-3</v>
      </c>
      <c r="BA12" s="68">
        <v>4.3898765412122313E-5</v>
      </c>
    </row>
    <row r="13" spans="1:53" x14ac:dyDescent="0.25">
      <c r="A13" s="1">
        <v>13908</v>
      </c>
      <c r="B13" s="1">
        <v>13908</v>
      </c>
      <c r="C13" s="141" t="s">
        <v>2853</v>
      </c>
      <c r="D13" s="141" t="s">
        <v>2853</v>
      </c>
      <c r="E13" s="110" t="s">
        <v>2828</v>
      </c>
      <c r="F13" s="8">
        <v>11022458</v>
      </c>
      <c r="G13" s="8" t="s">
        <v>245</v>
      </c>
      <c r="H13" s="140" t="s">
        <v>2853</v>
      </c>
      <c r="I13" s="8" t="s">
        <v>53</v>
      </c>
      <c r="J13" s="141" t="s">
        <v>2853</v>
      </c>
      <c r="K13" s="8" t="s">
        <v>651</v>
      </c>
      <c r="L13" s="8" t="s">
        <v>62</v>
      </c>
      <c r="M13" s="8" t="s">
        <v>62</v>
      </c>
      <c r="N13" s="141" t="s">
        <v>2853</v>
      </c>
      <c r="O13" s="72">
        <v>45739</v>
      </c>
      <c r="P13" s="8" t="s">
        <v>298</v>
      </c>
      <c r="Q13" s="8" t="s">
        <v>298</v>
      </c>
      <c r="R13" s="8" t="s">
        <v>298</v>
      </c>
      <c r="S13" s="8" t="s">
        <v>1206</v>
      </c>
      <c r="T13" s="71">
        <v>2.02</v>
      </c>
      <c r="U13" s="8" t="s">
        <v>2729</v>
      </c>
      <c r="V13" s="73">
        <v>0.1</v>
      </c>
      <c r="W13" s="141" t="s">
        <v>2853</v>
      </c>
      <c r="X13" s="141" t="s">
        <v>2853</v>
      </c>
      <c r="Y13" s="141" t="s">
        <v>2853</v>
      </c>
      <c r="Z13" s="73">
        <v>0.13159999999999999</v>
      </c>
      <c r="AA13" s="72">
        <v>46835</v>
      </c>
      <c r="AB13" s="8" t="s">
        <v>636</v>
      </c>
      <c r="AC13" s="141" t="s">
        <v>2853</v>
      </c>
      <c r="AD13" s="141" t="s">
        <v>2853</v>
      </c>
      <c r="AE13" s="141" t="s">
        <v>2853</v>
      </c>
      <c r="AF13" s="141" t="s">
        <v>2853</v>
      </c>
      <c r="AG13" s="141" t="s">
        <v>2853</v>
      </c>
      <c r="AH13" s="141" t="s">
        <v>2853</v>
      </c>
      <c r="AI13" s="140" t="s">
        <v>2853</v>
      </c>
      <c r="AJ13" s="1" t="s">
        <v>55</v>
      </c>
      <c r="AK13" s="8" t="s">
        <v>102</v>
      </c>
      <c r="AL13" s="141" t="s">
        <v>2853</v>
      </c>
      <c r="AM13" s="8" t="s">
        <v>305</v>
      </c>
      <c r="AN13" s="70">
        <v>46022</v>
      </c>
      <c r="AO13" s="70">
        <v>46022</v>
      </c>
      <c r="AP13" s="140" t="s">
        <v>2853</v>
      </c>
      <c r="AQ13" s="67">
        <v>6250000</v>
      </c>
      <c r="AR13" s="74">
        <v>95.1</v>
      </c>
      <c r="AS13" s="74">
        <v>1</v>
      </c>
      <c r="AT13" s="74">
        <v>5943.75</v>
      </c>
      <c r="AU13" s="74">
        <v>5943.75</v>
      </c>
      <c r="AV13" s="141" t="s">
        <v>2853</v>
      </c>
      <c r="AW13" s="141" t="s">
        <v>2853</v>
      </c>
      <c r="AX13" s="141" t="s">
        <v>2853</v>
      </c>
      <c r="AY13" s="8" t="s">
        <v>17</v>
      </c>
      <c r="AZ13" s="68">
        <v>0.1189861923111479</v>
      </c>
      <c r="BA13" s="68">
        <v>1.3792307492815163E-3</v>
      </c>
    </row>
    <row r="14" spans="1:53" x14ac:dyDescent="0.25">
      <c r="A14" s="1">
        <v>13908</v>
      </c>
      <c r="B14" s="1">
        <v>13908</v>
      </c>
      <c r="C14" s="141" t="s">
        <v>2853</v>
      </c>
      <c r="D14" s="141" t="s">
        <v>2853</v>
      </c>
      <c r="E14" s="110" t="s">
        <v>2829</v>
      </c>
      <c r="F14" s="8">
        <v>11022460</v>
      </c>
      <c r="G14" s="8" t="s">
        <v>245</v>
      </c>
      <c r="H14" s="1" t="s">
        <v>855</v>
      </c>
      <c r="I14" s="8" t="s">
        <v>53</v>
      </c>
      <c r="J14" s="141" t="s">
        <v>2853</v>
      </c>
      <c r="K14" s="8" t="s">
        <v>140</v>
      </c>
      <c r="L14" s="8" t="s">
        <v>62</v>
      </c>
      <c r="M14" s="8" t="s">
        <v>62</v>
      </c>
      <c r="N14" s="141" t="s">
        <v>2853</v>
      </c>
      <c r="O14" s="72">
        <v>45741</v>
      </c>
      <c r="P14" s="8" t="s">
        <v>298</v>
      </c>
      <c r="Q14" s="8" t="s">
        <v>298</v>
      </c>
      <c r="R14" s="8" t="s">
        <v>298</v>
      </c>
      <c r="S14" s="8" t="s">
        <v>1206</v>
      </c>
      <c r="T14" s="71">
        <v>3.42</v>
      </c>
      <c r="U14" s="8" t="s">
        <v>2729</v>
      </c>
      <c r="V14" s="73">
        <v>0.09</v>
      </c>
      <c r="W14" s="141" t="s">
        <v>2853</v>
      </c>
      <c r="X14" s="141" t="s">
        <v>2853</v>
      </c>
      <c r="Y14" s="141" t="s">
        <v>2853</v>
      </c>
      <c r="Z14" s="73">
        <v>0.1091</v>
      </c>
      <c r="AA14" s="72">
        <v>47664</v>
      </c>
      <c r="AB14" s="8" t="s">
        <v>636</v>
      </c>
      <c r="AC14" s="141" t="s">
        <v>2853</v>
      </c>
      <c r="AD14" s="141" t="s">
        <v>2853</v>
      </c>
      <c r="AE14" s="141" t="s">
        <v>2853</v>
      </c>
      <c r="AF14" s="141" t="s">
        <v>2853</v>
      </c>
      <c r="AG14" s="141" t="s">
        <v>2853</v>
      </c>
      <c r="AH14" s="141" t="s">
        <v>2853</v>
      </c>
      <c r="AI14" s="140" t="s">
        <v>2853</v>
      </c>
      <c r="AJ14" s="1" t="s">
        <v>62</v>
      </c>
      <c r="AK14" s="8" t="s">
        <v>791</v>
      </c>
      <c r="AL14" s="141" t="s">
        <v>2853</v>
      </c>
      <c r="AM14" s="8" t="s">
        <v>305</v>
      </c>
      <c r="AN14" s="70">
        <v>46022</v>
      </c>
      <c r="AO14" s="70">
        <v>46022</v>
      </c>
      <c r="AP14" s="140" t="s">
        <v>2853</v>
      </c>
      <c r="AQ14" s="67">
        <v>530769.23</v>
      </c>
      <c r="AR14" s="74">
        <v>100.7</v>
      </c>
      <c r="AS14" s="74">
        <v>1</v>
      </c>
      <c r="AT14" s="74">
        <v>534.48460999999998</v>
      </c>
      <c r="AU14" s="74">
        <v>534.48460999999998</v>
      </c>
      <c r="AV14" s="141" t="s">
        <v>2853</v>
      </c>
      <c r="AW14" s="141" t="s">
        <v>2853</v>
      </c>
      <c r="AX14" s="141" t="s">
        <v>2853</v>
      </c>
      <c r="AY14" s="8" t="s">
        <v>17</v>
      </c>
      <c r="AZ14" s="68">
        <v>1.0699691035593503E-2</v>
      </c>
      <c r="BA14" s="68">
        <v>1.2402567556336303E-4</v>
      </c>
    </row>
    <row r="15" spans="1:53" x14ac:dyDescent="0.25">
      <c r="A15" s="1">
        <v>13908</v>
      </c>
      <c r="B15" s="1">
        <v>13908</v>
      </c>
      <c r="C15" s="141" t="s">
        <v>2853</v>
      </c>
      <c r="D15" s="141" t="s">
        <v>2853</v>
      </c>
      <c r="E15" s="110" t="s">
        <v>2830</v>
      </c>
      <c r="F15" s="8">
        <v>11022466</v>
      </c>
      <c r="G15" s="8" t="s">
        <v>245</v>
      </c>
      <c r="H15" s="140" t="s">
        <v>2853</v>
      </c>
      <c r="I15" s="8" t="s">
        <v>53</v>
      </c>
      <c r="J15" s="141" t="s">
        <v>2853</v>
      </c>
      <c r="K15" s="8" t="s">
        <v>156</v>
      </c>
      <c r="L15" s="8" t="s">
        <v>62</v>
      </c>
      <c r="M15" s="8" t="s">
        <v>62</v>
      </c>
      <c r="N15" s="141" t="s">
        <v>2853</v>
      </c>
      <c r="O15" s="72">
        <v>45748</v>
      </c>
      <c r="P15" s="8" t="s">
        <v>298</v>
      </c>
      <c r="Q15" s="8" t="s">
        <v>298</v>
      </c>
      <c r="R15" s="8" t="s">
        <v>298</v>
      </c>
      <c r="S15" s="8" t="s">
        <v>1206</v>
      </c>
      <c r="T15" s="71">
        <v>3.42</v>
      </c>
      <c r="U15" s="8" t="s">
        <v>441</v>
      </c>
      <c r="V15" s="73">
        <v>0</v>
      </c>
      <c r="W15" s="141" t="s">
        <v>2853</v>
      </c>
      <c r="X15" s="141" t="s">
        <v>2853</v>
      </c>
      <c r="Y15" s="141" t="s">
        <v>2853</v>
      </c>
      <c r="Z15" s="73">
        <v>2.1000000000000001E-2</v>
      </c>
      <c r="AA15" s="72">
        <v>46026</v>
      </c>
      <c r="AB15" s="8" t="s">
        <v>636</v>
      </c>
      <c r="AC15" s="141" t="s">
        <v>2853</v>
      </c>
      <c r="AD15" s="141" t="s">
        <v>2853</v>
      </c>
      <c r="AE15" s="141" t="s">
        <v>2853</v>
      </c>
      <c r="AF15" s="141" t="s">
        <v>2853</v>
      </c>
      <c r="AG15" s="141" t="s">
        <v>2853</v>
      </c>
      <c r="AH15" s="141" t="s">
        <v>2853</v>
      </c>
      <c r="AI15" s="140" t="s">
        <v>2853</v>
      </c>
      <c r="AJ15" s="1" t="s">
        <v>55</v>
      </c>
      <c r="AK15" s="8" t="s">
        <v>102</v>
      </c>
      <c r="AL15" s="141" t="s">
        <v>2853</v>
      </c>
      <c r="AM15" s="8" t="s">
        <v>305</v>
      </c>
      <c r="AN15" s="70">
        <v>46022</v>
      </c>
      <c r="AO15" s="70">
        <v>46022</v>
      </c>
      <c r="AP15" s="140" t="s">
        <v>2853</v>
      </c>
      <c r="AQ15" s="67">
        <v>2957142.85</v>
      </c>
      <c r="AR15" s="74">
        <v>95.44</v>
      </c>
      <c r="AS15" s="74">
        <v>1</v>
      </c>
      <c r="AT15" s="74">
        <v>2822.2971400000001</v>
      </c>
      <c r="AU15" s="74">
        <v>2822.2971400000001</v>
      </c>
      <c r="AV15" s="141" t="s">
        <v>2853</v>
      </c>
      <c r="AW15" s="141" t="s">
        <v>2853</v>
      </c>
      <c r="AX15" s="141" t="s">
        <v>2853</v>
      </c>
      <c r="AY15" s="8" t="s">
        <v>17</v>
      </c>
      <c r="AZ15" s="68">
        <v>5.6498740737622337E-2</v>
      </c>
      <c r="BA15" s="68">
        <v>6.5490624590490529E-4</v>
      </c>
    </row>
    <row r="16" spans="1:53" x14ac:dyDescent="0.25">
      <c r="A16" s="1">
        <v>13908</v>
      </c>
      <c r="B16" s="1">
        <v>13908</v>
      </c>
      <c r="C16" s="141" t="s">
        <v>2853</v>
      </c>
      <c r="D16" s="141" t="s">
        <v>2853</v>
      </c>
      <c r="E16" s="110" t="s">
        <v>2831</v>
      </c>
      <c r="F16" s="8">
        <v>11022468</v>
      </c>
      <c r="G16" s="8" t="s">
        <v>245</v>
      </c>
      <c r="H16" s="140" t="s">
        <v>2853</v>
      </c>
      <c r="I16" s="8" t="s">
        <v>53</v>
      </c>
      <c r="J16" s="141" t="s">
        <v>2853</v>
      </c>
      <c r="K16" s="8" t="s">
        <v>257</v>
      </c>
      <c r="L16" s="8" t="s">
        <v>62</v>
      </c>
      <c r="M16" s="8" t="s">
        <v>62</v>
      </c>
      <c r="N16" s="141" t="s">
        <v>2853</v>
      </c>
      <c r="O16" s="72">
        <v>45755</v>
      </c>
      <c r="P16" s="8" t="s">
        <v>298</v>
      </c>
      <c r="Q16" s="8" t="s">
        <v>298</v>
      </c>
      <c r="R16" s="8" t="s">
        <v>298</v>
      </c>
      <c r="S16" s="8" t="s">
        <v>1206</v>
      </c>
      <c r="T16" s="71">
        <v>2.48</v>
      </c>
      <c r="U16" s="8" t="s">
        <v>441</v>
      </c>
      <c r="V16" s="73">
        <v>0.10100000000000001</v>
      </c>
      <c r="W16" s="141" t="s">
        <v>2853</v>
      </c>
      <c r="X16" s="141" t="s">
        <v>2853</v>
      </c>
      <c r="Y16" s="141" t="s">
        <v>2853</v>
      </c>
      <c r="Z16" s="73">
        <v>0.1229</v>
      </c>
      <c r="AA16" s="72">
        <v>47580</v>
      </c>
      <c r="AB16" s="8" t="s">
        <v>635</v>
      </c>
      <c r="AC16" s="141" t="s">
        <v>2853</v>
      </c>
      <c r="AD16" s="141" t="s">
        <v>2853</v>
      </c>
      <c r="AE16" s="141" t="s">
        <v>2853</v>
      </c>
      <c r="AF16" s="141" t="s">
        <v>2853</v>
      </c>
      <c r="AG16" s="141" t="s">
        <v>2853</v>
      </c>
      <c r="AH16" s="141" t="s">
        <v>2853</v>
      </c>
      <c r="AI16" s="140" t="s">
        <v>2853</v>
      </c>
      <c r="AJ16" s="1" t="s">
        <v>55</v>
      </c>
      <c r="AK16" s="8" t="s">
        <v>791</v>
      </c>
      <c r="AL16" s="141" t="s">
        <v>2853</v>
      </c>
      <c r="AM16" s="8" t="s">
        <v>305</v>
      </c>
      <c r="AN16" s="70">
        <v>46022</v>
      </c>
      <c r="AO16" s="70">
        <v>46022</v>
      </c>
      <c r="AP16" s="140" t="s">
        <v>2853</v>
      </c>
      <c r="AQ16" s="67">
        <v>1400000</v>
      </c>
      <c r="AR16" s="74">
        <v>96.06</v>
      </c>
      <c r="AS16" s="74">
        <v>1</v>
      </c>
      <c r="AT16" s="74">
        <v>1344.84</v>
      </c>
      <c r="AU16" s="74">
        <v>1344.84</v>
      </c>
      <c r="AV16" s="141" t="s">
        <v>2853</v>
      </c>
      <c r="AW16" s="141" t="s">
        <v>2853</v>
      </c>
      <c r="AX16" s="141" t="s">
        <v>2853</v>
      </c>
      <c r="AY16" s="8" t="s">
        <v>17</v>
      </c>
      <c r="AZ16" s="68">
        <v>2.6921958505610792E-2</v>
      </c>
      <c r="BA16" s="68">
        <v>3.1206640266898074E-4</v>
      </c>
    </row>
    <row r="17" spans="1:53" x14ac:dyDescent="0.25">
      <c r="A17" s="1">
        <v>13908</v>
      </c>
      <c r="B17" s="1">
        <v>13908</v>
      </c>
      <c r="C17" s="141" t="s">
        <v>2853</v>
      </c>
      <c r="D17" s="141" t="s">
        <v>2853</v>
      </c>
      <c r="E17" s="110" t="s">
        <v>2832</v>
      </c>
      <c r="F17" s="8">
        <v>11022473</v>
      </c>
      <c r="G17" s="8" t="s">
        <v>245</v>
      </c>
      <c r="H17" s="1" t="s">
        <v>855</v>
      </c>
      <c r="I17" s="8" t="s">
        <v>53</v>
      </c>
      <c r="J17" s="141" t="s">
        <v>2853</v>
      </c>
      <c r="K17" s="8" t="s">
        <v>140</v>
      </c>
      <c r="L17" s="8" t="s">
        <v>62</v>
      </c>
      <c r="M17" s="8" t="s">
        <v>62</v>
      </c>
      <c r="N17" s="141" t="s">
        <v>2853</v>
      </c>
      <c r="O17" s="72">
        <v>45781</v>
      </c>
      <c r="P17" s="8" t="s">
        <v>298</v>
      </c>
      <c r="Q17" s="8" t="s">
        <v>298</v>
      </c>
      <c r="R17" s="8" t="s">
        <v>298</v>
      </c>
      <c r="S17" s="8" t="s">
        <v>1206</v>
      </c>
      <c r="T17" s="71">
        <v>3.42</v>
      </c>
      <c r="U17" s="8" t="s">
        <v>2729</v>
      </c>
      <c r="V17" s="73">
        <v>0.09</v>
      </c>
      <c r="W17" s="141" t="s">
        <v>2853</v>
      </c>
      <c r="X17" s="141" t="s">
        <v>2853</v>
      </c>
      <c r="Y17" s="141" t="s">
        <v>2853</v>
      </c>
      <c r="Z17" s="73">
        <v>9.9400000000000002E-2</v>
      </c>
      <c r="AA17" s="72">
        <v>47664</v>
      </c>
      <c r="AB17" s="8" t="s">
        <v>636</v>
      </c>
      <c r="AC17" s="141" t="s">
        <v>2853</v>
      </c>
      <c r="AD17" s="141" t="s">
        <v>2853</v>
      </c>
      <c r="AE17" s="141" t="s">
        <v>2853</v>
      </c>
      <c r="AF17" s="141" t="s">
        <v>2853</v>
      </c>
      <c r="AG17" s="141" t="s">
        <v>2853</v>
      </c>
      <c r="AH17" s="141" t="s">
        <v>2853</v>
      </c>
      <c r="AI17" s="140" t="s">
        <v>2853</v>
      </c>
      <c r="AJ17" s="1" t="s">
        <v>62</v>
      </c>
      <c r="AK17" s="8" t="s">
        <v>791</v>
      </c>
      <c r="AL17" s="141" t="s">
        <v>2853</v>
      </c>
      <c r="AM17" s="8" t="s">
        <v>305</v>
      </c>
      <c r="AN17" s="70">
        <v>46022</v>
      </c>
      <c r="AO17" s="70">
        <v>46022</v>
      </c>
      <c r="AP17" s="140" t="s">
        <v>2853</v>
      </c>
      <c r="AQ17" s="67">
        <v>815665.03</v>
      </c>
      <c r="AR17" s="74">
        <v>102.79</v>
      </c>
      <c r="AS17" s="74">
        <v>1</v>
      </c>
      <c r="AT17" s="74">
        <v>838.42208000000005</v>
      </c>
      <c r="AU17" s="74">
        <v>838.42208000000005</v>
      </c>
      <c r="AV17" s="141" t="s">
        <v>2853</v>
      </c>
      <c r="AW17" s="141" t="s">
        <v>2853</v>
      </c>
      <c r="AX17" s="141" t="s">
        <v>2853</v>
      </c>
      <c r="AY17" s="8" t="s">
        <v>17</v>
      </c>
      <c r="AZ17" s="68">
        <v>1.6784126325769529E-2</v>
      </c>
      <c r="BA17" s="68">
        <v>1.9455352489801346E-4</v>
      </c>
    </row>
    <row r="18" spans="1:53" x14ac:dyDescent="0.25">
      <c r="A18" s="1">
        <v>13908</v>
      </c>
      <c r="B18" s="1">
        <v>13908</v>
      </c>
      <c r="C18" s="141" t="s">
        <v>2853</v>
      </c>
      <c r="D18" s="141" t="s">
        <v>2853</v>
      </c>
      <c r="E18" s="110" t="s">
        <v>2833</v>
      </c>
      <c r="F18" s="8">
        <v>11022481</v>
      </c>
      <c r="G18" s="8" t="s">
        <v>245</v>
      </c>
      <c r="H18" s="1" t="s">
        <v>843</v>
      </c>
      <c r="I18" s="8" t="s">
        <v>53</v>
      </c>
      <c r="J18" s="141" t="s">
        <v>2853</v>
      </c>
      <c r="K18" s="8" t="s">
        <v>140</v>
      </c>
      <c r="L18" s="8" t="s">
        <v>62</v>
      </c>
      <c r="M18" s="8" t="s">
        <v>62</v>
      </c>
      <c r="N18" s="141" t="s">
        <v>2853</v>
      </c>
      <c r="O18" s="72">
        <v>45803</v>
      </c>
      <c r="P18" s="8" t="s">
        <v>298</v>
      </c>
      <c r="Q18" s="8" t="s">
        <v>298</v>
      </c>
      <c r="R18" s="8" t="s">
        <v>298</v>
      </c>
      <c r="S18" s="8" t="s">
        <v>1206</v>
      </c>
      <c r="T18" s="71">
        <v>2.23</v>
      </c>
      <c r="U18" s="8" t="s">
        <v>2729</v>
      </c>
      <c r="V18" s="73">
        <v>0.1085</v>
      </c>
      <c r="W18" s="141" t="s">
        <v>2853</v>
      </c>
      <c r="X18" s="141" t="s">
        <v>2853</v>
      </c>
      <c r="Y18" s="141" t="s">
        <v>2853</v>
      </c>
      <c r="Z18" s="73">
        <v>9.9699999999999997E-2</v>
      </c>
      <c r="AA18" s="72">
        <v>46990</v>
      </c>
      <c r="AB18" s="8" t="s">
        <v>635</v>
      </c>
      <c r="AC18" s="141" t="s">
        <v>2853</v>
      </c>
      <c r="AD18" s="141" t="s">
        <v>2853</v>
      </c>
      <c r="AE18" s="141" t="s">
        <v>2853</v>
      </c>
      <c r="AF18" s="72">
        <v>45443</v>
      </c>
      <c r="AG18" s="141" t="s">
        <v>2853</v>
      </c>
      <c r="AH18" s="141" t="s">
        <v>2853</v>
      </c>
      <c r="AI18" s="140" t="s">
        <v>2853</v>
      </c>
      <c r="AJ18" s="1" t="s">
        <v>55</v>
      </c>
      <c r="AK18" s="8" t="s">
        <v>791</v>
      </c>
      <c r="AL18" s="141" t="s">
        <v>2853</v>
      </c>
      <c r="AM18" s="8" t="s">
        <v>305</v>
      </c>
      <c r="AN18" s="70">
        <v>46022</v>
      </c>
      <c r="AO18" s="70">
        <v>46022</v>
      </c>
      <c r="AP18" s="140" t="s">
        <v>2853</v>
      </c>
      <c r="AQ18" s="67">
        <v>1227272.73</v>
      </c>
      <c r="AR18" s="74">
        <v>94.24</v>
      </c>
      <c r="AS18" s="74">
        <v>1</v>
      </c>
      <c r="AT18" s="74">
        <v>1156.5818200000001</v>
      </c>
      <c r="AU18" s="74">
        <v>1156.5818200000001</v>
      </c>
      <c r="AV18" s="141" t="s">
        <v>2853</v>
      </c>
      <c r="AW18" s="141" t="s">
        <v>2853</v>
      </c>
      <c r="AX18" s="141" t="s">
        <v>2853</v>
      </c>
      <c r="AY18" s="8" t="s">
        <v>17</v>
      </c>
      <c r="AZ18" s="68">
        <v>2.3153273078123655E-2</v>
      </c>
      <c r="BA18" s="68">
        <v>2.6838161265261494E-4</v>
      </c>
    </row>
    <row r="19" spans="1:53" x14ac:dyDescent="0.25">
      <c r="A19" s="1">
        <v>13908</v>
      </c>
      <c r="B19" s="1">
        <v>13908</v>
      </c>
      <c r="C19" s="141" t="s">
        <v>2853</v>
      </c>
      <c r="D19" s="141" t="s">
        <v>2853</v>
      </c>
      <c r="E19" s="110" t="s">
        <v>2834</v>
      </c>
      <c r="F19" s="8">
        <v>11022535</v>
      </c>
      <c r="G19" s="8" t="s">
        <v>245</v>
      </c>
      <c r="H19" s="140" t="s">
        <v>2853</v>
      </c>
      <c r="I19" s="8" t="s">
        <v>53</v>
      </c>
      <c r="J19" s="141" t="s">
        <v>2853</v>
      </c>
      <c r="K19" s="8" t="s">
        <v>257</v>
      </c>
      <c r="L19" s="8" t="s">
        <v>62</v>
      </c>
      <c r="M19" s="8" t="s">
        <v>62</v>
      </c>
      <c r="N19" s="141" t="s">
        <v>2853</v>
      </c>
      <c r="O19" s="72">
        <v>45959</v>
      </c>
      <c r="P19" s="8" t="s">
        <v>298</v>
      </c>
      <c r="Q19" s="8" t="s">
        <v>298</v>
      </c>
      <c r="R19" s="8" t="s">
        <v>298</v>
      </c>
      <c r="S19" s="8" t="s">
        <v>1206</v>
      </c>
      <c r="T19" s="71">
        <v>8.7100000000000009</v>
      </c>
      <c r="U19" s="8" t="s">
        <v>441</v>
      </c>
      <c r="V19" s="73">
        <v>0.09</v>
      </c>
      <c r="W19" s="141" t="s">
        <v>2853</v>
      </c>
      <c r="X19" s="141" t="s">
        <v>2853</v>
      </c>
      <c r="Y19" s="141" t="s">
        <v>2853</v>
      </c>
      <c r="Z19" s="73">
        <v>0.1203</v>
      </c>
      <c r="AA19" s="72">
        <v>47788</v>
      </c>
      <c r="AB19" s="8" t="s">
        <v>635</v>
      </c>
      <c r="AC19" s="141" t="s">
        <v>2853</v>
      </c>
      <c r="AD19" s="141" t="s">
        <v>2853</v>
      </c>
      <c r="AE19" s="141" t="s">
        <v>2853</v>
      </c>
      <c r="AF19" s="141" t="s">
        <v>2853</v>
      </c>
      <c r="AG19" s="141" t="s">
        <v>2853</v>
      </c>
      <c r="AH19" s="141" t="s">
        <v>2853</v>
      </c>
      <c r="AI19" s="140" t="s">
        <v>2853</v>
      </c>
      <c r="AJ19" s="1" t="s">
        <v>55</v>
      </c>
      <c r="AK19" s="8" t="s">
        <v>791</v>
      </c>
      <c r="AL19" s="141" t="s">
        <v>2853</v>
      </c>
      <c r="AM19" s="8" t="s">
        <v>305</v>
      </c>
      <c r="AN19" s="70">
        <v>46022</v>
      </c>
      <c r="AO19" s="70">
        <v>46022</v>
      </c>
      <c r="AP19" s="140" t="s">
        <v>2853</v>
      </c>
      <c r="AQ19" s="67">
        <v>3400000</v>
      </c>
      <c r="AR19" s="74">
        <v>109.48</v>
      </c>
      <c r="AS19" s="74">
        <v>1</v>
      </c>
      <c r="AT19" s="74">
        <v>3722.32</v>
      </c>
      <c r="AU19" s="74">
        <v>3722.32</v>
      </c>
      <c r="AV19" s="141" t="s">
        <v>2853</v>
      </c>
      <c r="AW19" s="141" t="s">
        <v>2853</v>
      </c>
      <c r="AX19" s="141" t="s">
        <v>2853</v>
      </c>
      <c r="AY19" s="8" t="s">
        <v>17</v>
      </c>
      <c r="AZ19" s="68">
        <v>7.4516035055921276E-2</v>
      </c>
      <c r="BA19" s="68">
        <v>8.6375406143689994E-4</v>
      </c>
    </row>
    <row r="20" spans="1:53" x14ac:dyDescent="0.25">
      <c r="A20" s="1">
        <v>13908</v>
      </c>
      <c r="B20" s="1">
        <v>13908</v>
      </c>
      <c r="C20" s="140" t="s">
        <v>2853</v>
      </c>
      <c r="D20" s="141" t="s">
        <v>2853</v>
      </c>
      <c r="E20" s="110" t="s">
        <v>2835</v>
      </c>
      <c r="F20" s="1">
        <v>11022536</v>
      </c>
      <c r="G20" s="8" t="s">
        <v>245</v>
      </c>
      <c r="H20" s="1" t="s">
        <v>869</v>
      </c>
      <c r="I20" s="8" t="s">
        <v>53</v>
      </c>
      <c r="J20" s="141" t="s">
        <v>2853</v>
      </c>
      <c r="K20" s="8" t="s">
        <v>140</v>
      </c>
      <c r="L20" s="8" t="s">
        <v>62</v>
      </c>
      <c r="M20" s="8" t="s">
        <v>62</v>
      </c>
      <c r="N20" s="140" t="s">
        <v>2853</v>
      </c>
      <c r="O20" s="70">
        <v>45960</v>
      </c>
      <c r="P20" s="1" t="s">
        <v>298</v>
      </c>
      <c r="Q20" s="8" t="s">
        <v>298</v>
      </c>
      <c r="R20" s="8" t="s">
        <v>298</v>
      </c>
      <c r="S20" s="8" t="s">
        <v>1206</v>
      </c>
      <c r="T20" s="69">
        <v>2.33</v>
      </c>
      <c r="U20" s="8" t="s">
        <v>2729</v>
      </c>
      <c r="V20" s="68">
        <v>0</v>
      </c>
      <c r="W20" s="141" t="s">
        <v>2853</v>
      </c>
      <c r="X20" s="141" t="s">
        <v>2853</v>
      </c>
      <c r="Y20" s="140" t="s">
        <v>2853</v>
      </c>
      <c r="Z20" s="68">
        <v>0.16650000000000001</v>
      </c>
      <c r="AA20" s="70">
        <v>47056</v>
      </c>
      <c r="AB20" s="8" t="s">
        <v>636</v>
      </c>
      <c r="AC20" s="141" t="s">
        <v>2853</v>
      </c>
      <c r="AD20" s="141" t="s">
        <v>2853</v>
      </c>
      <c r="AE20" s="141" t="s">
        <v>2853</v>
      </c>
      <c r="AF20" s="141" t="s">
        <v>2853</v>
      </c>
      <c r="AG20" s="141" t="s">
        <v>2853</v>
      </c>
      <c r="AH20" s="141" t="s">
        <v>2853</v>
      </c>
      <c r="AI20" s="140" t="s">
        <v>2853</v>
      </c>
      <c r="AJ20" s="1" t="s">
        <v>55</v>
      </c>
      <c r="AK20" s="8" t="s">
        <v>791</v>
      </c>
      <c r="AL20" s="140" t="s">
        <v>2853</v>
      </c>
      <c r="AM20" s="8" t="s">
        <v>305</v>
      </c>
      <c r="AN20" s="70">
        <v>46022</v>
      </c>
      <c r="AO20" s="70">
        <v>46022</v>
      </c>
      <c r="AP20" s="140" t="s">
        <v>2853</v>
      </c>
      <c r="AQ20" s="67">
        <v>4000000</v>
      </c>
      <c r="AR20" s="67">
        <v>96.98</v>
      </c>
      <c r="AS20" s="67">
        <v>1</v>
      </c>
      <c r="AT20" s="67">
        <v>3879.2</v>
      </c>
      <c r="AU20" s="67">
        <v>3879.2</v>
      </c>
      <c r="AV20" s="140" t="s">
        <v>2853</v>
      </c>
      <c r="AW20" s="140" t="s">
        <v>2853</v>
      </c>
      <c r="AX20" s="141" t="s">
        <v>2853</v>
      </c>
      <c r="AY20" s="8" t="s">
        <v>17</v>
      </c>
      <c r="AZ20" s="68">
        <v>7.7656569878175388E-2</v>
      </c>
      <c r="BA20" s="68">
        <v>9.0015763156472896E-4</v>
      </c>
    </row>
    <row r="21" spans="1:53" x14ac:dyDescent="0.25">
      <c r="A21" s="1">
        <v>13908</v>
      </c>
      <c r="B21" s="1">
        <v>13908</v>
      </c>
      <c r="C21" s="140" t="s">
        <v>2853</v>
      </c>
      <c r="D21" s="140" t="s">
        <v>2853</v>
      </c>
      <c r="E21" s="110" t="s">
        <v>2836</v>
      </c>
      <c r="F21" s="1">
        <v>11022540</v>
      </c>
      <c r="G21" s="1" t="s">
        <v>245</v>
      </c>
      <c r="H21" s="140" t="s">
        <v>2853</v>
      </c>
      <c r="I21" s="1" t="s">
        <v>53</v>
      </c>
      <c r="J21" s="140" t="s">
        <v>2853</v>
      </c>
      <c r="K21" s="1" t="s">
        <v>257</v>
      </c>
      <c r="L21" s="1" t="s">
        <v>62</v>
      </c>
      <c r="M21" s="1" t="s">
        <v>62</v>
      </c>
      <c r="N21" s="140" t="s">
        <v>2853</v>
      </c>
      <c r="O21" s="70">
        <v>45971</v>
      </c>
      <c r="P21" s="1" t="s">
        <v>298</v>
      </c>
      <c r="Q21" s="1" t="s">
        <v>298</v>
      </c>
      <c r="R21" s="1" t="s">
        <v>298</v>
      </c>
      <c r="S21" s="8" t="s">
        <v>1206</v>
      </c>
      <c r="T21" s="69">
        <v>2.48</v>
      </c>
      <c r="U21" s="1" t="s">
        <v>441</v>
      </c>
      <c r="V21" s="68">
        <v>0.107</v>
      </c>
      <c r="W21" s="140" t="s">
        <v>2853</v>
      </c>
      <c r="X21" s="140" t="s">
        <v>2853</v>
      </c>
      <c r="Y21" s="140" t="s">
        <v>2853</v>
      </c>
      <c r="Z21" s="68">
        <v>0.1229</v>
      </c>
      <c r="AA21" s="70">
        <v>47580</v>
      </c>
      <c r="AB21" s="1" t="s">
        <v>635</v>
      </c>
      <c r="AC21" s="140" t="s">
        <v>2853</v>
      </c>
      <c r="AD21" s="141" t="s">
        <v>2853</v>
      </c>
      <c r="AE21" s="141" t="s">
        <v>2853</v>
      </c>
      <c r="AF21" s="141" t="s">
        <v>2853</v>
      </c>
      <c r="AG21" s="140" t="s">
        <v>2853</v>
      </c>
      <c r="AH21" s="140" t="s">
        <v>2853</v>
      </c>
      <c r="AI21" s="140" t="s">
        <v>2853</v>
      </c>
      <c r="AJ21" s="1" t="s">
        <v>55</v>
      </c>
      <c r="AK21" s="1" t="s">
        <v>791</v>
      </c>
      <c r="AL21" s="140" t="s">
        <v>2853</v>
      </c>
      <c r="AM21" s="1" t="s">
        <v>305</v>
      </c>
      <c r="AN21" s="70">
        <v>46022</v>
      </c>
      <c r="AO21" s="70">
        <v>46022</v>
      </c>
      <c r="AP21" s="140" t="s">
        <v>2853</v>
      </c>
      <c r="AQ21" s="67">
        <v>1400000</v>
      </c>
      <c r="AR21" s="67">
        <v>96.74</v>
      </c>
      <c r="AS21" s="67">
        <v>1</v>
      </c>
      <c r="AT21" s="67">
        <v>1354.36</v>
      </c>
      <c r="AU21" s="67">
        <v>1354.36</v>
      </c>
      <c r="AV21" s="140" t="s">
        <v>2853</v>
      </c>
      <c r="AW21" s="140" t="s">
        <v>2853</v>
      </c>
      <c r="AX21" s="140" t="s">
        <v>2853</v>
      </c>
      <c r="AY21" s="1" t="s">
        <v>17</v>
      </c>
      <c r="AZ21" s="68">
        <v>2.7112536600382969E-2</v>
      </c>
      <c r="BA21" s="68">
        <v>3.1427549234017485E-4</v>
      </c>
    </row>
    <row r="22" spans="1:53" x14ac:dyDescent="0.25">
      <c r="A22" s="1">
        <v>13908</v>
      </c>
      <c r="B22" s="1">
        <v>13908</v>
      </c>
      <c r="C22" s="140" t="s">
        <v>2853</v>
      </c>
      <c r="D22" s="140" t="s">
        <v>2853</v>
      </c>
      <c r="E22" s="110" t="s">
        <v>2837</v>
      </c>
      <c r="F22" s="1">
        <v>11022552</v>
      </c>
      <c r="G22" s="1" t="s">
        <v>245</v>
      </c>
      <c r="H22" s="140" t="s">
        <v>2853</v>
      </c>
      <c r="I22" s="1" t="s">
        <v>53</v>
      </c>
      <c r="J22" s="140" t="s">
        <v>2853</v>
      </c>
      <c r="K22" s="1" t="s">
        <v>140</v>
      </c>
      <c r="L22" s="1" t="s">
        <v>62</v>
      </c>
      <c r="M22" s="1" t="s">
        <v>62</v>
      </c>
      <c r="N22" s="140" t="s">
        <v>2853</v>
      </c>
      <c r="O22" s="70">
        <v>46021</v>
      </c>
      <c r="P22" s="1" t="s">
        <v>298</v>
      </c>
      <c r="Q22" s="1" t="s">
        <v>298</v>
      </c>
      <c r="R22" s="1" t="s">
        <v>298</v>
      </c>
      <c r="S22" s="8" t="s">
        <v>1206</v>
      </c>
      <c r="T22" s="69">
        <v>7.99</v>
      </c>
      <c r="U22" s="1" t="s">
        <v>2729</v>
      </c>
      <c r="V22" s="68">
        <v>0.12</v>
      </c>
      <c r="W22" s="140" t="s">
        <v>2853</v>
      </c>
      <c r="X22" s="140" t="s">
        <v>2853</v>
      </c>
      <c r="Y22" s="140" t="s">
        <v>2853</v>
      </c>
      <c r="Z22" s="68">
        <v>0.122</v>
      </c>
      <c r="AA22" s="70">
        <v>48939</v>
      </c>
      <c r="AB22" s="1" t="s">
        <v>636</v>
      </c>
      <c r="AC22" s="140" t="s">
        <v>2853</v>
      </c>
      <c r="AD22" s="141" t="s">
        <v>2853</v>
      </c>
      <c r="AE22" s="141" t="s">
        <v>2853</v>
      </c>
      <c r="AF22" s="72">
        <v>46022</v>
      </c>
      <c r="AG22" s="140" t="s">
        <v>2853</v>
      </c>
      <c r="AH22" s="140" t="s">
        <v>2853</v>
      </c>
      <c r="AI22" s="140" t="s">
        <v>2853</v>
      </c>
      <c r="AJ22" s="1" t="s">
        <v>62</v>
      </c>
      <c r="AK22" s="1" t="s">
        <v>791</v>
      </c>
      <c r="AL22" s="140" t="s">
        <v>2853</v>
      </c>
      <c r="AM22" s="1" t="s">
        <v>305</v>
      </c>
      <c r="AN22" s="70">
        <v>46022</v>
      </c>
      <c r="AO22" s="70">
        <v>46022</v>
      </c>
      <c r="AP22" s="140" t="s">
        <v>2853</v>
      </c>
      <c r="AQ22" s="67">
        <v>769230.77</v>
      </c>
      <c r="AR22" s="67">
        <v>100.11</v>
      </c>
      <c r="AS22" s="67">
        <v>1</v>
      </c>
      <c r="AT22" s="67">
        <v>770.07691999999997</v>
      </c>
      <c r="AU22" s="67">
        <v>770.07691999999997</v>
      </c>
      <c r="AV22" s="140" t="s">
        <v>2853</v>
      </c>
      <c r="AW22" s="140" t="s">
        <v>2853</v>
      </c>
      <c r="AX22" s="140" t="s">
        <v>2853</v>
      </c>
      <c r="AY22" s="1" t="s">
        <v>17</v>
      </c>
      <c r="AZ22" s="68">
        <v>1.5415944563196039E-2</v>
      </c>
      <c r="BA22" s="68">
        <v>1.7869421953749774E-4</v>
      </c>
    </row>
    <row r="23" spans="1:53" x14ac:dyDescent="0.25">
      <c r="A23" s="1">
        <v>13908</v>
      </c>
      <c r="B23" s="1">
        <v>13908</v>
      </c>
      <c r="C23" s="140" t="s">
        <v>2853</v>
      </c>
      <c r="D23" s="140" t="s">
        <v>2853</v>
      </c>
      <c r="E23" s="110" t="s">
        <v>2838</v>
      </c>
      <c r="F23" s="1">
        <v>11022808</v>
      </c>
      <c r="G23" s="1" t="s">
        <v>245</v>
      </c>
      <c r="H23" s="140" t="s">
        <v>2853</v>
      </c>
      <c r="I23" s="1" t="s">
        <v>53</v>
      </c>
      <c r="J23" s="140" t="s">
        <v>2853</v>
      </c>
      <c r="K23" s="1" t="s">
        <v>257</v>
      </c>
      <c r="L23" s="1" t="s">
        <v>62</v>
      </c>
      <c r="M23" s="1" t="s">
        <v>62</v>
      </c>
      <c r="N23" s="140" t="s">
        <v>2853</v>
      </c>
      <c r="O23" s="70">
        <v>45750</v>
      </c>
      <c r="P23" s="1" t="s">
        <v>298</v>
      </c>
      <c r="Q23" s="1" t="s">
        <v>298</v>
      </c>
      <c r="R23" s="1" t="s">
        <v>298</v>
      </c>
      <c r="S23" s="1" t="s">
        <v>1207</v>
      </c>
      <c r="T23" s="69">
        <v>2.19</v>
      </c>
      <c r="U23" s="1" t="s">
        <v>441</v>
      </c>
      <c r="V23" s="68">
        <v>5.2499999999999998E-2</v>
      </c>
      <c r="W23" s="140" t="s">
        <v>2853</v>
      </c>
      <c r="X23" s="140" t="s">
        <v>2853</v>
      </c>
      <c r="Y23" s="140" t="s">
        <v>2853</v>
      </c>
      <c r="Z23" s="68">
        <v>4.24E-2</v>
      </c>
      <c r="AA23" s="70">
        <v>46990</v>
      </c>
      <c r="AB23" s="1" t="s">
        <v>636</v>
      </c>
      <c r="AC23" s="140" t="s">
        <v>2853</v>
      </c>
      <c r="AD23" s="141" t="s">
        <v>2853</v>
      </c>
      <c r="AE23" s="141" t="s">
        <v>2853</v>
      </c>
      <c r="AF23" s="141" t="s">
        <v>2853</v>
      </c>
      <c r="AG23" s="140" t="s">
        <v>2853</v>
      </c>
      <c r="AH23" s="140" t="s">
        <v>2853</v>
      </c>
      <c r="AI23" s="140" t="s">
        <v>2853</v>
      </c>
      <c r="AJ23" s="1" t="s">
        <v>55</v>
      </c>
      <c r="AK23" s="1" t="s">
        <v>791</v>
      </c>
      <c r="AL23" s="140" t="s">
        <v>2853</v>
      </c>
      <c r="AM23" s="1" t="s">
        <v>305</v>
      </c>
      <c r="AN23" s="70">
        <v>46022</v>
      </c>
      <c r="AO23" s="70">
        <v>46022</v>
      </c>
      <c r="AP23" s="140" t="s">
        <v>2853</v>
      </c>
      <c r="AQ23" s="67">
        <v>901944.04</v>
      </c>
      <c r="AR23" s="67">
        <v>100.08</v>
      </c>
      <c r="AS23" s="67">
        <v>3.19</v>
      </c>
      <c r="AT23" s="67">
        <v>2879.5032500000002</v>
      </c>
      <c r="AU23" s="67">
        <v>902.66559561128497</v>
      </c>
      <c r="AV23" s="140" t="s">
        <v>2853</v>
      </c>
      <c r="AW23" s="140" t="s">
        <v>2853</v>
      </c>
      <c r="AX23" s="140" t="s">
        <v>2853</v>
      </c>
      <c r="AY23" s="1" t="s">
        <v>17</v>
      </c>
      <c r="AZ23" s="68">
        <v>5.7643933117152546E-2</v>
      </c>
      <c r="BA23" s="68">
        <v>6.681807655194215E-4</v>
      </c>
    </row>
    <row r="24" spans="1:53" x14ac:dyDescent="0.25">
      <c r="A24" s="1">
        <v>13908</v>
      </c>
      <c r="B24" s="1">
        <v>13908</v>
      </c>
      <c r="C24" s="140" t="s">
        <v>2853</v>
      </c>
      <c r="D24" s="140" t="s">
        <v>2853</v>
      </c>
      <c r="E24" s="110" t="s">
        <v>2839</v>
      </c>
      <c r="F24" s="1">
        <v>11021291</v>
      </c>
      <c r="G24" s="1" t="s">
        <v>245</v>
      </c>
      <c r="H24" s="1" t="s">
        <v>2730</v>
      </c>
      <c r="I24" s="1" t="s">
        <v>61</v>
      </c>
      <c r="J24" s="140" t="s">
        <v>2853</v>
      </c>
      <c r="K24" s="1" t="s">
        <v>912</v>
      </c>
      <c r="L24" s="1" t="s">
        <v>62</v>
      </c>
      <c r="M24" s="1" t="s">
        <v>62</v>
      </c>
      <c r="N24" s="140" t="s">
        <v>2853</v>
      </c>
      <c r="O24" s="70">
        <v>45657</v>
      </c>
      <c r="P24" s="1" t="s">
        <v>1323</v>
      </c>
      <c r="Q24" s="1" t="s">
        <v>70</v>
      </c>
      <c r="R24" s="1" t="s">
        <v>64</v>
      </c>
      <c r="S24" s="1" t="s">
        <v>1207</v>
      </c>
      <c r="T24" s="69">
        <v>1.61</v>
      </c>
      <c r="U24" s="1" t="s">
        <v>441</v>
      </c>
      <c r="V24" s="68">
        <v>4.9599999999999998E-2</v>
      </c>
      <c r="W24" s="140" t="s">
        <v>2853</v>
      </c>
      <c r="X24" s="140" t="s">
        <v>2853</v>
      </c>
      <c r="Y24" s="140" t="s">
        <v>2853</v>
      </c>
      <c r="Z24" s="68">
        <v>0.1142</v>
      </c>
      <c r="AA24" s="70">
        <v>46660</v>
      </c>
      <c r="AB24" s="1" t="s">
        <v>635</v>
      </c>
      <c r="AC24" s="140" t="s">
        <v>2853</v>
      </c>
      <c r="AD24" s="141" t="s">
        <v>2853</v>
      </c>
      <c r="AE24" s="141" t="s">
        <v>2853</v>
      </c>
      <c r="AF24" s="141" t="s">
        <v>2853</v>
      </c>
      <c r="AG24" s="140" t="s">
        <v>2853</v>
      </c>
      <c r="AH24" s="140" t="s">
        <v>2853</v>
      </c>
      <c r="AI24" s="140" t="s">
        <v>2853</v>
      </c>
      <c r="AJ24" s="1" t="s">
        <v>55</v>
      </c>
      <c r="AK24" s="1" t="s">
        <v>791</v>
      </c>
      <c r="AL24" s="140" t="s">
        <v>2853</v>
      </c>
      <c r="AM24" s="1" t="s">
        <v>305</v>
      </c>
      <c r="AN24" s="70">
        <v>46022</v>
      </c>
      <c r="AO24" s="70">
        <v>46022</v>
      </c>
      <c r="AP24" s="140" t="s">
        <v>2853</v>
      </c>
      <c r="AQ24" s="67">
        <v>1620000</v>
      </c>
      <c r="AR24" s="67">
        <v>100.8</v>
      </c>
      <c r="AS24" s="67">
        <v>3.19</v>
      </c>
      <c r="AT24" s="67">
        <v>5209.1423999999997</v>
      </c>
      <c r="AU24" s="67">
        <v>1632.96</v>
      </c>
      <c r="AV24" s="140" t="s">
        <v>2853</v>
      </c>
      <c r="AW24" s="140" t="s">
        <v>2853</v>
      </c>
      <c r="AX24" s="140" t="s">
        <v>2853</v>
      </c>
      <c r="AY24" s="1" t="s">
        <v>17</v>
      </c>
      <c r="AZ24" s="68">
        <v>0.10428029768791665</v>
      </c>
      <c r="BA24" s="68">
        <v>1.2087670873549721E-3</v>
      </c>
    </row>
    <row r="25" spans="1:53" x14ac:dyDescent="0.25">
      <c r="A25" s="1">
        <v>13908</v>
      </c>
      <c r="B25" s="1">
        <v>13908</v>
      </c>
      <c r="C25" s="140" t="s">
        <v>2853</v>
      </c>
      <c r="D25" s="140" t="s">
        <v>2853</v>
      </c>
      <c r="E25" s="110" t="s">
        <v>2840</v>
      </c>
      <c r="F25" s="1">
        <v>11022780</v>
      </c>
      <c r="G25" s="1" t="s">
        <v>245</v>
      </c>
      <c r="H25" s="140" t="s">
        <v>2853</v>
      </c>
      <c r="I25" s="1" t="s">
        <v>61</v>
      </c>
      <c r="J25" s="140" t="s">
        <v>2853</v>
      </c>
      <c r="K25" s="1" t="s">
        <v>878</v>
      </c>
      <c r="L25" s="1" t="s">
        <v>62</v>
      </c>
      <c r="M25" s="1" t="s">
        <v>55</v>
      </c>
      <c r="N25" s="140" t="s">
        <v>2853</v>
      </c>
      <c r="O25" s="70">
        <v>45685</v>
      </c>
      <c r="P25" s="1" t="s">
        <v>1414</v>
      </c>
      <c r="Q25" s="1" t="s">
        <v>65</v>
      </c>
      <c r="R25" s="1" t="s">
        <v>64</v>
      </c>
      <c r="S25" s="1" t="s">
        <v>1207</v>
      </c>
      <c r="T25" s="69">
        <v>1.61</v>
      </c>
      <c r="U25" s="1" t="s">
        <v>441</v>
      </c>
      <c r="V25" s="68">
        <v>9.6799999999999997E-2</v>
      </c>
      <c r="W25" s="140" t="s">
        <v>2853</v>
      </c>
      <c r="X25" s="140" t="s">
        <v>2853</v>
      </c>
      <c r="Y25" s="140" t="s">
        <v>2853</v>
      </c>
      <c r="Z25" s="68">
        <v>7.7799999999999994E-2</v>
      </c>
      <c r="AA25" s="70">
        <v>46990</v>
      </c>
      <c r="AB25" s="1" t="s">
        <v>636</v>
      </c>
      <c r="AC25" s="140" t="s">
        <v>2853</v>
      </c>
      <c r="AD25" s="141" t="s">
        <v>2853</v>
      </c>
      <c r="AE25" s="141" t="s">
        <v>2853</v>
      </c>
      <c r="AF25" s="72">
        <v>45108</v>
      </c>
      <c r="AG25" s="140" t="s">
        <v>2853</v>
      </c>
      <c r="AH25" s="140" t="s">
        <v>2853</v>
      </c>
      <c r="AI25" s="140" t="s">
        <v>2853</v>
      </c>
      <c r="AJ25" s="1" t="s">
        <v>55</v>
      </c>
      <c r="AK25" s="1" t="s">
        <v>791</v>
      </c>
      <c r="AL25" s="140" t="s">
        <v>2853</v>
      </c>
      <c r="AM25" s="1" t="s">
        <v>305</v>
      </c>
      <c r="AN25" s="70">
        <v>46022</v>
      </c>
      <c r="AO25" s="70">
        <v>46022</v>
      </c>
      <c r="AP25" s="140" t="s">
        <v>2853</v>
      </c>
      <c r="AQ25" s="67">
        <v>240992.76</v>
      </c>
      <c r="AR25" s="67">
        <v>99.86</v>
      </c>
      <c r="AS25" s="67">
        <v>3.19</v>
      </c>
      <c r="AT25" s="67">
        <v>767.69063000000006</v>
      </c>
      <c r="AU25" s="67">
        <v>240.65536990595601</v>
      </c>
      <c r="AV25" s="140" t="s">
        <v>2853</v>
      </c>
      <c r="AW25" s="140" t="s">
        <v>2853</v>
      </c>
      <c r="AX25" s="140" t="s">
        <v>2853</v>
      </c>
      <c r="AY25" s="1" t="s">
        <v>17</v>
      </c>
      <c r="AZ25" s="68">
        <v>1.5368174121833236E-2</v>
      </c>
      <c r="BA25" s="68">
        <v>1.7814048754259505E-4</v>
      </c>
    </row>
    <row r="26" spans="1:53" x14ac:dyDescent="0.25">
      <c r="A26" s="1">
        <v>13908</v>
      </c>
      <c r="B26" s="1">
        <v>13908</v>
      </c>
      <c r="C26" s="140" t="s">
        <v>2853</v>
      </c>
      <c r="D26" s="140" t="s">
        <v>2853</v>
      </c>
      <c r="E26" s="110" t="s">
        <v>2841</v>
      </c>
      <c r="F26" s="1">
        <v>11022782</v>
      </c>
      <c r="G26" s="1" t="s">
        <v>245</v>
      </c>
      <c r="H26" s="140" t="s">
        <v>2853</v>
      </c>
      <c r="I26" s="1" t="s">
        <v>61</v>
      </c>
      <c r="J26" s="140" t="s">
        <v>2853</v>
      </c>
      <c r="K26" s="1" t="s">
        <v>878</v>
      </c>
      <c r="L26" s="1" t="s">
        <v>62</v>
      </c>
      <c r="M26" s="1" t="s">
        <v>55</v>
      </c>
      <c r="N26" s="140" t="s">
        <v>2853</v>
      </c>
      <c r="O26" s="70">
        <v>45685</v>
      </c>
      <c r="P26" s="1" t="s">
        <v>1414</v>
      </c>
      <c r="Q26" s="1" t="s">
        <v>65</v>
      </c>
      <c r="R26" s="1" t="s">
        <v>64</v>
      </c>
      <c r="S26" s="1" t="s">
        <v>1207</v>
      </c>
      <c r="T26" s="69">
        <v>1.6</v>
      </c>
      <c r="U26" s="1" t="s">
        <v>441</v>
      </c>
      <c r="V26" s="68">
        <v>9.69E-2</v>
      </c>
      <c r="W26" s="140" t="s">
        <v>2853</v>
      </c>
      <c r="X26" s="140" t="s">
        <v>2853</v>
      </c>
      <c r="Y26" s="140" t="s">
        <v>2853</v>
      </c>
      <c r="Z26" s="68">
        <v>8.7999999999999995E-2</v>
      </c>
      <c r="AA26" s="70">
        <v>46990</v>
      </c>
      <c r="AB26" s="1" t="s">
        <v>636</v>
      </c>
      <c r="AC26" s="140" t="s">
        <v>2853</v>
      </c>
      <c r="AD26" s="141" t="s">
        <v>2853</v>
      </c>
      <c r="AE26" s="141" t="s">
        <v>2853</v>
      </c>
      <c r="AF26" s="72">
        <v>45108</v>
      </c>
      <c r="AG26" s="140" t="s">
        <v>2853</v>
      </c>
      <c r="AH26" s="140" t="s">
        <v>2853</v>
      </c>
      <c r="AI26" s="140" t="s">
        <v>2853</v>
      </c>
      <c r="AJ26" s="1" t="s">
        <v>55</v>
      </c>
      <c r="AK26" s="1" t="s">
        <v>791</v>
      </c>
      <c r="AL26" s="140" t="s">
        <v>2853</v>
      </c>
      <c r="AM26" s="1" t="s">
        <v>305</v>
      </c>
      <c r="AN26" s="70">
        <v>46022</v>
      </c>
      <c r="AO26" s="70">
        <v>46022</v>
      </c>
      <c r="AP26" s="140" t="s">
        <v>2853</v>
      </c>
      <c r="AQ26" s="67">
        <v>158101.14000000001</v>
      </c>
      <c r="AR26" s="67">
        <v>98.55</v>
      </c>
      <c r="AS26" s="67">
        <v>3.19</v>
      </c>
      <c r="AT26" s="67">
        <v>497.02967000000001</v>
      </c>
      <c r="AU26" s="67">
        <v>155.80867398119099</v>
      </c>
      <c r="AV26" s="140" t="s">
        <v>2853</v>
      </c>
      <c r="AW26" s="140" t="s">
        <v>2853</v>
      </c>
      <c r="AX26" s="140" t="s">
        <v>2853</v>
      </c>
      <c r="AY26" s="1" t="s">
        <v>17</v>
      </c>
      <c r="AZ26" s="68">
        <v>9.9498915497735242E-3</v>
      </c>
      <c r="BA26" s="68">
        <v>1.1533436032290134E-4</v>
      </c>
    </row>
    <row r="27" spans="1:53" x14ac:dyDescent="0.25">
      <c r="A27" s="1">
        <v>13908</v>
      </c>
      <c r="B27" s="1">
        <v>13908</v>
      </c>
      <c r="C27" s="140" t="s">
        <v>2853</v>
      </c>
      <c r="D27" s="140" t="s">
        <v>2853</v>
      </c>
      <c r="E27" s="110" t="s">
        <v>2842</v>
      </c>
      <c r="F27" s="1">
        <v>11022788</v>
      </c>
      <c r="G27" s="1" t="s">
        <v>245</v>
      </c>
      <c r="H27" s="140" t="s">
        <v>2853</v>
      </c>
      <c r="I27" s="1" t="s">
        <v>61</v>
      </c>
      <c r="J27" s="140" t="s">
        <v>2853</v>
      </c>
      <c r="K27" s="1" t="s">
        <v>878</v>
      </c>
      <c r="L27" s="1" t="s">
        <v>62</v>
      </c>
      <c r="M27" s="1" t="s">
        <v>55</v>
      </c>
      <c r="N27" s="140" t="s">
        <v>2853</v>
      </c>
      <c r="O27" s="70">
        <v>45713</v>
      </c>
      <c r="P27" s="1" t="s">
        <v>1414</v>
      </c>
      <c r="Q27" s="1" t="s">
        <v>65</v>
      </c>
      <c r="R27" s="1" t="s">
        <v>64</v>
      </c>
      <c r="S27" s="1" t="s">
        <v>1207</v>
      </c>
      <c r="T27" s="69">
        <v>1.6</v>
      </c>
      <c r="U27" s="1" t="s">
        <v>441</v>
      </c>
      <c r="V27" s="68">
        <v>9.69E-2</v>
      </c>
      <c r="W27" s="140" t="s">
        <v>2853</v>
      </c>
      <c r="X27" s="140" t="s">
        <v>2853</v>
      </c>
      <c r="Y27" s="140" t="s">
        <v>2853</v>
      </c>
      <c r="Z27" s="68">
        <v>8.7999999999999995E-2</v>
      </c>
      <c r="AA27" s="70">
        <v>46990</v>
      </c>
      <c r="AB27" s="1" t="s">
        <v>636</v>
      </c>
      <c r="AC27" s="140" t="s">
        <v>2853</v>
      </c>
      <c r="AD27" s="141" t="s">
        <v>2853</v>
      </c>
      <c r="AE27" s="141" t="s">
        <v>2853</v>
      </c>
      <c r="AF27" s="72">
        <v>45108</v>
      </c>
      <c r="AG27" s="140" t="s">
        <v>2853</v>
      </c>
      <c r="AH27" s="140" t="s">
        <v>2853</v>
      </c>
      <c r="AI27" s="140" t="s">
        <v>2853</v>
      </c>
      <c r="AJ27" s="1" t="s">
        <v>55</v>
      </c>
      <c r="AK27" s="1" t="s">
        <v>791</v>
      </c>
      <c r="AL27" s="140" t="s">
        <v>2853</v>
      </c>
      <c r="AM27" s="1" t="s">
        <v>305</v>
      </c>
      <c r="AN27" s="70">
        <v>46022</v>
      </c>
      <c r="AO27" s="70">
        <v>46022</v>
      </c>
      <c r="AP27" s="140" t="s">
        <v>2853</v>
      </c>
      <c r="AQ27" s="67">
        <v>154482.85</v>
      </c>
      <c r="AR27" s="67">
        <v>98.55</v>
      </c>
      <c r="AS27" s="67">
        <v>3.19</v>
      </c>
      <c r="AT27" s="67">
        <v>485.65469000000002</v>
      </c>
      <c r="AU27" s="67">
        <v>152.24284952978101</v>
      </c>
      <c r="AV27" s="140" t="s">
        <v>2853</v>
      </c>
      <c r="AW27" s="140" t="s">
        <v>2853</v>
      </c>
      <c r="AX27" s="140" t="s">
        <v>2853</v>
      </c>
      <c r="AY27" s="1" t="s">
        <v>17</v>
      </c>
      <c r="AZ27" s="68">
        <v>9.7221791530853283E-3</v>
      </c>
      <c r="BA27" s="68">
        <v>1.1269482767289717E-4</v>
      </c>
    </row>
    <row r="28" spans="1:53" x14ac:dyDescent="0.25">
      <c r="A28" s="1">
        <v>13908</v>
      </c>
      <c r="B28" s="1">
        <v>13908</v>
      </c>
      <c r="C28" s="140" t="s">
        <v>2853</v>
      </c>
      <c r="D28" s="140" t="s">
        <v>2853</v>
      </c>
      <c r="E28" s="110" t="s">
        <v>2843</v>
      </c>
      <c r="F28" s="1">
        <v>11022790</v>
      </c>
      <c r="G28" s="1" t="s">
        <v>245</v>
      </c>
      <c r="H28" s="140" t="s">
        <v>2853</v>
      </c>
      <c r="I28" s="1" t="s">
        <v>61</v>
      </c>
      <c r="J28" s="140" t="s">
        <v>2853</v>
      </c>
      <c r="K28" s="1" t="s">
        <v>878</v>
      </c>
      <c r="L28" s="1" t="s">
        <v>62</v>
      </c>
      <c r="M28" s="1" t="s">
        <v>55</v>
      </c>
      <c r="N28" s="140" t="s">
        <v>2853</v>
      </c>
      <c r="O28" s="70">
        <v>45713</v>
      </c>
      <c r="P28" s="1" t="s">
        <v>1414</v>
      </c>
      <c r="Q28" s="1" t="s">
        <v>65</v>
      </c>
      <c r="R28" s="1" t="s">
        <v>64</v>
      </c>
      <c r="S28" s="1" t="s">
        <v>1207</v>
      </c>
      <c r="T28" s="69">
        <v>1.61</v>
      </c>
      <c r="U28" s="1" t="s">
        <v>441</v>
      </c>
      <c r="V28" s="68">
        <v>9.6799999999999997E-2</v>
      </c>
      <c r="W28" s="140" t="s">
        <v>2853</v>
      </c>
      <c r="X28" s="140" t="s">
        <v>2853</v>
      </c>
      <c r="Y28" s="140" t="s">
        <v>2853</v>
      </c>
      <c r="Z28" s="68">
        <v>7.7799999999999994E-2</v>
      </c>
      <c r="AA28" s="70">
        <v>46990</v>
      </c>
      <c r="AB28" s="1" t="s">
        <v>636</v>
      </c>
      <c r="AC28" s="140" t="s">
        <v>2853</v>
      </c>
      <c r="AD28" s="141" t="s">
        <v>2853</v>
      </c>
      <c r="AE28" s="141" t="s">
        <v>2853</v>
      </c>
      <c r="AF28" s="72">
        <v>45108</v>
      </c>
      <c r="AG28" s="140" t="s">
        <v>2853</v>
      </c>
      <c r="AH28" s="140" t="s">
        <v>2853</v>
      </c>
      <c r="AI28" s="140" t="s">
        <v>2853</v>
      </c>
      <c r="AJ28" s="1" t="s">
        <v>55</v>
      </c>
      <c r="AK28" s="1" t="s">
        <v>791</v>
      </c>
      <c r="AL28" s="140" t="s">
        <v>2853</v>
      </c>
      <c r="AM28" s="1" t="s">
        <v>305</v>
      </c>
      <c r="AN28" s="70">
        <v>46022</v>
      </c>
      <c r="AO28" s="70">
        <v>46022</v>
      </c>
      <c r="AP28" s="140" t="s">
        <v>2853</v>
      </c>
      <c r="AQ28" s="67">
        <v>318839.03999999998</v>
      </c>
      <c r="AR28" s="67">
        <v>99.86</v>
      </c>
      <c r="AS28" s="67">
        <v>3.19</v>
      </c>
      <c r="AT28" s="67">
        <v>1015.6726</v>
      </c>
      <c r="AU28" s="67">
        <v>318.39266457680299</v>
      </c>
      <c r="AV28" s="140" t="s">
        <v>2853</v>
      </c>
      <c r="AW28" s="140" t="s">
        <v>2853</v>
      </c>
      <c r="AX28" s="140" t="s">
        <v>2853</v>
      </c>
      <c r="AY28" s="1" t="s">
        <v>17</v>
      </c>
      <c r="AZ28" s="68">
        <v>2.0332452628183152E-2</v>
      </c>
      <c r="BA28" s="68">
        <v>2.356840178545036E-4</v>
      </c>
    </row>
    <row r="29" spans="1:53" x14ac:dyDescent="0.25">
      <c r="A29" s="1">
        <v>13908</v>
      </c>
      <c r="B29" s="1">
        <v>13908</v>
      </c>
      <c r="C29" s="140" t="s">
        <v>2853</v>
      </c>
      <c r="D29" s="140" t="s">
        <v>2853</v>
      </c>
      <c r="E29" s="110" t="s">
        <v>2844</v>
      </c>
      <c r="F29" s="1">
        <v>11022801</v>
      </c>
      <c r="G29" s="1" t="s">
        <v>245</v>
      </c>
      <c r="H29" s="140" t="s">
        <v>2853</v>
      </c>
      <c r="I29" s="1" t="s">
        <v>61</v>
      </c>
      <c r="J29" s="140" t="s">
        <v>2853</v>
      </c>
      <c r="K29" s="1" t="s">
        <v>878</v>
      </c>
      <c r="L29" s="1" t="s">
        <v>62</v>
      </c>
      <c r="M29" s="1" t="s">
        <v>55</v>
      </c>
      <c r="N29" s="140" t="s">
        <v>2853</v>
      </c>
      <c r="O29" s="70">
        <v>45741</v>
      </c>
      <c r="P29" s="1" t="s">
        <v>1414</v>
      </c>
      <c r="Q29" s="1" t="s">
        <v>65</v>
      </c>
      <c r="R29" s="1" t="s">
        <v>64</v>
      </c>
      <c r="S29" s="1" t="s">
        <v>1207</v>
      </c>
      <c r="T29" s="69">
        <v>1.61</v>
      </c>
      <c r="U29" s="1" t="s">
        <v>441</v>
      </c>
      <c r="V29" s="68">
        <v>9.6799999999999997E-2</v>
      </c>
      <c r="W29" s="140" t="s">
        <v>2853</v>
      </c>
      <c r="X29" s="140" t="s">
        <v>2853</v>
      </c>
      <c r="Y29" s="140" t="s">
        <v>2853</v>
      </c>
      <c r="Z29" s="68">
        <v>7.7799999999999994E-2</v>
      </c>
      <c r="AA29" s="70">
        <v>46990</v>
      </c>
      <c r="AB29" s="1" t="s">
        <v>636</v>
      </c>
      <c r="AC29" s="140" t="s">
        <v>2853</v>
      </c>
      <c r="AD29" s="141" t="s">
        <v>2853</v>
      </c>
      <c r="AE29" s="141" t="s">
        <v>2853</v>
      </c>
      <c r="AF29" s="72">
        <v>45108</v>
      </c>
      <c r="AG29" s="140" t="s">
        <v>2853</v>
      </c>
      <c r="AH29" s="140" t="s">
        <v>2853</v>
      </c>
      <c r="AI29" s="140" t="s">
        <v>2853</v>
      </c>
      <c r="AJ29" s="1" t="s">
        <v>55</v>
      </c>
      <c r="AK29" s="1" t="s">
        <v>791</v>
      </c>
      <c r="AL29" s="140" t="s">
        <v>2853</v>
      </c>
      <c r="AM29" s="1" t="s">
        <v>305</v>
      </c>
      <c r="AN29" s="70">
        <v>46022</v>
      </c>
      <c r="AO29" s="70">
        <v>46022</v>
      </c>
      <c r="AP29" s="140" t="s">
        <v>2853</v>
      </c>
      <c r="AQ29" s="67">
        <v>244724.89</v>
      </c>
      <c r="AR29" s="67">
        <v>99.86</v>
      </c>
      <c r="AS29" s="67">
        <v>3.19</v>
      </c>
      <c r="AT29" s="67">
        <v>779.57946000000004</v>
      </c>
      <c r="AU29" s="67">
        <v>244.38227586206901</v>
      </c>
      <c r="AV29" s="140" t="s">
        <v>2853</v>
      </c>
      <c r="AW29" s="140" t="s">
        <v>2853</v>
      </c>
      <c r="AX29" s="140" t="s">
        <v>2853</v>
      </c>
      <c r="AY29" s="1" t="s">
        <v>17</v>
      </c>
      <c r="AZ29" s="68">
        <v>1.560617313133642E-2</v>
      </c>
      <c r="BA29" s="68">
        <v>1.808992576639798E-4</v>
      </c>
    </row>
    <row r="30" spans="1:53" x14ac:dyDescent="0.25">
      <c r="A30" s="1">
        <v>13908</v>
      </c>
      <c r="B30" s="1">
        <v>13908</v>
      </c>
      <c r="C30" s="140" t="s">
        <v>2853</v>
      </c>
      <c r="D30" s="140" t="s">
        <v>2853</v>
      </c>
      <c r="E30" s="110" t="s">
        <v>2845</v>
      </c>
      <c r="F30" s="1">
        <v>11022805</v>
      </c>
      <c r="G30" s="1" t="s">
        <v>245</v>
      </c>
      <c r="H30" s="140" t="s">
        <v>2853</v>
      </c>
      <c r="I30" s="1" t="s">
        <v>61</v>
      </c>
      <c r="J30" s="140" t="s">
        <v>2853</v>
      </c>
      <c r="K30" s="1" t="s">
        <v>878</v>
      </c>
      <c r="L30" s="1" t="s">
        <v>62</v>
      </c>
      <c r="M30" s="1" t="s">
        <v>55</v>
      </c>
      <c r="N30" s="140" t="s">
        <v>2853</v>
      </c>
      <c r="O30" s="70">
        <v>45743</v>
      </c>
      <c r="P30" s="1" t="s">
        <v>1414</v>
      </c>
      <c r="Q30" s="1" t="s">
        <v>65</v>
      </c>
      <c r="R30" s="1" t="s">
        <v>64</v>
      </c>
      <c r="S30" s="1" t="s">
        <v>1207</v>
      </c>
      <c r="T30" s="69">
        <v>1.6</v>
      </c>
      <c r="U30" s="1" t="s">
        <v>441</v>
      </c>
      <c r="V30" s="68">
        <v>9.69E-2</v>
      </c>
      <c r="W30" s="140" t="s">
        <v>2853</v>
      </c>
      <c r="X30" s="140" t="s">
        <v>2853</v>
      </c>
      <c r="Y30" s="140" t="s">
        <v>2853</v>
      </c>
      <c r="Z30" s="68">
        <v>8.7999999999999995E-2</v>
      </c>
      <c r="AA30" s="70">
        <v>46990</v>
      </c>
      <c r="AB30" s="1" t="s">
        <v>636</v>
      </c>
      <c r="AC30" s="140" t="s">
        <v>2853</v>
      </c>
      <c r="AD30" s="141" t="s">
        <v>2853</v>
      </c>
      <c r="AE30" s="141" t="s">
        <v>2853</v>
      </c>
      <c r="AF30" s="72">
        <v>45108</v>
      </c>
      <c r="AG30" s="140" t="s">
        <v>2853</v>
      </c>
      <c r="AH30" s="140" t="s">
        <v>2853</v>
      </c>
      <c r="AI30" s="140" t="s">
        <v>2853</v>
      </c>
      <c r="AJ30" s="1" t="s">
        <v>55</v>
      </c>
      <c r="AK30" s="1" t="s">
        <v>791</v>
      </c>
      <c r="AL30" s="140" t="s">
        <v>2853</v>
      </c>
      <c r="AM30" s="1" t="s">
        <v>305</v>
      </c>
      <c r="AN30" s="70">
        <v>46022</v>
      </c>
      <c r="AO30" s="70">
        <v>46022</v>
      </c>
      <c r="AP30" s="140" t="s">
        <v>2853</v>
      </c>
      <c r="AQ30" s="67">
        <v>126662.36</v>
      </c>
      <c r="AR30" s="67">
        <v>98.55</v>
      </c>
      <c r="AS30" s="67">
        <v>3.19</v>
      </c>
      <c r="AT30" s="67">
        <v>398.19416000000001</v>
      </c>
      <c r="AU30" s="67">
        <v>124.825755485893</v>
      </c>
      <c r="AV30" s="140" t="s">
        <v>2853</v>
      </c>
      <c r="AW30" s="140" t="s">
        <v>2853</v>
      </c>
      <c r="AX30" s="140" t="s">
        <v>2853</v>
      </c>
      <c r="AY30" s="1" t="s">
        <v>17</v>
      </c>
      <c r="AZ30" s="68">
        <v>7.9713323909881804E-3</v>
      </c>
      <c r="BA30" s="68">
        <v>9.2399853569938845E-5</v>
      </c>
    </row>
    <row r="31" spans="1:53" x14ac:dyDescent="0.25">
      <c r="A31" s="1">
        <v>13908</v>
      </c>
      <c r="B31" s="1">
        <v>13908</v>
      </c>
      <c r="C31" s="140" t="s">
        <v>2853</v>
      </c>
      <c r="D31" s="140" t="s">
        <v>2853</v>
      </c>
      <c r="E31" s="110" t="s">
        <v>2846</v>
      </c>
      <c r="F31" s="1">
        <v>11022815</v>
      </c>
      <c r="G31" s="1" t="s">
        <v>245</v>
      </c>
      <c r="H31" s="140" t="s">
        <v>2853</v>
      </c>
      <c r="I31" s="1" t="s">
        <v>61</v>
      </c>
      <c r="J31" s="140" t="s">
        <v>2853</v>
      </c>
      <c r="K31" s="1" t="s">
        <v>878</v>
      </c>
      <c r="L31" s="1" t="s">
        <v>62</v>
      </c>
      <c r="M31" s="1" t="s">
        <v>55</v>
      </c>
      <c r="N31" s="140" t="s">
        <v>2853</v>
      </c>
      <c r="O31" s="70">
        <v>45775</v>
      </c>
      <c r="P31" s="1" t="s">
        <v>1414</v>
      </c>
      <c r="Q31" s="1" t="s">
        <v>65</v>
      </c>
      <c r="R31" s="1" t="s">
        <v>64</v>
      </c>
      <c r="S31" s="1" t="s">
        <v>1207</v>
      </c>
      <c r="T31" s="69">
        <v>1.6</v>
      </c>
      <c r="U31" s="1" t="s">
        <v>441</v>
      </c>
      <c r="V31" s="68">
        <v>9.6860000000000002E-2</v>
      </c>
      <c r="W31" s="140" t="s">
        <v>2853</v>
      </c>
      <c r="X31" s="140" t="s">
        <v>2853</v>
      </c>
      <c r="Y31" s="140" t="s">
        <v>2853</v>
      </c>
      <c r="Z31" s="68">
        <v>8.7999999999999995E-2</v>
      </c>
      <c r="AA31" s="70">
        <v>46990</v>
      </c>
      <c r="AB31" s="1" t="s">
        <v>636</v>
      </c>
      <c r="AC31" s="140" t="s">
        <v>2853</v>
      </c>
      <c r="AD31" s="141" t="s">
        <v>2853</v>
      </c>
      <c r="AE31" s="141" t="s">
        <v>2853</v>
      </c>
      <c r="AF31" s="72">
        <v>45108</v>
      </c>
      <c r="AG31" s="140" t="s">
        <v>2853</v>
      </c>
      <c r="AH31" s="140" t="s">
        <v>2853</v>
      </c>
      <c r="AI31" s="140" t="s">
        <v>2853</v>
      </c>
      <c r="AJ31" s="1" t="s">
        <v>55</v>
      </c>
      <c r="AK31" s="1" t="s">
        <v>791</v>
      </c>
      <c r="AL31" s="140" t="s">
        <v>2853</v>
      </c>
      <c r="AM31" s="1" t="s">
        <v>305</v>
      </c>
      <c r="AN31" s="70">
        <v>46022</v>
      </c>
      <c r="AO31" s="70">
        <v>46022</v>
      </c>
      <c r="AP31" s="140" t="s">
        <v>2853</v>
      </c>
      <c r="AQ31" s="67">
        <v>70558.77</v>
      </c>
      <c r="AR31" s="67">
        <v>98.55</v>
      </c>
      <c r="AS31" s="67">
        <v>3.19</v>
      </c>
      <c r="AT31" s="67">
        <v>221.81878</v>
      </c>
      <c r="AU31" s="67">
        <v>69.535667711597995</v>
      </c>
      <c r="AV31" s="140" t="s">
        <v>2853</v>
      </c>
      <c r="AW31" s="140" t="s">
        <v>2853</v>
      </c>
      <c r="AX31" s="140" t="s">
        <v>2853</v>
      </c>
      <c r="AY31" s="1" t="s">
        <v>17</v>
      </c>
      <c r="AZ31" s="68">
        <v>4.4405252601983948E-3</v>
      </c>
      <c r="BA31" s="68">
        <v>5.1472434430134483E-5</v>
      </c>
    </row>
    <row r="32" spans="1:53" x14ac:dyDescent="0.25">
      <c r="A32" s="1">
        <v>13908</v>
      </c>
      <c r="B32" s="1">
        <v>13908</v>
      </c>
      <c r="C32" s="140" t="s">
        <v>2853</v>
      </c>
      <c r="D32" s="140" t="s">
        <v>2853</v>
      </c>
      <c r="E32" s="110" t="s">
        <v>2847</v>
      </c>
      <c r="F32" s="1">
        <v>11022816</v>
      </c>
      <c r="G32" s="1" t="s">
        <v>245</v>
      </c>
      <c r="H32" s="140" t="s">
        <v>2853</v>
      </c>
      <c r="I32" s="1" t="s">
        <v>61</v>
      </c>
      <c r="J32" s="140" t="s">
        <v>2853</v>
      </c>
      <c r="K32" s="1" t="s">
        <v>878</v>
      </c>
      <c r="L32" s="1" t="s">
        <v>62</v>
      </c>
      <c r="M32" s="1" t="s">
        <v>55</v>
      </c>
      <c r="N32" s="140" t="s">
        <v>2853</v>
      </c>
      <c r="O32" s="70">
        <v>45775</v>
      </c>
      <c r="P32" s="1" t="s">
        <v>1414</v>
      </c>
      <c r="Q32" s="1" t="s">
        <v>65</v>
      </c>
      <c r="R32" s="1" t="s">
        <v>64</v>
      </c>
      <c r="S32" s="1" t="s">
        <v>1207</v>
      </c>
      <c r="T32" s="69">
        <v>1.61</v>
      </c>
      <c r="U32" s="1" t="s">
        <v>441</v>
      </c>
      <c r="V32" s="68">
        <v>9.6860000000000002E-2</v>
      </c>
      <c r="W32" s="140" t="s">
        <v>2853</v>
      </c>
      <c r="X32" s="140" t="s">
        <v>2853</v>
      </c>
      <c r="Y32" s="140" t="s">
        <v>2853</v>
      </c>
      <c r="Z32" s="68">
        <v>7.7799999999999994E-2</v>
      </c>
      <c r="AA32" s="70">
        <v>46990</v>
      </c>
      <c r="AB32" s="1" t="s">
        <v>636</v>
      </c>
      <c r="AC32" s="140" t="s">
        <v>2853</v>
      </c>
      <c r="AD32" s="141" t="s">
        <v>2853</v>
      </c>
      <c r="AE32" s="141" t="s">
        <v>2853</v>
      </c>
      <c r="AF32" s="72">
        <v>45108</v>
      </c>
      <c r="AG32" s="140" t="s">
        <v>2853</v>
      </c>
      <c r="AH32" s="140" t="s">
        <v>2853</v>
      </c>
      <c r="AI32" s="140" t="s">
        <v>2853</v>
      </c>
      <c r="AJ32" s="1" t="s">
        <v>55</v>
      </c>
      <c r="AK32" s="1" t="s">
        <v>791</v>
      </c>
      <c r="AL32" s="140" t="s">
        <v>2853</v>
      </c>
      <c r="AM32" s="1" t="s">
        <v>305</v>
      </c>
      <c r="AN32" s="70">
        <v>46022</v>
      </c>
      <c r="AO32" s="70">
        <v>46022</v>
      </c>
      <c r="AP32" s="140" t="s">
        <v>2853</v>
      </c>
      <c r="AQ32" s="67">
        <v>208377.97</v>
      </c>
      <c r="AR32" s="67">
        <v>99.86</v>
      </c>
      <c r="AS32" s="67">
        <v>3.19</v>
      </c>
      <c r="AT32" s="67">
        <v>663.79511000000002</v>
      </c>
      <c r="AU32" s="67">
        <v>208.08624137931</v>
      </c>
      <c r="AV32" s="140" t="s">
        <v>2853</v>
      </c>
      <c r="AW32" s="140" t="s">
        <v>2853</v>
      </c>
      <c r="AX32" s="140" t="s">
        <v>2853</v>
      </c>
      <c r="AY32" s="1" t="s">
        <v>17</v>
      </c>
      <c r="AZ32" s="68">
        <v>1.3288320103244515E-2</v>
      </c>
      <c r="BA32" s="68">
        <v>1.5403181946325241E-4</v>
      </c>
    </row>
    <row r="33" spans="1:53" x14ac:dyDescent="0.25">
      <c r="A33" s="1">
        <v>13908</v>
      </c>
      <c r="B33" s="1">
        <v>13908</v>
      </c>
      <c r="C33" s="140" t="s">
        <v>2853</v>
      </c>
      <c r="D33" s="140" t="s">
        <v>2853</v>
      </c>
      <c r="E33" s="110" t="s">
        <v>2848</v>
      </c>
      <c r="F33" s="1">
        <v>11022822</v>
      </c>
      <c r="G33" s="1" t="s">
        <v>245</v>
      </c>
      <c r="H33" s="140" t="s">
        <v>2853</v>
      </c>
      <c r="I33" s="1" t="s">
        <v>61</v>
      </c>
      <c r="J33" s="140" t="s">
        <v>2853</v>
      </c>
      <c r="K33" s="1" t="s">
        <v>878</v>
      </c>
      <c r="L33" s="1" t="s">
        <v>62</v>
      </c>
      <c r="M33" s="1" t="s">
        <v>55</v>
      </c>
      <c r="N33" s="140" t="s">
        <v>2853</v>
      </c>
      <c r="O33" s="70">
        <v>45804</v>
      </c>
      <c r="P33" s="1" t="s">
        <v>1414</v>
      </c>
      <c r="Q33" s="1" t="s">
        <v>65</v>
      </c>
      <c r="R33" s="1" t="s">
        <v>64</v>
      </c>
      <c r="S33" s="1" t="s">
        <v>1207</v>
      </c>
      <c r="T33" s="69">
        <v>1.61</v>
      </c>
      <c r="U33" s="1" t="s">
        <v>441</v>
      </c>
      <c r="V33" s="68">
        <v>9.6860000000000002E-2</v>
      </c>
      <c r="W33" s="140" t="s">
        <v>2853</v>
      </c>
      <c r="X33" s="140" t="s">
        <v>2853</v>
      </c>
      <c r="Y33" s="140" t="s">
        <v>2853</v>
      </c>
      <c r="Z33" s="68">
        <v>7.7799999999999994E-2</v>
      </c>
      <c r="AA33" s="70">
        <v>46990</v>
      </c>
      <c r="AB33" s="1" t="s">
        <v>636</v>
      </c>
      <c r="AC33" s="140" t="s">
        <v>2853</v>
      </c>
      <c r="AD33" s="141" t="s">
        <v>2853</v>
      </c>
      <c r="AE33" s="141" t="s">
        <v>2853</v>
      </c>
      <c r="AF33" s="72">
        <v>45108</v>
      </c>
      <c r="AG33" s="140" t="s">
        <v>2853</v>
      </c>
      <c r="AH33" s="140" t="s">
        <v>2853</v>
      </c>
      <c r="AI33" s="140" t="s">
        <v>2853</v>
      </c>
      <c r="AJ33" s="1" t="s">
        <v>55</v>
      </c>
      <c r="AK33" s="1" t="s">
        <v>791</v>
      </c>
      <c r="AL33" s="140" t="s">
        <v>2853</v>
      </c>
      <c r="AM33" s="1" t="s">
        <v>305</v>
      </c>
      <c r="AN33" s="70">
        <v>46022</v>
      </c>
      <c r="AO33" s="70">
        <v>46022</v>
      </c>
      <c r="AP33" s="140" t="s">
        <v>2853</v>
      </c>
      <c r="AQ33" s="67">
        <v>62689.63</v>
      </c>
      <c r="AR33" s="67">
        <v>99.86</v>
      </c>
      <c r="AS33" s="67">
        <v>3.19</v>
      </c>
      <c r="AT33" s="67">
        <v>199.69995</v>
      </c>
      <c r="AU33" s="67">
        <v>62.601865203761001</v>
      </c>
      <c r="AV33" s="140" t="s">
        <v>2853</v>
      </c>
      <c r="AW33" s="140" t="s">
        <v>2853</v>
      </c>
      <c r="AX33" s="140" t="s">
        <v>2853</v>
      </c>
      <c r="AY33" s="1" t="s">
        <v>17</v>
      </c>
      <c r="AZ33" s="68">
        <v>3.9977348736448572E-3</v>
      </c>
      <c r="BA33" s="68">
        <v>4.6339821101153539E-5</v>
      </c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honeticPr fontId="27" type="noConversion"/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Z10000"/>
  <sheetViews>
    <sheetView rightToLeft="1" zoomScale="40" zoomScaleNormal="40" workbookViewId="0">
      <selection activeCell="A2" sqref="A2:AD2"/>
    </sheetView>
  </sheetViews>
  <sheetFormatPr defaultColWidth="9" defaultRowHeight="13.8" x14ac:dyDescent="0.25"/>
  <cols>
    <col min="1" max="1" width="29.5" style="1" customWidth="1"/>
    <col min="2" max="2" width="11.296875" style="1" customWidth="1"/>
    <col min="3" max="3" width="15.59765625" style="1" bestFit="1" customWidth="1"/>
    <col min="4" max="4" width="11.796875" style="1" bestFit="1" customWidth="1"/>
    <col min="5" max="5" width="18.296875" style="1" customWidth="1"/>
    <col min="6" max="6" width="15.59765625" style="1" bestFit="1" customWidth="1"/>
    <col min="7" max="7" width="13.296875" style="1" customWidth="1"/>
    <col min="8" max="8" width="15.796875" style="1" customWidth="1"/>
    <col min="9" max="9" width="24" style="1" bestFit="1" customWidth="1"/>
    <col min="10" max="10" width="10.5" style="1" customWidth="1"/>
    <col min="11" max="11" width="19.5" style="1" customWidth="1"/>
    <col min="12" max="12" width="15.296875" style="1" customWidth="1"/>
    <col min="13" max="13" width="9.296875" style="1" customWidth="1"/>
    <col min="14" max="14" width="12.296875" style="1" customWidth="1"/>
    <col min="15" max="15" width="6.296875" style="1" customWidth="1"/>
    <col min="16" max="16" width="9.5" style="1" customWidth="1"/>
    <col min="17" max="17" width="19" style="1" customWidth="1"/>
    <col min="18" max="18" width="12" style="1" customWidth="1"/>
    <col min="19" max="19" width="7.19921875" style="1" bestFit="1" customWidth="1"/>
    <col min="20" max="20" width="11" style="1" customWidth="1"/>
    <col min="21" max="21" width="11.796875" style="1" customWidth="1"/>
    <col min="22" max="22" width="14.296875" style="1" customWidth="1"/>
    <col min="23" max="23" width="19" style="1" customWidth="1"/>
    <col min="24" max="24" width="16.5" style="1" customWidth="1"/>
    <col min="25" max="25" width="15" style="1" customWidth="1"/>
    <col min="26" max="26" width="10.296875" style="1" customWidth="1"/>
    <col min="27" max="27" width="13.5" style="1" customWidth="1"/>
    <col min="28" max="28" width="16.796875" style="1" customWidth="1"/>
    <col min="29" max="29" width="21.5" style="1" customWidth="1"/>
    <col min="30" max="30" width="20.296875" style="1" customWidth="1"/>
    <col min="31" max="16384" width="9" style="1"/>
  </cols>
  <sheetData>
    <row r="1" spans="1:30" ht="66.75" customHeight="1" x14ac:dyDescent="0.25">
      <c r="A1" s="139" t="s">
        <v>667</v>
      </c>
      <c r="B1" s="139" t="s">
        <v>0</v>
      </c>
      <c r="C1" s="139" t="s">
        <v>740</v>
      </c>
      <c r="D1" s="139" t="s">
        <v>2</v>
      </c>
      <c r="E1" s="139" t="s">
        <v>756</v>
      </c>
      <c r="F1" s="139" t="s">
        <v>1154</v>
      </c>
      <c r="G1" s="139" t="s">
        <v>29</v>
      </c>
      <c r="H1" s="139" t="s">
        <v>28</v>
      </c>
      <c r="I1" s="139" t="s">
        <v>1</v>
      </c>
      <c r="J1" s="139" t="s">
        <v>620</v>
      </c>
      <c r="K1" s="139" t="s">
        <v>621</v>
      </c>
      <c r="L1" s="139" t="s">
        <v>622</v>
      </c>
      <c r="M1" s="139" t="s">
        <v>10</v>
      </c>
      <c r="N1" s="139" t="s">
        <v>12</v>
      </c>
      <c r="O1" s="139" t="s">
        <v>6</v>
      </c>
      <c r="P1" s="139" t="s">
        <v>8</v>
      </c>
      <c r="Q1" s="139" t="s">
        <v>1155</v>
      </c>
      <c r="R1" s="139" t="s">
        <v>396</v>
      </c>
      <c r="S1" s="139" t="s">
        <v>13</v>
      </c>
      <c r="T1" s="139" t="s">
        <v>14</v>
      </c>
      <c r="U1" s="139" t="s">
        <v>637</v>
      </c>
      <c r="V1" s="139" t="s">
        <v>933</v>
      </c>
      <c r="W1" s="139" t="s">
        <v>372</v>
      </c>
      <c r="X1" s="139" t="s">
        <v>16</v>
      </c>
      <c r="Y1" s="139" t="s">
        <v>789</v>
      </c>
      <c r="Z1" s="139" t="s">
        <v>11</v>
      </c>
      <c r="AA1" s="139" t="s">
        <v>15</v>
      </c>
      <c r="AB1" s="139" t="s">
        <v>1162</v>
      </c>
      <c r="AC1" s="139" t="s">
        <v>19</v>
      </c>
      <c r="AD1" s="139" t="s">
        <v>30</v>
      </c>
    </row>
    <row r="2" spans="1:30" x14ac:dyDescent="0.25">
      <c r="A2" s="8">
        <v>13908</v>
      </c>
      <c r="B2" s="8">
        <v>13908</v>
      </c>
      <c r="C2" s="8" t="s">
        <v>2731</v>
      </c>
      <c r="D2" s="8" t="s">
        <v>2732</v>
      </c>
      <c r="E2" s="8" t="s">
        <v>430</v>
      </c>
      <c r="F2" s="8" t="s">
        <v>2731</v>
      </c>
      <c r="G2" s="8">
        <v>62012463</v>
      </c>
      <c r="H2" s="8" t="s">
        <v>78</v>
      </c>
      <c r="I2" s="8" t="s">
        <v>684</v>
      </c>
      <c r="J2" s="8" t="s">
        <v>61</v>
      </c>
      <c r="K2" s="8" t="s">
        <v>314</v>
      </c>
      <c r="L2" s="8" t="s">
        <v>62</v>
      </c>
      <c r="M2" s="8" t="s">
        <v>102</v>
      </c>
      <c r="N2" s="72">
        <v>45657</v>
      </c>
      <c r="O2" s="8" t="s">
        <v>2733</v>
      </c>
      <c r="P2" s="8" t="s">
        <v>96</v>
      </c>
      <c r="Q2" s="8" t="s">
        <v>57</v>
      </c>
      <c r="R2" s="8" t="s">
        <v>1207</v>
      </c>
      <c r="S2" s="71">
        <v>10.19</v>
      </c>
      <c r="T2" s="73">
        <v>7.9500000000000001E-2</v>
      </c>
      <c r="U2" s="73">
        <v>7.1760000000000004E-2</v>
      </c>
      <c r="V2" s="8" t="s">
        <v>303</v>
      </c>
      <c r="W2" s="8" t="s">
        <v>305</v>
      </c>
      <c r="X2" s="70">
        <v>46022</v>
      </c>
      <c r="Y2" s="74">
        <v>1103000</v>
      </c>
      <c r="Z2" s="74">
        <v>3.19</v>
      </c>
      <c r="AA2" s="74">
        <v>106.2063</v>
      </c>
      <c r="AB2" s="74">
        <v>3736.94301</v>
      </c>
      <c r="AC2" s="68">
        <v>1</v>
      </c>
      <c r="AD2" s="68">
        <v>8.6714729046555197E-4</v>
      </c>
    </row>
    <row r="3" spans="1:30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Y5" s="8"/>
      <c r="Z5" s="8"/>
      <c r="AA5" s="8"/>
      <c r="AB5" s="8"/>
      <c r="AC5" s="8"/>
      <c r="AD5" s="8"/>
    </row>
    <row r="6" spans="1:30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Y6" s="8"/>
      <c r="Z6" s="8"/>
      <c r="AA6" s="8"/>
      <c r="AB6" s="8"/>
      <c r="AC6" s="8"/>
      <c r="AD6" s="8"/>
    </row>
    <row r="7" spans="1:30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Y7" s="8"/>
      <c r="Z7" s="8"/>
      <c r="AA7" s="8"/>
      <c r="AB7" s="8"/>
      <c r="AC7" s="8"/>
      <c r="AD7" s="8"/>
    </row>
    <row r="8" spans="1:30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Y8" s="8"/>
      <c r="Z8" s="8"/>
      <c r="AA8" s="8"/>
      <c r="AB8" s="8"/>
      <c r="AC8" s="8"/>
      <c r="AD8" s="8"/>
    </row>
    <row r="9" spans="1:30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Y9" s="8"/>
      <c r="Z9" s="8"/>
      <c r="AA9" s="8"/>
      <c r="AB9" s="8"/>
      <c r="AC9" s="8"/>
      <c r="AD9" s="8"/>
    </row>
    <row r="10" spans="1:3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Y10" s="8"/>
      <c r="Z10" s="8"/>
      <c r="AA10" s="8"/>
      <c r="AB10" s="8"/>
      <c r="AC10" s="8"/>
      <c r="AD10" s="8"/>
    </row>
    <row r="11" spans="1:3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Y11" s="8"/>
      <c r="Z11" s="8"/>
      <c r="AA11" s="8"/>
      <c r="AB11" s="8"/>
      <c r="AC11" s="8"/>
      <c r="AD11" s="8"/>
    </row>
    <row r="12" spans="1:3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Y12" s="8"/>
      <c r="Z12" s="8"/>
      <c r="AA12" s="8"/>
      <c r="AB12" s="8"/>
      <c r="AC12" s="8"/>
      <c r="AD12" s="8"/>
    </row>
    <row r="13" spans="1:3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Y13" s="8"/>
      <c r="Z13" s="8"/>
      <c r="AA13" s="8"/>
      <c r="AB13" s="8"/>
      <c r="AC13" s="8"/>
      <c r="AD13" s="8"/>
    </row>
    <row r="14" spans="1:3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Y14" s="8"/>
      <c r="Z14" s="8"/>
      <c r="AA14" s="8"/>
      <c r="AB14" s="8"/>
      <c r="AC14" s="8"/>
      <c r="AD14" s="8"/>
    </row>
    <row r="15" spans="1:30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Y15" s="8"/>
      <c r="Z15" s="8"/>
      <c r="AA15" s="8"/>
      <c r="AB15" s="8"/>
      <c r="AC15" s="8"/>
      <c r="AD15" s="8"/>
    </row>
    <row r="16" spans="1:30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Y16" s="8"/>
      <c r="Z16" s="8"/>
      <c r="AA16" s="8"/>
      <c r="AB16" s="8"/>
      <c r="AC16" s="8"/>
      <c r="AD16" s="8"/>
    </row>
    <row r="17" spans="1:30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Y17" s="8"/>
      <c r="Z17" s="8"/>
      <c r="AA17" s="8"/>
      <c r="AB17" s="8"/>
      <c r="AC17" s="8"/>
      <c r="AD17" s="8"/>
    </row>
    <row r="18" spans="1:30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Y18" s="8"/>
      <c r="Z18" s="8"/>
      <c r="AA18" s="8"/>
      <c r="AB18" s="8"/>
      <c r="AC18" s="8"/>
      <c r="AD18" s="8"/>
    </row>
    <row r="19" spans="1:30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Y19" s="8"/>
      <c r="Z19" s="8"/>
      <c r="AA19" s="8"/>
      <c r="AB19" s="8"/>
      <c r="AC19" s="8"/>
      <c r="AD19" s="8"/>
    </row>
    <row r="20" spans="1:30" x14ac:dyDescent="0.25">
      <c r="E20" s="8"/>
      <c r="H20" s="8"/>
      <c r="I20" s="8"/>
      <c r="J20" s="8"/>
      <c r="K20" s="8"/>
      <c r="L20" s="8"/>
      <c r="M20" s="8"/>
      <c r="P20" s="8"/>
      <c r="Q20" s="8"/>
      <c r="V20" s="8"/>
      <c r="W20" s="8"/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Z10000"/>
  <sheetViews>
    <sheetView rightToLeft="1" zoomScale="70" zoomScaleNormal="70" workbookViewId="0">
      <selection activeCell="A2" sqref="A2:V2"/>
    </sheetView>
  </sheetViews>
  <sheetFormatPr defaultColWidth="9" defaultRowHeight="13.8" x14ac:dyDescent="0.25"/>
  <cols>
    <col min="1" max="1" width="29.09765625" style="1" customWidth="1"/>
    <col min="2" max="2" width="11.3984375" style="1" customWidth="1"/>
    <col min="3" max="3" width="26.19921875" style="1" bestFit="1" customWidth="1"/>
    <col min="4" max="4" width="14.09765625" style="1" customWidth="1"/>
    <col min="5" max="5" width="16.8984375" style="1" customWidth="1"/>
    <col min="6" max="6" width="26.19921875" style="1" bestFit="1" customWidth="1"/>
    <col min="7" max="7" width="16.69921875" style="1" customWidth="1"/>
    <col min="8" max="8" width="10.69921875" style="1" customWidth="1"/>
    <col min="9" max="9" width="20.296875" style="1" customWidth="1"/>
    <col min="10" max="10" width="15.296875" style="1" customWidth="1"/>
    <col min="11" max="11" width="10.3984375" style="1" customWidth="1"/>
    <col min="12" max="12" width="11.19921875" style="1" bestFit="1" customWidth="1"/>
    <col min="13" max="13" width="12.296875" style="1" customWidth="1"/>
    <col min="14" max="14" width="6.8984375" style="1" customWidth="1"/>
    <col min="15" max="15" width="11" style="1" customWidth="1"/>
    <col min="16" max="16" width="12.09765625" style="1" customWidth="1"/>
    <col min="17" max="17" width="12.3984375" style="1" bestFit="1" customWidth="1"/>
    <col min="18" max="18" width="10.3984375" style="1" customWidth="1"/>
    <col min="19" max="19" width="10.59765625" style="1" customWidth="1"/>
    <col min="20" max="20" width="17.8984375" style="1" customWidth="1"/>
    <col min="21" max="21" width="21.8984375" style="1" customWidth="1"/>
    <col min="22" max="22" width="20.296875" style="1" customWidth="1"/>
    <col min="23" max="16384" width="9" style="1"/>
  </cols>
  <sheetData>
    <row r="1" spans="1:22" ht="66.75" customHeight="1" x14ac:dyDescent="0.25">
      <c r="A1" s="139" t="s">
        <v>667</v>
      </c>
      <c r="B1" s="139" t="s">
        <v>0</v>
      </c>
      <c r="C1" s="139" t="s">
        <v>739</v>
      </c>
      <c r="D1" s="139" t="s">
        <v>757</v>
      </c>
      <c r="E1" s="139" t="s">
        <v>758</v>
      </c>
      <c r="F1" s="139" t="s">
        <v>1</v>
      </c>
      <c r="G1" s="139" t="s">
        <v>641</v>
      </c>
      <c r="H1" s="139" t="s">
        <v>620</v>
      </c>
      <c r="I1" s="139" t="s">
        <v>621</v>
      </c>
      <c r="J1" s="139" t="s">
        <v>622</v>
      </c>
      <c r="K1" s="139" t="s">
        <v>788</v>
      </c>
      <c r="L1" s="139" t="s">
        <v>8</v>
      </c>
      <c r="M1" s="139" t="s">
        <v>396</v>
      </c>
      <c r="N1" s="139" t="s">
        <v>13</v>
      </c>
      <c r="O1" s="139" t="s">
        <v>14</v>
      </c>
      <c r="P1" s="139" t="s">
        <v>637</v>
      </c>
      <c r="Q1" s="139" t="s">
        <v>937</v>
      </c>
      <c r="R1" s="139" t="s">
        <v>11</v>
      </c>
      <c r="S1" s="139" t="s">
        <v>811</v>
      </c>
      <c r="T1" s="139" t="s">
        <v>1162</v>
      </c>
      <c r="U1" s="139" t="s">
        <v>19</v>
      </c>
      <c r="V1" s="139" t="s">
        <v>30</v>
      </c>
    </row>
    <row r="2" spans="1:22" x14ac:dyDescent="0.25">
      <c r="A2" s="8">
        <v>13908</v>
      </c>
      <c r="B2" s="8">
        <v>13908</v>
      </c>
      <c r="C2" s="8" t="s">
        <v>2734</v>
      </c>
      <c r="D2" s="1">
        <v>31</v>
      </c>
      <c r="E2" s="8" t="s">
        <v>792</v>
      </c>
      <c r="F2" s="8" t="s">
        <v>228</v>
      </c>
      <c r="G2" s="72">
        <v>46150</v>
      </c>
      <c r="H2" s="8" t="s">
        <v>53</v>
      </c>
      <c r="I2" s="8" t="s">
        <v>53</v>
      </c>
      <c r="J2" s="8" t="s">
        <v>55</v>
      </c>
      <c r="K2" s="8" t="s">
        <v>1205</v>
      </c>
      <c r="L2" s="1" t="s">
        <v>65</v>
      </c>
      <c r="M2" s="8" t="s">
        <v>1206</v>
      </c>
      <c r="N2" s="71">
        <v>0.35099999999999998</v>
      </c>
      <c r="O2" s="141" t="s">
        <v>2853</v>
      </c>
      <c r="P2" s="73">
        <v>3.8600000000000002E-2</v>
      </c>
      <c r="Q2" s="67">
        <v>431850</v>
      </c>
      <c r="R2" s="74">
        <v>1</v>
      </c>
      <c r="S2" s="141" t="s">
        <v>2853</v>
      </c>
      <c r="T2" s="74">
        <v>43185</v>
      </c>
      <c r="U2" s="68">
        <v>1</v>
      </c>
      <c r="V2" s="68">
        <v>1.0020959816230877E-2</v>
      </c>
    </row>
    <row r="3" spans="1:22" x14ac:dyDescent="0.25">
      <c r="A3" s="8"/>
      <c r="B3" s="8"/>
      <c r="C3" s="8"/>
      <c r="E3" s="8"/>
      <c r="F3" s="8"/>
      <c r="G3" s="8"/>
      <c r="H3" s="8"/>
      <c r="I3" s="8"/>
      <c r="J3" s="8"/>
      <c r="K3" s="8"/>
      <c r="M3" s="8"/>
      <c r="N3" s="8"/>
      <c r="O3" s="8"/>
      <c r="P3" s="8"/>
      <c r="R3" s="8"/>
      <c r="T3" s="8"/>
      <c r="U3" s="8"/>
      <c r="V3" s="8"/>
    </row>
    <row r="4" spans="1:22" x14ac:dyDescent="0.25">
      <c r="A4" s="8"/>
      <c r="B4" s="8"/>
      <c r="C4" s="8"/>
      <c r="E4" s="8"/>
      <c r="F4" s="8"/>
      <c r="G4" s="8"/>
      <c r="H4" s="8"/>
      <c r="I4" s="8"/>
      <c r="J4" s="8"/>
      <c r="K4" s="8"/>
      <c r="M4" s="8"/>
      <c r="N4" s="8"/>
      <c r="O4" s="8"/>
      <c r="P4" s="8"/>
      <c r="R4" s="8"/>
      <c r="T4" s="8"/>
      <c r="U4" s="8"/>
      <c r="V4" s="8"/>
    </row>
    <row r="5" spans="1:22" x14ac:dyDescent="0.25">
      <c r="A5" s="8"/>
      <c r="B5" s="8"/>
      <c r="C5" s="8"/>
      <c r="E5" s="8"/>
      <c r="F5" s="8"/>
      <c r="G5" s="8"/>
      <c r="H5" s="8"/>
      <c r="I5" s="8"/>
      <c r="J5" s="8"/>
      <c r="K5" s="8"/>
      <c r="M5" s="8"/>
      <c r="N5" s="8"/>
      <c r="O5" s="8"/>
      <c r="P5" s="8"/>
      <c r="R5" s="8"/>
      <c r="T5" s="8"/>
      <c r="U5" s="8"/>
      <c r="V5" s="8"/>
    </row>
    <row r="6" spans="1:22" x14ac:dyDescent="0.25">
      <c r="A6" s="8"/>
      <c r="B6" s="8"/>
      <c r="C6" s="8"/>
      <c r="E6" s="8"/>
      <c r="F6" s="8"/>
      <c r="G6" s="8"/>
      <c r="H6" s="8"/>
      <c r="I6" s="8"/>
      <c r="J6" s="8"/>
      <c r="K6" s="8"/>
      <c r="M6" s="8"/>
      <c r="N6" s="8"/>
      <c r="O6" s="8"/>
      <c r="P6" s="8"/>
      <c r="R6" s="8"/>
      <c r="T6" s="8"/>
      <c r="U6" s="8"/>
      <c r="V6" s="8"/>
    </row>
    <row r="7" spans="1:22" x14ac:dyDescent="0.25">
      <c r="A7" s="8"/>
      <c r="B7" s="8"/>
      <c r="C7" s="8"/>
      <c r="E7" s="8"/>
      <c r="F7" s="8"/>
      <c r="G7" s="8"/>
      <c r="H7" s="8"/>
      <c r="I7" s="8"/>
      <c r="J7" s="8"/>
      <c r="K7" s="8"/>
      <c r="M7" s="8"/>
      <c r="N7" s="8"/>
      <c r="O7" s="8"/>
      <c r="P7" s="8"/>
      <c r="R7" s="8"/>
      <c r="S7" s="8"/>
      <c r="T7" s="8"/>
      <c r="U7" s="8"/>
      <c r="V7" s="8"/>
    </row>
    <row r="8" spans="1:22" x14ac:dyDescent="0.25">
      <c r="A8" s="8"/>
      <c r="B8" s="8"/>
      <c r="C8" s="8"/>
      <c r="E8" s="8"/>
      <c r="F8" s="8"/>
      <c r="G8" s="8"/>
      <c r="H8" s="8"/>
      <c r="I8" s="8"/>
      <c r="J8" s="8"/>
      <c r="K8" s="8"/>
      <c r="M8" s="8"/>
      <c r="N8" s="8"/>
      <c r="O8" s="8"/>
      <c r="P8" s="8"/>
      <c r="R8" s="8"/>
      <c r="S8" s="8"/>
      <c r="T8" s="8"/>
      <c r="U8" s="8"/>
      <c r="V8" s="8"/>
    </row>
    <row r="9" spans="1:22" x14ac:dyDescent="0.25">
      <c r="A9" s="8"/>
      <c r="B9" s="8"/>
      <c r="C9" s="8"/>
      <c r="E9" s="8"/>
      <c r="F9" s="8"/>
      <c r="G9" s="8"/>
      <c r="H9" s="8"/>
      <c r="I9" s="8"/>
      <c r="J9" s="8"/>
      <c r="K9" s="8"/>
      <c r="M9" s="8"/>
      <c r="N9" s="8"/>
      <c r="O9" s="8"/>
      <c r="P9" s="8"/>
      <c r="R9" s="8"/>
      <c r="S9" s="8"/>
      <c r="T9" s="8"/>
      <c r="U9" s="8"/>
      <c r="V9" s="8"/>
    </row>
    <row r="10" spans="1:22" x14ac:dyDescent="0.25">
      <c r="A10" s="8"/>
      <c r="B10" s="8"/>
      <c r="C10" s="8"/>
      <c r="E10" s="8"/>
      <c r="F10" s="8"/>
      <c r="G10" s="8"/>
      <c r="H10" s="8"/>
      <c r="I10" s="8"/>
      <c r="J10" s="8"/>
      <c r="K10" s="8"/>
      <c r="M10" s="8"/>
      <c r="N10" s="8"/>
      <c r="O10" s="8"/>
      <c r="P10" s="8"/>
      <c r="R10" s="8"/>
      <c r="S10" s="8"/>
      <c r="T10" s="8"/>
      <c r="U10" s="8"/>
      <c r="V10" s="8"/>
    </row>
    <row r="11" spans="1:22" x14ac:dyDescent="0.25">
      <c r="A11" s="8"/>
      <c r="B11" s="8"/>
      <c r="C11" s="8"/>
      <c r="E11" s="8"/>
      <c r="F11" s="8"/>
      <c r="G11" s="8"/>
      <c r="H11" s="8"/>
      <c r="I11" s="8"/>
      <c r="J11" s="8"/>
      <c r="K11" s="8"/>
      <c r="M11" s="8"/>
      <c r="N11" s="8"/>
      <c r="O11" s="8"/>
      <c r="P11" s="8"/>
      <c r="R11" s="8"/>
      <c r="S11" s="8"/>
      <c r="T11" s="8"/>
      <c r="U11" s="8"/>
      <c r="V11" s="8"/>
    </row>
    <row r="12" spans="1:22" x14ac:dyDescent="0.25">
      <c r="A12" s="8"/>
      <c r="B12" s="8"/>
      <c r="C12" s="8"/>
      <c r="E12" s="8"/>
      <c r="F12" s="8"/>
      <c r="G12" s="8"/>
      <c r="H12" s="8"/>
      <c r="I12" s="8"/>
      <c r="J12" s="8"/>
      <c r="K12" s="8"/>
      <c r="M12" s="8"/>
      <c r="N12" s="8"/>
      <c r="O12" s="8"/>
      <c r="P12" s="8"/>
      <c r="R12" s="8"/>
      <c r="S12" s="8"/>
      <c r="T12" s="8"/>
      <c r="U12" s="8"/>
      <c r="V12" s="8"/>
    </row>
    <row r="13" spans="1:22" x14ac:dyDescent="0.25">
      <c r="A13" s="8"/>
      <c r="B13" s="8"/>
      <c r="C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  <c r="R13" s="8"/>
      <c r="S13" s="8"/>
      <c r="T13" s="8"/>
      <c r="U13" s="8"/>
      <c r="V13" s="8"/>
    </row>
    <row r="14" spans="1:22" x14ac:dyDescent="0.25">
      <c r="A14" s="8"/>
      <c r="B14" s="8"/>
      <c r="C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  <c r="R14" s="8"/>
      <c r="S14" s="8"/>
      <c r="T14" s="8"/>
      <c r="U14" s="8"/>
      <c r="V14" s="8"/>
    </row>
    <row r="15" spans="1:22" x14ac:dyDescent="0.25">
      <c r="A15" s="8"/>
      <c r="B15" s="8"/>
      <c r="C15" s="8"/>
      <c r="E15" s="8"/>
      <c r="F15" s="8"/>
      <c r="G15" s="8"/>
      <c r="H15" s="8"/>
      <c r="I15" s="8"/>
      <c r="J15" s="8"/>
      <c r="K15" s="8"/>
      <c r="M15" s="8"/>
      <c r="N15" s="8"/>
      <c r="O15" s="8"/>
      <c r="P15" s="8"/>
      <c r="R15" s="8"/>
      <c r="S15" s="8"/>
      <c r="T15" s="8"/>
      <c r="U15" s="8"/>
      <c r="V15" s="8"/>
    </row>
    <row r="16" spans="1:22" x14ac:dyDescent="0.25">
      <c r="A16" s="8"/>
      <c r="B16" s="8"/>
      <c r="C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  <c r="R16" s="8"/>
      <c r="S16" s="8"/>
      <c r="T16" s="8"/>
      <c r="U16" s="8"/>
      <c r="V16" s="8"/>
    </row>
    <row r="17" spans="1:22" x14ac:dyDescent="0.25">
      <c r="A17" s="8"/>
      <c r="B17" s="8"/>
      <c r="C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  <c r="R17" s="8"/>
      <c r="S17" s="8"/>
      <c r="T17" s="8"/>
      <c r="U17" s="8"/>
      <c r="V17" s="8"/>
    </row>
    <row r="18" spans="1:22" x14ac:dyDescent="0.25">
      <c r="A18" s="8"/>
      <c r="B18" s="8"/>
      <c r="C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  <c r="R18" s="8"/>
      <c r="S18" s="8"/>
      <c r="T18" s="8"/>
      <c r="U18" s="8"/>
      <c r="V18" s="8"/>
    </row>
    <row r="19" spans="1:22" x14ac:dyDescent="0.25">
      <c r="A19" s="8"/>
      <c r="B19" s="8"/>
      <c r="C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  <c r="R19" s="8"/>
      <c r="S19" s="8"/>
      <c r="T19" s="8"/>
      <c r="U19" s="8"/>
      <c r="V19" s="8"/>
    </row>
    <row r="20" spans="1:22" x14ac:dyDescent="0.25">
      <c r="E20" s="8"/>
      <c r="F20" s="8"/>
      <c r="H20" s="8"/>
      <c r="I20" s="8"/>
      <c r="J20" s="8"/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Z10000"/>
  <sheetViews>
    <sheetView rightToLeft="1" zoomScale="25" zoomScaleNormal="25" workbookViewId="0">
      <selection activeCell="A2" sqref="A2:X4"/>
    </sheetView>
  </sheetViews>
  <sheetFormatPr defaultColWidth="9" defaultRowHeight="13.8" x14ac:dyDescent="0.25"/>
  <cols>
    <col min="1" max="1" width="26.3984375" style="1" customWidth="1"/>
    <col min="2" max="2" width="11.19921875" style="1" customWidth="1"/>
    <col min="3" max="3" width="21.19921875" style="1" bestFit="1" customWidth="1"/>
    <col min="4" max="4" width="11.796875" style="1" bestFit="1" customWidth="1"/>
    <col min="5" max="5" width="15.59765625" style="1" customWidth="1"/>
    <col min="6" max="6" width="14.3984375" style="1" customWidth="1"/>
    <col min="7" max="7" width="11.59765625" style="1" bestFit="1" customWidth="1"/>
    <col min="8" max="8" width="19.3984375" style="1" bestFit="1" customWidth="1"/>
    <col min="9" max="9" width="14" style="1" bestFit="1" customWidth="1"/>
    <col min="10" max="10" width="64.19921875" style="1" bestFit="1" customWidth="1"/>
    <col min="11" max="11" width="24.796875" style="1" customWidth="1"/>
    <col min="12" max="12" width="26" style="1" customWidth="1"/>
    <col min="13" max="13" width="15.19921875" style="1" bestFit="1" customWidth="1"/>
    <col min="14" max="14" width="32.3984375" style="1" bestFit="1" customWidth="1"/>
    <col min="15" max="15" width="18.3984375" style="1" customWidth="1"/>
    <col min="16" max="16" width="15.19921875" style="1" customWidth="1"/>
    <col min="17" max="17" width="12" style="1" customWidth="1"/>
    <col min="18" max="18" width="20" style="1" customWidth="1"/>
    <col min="19" max="19" width="16.3984375" style="1" customWidth="1"/>
    <col min="20" max="20" width="20.3984375" style="1" customWidth="1"/>
    <col min="21" max="21" width="24" style="1" customWidth="1"/>
    <col min="22" max="22" width="20.3984375" style="1" customWidth="1"/>
    <col min="23" max="23" width="20" style="1" customWidth="1"/>
    <col min="24" max="24" width="18.796875" style="1" customWidth="1"/>
    <col min="25" max="16384" width="9" style="1"/>
  </cols>
  <sheetData>
    <row r="1" spans="1:24" ht="66.75" customHeight="1" x14ac:dyDescent="0.25">
      <c r="A1" s="139" t="s">
        <v>667</v>
      </c>
      <c r="B1" s="139" t="s">
        <v>0</v>
      </c>
      <c r="C1" s="139" t="s">
        <v>299</v>
      </c>
      <c r="D1" s="139" t="s">
        <v>1</v>
      </c>
      <c r="E1" s="139" t="s">
        <v>798</v>
      </c>
      <c r="F1" s="139" t="s">
        <v>622</v>
      </c>
      <c r="G1" s="139" t="s">
        <v>12</v>
      </c>
      <c r="H1" s="139" t="s">
        <v>24</v>
      </c>
      <c r="I1" s="139" t="s">
        <v>286</v>
      </c>
      <c r="J1" s="139" t="s">
        <v>25</v>
      </c>
      <c r="K1" s="139" t="s">
        <v>965</v>
      </c>
      <c r="L1" s="139" t="s">
        <v>1158</v>
      </c>
      <c r="M1" s="139" t="s">
        <v>933</v>
      </c>
      <c r="N1" s="139" t="s">
        <v>747</v>
      </c>
      <c r="O1" s="139" t="s">
        <v>372</v>
      </c>
      <c r="P1" s="139" t="s">
        <v>16</v>
      </c>
      <c r="Q1" s="139" t="s">
        <v>396</v>
      </c>
      <c r="R1" s="139" t="s">
        <v>803</v>
      </c>
      <c r="S1" s="139" t="s">
        <v>1162</v>
      </c>
      <c r="T1" s="139" t="s">
        <v>1163</v>
      </c>
      <c r="U1" s="139" t="s">
        <v>804</v>
      </c>
      <c r="V1" s="139" t="s">
        <v>26</v>
      </c>
      <c r="W1" s="139" t="s">
        <v>19</v>
      </c>
      <c r="X1" s="139" t="s">
        <v>30</v>
      </c>
    </row>
    <row r="2" spans="1:24" x14ac:dyDescent="0.25">
      <c r="A2" s="8">
        <v>13908</v>
      </c>
      <c r="B2" s="8">
        <v>13908</v>
      </c>
      <c r="C2" s="8" t="s">
        <v>2735</v>
      </c>
      <c r="D2" s="8" t="s">
        <v>751</v>
      </c>
      <c r="E2" s="8" t="s">
        <v>53</v>
      </c>
      <c r="F2" s="8" t="s">
        <v>62</v>
      </c>
      <c r="G2" s="72">
        <v>45196</v>
      </c>
      <c r="H2" s="8" t="s">
        <v>397</v>
      </c>
      <c r="I2" s="8" t="s">
        <v>616</v>
      </c>
      <c r="J2" s="8" t="s">
        <v>2736</v>
      </c>
      <c r="K2" s="73">
        <v>0</v>
      </c>
      <c r="L2" s="141" t="s">
        <v>2853</v>
      </c>
      <c r="M2" s="8" t="s">
        <v>301</v>
      </c>
      <c r="N2" s="141" t="s">
        <v>2853</v>
      </c>
      <c r="O2" s="8" t="s">
        <v>305</v>
      </c>
      <c r="P2" s="111">
        <v>45777</v>
      </c>
      <c r="Q2" s="8" t="s">
        <v>1206</v>
      </c>
      <c r="R2" s="74">
        <v>9553.8461399999997</v>
      </c>
      <c r="S2" s="74">
        <v>9553.8461399999997</v>
      </c>
      <c r="T2" s="141" t="s">
        <v>2853</v>
      </c>
      <c r="U2" s="141" t="s">
        <v>2853</v>
      </c>
      <c r="V2" s="8" t="s">
        <v>17</v>
      </c>
      <c r="W2" s="68">
        <v>0.42766733729557249</v>
      </c>
      <c r="X2" s="68">
        <v>2.2169435743751875E-3</v>
      </c>
    </row>
    <row r="3" spans="1:24" x14ac:dyDescent="0.25">
      <c r="A3" s="8">
        <v>13908</v>
      </c>
      <c r="B3" s="8">
        <v>13908</v>
      </c>
      <c r="C3" s="8" t="s">
        <v>2342</v>
      </c>
      <c r="D3" s="8" t="s">
        <v>751</v>
      </c>
      <c r="E3" s="8" t="s">
        <v>53</v>
      </c>
      <c r="F3" s="8" t="s">
        <v>62</v>
      </c>
      <c r="G3" s="72">
        <v>45741</v>
      </c>
      <c r="H3" s="8" t="s">
        <v>60</v>
      </c>
      <c r="I3" s="8" t="s">
        <v>616</v>
      </c>
      <c r="J3" s="8" t="s">
        <v>2737</v>
      </c>
      <c r="K3" s="73">
        <v>0</v>
      </c>
      <c r="L3" s="141" t="s">
        <v>2853</v>
      </c>
      <c r="M3" s="8" t="s">
        <v>301</v>
      </c>
      <c r="N3" s="141" t="s">
        <v>2853</v>
      </c>
      <c r="O3" s="8" t="s">
        <v>305</v>
      </c>
      <c r="P3" s="72">
        <v>45741</v>
      </c>
      <c r="Q3" s="8" t="s">
        <v>1206</v>
      </c>
      <c r="R3" s="74">
        <v>8354.9926699999996</v>
      </c>
      <c r="S3" s="74">
        <v>8354.9926699999996</v>
      </c>
      <c r="T3" s="141" t="s">
        <v>2853</v>
      </c>
      <c r="U3" s="141" t="s">
        <v>2853</v>
      </c>
      <c r="V3" s="8" t="s">
        <v>17</v>
      </c>
      <c r="W3" s="68">
        <v>0.37400198997792589</v>
      </c>
      <c r="X3" s="68">
        <v>1.9387529422478528E-3</v>
      </c>
    </row>
    <row r="4" spans="1:24" x14ac:dyDescent="0.25">
      <c r="A4" s="8">
        <v>13908</v>
      </c>
      <c r="B4" s="8">
        <v>13908</v>
      </c>
      <c r="C4" s="8" t="s">
        <v>2738</v>
      </c>
      <c r="D4" s="8" t="s">
        <v>751</v>
      </c>
      <c r="E4" s="8" t="s">
        <v>53</v>
      </c>
      <c r="F4" s="8" t="s">
        <v>62</v>
      </c>
      <c r="G4" s="72">
        <v>45782</v>
      </c>
      <c r="H4" s="8" t="s">
        <v>397</v>
      </c>
      <c r="I4" s="8" t="s">
        <v>616</v>
      </c>
      <c r="J4" s="8" t="s">
        <v>2736</v>
      </c>
      <c r="K4" s="73">
        <v>0</v>
      </c>
      <c r="L4" s="141" t="s">
        <v>2853</v>
      </c>
      <c r="M4" s="8" t="s">
        <v>301</v>
      </c>
      <c r="N4" s="141" t="s">
        <v>2853</v>
      </c>
      <c r="O4" s="8" t="s">
        <v>305</v>
      </c>
      <c r="P4" s="114">
        <v>45782</v>
      </c>
      <c r="Q4" s="8" t="s">
        <v>1206</v>
      </c>
      <c r="R4" s="74">
        <v>4430.5949199999995</v>
      </c>
      <c r="S4" s="74">
        <v>4430.5949199999995</v>
      </c>
      <c r="T4" s="141" t="s">
        <v>2853</v>
      </c>
      <c r="U4" s="141" t="s">
        <v>2853</v>
      </c>
      <c r="V4" s="8" t="s">
        <v>17</v>
      </c>
      <c r="W4" s="68">
        <v>0.19833067272650154</v>
      </c>
      <c r="X4" s="68">
        <v>1.0281072977959165E-3</v>
      </c>
    </row>
    <row r="5" spans="1:24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x14ac:dyDescent="0.25">
      <c r="D20" s="8"/>
      <c r="E20" s="8"/>
      <c r="F20" s="8"/>
      <c r="H20" s="8"/>
      <c r="I20" s="8"/>
      <c r="L20" s="8"/>
      <c r="M20" s="8"/>
      <c r="O20" s="8"/>
      <c r="V20" s="8"/>
    </row>
    <row r="21" spans="1:24" x14ac:dyDescent="0.25">
      <c r="D21" s="8"/>
      <c r="E21" s="8"/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0"/>
  <sheetViews>
    <sheetView rightToLeft="1" zoomScale="55" zoomScaleNormal="55" workbookViewId="0"/>
  </sheetViews>
  <sheetFormatPr defaultColWidth="9" defaultRowHeight="13.8" x14ac:dyDescent="0.25"/>
  <cols>
    <col min="1" max="23" width="11.69921875" style="1" customWidth="1"/>
    <col min="24" max="16384" width="9" style="1"/>
  </cols>
  <sheetData>
    <row r="1" spans="1:23" ht="66.75" customHeight="1" x14ac:dyDescent="0.25">
      <c r="A1" s="9" t="s">
        <v>667</v>
      </c>
      <c r="B1" s="9" t="s">
        <v>0</v>
      </c>
      <c r="C1" s="9" t="s">
        <v>740</v>
      </c>
      <c r="D1" s="9" t="s">
        <v>2</v>
      </c>
      <c r="E1" s="9" t="s">
        <v>756</v>
      </c>
      <c r="F1" s="9" t="s">
        <v>1154</v>
      </c>
      <c r="G1" s="9" t="s">
        <v>29</v>
      </c>
      <c r="H1" s="9" t="s">
        <v>28</v>
      </c>
      <c r="I1" s="9" t="s">
        <v>1</v>
      </c>
      <c r="J1" s="9" t="s">
        <v>620</v>
      </c>
      <c r="K1" s="9" t="s">
        <v>621</v>
      </c>
      <c r="L1" s="9" t="s">
        <v>9</v>
      </c>
      <c r="M1" s="9" t="s">
        <v>622</v>
      </c>
      <c r="N1" s="9" t="s">
        <v>396</v>
      </c>
      <c r="O1" s="9" t="s">
        <v>933</v>
      </c>
      <c r="P1" s="9" t="s">
        <v>372</v>
      </c>
      <c r="Q1" s="9" t="s">
        <v>16</v>
      </c>
      <c r="R1" s="9" t="s">
        <v>1156</v>
      </c>
      <c r="S1" s="9" t="s">
        <v>634</v>
      </c>
      <c r="T1" s="9" t="s">
        <v>1165</v>
      </c>
      <c r="U1" s="9" t="s">
        <v>1162</v>
      </c>
      <c r="V1" s="9" t="s">
        <v>19</v>
      </c>
      <c r="W1" s="9" t="s">
        <v>30</v>
      </c>
    </row>
    <row r="2" spans="1:2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x14ac:dyDescent="0.25">
      <c r="A16" s="33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x14ac:dyDescent="0.25">
      <c r="A19" s="8"/>
      <c r="B19" s="8"/>
      <c r="C19" s="8"/>
      <c r="D19" s="8"/>
      <c r="E19" s="8"/>
      <c r="F19" s="8"/>
      <c r="G19" s="8"/>
      <c r="H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x14ac:dyDescent="0.25">
      <c r="E20" s="8"/>
      <c r="H20" s="8"/>
      <c r="I20" s="8"/>
      <c r="J20" s="8"/>
      <c r="K20" s="8"/>
      <c r="L20" s="8"/>
      <c r="M20" s="8"/>
      <c r="O20" s="8"/>
      <c r="P2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Z10000"/>
  <sheetViews>
    <sheetView rightToLeft="1" zoomScale="70" zoomScaleNormal="70" workbookViewId="0">
      <selection activeCell="A2" sqref="A2:R5"/>
    </sheetView>
  </sheetViews>
  <sheetFormatPr defaultColWidth="9" defaultRowHeight="13.8" x14ac:dyDescent="0.25"/>
  <cols>
    <col min="1" max="1" width="29.09765625" style="1" customWidth="1"/>
    <col min="2" max="2" width="11.3984375" style="1" customWidth="1"/>
    <col min="3" max="3" width="18.59765625" style="1" bestFit="1" customWidth="1"/>
    <col min="4" max="4" width="15" style="1" customWidth="1"/>
    <col min="5" max="5" width="17" style="1" bestFit="1" customWidth="1"/>
    <col min="6" max="6" width="10.69921875" style="1" customWidth="1"/>
    <col min="7" max="7" width="20.296875" style="1" customWidth="1"/>
    <col min="8" max="8" width="15.296875" style="1" customWidth="1"/>
    <col min="9" max="9" width="11.3984375" style="1" customWidth="1"/>
    <col min="10" max="10" width="12.296875" style="1" customWidth="1"/>
    <col min="11" max="11" width="16" style="1" customWidth="1"/>
    <col min="12" max="13" width="10.3984375" style="1" customWidth="1"/>
    <col min="14" max="14" width="17.8984375" style="1" customWidth="1"/>
    <col min="15" max="15" width="21.8984375" style="1" customWidth="1"/>
    <col min="16" max="16" width="22.09765625" style="1" customWidth="1"/>
    <col min="17" max="17" width="21.8984375" style="1" customWidth="1"/>
    <col min="18" max="18" width="20.296875" style="1" customWidth="1"/>
    <col min="19" max="16384" width="9" style="1"/>
  </cols>
  <sheetData>
    <row r="1" spans="1:18" ht="66.75" customHeight="1" x14ac:dyDescent="0.25">
      <c r="A1" s="139" t="s">
        <v>667</v>
      </c>
      <c r="B1" s="139" t="s">
        <v>0</v>
      </c>
      <c r="C1" s="139" t="s">
        <v>801</v>
      </c>
      <c r="D1" s="139" t="s">
        <v>802</v>
      </c>
      <c r="E1" s="139" t="s">
        <v>1</v>
      </c>
      <c r="F1" s="139" t="s">
        <v>620</v>
      </c>
      <c r="G1" s="139" t="s">
        <v>621</v>
      </c>
      <c r="H1" s="139" t="s">
        <v>622</v>
      </c>
      <c r="I1" s="139" t="s">
        <v>810</v>
      </c>
      <c r="J1" s="139" t="s">
        <v>396</v>
      </c>
      <c r="K1" s="139" t="s">
        <v>16</v>
      </c>
      <c r="L1" s="139" t="s">
        <v>937</v>
      </c>
      <c r="M1" s="139" t="s">
        <v>11</v>
      </c>
      <c r="N1" s="139" t="s">
        <v>1162</v>
      </c>
      <c r="O1" s="139" t="s">
        <v>1163</v>
      </c>
      <c r="P1" s="139" t="s">
        <v>26</v>
      </c>
      <c r="Q1" s="139" t="s">
        <v>19</v>
      </c>
      <c r="R1" s="139" t="s">
        <v>30</v>
      </c>
    </row>
    <row r="2" spans="1:18" x14ac:dyDescent="0.25">
      <c r="A2" s="8">
        <v>13908</v>
      </c>
      <c r="B2" s="8">
        <v>13908</v>
      </c>
      <c r="C2" s="8" t="s">
        <v>2739</v>
      </c>
      <c r="D2" s="8">
        <v>9042</v>
      </c>
      <c r="E2" s="8" t="s">
        <v>2740</v>
      </c>
      <c r="F2" s="8" t="s">
        <v>53</v>
      </c>
      <c r="G2" s="8" t="s">
        <v>53</v>
      </c>
      <c r="H2" s="8" t="s">
        <v>62</v>
      </c>
      <c r="I2" s="72">
        <v>46022</v>
      </c>
      <c r="J2" s="8" t="s">
        <v>1206</v>
      </c>
      <c r="K2" s="72">
        <v>46022</v>
      </c>
      <c r="L2" s="67">
        <v>513.18379000000004</v>
      </c>
      <c r="M2" s="74">
        <v>1</v>
      </c>
      <c r="N2" s="74">
        <v>513.18379000000004</v>
      </c>
      <c r="O2" s="141" t="s">
        <v>2853</v>
      </c>
      <c r="P2" s="8" t="s">
        <v>17</v>
      </c>
      <c r="Q2" s="68">
        <v>0.27576076776372155</v>
      </c>
      <c r="R2" s="68">
        <v>1.1908287919256838E-4</v>
      </c>
    </row>
    <row r="3" spans="1:18" x14ac:dyDescent="0.25">
      <c r="A3" s="8">
        <v>13908</v>
      </c>
      <c r="B3" s="8">
        <v>13908</v>
      </c>
      <c r="C3" s="8" t="s">
        <v>2741</v>
      </c>
      <c r="D3" s="8">
        <v>9082</v>
      </c>
      <c r="E3" s="8" t="s">
        <v>721</v>
      </c>
      <c r="F3" s="8" t="s">
        <v>53</v>
      </c>
      <c r="G3" s="8" t="s">
        <v>53</v>
      </c>
      <c r="H3" s="8" t="s">
        <v>62</v>
      </c>
      <c r="I3" s="72">
        <v>46022</v>
      </c>
      <c r="J3" s="8" t="s">
        <v>1206</v>
      </c>
      <c r="K3" s="72">
        <v>46022</v>
      </c>
      <c r="L3" s="67">
        <v>893.26742000000002</v>
      </c>
      <c r="M3" s="74">
        <v>1</v>
      </c>
      <c r="N3" s="74">
        <v>893.26742000000002</v>
      </c>
      <c r="O3" s="141" t="s">
        <v>2853</v>
      </c>
      <c r="P3" s="8" t="s">
        <v>17</v>
      </c>
      <c r="Q3" s="68">
        <v>0.4799997863485102</v>
      </c>
      <c r="R3" s="68">
        <v>2.0728023436304805E-4</v>
      </c>
    </row>
    <row r="4" spans="1:18" x14ac:dyDescent="0.25">
      <c r="A4" s="8">
        <v>13908</v>
      </c>
      <c r="B4" s="8">
        <v>13908</v>
      </c>
      <c r="C4" s="8" t="s">
        <v>2742</v>
      </c>
      <c r="D4" s="8">
        <v>11018712</v>
      </c>
      <c r="E4" s="8" t="s">
        <v>2740</v>
      </c>
      <c r="F4" s="8" t="s">
        <v>53</v>
      </c>
      <c r="G4" s="8" t="s">
        <v>53</v>
      </c>
      <c r="H4" s="8" t="s">
        <v>62</v>
      </c>
      <c r="I4" s="72">
        <v>46022</v>
      </c>
      <c r="J4" s="8" t="s">
        <v>1207</v>
      </c>
      <c r="K4" s="72">
        <v>46022</v>
      </c>
      <c r="L4" s="67">
        <v>20.87771</v>
      </c>
      <c r="M4" s="74">
        <v>3.19</v>
      </c>
      <c r="N4" s="74">
        <v>66.599890000000002</v>
      </c>
      <c r="O4" s="141" t="s">
        <v>2853</v>
      </c>
      <c r="P4" s="8" t="s">
        <v>17</v>
      </c>
      <c r="Q4" s="68">
        <v>3.5787640134501135E-2</v>
      </c>
      <c r="R4" s="68">
        <v>1.5454320283788276E-5</v>
      </c>
    </row>
    <row r="5" spans="1:18" x14ac:dyDescent="0.25">
      <c r="A5" s="8">
        <v>13908</v>
      </c>
      <c r="B5" s="8">
        <v>13908</v>
      </c>
      <c r="C5" s="8" t="s">
        <v>2743</v>
      </c>
      <c r="D5" s="8">
        <v>11022806</v>
      </c>
      <c r="E5" s="8" t="s">
        <v>2744</v>
      </c>
      <c r="F5" s="8" t="s">
        <v>53</v>
      </c>
      <c r="G5" s="8" t="s">
        <v>53</v>
      </c>
      <c r="H5" s="8" t="s">
        <v>62</v>
      </c>
      <c r="I5" s="72">
        <v>46022</v>
      </c>
      <c r="J5" s="8" t="s">
        <v>1207</v>
      </c>
      <c r="K5" s="72">
        <v>46022</v>
      </c>
      <c r="L5" s="67">
        <v>121.60612</v>
      </c>
      <c r="M5" s="74">
        <v>3.19</v>
      </c>
      <c r="N5" s="74">
        <v>387.92352</v>
      </c>
      <c r="O5" s="141" t="s">
        <v>2853</v>
      </c>
      <c r="P5" s="8" t="s">
        <v>17</v>
      </c>
      <c r="Q5" s="68">
        <v>0.20845180575326705</v>
      </c>
      <c r="R5" s="68">
        <v>9.0016579962737882E-5</v>
      </c>
    </row>
    <row r="6" spans="1:1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M6" s="8"/>
      <c r="N6" s="8"/>
      <c r="O6" s="8"/>
      <c r="P6" s="8"/>
      <c r="Q6" s="8"/>
      <c r="R6" s="8"/>
    </row>
    <row r="7" spans="1:1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M7" s="8"/>
      <c r="N7" s="8"/>
      <c r="O7" s="8"/>
      <c r="P7" s="8"/>
      <c r="Q7" s="8"/>
      <c r="R7" s="8"/>
    </row>
    <row r="8" spans="1:1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M8" s="8"/>
      <c r="N8" s="8"/>
      <c r="O8" s="8"/>
      <c r="P8" s="8"/>
      <c r="Q8" s="8"/>
      <c r="R8" s="8"/>
    </row>
    <row r="9" spans="1:1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M9" s="8"/>
      <c r="N9" s="8"/>
      <c r="O9" s="8"/>
      <c r="P9" s="8"/>
      <c r="Q9" s="8"/>
      <c r="R9" s="8"/>
    </row>
    <row r="10" spans="1:1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M10" s="8"/>
      <c r="N10" s="8"/>
      <c r="O10" s="8"/>
      <c r="P10" s="8"/>
      <c r="Q10" s="8"/>
      <c r="R10" s="8"/>
    </row>
    <row r="11" spans="1:1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M11" s="8"/>
      <c r="N11" s="8"/>
      <c r="O11" s="8"/>
      <c r="P11" s="8"/>
      <c r="Q11" s="8"/>
      <c r="R11" s="8"/>
    </row>
    <row r="12" spans="1:1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M12" s="8"/>
      <c r="N12" s="8"/>
      <c r="O12" s="8"/>
      <c r="P12" s="8"/>
      <c r="Q12" s="8"/>
      <c r="R12" s="8"/>
    </row>
    <row r="13" spans="1:1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  <c r="Q13" s="8"/>
      <c r="R13" s="8"/>
    </row>
    <row r="14" spans="1:1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  <c r="Q14" s="8"/>
      <c r="R14" s="8"/>
    </row>
    <row r="15" spans="1:1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M15" s="8"/>
      <c r="N15" s="8"/>
      <c r="O15" s="8"/>
      <c r="P15" s="8"/>
      <c r="Q15" s="8"/>
      <c r="R15" s="8"/>
    </row>
    <row r="16" spans="1:1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  <c r="Q16" s="8"/>
      <c r="R16" s="8"/>
    </row>
    <row r="17" spans="1:1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  <c r="Q17" s="8"/>
      <c r="R17" s="8"/>
    </row>
    <row r="18" spans="1:1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  <c r="Q18" s="8"/>
      <c r="R18" s="8"/>
    </row>
    <row r="19" spans="1:1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  <c r="Q19" s="8"/>
      <c r="R19" s="8"/>
    </row>
    <row r="20" spans="1:18" x14ac:dyDescent="0.25">
      <c r="E20" s="8"/>
      <c r="F20" s="8"/>
      <c r="G20" s="8"/>
      <c r="H20" s="8"/>
      <c r="P20" s="8"/>
    </row>
    <row r="10000" spans="52:52" x14ac:dyDescent="0.25">
      <c r="AZ10000" s="1">
        <v>1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Z10000"/>
  <sheetViews>
    <sheetView rightToLeft="1" zoomScale="40" zoomScaleNormal="40" workbookViewId="0">
      <selection activeCell="A2" sqref="A2:T8"/>
    </sheetView>
  </sheetViews>
  <sheetFormatPr defaultColWidth="11.69921875" defaultRowHeight="14.1" customHeight="1" x14ac:dyDescent="0.25"/>
  <cols>
    <col min="1" max="1" width="29.5" style="1" customWidth="1"/>
    <col min="2" max="2" width="11.296875" style="1" customWidth="1"/>
    <col min="3" max="3" width="14" style="1" customWidth="1"/>
    <col min="4" max="4" width="26.19921875" style="1" bestFit="1" customWidth="1"/>
    <col min="5" max="5" width="10" style="1" customWidth="1"/>
    <col min="6" max="6" width="11.796875" style="1" customWidth="1"/>
    <col min="7" max="7" width="23.796875" style="1" customWidth="1"/>
    <col min="8" max="8" width="10.5" style="1" customWidth="1"/>
    <col min="9" max="9" width="19.5" style="1" customWidth="1"/>
    <col min="10" max="10" width="15.296875" style="1" customWidth="1"/>
    <col min="11" max="11" width="6.296875" style="1" customWidth="1"/>
    <col min="12" max="12" width="9.5" style="1" customWidth="1"/>
    <col min="13" max="13" width="16.5" style="1" customWidth="1"/>
    <col min="14" max="14" width="12" style="1" customWidth="1"/>
    <col min="15" max="15" width="10.296875" style="1" customWidth="1"/>
    <col min="16" max="16" width="11" style="1" customWidth="1"/>
    <col min="17" max="17" width="10.296875" style="1" customWidth="1"/>
    <col min="18" max="18" width="36" style="1" customWidth="1"/>
    <col min="19" max="19" width="32.5" style="1" customWidth="1"/>
    <col min="20" max="20" width="21.5" style="1" customWidth="1"/>
    <col min="21" max="16384" width="11.69921875" style="1"/>
  </cols>
  <sheetData>
    <row r="1" spans="1:20" ht="66.75" customHeight="1" x14ac:dyDescent="0.25">
      <c r="A1" s="139" t="s">
        <v>667</v>
      </c>
      <c r="B1" s="139" t="s">
        <v>0</v>
      </c>
      <c r="C1" s="139" t="s">
        <v>741</v>
      </c>
      <c r="D1" s="139" t="s">
        <v>742</v>
      </c>
      <c r="E1" s="139" t="s">
        <v>743</v>
      </c>
      <c r="F1" s="139" t="s">
        <v>744</v>
      </c>
      <c r="G1" s="139" t="s">
        <v>749</v>
      </c>
      <c r="H1" s="139" t="s">
        <v>620</v>
      </c>
      <c r="I1" s="139" t="s">
        <v>621</v>
      </c>
      <c r="J1" s="139" t="s">
        <v>622</v>
      </c>
      <c r="K1" s="139" t="s">
        <v>6</v>
      </c>
      <c r="L1" s="139" t="s">
        <v>8</v>
      </c>
      <c r="M1" s="139" t="s">
        <v>1157</v>
      </c>
      <c r="N1" s="139" t="s">
        <v>396</v>
      </c>
      <c r="O1" s="139" t="s">
        <v>11</v>
      </c>
      <c r="P1" s="139" t="s">
        <v>14</v>
      </c>
      <c r="Q1" s="139" t="s">
        <v>440</v>
      </c>
      <c r="R1" s="139" t="s">
        <v>812</v>
      </c>
      <c r="S1" s="139" t="s">
        <v>1166</v>
      </c>
      <c r="T1" s="139" t="s">
        <v>764</v>
      </c>
    </row>
    <row r="2" spans="1:20" ht="14.1" customHeight="1" x14ac:dyDescent="0.25">
      <c r="A2" s="75">
        <v>13908</v>
      </c>
      <c r="B2" s="75">
        <v>1001</v>
      </c>
      <c r="C2" s="144" t="s">
        <v>2853</v>
      </c>
      <c r="D2" s="144" t="s">
        <v>2853</v>
      </c>
      <c r="E2" s="144" t="s">
        <v>2853</v>
      </c>
      <c r="F2" s="75">
        <v>11022460</v>
      </c>
      <c r="G2" s="76">
        <v>45741</v>
      </c>
      <c r="H2" s="75" t="s">
        <v>53</v>
      </c>
      <c r="I2" s="144" t="s">
        <v>2853</v>
      </c>
      <c r="J2" s="75" t="s">
        <v>62</v>
      </c>
      <c r="K2" s="75" t="s">
        <v>298</v>
      </c>
      <c r="L2" s="75" t="s">
        <v>298</v>
      </c>
      <c r="M2" s="75" t="s">
        <v>298</v>
      </c>
      <c r="N2" s="75" t="s">
        <v>1206</v>
      </c>
      <c r="O2" s="77">
        <v>1</v>
      </c>
      <c r="P2" s="78">
        <v>0.09</v>
      </c>
      <c r="Q2" s="78" t="s">
        <v>442</v>
      </c>
      <c r="R2" s="79">
        <v>1380159.2307692308</v>
      </c>
      <c r="S2" s="80">
        <v>1380.1592307692308</v>
      </c>
      <c r="T2" s="78">
        <v>2.4435567577798422E-2</v>
      </c>
    </row>
    <row r="3" spans="1:20" ht="14.1" customHeight="1" x14ac:dyDescent="0.25">
      <c r="A3" s="75">
        <v>13908</v>
      </c>
      <c r="B3" s="75">
        <v>1001</v>
      </c>
      <c r="C3" s="144" t="s">
        <v>2853</v>
      </c>
      <c r="D3" s="144" t="s">
        <v>2853</v>
      </c>
      <c r="E3" s="144" t="s">
        <v>2853</v>
      </c>
      <c r="F3" s="75">
        <v>11022458</v>
      </c>
      <c r="G3" s="76">
        <v>45739</v>
      </c>
      <c r="H3" s="75" t="s">
        <v>53</v>
      </c>
      <c r="I3" s="144" t="s">
        <v>2853</v>
      </c>
      <c r="J3" s="75" t="s">
        <v>62</v>
      </c>
      <c r="K3" s="75" t="s">
        <v>298</v>
      </c>
      <c r="L3" s="75" t="s">
        <v>298</v>
      </c>
      <c r="M3" s="75" t="s">
        <v>298</v>
      </c>
      <c r="N3" s="75" t="s">
        <v>1206</v>
      </c>
      <c r="O3" s="77">
        <v>1</v>
      </c>
      <c r="P3" s="78">
        <v>0.1</v>
      </c>
      <c r="Q3" s="78" t="s">
        <v>442</v>
      </c>
      <c r="R3" s="79">
        <v>7500000</v>
      </c>
      <c r="S3" s="80">
        <v>7500</v>
      </c>
      <c r="T3" s="78">
        <v>0.16666666702997274</v>
      </c>
    </row>
    <row r="4" spans="1:20" ht="14.1" customHeight="1" x14ac:dyDescent="0.25">
      <c r="A4" s="75">
        <v>13908</v>
      </c>
      <c r="B4" s="75">
        <v>1001</v>
      </c>
      <c r="C4" s="144" t="s">
        <v>2853</v>
      </c>
      <c r="D4" s="144" t="s">
        <v>2853</v>
      </c>
      <c r="E4" s="144" t="s">
        <v>2853</v>
      </c>
      <c r="F4" s="75">
        <v>11022466</v>
      </c>
      <c r="G4" s="76">
        <v>45748</v>
      </c>
      <c r="H4" s="75" t="s">
        <v>53</v>
      </c>
      <c r="I4" s="144" t="s">
        <v>2853</v>
      </c>
      <c r="J4" s="75" t="s">
        <v>62</v>
      </c>
      <c r="K4" s="75" t="s">
        <v>298</v>
      </c>
      <c r="L4" s="75" t="s">
        <v>298</v>
      </c>
      <c r="M4" s="75" t="s">
        <v>298</v>
      </c>
      <c r="N4" s="75" t="s">
        <v>1206</v>
      </c>
      <c r="O4" s="77">
        <v>1</v>
      </c>
      <c r="P4" s="78">
        <v>5.0000000000000001E-3</v>
      </c>
      <c r="Q4" s="75" t="s">
        <v>441</v>
      </c>
      <c r="R4" s="81">
        <v>10350000</v>
      </c>
      <c r="S4" s="80">
        <v>10350</v>
      </c>
      <c r="T4" s="82">
        <v>0.71428571432835819</v>
      </c>
    </row>
    <row r="5" spans="1:20" ht="14.1" customHeight="1" x14ac:dyDescent="0.25">
      <c r="A5" s="75">
        <v>13908</v>
      </c>
      <c r="B5" s="75">
        <v>1001</v>
      </c>
      <c r="C5" s="144" t="s">
        <v>2853</v>
      </c>
      <c r="D5" s="144" t="s">
        <v>2853</v>
      </c>
      <c r="E5" s="144" t="s">
        <v>2853</v>
      </c>
      <c r="F5" s="75">
        <v>11022808</v>
      </c>
      <c r="G5" s="76">
        <v>45750</v>
      </c>
      <c r="H5" s="75" t="s">
        <v>61</v>
      </c>
      <c r="I5" s="144" t="s">
        <v>2853</v>
      </c>
      <c r="J5" s="75" t="s">
        <v>62</v>
      </c>
      <c r="K5" s="75" t="s">
        <v>298</v>
      </c>
      <c r="L5" s="75" t="s">
        <v>298</v>
      </c>
      <c r="M5" s="75" t="s">
        <v>298</v>
      </c>
      <c r="N5" s="75" t="s">
        <v>1207</v>
      </c>
      <c r="O5" s="83">
        <v>3.19</v>
      </c>
      <c r="P5" s="82">
        <v>5.2499999999999998E-2</v>
      </c>
      <c r="Q5" s="75" t="s">
        <v>441</v>
      </c>
      <c r="R5" s="81">
        <v>2100000</v>
      </c>
      <c r="S5" s="80">
        <v>6942.6</v>
      </c>
      <c r="T5" s="82">
        <v>0.80612500346320359</v>
      </c>
    </row>
    <row r="6" spans="1:20" ht="14.1" customHeight="1" x14ac:dyDescent="0.25">
      <c r="A6" s="75">
        <v>13908</v>
      </c>
      <c r="B6" s="1">
        <v>1001</v>
      </c>
      <c r="C6" s="140" t="s">
        <v>2853</v>
      </c>
      <c r="D6" s="140" t="s">
        <v>2853</v>
      </c>
      <c r="E6" s="144" t="s">
        <v>2853</v>
      </c>
      <c r="F6" s="1">
        <v>11022535</v>
      </c>
      <c r="G6" s="84">
        <v>45962</v>
      </c>
      <c r="H6" s="1" t="s">
        <v>53</v>
      </c>
      <c r="I6" s="140" t="s">
        <v>2853</v>
      </c>
      <c r="J6" s="1" t="s">
        <v>62</v>
      </c>
      <c r="K6" s="1" t="s">
        <v>298</v>
      </c>
      <c r="L6" s="1" t="s">
        <v>298</v>
      </c>
      <c r="M6" s="1" t="s">
        <v>298</v>
      </c>
      <c r="N6" s="1" t="s">
        <v>1206</v>
      </c>
      <c r="O6" s="85">
        <v>1</v>
      </c>
      <c r="P6" s="86">
        <v>5.7000000000000002E-2</v>
      </c>
      <c r="Q6" s="68" t="s">
        <v>441</v>
      </c>
      <c r="R6" s="87">
        <v>8500000</v>
      </c>
      <c r="S6" s="88">
        <f>R6/1000</f>
        <v>8500</v>
      </c>
      <c r="T6" s="89">
        <v>0.6</v>
      </c>
    </row>
    <row r="7" spans="1:20" ht="14.1" customHeight="1" x14ac:dyDescent="0.25">
      <c r="A7" s="75">
        <v>13908</v>
      </c>
      <c r="B7" s="90">
        <v>1001</v>
      </c>
      <c r="C7" s="140" t="s">
        <v>2853</v>
      </c>
      <c r="D7" s="140" t="s">
        <v>2853</v>
      </c>
      <c r="E7" s="144" t="s">
        <v>2853</v>
      </c>
      <c r="F7" s="1">
        <v>11022865</v>
      </c>
      <c r="G7" s="70">
        <v>46007</v>
      </c>
      <c r="H7" s="1" t="s">
        <v>315</v>
      </c>
      <c r="I7" s="140" t="s">
        <v>2853</v>
      </c>
      <c r="J7" s="140" t="s">
        <v>2853</v>
      </c>
      <c r="K7" s="1" t="s">
        <v>298</v>
      </c>
      <c r="L7" s="1" t="s">
        <v>298</v>
      </c>
      <c r="M7" s="1" t="s">
        <v>298</v>
      </c>
      <c r="N7" s="1" t="s">
        <v>1207</v>
      </c>
      <c r="O7" s="85">
        <v>3.19</v>
      </c>
      <c r="P7" s="89">
        <v>5.2499999999999998E-2</v>
      </c>
      <c r="Q7" s="1" t="s">
        <v>441</v>
      </c>
      <c r="R7" s="88">
        <v>4875000</v>
      </c>
      <c r="S7" s="88">
        <f>R7*O7/1000</f>
        <v>15551.25</v>
      </c>
      <c r="T7" s="91">
        <v>1</v>
      </c>
    </row>
    <row r="8" spans="1:20" ht="14.1" customHeight="1" x14ac:dyDescent="0.25">
      <c r="A8" s="75">
        <v>13908</v>
      </c>
      <c r="B8" s="90">
        <v>1001</v>
      </c>
      <c r="C8" s="140" t="s">
        <v>2853</v>
      </c>
      <c r="D8" s="140" t="s">
        <v>2853</v>
      </c>
      <c r="E8" s="144" t="s">
        <v>2853</v>
      </c>
      <c r="F8" s="1">
        <v>11022866</v>
      </c>
      <c r="G8" s="70">
        <v>46007</v>
      </c>
      <c r="H8" s="1" t="s">
        <v>315</v>
      </c>
      <c r="I8" s="140" t="s">
        <v>2853</v>
      </c>
      <c r="J8" s="140" t="s">
        <v>2853</v>
      </c>
      <c r="K8" s="1" t="s">
        <v>298</v>
      </c>
      <c r="L8" s="1" t="s">
        <v>298</v>
      </c>
      <c r="M8" s="1" t="s">
        <v>298</v>
      </c>
      <c r="N8" s="1" t="s">
        <v>1207</v>
      </c>
      <c r="O8" s="1">
        <v>3.19</v>
      </c>
      <c r="P8" s="1">
        <v>5.2499999999999998E-2</v>
      </c>
      <c r="Q8" s="1" t="s">
        <v>441</v>
      </c>
      <c r="R8" s="88">
        <v>2625000</v>
      </c>
      <c r="S8" s="88">
        <f>R8*O8/1000</f>
        <v>8373.75</v>
      </c>
      <c r="T8" s="91">
        <v>1</v>
      </c>
    </row>
    <row r="9" spans="1:20" ht="14.1" customHeight="1" x14ac:dyDescent="0.25">
      <c r="D9" s="8"/>
      <c r="H9" s="8"/>
      <c r="I9" s="8"/>
      <c r="J9" s="8"/>
      <c r="K9" s="8"/>
      <c r="L9" s="8"/>
      <c r="M9" s="8"/>
      <c r="Q9" s="8"/>
    </row>
    <row r="10" spans="1:20" ht="13.5" customHeight="1" x14ac:dyDescent="0.25">
      <c r="D10" s="8"/>
      <c r="H10" s="8"/>
      <c r="I10" s="8"/>
      <c r="J10" s="8"/>
      <c r="K10" s="8"/>
      <c r="L10" s="8"/>
      <c r="M10" s="8"/>
      <c r="Q10" s="8"/>
    </row>
    <row r="11" spans="1:20" ht="13.5" customHeight="1" x14ac:dyDescent="0.25">
      <c r="D11" s="8"/>
      <c r="H11" s="8"/>
      <c r="I11" s="8"/>
      <c r="J11" s="8"/>
      <c r="K11" s="8"/>
      <c r="L11" s="8"/>
      <c r="M11" s="8"/>
      <c r="Q11" s="8"/>
    </row>
    <row r="12" spans="1:20" ht="14.1" customHeight="1" x14ac:dyDescent="0.25">
      <c r="D12" s="8"/>
      <c r="H12" s="8"/>
      <c r="I12" s="8"/>
      <c r="J12" s="8"/>
      <c r="K12" s="8"/>
      <c r="L12" s="8"/>
      <c r="M12" s="8"/>
      <c r="Q12" s="8"/>
    </row>
    <row r="13" spans="1:20" ht="14.1" customHeight="1" x14ac:dyDescent="0.25">
      <c r="D13" s="8"/>
      <c r="H13" s="8"/>
      <c r="I13" s="8"/>
      <c r="J13" s="8"/>
      <c r="K13" s="8"/>
      <c r="L13" s="8"/>
      <c r="M13" s="8"/>
      <c r="Q13" s="8"/>
    </row>
    <row r="14" spans="1:20" ht="14.1" customHeight="1" x14ac:dyDescent="0.25">
      <c r="D14" s="8"/>
      <c r="H14" s="8"/>
      <c r="I14" s="8"/>
      <c r="J14" s="8"/>
      <c r="K14" s="8"/>
      <c r="L14" s="8"/>
      <c r="M14" s="8"/>
      <c r="Q14" s="8"/>
    </row>
    <row r="15" spans="1:20" ht="14.1" customHeight="1" x14ac:dyDescent="0.25">
      <c r="D15" s="8"/>
      <c r="H15" s="8"/>
      <c r="I15" s="8"/>
      <c r="J15" s="8"/>
      <c r="K15" s="8"/>
      <c r="L15" s="8"/>
      <c r="M15" s="8"/>
      <c r="Q15" s="8"/>
    </row>
    <row r="16" spans="1:20" ht="14.1" customHeight="1" x14ac:dyDescent="0.25">
      <c r="D16" s="8"/>
      <c r="H16" s="8"/>
      <c r="I16" s="8"/>
      <c r="J16" s="8"/>
      <c r="K16" s="8"/>
      <c r="L16" s="8"/>
      <c r="M16" s="8"/>
      <c r="Q16" s="8"/>
    </row>
    <row r="17" spans="4:17" ht="14.1" customHeight="1" x14ac:dyDescent="0.25">
      <c r="D17" s="8"/>
      <c r="H17" s="8"/>
      <c r="I17" s="8"/>
      <c r="J17" s="8"/>
      <c r="K17" s="8"/>
      <c r="L17" s="8"/>
      <c r="M17" s="8"/>
      <c r="Q17" s="8"/>
    </row>
    <row r="18" spans="4:17" ht="14.1" customHeight="1" x14ac:dyDescent="0.25">
      <c r="D18" s="8"/>
      <c r="H18" s="8"/>
      <c r="I18" s="8"/>
      <c r="J18" s="8"/>
      <c r="K18" s="8"/>
      <c r="L18" s="8"/>
      <c r="M18" s="8"/>
      <c r="Q18" s="8"/>
    </row>
    <row r="19" spans="4:17" ht="14.1" customHeight="1" x14ac:dyDescent="0.25">
      <c r="D19" s="8"/>
      <c r="H19" s="8"/>
      <c r="I19" s="8"/>
      <c r="J19" s="8"/>
      <c r="K19" s="8"/>
      <c r="L19" s="8"/>
      <c r="M19" s="8"/>
      <c r="Q19" s="8"/>
    </row>
    <row r="20" spans="4:17" ht="14.1" customHeight="1" x14ac:dyDescent="0.25">
      <c r="D20" s="8"/>
      <c r="H20" s="8"/>
      <c r="I20" s="8"/>
      <c r="J20" s="8"/>
      <c r="L20" s="8"/>
      <c r="M20" s="8"/>
      <c r="Q20" s="8"/>
    </row>
    <row r="10000" spans="52:52" ht="14.1" customHeight="1" x14ac:dyDescent="0.25">
      <c r="AZ10000" s="1">
        <v>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7">
    <dataValidation type="list" allowBlank="1" showInputMessage="1" showErrorMessage="1" sqref="H9:H20 H2:H5" xr:uid="{00000000-0002-0000-1D00-000000000000}">
      <formula1>israel_abroad</formula1>
    </dataValidation>
    <dataValidation type="list" allowBlank="1" showInputMessage="1" showErrorMessage="1" sqref="I9:I20 I2:I5" xr:uid="{00000000-0002-0000-1D00-000001000000}">
      <formula1>Country_list</formula1>
    </dataValidation>
    <dataValidation type="list" allowBlank="1" showInputMessage="1" showErrorMessage="1" sqref="D9:D20 D2:D5" xr:uid="{00000000-0002-0000-1D00-000003000000}">
      <formula1>issuer_number_loan</formula1>
    </dataValidation>
    <dataValidation type="list" allowBlank="1" showInputMessage="1" showErrorMessage="1" sqref="L9:L20 L2:L5" xr:uid="{00000000-0002-0000-1D00-000004000000}">
      <formula1>Rating_Agency</formula1>
    </dataValidation>
    <dataValidation type="list" allowBlank="1" showInputMessage="1" showErrorMessage="1" sqref="Q9:Q20 Q2:Q5" xr:uid="{00000000-0002-0000-1D00-000005000000}">
      <formula1>Type_of_Interest_Rate</formula1>
    </dataValidation>
    <dataValidation type="list" allowBlank="1" showInputMessage="1" showErrorMessage="1" sqref="J9:J20 J2:J5" xr:uid="{00000000-0002-0000-1D00-000006000000}">
      <formula1>Holding_interest</formula1>
    </dataValidation>
    <dataValidation type="list" allowBlank="1" showInputMessage="1" showErrorMessage="1" sqref="M9:M20 M2:M5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AZ10000"/>
  <sheetViews>
    <sheetView rightToLeft="1" zoomScale="25" zoomScaleNormal="25" workbookViewId="0">
      <selection activeCell="A2" sqref="A2:Q46"/>
    </sheetView>
  </sheetViews>
  <sheetFormatPr defaultColWidth="11.69921875" defaultRowHeight="14.1" customHeight="1" x14ac:dyDescent="0.25"/>
  <cols>
    <col min="1" max="1" width="26.3984375" style="1" customWidth="1"/>
    <col min="2" max="2" width="11.19921875" style="1" customWidth="1"/>
    <col min="3" max="3" width="22" style="106" customWidth="1"/>
    <col min="4" max="4" width="55.3984375" style="106" bestFit="1" customWidth="1"/>
    <col min="5" max="5" width="26" style="106" customWidth="1"/>
    <col min="6" max="6" width="28.3984375" style="106" customWidth="1"/>
    <col min="7" max="7" width="50.19921875" style="106" customWidth="1"/>
    <col min="8" max="8" width="18" style="106" customWidth="1"/>
    <col min="9" max="9" width="21.19921875" style="106" customWidth="1"/>
    <col min="10" max="10" width="12.796875" style="106" customWidth="1"/>
    <col min="11" max="11" width="26.796875" style="106" customWidth="1"/>
    <col min="12" max="12" width="38.3984375" style="106" customWidth="1"/>
    <col min="13" max="13" width="26" style="106" customWidth="1"/>
    <col min="14" max="14" width="43.19921875" style="106" customWidth="1"/>
    <col min="15" max="15" width="30.796875" style="106" customWidth="1"/>
    <col min="16" max="16" width="17.19921875" style="106" customWidth="1"/>
    <col min="17" max="17" width="22.796875" style="106" customWidth="1"/>
    <col min="18" max="16384" width="11.69921875" style="1"/>
  </cols>
  <sheetData>
    <row r="1" spans="1:17" ht="66.75" customHeight="1" x14ac:dyDescent="0.25">
      <c r="A1" s="105" t="s">
        <v>667</v>
      </c>
      <c r="B1" s="105" t="s">
        <v>0</v>
      </c>
      <c r="C1" s="105" t="s">
        <v>1</v>
      </c>
      <c r="D1" s="105" t="s">
        <v>796</v>
      </c>
      <c r="E1" s="105" t="s">
        <v>809</v>
      </c>
      <c r="F1" s="105" t="s">
        <v>797</v>
      </c>
      <c r="G1" s="105" t="s">
        <v>2771</v>
      </c>
      <c r="H1" s="105" t="s">
        <v>762</v>
      </c>
      <c r="I1" s="105" t="s">
        <v>767</v>
      </c>
      <c r="J1" s="105" t="s">
        <v>2772</v>
      </c>
      <c r="K1" s="105" t="s">
        <v>761</v>
      </c>
      <c r="L1" s="105" t="s">
        <v>939</v>
      </c>
      <c r="M1" s="105" t="s">
        <v>1167</v>
      </c>
      <c r="N1" s="105" t="s">
        <v>940</v>
      </c>
      <c r="O1" s="105" t="s">
        <v>1168</v>
      </c>
      <c r="P1" s="105" t="s">
        <v>22</v>
      </c>
      <c r="Q1" s="105" t="s">
        <v>813</v>
      </c>
    </row>
    <row r="2" spans="1:17" ht="14.1" customHeight="1" x14ac:dyDescent="0.25">
      <c r="A2" s="1">
        <v>13908</v>
      </c>
      <c r="B2" s="1">
        <v>1001</v>
      </c>
      <c r="C2" s="106" t="s">
        <v>942</v>
      </c>
      <c r="D2" s="106" t="s">
        <v>2641</v>
      </c>
      <c r="E2" s="145" t="s">
        <v>2853</v>
      </c>
      <c r="F2" s="146" t="s">
        <v>2853</v>
      </c>
      <c r="G2" s="107" t="s">
        <v>2773</v>
      </c>
      <c r="H2" s="106">
        <v>11019991</v>
      </c>
      <c r="I2" s="110" t="s">
        <v>78</v>
      </c>
      <c r="J2" s="106" t="s">
        <v>1207</v>
      </c>
      <c r="K2" s="111">
        <v>44935</v>
      </c>
      <c r="L2" s="112">
        <v>318500</v>
      </c>
      <c r="M2" s="112">
        <v>1016.015</v>
      </c>
      <c r="N2" s="112">
        <v>31500</v>
      </c>
      <c r="O2" s="108">
        <v>100.485</v>
      </c>
      <c r="P2" s="113">
        <v>3.1549450549450551E-4</v>
      </c>
      <c r="Q2" s="114">
        <v>46203</v>
      </c>
    </row>
    <row r="3" spans="1:17" ht="14.1" customHeight="1" x14ac:dyDescent="0.25">
      <c r="A3" s="1">
        <v>13908</v>
      </c>
      <c r="B3" s="1">
        <v>1001</v>
      </c>
      <c r="C3" s="106" t="s">
        <v>942</v>
      </c>
      <c r="D3" s="106" t="s">
        <v>2643</v>
      </c>
      <c r="E3" s="145" t="s">
        <v>2853</v>
      </c>
      <c r="F3" s="146" t="s">
        <v>2853</v>
      </c>
      <c r="G3" s="107" t="s">
        <v>2774</v>
      </c>
      <c r="H3" s="106">
        <v>11019995</v>
      </c>
      <c r="I3" s="110" t="s">
        <v>78</v>
      </c>
      <c r="J3" s="106" t="s">
        <v>1207</v>
      </c>
      <c r="K3" s="111">
        <v>44971</v>
      </c>
      <c r="L3" s="112">
        <v>72000</v>
      </c>
      <c r="M3" s="112">
        <v>229.68</v>
      </c>
      <c r="N3" s="112">
        <v>98000</v>
      </c>
      <c r="O3" s="108">
        <v>312.62</v>
      </c>
      <c r="P3" s="113">
        <v>4.3419444444444443E-3</v>
      </c>
      <c r="Q3" s="114">
        <v>46607</v>
      </c>
    </row>
    <row r="4" spans="1:17" ht="13.5" customHeight="1" x14ac:dyDescent="0.25">
      <c r="A4" s="1">
        <v>13908</v>
      </c>
      <c r="B4" s="1">
        <v>1001</v>
      </c>
      <c r="C4" s="106" t="s">
        <v>241</v>
      </c>
      <c r="D4" s="106" t="s">
        <v>2649</v>
      </c>
      <c r="E4" s="145" t="s">
        <v>2853</v>
      </c>
      <c r="F4" s="146" t="s">
        <v>2853</v>
      </c>
      <c r="G4" s="107" t="s">
        <v>2649</v>
      </c>
      <c r="H4" s="106">
        <v>11020012</v>
      </c>
      <c r="I4" s="110" t="s">
        <v>78</v>
      </c>
      <c r="J4" s="106" t="s">
        <v>1207</v>
      </c>
      <c r="K4" s="111">
        <v>45032</v>
      </c>
      <c r="L4" s="112">
        <v>390067.99</v>
      </c>
      <c r="M4" s="112">
        <v>1244.3168880999999</v>
      </c>
      <c r="N4" s="112">
        <v>289851.47505829693</v>
      </c>
      <c r="O4" s="108">
        <v>924.62620543596722</v>
      </c>
      <c r="P4" s="113">
        <v>2.3704231804203345E-3</v>
      </c>
      <c r="Q4" s="114">
        <v>46203</v>
      </c>
    </row>
    <row r="5" spans="1:17" ht="13.5" customHeight="1" x14ac:dyDescent="0.25">
      <c r="A5" s="1">
        <v>13908</v>
      </c>
      <c r="B5" s="1">
        <v>1001</v>
      </c>
      <c r="C5" s="106" t="s">
        <v>942</v>
      </c>
      <c r="D5" s="106" t="s">
        <v>2651</v>
      </c>
      <c r="E5" s="145" t="s">
        <v>2853</v>
      </c>
      <c r="F5" s="146" t="s">
        <v>2853</v>
      </c>
      <c r="G5" s="107" t="s">
        <v>2775</v>
      </c>
      <c r="H5" s="106">
        <v>11020456</v>
      </c>
      <c r="I5" s="110" t="s">
        <v>78</v>
      </c>
      <c r="J5" s="106" t="s">
        <v>1207</v>
      </c>
      <c r="K5" s="111">
        <v>45089</v>
      </c>
      <c r="L5" s="112">
        <v>695487.82400000002</v>
      </c>
      <c r="M5" s="112">
        <v>2218.60615856</v>
      </c>
      <c r="N5" s="112">
        <v>214012.18188321704</v>
      </c>
      <c r="O5" s="108">
        <v>682.6988602074623</v>
      </c>
      <c r="P5" s="113">
        <v>9.8161152021471231E-4</v>
      </c>
      <c r="Q5" s="114">
        <v>46310</v>
      </c>
    </row>
    <row r="6" spans="1:17" ht="14.1" customHeight="1" x14ac:dyDescent="0.25">
      <c r="A6" s="1">
        <v>13908</v>
      </c>
      <c r="B6" s="1">
        <v>1001</v>
      </c>
      <c r="C6" s="106" t="s">
        <v>765</v>
      </c>
      <c r="D6" s="106" t="s">
        <v>2653</v>
      </c>
      <c r="E6" s="145" t="s">
        <v>2853</v>
      </c>
      <c r="F6" s="146" t="s">
        <v>2853</v>
      </c>
      <c r="G6" s="107" t="s">
        <v>2776</v>
      </c>
      <c r="H6" s="106">
        <v>11020463</v>
      </c>
      <c r="I6" s="110" t="s">
        <v>78</v>
      </c>
      <c r="J6" s="106" t="s">
        <v>1207</v>
      </c>
      <c r="K6" s="111">
        <v>45124</v>
      </c>
      <c r="L6" s="112">
        <v>120524.86900000001</v>
      </c>
      <c r="M6" s="112">
        <v>384.47433211000003</v>
      </c>
      <c r="N6" s="112">
        <v>162771.55525350067</v>
      </c>
      <c r="O6" s="108">
        <v>519.24126125866712</v>
      </c>
      <c r="P6" s="113">
        <v>4.3081669830204675E-3</v>
      </c>
      <c r="Q6" s="114">
        <v>48021</v>
      </c>
    </row>
    <row r="7" spans="1:17" ht="14.1" customHeight="1" x14ac:dyDescent="0.25">
      <c r="A7" s="1">
        <v>13908</v>
      </c>
      <c r="B7" s="1">
        <v>1001</v>
      </c>
      <c r="C7" s="106" t="s">
        <v>942</v>
      </c>
      <c r="D7" s="106" t="s">
        <v>2655</v>
      </c>
      <c r="E7" s="145" t="s">
        <v>2853</v>
      </c>
      <c r="F7" s="146" t="s">
        <v>2853</v>
      </c>
      <c r="G7" s="107" t="s">
        <v>2777</v>
      </c>
      <c r="H7" s="106">
        <v>11020470</v>
      </c>
      <c r="I7" s="110" t="s">
        <v>78</v>
      </c>
      <c r="J7" s="106" t="s">
        <v>1207</v>
      </c>
      <c r="K7" s="111">
        <v>45135</v>
      </c>
      <c r="L7" s="112">
        <v>153247.47</v>
      </c>
      <c r="M7" s="112">
        <v>488.85942930000004</v>
      </c>
      <c r="N7" s="112">
        <v>327992.06640671293</v>
      </c>
      <c r="O7" s="108">
        <v>1046.2946918374141</v>
      </c>
      <c r="P7" s="113">
        <v>6.8274842764935312E-3</v>
      </c>
      <c r="Q7" s="114">
        <v>46660</v>
      </c>
    </row>
    <row r="8" spans="1:17" ht="14.1" customHeight="1" x14ac:dyDescent="0.25">
      <c r="A8" s="1">
        <v>13908</v>
      </c>
      <c r="B8" s="1">
        <v>1001</v>
      </c>
      <c r="C8" s="106" t="s">
        <v>241</v>
      </c>
      <c r="D8" s="106" t="s">
        <v>2657</v>
      </c>
      <c r="E8" s="145" t="s">
        <v>2853</v>
      </c>
      <c r="F8" s="146" t="s">
        <v>2853</v>
      </c>
      <c r="G8" s="107" t="s">
        <v>2778</v>
      </c>
      <c r="H8" s="106">
        <v>11020471</v>
      </c>
      <c r="I8" s="110" t="s">
        <v>78</v>
      </c>
      <c r="J8" s="106" t="s">
        <v>1212</v>
      </c>
      <c r="K8" s="111">
        <v>45139</v>
      </c>
      <c r="L8" s="112">
        <v>879980.73</v>
      </c>
      <c r="M8" s="112">
        <v>3295.9678242149994</v>
      </c>
      <c r="N8" s="112">
        <v>339757.61932406452</v>
      </c>
      <c r="O8" s="108">
        <v>1272.5621631782838</v>
      </c>
      <c r="P8" s="113">
        <v>1.4461250340996488E-3</v>
      </c>
      <c r="Q8" s="114">
        <v>49141</v>
      </c>
    </row>
    <row r="9" spans="1:17" ht="14.1" customHeight="1" x14ac:dyDescent="0.25">
      <c r="A9" s="1">
        <v>13908</v>
      </c>
      <c r="B9" s="1">
        <v>1001</v>
      </c>
      <c r="C9" s="106" t="s">
        <v>942</v>
      </c>
      <c r="D9" s="106" t="s">
        <v>2662</v>
      </c>
      <c r="E9" s="145" t="s">
        <v>2853</v>
      </c>
      <c r="F9" s="146" t="s">
        <v>2853</v>
      </c>
      <c r="G9" s="107" t="s">
        <v>2779</v>
      </c>
      <c r="H9" s="106">
        <v>11020502</v>
      </c>
      <c r="I9" s="110" t="s">
        <v>78</v>
      </c>
      <c r="J9" s="106" t="s">
        <v>1207</v>
      </c>
      <c r="K9" s="111">
        <v>45278</v>
      </c>
      <c r="L9" s="112">
        <v>681630.57</v>
      </c>
      <c r="M9" s="112">
        <v>2174.4015182999997</v>
      </c>
      <c r="N9" s="112">
        <v>418369.43739373185</v>
      </c>
      <c r="O9" s="108">
        <v>1334.5985052860046</v>
      </c>
      <c r="P9" s="113">
        <v>1.9579498984119868E-3</v>
      </c>
      <c r="Q9" s="114">
        <v>48633</v>
      </c>
    </row>
    <row r="10" spans="1:17" ht="14.1" customHeight="1" x14ac:dyDescent="0.25">
      <c r="A10" s="1">
        <v>13908</v>
      </c>
      <c r="B10" s="1">
        <v>1001</v>
      </c>
      <c r="C10" s="106" t="s">
        <v>942</v>
      </c>
      <c r="D10" s="106" t="s">
        <v>2664</v>
      </c>
      <c r="E10" s="145" t="s">
        <v>2853</v>
      </c>
      <c r="F10" s="146" t="s">
        <v>2853</v>
      </c>
      <c r="G10" s="107" t="s">
        <v>2780</v>
      </c>
      <c r="H10" s="106">
        <v>11020508</v>
      </c>
      <c r="I10" s="110" t="s">
        <v>78</v>
      </c>
      <c r="J10" s="106" t="s">
        <v>1207</v>
      </c>
      <c r="K10" s="111">
        <v>45313</v>
      </c>
      <c r="L10" s="112">
        <v>918500</v>
      </c>
      <c r="M10" s="112">
        <v>2930.0149999999999</v>
      </c>
      <c r="N10" s="112">
        <v>81500</v>
      </c>
      <c r="O10" s="108">
        <v>259.98500000000001</v>
      </c>
      <c r="P10" s="113">
        <v>2.8305389221556886E-4</v>
      </c>
      <c r="Q10" s="114">
        <v>47870</v>
      </c>
    </row>
    <row r="11" spans="1:17" ht="14.1" customHeight="1" x14ac:dyDescent="0.25">
      <c r="A11" s="1">
        <v>13908</v>
      </c>
      <c r="B11" s="1">
        <v>1001</v>
      </c>
      <c r="C11" s="106" t="s">
        <v>242</v>
      </c>
      <c r="D11" s="106" t="s">
        <v>2750</v>
      </c>
      <c r="E11" s="145" t="s">
        <v>2853</v>
      </c>
      <c r="F11" s="146" t="s">
        <v>2853</v>
      </c>
      <c r="G11" s="107" t="s">
        <v>2781</v>
      </c>
      <c r="H11" s="106">
        <v>11020523</v>
      </c>
      <c r="I11" s="110" t="s">
        <v>78</v>
      </c>
      <c r="J11" s="106" t="s">
        <v>1207</v>
      </c>
      <c r="K11" s="111">
        <v>45385</v>
      </c>
      <c r="L11" s="112">
        <v>1041666.67</v>
      </c>
      <c r="M11" s="112">
        <v>3322.9166773000002</v>
      </c>
      <c r="N11" s="112">
        <v>159921.78288381224</v>
      </c>
      <c r="O11" s="108">
        <v>510.15048739936105</v>
      </c>
      <c r="P11" s="113">
        <v>4.8974446633620432E-4</v>
      </c>
      <c r="Q11" s="114">
        <v>47118</v>
      </c>
    </row>
    <row r="12" spans="1:17" ht="14.1" customHeight="1" x14ac:dyDescent="0.25">
      <c r="A12" s="1">
        <v>13908</v>
      </c>
      <c r="B12" s="1">
        <v>1001</v>
      </c>
      <c r="C12" s="106" t="s">
        <v>241</v>
      </c>
      <c r="D12" s="106" t="s">
        <v>2637</v>
      </c>
      <c r="E12" s="145" t="s">
        <v>2853</v>
      </c>
      <c r="F12" s="146" t="s">
        <v>2853</v>
      </c>
      <c r="G12" s="107" t="s">
        <v>2782</v>
      </c>
      <c r="H12" s="106">
        <v>11019351</v>
      </c>
      <c r="I12" s="110" t="s">
        <v>78</v>
      </c>
      <c r="J12" s="106" t="s">
        <v>1212</v>
      </c>
      <c r="K12" s="111">
        <v>45419</v>
      </c>
      <c r="L12" s="112">
        <v>951099.24399999995</v>
      </c>
      <c r="M12" s="112">
        <v>3562.3422184019996</v>
      </c>
      <c r="N12" s="112">
        <v>385998.43330983934</v>
      </c>
      <c r="O12" s="108">
        <v>1445.7571319620031</v>
      </c>
      <c r="P12" s="113">
        <v>1.5200907172227792E-3</v>
      </c>
      <c r="Q12" s="114">
        <v>46475</v>
      </c>
    </row>
    <row r="13" spans="1:17" ht="14.1" customHeight="1" x14ac:dyDescent="0.25">
      <c r="A13" s="1">
        <v>13908</v>
      </c>
      <c r="B13" s="1">
        <v>1001</v>
      </c>
      <c r="C13" s="106" t="s">
        <v>242</v>
      </c>
      <c r="D13" s="106" t="s">
        <v>2750</v>
      </c>
      <c r="E13" s="145" t="s">
        <v>2853</v>
      </c>
      <c r="F13" s="146" t="s">
        <v>2853</v>
      </c>
      <c r="G13" s="107" t="s">
        <v>2783</v>
      </c>
      <c r="H13" s="106">
        <v>11020525</v>
      </c>
      <c r="I13" s="110" t="s">
        <v>78</v>
      </c>
      <c r="J13" s="106" t="s">
        <v>1207</v>
      </c>
      <c r="K13" s="111">
        <v>45420</v>
      </c>
      <c r="L13" s="112">
        <v>957555.11499999999</v>
      </c>
      <c r="M13" s="112">
        <v>3054.6008168500002</v>
      </c>
      <c r="N13" s="112">
        <v>1785523.5905394508</v>
      </c>
      <c r="O13" s="108">
        <v>5695.8202538208479</v>
      </c>
      <c r="P13" s="113">
        <v>5.9482949488717917E-3</v>
      </c>
      <c r="Q13" s="114">
        <v>47663</v>
      </c>
    </row>
    <row r="14" spans="1:17" ht="14.1" customHeight="1" x14ac:dyDescent="0.25">
      <c r="A14" s="1">
        <v>13908</v>
      </c>
      <c r="B14" s="1">
        <v>1001</v>
      </c>
      <c r="C14" s="106" t="s">
        <v>942</v>
      </c>
      <c r="D14" s="106" t="s">
        <v>2668</v>
      </c>
      <c r="E14" s="145" t="s">
        <v>2853</v>
      </c>
      <c r="F14" s="146" t="s">
        <v>2853</v>
      </c>
      <c r="G14" s="107" t="s">
        <v>2784</v>
      </c>
      <c r="H14" s="106">
        <v>11021256</v>
      </c>
      <c r="I14" s="110" t="s">
        <v>78</v>
      </c>
      <c r="J14" s="106" t="s">
        <v>1207</v>
      </c>
      <c r="K14" s="111">
        <v>45427</v>
      </c>
      <c r="L14" s="112">
        <v>382375</v>
      </c>
      <c r="M14" s="112">
        <v>1219.7762499999999</v>
      </c>
      <c r="N14" s="112">
        <v>721625</v>
      </c>
      <c r="O14" s="108">
        <v>2301.9837499999999</v>
      </c>
      <c r="P14" s="113">
        <v>6.0202255639097745E-3</v>
      </c>
      <c r="Q14" s="114">
        <v>47208</v>
      </c>
    </row>
    <row r="15" spans="1:17" ht="14.1" customHeight="1" x14ac:dyDescent="0.25">
      <c r="A15" s="1">
        <v>13908</v>
      </c>
      <c r="B15" s="1">
        <v>1001</v>
      </c>
      <c r="C15" s="106" t="s">
        <v>942</v>
      </c>
      <c r="D15" s="106" t="s">
        <v>2674</v>
      </c>
      <c r="E15" s="145" t="s">
        <v>2853</v>
      </c>
      <c r="F15" s="146" t="s">
        <v>2853</v>
      </c>
      <c r="G15" s="107" t="s">
        <v>2785</v>
      </c>
      <c r="H15" s="106">
        <v>11021293</v>
      </c>
      <c r="I15" s="110" t="s">
        <v>78</v>
      </c>
      <c r="J15" s="106" t="s">
        <v>1207</v>
      </c>
      <c r="K15" s="111">
        <v>45551</v>
      </c>
      <c r="L15" s="112">
        <v>452446.39</v>
      </c>
      <c r="M15" s="112">
        <v>1443.3039841</v>
      </c>
      <c r="N15" s="112">
        <v>432793.34684334305</v>
      </c>
      <c r="O15" s="108">
        <v>1380.6107764302644</v>
      </c>
      <c r="P15" s="113">
        <v>3.0514350582624039E-3</v>
      </c>
      <c r="Q15" s="114">
        <v>47012</v>
      </c>
    </row>
    <row r="16" spans="1:17" ht="14.1" customHeight="1" x14ac:dyDescent="0.25">
      <c r="A16" s="1">
        <v>13908</v>
      </c>
      <c r="B16" s="1">
        <v>1001</v>
      </c>
      <c r="C16" s="106" t="s">
        <v>241</v>
      </c>
      <c r="D16" s="109" t="s">
        <v>2751</v>
      </c>
      <c r="E16" s="147" t="s">
        <v>2853</v>
      </c>
      <c r="F16" s="147" t="s">
        <v>2853</v>
      </c>
      <c r="G16" s="107" t="s">
        <v>2786</v>
      </c>
      <c r="H16" s="106">
        <v>11022854</v>
      </c>
      <c r="I16" s="110" t="s">
        <v>78</v>
      </c>
      <c r="J16" s="106" t="s">
        <v>1207</v>
      </c>
      <c r="K16" s="111">
        <v>45657</v>
      </c>
      <c r="L16" s="112">
        <v>894342.6168224304</v>
      </c>
      <c r="M16" s="112">
        <v>2852.952947663553</v>
      </c>
      <c r="N16" s="112">
        <v>486929.30186915939</v>
      </c>
      <c r="O16" s="108">
        <v>1553.3044729626183</v>
      </c>
      <c r="P16" s="113">
        <v>1.7368114229884934E-3</v>
      </c>
      <c r="Q16" s="114">
        <v>46783</v>
      </c>
    </row>
    <row r="17" spans="1:17" ht="14.1" customHeight="1" x14ac:dyDescent="0.25">
      <c r="A17" s="1">
        <v>13908</v>
      </c>
      <c r="B17" s="1">
        <v>1001</v>
      </c>
      <c r="C17" s="106" t="s">
        <v>241</v>
      </c>
      <c r="D17" s="106" t="s">
        <v>2752</v>
      </c>
      <c r="E17" s="145" t="s">
        <v>2853</v>
      </c>
      <c r="F17" s="146" t="s">
        <v>2853</v>
      </c>
      <c r="G17" s="107" t="s">
        <v>2787</v>
      </c>
      <c r="H17" s="106">
        <v>11019352</v>
      </c>
      <c r="I17" s="110" t="s">
        <v>78</v>
      </c>
      <c r="J17" s="106" t="s">
        <v>1212</v>
      </c>
      <c r="K17" s="111">
        <v>45614</v>
      </c>
      <c r="L17" s="112">
        <v>1116251.22</v>
      </c>
      <c r="M17" s="112">
        <v>4180.9189445100001</v>
      </c>
      <c r="N17" s="112">
        <v>73901.068143741271</v>
      </c>
      <c r="O17" s="108">
        <v>276.79645073238294</v>
      </c>
      <c r="P17" s="113">
        <v>2.4796967364782183E-4</v>
      </c>
      <c r="Q17" s="114">
        <v>49141</v>
      </c>
    </row>
    <row r="18" spans="1:17" ht="14.1" customHeight="1" x14ac:dyDescent="0.25">
      <c r="A18" s="1">
        <v>13908</v>
      </c>
      <c r="B18" s="1">
        <v>1001</v>
      </c>
      <c r="C18" s="106" t="s">
        <v>241</v>
      </c>
      <c r="D18" s="106" t="s">
        <v>2682</v>
      </c>
      <c r="E18" s="145" t="s">
        <v>2853</v>
      </c>
      <c r="F18" s="146" t="s">
        <v>2853</v>
      </c>
      <c r="G18" s="107" t="s">
        <v>2788</v>
      </c>
      <c r="H18" s="106">
        <v>11022777</v>
      </c>
      <c r="I18" s="110" t="s">
        <v>78</v>
      </c>
      <c r="J18" s="106" t="s">
        <v>1207</v>
      </c>
      <c r="K18" s="111">
        <v>45641</v>
      </c>
      <c r="L18" s="112">
        <v>286230</v>
      </c>
      <c r="M18" s="112">
        <v>913.07369999999992</v>
      </c>
      <c r="N18" s="112">
        <v>1089196.6208333333</v>
      </c>
      <c r="O18" s="108">
        <v>3474.5372204583332</v>
      </c>
      <c r="P18" s="113">
        <v>1.2138969431779804E-2</v>
      </c>
      <c r="Q18" s="114">
        <v>46930</v>
      </c>
    </row>
    <row r="19" spans="1:17" ht="14.1" customHeight="1" x14ac:dyDescent="0.25">
      <c r="A19" s="1">
        <v>13908</v>
      </c>
      <c r="B19" s="1">
        <v>1001</v>
      </c>
      <c r="C19" s="106" t="s">
        <v>241</v>
      </c>
      <c r="D19" s="106" t="s">
        <v>2623</v>
      </c>
      <c r="E19" s="145" t="s">
        <v>2853</v>
      </c>
      <c r="F19" s="146" t="s">
        <v>2853</v>
      </c>
      <c r="G19" s="107" t="s">
        <v>2789</v>
      </c>
      <c r="H19" s="106">
        <v>11022778</v>
      </c>
      <c r="I19" s="110" t="s">
        <v>78</v>
      </c>
      <c r="J19" s="106" t="s">
        <v>1207</v>
      </c>
      <c r="K19" s="111">
        <v>45663</v>
      </c>
      <c r="L19" s="112">
        <v>603750</v>
      </c>
      <c r="M19" s="112">
        <v>1925.9625000000001</v>
      </c>
      <c r="N19" s="112">
        <v>26250</v>
      </c>
      <c r="O19" s="108">
        <v>83.737499999999997</v>
      </c>
      <c r="P19" s="113">
        <v>1.3869565217391303E-4</v>
      </c>
      <c r="Q19" s="114">
        <v>48944</v>
      </c>
    </row>
    <row r="20" spans="1:17" ht="14.1" customHeight="1" x14ac:dyDescent="0.25">
      <c r="A20" s="1">
        <v>13908</v>
      </c>
      <c r="B20" s="1">
        <v>1001</v>
      </c>
      <c r="C20" s="106" t="s">
        <v>241</v>
      </c>
      <c r="D20" s="106" t="s">
        <v>2684</v>
      </c>
      <c r="E20" s="145" t="s">
        <v>2853</v>
      </c>
      <c r="F20" s="146" t="s">
        <v>2853</v>
      </c>
      <c r="G20" s="107" t="s">
        <v>2790</v>
      </c>
      <c r="H20" s="106">
        <v>11022784</v>
      </c>
      <c r="I20" s="110" t="s">
        <v>78</v>
      </c>
      <c r="J20" s="106" t="s">
        <v>1207</v>
      </c>
      <c r="K20" s="111">
        <v>45673</v>
      </c>
      <c r="L20" s="112">
        <v>667726.51</v>
      </c>
      <c r="M20" s="112">
        <v>2130.0475668999998</v>
      </c>
      <c r="N20" s="112">
        <v>91901.968431182948</v>
      </c>
      <c r="O20" s="108">
        <v>293.16727929547358</v>
      </c>
      <c r="P20" s="113">
        <v>4.390529279651838E-4</v>
      </c>
      <c r="Q20" s="114">
        <v>47524</v>
      </c>
    </row>
    <row r="21" spans="1:17" ht="14.1" customHeight="1" x14ac:dyDescent="0.25">
      <c r="A21" s="1">
        <v>13908</v>
      </c>
      <c r="B21" s="1">
        <v>1001</v>
      </c>
      <c r="C21" s="106" t="s">
        <v>241</v>
      </c>
      <c r="D21" s="106" t="s">
        <v>2686</v>
      </c>
      <c r="E21" s="145" t="s">
        <v>2853</v>
      </c>
      <c r="F21" s="146" t="s">
        <v>2853</v>
      </c>
      <c r="G21" s="107" t="s">
        <v>2791</v>
      </c>
      <c r="H21" s="106">
        <v>11022785</v>
      </c>
      <c r="I21" s="110" t="s">
        <v>78</v>
      </c>
      <c r="J21" s="106" t="s">
        <v>1207</v>
      </c>
      <c r="K21" s="111">
        <v>45715</v>
      </c>
      <c r="L21" s="112">
        <v>4586176.79</v>
      </c>
      <c r="M21" s="112">
        <v>14629.9039601</v>
      </c>
      <c r="N21" s="112">
        <v>413823.21098372136</v>
      </c>
      <c r="O21" s="108">
        <v>1320.0960430380712</v>
      </c>
      <c r="P21" s="113">
        <v>2.8784238015344178E-4</v>
      </c>
      <c r="Q21" s="114">
        <v>50061</v>
      </c>
    </row>
    <row r="22" spans="1:17" ht="14.1" customHeight="1" x14ac:dyDescent="0.25">
      <c r="A22" s="1">
        <v>13908</v>
      </c>
      <c r="B22" s="1">
        <v>1001</v>
      </c>
      <c r="C22" s="106" t="s">
        <v>241</v>
      </c>
      <c r="D22" s="106" t="s">
        <v>2753</v>
      </c>
      <c r="E22" s="145" t="s">
        <v>2853</v>
      </c>
      <c r="F22" s="146" t="s">
        <v>2853</v>
      </c>
      <c r="G22" s="107" t="s">
        <v>2792</v>
      </c>
      <c r="H22" s="106">
        <v>11022791</v>
      </c>
      <c r="I22" s="110" t="s">
        <v>78</v>
      </c>
      <c r="J22" s="106" t="s">
        <v>1207</v>
      </c>
      <c r="K22" s="111">
        <v>45700</v>
      </c>
      <c r="L22" s="112">
        <v>304819.83</v>
      </c>
      <c r="M22" s="112">
        <v>972.37525770000002</v>
      </c>
      <c r="N22" s="112">
        <v>895180.14754154091</v>
      </c>
      <c r="O22" s="108">
        <v>2855.6246706575157</v>
      </c>
      <c r="P22" s="113">
        <v>9.3682378559738575E-3</v>
      </c>
      <c r="Q22" s="114">
        <v>47664</v>
      </c>
    </row>
    <row r="23" spans="1:17" ht="14.1" customHeight="1" x14ac:dyDescent="0.25">
      <c r="A23" s="1">
        <v>13908</v>
      </c>
      <c r="B23" s="1">
        <v>1001</v>
      </c>
      <c r="C23" s="106" t="s">
        <v>241</v>
      </c>
      <c r="D23" s="106" t="s">
        <v>2753</v>
      </c>
      <c r="E23" s="145" t="s">
        <v>2853</v>
      </c>
      <c r="F23" s="146" t="s">
        <v>2853</v>
      </c>
      <c r="G23" s="107" t="s">
        <v>2793</v>
      </c>
      <c r="H23" s="106">
        <v>11022792</v>
      </c>
      <c r="I23" s="110" t="s">
        <v>78</v>
      </c>
      <c r="J23" s="106" t="s">
        <v>1207</v>
      </c>
      <c r="K23" s="111">
        <v>45700</v>
      </c>
      <c r="L23" s="112">
        <v>290183.61</v>
      </c>
      <c r="M23" s="112">
        <v>925.68571589999999</v>
      </c>
      <c r="N23" s="112">
        <v>923898.8037660314</v>
      </c>
      <c r="O23" s="108">
        <v>2947.2371840136402</v>
      </c>
      <c r="P23" s="113">
        <v>1.0156456403632308E-2</v>
      </c>
      <c r="Q23" s="114">
        <v>47664</v>
      </c>
    </row>
    <row r="24" spans="1:17" ht="14.1" customHeight="1" x14ac:dyDescent="0.25">
      <c r="A24" s="1">
        <v>13908</v>
      </c>
      <c r="B24" s="1">
        <v>1001</v>
      </c>
      <c r="C24" s="106" t="s">
        <v>241</v>
      </c>
      <c r="D24" s="106" t="s">
        <v>2691</v>
      </c>
      <c r="E24" s="145" t="s">
        <v>2853</v>
      </c>
      <c r="F24" s="146" t="s">
        <v>2853</v>
      </c>
      <c r="G24" s="107" t="s">
        <v>2794</v>
      </c>
      <c r="H24" s="106">
        <v>11022794</v>
      </c>
      <c r="I24" s="110" t="s">
        <v>78</v>
      </c>
      <c r="J24" s="106" t="s">
        <v>1207</v>
      </c>
      <c r="K24" s="111">
        <v>45684</v>
      </c>
      <c r="L24" s="112">
        <v>283498.44</v>
      </c>
      <c r="M24" s="112">
        <v>904.36002359999998</v>
      </c>
      <c r="N24" s="112">
        <v>1036749.9806484461</v>
      </c>
      <c r="O24" s="108">
        <v>3307.2324382685433</v>
      </c>
      <c r="P24" s="113">
        <v>1.1665787078999599E-2</v>
      </c>
      <c r="Q24" s="114">
        <v>49336</v>
      </c>
    </row>
    <row r="25" spans="1:17" ht="14.1" customHeight="1" x14ac:dyDescent="0.25">
      <c r="A25" s="1">
        <v>13908</v>
      </c>
      <c r="B25" s="1">
        <v>1001</v>
      </c>
      <c r="C25" s="106" t="s">
        <v>241</v>
      </c>
      <c r="D25" s="106" t="s">
        <v>2625</v>
      </c>
      <c r="E25" s="145" t="s">
        <v>2853</v>
      </c>
      <c r="F25" s="146" t="s">
        <v>2853</v>
      </c>
      <c r="G25" s="107" t="s">
        <v>2795</v>
      </c>
      <c r="H25" s="106">
        <v>11022812</v>
      </c>
      <c r="I25" s="110" t="s">
        <v>78</v>
      </c>
      <c r="J25" s="106" t="s">
        <v>1207</v>
      </c>
      <c r="K25" s="111">
        <v>45743</v>
      </c>
      <c r="L25" s="112">
        <v>529842.48</v>
      </c>
      <c r="M25" s="112">
        <v>1690.1975111999998</v>
      </c>
      <c r="N25" s="112">
        <v>1163840.5547539012</v>
      </c>
      <c r="O25" s="108">
        <v>3712.6513696649449</v>
      </c>
      <c r="P25" s="113">
        <v>7.0070851428616007E-3</v>
      </c>
      <c r="Q25" s="114">
        <v>46692</v>
      </c>
    </row>
    <row r="26" spans="1:17" ht="14.1" customHeight="1" x14ac:dyDescent="0.25">
      <c r="A26" s="1">
        <v>13908</v>
      </c>
      <c r="B26" s="1">
        <v>1001</v>
      </c>
      <c r="C26" s="106" t="s">
        <v>241</v>
      </c>
      <c r="D26" s="106" t="s">
        <v>2627</v>
      </c>
      <c r="E26" s="145" t="s">
        <v>2853</v>
      </c>
      <c r="F26" s="146" t="s">
        <v>2853</v>
      </c>
      <c r="G26" s="107" t="s">
        <v>2628</v>
      </c>
      <c r="H26" s="106">
        <v>11022813</v>
      </c>
      <c r="I26" s="110" t="s">
        <v>78</v>
      </c>
      <c r="J26" s="106" t="s">
        <v>1207</v>
      </c>
      <c r="K26" s="111">
        <v>45722</v>
      </c>
      <c r="L26" s="112">
        <v>52978.207999999999</v>
      </c>
      <c r="M26" s="112">
        <v>169.00048351999999</v>
      </c>
      <c r="N26" s="112">
        <v>339710.14673621114</v>
      </c>
      <c r="O26" s="108">
        <v>1083.6753680885136</v>
      </c>
      <c r="P26" s="113">
        <v>2.0455115584289179E-2</v>
      </c>
      <c r="Q26" s="114">
        <v>47766</v>
      </c>
    </row>
    <row r="27" spans="1:17" ht="14.1" customHeight="1" x14ac:dyDescent="0.25">
      <c r="A27" s="1">
        <v>13908</v>
      </c>
      <c r="B27" s="1">
        <v>1001</v>
      </c>
      <c r="C27" s="106" t="s">
        <v>241</v>
      </c>
      <c r="D27" s="106" t="s">
        <v>2629</v>
      </c>
      <c r="E27" s="145" t="s">
        <v>2853</v>
      </c>
      <c r="F27" s="146" t="s">
        <v>2853</v>
      </c>
      <c r="G27" s="107" t="s">
        <v>2796</v>
      </c>
      <c r="H27" s="106">
        <v>11022819</v>
      </c>
      <c r="I27" s="110" t="s">
        <v>78</v>
      </c>
      <c r="J27" s="106" t="s">
        <v>1207</v>
      </c>
      <c r="K27" s="111">
        <v>45786</v>
      </c>
      <c r="L27" s="112">
        <v>23529.4</v>
      </c>
      <c r="M27" s="112">
        <v>75.058786000000012</v>
      </c>
      <c r="N27" s="112">
        <v>199999.9</v>
      </c>
      <c r="O27" s="108">
        <v>637.99968100000001</v>
      </c>
      <c r="P27" s="113">
        <v>2.7115E-2</v>
      </c>
      <c r="Q27" s="114">
        <v>47588</v>
      </c>
    </row>
    <row r="28" spans="1:17" ht="14.1" customHeight="1" x14ac:dyDescent="0.25">
      <c r="A28" s="1">
        <v>13908</v>
      </c>
      <c r="B28" s="1">
        <v>1001</v>
      </c>
      <c r="C28" s="106" t="s">
        <v>241</v>
      </c>
      <c r="D28" s="106" t="s">
        <v>2754</v>
      </c>
      <c r="E28" s="145" t="s">
        <v>2853</v>
      </c>
      <c r="F28" s="146" t="s">
        <v>2853</v>
      </c>
      <c r="G28" s="107" t="s">
        <v>2797</v>
      </c>
      <c r="H28" s="106">
        <v>11021308</v>
      </c>
      <c r="I28" s="110" t="s">
        <v>78</v>
      </c>
      <c r="J28" s="106" t="s">
        <v>1207</v>
      </c>
      <c r="K28" s="111">
        <v>45652</v>
      </c>
      <c r="L28" s="112">
        <v>1587746.36</v>
      </c>
      <c r="M28" s="112">
        <v>5064.9108884000007</v>
      </c>
      <c r="N28" s="112">
        <v>3104241.8676348254</v>
      </c>
      <c r="O28" s="108">
        <v>9902.5315577550919</v>
      </c>
      <c r="P28" s="113">
        <v>6.2368472743688681E-3</v>
      </c>
      <c r="Q28" s="114">
        <v>49123</v>
      </c>
    </row>
    <row r="29" spans="1:17" ht="14.1" customHeight="1" x14ac:dyDescent="0.25">
      <c r="A29" s="1">
        <v>13908</v>
      </c>
      <c r="B29" s="1">
        <v>1001</v>
      </c>
      <c r="C29" s="106" t="s">
        <v>241</v>
      </c>
      <c r="D29" s="106" t="s">
        <v>2617</v>
      </c>
      <c r="E29" s="145" t="s">
        <v>2853</v>
      </c>
      <c r="F29" s="146" t="s">
        <v>2853</v>
      </c>
      <c r="G29" s="107" t="s">
        <v>2798</v>
      </c>
      <c r="H29" s="106">
        <v>11021279</v>
      </c>
      <c r="I29" s="110" t="s">
        <v>78</v>
      </c>
      <c r="J29" s="106" t="s">
        <v>1207</v>
      </c>
      <c r="K29" s="111">
        <v>45510</v>
      </c>
      <c r="L29" s="112">
        <v>264705.88</v>
      </c>
      <c r="M29" s="112">
        <v>844.41175720000001</v>
      </c>
      <c r="N29" s="112">
        <v>617647.05745098041</v>
      </c>
      <c r="O29" s="108">
        <v>1970.2941132686276</v>
      </c>
      <c r="P29" s="113">
        <v>7.443333382955556E-3</v>
      </c>
      <c r="Q29" s="114">
        <v>47238</v>
      </c>
    </row>
    <row r="30" spans="1:17" ht="14.1" customHeight="1" x14ac:dyDescent="0.25">
      <c r="A30" s="1">
        <v>13908</v>
      </c>
      <c r="B30" s="1">
        <v>1001</v>
      </c>
      <c r="C30" s="106" t="s">
        <v>241</v>
      </c>
      <c r="D30" s="106" t="s">
        <v>2755</v>
      </c>
      <c r="E30" s="145" t="s">
        <v>2853</v>
      </c>
      <c r="F30" s="146" t="s">
        <v>2853</v>
      </c>
      <c r="G30" s="107" t="s">
        <v>2799</v>
      </c>
      <c r="H30" s="106">
        <v>11021280</v>
      </c>
      <c r="I30" s="110" t="s">
        <v>78</v>
      </c>
      <c r="J30" s="106" t="s">
        <v>1207</v>
      </c>
      <c r="K30" s="111">
        <v>45630</v>
      </c>
      <c r="L30" s="112">
        <v>2249123.52</v>
      </c>
      <c r="M30" s="112">
        <v>7174.7040287999998</v>
      </c>
      <c r="N30" s="112">
        <v>100876.57477444272</v>
      </c>
      <c r="O30" s="108">
        <v>321.79627353047232</v>
      </c>
      <c r="P30" s="113">
        <v>1.4307630090964159E-4</v>
      </c>
      <c r="Q30" s="114">
        <v>47447</v>
      </c>
    </row>
    <row r="31" spans="1:17" ht="14.1" customHeight="1" x14ac:dyDescent="0.25">
      <c r="A31" s="1">
        <v>13908</v>
      </c>
      <c r="B31" s="1">
        <v>1001</v>
      </c>
      <c r="C31" s="106" t="s">
        <v>280</v>
      </c>
      <c r="D31" s="106" t="s">
        <v>2756</v>
      </c>
      <c r="E31" s="145" t="s">
        <v>2853</v>
      </c>
      <c r="F31" s="146" t="s">
        <v>2853</v>
      </c>
      <c r="G31" s="107" t="s">
        <v>2800</v>
      </c>
      <c r="H31" s="106">
        <v>11022538</v>
      </c>
      <c r="I31" s="110" t="s">
        <v>78</v>
      </c>
      <c r="J31" s="106" t="s">
        <v>1206</v>
      </c>
      <c r="K31" s="111">
        <v>45930</v>
      </c>
      <c r="L31" s="112">
        <v>14500000</v>
      </c>
      <c r="M31" s="112">
        <v>14500</v>
      </c>
      <c r="N31" s="112">
        <v>14500000</v>
      </c>
      <c r="O31" s="108">
        <v>14500</v>
      </c>
      <c r="P31" s="113">
        <v>1E-3</v>
      </c>
      <c r="Q31" s="114">
        <v>47756</v>
      </c>
    </row>
    <row r="32" spans="1:17" ht="14.1" customHeight="1" x14ac:dyDescent="0.25">
      <c r="A32" s="1">
        <v>13908</v>
      </c>
      <c r="B32" s="1">
        <v>1001</v>
      </c>
      <c r="C32" s="106" t="s">
        <v>942</v>
      </c>
      <c r="D32" s="106" t="s">
        <v>2757</v>
      </c>
      <c r="E32" s="145" t="s">
        <v>2853</v>
      </c>
      <c r="F32" s="146" t="s">
        <v>2853</v>
      </c>
      <c r="G32" s="107" t="s">
        <v>2801</v>
      </c>
      <c r="H32" s="106">
        <v>11022842</v>
      </c>
      <c r="I32" s="110" t="s">
        <v>78</v>
      </c>
      <c r="J32" s="106" t="s">
        <v>1207</v>
      </c>
      <c r="K32" s="111">
        <v>45882</v>
      </c>
      <c r="L32" s="112">
        <v>1000000</v>
      </c>
      <c r="M32" s="112">
        <v>3190</v>
      </c>
      <c r="N32" s="112">
        <v>725000</v>
      </c>
      <c r="O32" s="108">
        <v>2312.75</v>
      </c>
      <c r="P32" s="113">
        <v>2.3127500000000001E-3</v>
      </c>
      <c r="Q32" s="114">
        <v>47756</v>
      </c>
    </row>
    <row r="33" spans="1:17" ht="14.1" customHeight="1" x14ac:dyDescent="0.3">
      <c r="A33" s="1">
        <v>13908</v>
      </c>
      <c r="B33" s="1">
        <v>1001</v>
      </c>
      <c r="C33" s="106" t="s">
        <v>942</v>
      </c>
      <c r="D33" s="106" t="s">
        <v>2758</v>
      </c>
      <c r="E33" s="145" t="s">
        <v>2853</v>
      </c>
      <c r="F33" s="146" t="s">
        <v>2853</v>
      </c>
      <c r="G33" s="107" t="s">
        <v>2802</v>
      </c>
      <c r="H33" s="106">
        <v>11022834</v>
      </c>
      <c r="I33" s="110" t="s">
        <v>78</v>
      </c>
      <c r="J33" s="106" t="s">
        <v>1207</v>
      </c>
      <c r="K33" s="111">
        <v>45736</v>
      </c>
      <c r="L33" s="112">
        <v>1240000</v>
      </c>
      <c r="M33" s="112">
        <v>3955.6</v>
      </c>
      <c r="N33" s="112">
        <v>1240000</v>
      </c>
      <c r="O33" s="108">
        <v>3955.6</v>
      </c>
      <c r="P33" s="113">
        <v>3.1900000000000001E-3</v>
      </c>
      <c r="Q33" s="115">
        <v>47548</v>
      </c>
    </row>
    <row r="34" spans="1:17" ht="14.1" customHeight="1" x14ac:dyDescent="0.25">
      <c r="A34" s="1">
        <v>13908</v>
      </c>
      <c r="B34" s="1">
        <v>1001</v>
      </c>
      <c r="C34" s="106" t="s">
        <v>241</v>
      </c>
      <c r="D34" s="106" t="s">
        <v>2759</v>
      </c>
      <c r="E34" s="145" t="s">
        <v>2853</v>
      </c>
      <c r="F34" s="146" t="s">
        <v>2853</v>
      </c>
      <c r="G34" s="107" t="s">
        <v>2803</v>
      </c>
      <c r="H34" s="106">
        <v>11022830</v>
      </c>
      <c r="I34" s="110" t="s">
        <v>78</v>
      </c>
      <c r="J34" s="106" t="s">
        <v>1207</v>
      </c>
      <c r="K34" s="111">
        <v>45855</v>
      </c>
      <c r="L34" s="112">
        <v>3599999.9999999995</v>
      </c>
      <c r="M34" s="112">
        <v>11483.999999999998</v>
      </c>
      <c r="N34" s="112">
        <v>3599999.9999999995</v>
      </c>
      <c r="O34" s="108">
        <v>11483.999999999998</v>
      </c>
      <c r="P34" s="113">
        <v>3.1899999999999997E-3</v>
      </c>
      <c r="Q34" s="114">
        <v>47681</v>
      </c>
    </row>
    <row r="35" spans="1:17" ht="14.1" customHeight="1" x14ac:dyDescent="0.25">
      <c r="A35" s="1">
        <v>13908</v>
      </c>
      <c r="B35" s="1">
        <v>1001</v>
      </c>
      <c r="C35" s="106" t="s">
        <v>241</v>
      </c>
      <c r="D35" s="106" t="s">
        <v>2760</v>
      </c>
      <c r="E35" s="145" t="s">
        <v>2853</v>
      </c>
      <c r="F35" s="146" t="s">
        <v>2853</v>
      </c>
      <c r="G35" s="107" t="s">
        <v>2804</v>
      </c>
      <c r="H35" s="106">
        <v>11022949</v>
      </c>
      <c r="I35" s="110" t="s">
        <v>78</v>
      </c>
      <c r="J35" s="106" t="s">
        <v>1209</v>
      </c>
      <c r="K35" s="111">
        <v>45753</v>
      </c>
      <c r="L35" s="112">
        <v>1900000</v>
      </c>
      <c r="M35" s="112">
        <v>8151</v>
      </c>
      <c r="N35" s="112">
        <v>1900000</v>
      </c>
      <c r="O35" s="108">
        <v>8151</v>
      </c>
      <c r="P35" s="113">
        <v>4.2900000000000004E-3</v>
      </c>
      <c r="Q35" s="145" t="s">
        <v>2853</v>
      </c>
    </row>
    <row r="36" spans="1:17" ht="14.1" customHeight="1" x14ac:dyDescent="0.25">
      <c r="A36" s="1">
        <v>13908</v>
      </c>
      <c r="B36" s="1">
        <v>1001</v>
      </c>
      <c r="C36" s="106" t="s">
        <v>241</v>
      </c>
      <c r="D36" s="109" t="s">
        <v>2761</v>
      </c>
      <c r="E36" s="145" t="s">
        <v>2853</v>
      </c>
      <c r="F36" s="146" t="s">
        <v>2853</v>
      </c>
      <c r="G36" s="107" t="s">
        <v>2805</v>
      </c>
      <c r="H36" s="106">
        <v>11022823</v>
      </c>
      <c r="I36" s="110" t="s">
        <v>78</v>
      </c>
      <c r="J36" s="106" t="s">
        <v>1207</v>
      </c>
      <c r="K36" s="111">
        <v>45899</v>
      </c>
      <c r="L36" s="112">
        <v>4700000</v>
      </c>
      <c r="M36" s="112">
        <v>14993</v>
      </c>
      <c r="N36" s="112">
        <v>4700000</v>
      </c>
      <c r="O36" s="108">
        <v>14993</v>
      </c>
      <c r="P36" s="113">
        <v>3.1900000000000001E-3</v>
      </c>
      <c r="Q36" s="114">
        <v>47421</v>
      </c>
    </row>
    <row r="37" spans="1:17" ht="14.1" customHeight="1" x14ac:dyDescent="0.25">
      <c r="A37" s="1">
        <v>13908</v>
      </c>
      <c r="B37" s="1">
        <v>1001</v>
      </c>
      <c r="C37" s="106" t="s">
        <v>765</v>
      </c>
      <c r="D37" s="106" t="s">
        <v>2762</v>
      </c>
      <c r="E37" s="145" t="s">
        <v>2853</v>
      </c>
      <c r="F37" s="146" t="s">
        <v>2853</v>
      </c>
      <c r="G37" s="107" t="s">
        <v>2806</v>
      </c>
      <c r="H37" s="106">
        <v>11022818</v>
      </c>
      <c r="I37" s="110" t="s">
        <v>78</v>
      </c>
      <c r="J37" s="106" t="s">
        <v>1207</v>
      </c>
      <c r="K37" s="111">
        <v>45695</v>
      </c>
      <c r="L37" s="112">
        <v>4000000</v>
      </c>
      <c r="M37" s="112">
        <v>12760</v>
      </c>
      <c r="N37" s="112">
        <v>3622846.56</v>
      </c>
      <c r="O37" s="108">
        <v>11556.8805264</v>
      </c>
      <c r="P37" s="113">
        <v>2.8892201316000001E-3</v>
      </c>
      <c r="Q37" s="114">
        <v>49095</v>
      </c>
    </row>
    <row r="38" spans="1:17" ht="14.1" customHeight="1" x14ac:dyDescent="0.25">
      <c r="A38" s="1">
        <v>13908</v>
      </c>
      <c r="B38" s="1">
        <v>1001</v>
      </c>
      <c r="C38" s="106" t="s">
        <v>765</v>
      </c>
      <c r="D38" s="106" t="s">
        <v>2763</v>
      </c>
      <c r="E38" s="145" t="s">
        <v>2853</v>
      </c>
      <c r="F38" s="146" t="s">
        <v>2853</v>
      </c>
      <c r="G38" s="107" t="s">
        <v>2807</v>
      </c>
      <c r="H38" s="106">
        <v>11022809</v>
      </c>
      <c r="I38" s="110" t="s">
        <v>78</v>
      </c>
      <c r="J38" s="106" t="s">
        <v>1207</v>
      </c>
      <c r="K38" s="111">
        <v>45743</v>
      </c>
      <c r="L38" s="112">
        <v>3700000</v>
      </c>
      <c r="M38" s="112">
        <v>11803</v>
      </c>
      <c r="N38" s="112">
        <v>3700000</v>
      </c>
      <c r="O38" s="108">
        <v>11803</v>
      </c>
      <c r="P38" s="113">
        <v>3.1900000000000001E-3</v>
      </c>
      <c r="Q38" s="114">
        <v>50556</v>
      </c>
    </row>
    <row r="39" spans="1:17" ht="14.1" customHeight="1" x14ac:dyDescent="0.25">
      <c r="A39" s="1">
        <v>13908</v>
      </c>
      <c r="B39" s="1">
        <v>1001</v>
      </c>
      <c r="C39" s="106" t="s">
        <v>2747</v>
      </c>
      <c r="D39" s="106" t="s">
        <v>2764</v>
      </c>
      <c r="E39" s="145" t="s">
        <v>2853</v>
      </c>
      <c r="F39" s="146" t="s">
        <v>2853</v>
      </c>
      <c r="G39" s="107" t="s">
        <v>2808</v>
      </c>
      <c r="H39" s="106">
        <v>11020009</v>
      </c>
      <c r="I39" s="110" t="s">
        <v>78</v>
      </c>
      <c r="J39" s="106" t="s">
        <v>1207</v>
      </c>
      <c r="K39" s="111">
        <v>45008</v>
      </c>
      <c r="L39" s="112">
        <v>220000</v>
      </c>
      <c r="M39" s="112">
        <v>701.8</v>
      </c>
      <c r="N39" s="112">
        <v>6248</v>
      </c>
      <c r="O39" s="108">
        <v>19.93112</v>
      </c>
      <c r="P39" s="113">
        <v>9.0595999999999998E-5</v>
      </c>
      <c r="Q39" s="145" t="s">
        <v>2853</v>
      </c>
    </row>
    <row r="40" spans="1:17" ht="14.1" customHeight="1" x14ac:dyDescent="0.25">
      <c r="A40" s="1">
        <v>13908</v>
      </c>
      <c r="B40" s="1">
        <v>1001</v>
      </c>
      <c r="C40" s="106" t="s">
        <v>2748</v>
      </c>
      <c r="D40" s="106" t="s">
        <v>2765</v>
      </c>
      <c r="E40" s="145" t="s">
        <v>2853</v>
      </c>
      <c r="F40" s="146" t="s">
        <v>2853</v>
      </c>
      <c r="G40" s="107" t="s">
        <v>2809</v>
      </c>
      <c r="H40" s="106">
        <v>11022851</v>
      </c>
      <c r="I40" s="110" t="s">
        <v>78</v>
      </c>
      <c r="J40" s="106" t="s">
        <v>1207</v>
      </c>
      <c r="K40" s="111">
        <v>45882</v>
      </c>
      <c r="L40" s="112">
        <v>1200000</v>
      </c>
      <c r="M40" s="112">
        <v>3828</v>
      </c>
      <c r="N40" s="112">
        <v>1056000</v>
      </c>
      <c r="O40" s="108">
        <v>3368.64</v>
      </c>
      <c r="P40" s="113">
        <v>2.8071999999999997E-3</v>
      </c>
      <c r="Q40" s="114">
        <v>47827</v>
      </c>
    </row>
    <row r="41" spans="1:17" ht="14.1" customHeight="1" x14ac:dyDescent="0.25">
      <c r="A41" s="1">
        <v>13908</v>
      </c>
      <c r="B41" s="1">
        <v>1001</v>
      </c>
      <c r="C41" s="106" t="s">
        <v>241</v>
      </c>
      <c r="D41" s="109" t="s">
        <v>2751</v>
      </c>
      <c r="E41" s="147" t="s">
        <v>2853</v>
      </c>
      <c r="F41" s="147" t="s">
        <v>2853</v>
      </c>
      <c r="G41" s="107" t="s">
        <v>2810</v>
      </c>
      <c r="H41" s="106">
        <v>11022855</v>
      </c>
      <c r="I41" s="110" t="s">
        <v>78</v>
      </c>
      <c r="J41" s="106" t="s">
        <v>1207</v>
      </c>
      <c r="K41" s="111">
        <v>45931</v>
      </c>
      <c r="L41" s="112">
        <v>2105657.3831775701</v>
      </c>
      <c r="M41" s="112">
        <v>6717.0470523364484</v>
      </c>
      <c r="N41" s="112">
        <v>1152489.0420560746</v>
      </c>
      <c r="O41" s="108">
        <v>3676.4400441588778</v>
      </c>
      <c r="P41" s="113">
        <v>1.7459820735939943E-3</v>
      </c>
      <c r="Q41" s="114">
        <v>46783</v>
      </c>
    </row>
    <row r="42" spans="1:17" ht="14.1" customHeight="1" x14ac:dyDescent="0.25">
      <c r="A42" s="1">
        <v>13908</v>
      </c>
      <c r="B42" s="1">
        <v>1001</v>
      </c>
      <c r="C42" s="106" t="s">
        <v>765</v>
      </c>
      <c r="D42" s="106" t="s">
        <v>2766</v>
      </c>
      <c r="E42" s="145" t="s">
        <v>2853</v>
      </c>
      <c r="F42" s="146" t="s">
        <v>2853</v>
      </c>
      <c r="G42" s="107" t="s">
        <v>2811</v>
      </c>
      <c r="H42" s="106">
        <v>11022859</v>
      </c>
      <c r="I42" s="110" t="s">
        <v>78</v>
      </c>
      <c r="J42" s="106" t="s">
        <v>1207</v>
      </c>
      <c r="K42" s="111">
        <v>45992</v>
      </c>
      <c r="L42" s="112">
        <v>4300000</v>
      </c>
      <c r="M42" s="112">
        <v>13717</v>
      </c>
      <c r="N42" s="112">
        <v>4216639.1679999996</v>
      </c>
      <c r="O42" s="108">
        <v>13451.078945919999</v>
      </c>
      <c r="P42" s="113">
        <v>3.1281578943999997E-3</v>
      </c>
      <c r="Q42" s="114">
        <v>47818</v>
      </c>
    </row>
    <row r="43" spans="1:17" ht="14.1" customHeight="1" x14ac:dyDescent="0.25">
      <c r="A43" s="1">
        <v>13908</v>
      </c>
      <c r="B43" s="1">
        <v>1001</v>
      </c>
      <c r="C43" s="106" t="s">
        <v>765</v>
      </c>
      <c r="D43" s="106" t="s">
        <v>2767</v>
      </c>
      <c r="E43" s="145" t="s">
        <v>2853</v>
      </c>
      <c r="F43" s="146" t="s">
        <v>2853</v>
      </c>
      <c r="G43" s="107" t="s">
        <v>2812</v>
      </c>
      <c r="H43" s="106">
        <v>11022861</v>
      </c>
      <c r="I43" s="110" t="s">
        <v>78</v>
      </c>
      <c r="J43" s="106" t="s">
        <v>1207</v>
      </c>
      <c r="K43" s="111">
        <v>45992</v>
      </c>
      <c r="L43" s="112">
        <v>5500000</v>
      </c>
      <c r="M43" s="112">
        <v>17545</v>
      </c>
      <c r="N43" s="112">
        <v>5500000</v>
      </c>
      <c r="O43" s="108">
        <v>17545</v>
      </c>
      <c r="P43" s="113">
        <v>3.1900000000000001E-3</v>
      </c>
      <c r="Q43" s="114">
        <v>47818</v>
      </c>
    </row>
    <row r="44" spans="1:17" ht="14.1" customHeight="1" x14ac:dyDescent="0.25">
      <c r="A44" s="1">
        <v>13908</v>
      </c>
      <c r="B44" s="1">
        <v>1001</v>
      </c>
      <c r="C44" s="106" t="s">
        <v>2749</v>
      </c>
      <c r="D44" s="106" t="s">
        <v>2768</v>
      </c>
      <c r="E44" s="145" t="s">
        <v>2853</v>
      </c>
      <c r="F44" s="146" t="s">
        <v>2853</v>
      </c>
      <c r="G44" s="107" t="s">
        <v>2813</v>
      </c>
      <c r="H44" s="106">
        <v>11022864</v>
      </c>
      <c r="I44" s="110" t="s">
        <v>78</v>
      </c>
      <c r="J44" s="106" t="s">
        <v>1207</v>
      </c>
      <c r="K44" s="111">
        <v>45992</v>
      </c>
      <c r="L44" s="112">
        <v>5000000</v>
      </c>
      <c r="M44" s="112">
        <v>15950</v>
      </c>
      <c r="N44" s="112">
        <v>3000000</v>
      </c>
      <c r="O44" s="108">
        <v>9570</v>
      </c>
      <c r="P44" s="113">
        <v>1.9139999999999999E-3</v>
      </c>
      <c r="Q44" s="114">
        <v>47088</v>
      </c>
    </row>
    <row r="45" spans="1:17" ht="14.1" customHeight="1" x14ac:dyDescent="0.25">
      <c r="A45" s="1">
        <v>13908</v>
      </c>
      <c r="B45" s="1">
        <v>1001</v>
      </c>
      <c r="C45" s="106" t="s">
        <v>765</v>
      </c>
      <c r="D45" s="106" t="s">
        <v>2769</v>
      </c>
      <c r="E45" s="145" t="s">
        <v>2853</v>
      </c>
      <c r="F45" s="146" t="s">
        <v>2853</v>
      </c>
      <c r="G45" s="107" t="s">
        <v>2814</v>
      </c>
      <c r="H45" s="106">
        <v>11022549</v>
      </c>
      <c r="I45" s="110" t="s">
        <v>78</v>
      </c>
      <c r="J45" s="106" t="s">
        <v>1206</v>
      </c>
      <c r="K45" s="111">
        <v>46007</v>
      </c>
      <c r="L45" s="112">
        <v>7000000</v>
      </c>
      <c r="M45" s="112">
        <v>7000</v>
      </c>
      <c r="N45" s="112">
        <v>2059838.6</v>
      </c>
      <c r="O45" s="108">
        <v>2059.8386</v>
      </c>
      <c r="P45" s="113">
        <v>2.9426265714285716E-4</v>
      </c>
      <c r="Q45" s="114">
        <v>47833</v>
      </c>
    </row>
    <row r="46" spans="1:17" ht="14.1" customHeight="1" x14ac:dyDescent="0.25">
      <c r="A46" s="1">
        <v>13908</v>
      </c>
      <c r="B46" s="1">
        <v>1001</v>
      </c>
      <c r="C46" s="106" t="s">
        <v>942</v>
      </c>
      <c r="D46" s="106" t="s">
        <v>2770</v>
      </c>
      <c r="E46" s="145" t="s">
        <v>2853</v>
      </c>
      <c r="F46" s="146" t="s">
        <v>2853</v>
      </c>
      <c r="G46" s="107" t="s">
        <v>2815</v>
      </c>
      <c r="H46" s="106">
        <v>11022868</v>
      </c>
      <c r="I46" s="110" t="s">
        <v>78</v>
      </c>
      <c r="J46" s="106" t="s">
        <v>1207</v>
      </c>
      <c r="K46" s="111">
        <v>45978</v>
      </c>
      <c r="L46" s="112">
        <v>2900000</v>
      </c>
      <c r="M46" s="112">
        <v>9251</v>
      </c>
      <c r="N46" s="112">
        <v>2900000</v>
      </c>
      <c r="O46" s="108">
        <v>9251</v>
      </c>
      <c r="P46" s="113">
        <v>3.1900000000000001E-3</v>
      </c>
      <c r="Q46" s="114">
        <v>49919</v>
      </c>
    </row>
    <row r="10000" spans="52:52" ht="14.1" customHeight="1" x14ac:dyDescent="0.25">
      <c r="AZ10000" s="1">
        <v>1</v>
      </c>
    </row>
  </sheetData>
  <sheetProtection formatColumns="0"/>
  <dataConsolidate/>
  <dataValidations count="2">
    <dataValidation type="list" allowBlank="1" showInputMessage="1" showErrorMessage="1" sqref="F42:F46 F17:F40 F2:F15" xr:uid="{ACA55FB8-2AE0-4778-886E-010BC7184680}">
      <formula1>Issuer_Number_Fund</formula1>
    </dataValidation>
    <dataValidation type="list" allowBlank="1" showInputMessage="1" showErrorMessage="1" sqref="I2:I46" xr:uid="{B57FC8F1-439B-45D2-B799-1EC93259B255}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AZ10000"/>
  <sheetViews>
    <sheetView rightToLeft="1" topLeftCell="A1024" zoomScale="55" zoomScaleNormal="55" workbookViewId="0">
      <selection activeCell="A2" sqref="A2:D1040"/>
    </sheetView>
  </sheetViews>
  <sheetFormatPr defaultColWidth="9" defaultRowHeight="13.8" x14ac:dyDescent="0.25"/>
  <cols>
    <col min="1" max="1" width="29.3984375" style="1" customWidth="1"/>
    <col min="2" max="2" width="30.19921875" style="1" customWidth="1"/>
    <col min="3" max="3" width="90.796875" style="25" customWidth="1"/>
    <col min="4" max="4" width="68.796875" style="1" customWidth="1"/>
    <col min="5" max="5" width="17.19921875" style="1" customWidth="1"/>
    <col min="6" max="6" width="9" style="1" customWidth="1"/>
    <col min="7" max="16384" width="9" style="1"/>
  </cols>
  <sheetData>
    <row r="1" spans="1:5" s="34" customFormat="1" ht="41.4" x14ac:dyDescent="0.25">
      <c r="A1" s="150" t="s">
        <v>606</v>
      </c>
      <c r="B1" s="150" t="s">
        <v>334</v>
      </c>
      <c r="C1" s="150" t="s">
        <v>335</v>
      </c>
      <c r="D1" s="151" t="s">
        <v>373</v>
      </c>
      <c r="E1" s="1"/>
    </row>
    <row r="2" spans="1:5" x14ac:dyDescent="0.25">
      <c r="A2" s="152" t="s">
        <v>2853</v>
      </c>
      <c r="B2" s="35" t="s">
        <v>686</v>
      </c>
      <c r="C2" s="10" t="s">
        <v>53</v>
      </c>
      <c r="D2" s="153" t="s">
        <v>2853</v>
      </c>
    </row>
    <row r="3" spans="1:5" x14ac:dyDescent="0.25">
      <c r="A3" s="154" t="s">
        <v>2853</v>
      </c>
      <c r="B3" s="154" t="s">
        <v>2853</v>
      </c>
      <c r="C3" s="10" t="s">
        <v>61</v>
      </c>
      <c r="D3" s="153" t="s">
        <v>2853</v>
      </c>
    </row>
    <row r="4" spans="1:5" ht="41.4" x14ac:dyDescent="0.25">
      <c r="A4" s="155" t="s">
        <v>2853</v>
      </c>
      <c r="B4" s="36" t="s">
        <v>799</v>
      </c>
      <c r="C4" s="11" t="s">
        <v>53</v>
      </c>
      <c r="D4" s="156" t="s">
        <v>2853</v>
      </c>
    </row>
    <row r="5" spans="1:5" x14ac:dyDescent="0.25">
      <c r="A5" s="157" t="s">
        <v>2853</v>
      </c>
      <c r="B5" s="158" t="s">
        <v>2853</v>
      </c>
      <c r="C5" s="11" t="s">
        <v>59</v>
      </c>
      <c r="D5" s="156" t="s">
        <v>2853</v>
      </c>
    </row>
    <row r="6" spans="1:5" x14ac:dyDescent="0.25">
      <c r="A6" s="157" t="s">
        <v>2853</v>
      </c>
      <c r="B6" s="158" t="s">
        <v>2853</v>
      </c>
      <c r="C6" s="11" t="s">
        <v>67</v>
      </c>
      <c r="D6" s="156" t="s">
        <v>2853</v>
      </c>
    </row>
    <row r="7" spans="1:5" x14ac:dyDescent="0.25">
      <c r="A7" s="157" t="s">
        <v>2853</v>
      </c>
      <c r="B7" s="158" t="s">
        <v>2853</v>
      </c>
      <c r="C7" s="11" t="s">
        <v>74</v>
      </c>
      <c r="D7" s="156" t="s">
        <v>2853</v>
      </c>
    </row>
    <row r="8" spans="1:5" x14ac:dyDescent="0.25">
      <c r="A8" s="157" t="s">
        <v>2853</v>
      </c>
      <c r="B8" s="158" t="s">
        <v>2853</v>
      </c>
      <c r="C8" s="11" t="s">
        <v>81</v>
      </c>
      <c r="D8" s="156" t="s">
        <v>2853</v>
      </c>
    </row>
    <row r="9" spans="1:5" x14ac:dyDescent="0.25">
      <c r="A9" s="157" t="s">
        <v>2853</v>
      </c>
      <c r="B9" s="158" t="s">
        <v>2853</v>
      </c>
      <c r="C9" s="11" t="s">
        <v>945</v>
      </c>
      <c r="D9" s="156" t="s">
        <v>2853</v>
      </c>
    </row>
    <row r="10" spans="1:5" x14ac:dyDescent="0.25">
      <c r="A10" s="157" t="s">
        <v>2853</v>
      </c>
      <c r="B10" s="158" t="s">
        <v>2853</v>
      </c>
      <c r="C10" s="11" t="s">
        <v>92</v>
      </c>
      <c r="D10" s="156" t="s">
        <v>2853</v>
      </c>
    </row>
    <row r="11" spans="1:5" x14ac:dyDescent="0.25">
      <c r="A11" s="157" t="s">
        <v>2853</v>
      </c>
      <c r="B11" s="158" t="s">
        <v>2853</v>
      </c>
      <c r="C11" s="11" t="s">
        <v>976</v>
      </c>
      <c r="D11" s="156" t="s">
        <v>2853</v>
      </c>
      <c r="E11" s="1" t="s">
        <v>1189</v>
      </c>
    </row>
    <row r="12" spans="1:5" x14ac:dyDescent="0.25">
      <c r="A12" s="157" t="s">
        <v>2853</v>
      </c>
      <c r="B12" s="158" t="s">
        <v>2853</v>
      </c>
      <c r="C12" s="11" t="s">
        <v>977</v>
      </c>
      <c r="D12" s="156" t="s">
        <v>2853</v>
      </c>
      <c r="E12" s="1" t="s">
        <v>1189</v>
      </c>
    </row>
    <row r="13" spans="1:5" x14ac:dyDescent="0.25">
      <c r="A13" s="157" t="s">
        <v>2853</v>
      </c>
      <c r="B13" s="158" t="s">
        <v>2853</v>
      </c>
      <c r="C13" s="11" t="s">
        <v>104</v>
      </c>
      <c r="D13" s="156" t="s">
        <v>2853</v>
      </c>
    </row>
    <row r="14" spans="1:5" x14ac:dyDescent="0.25">
      <c r="A14" s="157" t="s">
        <v>2853</v>
      </c>
      <c r="B14" s="158" t="s">
        <v>2853</v>
      </c>
      <c r="C14" s="11" t="s">
        <v>109</v>
      </c>
      <c r="D14" s="156" t="s">
        <v>2853</v>
      </c>
    </row>
    <row r="15" spans="1:5" x14ac:dyDescent="0.25">
      <c r="A15" s="157" t="s">
        <v>2853</v>
      </c>
      <c r="B15" s="158" t="s">
        <v>2853</v>
      </c>
      <c r="C15" s="11" t="s">
        <v>111</v>
      </c>
      <c r="D15" s="156" t="s">
        <v>2853</v>
      </c>
    </row>
    <row r="16" spans="1:5" x14ac:dyDescent="0.25">
      <c r="A16" s="157" t="s">
        <v>2853</v>
      </c>
      <c r="B16" s="158" t="s">
        <v>2853</v>
      </c>
      <c r="C16" s="11" t="s">
        <v>114</v>
      </c>
      <c r="D16" s="156" t="s">
        <v>2853</v>
      </c>
    </row>
    <row r="17" spans="1:4" x14ac:dyDescent="0.25">
      <c r="A17" s="157" t="s">
        <v>2853</v>
      </c>
      <c r="B17" s="158" t="s">
        <v>2853</v>
      </c>
      <c r="C17" s="11" t="s">
        <v>117</v>
      </c>
      <c r="D17" s="156" t="s">
        <v>2853</v>
      </c>
    </row>
    <row r="18" spans="1:4" x14ac:dyDescent="0.25">
      <c r="A18" s="157" t="s">
        <v>2853</v>
      </c>
      <c r="B18" s="158" t="s">
        <v>2853</v>
      </c>
      <c r="C18" s="11" t="s">
        <v>120</v>
      </c>
      <c r="D18" s="156" t="s">
        <v>2853</v>
      </c>
    </row>
    <row r="19" spans="1:4" x14ac:dyDescent="0.25">
      <c r="A19" s="157" t="s">
        <v>2853</v>
      </c>
      <c r="B19" s="158" t="s">
        <v>2853</v>
      </c>
      <c r="C19" s="11" t="s">
        <v>123</v>
      </c>
      <c r="D19" s="156" t="s">
        <v>2853</v>
      </c>
    </row>
    <row r="20" spans="1:4" x14ac:dyDescent="0.25">
      <c r="A20" s="157" t="s">
        <v>2853</v>
      </c>
      <c r="B20" s="158" t="s">
        <v>2853</v>
      </c>
      <c r="C20" s="11" t="s">
        <v>125</v>
      </c>
      <c r="D20" s="156" t="s">
        <v>2853</v>
      </c>
    </row>
    <row r="21" spans="1:4" x14ac:dyDescent="0.25">
      <c r="A21" s="157" t="s">
        <v>2853</v>
      </c>
      <c r="B21" s="158" t="s">
        <v>2853</v>
      </c>
      <c r="C21" s="11" t="s">
        <v>314</v>
      </c>
      <c r="D21" s="156" t="s">
        <v>2853</v>
      </c>
    </row>
    <row r="22" spans="1:4" x14ac:dyDescent="0.25">
      <c r="A22" s="157" t="s">
        <v>2853</v>
      </c>
      <c r="B22" s="158" t="s">
        <v>2853</v>
      </c>
      <c r="C22" s="11" t="s">
        <v>128</v>
      </c>
      <c r="D22" s="156" t="s">
        <v>2853</v>
      </c>
    </row>
    <row r="23" spans="1:4" x14ac:dyDescent="0.25">
      <c r="A23" s="157" t="s">
        <v>2853</v>
      </c>
      <c r="B23" s="158" t="s">
        <v>2853</v>
      </c>
      <c r="C23" s="11" t="s">
        <v>131</v>
      </c>
      <c r="D23" s="156" t="s">
        <v>2853</v>
      </c>
    </row>
    <row r="24" spans="1:4" x14ac:dyDescent="0.25">
      <c r="A24" s="157" t="s">
        <v>2853</v>
      </c>
      <c r="B24" s="158" t="s">
        <v>2853</v>
      </c>
      <c r="C24" s="11" t="s">
        <v>132</v>
      </c>
      <c r="D24" s="156" t="s">
        <v>2853</v>
      </c>
    </row>
    <row r="25" spans="1:4" x14ac:dyDescent="0.25">
      <c r="A25" s="157" t="s">
        <v>2853</v>
      </c>
      <c r="B25" s="158" t="s">
        <v>2853</v>
      </c>
      <c r="C25" s="11" t="s">
        <v>134</v>
      </c>
      <c r="D25" s="156" t="s">
        <v>2853</v>
      </c>
    </row>
    <row r="26" spans="1:4" x14ac:dyDescent="0.25">
      <c r="A26" s="157" t="s">
        <v>2853</v>
      </c>
      <c r="B26" s="158" t="s">
        <v>2853</v>
      </c>
      <c r="C26" s="11" t="s">
        <v>136</v>
      </c>
      <c r="D26" s="156" t="s">
        <v>2853</v>
      </c>
    </row>
    <row r="27" spans="1:4" x14ac:dyDescent="0.25">
      <c r="A27" s="157" t="s">
        <v>2853</v>
      </c>
      <c r="B27" s="158" t="s">
        <v>2853</v>
      </c>
      <c r="C27" s="11" t="s">
        <v>138</v>
      </c>
      <c r="D27" s="156" t="s">
        <v>2853</v>
      </c>
    </row>
    <row r="28" spans="1:4" x14ac:dyDescent="0.25">
      <c r="A28" s="157" t="s">
        <v>2853</v>
      </c>
      <c r="B28" s="158" t="s">
        <v>2853</v>
      </c>
      <c r="C28" s="11" t="s">
        <v>141</v>
      </c>
      <c r="D28" s="156" t="s">
        <v>2853</v>
      </c>
    </row>
    <row r="29" spans="1:4" x14ac:dyDescent="0.25">
      <c r="A29" s="157" t="s">
        <v>2853</v>
      </c>
      <c r="B29" s="158" t="s">
        <v>2853</v>
      </c>
      <c r="C29" s="11" t="s">
        <v>143</v>
      </c>
      <c r="D29" s="156" t="s">
        <v>2853</v>
      </c>
    </row>
    <row r="30" spans="1:4" x14ac:dyDescent="0.25">
      <c r="A30" s="157" t="s">
        <v>2853</v>
      </c>
      <c r="B30" s="158" t="s">
        <v>2853</v>
      </c>
      <c r="C30" s="11" t="s">
        <v>315</v>
      </c>
      <c r="D30" s="156" t="s">
        <v>2853</v>
      </c>
    </row>
    <row r="31" spans="1:4" x14ac:dyDescent="0.25">
      <c r="A31" s="157" t="s">
        <v>2853</v>
      </c>
      <c r="B31" s="158" t="s">
        <v>2853</v>
      </c>
      <c r="C31" s="11" t="s">
        <v>145</v>
      </c>
      <c r="D31" s="156" t="s">
        <v>2853</v>
      </c>
    </row>
    <row r="32" spans="1:4" x14ac:dyDescent="0.25">
      <c r="A32" s="157" t="s">
        <v>2853</v>
      </c>
      <c r="B32" s="158" t="s">
        <v>2853</v>
      </c>
      <c r="C32" s="11" t="s">
        <v>147</v>
      </c>
      <c r="D32" s="156" t="s">
        <v>2853</v>
      </c>
    </row>
    <row r="33" spans="1:5" x14ac:dyDescent="0.25">
      <c r="A33" s="157" t="s">
        <v>2853</v>
      </c>
      <c r="B33" s="158" t="s">
        <v>2853</v>
      </c>
      <c r="C33" s="11" t="s">
        <v>149</v>
      </c>
      <c r="D33" s="156" t="s">
        <v>2853</v>
      </c>
    </row>
    <row r="34" spans="1:5" x14ac:dyDescent="0.25">
      <c r="A34" s="157" t="s">
        <v>2853</v>
      </c>
      <c r="B34" s="158" t="s">
        <v>2853</v>
      </c>
      <c r="C34" s="11" t="s">
        <v>151</v>
      </c>
      <c r="D34" s="156" t="s">
        <v>2853</v>
      </c>
    </row>
    <row r="35" spans="1:5" x14ac:dyDescent="0.25">
      <c r="A35" s="157" t="s">
        <v>2853</v>
      </c>
      <c r="B35" s="158" t="s">
        <v>2853</v>
      </c>
      <c r="C35" s="11" t="s">
        <v>153</v>
      </c>
      <c r="D35" s="156" t="s">
        <v>2853</v>
      </c>
    </row>
    <row r="36" spans="1:5" x14ac:dyDescent="0.25">
      <c r="A36" s="157" t="s">
        <v>2853</v>
      </c>
      <c r="B36" s="158" t="s">
        <v>2853</v>
      </c>
      <c r="C36" s="11" t="s">
        <v>1140</v>
      </c>
      <c r="D36" s="156" t="s">
        <v>2853</v>
      </c>
      <c r="E36" s="1" t="s">
        <v>1189</v>
      </c>
    </row>
    <row r="37" spans="1:5" x14ac:dyDescent="0.25">
      <c r="A37" s="157" t="s">
        <v>2853</v>
      </c>
      <c r="B37" s="158" t="s">
        <v>2853</v>
      </c>
      <c r="C37" s="1" t="s">
        <v>1139</v>
      </c>
      <c r="D37" s="156" t="s">
        <v>2853</v>
      </c>
      <c r="E37" s="1" t="s">
        <v>1189</v>
      </c>
    </row>
    <row r="38" spans="1:5" x14ac:dyDescent="0.25">
      <c r="A38" s="157" t="s">
        <v>2853</v>
      </c>
      <c r="B38" s="158" t="s">
        <v>2853</v>
      </c>
      <c r="C38" s="11" t="s">
        <v>154</v>
      </c>
      <c r="D38" s="156" t="s">
        <v>2853</v>
      </c>
    </row>
    <row r="39" spans="1:5" x14ac:dyDescent="0.25">
      <c r="A39" s="157" t="s">
        <v>2853</v>
      </c>
      <c r="B39" s="158" t="s">
        <v>2853</v>
      </c>
      <c r="C39" s="11" t="s">
        <v>155</v>
      </c>
      <c r="D39" s="156" t="s">
        <v>2853</v>
      </c>
    </row>
    <row r="40" spans="1:5" x14ac:dyDescent="0.25">
      <c r="A40" s="157" t="s">
        <v>2853</v>
      </c>
      <c r="B40" s="158" t="s">
        <v>2853</v>
      </c>
      <c r="C40" s="11" t="s">
        <v>970</v>
      </c>
      <c r="D40" s="156" t="s">
        <v>2853</v>
      </c>
      <c r="E40" s="1" t="s">
        <v>1189</v>
      </c>
    </row>
    <row r="41" spans="1:5" x14ac:dyDescent="0.25">
      <c r="A41" s="157" t="s">
        <v>2853</v>
      </c>
      <c r="B41" s="158" t="s">
        <v>2853</v>
      </c>
      <c r="C41" s="11" t="s">
        <v>157</v>
      </c>
      <c r="D41" s="156" t="s">
        <v>2853</v>
      </c>
    </row>
    <row r="42" spans="1:5" x14ac:dyDescent="0.25">
      <c r="A42" s="157" t="s">
        <v>2853</v>
      </c>
      <c r="B42" s="158" t="s">
        <v>2853</v>
      </c>
      <c r="C42" s="11" t="s">
        <v>158</v>
      </c>
      <c r="D42" s="156" t="s">
        <v>2853</v>
      </c>
    </row>
    <row r="43" spans="1:5" x14ac:dyDescent="0.25">
      <c r="A43" s="157" t="s">
        <v>2853</v>
      </c>
      <c r="B43" s="158" t="s">
        <v>2853</v>
      </c>
      <c r="C43" s="11" t="s">
        <v>159</v>
      </c>
      <c r="D43" s="156" t="s">
        <v>2853</v>
      </c>
    </row>
    <row r="44" spans="1:5" x14ac:dyDescent="0.25">
      <c r="A44" s="157" t="s">
        <v>2853</v>
      </c>
      <c r="B44" s="158" t="s">
        <v>2853</v>
      </c>
      <c r="C44" s="11" t="s">
        <v>160</v>
      </c>
      <c r="D44" s="156" t="s">
        <v>2853</v>
      </c>
    </row>
    <row r="45" spans="1:5" x14ac:dyDescent="0.25">
      <c r="A45" s="157" t="s">
        <v>2853</v>
      </c>
      <c r="B45" s="158" t="s">
        <v>2853</v>
      </c>
      <c r="C45" s="11" t="s">
        <v>161</v>
      </c>
      <c r="D45" s="156" t="s">
        <v>2853</v>
      </c>
    </row>
    <row r="46" spans="1:5" x14ac:dyDescent="0.25">
      <c r="A46" s="157" t="s">
        <v>2853</v>
      </c>
      <c r="B46" s="158" t="s">
        <v>2853</v>
      </c>
      <c r="C46" s="11" t="s">
        <v>972</v>
      </c>
      <c r="D46" s="156" t="s">
        <v>2853</v>
      </c>
      <c r="E46" s="1" t="s">
        <v>1189</v>
      </c>
    </row>
    <row r="47" spans="1:5" x14ac:dyDescent="0.25">
      <c r="A47" s="157" t="s">
        <v>2853</v>
      </c>
      <c r="B47" s="158" t="s">
        <v>2853</v>
      </c>
      <c r="C47" s="11" t="s">
        <v>164</v>
      </c>
      <c r="D47" s="156" t="s">
        <v>2853</v>
      </c>
    </row>
    <row r="48" spans="1:5" x14ac:dyDescent="0.25">
      <c r="A48" s="157" t="s">
        <v>2853</v>
      </c>
      <c r="B48" s="158" t="s">
        <v>2853</v>
      </c>
      <c r="C48" s="11" t="s">
        <v>166</v>
      </c>
      <c r="D48" s="156" t="s">
        <v>2853</v>
      </c>
    </row>
    <row r="49" spans="1:5" x14ac:dyDescent="0.25">
      <c r="A49" s="157" t="s">
        <v>2853</v>
      </c>
      <c r="B49" s="158" t="s">
        <v>2853</v>
      </c>
      <c r="C49" s="11" t="s">
        <v>168</v>
      </c>
      <c r="D49" s="156" t="s">
        <v>2853</v>
      </c>
    </row>
    <row r="50" spans="1:5" x14ac:dyDescent="0.25">
      <c r="A50" s="157" t="s">
        <v>2853</v>
      </c>
      <c r="B50" s="158" t="s">
        <v>2853</v>
      </c>
      <c r="C50" s="11" t="s">
        <v>173</v>
      </c>
      <c r="D50" s="156" t="s">
        <v>2853</v>
      </c>
    </row>
    <row r="51" spans="1:5" x14ac:dyDescent="0.25">
      <c r="A51" s="157" t="s">
        <v>2853</v>
      </c>
      <c r="B51" s="158" t="s">
        <v>2853</v>
      </c>
      <c r="C51" s="11" t="s">
        <v>175</v>
      </c>
      <c r="D51" s="156" t="s">
        <v>2853</v>
      </c>
    </row>
    <row r="52" spans="1:5" x14ac:dyDescent="0.25">
      <c r="A52" s="157" t="s">
        <v>2853</v>
      </c>
      <c r="B52" s="158" t="s">
        <v>2853</v>
      </c>
      <c r="C52" s="11" t="s">
        <v>177</v>
      </c>
      <c r="D52" s="156" t="s">
        <v>2853</v>
      </c>
    </row>
    <row r="53" spans="1:5" x14ac:dyDescent="0.25">
      <c r="A53" s="157" t="s">
        <v>2853</v>
      </c>
      <c r="B53" s="158" t="s">
        <v>2853</v>
      </c>
      <c r="C53" s="11" t="s">
        <v>178</v>
      </c>
      <c r="D53" s="156" t="s">
        <v>2853</v>
      </c>
    </row>
    <row r="54" spans="1:5" x14ac:dyDescent="0.25">
      <c r="A54" s="157" t="s">
        <v>2853</v>
      </c>
      <c r="B54" s="158" t="s">
        <v>2853</v>
      </c>
      <c r="C54" s="11" t="s">
        <v>179</v>
      </c>
      <c r="D54" s="156" t="s">
        <v>2853</v>
      </c>
    </row>
    <row r="55" spans="1:5" x14ac:dyDescent="0.25">
      <c r="A55" s="157" t="s">
        <v>2853</v>
      </c>
      <c r="B55" s="158" t="s">
        <v>2853</v>
      </c>
      <c r="C55" s="11" t="s">
        <v>180</v>
      </c>
      <c r="D55" s="156" t="s">
        <v>2853</v>
      </c>
    </row>
    <row r="56" spans="1:5" x14ac:dyDescent="0.25">
      <c r="A56" s="157" t="s">
        <v>2853</v>
      </c>
      <c r="B56" s="158" t="s">
        <v>2853</v>
      </c>
      <c r="C56" s="11" t="s">
        <v>181</v>
      </c>
      <c r="D56" s="156" t="s">
        <v>2853</v>
      </c>
    </row>
    <row r="57" spans="1:5" x14ac:dyDescent="0.25">
      <c r="A57" s="157" t="s">
        <v>2853</v>
      </c>
      <c r="B57" s="158" t="s">
        <v>2853</v>
      </c>
      <c r="C57" s="11" t="s">
        <v>182</v>
      </c>
      <c r="D57" s="156" t="s">
        <v>2853</v>
      </c>
    </row>
    <row r="58" spans="1:5" x14ac:dyDescent="0.25">
      <c r="A58" s="157" t="s">
        <v>2853</v>
      </c>
      <c r="B58" s="158" t="s">
        <v>2853</v>
      </c>
      <c r="C58" s="11" t="s">
        <v>183</v>
      </c>
      <c r="D58" s="156" t="s">
        <v>2853</v>
      </c>
    </row>
    <row r="59" spans="1:5" x14ac:dyDescent="0.25">
      <c r="A59" s="157" t="s">
        <v>2853</v>
      </c>
      <c r="B59" s="158" t="s">
        <v>2853</v>
      </c>
      <c r="C59" s="11" t="s">
        <v>510</v>
      </c>
      <c r="D59" s="156" t="s">
        <v>2853</v>
      </c>
    </row>
    <row r="60" spans="1:5" x14ac:dyDescent="0.25">
      <c r="A60" s="157" t="s">
        <v>2853</v>
      </c>
      <c r="B60" s="158" t="s">
        <v>2853</v>
      </c>
      <c r="C60" s="11" t="s">
        <v>184</v>
      </c>
      <c r="D60" s="156" t="s">
        <v>2853</v>
      </c>
    </row>
    <row r="61" spans="1:5" x14ac:dyDescent="0.25">
      <c r="A61" s="157" t="s">
        <v>2853</v>
      </c>
      <c r="B61" s="158" t="s">
        <v>2853</v>
      </c>
      <c r="C61" s="11" t="s">
        <v>185</v>
      </c>
      <c r="D61" s="156" t="s">
        <v>2853</v>
      </c>
    </row>
    <row r="62" spans="1:5" x14ac:dyDescent="0.25">
      <c r="A62" s="157" t="s">
        <v>2853</v>
      </c>
      <c r="B62" s="158" t="s">
        <v>2853</v>
      </c>
      <c r="C62" s="11" t="s">
        <v>186</v>
      </c>
      <c r="D62" s="156" t="s">
        <v>2853</v>
      </c>
    </row>
    <row r="63" spans="1:5" x14ac:dyDescent="0.25">
      <c r="A63" s="157" t="s">
        <v>2853</v>
      </c>
      <c r="B63" s="158" t="s">
        <v>2853</v>
      </c>
      <c r="C63" s="11" t="s">
        <v>971</v>
      </c>
      <c r="D63" s="156" t="s">
        <v>2853</v>
      </c>
      <c r="E63" s="1" t="s">
        <v>1189</v>
      </c>
    </row>
    <row r="64" spans="1:5" x14ac:dyDescent="0.25">
      <c r="A64" s="157" t="s">
        <v>2853</v>
      </c>
      <c r="B64" s="158" t="s">
        <v>2853</v>
      </c>
      <c r="C64" s="11" t="s">
        <v>187</v>
      </c>
      <c r="D64" s="156" t="s">
        <v>2853</v>
      </c>
    </row>
    <row r="65" spans="1:4" x14ac:dyDescent="0.25">
      <c r="A65" s="157" t="s">
        <v>2853</v>
      </c>
      <c r="B65" s="158" t="s">
        <v>2853</v>
      </c>
      <c r="C65" s="11" t="s">
        <v>188</v>
      </c>
      <c r="D65" s="156" t="s">
        <v>2853</v>
      </c>
    </row>
    <row r="66" spans="1:4" x14ac:dyDescent="0.25">
      <c r="A66" s="157" t="s">
        <v>2853</v>
      </c>
      <c r="B66" s="158" t="s">
        <v>2853</v>
      </c>
      <c r="C66" s="11" t="s">
        <v>189</v>
      </c>
      <c r="D66" s="156" t="s">
        <v>2853</v>
      </c>
    </row>
    <row r="67" spans="1:4" x14ac:dyDescent="0.25">
      <c r="A67" s="157" t="s">
        <v>2853</v>
      </c>
      <c r="B67" s="158" t="s">
        <v>2853</v>
      </c>
      <c r="C67" s="11" t="s">
        <v>190</v>
      </c>
      <c r="D67" s="156" t="s">
        <v>2853</v>
      </c>
    </row>
    <row r="68" spans="1:4" x14ac:dyDescent="0.25">
      <c r="A68" s="157" t="s">
        <v>2853</v>
      </c>
      <c r="B68" s="158" t="s">
        <v>2853</v>
      </c>
      <c r="C68" s="11" t="s">
        <v>191</v>
      </c>
      <c r="D68" s="156" t="s">
        <v>2853</v>
      </c>
    </row>
    <row r="69" spans="1:4" x14ac:dyDescent="0.25">
      <c r="A69" s="157" t="s">
        <v>2853</v>
      </c>
      <c r="B69" s="158" t="s">
        <v>2853</v>
      </c>
      <c r="C69" s="11" t="s">
        <v>192</v>
      </c>
      <c r="D69" s="156" t="s">
        <v>2853</v>
      </c>
    </row>
    <row r="70" spans="1:4" x14ac:dyDescent="0.25">
      <c r="A70" s="157" t="s">
        <v>2853</v>
      </c>
      <c r="B70" s="158" t="s">
        <v>2853</v>
      </c>
      <c r="C70" s="11" t="s">
        <v>193</v>
      </c>
      <c r="D70" s="156" t="s">
        <v>2853</v>
      </c>
    </row>
    <row r="71" spans="1:4" x14ac:dyDescent="0.25">
      <c r="A71" s="157" t="s">
        <v>2853</v>
      </c>
      <c r="B71" s="158" t="s">
        <v>2853</v>
      </c>
      <c r="C71" s="11" t="s">
        <v>194</v>
      </c>
      <c r="D71" s="156" t="s">
        <v>2853</v>
      </c>
    </row>
    <row r="72" spans="1:4" x14ac:dyDescent="0.25">
      <c r="A72" s="157" t="s">
        <v>2853</v>
      </c>
      <c r="B72" s="158" t="s">
        <v>2853</v>
      </c>
      <c r="C72" s="11" t="s">
        <v>196</v>
      </c>
      <c r="D72" s="156" t="s">
        <v>2853</v>
      </c>
    </row>
    <row r="73" spans="1:4" x14ac:dyDescent="0.25">
      <c r="A73" s="157" t="s">
        <v>2853</v>
      </c>
      <c r="B73" s="158" t="s">
        <v>2853</v>
      </c>
      <c r="C73" s="11" t="s">
        <v>197</v>
      </c>
      <c r="D73" s="156" t="s">
        <v>2853</v>
      </c>
    </row>
    <row r="74" spans="1:4" x14ac:dyDescent="0.25">
      <c r="A74" s="157" t="s">
        <v>2853</v>
      </c>
      <c r="B74" s="158" t="s">
        <v>2853</v>
      </c>
      <c r="C74" s="11" t="s">
        <v>198</v>
      </c>
      <c r="D74" s="156" t="s">
        <v>2853</v>
      </c>
    </row>
    <row r="75" spans="1:4" x14ac:dyDescent="0.25">
      <c r="A75" s="157" t="s">
        <v>2853</v>
      </c>
      <c r="B75" s="158" t="s">
        <v>2853</v>
      </c>
      <c r="C75" s="11" t="s">
        <v>199</v>
      </c>
      <c r="D75" s="156" t="s">
        <v>2853</v>
      </c>
    </row>
    <row r="76" spans="1:4" x14ac:dyDescent="0.25">
      <c r="A76" s="157" t="s">
        <v>2853</v>
      </c>
      <c r="B76" s="158" t="s">
        <v>2853</v>
      </c>
      <c r="C76" s="11" t="s">
        <v>200</v>
      </c>
      <c r="D76" s="156" t="s">
        <v>2853</v>
      </c>
    </row>
    <row r="77" spans="1:4" x14ac:dyDescent="0.25">
      <c r="A77" s="157" t="s">
        <v>2853</v>
      </c>
      <c r="B77" s="158" t="s">
        <v>2853</v>
      </c>
      <c r="C77" s="11" t="s">
        <v>201</v>
      </c>
      <c r="D77" s="156" t="s">
        <v>2853</v>
      </c>
    </row>
    <row r="78" spans="1:4" x14ac:dyDescent="0.25">
      <c r="A78" s="157" t="s">
        <v>2853</v>
      </c>
      <c r="B78" s="158" t="s">
        <v>2853</v>
      </c>
      <c r="C78" s="11" t="s">
        <v>203</v>
      </c>
      <c r="D78" s="156" t="s">
        <v>2853</v>
      </c>
    </row>
    <row r="79" spans="1:4" x14ac:dyDescent="0.25">
      <c r="A79" s="157" t="s">
        <v>2853</v>
      </c>
      <c r="B79" s="158" t="s">
        <v>2853</v>
      </c>
      <c r="C79" s="11" t="s">
        <v>204</v>
      </c>
      <c r="D79" s="156" t="s">
        <v>2853</v>
      </c>
    </row>
    <row r="80" spans="1:4" x14ac:dyDescent="0.25">
      <c r="A80" s="157" t="s">
        <v>2853</v>
      </c>
      <c r="B80" s="158" t="s">
        <v>2853</v>
      </c>
      <c r="C80" s="11" t="s">
        <v>205</v>
      </c>
      <c r="D80" s="156" t="s">
        <v>2853</v>
      </c>
    </row>
    <row r="81" spans="1:5" x14ac:dyDescent="0.25">
      <c r="A81" s="157" t="s">
        <v>2853</v>
      </c>
      <c r="B81" s="158" t="s">
        <v>2853</v>
      </c>
      <c r="C81" s="11" t="s">
        <v>206</v>
      </c>
      <c r="D81" s="156" t="s">
        <v>2853</v>
      </c>
    </row>
    <row r="82" spans="1:5" x14ac:dyDescent="0.25">
      <c r="A82" s="157" t="s">
        <v>2853</v>
      </c>
      <c r="B82" s="158" t="s">
        <v>2853</v>
      </c>
      <c r="C82" s="11" t="s">
        <v>207</v>
      </c>
      <c r="D82" s="156" t="s">
        <v>2853</v>
      </c>
    </row>
    <row r="83" spans="1:5" x14ac:dyDescent="0.25">
      <c r="A83" s="157" t="s">
        <v>2853</v>
      </c>
      <c r="B83" s="158" t="s">
        <v>2853</v>
      </c>
      <c r="C83" s="11" t="s">
        <v>208</v>
      </c>
      <c r="D83" s="156" t="s">
        <v>2853</v>
      </c>
    </row>
    <row r="84" spans="1:5" x14ac:dyDescent="0.25">
      <c r="A84" s="157" t="s">
        <v>2853</v>
      </c>
      <c r="B84" s="158" t="s">
        <v>2853</v>
      </c>
      <c r="C84" s="11" t="s">
        <v>209</v>
      </c>
      <c r="D84" s="156" t="s">
        <v>2853</v>
      </c>
    </row>
    <row r="85" spans="1:5" x14ac:dyDescent="0.25">
      <c r="A85" s="157" t="s">
        <v>2853</v>
      </c>
      <c r="B85" s="158" t="s">
        <v>2853</v>
      </c>
      <c r="C85" s="11" t="s">
        <v>210</v>
      </c>
      <c r="D85" s="156" t="s">
        <v>2853</v>
      </c>
    </row>
    <row r="86" spans="1:5" x14ac:dyDescent="0.25">
      <c r="A86" s="157" t="s">
        <v>2853</v>
      </c>
      <c r="B86" s="158" t="s">
        <v>2853</v>
      </c>
      <c r="C86" s="11" t="s">
        <v>316</v>
      </c>
      <c r="D86" s="156" t="s">
        <v>2853</v>
      </c>
    </row>
    <row r="87" spans="1:5" x14ac:dyDescent="0.25">
      <c r="A87" s="157" t="s">
        <v>2853</v>
      </c>
      <c r="B87" s="158" t="s">
        <v>2853</v>
      </c>
      <c r="C87" s="11" t="s">
        <v>318</v>
      </c>
      <c r="D87" s="156" t="s">
        <v>2853</v>
      </c>
    </row>
    <row r="88" spans="1:5" x14ac:dyDescent="0.25">
      <c r="A88" s="157" t="s">
        <v>2853</v>
      </c>
      <c r="B88" s="158" t="s">
        <v>2853</v>
      </c>
      <c r="C88" s="11" t="s">
        <v>946</v>
      </c>
      <c r="D88" s="156" t="s">
        <v>2853</v>
      </c>
    </row>
    <row r="89" spans="1:5" x14ac:dyDescent="0.25">
      <c r="A89" s="157" t="s">
        <v>2853</v>
      </c>
      <c r="B89" s="158" t="s">
        <v>2853</v>
      </c>
      <c r="C89" s="11" t="s">
        <v>947</v>
      </c>
      <c r="D89" s="156" t="s">
        <v>2853</v>
      </c>
    </row>
    <row r="90" spans="1:5" x14ac:dyDescent="0.25">
      <c r="A90" s="157" t="s">
        <v>2853</v>
      </c>
      <c r="B90" s="158" t="s">
        <v>2853</v>
      </c>
      <c r="C90" s="11" t="s">
        <v>313</v>
      </c>
      <c r="D90" s="156" t="s">
        <v>2853</v>
      </c>
    </row>
    <row r="91" spans="1:5" x14ac:dyDescent="0.25">
      <c r="A91" s="157" t="s">
        <v>2853</v>
      </c>
      <c r="B91" s="158" t="s">
        <v>2853</v>
      </c>
      <c r="C91" s="11" t="s">
        <v>948</v>
      </c>
      <c r="D91" s="156" t="s">
        <v>2853</v>
      </c>
    </row>
    <row r="92" spans="1:5" x14ac:dyDescent="0.25">
      <c r="A92" s="157" t="s">
        <v>2853</v>
      </c>
      <c r="B92" s="158" t="s">
        <v>2853</v>
      </c>
      <c r="C92" s="11" t="s">
        <v>956</v>
      </c>
      <c r="D92" s="156" t="s">
        <v>2853</v>
      </c>
    </row>
    <row r="93" spans="1:5" x14ac:dyDescent="0.25">
      <c r="A93" s="157" t="s">
        <v>2853</v>
      </c>
      <c r="B93" s="158" t="s">
        <v>2853</v>
      </c>
      <c r="C93" s="11" t="s">
        <v>317</v>
      </c>
      <c r="D93" s="156" t="s">
        <v>2853</v>
      </c>
    </row>
    <row r="94" spans="1:5" x14ac:dyDescent="0.25">
      <c r="A94" s="157" t="s">
        <v>2853</v>
      </c>
      <c r="B94" s="158" t="s">
        <v>2853</v>
      </c>
      <c r="C94" s="11" t="s">
        <v>1176</v>
      </c>
      <c r="D94" s="149" t="s">
        <v>1194</v>
      </c>
      <c r="E94" s="1" t="s">
        <v>1189</v>
      </c>
    </row>
    <row r="95" spans="1:5" x14ac:dyDescent="0.25">
      <c r="A95" s="157" t="s">
        <v>2853</v>
      </c>
      <c r="B95" s="158" t="s">
        <v>2853</v>
      </c>
      <c r="C95" s="11" t="s">
        <v>1177</v>
      </c>
      <c r="D95" s="149" t="s">
        <v>962</v>
      </c>
      <c r="E95" s="1" t="s">
        <v>1189</v>
      </c>
    </row>
    <row r="96" spans="1:5" x14ac:dyDescent="0.25">
      <c r="A96" s="157" t="s">
        <v>2853</v>
      </c>
      <c r="B96" s="158" t="s">
        <v>2853</v>
      </c>
      <c r="C96" s="11" t="s">
        <v>1178</v>
      </c>
      <c r="D96" s="149" t="s">
        <v>962</v>
      </c>
      <c r="E96" s="1" t="s">
        <v>1189</v>
      </c>
    </row>
    <row r="97" spans="1:5" x14ac:dyDescent="0.25">
      <c r="A97" s="157" t="s">
        <v>2853</v>
      </c>
      <c r="B97" s="158" t="s">
        <v>2853</v>
      </c>
      <c r="C97" s="11" t="s">
        <v>1173</v>
      </c>
      <c r="D97" s="149" t="s">
        <v>962</v>
      </c>
      <c r="E97" s="1" t="s">
        <v>1189</v>
      </c>
    </row>
    <row r="98" spans="1:5" x14ac:dyDescent="0.25">
      <c r="A98" s="157" t="s">
        <v>2853</v>
      </c>
      <c r="B98" s="158" t="s">
        <v>2853</v>
      </c>
      <c r="C98" s="11" t="s">
        <v>1174</v>
      </c>
      <c r="D98" s="149" t="s">
        <v>962</v>
      </c>
      <c r="E98" s="1" t="s">
        <v>1189</v>
      </c>
    </row>
    <row r="99" spans="1:5" x14ac:dyDescent="0.25">
      <c r="A99" s="157" t="s">
        <v>2853</v>
      </c>
      <c r="B99" s="158" t="s">
        <v>2853</v>
      </c>
      <c r="C99" s="11" t="s">
        <v>1175</v>
      </c>
      <c r="D99" s="149" t="s">
        <v>962</v>
      </c>
      <c r="E99" s="1" t="s">
        <v>1189</v>
      </c>
    </row>
    <row r="100" spans="1:5" x14ac:dyDescent="0.25">
      <c r="A100" s="157" t="s">
        <v>2853</v>
      </c>
      <c r="B100" s="158" t="s">
        <v>2853</v>
      </c>
      <c r="C100" s="11" t="s">
        <v>1179</v>
      </c>
      <c r="D100" s="149" t="s">
        <v>962</v>
      </c>
      <c r="E100" s="1" t="s">
        <v>1189</v>
      </c>
    </row>
    <row r="101" spans="1:5" x14ac:dyDescent="0.25">
      <c r="A101" s="157" t="s">
        <v>2853</v>
      </c>
      <c r="B101" s="158" t="s">
        <v>2853</v>
      </c>
      <c r="C101" s="11" t="s">
        <v>1180</v>
      </c>
      <c r="D101" s="149" t="s">
        <v>962</v>
      </c>
      <c r="E101" s="1" t="s">
        <v>1189</v>
      </c>
    </row>
    <row r="102" spans="1:5" x14ac:dyDescent="0.25">
      <c r="A102" s="157" t="s">
        <v>2853</v>
      </c>
      <c r="B102" s="158" t="s">
        <v>2853</v>
      </c>
      <c r="C102" s="11" t="s">
        <v>1181</v>
      </c>
      <c r="D102" s="149" t="s">
        <v>962</v>
      </c>
      <c r="E102" s="1" t="s">
        <v>1189</v>
      </c>
    </row>
    <row r="103" spans="1:5" x14ac:dyDescent="0.25">
      <c r="A103" s="157" t="s">
        <v>2853</v>
      </c>
      <c r="B103" s="158" t="s">
        <v>2853</v>
      </c>
      <c r="C103" s="11" t="s">
        <v>1182</v>
      </c>
      <c r="D103" s="149" t="s">
        <v>962</v>
      </c>
      <c r="E103" s="1" t="s">
        <v>1189</v>
      </c>
    </row>
    <row r="104" spans="1:5" x14ac:dyDescent="0.25">
      <c r="A104" s="159" t="s">
        <v>2853</v>
      </c>
      <c r="B104" s="37" t="s">
        <v>756</v>
      </c>
      <c r="C104" s="10" t="s">
        <v>429</v>
      </c>
      <c r="D104" s="153" t="s">
        <v>2853</v>
      </c>
    </row>
    <row r="105" spans="1:5" x14ac:dyDescent="0.25">
      <c r="A105" s="160" t="s">
        <v>2853</v>
      </c>
      <c r="B105" s="160" t="s">
        <v>2853</v>
      </c>
      <c r="C105" s="10" t="s">
        <v>2</v>
      </c>
      <c r="D105" s="153" t="s">
        <v>2853</v>
      </c>
    </row>
    <row r="106" spans="1:5" x14ac:dyDescent="0.25">
      <c r="A106" s="160" t="s">
        <v>2853</v>
      </c>
      <c r="B106" s="160" t="s">
        <v>2853</v>
      </c>
      <c r="C106" s="10" t="s">
        <v>432</v>
      </c>
      <c r="D106" s="153" t="s">
        <v>2853</v>
      </c>
    </row>
    <row r="107" spans="1:5" x14ac:dyDescent="0.25">
      <c r="A107" s="160" t="s">
        <v>2853</v>
      </c>
      <c r="B107" s="160" t="s">
        <v>2853</v>
      </c>
      <c r="C107" s="10" t="s">
        <v>783</v>
      </c>
      <c r="D107" s="153" t="s">
        <v>2853</v>
      </c>
    </row>
    <row r="108" spans="1:5" x14ac:dyDescent="0.25">
      <c r="A108" s="160" t="s">
        <v>2853</v>
      </c>
      <c r="B108" s="160" t="s">
        <v>2853</v>
      </c>
      <c r="C108" s="10" t="s">
        <v>78</v>
      </c>
      <c r="D108" s="153" t="s">
        <v>2853</v>
      </c>
    </row>
    <row r="109" spans="1:5" x14ac:dyDescent="0.25">
      <c r="A109" s="160" t="s">
        <v>2853</v>
      </c>
      <c r="B109" s="160" t="s">
        <v>2853</v>
      </c>
      <c r="C109" s="10" t="s">
        <v>430</v>
      </c>
      <c r="D109" s="153" t="s">
        <v>2853</v>
      </c>
    </row>
    <row r="110" spans="1:5" x14ac:dyDescent="0.25">
      <c r="A110" s="161" t="s">
        <v>2853</v>
      </c>
      <c r="B110" s="161" t="s">
        <v>2853</v>
      </c>
      <c r="C110" s="10" t="s">
        <v>102</v>
      </c>
      <c r="D110" s="153" t="s">
        <v>2853</v>
      </c>
    </row>
    <row r="111" spans="1:5" x14ac:dyDescent="0.25">
      <c r="A111" s="157" t="s">
        <v>2853</v>
      </c>
      <c r="B111" s="21" t="s">
        <v>758</v>
      </c>
      <c r="C111" s="11" t="s">
        <v>429</v>
      </c>
      <c r="D111" s="156" t="s">
        <v>2853</v>
      </c>
    </row>
    <row r="112" spans="1:5" x14ac:dyDescent="0.25">
      <c r="A112" s="157" t="s">
        <v>2853</v>
      </c>
      <c r="B112" s="162" t="s">
        <v>2853</v>
      </c>
      <c r="C112" s="11" t="s">
        <v>792</v>
      </c>
      <c r="D112" s="156" t="s">
        <v>2853</v>
      </c>
    </row>
    <row r="113" spans="1:4" x14ac:dyDescent="0.25">
      <c r="A113" s="157" t="s">
        <v>2853</v>
      </c>
      <c r="B113" s="163" t="s">
        <v>2853</v>
      </c>
      <c r="C113" s="11" t="s">
        <v>431</v>
      </c>
      <c r="D113" s="156" t="s">
        <v>2853</v>
      </c>
    </row>
    <row r="114" spans="1:4" x14ac:dyDescent="0.25">
      <c r="A114" s="164" t="s">
        <v>2853</v>
      </c>
      <c r="B114" s="39" t="s">
        <v>768</v>
      </c>
      <c r="C114" s="10" t="s">
        <v>429</v>
      </c>
      <c r="D114" s="153" t="s">
        <v>2853</v>
      </c>
    </row>
    <row r="115" spans="1:4" x14ac:dyDescent="0.25">
      <c r="A115" s="164" t="s">
        <v>2853</v>
      </c>
      <c r="B115" s="164" t="s">
        <v>2853</v>
      </c>
      <c r="C115" s="10" t="s">
        <v>432</v>
      </c>
      <c r="D115" s="153" t="s">
        <v>2853</v>
      </c>
    </row>
    <row r="116" spans="1:4" x14ac:dyDescent="0.25">
      <c r="A116" s="164" t="s">
        <v>2853</v>
      </c>
      <c r="B116" s="164" t="s">
        <v>2853</v>
      </c>
      <c r="C116" s="10" t="s">
        <v>783</v>
      </c>
      <c r="D116" s="153" t="s">
        <v>2853</v>
      </c>
    </row>
    <row r="117" spans="1:4" x14ac:dyDescent="0.25">
      <c r="A117" s="164" t="s">
        <v>2853</v>
      </c>
      <c r="B117" s="164" t="s">
        <v>2853</v>
      </c>
      <c r="C117" s="10" t="s">
        <v>430</v>
      </c>
      <c r="D117" s="153" t="s">
        <v>2853</v>
      </c>
    </row>
    <row r="118" spans="1:4" x14ac:dyDescent="0.25">
      <c r="A118" s="155" t="s">
        <v>2853</v>
      </c>
      <c r="B118" s="21" t="s">
        <v>742</v>
      </c>
      <c r="C118" s="11" t="s">
        <v>429</v>
      </c>
      <c r="D118" s="156" t="s">
        <v>2853</v>
      </c>
    </row>
    <row r="119" spans="1:4" x14ac:dyDescent="0.25">
      <c r="A119" s="143" t="s">
        <v>2853</v>
      </c>
      <c r="B119" s="165" t="s">
        <v>2853</v>
      </c>
      <c r="C119" s="11" t="s">
        <v>433</v>
      </c>
      <c r="D119" s="156" t="s">
        <v>2853</v>
      </c>
    </row>
    <row r="120" spans="1:4" x14ac:dyDescent="0.25">
      <c r="A120" s="143" t="s">
        <v>2853</v>
      </c>
      <c r="B120" s="165" t="s">
        <v>2853</v>
      </c>
      <c r="C120" s="11" t="s">
        <v>783</v>
      </c>
      <c r="D120" s="156" t="s">
        <v>2853</v>
      </c>
    </row>
    <row r="121" spans="1:4" x14ac:dyDescent="0.25">
      <c r="A121" s="143" t="s">
        <v>2853</v>
      </c>
      <c r="B121" s="165" t="s">
        <v>2853</v>
      </c>
      <c r="C121" s="11" t="s">
        <v>78</v>
      </c>
      <c r="D121" s="156" t="s">
        <v>2853</v>
      </c>
    </row>
    <row r="122" spans="1:4" x14ac:dyDescent="0.25">
      <c r="A122" s="143" t="s">
        <v>2853</v>
      </c>
      <c r="B122" s="165" t="s">
        <v>2853</v>
      </c>
      <c r="C122" s="11" t="s">
        <v>432</v>
      </c>
      <c r="D122" s="156" t="s">
        <v>2853</v>
      </c>
    </row>
    <row r="123" spans="1:4" x14ac:dyDescent="0.25">
      <c r="A123" s="143" t="s">
        <v>2853</v>
      </c>
      <c r="B123" s="165" t="s">
        <v>2853</v>
      </c>
      <c r="C123" s="11" t="s">
        <v>435</v>
      </c>
      <c r="D123" s="156" t="s">
        <v>2853</v>
      </c>
    </row>
    <row r="124" spans="1:4" x14ac:dyDescent="0.25">
      <c r="A124" s="143" t="s">
        <v>2853</v>
      </c>
      <c r="B124" s="165" t="s">
        <v>2853</v>
      </c>
      <c r="C124" s="11" t="s">
        <v>434</v>
      </c>
      <c r="D124" s="156" t="s">
        <v>2853</v>
      </c>
    </row>
    <row r="125" spans="1:4" x14ac:dyDescent="0.25">
      <c r="A125" s="143" t="s">
        <v>2853</v>
      </c>
      <c r="B125" s="165" t="s">
        <v>2853</v>
      </c>
      <c r="C125" s="11" t="s">
        <v>430</v>
      </c>
      <c r="D125" s="156" t="s">
        <v>2853</v>
      </c>
    </row>
    <row r="126" spans="1:4" x14ac:dyDescent="0.25">
      <c r="A126" s="157" t="s">
        <v>2853</v>
      </c>
      <c r="B126" s="163" t="s">
        <v>2853</v>
      </c>
      <c r="C126" s="11" t="s">
        <v>102</v>
      </c>
      <c r="D126" s="156" t="s">
        <v>2853</v>
      </c>
    </row>
    <row r="127" spans="1:4" x14ac:dyDescent="0.25">
      <c r="A127" s="159" t="s">
        <v>2853</v>
      </c>
      <c r="B127" s="37" t="s">
        <v>28</v>
      </c>
      <c r="C127" s="10" t="s">
        <v>76</v>
      </c>
      <c r="D127" s="153" t="s">
        <v>2853</v>
      </c>
    </row>
    <row r="128" spans="1:4" x14ac:dyDescent="0.25">
      <c r="A128" s="160" t="s">
        <v>2853</v>
      </c>
      <c r="B128" s="160" t="s">
        <v>2853</v>
      </c>
      <c r="C128" s="10" t="s">
        <v>88</v>
      </c>
      <c r="D128" s="153" t="s">
        <v>2853</v>
      </c>
    </row>
    <row r="129" spans="1:5" x14ac:dyDescent="0.25">
      <c r="A129" s="160" t="s">
        <v>2853</v>
      </c>
      <c r="B129" s="160" t="s">
        <v>2853</v>
      </c>
      <c r="C129" s="10" t="s">
        <v>94</v>
      </c>
      <c r="D129" s="153" t="s">
        <v>2853</v>
      </c>
    </row>
    <row r="130" spans="1:5" x14ac:dyDescent="0.25">
      <c r="A130" s="160" t="s">
        <v>2853</v>
      </c>
      <c r="B130" s="160" t="s">
        <v>2853</v>
      </c>
      <c r="C130" s="10" t="s">
        <v>99</v>
      </c>
      <c r="D130" s="153" t="s">
        <v>2853</v>
      </c>
    </row>
    <row r="131" spans="1:5" x14ac:dyDescent="0.25">
      <c r="A131" s="160" t="s">
        <v>2853</v>
      </c>
      <c r="B131" s="160" t="s">
        <v>2853</v>
      </c>
      <c r="C131" s="10" t="s">
        <v>78</v>
      </c>
      <c r="D131" s="153" t="s">
        <v>2853</v>
      </c>
    </row>
    <row r="132" spans="1:5" x14ac:dyDescent="0.25">
      <c r="A132" s="157" t="s">
        <v>2853</v>
      </c>
      <c r="B132" s="38" t="s">
        <v>769</v>
      </c>
      <c r="C132" s="11" t="s">
        <v>76</v>
      </c>
      <c r="D132" s="156" t="s">
        <v>2853</v>
      </c>
    </row>
    <row r="133" spans="1:5" x14ac:dyDescent="0.25">
      <c r="A133" s="157" t="s">
        <v>2853</v>
      </c>
      <c r="B133" s="162" t="s">
        <v>2853</v>
      </c>
      <c r="C133" s="11" t="s">
        <v>78</v>
      </c>
      <c r="D133" s="156" t="s">
        <v>2853</v>
      </c>
    </row>
    <row r="134" spans="1:5" x14ac:dyDescent="0.25">
      <c r="A134" s="166" t="s">
        <v>2853</v>
      </c>
      <c r="B134" s="163" t="s">
        <v>2853</v>
      </c>
      <c r="C134" s="11" t="s">
        <v>102</v>
      </c>
      <c r="D134" s="156" t="s">
        <v>2853</v>
      </c>
    </row>
    <row r="135" spans="1:5" x14ac:dyDescent="0.25">
      <c r="A135" s="167" t="s">
        <v>2853</v>
      </c>
      <c r="B135" s="40" t="s">
        <v>625</v>
      </c>
      <c r="C135" s="10" t="s">
        <v>821</v>
      </c>
      <c r="D135" s="153" t="s">
        <v>2853</v>
      </c>
    </row>
    <row r="136" spans="1:5" x14ac:dyDescent="0.25">
      <c r="A136" s="164" t="s">
        <v>2853</v>
      </c>
      <c r="B136" s="164" t="s">
        <v>2853</v>
      </c>
      <c r="C136" s="10" t="s">
        <v>974</v>
      </c>
      <c r="D136" s="153" t="s">
        <v>2853</v>
      </c>
      <c r="E136" s="1" t="s">
        <v>1189</v>
      </c>
    </row>
    <row r="137" spans="1:5" x14ac:dyDescent="0.25">
      <c r="A137" s="164" t="s">
        <v>2853</v>
      </c>
      <c r="B137" s="164" t="s">
        <v>2853</v>
      </c>
      <c r="C137" s="10" t="s">
        <v>54</v>
      </c>
      <c r="D137" s="148" t="s">
        <v>698</v>
      </c>
    </row>
    <row r="138" spans="1:5" x14ac:dyDescent="0.25">
      <c r="A138" s="164" t="s">
        <v>2853</v>
      </c>
      <c r="B138" s="164" t="s">
        <v>2853</v>
      </c>
      <c r="C138" s="10" t="s">
        <v>69</v>
      </c>
      <c r="D138" s="148" t="s">
        <v>699</v>
      </c>
    </row>
    <row r="139" spans="1:5" x14ac:dyDescent="0.25">
      <c r="A139" s="164" t="s">
        <v>2853</v>
      </c>
      <c r="B139" s="164" t="s">
        <v>2853</v>
      </c>
      <c r="C139" s="10" t="s">
        <v>624</v>
      </c>
      <c r="D139" s="153" t="s">
        <v>2853</v>
      </c>
    </row>
    <row r="140" spans="1:5" x14ac:dyDescent="0.25">
      <c r="A140" s="164" t="s">
        <v>2853</v>
      </c>
      <c r="B140" s="164" t="s">
        <v>2853</v>
      </c>
      <c r="C140" s="10" t="s">
        <v>694</v>
      </c>
      <c r="D140" s="153" t="s">
        <v>2853</v>
      </c>
    </row>
    <row r="141" spans="1:5" x14ac:dyDescent="0.25">
      <c r="A141" s="164" t="s">
        <v>2853</v>
      </c>
      <c r="B141" s="164" t="s">
        <v>2853</v>
      </c>
      <c r="C141" s="10" t="s">
        <v>695</v>
      </c>
      <c r="D141" s="153" t="s">
        <v>2853</v>
      </c>
    </row>
    <row r="142" spans="1:5" x14ac:dyDescent="0.25">
      <c r="A142" s="164" t="s">
        <v>2853</v>
      </c>
      <c r="B142" s="164" t="s">
        <v>2853</v>
      </c>
      <c r="C142" s="10" t="s">
        <v>696</v>
      </c>
      <c r="D142" s="153" t="s">
        <v>2853</v>
      </c>
    </row>
    <row r="143" spans="1:5" x14ac:dyDescent="0.25">
      <c r="A143" s="164" t="s">
        <v>2853</v>
      </c>
      <c r="B143" s="164" t="s">
        <v>2853</v>
      </c>
      <c r="C143" s="10" t="s">
        <v>697</v>
      </c>
      <c r="D143" s="153" t="s">
        <v>2853</v>
      </c>
    </row>
    <row r="144" spans="1:5" x14ac:dyDescent="0.25">
      <c r="A144" s="164" t="s">
        <v>2853</v>
      </c>
      <c r="B144" s="164" t="s">
        <v>2853</v>
      </c>
      <c r="C144" s="10" t="s">
        <v>955</v>
      </c>
      <c r="D144" s="153" t="s">
        <v>2853</v>
      </c>
    </row>
    <row r="145" spans="1:4" x14ac:dyDescent="0.25">
      <c r="A145" s="164" t="s">
        <v>2853</v>
      </c>
      <c r="B145" s="164" t="s">
        <v>2853</v>
      </c>
      <c r="C145" s="10" t="s">
        <v>102</v>
      </c>
      <c r="D145" s="153" t="s">
        <v>2853</v>
      </c>
    </row>
    <row r="146" spans="1:4" x14ac:dyDescent="0.25">
      <c r="A146" s="155" t="s">
        <v>2853</v>
      </c>
      <c r="B146" s="41" t="s">
        <v>4</v>
      </c>
      <c r="C146" s="11" t="s">
        <v>55</v>
      </c>
      <c r="D146" s="156" t="s">
        <v>2853</v>
      </c>
    </row>
    <row r="147" spans="1:4" x14ac:dyDescent="0.25">
      <c r="A147" s="166" t="s">
        <v>2853</v>
      </c>
      <c r="B147" s="168" t="s">
        <v>2853</v>
      </c>
      <c r="C147" s="11" t="s">
        <v>62</v>
      </c>
      <c r="D147" s="156" t="s">
        <v>2853</v>
      </c>
    </row>
    <row r="148" spans="1:4" x14ac:dyDescent="0.25">
      <c r="A148" s="169" t="s">
        <v>2853</v>
      </c>
      <c r="B148" s="42" t="s">
        <v>5</v>
      </c>
      <c r="C148" s="10" t="s">
        <v>311</v>
      </c>
      <c r="D148" s="148" t="s">
        <v>56</v>
      </c>
    </row>
    <row r="149" spans="1:4" x14ac:dyDescent="0.25">
      <c r="A149" s="170" t="s">
        <v>2853</v>
      </c>
      <c r="B149" s="170" t="s">
        <v>2853</v>
      </c>
      <c r="C149" s="10" t="s">
        <v>943</v>
      </c>
      <c r="D149" s="148" t="s">
        <v>949</v>
      </c>
    </row>
    <row r="150" spans="1:4" x14ac:dyDescent="0.25">
      <c r="A150" s="170" t="s">
        <v>2853</v>
      </c>
      <c r="B150" s="170" t="s">
        <v>2853</v>
      </c>
      <c r="C150" s="10" t="s">
        <v>476</v>
      </c>
      <c r="D150" s="148" t="s">
        <v>63</v>
      </c>
    </row>
    <row r="151" spans="1:4" x14ac:dyDescent="0.25">
      <c r="A151" s="170" t="s">
        <v>2853</v>
      </c>
      <c r="B151" s="170" t="s">
        <v>2853</v>
      </c>
      <c r="C151" s="10" t="s">
        <v>479</v>
      </c>
      <c r="D151" s="148" t="s">
        <v>250</v>
      </c>
    </row>
    <row r="152" spans="1:4" x14ac:dyDescent="0.25">
      <c r="A152" s="170" t="s">
        <v>2853</v>
      </c>
      <c r="B152" s="170" t="s">
        <v>2853</v>
      </c>
      <c r="C152" s="10" t="s">
        <v>480</v>
      </c>
      <c r="D152" s="148" t="s">
        <v>77</v>
      </c>
    </row>
    <row r="153" spans="1:4" x14ac:dyDescent="0.25">
      <c r="A153" s="170" t="s">
        <v>2853</v>
      </c>
      <c r="B153" s="170" t="s">
        <v>2853</v>
      </c>
      <c r="C153" s="10" t="s">
        <v>477</v>
      </c>
      <c r="D153" s="148" t="s">
        <v>83</v>
      </c>
    </row>
    <row r="154" spans="1:4" x14ac:dyDescent="0.25">
      <c r="A154" s="170" t="s">
        <v>2853</v>
      </c>
      <c r="B154" s="170" t="s">
        <v>2853</v>
      </c>
      <c r="C154" s="10" t="s">
        <v>481</v>
      </c>
      <c r="D154" s="148" t="s">
        <v>89</v>
      </c>
    </row>
    <row r="155" spans="1:4" x14ac:dyDescent="0.25">
      <c r="A155" s="170" t="s">
        <v>2853</v>
      </c>
      <c r="B155" s="170" t="s">
        <v>2853</v>
      </c>
      <c r="C155" s="10" t="s">
        <v>478</v>
      </c>
      <c r="D155" s="148" t="s">
        <v>95</v>
      </c>
    </row>
    <row r="156" spans="1:4" x14ac:dyDescent="0.25">
      <c r="A156" s="170" t="s">
        <v>2853</v>
      </c>
      <c r="B156" s="170" t="s">
        <v>2853</v>
      </c>
      <c r="C156" s="10" t="s">
        <v>482</v>
      </c>
      <c r="D156" s="148" t="s">
        <v>100</v>
      </c>
    </row>
    <row r="157" spans="1:4" x14ac:dyDescent="0.25">
      <c r="A157" s="170" t="s">
        <v>2853</v>
      </c>
      <c r="B157" s="170" t="s">
        <v>2853</v>
      </c>
      <c r="C157" s="10" t="s">
        <v>483</v>
      </c>
      <c r="D157" s="148" t="s">
        <v>106</v>
      </c>
    </row>
    <row r="158" spans="1:4" x14ac:dyDescent="0.25">
      <c r="A158" s="170" t="s">
        <v>2853</v>
      </c>
      <c r="B158" s="170" t="s">
        <v>2853</v>
      </c>
      <c r="C158" s="10" t="s">
        <v>485</v>
      </c>
      <c r="D158" s="148" t="s">
        <v>374</v>
      </c>
    </row>
    <row r="159" spans="1:4" x14ac:dyDescent="0.25">
      <c r="A159" s="170" t="s">
        <v>2853</v>
      </c>
      <c r="B159" s="170" t="s">
        <v>2853</v>
      </c>
      <c r="C159" s="10" t="s">
        <v>484</v>
      </c>
      <c r="D159" s="148" t="s">
        <v>110</v>
      </c>
    </row>
    <row r="160" spans="1:4" x14ac:dyDescent="0.25">
      <c r="A160" s="170" t="s">
        <v>2853</v>
      </c>
      <c r="B160" s="170" t="s">
        <v>2853</v>
      </c>
      <c r="C160" s="10" t="s">
        <v>486</v>
      </c>
      <c r="D160" s="148" t="s">
        <v>113</v>
      </c>
    </row>
    <row r="161" spans="1:4" x14ac:dyDescent="0.25">
      <c r="A161" s="170" t="s">
        <v>2853</v>
      </c>
      <c r="B161" s="170" t="s">
        <v>2853</v>
      </c>
      <c r="C161" s="10" t="s">
        <v>487</v>
      </c>
      <c r="D161" s="148" t="s">
        <v>115</v>
      </c>
    </row>
    <row r="162" spans="1:4" x14ac:dyDescent="0.25">
      <c r="A162" s="170" t="s">
        <v>2853</v>
      </c>
      <c r="B162" s="170" t="s">
        <v>2853</v>
      </c>
      <c r="C162" s="10" t="s">
        <v>488</v>
      </c>
      <c r="D162" s="148" t="s">
        <v>118</v>
      </c>
    </row>
    <row r="163" spans="1:4" x14ac:dyDescent="0.25">
      <c r="A163" s="170" t="s">
        <v>2853</v>
      </c>
      <c r="B163" s="170" t="s">
        <v>2853</v>
      </c>
      <c r="C163" s="10" t="s">
        <v>489</v>
      </c>
      <c r="D163" s="148" t="s">
        <v>121</v>
      </c>
    </row>
    <row r="164" spans="1:4" x14ac:dyDescent="0.25">
      <c r="A164" s="170" t="s">
        <v>2853</v>
      </c>
      <c r="B164" s="170" t="s">
        <v>2853</v>
      </c>
      <c r="C164" s="10" t="s">
        <v>490</v>
      </c>
      <c r="D164" s="148" t="s">
        <v>375</v>
      </c>
    </row>
    <row r="165" spans="1:4" x14ac:dyDescent="0.25">
      <c r="A165" s="170" t="s">
        <v>2853</v>
      </c>
      <c r="B165" s="170" t="s">
        <v>2853</v>
      </c>
      <c r="C165" s="10" t="s">
        <v>491</v>
      </c>
      <c r="D165" s="148" t="s">
        <v>124</v>
      </c>
    </row>
    <row r="166" spans="1:4" x14ac:dyDescent="0.25">
      <c r="A166" s="170" t="s">
        <v>2853</v>
      </c>
      <c r="B166" s="170" t="s">
        <v>2853</v>
      </c>
      <c r="C166" s="10" t="s">
        <v>492</v>
      </c>
      <c r="D166" s="148" t="s">
        <v>126</v>
      </c>
    </row>
    <row r="167" spans="1:4" x14ac:dyDescent="0.25">
      <c r="A167" s="170" t="s">
        <v>2853</v>
      </c>
      <c r="B167" s="170" t="s">
        <v>2853</v>
      </c>
      <c r="C167" s="10" t="s">
        <v>493</v>
      </c>
      <c r="D167" s="148" t="s">
        <v>127</v>
      </c>
    </row>
    <row r="168" spans="1:4" x14ac:dyDescent="0.25">
      <c r="A168" s="170" t="s">
        <v>2853</v>
      </c>
      <c r="B168" s="170" t="s">
        <v>2853</v>
      </c>
      <c r="C168" s="10" t="s">
        <v>494</v>
      </c>
      <c r="D168" s="148" t="s">
        <v>129</v>
      </c>
    </row>
    <row r="169" spans="1:4" x14ac:dyDescent="0.25">
      <c r="A169" s="170" t="s">
        <v>2853</v>
      </c>
      <c r="B169" s="170" t="s">
        <v>2853</v>
      </c>
      <c r="C169" s="10" t="s">
        <v>495</v>
      </c>
      <c r="D169" s="148" t="s">
        <v>251</v>
      </c>
    </row>
    <row r="170" spans="1:4" x14ac:dyDescent="0.25">
      <c r="A170" s="170" t="s">
        <v>2853</v>
      </c>
      <c r="B170" s="170" t="s">
        <v>2853</v>
      </c>
      <c r="C170" s="10" t="s">
        <v>609</v>
      </c>
      <c r="D170" s="148" t="s">
        <v>133</v>
      </c>
    </row>
    <row r="171" spans="1:4" x14ac:dyDescent="0.25">
      <c r="A171" s="170" t="s">
        <v>2853</v>
      </c>
      <c r="B171" s="170" t="s">
        <v>2853</v>
      </c>
      <c r="C171" s="10" t="s">
        <v>496</v>
      </c>
      <c r="D171" s="148" t="s">
        <v>135</v>
      </c>
    </row>
    <row r="172" spans="1:4" x14ac:dyDescent="0.25">
      <c r="A172" s="170" t="s">
        <v>2853</v>
      </c>
      <c r="B172" s="170" t="s">
        <v>2853</v>
      </c>
      <c r="C172" s="10" t="s">
        <v>497</v>
      </c>
      <c r="D172" s="148" t="s">
        <v>137</v>
      </c>
    </row>
    <row r="173" spans="1:4" x14ac:dyDescent="0.25">
      <c r="A173" s="170" t="s">
        <v>2853</v>
      </c>
      <c r="B173" s="170" t="s">
        <v>2853</v>
      </c>
      <c r="C173" s="10" t="s">
        <v>498</v>
      </c>
      <c r="D173" s="148" t="s">
        <v>139</v>
      </c>
    </row>
    <row r="174" spans="1:4" x14ac:dyDescent="0.25">
      <c r="A174" s="170" t="s">
        <v>2853</v>
      </c>
      <c r="B174" s="170" t="s">
        <v>2853</v>
      </c>
      <c r="C174" s="10" t="s">
        <v>499</v>
      </c>
      <c r="D174" s="148" t="s">
        <v>142</v>
      </c>
    </row>
    <row r="175" spans="1:4" x14ac:dyDescent="0.25">
      <c r="A175" s="170" t="s">
        <v>2853</v>
      </c>
      <c r="B175" s="170" t="s">
        <v>2853</v>
      </c>
      <c r="C175" s="10" t="s">
        <v>500</v>
      </c>
      <c r="D175" s="148" t="s">
        <v>144</v>
      </c>
    </row>
    <row r="176" spans="1:4" x14ac:dyDescent="0.25">
      <c r="A176" s="170" t="s">
        <v>2853</v>
      </c>
      <c r="B176" s="170" t="s">
        <v>2853</v>
      </c>
      <c r="C176" s="10" t="s">
        <v>501</v>
      </c>
      <c r="D176" s="148" t="s">
        <v>146</v>
      </c>
    </row>
    <row r="177" spans="1:5" x14ac:dyDescent="0.25">
      <c r="A177" s="170" t="s">
        <v>2853</v>
      </c>
      <c r="B177" s="170" t="s">
        <v>2853</v>
      </c>
      <c r="C177" s="10" t="s">
        <v>502</v>
      </c>
      <c r="D177" s="148" t="s">
        <v>148</v>
      </c>
    </row>
    <row r="178" spans="1:5" x14ac:dyDescent="0.25">
      <c r="A178" s="170" t="s">
        <v>2853</v>
      </c>
      <c r="B178" s="170" t="s">
        <v>2853</v>
      </c>
      <c r="C178" s="10" t="s">
        <v>503</v>
      </c>
      <c r="D178" s="148" t="s">
        <v>150</v>
      </c>
    </row>
    <row r="179" spans="1:5" x14ac:dyDescent="0.25">
      <c r="A179" s="170" t="s">
        <v>2853</v>
      </c>
      <c r="B179" s="170" t="s">
        <v>2853</v>
      </c>
      <c r="C179" s="10" t="s">
        <v>504</v>
      </c>
      <c r="D179" s="148" t="s">
        <v>152</v>
      </c>
    </row>
    <row r="180" spans="1:5" x14ac:dyDescent="0.25">
      <c r="A180" s="170" t="s">
        <v>2853</v>
      </c>
      <c r="B180" s="170" t="s">
        <v>2853</v>
      </c>
      <c r="C180" s="10" t="s">
        <v>1159</v>
      </c>
      <c r="D180" s="148" t="s">
        <v>1141</v>
      </c>
      <c r="E180" s="1" t="s">
        <v>1189</v>
      </c>
    </row>
    <row r="181" spans="1:5" x14ac:dyDescent="0.25">
      <c r="A181" s="170" t="s">
        <v>2853</v>
      </c>
      <c r="B181" s="170" t="s">
        <v>2853</v>
      </c>
      <c r="C181" s="10" t="s">
        <v>102</v>
      </c>
      <c r="D181" s="148" t="s">
        <v>102</v>
      </c>
    </row>
    <row r="182" spans="1:5" x14ac:dyDescent="0.25">
      <c r="A182" s="155" t="s">
        <v>2853</v>
      </c>
      <c r="B182" s="41" t="s">
        <v>794</v>
      </c>
      <c r="C182" s="43" t="s">
        <v>57</v>
      </c>
      <c r="D182" s="171" t="s">
        <v>2853</v>
      </c>
    </row>
    <row r="183" spans="1:5" x14ac:dyDescent="0.25">
      <c r="A183" s="157" t="s">
        <v>2853</v>
      </c>
      <c r="B183" s="172" t="s">
        <v>2853</v>
      </c>
      <c r="C183" s="43" t="s">
        <v>795</v>
      </c>
      <c r="D183" s="171" t="s">
        <v>2853</v>
      </c>
    </row>
    <row r="184" spans="1:5" x14ac:dyDescent="0.25">
      <c r="A184" s="157" t="s">
        <v>2853</v>
      </c>
      <c r="B184" s="172" t="s">
        <v>2853</v>
      </c>
      <c r="C184" s="43" t="s">
        <v>64</v>
      </c>
      <c r="D184" s="171" t="s">
        <v>2853</v>
      </c>
    </row>
    <row r="185" spans="1:5" x14ac:dyDescent="0.25">
      <c r="A185" s="166" t="s">
        <v>2853</v>
      </c>
      <c r="B185" s="168" t="s">
        <v>2853</v>
      </c>
      <c r="C185" s="11" t="s">
        <v>298</v>
      </c>
      <c r="D185" s="156" t="s">
        <v>2853</v>
      </c>
    </row>
    <row r="186" spans="1:5" x14ac:dyDescent="0.25">
      <c r="A186" s="159" t="s">
        <v>2853</v>
      </c>
      <c r="B186" s="37" t="s">
        <v>941</v>
      </c>
      <c r="C186" s="10" t="s">
        <v>635</v>
      </c>
      <c r="D186" s="153" t="s">
        <v>2853</v>
      </c>
    </row>
    <row r="187" spans="1:5" x14ac:dyDescent="0.25">
      <c r="A187" s="160" t="s">
        <v>2853</v>
      </c>
      <c r="B187" s="160" t="s">
        <v>2853</v>
      </c>
      <c r="C187" s="10" t="s">
        <v>636</v>
      </c>
      <c r="D187" s="153" t="s">
        <v>2853</v>
      </c>
    </row>
    <row r="188" spans="1:5" x14ac:dyDescent="0.25">
      <c r="A188" s="155" t="s">
        <v>2853</v>
      </c>
      <c r="B188" s="41" t="s">
        <v>8</v>
      </c>
      <c r="C188" s="11" t="s">
        <v>65</v>
      </c>
      <c r="D188" s="149" t="s">
        <v>401</v>
      </c>
    </row>
    <row r="189" spans="1:5" x14ac:dyDescent="0.25">
      <c r="A189" s="157" t="s">
        <v>2853</v>
      </c>
      <c r="B189" s="172" t="s">
        <v>2853</v>
      </c>
      <c r="C189" s="11" t="s">
        <v>70</v>
      </c>
      <c r="D189" s="149" t="s">
        <v>402</v>
      </c>
    </row>
    <row r="190" spans="1:5" x14ac:dyDescent="0.25">
      <c r="A190" s="157" t="s">
        <v>2853</v>
      </c>
      <c r="B190" s="172" t="s">
        <v>2853</v>
      </c>
      <c r="C190" s="11" t="s">
        <v>78</v>
      </c>
      <c r="D190" s="149" t="s">
        <v>78</v>
      </c>
    </row>
    <row r="191" spans="1:5" x14ac:dyDescent="0.25">
      <c r="A191" s="157" t="s">
        <v>2853</v>
      </c>
      <c r="B191" s="172" t="s">
        <v>2853</v>
      </c>
      <c r="C191" s="11" t="s">
        <v>90</v>
      </c>
      <c r="D191" s="149" t="s">
        <v>404</v>
      </c>
    </row>
    <row r="192" spans="1:5" x14ac:dyDescent="0.25">
      <c r="A192" s="157" t="s">
        <v>2853</v>
      </c>
      <c r="B192" s="172" t="s">
        <v>2853</v>
      </c>
      <c r="C192" s="11" t="s">
        <v>107</v>
      </c>
      <c r="D192" s="149" t="s">
        <v>407</v>
      </c>
    </row>
    <row r="193" spans="1:4" x14ac:dyDescent="0.25">
      <c r="A193" s="157" t="s">
        <v>2853</v>
      </c>
      <c r="B193" s="172" t="s">
        <v>2853</v>
      </c>
      <c r="C193" s="11" t="s">
        <v>413</v>
      </c>
      <c r="D193" s="149" t="s">
        <v>408</v>
      </c>
    </row>
    <row r="194" spans="1:4" x14ac:dyDescent="0.25">
      <c r="A194" s="157" t="s">
        <v>2853</v>
      </c>
      <c r="B194" s="172" t="s">
        <v>2853</v>
      </c>
      <c r="C194" s="11" t="s">
        <v>101</v>
      </c>
      <c r="D194" s="149" t="s">
        <v>406</v>
      </c>
    </row>
    <row r="195" spans="1:4" x14ac:dyDescent="0.25">
      <c r="A195" s="157" t="s">
        <v>2853</v>
      </c>
      <c r="B195" s="172" t="s">
        <v>2853</v>
      </c>
      <c r="C195" s="11" t="s">
        <v>438</v>
      </c>
      <c r="D195" s="149" t="s">
        <v>409</v>
      </c>
    </row>
    <row r="196" spans="1:4" x14ac:dyDescent="0.25">
      <c r="A196" s="157" t="s">
        <v>2853</v>
      </c>
      <c r="B196" s="172" t="s">
        <v>2853</v>
      </c>
      <c r="C196" s="11" t="s">
        <v>119</v>
      </c>
      <c r="D196" s="149" t="s">
        <v>411</v>
      </c>
    </row>
    <row r="197" spans="1:4" x14ac:dyDescent="0.25">
      <c r="A197" s="157" t="s">
        <v>2853</v>
      </c>
      <c r="B197" s="172" t="s">
        <v>2853</v>
      </c>
      <c r="C197" s="11" t="s">
        <v>116</v>
      </c>
      <c r="D197" s="149" t="s">
        <v>410</v>
      </c>
    </row>
    <row r="198" spans="1:4" x14ac:dyDescent="0.25">
      <c r="A198" s="157" t="s">
        <v>2853</v>
      </c>
      <c r="B198" s="172" t="s">
        <v>2853</v>
      </c>
      <c r="C198" s="11" t="s">
        <v>84</v>
      </c>
      <c r="D198" s="149" t="s">
        <v>403</v>
      </c>
    </row>
    <row r="199" spans="1:4" x14ac:dyDescent="0.25">
      <c r="A199" s="157" t="s">
        <v>2853</v>
      </c>
      <c r="B199" s="172" t="s">
        <v>2853</v>
      </c>
      <c r="C199" s="11" t="s">
        <v>96</v>
      </c>
      <c r="D199" s="149" t="s">
        <v>405</v>
      </c>
    </row>
    <row r="200" spans="1:4" x14ac:dyDescent="0.25">
      <c r="A200" s="157" t="s">
        <v>2853</v>
      </c>
      <c r="B200" s="172" t="s">
        <v>2853</v>
      </c>
      <c r="C200" s="11" t="s">
        <v>102</v>
      </c>
      <c r="D200" s="149" t="s">
        <v>102</v>
      </c>
    </row>
    <row r="201" spans="1:4" x14ac:dyDescent="0.25">
      <c r="A201" s="166" t="s">
        <v>2853</v>
      </c>
      <c r="B201" s="168" t="s">
        <v>2853</v>
      </c>
      <c r="C201" s="11" t="s">
        <v>298</v>
      </c>
      <c r="D201" s="149" t="s">
        <v>412</v>
      </c>
    </row>
    <row r="202" spans="1:4" x14ac:dyDescent="0.25">
      <c r="A202" s="173" t="s">
        <v>2853</v>
      </c>
      <c r="B202" s="42" t="s">
        <v>9</v>
      </c>
      <c r="C202" s="10" t="s">
        <v>414</v>
      </c>
      <c r="D202" s="153" t="s">
        <v>2853</v>
      </c>
    </row>
    <row r="203" spans="1:4" x14ac:dyDescent="0.25">
      <c r="A203" s="170" t="s">
        <v>2853</v>
      </c>
      <c r="B203" s="170" t="s">
        <v>2853</v>
      </c>
      <c r="C203" s="10" t="s">
        <v>262</v>
      </c>
      <c r="D203" s="153" t="s">
        <v>2853</v>
      </c>
    </row>
    <row r="204" spans="1:4" x14ac:dyDescent="0.25">
      <c r="A204" s="170" t="s">
        <v>2853</v>
      </c>
      <c r="B204" s="170" t="s">
        <v>2853</v>
      </c>
      <c r="C204" s="10" t="s">
        <v>172</v>
      </c>
      <c r="D204" s="153" t="s">
        <v>2853</v>
      </c>
    </row>
    <row r="205" spans="1:4" x14ac:dyDescent="0.25">
      <c r="A205" s="170" t="s">
        <v>2853</v>
      </c>
      <c r="B205" s="170" t="s">
        <v>2853</v>
      </c>
      <c r="C205" s="10" t="s">
        <v>653</v>
      </c>
      <c r="D205" s="153" t="s">
        <v>2853</v>
      </c>
    </row>
    <row r="206" spans="1:4" x14ac:dyDescent="0.25">
      <c r="A206" s="170" t="s">
        <v>2853</v>
      </c>
      <c r="B206" s="170" t="s">
        <v>2853</v>
      </c>
      <c r="C206" s="10" t="s">
        <v>156</v>
      </c>
      <c r="D206" s="153" t="s">
        <v>2853</v>
      </c>
    </row>
    <row r="207" spans="1:4" x14ac:dyDescent="0.25">
      <c r="A207" s="170" t="s">
        <v>2853</v>
      </c>
      <c r="B207" s="170" t="s">
        <v>2853</v>
      </c>
      <c r="C207" s="10" t="s">
        <v>647</v>
      </c>
      <c r="D207" s="153" t="s">
        <v>2853</v>
      </c>
    </row>
    <row r="208" spans="1:4" x14ac:dyDescent="0.25">
      <c r="A208" s="170" t="s">
        <v>2853</v>
      </c>
      <c r="B208" s="170" t="s">
        <v>2853</v>
      </c>
      <c r="C208" s="10" t="s">
        <v>176</v>
      </c>
      <c r="D208" s="153" t="s">
        <v>2853</v>
      </c>
    </row>
    <row r="209" spans="1:5" x14ac:dyDescent="0.25">
      <c r="A209" s="170" t="s">
        <v>2853</v>
      </c>
      <c r="B209" s="170" t="s">
        <v>2853</v>
      </c>
      <c r="C209" s="10" t="s">
        <v>649</v>
      </c>
      <c r="D209" s="153" t="s">
        <v>2853</v>
      </c>
    </row>
    <row r="210" spans="1:5" x14ac:dyDescent="0.25">
      <c r="A210" s="170" t="s">
        <v>2853</v>
      </c>
      <c r="B210" s="170" t="s">
        <v>2853</v>
      </c>
      <c r="C210" s="10" t="s">
        <v>66</v>
      </c>
      <c r="D210" s="153" t="s">
        <v>2853</v>
      </c>
    </row>
    <row r="211" spans="1:5" x14ac:dyDescent="0.25">
      <c r="A211" s="170" t="s">
        <v>2853</v>
      </c>
      <c r="B211" s="170" t="s">
        <v>2853</v>
      </c>
      <c r="C211" s="10" t="s">
        <v>269</v>
      </c>
      <c r="D211" s="153" t="s">
        <v>2853</v>
      </c>
    </row>
    <row r="212" spans="1:5" x14ac:dyDescent="0.25">
      <c r="A212" s="170" t="s">
        <v>2853</v>
      </c>
      <c r="B212" s="170" t="s">
        <v>2853</v>
      </c>
      <c r="C212" s="10" t="s">
        <v>654</v>
      </c>
      <c r="D212" s="153" t="s">
        <v>2853</v>
      </c>
    </row>
    <row r="213" spans="1:5" x14ac:dyDescent="0.25">
      <c r="A213" s="170" t="s">
        <v>2853</v>
      </c>
      <c r="B213" s="170" t="s">
        <v>2853</v>
      </c>
      <c r="C213" s="10" t="s">
        <v>140</v>
      </c>
      <c r="D213" s="153" t="s">
        <v>2853</v>
      </c>
    </row>
    <row r="214" spans="1:5" x14ac:dyDescent="0.25">
      <c r="A214" s="170" t="s">
        <v>2853</v>
      </c>
      <c r="B214" s="170" t="s">
        <v>2853</v>
      </c>
      <c r="C214" s="10" t="s">
        <v>256</v>
      </c>
      <c r="D214" s="153" t="s">
        <v>2853</v>
      </c>
    </row>
    <row r="215" spans="1:5" x14ac:dyDescent="0.25">
      <c r="A215" s="170" t="s">
        <v>2853</v>
      </c>
      <c r="B215" s="170" t="s">
        <v>2853</v>
      </c>
      <c r="C215" s="10" t="s">
        <v>122</v>
      </c>
      <c r="D215" s="153" t="s">
        <v>2853</v>
      </c>
    </row>
    <row r="216" spans="1:5" x14ac:dyDescent="0.25">
      <c r="A216" s="170" t="s">
        <v>2853</v>
      </c>
      <c r="B216" s="170" t="s">
        <v>2853</v>
      </c>
      <c r="C216" s="10" t="s">
        <v>270</v>
      </c>
      <c r="D216" s="153" t="s">
        <v>2853</v>
      </c>
    </row>
    <row r="217" spans="1:5" x14ac:dyDescent="0.25">
      <c r="A217" s="170" t="s">
        <v>2853</v>
      </c>
      <c r="B217" s="170" t="s">
        <v>2853</v>
      </c>
      <c r="C217" s="10" t="s">
        <v>708</v>
      </c>
      <c r="D217" s="153" t="s">
        <v>2853</v>
      </c>
    </row>
    <row r="218" spans="1:5" x14ac:dyDescent="0.25">
      <c r="A218" s="170" t="s">
        <v>2853</v>
      </c>
      <c r="B218" s="170" t="s">
        <v>2853</v>
      </c>
      <c r="C218" s="10" t="s">
        <v>1161</v>
      </c>
      <c r="D218" s="148" t="s">
        <v>655</v>
      </c>
      <c r="E218" s="1" t="s">
        <v>1189</v>
      </c>
    </row>
    <row r="219" spans="1:5" x14ac:dyDescent="0.25">
      <c r="A219" s="170" t="s">
        <v>2853</v>
      </c>
      <c r="B219" s="170" t="s">
        <v>2853</v>
      </c>
      <c r="C219" s="10" t="s">
        <v>267</v>
      </c>
      <c r="D219" s="153" t="s">
        <v>2853</v>
      </c>
    </row>
    <row r="220" spans="1:5" x14ac:dyDescent="0.25">
      <c r="A220" s="170" t="s">
        <v>2853</v>
      </c>
      <c r="B220" s="170" t="s">
        <v>2853</v>
      </c>
      <c r="C220" s="10" t="s">
        <v>264</v>
      </c>
      <c r="D220" s="153" t="s">
        <v>2853</v>
      </c>
    </row>
    <row r="221" spans="1:5" x14ac:dyDescent="0.25">
      <c r="A221" s="170" t="s">
        <v>2853</v>
      </c>
      <c r="B221" s="170" t="s">
        <v>2853</v>
      </c>
      <c r="C221" s="10" t="s">
        <v>265</v>
      </c>
      <c r="D221" s="153" t="s">
        <v>2853</v>
      </c>
    </row>
    <row r="222" spans="1:5" x14ac:dyDescent="0.25">
      <c r="A222" s="170" t="s">
        <v>2853</v>
      </c>
      <c r="B222" s="170" t="s">
        <v>2853</v>
      </c>
      <c r="C222" s="10" t="s">
        <v>167</v>
      </c>
      <c r="D222" s="153" t="s">
        <v>2853</v>
      </c>
    </row>
    <row r="223" spans="1:5" x14ac:dyDescent="0.25">
      <c r="A223" s="170" t="s">
        <v>2853</v>
      </c>
      <c r="B223" s="170" t="s">
        <v>2853</v>
      </c>
      <c r="C223" s="10" t="s">
        <v>254</v>
      </c>
      <c r="D223" s="153" t="s">
        <v>2853</v>
      </c>
    </row>
    <row r="224" spans="1:5" x14ac:dyDescent="0.25">
      <c r="A224" s="170" t="s">
        <v>2853</v>
      </c>
      <c r="B224" s="170" t="s">
        <v>2853</v>
      </c>
      <c r="C224" s="10" t="s">
        <v>261</v>
      </c>
      <c r="D224" s="153" t="s">
        <v>2853</v>
      </c>
    </row>
    <row r="225" spans="1:4" x14ac:dyDescent="0.25">
      <c r="A225" s="170" t="s">
        <v>2853</v>
      </c>
      <c r="B225" s="170" t="s">
        <v>2853</v>
      </c>
      <c r="C225" s="10" t="s">
        <v>71</v>
      </c>
      <c r="D225" s="153" t="s">
        <v>2853</v>
      </c>
    </row>
    <row r="226" spans="1:4" x14ac:dyDescent="0.25">
      <c r="A226" s="170" t="s">
        <v>2853</v>
      </c>
      <c r="B226" s="170" t="s">
        <v>2853</v>
      </c>
      <c r="C226" s="10" t="s">
        <v>259</v>
      </c>
      <c r="D226" s="153" t="s">
        <v>2853</v>
      </c>
    </row>
    <row r="227" spans="1:4" x14ac:dyDescent="0.25">
      <c r="A227" s="170" t="s">
        <v>2853</v>
      </c>
      <c r="B227" s="170" t="s">
        <v>2853</v>
      </c>
      <c r="C227" s="10" t="s">
        <v>75</v>
      </c>
      <c r="D227" s="153" t="s">
        <v>2853</v>
      </c>
    </row>
    <row r="228" spans="1:4" x14ac:dyDescent="0.25">
      <c r="A228" s="170" t="s">
        <v>2853</v>
      </c>
      <c r="B228" s="170" t="s">
        <v>2853</v>
      </c>
      <c r="C228" s="10" t="s">
        <v>263</v>
      </c>
      <c r="D228" s="153" t="s">
        <v>2853</v>
      </c>
    </row>
    <row r="229" spans="1:4" x14ac:dyDescent="0.25">
      <c r="A229" s="170" t="s">
        <v>2853</v>
      </c>
      <c r="B229" s="170" t="s">
        <v>2853</v>
      </c>
      <c r="C229" s="10" t="s">
        <v>651</v>
      </c>
      <c r="D229" s="153" t="s">
        <v>2853</v>
      </c>
    </row>
    <row r="230" spans="1:4" x14ac:dyDescent="0.25">
      <c r="A230" s="170" t="s">
        <v>2853</v>
      </c>
      <c r="B230" s="170" t="s">
        <v>2853</v>
      </c>
      <c r="C230" s="10" t="s">
        <v>652</v>
      </c>
      <c r="D230" s="153" t="s">
        <v>2853</v>
      </c>
    </row>
    <row r="231" spans="1:4" x14ac:dyDescent="0.25">
      <c r="A231" s="170" t="s">
        <v>2853</v>
      </c>
      <c r="B231" s="170" t="s">
        <v>2853</v>
      </c>
      <c r="C231" s="10" t="s">
        <v>266</v>
      </c>
      <c r="D231" s="153" t="s">
        <v>2853</v>
      </c>
    </row>
    <row r="232" spans="1:4" x14ac:dyDescent="0.25">
      <c r="A232" s="170" t="s">
        <v>2853</v>
      </c>
      <c r="B232" s="170" t="s">
        <v>2853</v>
      </c>
      <c r="C232" s="10" t="s">
        <v>85</v>
      </c>
      <c r="D232" s="153" t="s">
        <v>2853</v>
      </c>
    </row>
    <row r="233" spans="1:4" x14ac:dyDescent="0.25">
      <c r="A233" s="170" t="s">
        <v>2853</v>
      </c>
      <c r="B233" s="170" t="s">
        <v>2853</v>
      </c>
      <c r="C233" s="10" t="s">
        <v>648</v>
      </c>
      <c r="D233" s="153" t="s">
        <v>2853</v>
      </c>
    </row>
    <row r="234" spans="1:4" x14ac:dyDescent="0.25">
      <c r="A234" s="170" t="s">
        <v>2853</v>
      </c>
      <c r="B234" s="170" t="s">
        <v>2853</v>
      </c>
      <c r="C234" s="10" t="s">
        <v>646</v>
      </c>
      <c r="D234" s="153" t="s">
        <v>2853</v>
      </c>
    </row>
    <row r="235" spans="1:4" x14ac:dyDescent="0.25">
      <c r="A235" s="170" t="s">
        <v>2853</v>
      </c>
      <c r="B235" s="170" t="s">
        <v>2853</v>
      </c>
      <c r="C235" s="10" t="s">
        <v>656</v>
      </c>
      <c r="D235" s="153" t="s">
        <v>2853</v>
      </c>
    </row>
    <row r="236" spans="1:4" x14ac:dyDescent="0.25">
      <c r="A236" s="170" t="s">
        <v>2853</v>
      </c>
      <c r="B236" s="170" t="s">
        <v>2853</v>
      </c>
      <c r="C236" s="10" t="s">
        <v>255</v>
      </c>
      <c r="D236" s="153" t="s">
        <v>2853</v>
      </c>
    </row>
    <row r="237" spans="1:4" x14ac:dyDescent="0.25">
      <c r="A237" s="170" t="s">
        <v>2853</v>
      </c>
      <c r="B237" s="170" t="s">
        <v>2853</v>
      </c>
      <c r="C237" s="10" t="s">
        <v>738</v>
      </c>
      <c r="D237" s="153" t="s">
        <v>2853</v>
      </c>
    </row>
    <row r="238" spans="1:4" x14ac:dyDescent="0.25">
      <c r="A238" s="170" t="s">
        <v>2853</v>
      </c>
      <c r="B238" s="170" t="s">
        <v>2853</v>
      </c>
      <c r="C238" s="10" t="s">
        <v>34</v>
      </c>
      <c r="D238" s="153" t="s">
        <v>2853</v>
      </c>
    </row>
    <row r="239" spans="1:4" x14ac:dyDescent="0.25">
      <c r="A239" s="170" t="s">
        <v>2853</v>
      </c>
      <c r="B239" s="170" t="s">
        <v>2853</v>
      </c>
      <c r="C239" s="10" t="s">
        <v>645</v>
      </c>
      <c r="D239" s="153" t="s">
        <v>2853</v>
      </c>
    </row>
    <row r="240" spans="1:4" x14ac:dyDescent="0.25">
      <c r="A240" s="170" t="s">
        <v>2853</v>
      </c>
      <c r="B240" s="170" t="s">
        <v>2853</v>
      </c>
      <c r="C240" s="10" t="s">
        <v>268</v>
      </c>
      <c r="D240" s="153" t="s">
        <v>2853</v>
      </c>
    </row>
    <row r="241" spans="1:4" x14ac:dyDescent="0.25">
      <c r="A241" s="170" t="s">
        <v>2853</v>
      </c>
      <c r="B241" s="170" t="s">
        <v>2853</v>
      </c>
      <c r="C241" s="10" t="s">
        <v>650</v>
      </c>
      <c r="D241" s="153" t="s">
        <v>2853</v>
      </c>
    </row>
    <row r="242" spans="1:4" x14ac:dyDescent="0.25">
      <c r="A242" s="170" t="s">
        <v>2853</v>
      </c>
      <c r="B242" s="170" t="s">
        <v>2853</v>
      </c>
      <c r="C242" s="10" t="s">
        <v>252</v>
      </c>
      <c r="D242" s="153" t="s">
        <v>2853</v>
      </c>
    </row>
    <row r="243" spans="1:4" x14ac:dyDescent="0.25">
      <c r="A243" s="170" t="s">
        <v>2853</v>
      </c>
      <c r="B243" s="170" t="s">
        <v>2853</v>
      </c>
      <c r="C243" s="10" t="s">
        <v>258</v>
      </c>
      <c r="D243" s="153" t="s">
        <v>2853</v>
      </c>
    </row>
    <row r="244" spans="1:4" x14ac:dyDescent="0.25">
      <c r="A244" s="170" t="s">
        <v>2853</v>
      </c>
      <c r="B244" s="170" t="s">
        <v>2853</v>
      </c>
      <c r="C244" s="10" t="s">
        <v>257</v>
      </c>
      <c r="D244" s="153" t="s">
        <v>2853</v>
      </c>
    </row>
    <row r="245" spans="1:4" x14ac:dyDescent="0.25">
      <c r="A245" s="170" t="s">
        <v>2853</v>
      </c>
      <c r="B245" s="170" t="s">
        <v>2853</v>
      </c>
      <c r="C245" s="10" t="s">
        <v>174</v>
      </c>
      <c r="D245" s="153" t="s">
        <v>2853</v>
      </c>
    </row>
    <row r="246" spans="1:4" x14ac:dyDescent="0.25">
      <c r="A246" s="170" t="s">
        <v>2853</v>
      </c>
      <c r="B246" s="170" t="s">
        <v>2853</v>
      </c>
      <c r="C246" s="10" t="s">
        <v>253</v>
      </c>
      <c r="D246" s="153" t="s">
        <v>2853</v>
      </c>
    </row>
    <row r="247" spans="1:4" x14ac:dyDescent="0.25">
      <c r="A247" s="170" t="s">
        <v>2853</v>
      </c>
      <c r="B247" s="170" t="s">
        <v>2853</v>
      </c>
      <c r="C247" s="10" t="s">
        <v>169</v>
      </c>
      <c r="D247" s="153" t="s">
        <v>2853</v>
      </c>
    </row>
    <row r="248" spans="1:4" x14ac:dyDescent="0.25">
      <c r="A248" s="170" t="s">
        <v>2853</v>
      </c>
      <c r="B248" s="170" t="s">
        <v>2853</v>
      </c>
      <c r="C248" s="10" t="s">
        <v>170</v>
      </c>
      <c r="D248" s="153" t="s">
        <v>2853</v>
      </c>
    </row>
    <row r="249" spans="1:4" x14ac:dyDescent="0.25">
      <c r="A249" s="170" t="s">
        <v>2853</v>
      </c>
      <c r="B249" s="170" t="s">
        <v>2853</v>
      </c>
      <c r="C249" s="10" t="s">
        <v>165</v>
      </c>
      <c r="D249" s="153" t="s">
        <v>2853</v>
      </c>
    </row>
    <row r="250" spans="1:4" x14ac:dyDescent="0.25">
      <c r="A250" s="170" t="s">
        <v>2853</v>
      </c>
      <c r="B250" s="170" t="s">
        <v>2853</v>
      </c>
      <c r="C250" s="10" t="s">
        <v>260</v>
      </c>
      <c r="D250" s="153" t="s">
        <v>2853</v>
      </c>
    </row>
    <row r="251" spans="1:4" x14ac:dyDescent="0.25">
      <c r="A251" s="170" t="s">
        <v>2853</v>
      </c>
      <c r="B251" s="170" t="s">
        <v>2853</v>
      </c>
      <c r="C251" s="10" t="s">
        <v>163</v>
      </c>
      <c r="D251" s="153" t="s">
        <v>2853</v>
      </c>
    </row>
    <row r="252" spans="1:4" x14ac:dyDescent="0.25">
      <c r="A252" s="170" t="s">
        <v>2853</v>
      </c>
      <c r="B252" s="170" t="s">
        <v>2853</v>
      </c>
      <c r="C252" s="10" t="s">
        <v>102</v>
      </c>
      <c r="D252" s="153" t="s">
        <v>2853</v>
      </c>
    </row>
    <row r="253" spans="1:4" x14ac:dyDescent="0.25">
      <c r="A253" s="170" t="s">
        <v>2853</v>
      </c>
      <c r="B253" s="170" t="s">
        <v>2853</v>
      </c>
      <c r="C253" s="10" t="s">
        <v>878</v>
      </c>
      <c r="D253" s="153" t="s">
        <v>2853</v>
      </c>
    </row>
    <row r="254" spans="1:4" x14ac:dyDescent="0.25">
      <c r="A254" s="170" t="s">
        <v>2853</v>
      </c>
      <c r="B254" s="170" t="s">
        <v>2853</v>
      </c>
      <c r="C254" s="10" t="s">
        <v>879</v>
      </c>
      <c r="D254" s="153" t="s">
        <v>2853</v>
      </c>
    </row>
    <row r="255" spans="1:4" x14ac:dyDescent="0.25">
      <c r="A255" s="170" t="s">
        <v>2853</v>
      </c>
      <c r="B255" s="170" t="s">
        <v>2853</v>
      </c>
      <c r="C255" s="10" t="s">
        <v>880</v>
      </c>
      <c r="D255" s="153" t="s">
        <v>2853</v>
      </c>
    </row>
    <row r="256" spans="1:4" x14ac:dyDescent="0.25">
      <c r="A256" s="170" t="s">
        <v>2853</v>
      </c>
      <c r="B256" s="170" t="s">
        <v>2853</v>
      </c>
      <c r="C256" s="10" t="s">
        <v>881</v>
      </c>
      <c r="D256" s="153" t="s">
        <v>2853</v>
      </c>
    </row>
    <row r="257" spans="1:5" x14ac:dyDescent="0.25">
      <c r="A257" s="170" t="s">
        <v>2853</v>
      </c>
      <c r="B257" s="170" t="s">
        <v>2853</v>
      </c>
      <c r="C257" s="10" t="s">
        <v>882</v>
      </c>
      <c r="D257" s="153" t="s">
        <v>2853</v>
      </c>
    </row>
    <row r="258" spans="1:5" x14ac:dyDescent="0.25">
      <c r="A258" s="170" t="s">
        <v>2853</v>
      </c>
      <c r="B258" s="170" t="s">
        <v>2853</v>
      </c>
      <c r="C258" s="10" t="s">
        <v>883</v>
      </c>
      <c r="D258" s="153" t="s">
        <v>2853</v>
      </c>
    </row>
    <row r="259" spans="1:5" x14ac:dyDescent="0.25">
      <c r="A259" s="170" t="s">
        <v>2853</v>
      </c>
      <c r="B259" s="170" t="s">
        <v>2853</v>
      </c>
      <c r="C259" s="10" t="s">
        <v>884</v>
      </c>
      <c r="D259" s="153" t="s">
        <v>2853</v>
      </c>
    </row>
    <row r="260" spans="1:5" x14ac:dyDescent="0.25">
      <c r="A260" s="170" t="s">
        <v>2853</v>
      </c>
      <c r="B260" s="170" t="s">
        <v>2853</v>
      </c>
      <c r="C260" s="10" t="s">
        <v>885</v>
      </c>
      <c r="D260" s="153" t="s">
        <v>2853</v>
      </c>
    </row>
    <row r="261" spans="1:5" x14ac:dyDescent="0.25">
      <c r="A261" s="170" t="s">
        <v>2853</v>
      </c>
      <c r="B261" s="170" t="s">
        <v>2853</v>
      </c>
      <c r="C261" s="10" t="s">
        <v>886</v>
      </c>
      <c r="D261" s="153" t="s">
        <v>2853</v>
      </c>
    </row>
    <row r="262" spans="1:5" x14ac:dyDescent="0.25">
      <c r="A262" s="170" t="s">
        <v>2853</v>
      </c>
      <c r="B262" s="170" t="s">
        <v>2853</v>
      </c>
      <c r="C262" s="10" t="s">
        <v>887</v>
      </c>
      <c r="D262" s="153" t="s">
        <v>2853</v>
      </c>
    </row>
    <row r="263" spans="1:5" x14ac:dyDescent="0.25">
      <c r="A263" s="170" t="s">
        <v>2853</v>
      </c>
      <c r="B263" s="170" t="s">
        <v>2853</v>
      </c>
      <c r="C263" s="10" t="s">
        <v>888</v>
      </c>
      <c r="D263" s="153" t="s">
        <v>2853</v>
      </c>
    </row>
    <row r="264" spans="1:5" x14ac:dyDescent="0.25">
      <c r="A264" s="170" t="s">
        <v>2853</v>
      </c>
      <c r="B264" s="170" t="s">
        <v>2853</v>
      </c>
      <c r="C264" s="10" t="s">
        <v>889</v>
      </c>
      <c r="D264" s="153" t="s">
        <v>2853</v>
      </c>
    </row>
    <row r="265" spans="1:5" x14ac:dyDescent="0.25">
      <c r="A265" s="170" t="s">
        <v>2853</v>
      </c>
      <c r="B265" s="170" t="s">
        <v>2853</v>
      </c>
      <c r="C265" s="10" t="s">
        <v>890</v>
      </c>
      <c r="D265" s="153" t="s">
        <v>2853</v>
      </c>
    </row>
    <row r="266" spans="1:5" x14ac:dyDescent="0.25">
      <c r="A266" s="170" t="s">
        <v>2853</v>
      </c>
      <c r="B266" s="170" t="s">
        <v>2853</v>
      </c>
      <c r="C266" s="10" t="s">
        <v>891</v>
      </c>
      <c r="D266" s="153" t="s">
        <v>2853</v>
      </c>
    </row>
    <row r="267" spans="1:5" x14ac:dyDescent="0.25">
      <c r="A267" s="170" t="s">
        <v>2853</v>
      </c>
      <c r="B267" s="170" t="s">
        <v>2853</v>
      </c>
      <c r="C267" s="10" t="s">
        <v>892</v>
      </c>
      <c r="D267" s="153" t="s">
        <v>2853</v>
      </c>
    </row>
    <row r="268" spans="1:5" x14ac:dyDescent="0.25">
      <c r="A268" s="170" t="s">
        <v>2853</v>
      </c>
      <c r="B268" s="170" t="s">
        <v>2853</v>
      </c>
      <c r="C268" s="10" t="s">
        <v>893</v>
      </c>
      <c r="D268" s="153" t="s">
        <v>2853</v>
      </c>
    </row>
    <row r="269" spans="1:5" x14ac:dyDescent="0.25">
      <c r="A269" s="170" t="s">
        <v>2853</v>
      </c>
      <c r="B269" s="170" t="s">
        <v>2853</v>
      </c>
      <c r="C269" s="10" t="s">
        <v>877</v>
      </c>
      <c r="D269" s="153" t="s">
        <v>2853</v>
      </c>
    </row>
    <row r="270" spans="1:5" x14ac:dyDescent="0.25">
      <c r="A270" s="170" t="s">
        <v>2853</v>
      </c>
      <c r="B270" s="170" t="s">
        <v>2853</v>
      </c>
      <c r="C270" s="10" t="s">
        <v>1144</v>
      </c>
      <c r="D270" s="148" t="s">
        <v>1195</v>
      </c>
      <c r="E270" s="1" t="s">
        <v>1189</v>
      </c>
    </row>
    <row r="271" spans="1:5" x14ac:dyDescent="0.25">
      <c r="A271" s="170" t="s">
        <v>2853</v>
      </c>
      <c r="B271" s="170" t="s">
        <v>2853</v>
      </c>
      <c r="C271" s="10" t="s">
        <v>1145</v>
      </c>
      <c r="D271" s="148" t="s">
        <v>1196</v>
      </c>
      <c r="E271" s="1" t="s">
        <v>1189</v>
      </c>
    </row>
    <row r="272" spans="1:5" x14ac:dyDescent="0.25">
      <c r="A272" s="170" t="s">
        <v>2853</v>
      </c>
      <c r="B272" s="170" t="s">
        <v>2853</v>
      </c>
      <c r="C272" s="10" t="s">
        <v>1146</v>
      </c>
      <c r="D272" s="148" t="s">
        <v>1197</v>
      </c>
      <c r="E272" s="1" t="s">
        <v>1189</v>
      </c>
    </row>
    <row r="273" spans="1:5" x14ac:dyDescent="0.25">
      <c r="A273" s="170" t="s">
        <v>2853</v>
      </c>
      <c r="B273" s="170" t="s">
        <v>2853</v>
      </c>
      <c r="C273" s="10" t="s">
        <v>894</v>
      </c>
      <c r="D273" s="153" t="s">
        <v>2853</v>
      </c>
    </row>
    <row r="274" spans="1:5" x14ac:dyDescent="0.25">
      <c r="A274" s="170" t="s">
        <v>2853</v>
      </c>
      <c r="B274" s="170" t="s">
        <v>2853</v>
      </c>
      <c r="C274" s="10" t="s">
        <v>1147</v>
      </c>
      <c r="D274" s="148" t="s">
        <v>1198</v>
      </c>
      <c r="E274" s="1" t="s">
        <v>1189</v>
      </c>
    </row>
    <row r="275" spans="1:5" x14ac:dyDescent="0.25">
      <c r="A275" s="170" t="s">
        <v>2853</v>
      </c>
      <c r="B275" s="170" t="s">
        <v>2853</v>
      </c>
      <c r="C275" s="10" t="s">
        <v>895</v>
      </c>
      <c r="D275" s="153" t="s">
        <v>2853</v>
      </c>
    </row>
    <row r="276" spans="1:5" x14ac:dyDescent="0.25">
      <c r="A276" s="170" t="s">
        <v>2853</v>
      </c>
      <c r="B276" s="170" t="s">
        <v>2853</v>
      </c>
      <c r="C276" s="10" t="s">
        <v>896</v>
      </c>
      <c r="D276" s="153" t="s">
        <v>2853</v>
      </c>
    </row>
    <row r="277" spans="1:5" x14ac:dyDescent="0.25">
      <c r="A277" s="170" t="s">
        <v>2853</v>
      </c>
      <c r="B277" s="170" t="s">
        <v>2853</v>
      </c>
      <c r="C277" s="10" t="s">
        <v>897</v>
      </c>
      <c r="D277" s="153" t="s">
        <v>2853</v>
      </c>
    </row>
    <row r="278" spans="1:5" x14ac:dyDescent="0.25">
      <c r="A278" s="170" t="s">
        <v>2853</v>
      </c>
      <c r="B278" s="170" t="s">
        <v>2853</v>
      </c>
      <c r="C278" s="10" t="s">
        <v>898</v>
      </c>
      <c r="D278" s="153" t="s">
        <v>2853</v>
      </c>
    </row>
    <row r="279" spans="1:5" x14ac:dyDescent="0.25">
      <c r="A279" s="170" t="s">
        <v>2853</v>
      </c>
      <c r="B279" s="170" t="s">
        <v>2853</v>
      </c>
      <c r="C279" s="10" t="s">
        <v>899</v>
      </c>
      <c r="D279" s="153" t="s">
        <v>2853</v>
      </c>
    </row>
    <row r="280" spans="1:5" x14ac:dyDescent="0.25">
      <c r="A280" s="170" t="s">
        <v>2853</v>
      </c>
      <c r="B280" s="170" t="s">
        <v>2853</v>
      </c>
      <c r="C280" s="10" t="s">
        <v>900</v>
      </c>
      <c r="D280" s="153" t="s">
        <v>2853</v>
      </c>
    </row>
    <row r="281" spans="1:5" x14ac:dyDescent="0.25">
      <c r="A281" s="170" t="s">
        <v>2853</v>
      </c>
      <c r="B281" s="170" t="s">
        <v>2853</v>
      </c>
      <c r="C281" s="10" t="s">
        <v>873</v>
      </c>
      <c r="D281" s="153" t="s">
        <v>2853</v>
      </c>
    </row>
    <row r="282" spans="1:5" x14ac:dyDescent="0.25">
      <c r="A282" s="170" t="s">
        <v>2853</v>
      </c>
      <c r="B282" s="170" t="s">
        <v>2853</v>
      </c>
      <c r="C282" s="10" t="s">
        <v>1148</v>
      </c>
      <c r="D282" s="148" t="s">
        <v>1199</v>
      </c>
      <c r="E282" s="1" t="s">
        <v>1189</v>
      </c>
    </row>
    <row r="283" spans="1:5" x14ac:dyDescent="0.25">
      <c r="A283" s="170" t="s">
        <v>2853</v>
      </c>
      <c r="B283" s="170" t="s">
        <v>2853</v>
      </c>
      <c r="C283" s="10" t="s">
        <v>901</v>
      </c>
      <c r="D283" s="153" t="s">
        <v>2853</v>
      </c>
    </row>
    <row r="284" spans="1:5" x14ac:dyDescent="0.25">
      <c r="A284" s="170" t="s">
        <v>2853</v>
      </c>
      <c r="B284" s="170" t="s">
        <v>2853</v>
      </c>
      <c r="C284" s="10" t="s">
        <v>1149</v>
      </c>
      <c r="D284" s="148" t="s">
        <v>1200</v>
      </c>
      <c r="E284" s="1" t="s">
        <v>1189</v>
      </c>
    </row>
    <row r="285" spans="1:5" x14ac:dyDescent="0.25">
      <c r="A285" s="170" t="s">
        <v>2853</v>
      </c>
      <c r="B285" s="170" t="s">
        <v>2853</v>
      </c>
      <c r="C285" s="10" t="s">
        <v>902</v>
      </c>
      <c r="D285" s="153" t="s">
        <v>2853</v>
      </c>
    </row>
    <row r="286" spans="1:5" x14ac:dyDescent="0.25">
      <c r="A286" s="170" t="s">
        <v>2853</v>
      </c>
      <c r="B286" s="170" t="s">
        <v>2853</v>
      </c>
      <c r="C286" s="10" t="s">
        <v>903</v>
      </c>
      <c r="D286" s="153" t="s">
        <v>2853</v>
      </c>
    </row>
    <row r="287" spans="1:5" x14ac:dyDescent="0.25">
      <c r="A287" s="170" t="s">
        <v>2853</v>
      </c>
      <c r="B287" s="170" t="s">
        <v>2853</v>
      </c>
      <c r="C287" s="10" t="s">
        <v>904</v>
      </c>
      <c r="D287" s="153" t="s">
        <v>2853</v>
      </c>
    </row>
    <row r="288" spans="1:5" x14ac:dyDescent="0.25">
      <c r="A288" s="170" t="s">
        <v>2853</v>
      </c>
      <c r="B288" s="170" t="s">
        <v>2853</v>
      </c>
      <c r="C288" s="10" t="s">
        <v>905</v>
      </c>
      <c r="D288" s="153" t="s">
        <v>2853</v>
      </c>
    </row>
    <row r="289" spans="1:5" x14ac:dyDescent="0.25">
      <c r="A289" s="170" t="s">
        <v>2853</v>
      </c>
      <c r="B289" s="170" t="s">
        <v>2853</v>
      </c>
      <c r="C289" s="10" t="s">
        <v>1150</v>
      </c>
      <c r="D289" s="148" t="s">
        <v>1201</v>
      </c>
      <c r="E289" s="1" t="s">
        <v>1189</v>
      </c>
    </row>
    <row r="290" spans="1:5" x14ac:dyDescent="0.25">
      <c r="A290" s="170" t="s">
        <v>2853</v>
      </c>
      <c r="B290" s="170" t="s">
        <v>2853</v>
      </c>
      <c r="C290" s="10" t="s">
        <v>906</v>
      </c>
      <c r="D290" s="153" t="s">
        <v>2853</v>
      </c>
    </row>
    <row r="291" spans="1:5" x14ac:dyDescent="0.25">
      <c r="A291" s="170" t="s">
        <v>2853</v>
      </c>
      <c r="B291" s="170" t="s">
        <v>2853</v>
      </c>
      <c r="C291" s="10" t="s">
        <v>907</v>
      </c>
      <c r="D291" s="153" t="s">
        <v>2853</v>
      </c>
    </row>
    <row r="292" spans="1:5" x14ac:dyDescent="0.25">
      <c r="A292" s="170" t="s">
        <v>2853</v>
      </c>
      <c r="B292" s="170" t="s">
        <v>2853</v>
      </c>
      <c r="C292" s="10" t="s">
        <v>908</v>
      </c>
      <c r="D292" s="153" t="s">
        <v>2853</v>
      </c>
    </row>
    <row r="293" spans="1:5" x14ac:dyDescent="0.25">
      <c r="A293" s="170" t="s">
        <v>2853</v>
      </c>
      <c r="B293" s="170" t="s">
        <v>2853</v>
      </c>
      <c r="C293" s="10" t="s">
        <v>909</v>
      </c>
      <c r="D293" s="153" t="s">
        <v>2853</v>
      </c>
    </row>
    <row r="294" spans="1:5" x14ac:dyDescent="0.25">
      <c r="A294" s="170" t="s">
        <v>2853</v>
      </c>
      <c r="B294" s="170" t="s">
        <v>2853</v>
      </c>
      <c r="C294" s="10" t="s">
        <v>910</v>
      </c>
      <c r="D294" s="153" t="s">
        <v>2853</v>
      </c>
    </row>
    <row r="295" spans="1:5" x14ac:dyDescent="0.25">
      <c r="A295" s="170" t="s">
        <v>2853</v>
      </c>
      <c r="B295" s="170" t="s">
        <v>2853</v>
      </c>
      <c r="C295" s="10" t="s">
        <v>911</v>
      </c>
      <c r="D295" s="153" t="s">
        <v>2853</v>
      </c>
    </row>
    <row r="296" spans="1:5" x14ac:dyDescent="0.25">
      <c r="A296" s="170" t="s">
        <v>2853</v>
      </c>
      <c r="B296" s="170" t="s">
        <v>2853</v>
      </c>
      <c r="C296" s="10" t="s">
        <v>195</v>
      </c>
      <c r="D296" s="153" t="s">
        <v>2853</v>
      </c>
    </row>
    <row r="297" spans="1:5" x14ac:dyDescent="0.25">
      <c r="A297" s="170" t="s">
        <v>2853</v>
      </c>
      <c r="B297" s="170" t="s">
        <v>2853</v>
      </c>
      <c r="C297" s="10" t="s">
        <v>1151</v>
      </c>
      <c r="D297" s="148" t="s">
        <v>1202</v>
      </c>
      <c r="E297" s="1" t="s">
        <v>1189</v>
      </c>
    </row>
    <row r="298" spans="1:5" x14ac:dyDescent="0.25">
      <c r="A298" s="170" t="s">
        <v>2853</v>
      </c>
      <c r="B298" s="170" t="s">
        <v>2853</v>
      </c>
      <c r="C298" s="10" t="s">
        <v>912</v>
      </c>
      <c r="D298" s="153" t="s">
        <v>2853</v>
      </c>
    </row>
    <row r="299" spans="1:5" x14ac:dyDescent="0.25">
      <c r="A299" s="170" t="s">
        <v>2853</v>
      </c>
      <c r="B299" s="170" t="s">
        <v>2853</v>
      </c>
      <c r="C299" s="10" t="s">
        <v>913</v>
      </c>
      <c r="D299" s="153" t="s">
        <v>2853</v>
      </c>
    </row>
    <row r="300" spans="1:5" x14ac:dyDescent="0.25">
      <c r="A300" s="170" t="s">
        <v>2853</v>
      </c>
      <c r="B300" s="170" t="s">
        <v>2853</v>
      </c>
      <c r="C300" s="10" t="s">
        <v>1152</v>
      </c>
      <c r="D300" s="153" t="s">
        <v>2853</v>
      </c>
      <c r="E300" s="1" t="s">
        <v>1189</v>
      </c>
    </row>
    <row r="301" spans="1:5" x14ac:dyDescent="0.25">
      <c r="A301" s="170" t="s">
        <v>2853</v>
      </c>
      <c r="B301" s="170" t="s">
        <v>2853</v>
      </c>
      <c r="C301" s="10" t="s">
        <v>249</v>
      </c>
      <c r="D301" s="153" t="s">
        <v>2853</v>
      </c>
    </row>
    <row r="302" spans="1:5" x14ac:dyDescent="0.25">
      <c r="A302" s="170" t="s">
        <v>2853</v>
      </c>
      <c r="B302" s="170" t="s">
        <v>2853</v>
      </c>
      <c r="C302" s="10" t="s">
        <v>914</v>
      </c>
      <c r="D302" s="153" t="s">
        <v>2853</v>
      </c>
    </row>
    <row r="303" spans="1:5" x14ac:dyDescent="0.25">
      <c r="A303" s="170" t="s">
        <v>2853</v>
      </c>
      <c r="B303" s="170" t="s">
        <v>2853</v>
      </c>
      <c r="C303" s="10" t="s">
        <v>915</v>
      </c>
      <c r="D303" s="153" t="s">
        <v>2853</v>
      </c>
    </row>
    <row r="304" spans="1:5" x14ac:dyDescent="0.25">
      <c r="A304" s="170" t="s">
        <v>2853</v>
      </c>
      <c r="B304" s="170" t="s">
        <v>2853</v>
      </c>
      <c r="C304" s="10" t="s">
        <v>916</v>
      </c>
      <c r="D304" s="153" t="s">
        <v>2853</v>
      </c>
    </row>
    <row r="305" spans="1:5" x14ac:dyDescent="0.25">
      <c r="A305" s="170" t="s">
        <v>2853</v>
      </c>
      <c r="B305" s="170" t="s">
        <v>2853</v>
      </c>
      <c r="C305" s="10" t="s">
        <v>917</v>
      </c>
      <c r="D305" s="153" t="s">
        <v>2853</v>
      </c>
    </row>
    <row r="306" spans="1:5" x14ac:dyDescent="0.25">
      <c r="A306" s="170" t="s">
        <v>2853</v>
      </c>
      <c r="B306" s="170" t="s">
        <v>2853</v>
      </c>
      <c r="C306" s="10" t="s">
        <v>918</v>
      </c>
      <c r="D306" s="153" t="s">
        <v>2853</v>
      </c>
    </row>
    <row r="307" spans="1:5" x14ac:dyDescent="0.25">
      <c r="A307" s="170" t="s">
        <v>2853</v>
      </c>
      <c r="B307" s="170" t="s">
        <v>2853</v>
      </c>
      <c r="C307" s="10" t="s">
        <v>202</v>
      </c>
      <c r="D307" s="153" t="s">
        <v>2853</v>
      </c>
    </row>
    <row r="308" spans="1:5" x14ac:dyDescent="0.25">
      <c r="A308" s="170" t="s">
        <v>2853</v>
      </c>
      <c r="B308" s="170" t="s">
        <v>2853</v>
      </c>
      <c r="C308" s="10" t="s">
        <v>919</v>
      </c>
      <c r="D308" s="153" t="s">
        <v>2853</v>
      </c>
    </row>
    <row r="309" spans="1:5" x14ac:dyDescent="0.25">
      <c r="A309" s="170" t="s">
        <v>2853</v>
      </c>
      <c r="B309" s="170" t="s">
        <v>2853</v>
      </c>
      <c r="C309" s="10" t="s">
        <v>920</v>
      </c>
      <c r="D309" s="153" t="s">
        <v>2853</v>
      </c>
    </row>
    <row r="310" spans="1:5" x14ac:dyDescent="0.25">
      <c r="A310" s="170" t="s">
        <v>2853</v>
      </c>
      <c r="B310" s="170" t="s">
        <v>2853</v>
      </c>
      <c r="C310" s="10" t="s">
        <v>967</v>
      </c>
      <c r="D310" s="153" t="s">
        <v>2853</v>
      </c>
      <c r="E310" s="1" t="s">
        <v>1189</v>
      </c>
    </row>
    <row r="311" spans="1:5" x14ac:dyDescent="0.25">
      <c r="A311" s="170" t="s">
        <v>2853</v>
      </c>
      <c r="B311" s="170" t="s">
        <v>2853</v>
      </c>
      <c r="C311" s="10" t="s">
        <v>968</v>
      </c>
      <c r="D311" s="153" t="s">
        <v>2853</v>
      </c>
      <c r="E311" s="1" t="s">
        <v>1189</v>
      </c>
    </row>
    <row r="312" spans="1:5" x14ac:dyDescent="0.25">
      <c r="A312" s="170" t="s">
        <v>2853</v>
      </c>
      <c r="B312" s="170" t="s">
        <v>2853</v>
      </c>
      <c r="C312" s="10" t="s">
        <v>969</v>
      </c>
      <c r="D312" s="153" t="s">
        <v>2853</v>
      </c>
      <c r="E312" s="1" t="s">
        <v>1189</v>
      </c>
    </row>
    <row r="313" spans="1:5" x14ac:dyDescent="0.25">
      <c r="A313" s="170" t="s">
        <v>2853</v>
      </c>
      <c r="B313" s="170" t="s">
        <v>2853</v>
      </c>
      <c r="C313" s="10" t="s">
        <v>921</v>
      </c>
      <c r="D313" s="153" t="s">
        <v>2853</v>
      </c>
    </row>
    <row r="314" spans="1:5" x14ac:dyDescent="0.25">
      <c r="A314" s="170" t="s">
        <v>2853</v>
      </c>
      <c r="B314" s="170" t="s">
        <v>2853</v>
      </c>
      <c r="C314" s="10" t="s">
        <v>922</v>
      </c>
      <c r="D314" s="153" t="s">
        <v>2853</v>
      </c>
    </row>
    <row r="315" spans="1:5" x14ac:dyDescent="0.25">
      <c r="A315" s="170" t="s">
        <v>2853</v>
      </c>
      <c r="B315" s="170" t="s">
        <v>2853</v>
      </c>
      <c r="C315" s="10" t="s">
        <v>923</v>
      </c>
      <c r="D315" s="153" t="s">
        <v>2853</v>
      </c>
    </row>
    <row r="316" spans="1:5" x14ac:dyDescent="0.25">
      <c r="A316" s="170" t="s">
        <v>2853</v>
      </c>
      <c r="B316" s="170" t="s">
        <v>2853</v>
      </c>
      <c r="C316" s="10" t="s">
        <v>924</v>
      </c>
      <c r="D316" s="153" t="s">
        <v>2853</v>
      </c>
    </row>
    <row r="317" spans="1:5" x14ac:dyDescent="0.25">
      <c r="A317" s="170" t="s">
        <v>2853</v>
      </c>
      <c r="B317" s="170" t="s">
        <v>2853</v>
      </c>
      <c r="C317" s="10" t="s">
        <v>925</v>
      </c>
      <c r="D317" s="153" t="s">
        <v>2853</v>
      </c>
    </row>
    <row r="318" spans="1:5" x14ac:dyDescent="0.25">
      <c r="A318" s="170" t="s">
        <v>2853</v>
      </c>
      <c r="B318" s="170" t="s">
        <v>2853</v>
      </c>
      <c r="C318" s="10" t="s">
        <v>966</v>
      </c>
      <c r="D318" s="148" t="s">
        <v>926</v>
      </c>
      <c r="E318" s="1" t="s">
        <v>1189</v>
      </c>
    </row>
    <row r="319" spans="1:5" x14ac:dyDescent="0.25">
      <c r="A319" s="170" t="s">
        <v>2853</v>
      </c>
      <c r="B319" s="170" t="s">
        <v>2853</v>
      </c>
      <c r="C319" s="10" t="s">
        <v>927</v>
      </c>
      <c r="D319" s="153" t="s">
        <v>2853</v>
      </c>
    </row>
    <row r="320" spans="1:5" x14ac:dyDescent="0.25">
      <c r="A320" s="170" t="s">
        <v>2853</v>
      </c>
      <c r="B320" s="170" t="s">
        <v>2853</v>
      </c>
      <c r="C320" s="10" t="s">
        <v>928</v>
      </c>
      <c r="D320" s="153" t="s">
        <v>2853</v>
      </c>
    </row>
    <row r="321" spans="1:5" x14ac:dyDescent="0.25">
      <c r="A321" s="170" t="s">
        <v>2853</v>
      </c>
      <c r="B321" s="170" t="s">
        <v>2853</v>
      </c>
      <c r="C321" s="10" t="s">
        <v>874</v>
      </c>
      <c r="D321" s="153" t="s">
        <v>2853</v>
      </c>
    </row>
    <row r="322" spans="1:5" x14ac:dyDescent="0.25">
      <c r="A322" s="170" t="s">
        <v>2853</v>
      </c>
      <c r="B322" s="170" t="s">
        <v>2853</v>
      </c>
      <c r="C322" s="10" t="s">
        <v>875</v>
      </c>
      <c r="D322" s="153" t="s">
        <v>2853</v>
      </c>
    </row>
    <row r="323" spans="1:5" x14ac:dyDescent="0.25">
      <c r="A323" s="170" t="s">
        <v>2853</v>
      </c>
      <c r="B323" s="170" t="s">
        <v>2853</v>
      </c>
      <c r="C323" s="10" t="s">
        <v>929</v>
      </c>
      <c r="D323" s="153" t="s">
        <v>2853</v>
      </c>
    </row>
    <row r="324" spans="1:5" x14ac:dyDescent="0.25">
      <c r="A324" s="170" t="s">
        <v>2853</v>
      </c>
      <c r="B324" s="170" t="s">
        <v>2853</v>
      </c>
      <c r="C324" s="10" t="s">
        <v>876</v>
      </c>
      <c r="D324" s="153" t="s">
        <v>2853</v>
      </c>
    </row>
    <row r="325" spans="1:5" x14ac:dyDescent="0.25">
      <c r="A325" s="170" t="s">
        <v>2853</v>
      </c>
      <c r="B325" s="170" t="s">
        <v>2853</v>
      </c>
      <c r="C325" s="10" t="s">
        <v>930</v>
      </c>
      <c r="D325" s="153" t="s">
        <v>2853</v>
      </c>
    </row>
    <row r="326" spans="1:5" x14ac:dyDescent="0.25">
      <c r="A326" s="170" t="s">
        <v>2853</v>
      </c>
      <c r="B326" s="170" t="s">
        <v>2853</v>
      </c>
      <c r="C326" s="10" t="s">
        <v>931</v>
      </c>
      <c r="D326" s="153" t="s">
        <v>2853</v>
      </c>
    </row>
    <row r="327" spans="1:5" x14ac:dyDescent="0.25">
      <c r="A327" s="170" t="s">
        <v>2853</v>
      </c>
      <c r="B327" s="170" t="s">
        <v>2853</v>
      </c>
      <c r="C327" s="10" t="s">
        <v>130</v>
      </c>
      <c r="D327" s="153" t="s">
        <v>2853</v>
      </c>
    </row>
    <row r="328" spans="1:5" x14ac:dyDescent="0.25">
      <c r="A328" s="155" t="s">
        <v>2853</v>
      </c>
      <c r="B328" s="21" t="s">
        <v>300</v>
      </c>
      <c r="C328" s="11" t="s">
        <v>978</v>
      </c>
      <c r="D328" s="156" t="s">
        <v>2853</v>
      </c>
      <c r="E328" s="1" t="s">
        <v>1189</v>
      </c>
    </row>
    <row r="329" spans="1:5" x14ac:dyDescent="0.25">
      <c r="A329" s="157" t="s">
        <v>2853</v>
      </c>
      <c r="B329" s="162" t="s">
        <v>2853</v>
      </c>
      <c r="C329" s="11" t="s">
        <v>1068</v>
      </c>
      <c r="D329" s="156" t="s">
        <v>2853</v>
      </c>
      <c r="E329" s="1" t="s">
        <v>1189</v>
      </c>
    </row>
    <row r="330" spans="1:5" x14ac:dyDescent="0.25">
      <c r="A330" s="157" t="s">
        <v>2853</v>
      </c>
      <c r="B330" s="162" t="s">
        <v>2853</v>
      </c>
      <c r="C330" s="44" t="s">
        <v>1069</v>
      </c>
      <c r="D330" s="156" t="s">
        <v>2853</v>
      </c>
      <c r="E330" s="1" t="s">
        <v>1189</v>
      </c>
    </row>
    <row r="331" spans="1:5" x14ac:dyDescent="0.25">
      <c r="A331" s="157" t="s">
        <v>2853</v>
      </c>
      <c r="B331" s="162" t="s">
        <v>2853</v>
      </c>
      <c r="C331" s="45" t="s">
        <v>979</v>
      </c>
      <c r="D331" s="156" t="s">
        <v>2853</v>
      </c>
      <c r="E331" s="1" t="s">
        <v>1189</v>
      </c>
    </row>
    <row r="332" spans="1:5" x14ac:dyDescent="0.25">
      <c r="A332" s="157" t="s">
        <v>2853</v>
      </c>
      <c r="B332" s="162" t="s">
        <v>2853</v>
      </c>
      <c r="C332" s="45" t="s">
        <v>1060</v>
      </c>
      <c r="D332" s="156" t="s">
        <v>2853</v>
      </c>
      <c r="E332" s="1" t="s">
        <v>1189</v>
      </c>
    </row>
    <row r="333" spans="1:5" x14ac:dyDescent="0.25">
      <c r="A333" s="157" t="s">
        <v>2853</v>
      </c>
      <c r="B333" s="162" t="s">
        <v>2853</v>
      </c>
      <c r="C333" s="45" t="s">
        <v>980</v>
      </c>
      <c r="D333" s="156" t="s">
        <v>2853</v>
      </c>
      <c r="E333" s="1" t="s">
        <v>1189</v>
      </c>
    </row>
    <row r="334" spans="1:5" x14ac:dyDescent="0.25">
      <c r="A334" s="157" t="s">
        <v>2853</v>
      </c>
      <c r="B334" s="162" t="s">
        <v>2853</v>
      </c>
      <c r="C334" s="45" t="s">
        <v>981</v>
      </c>
      <c r="D334" s="156" t="s">
        <v>2853</v>
      </c>
      <c r="E334" s="1" t="s">
        <v>1189</v>
      </c>
    </row>
    <row r="335" spans="1:5" x14ac:dyDescent="0.25">
      <c r="A335" s="157" t="s">
        <v>2853</v>
      </c>
      <c r="B335" s="162" t="s">
        <v>2853</v>
      </c>
      <c r="C335" s="11" t="s">
        <v>1061</v>
      </c>
      <c r="D335" s="156" t="s">
        <v>2853</v>
      </c>
      <c r="E335" s="1" t="s">
        <v>1189</v>
      </c>
    </row>
    <row r="336" spans="1:5" x14ac:dyDescent="0.25">
      <c r="A336" s="157" t="s">
        <v>2853</v>
      </c>
      <c r="B336" s="162" t="s">
        <v>2853</v>
      </c>
      <c r="C336" s="11" t="s">
        <v>1062</v>
      </c>
      <c r="D336" s="156" t="s">
        <v>2853</v>
      </c>
      <c r="E336" s="1" t="s">
        <v>1189</v>
      </c>
    </row>
    <row r="337" spans="1:5" x14ac:dyDescent="0.25">
      <c r="A337" s="157" t="s">
        <v>2853</v>
      </c>
      <c r="B337" s="162" t="s">
        <v>2853</v>
      </c>
      <c r="C337" s="11" t="s">
        <v>1063</v>
      </c>
      <c r="D337" s="156" t="s">
        <v>2853</v>
      </c>
      <c r="E337" s="1" t="s">
        <v>1189</v>
      </c>
    </row>
    <row r="338" spans="1:5" x14ac:dyDescent="0.25">
      <c r="A338" s="157" t="s">
        <v>2853</v>
      </c>
      <c r="B338" s="162" t="s">
        <v>2853</v>
      </c>
      <c r="C338" s="11" t="s">
        <v>1064</v>
      </c>
      <c r="D338" s="156" t="s">
        <v>2853</v>
      </c>
      <c r="E338" s="1" t="s">
        <v>1189</v>
      </c>
    </row>
    <row r="339" spans="1:5" x14ac:dyDescent="0.25">
      <c r="A339" s="157" t="s">
        <v>2853</v>
      </c>
      <c r="B339" s="162" t="s">
        <v>2853</v>
      </c>
      <c r="C339" s="11" t="s">
        <v>1065</v>
      </c>
      <c r="D339" s="156" t="s">
        <v>2853</v>
      </c>
      <c r="E339" s="1" t="s">
        <v>1189</v>
      </c>
    </row>
    <row r="340" spans="1:5" x14ac:dyDescent="0.25">
      <c r="A340" s="157" t="s">
        <v>2853</v>
      </c>
      <c r="B340" s="162" t="s">
        <v>2853</v>
      </c>
      <c r="C340" s="11" t="s">
        <v>1066</v>
      </c>
      <c r="D340" s="156" t="s">
        <v>2853</v>
      </c>
      <c r="E340" s="1" t="s">
        <v>1189</v>
      </c>
    </row>
    <row r="341" spans="1:5" x14ac:dyDescent="0.25">
      <c r="A341" s="157" t="s">
        <v>2853</v>
      </c>
      <c r="B341" s="162" t="s">
        <v>2853</v>
      </c>
      <c r="C341" s="11" t="s">
        <v>1067</v>
      </c>
      <c r="D341" s="156" t="s">
        <v>2853</v>
      </c>
      <c r="E341" s="1" t="s">
        <v>1189</v>
      </c>
    </row>
    <row r="342" spans="1:5" x14ac:dyDescent="0.25">
      <c r="A342" s="157" t="s">
        <v>2853</v>
      </c>
      <c r="B342" s="162" t="s">
        <v>2853</v>
      </c>
      <c r="C342" s="11" t="s">
        <v>1070</v>
      </c>
      <c r="D342" s="156" t="s">
        <v>2853</v>
      </c>
      <c r="E342" s="1" t="s">
        <v>1189</v>
      </c>
    </row>
    <row r="343" spans="1:5" x14ac:dyDescent="0.25">
      <c r="A343" s="157" t="s">
        <v>2853</v>
      </c>
      <c r="B343" s="162" t="s">
        <v>2853</v>
      </c>
      <c r="C343" s="11" t="s">
        <v>1071</v>
      </c>
      <c r="D343" s="156" t="s">
        <v>2853</v>
      </c>
      <c r="E343" s="1" t="s">
        <v>1189</v>
      </c>
    </row>
    <row r="344" spans="1:5" x14ac:dyDescent="0.25">
      <c r="A344" s="157" t="s">
        <v>2853</v>
      </c>
      <c r="B344" s="162" t="s">
        <v>2853</v>
      </c>
      <c r="C344" s="11" t="s">
        <v>1072</v>
      </c>
      <c r="D344" s="156" t="s">
        <v>2853</v>
      </c>
      <c r="E344" s="1" t="s">
        <v>1189</v>
      </c>
    </row>
    <row r="345" spans="1:5" x14ac:dyDescent="0.25">
      <c r="A345" s="157" t="s">
        <v>2853</v>
      </c>
      <c r="B345" s="162" t="s">
        <v>2853</v>
      </c>
      <c r="C345" s="11" t="s">
        <v>1073</v>
      </c>
      <c r="D345" s="156" t="s">
        <v>2853</v>
      </c>
      <c r="E345" s="1" t="s">
        <v>1189</v>
      </c>
    </row>
    <row r="346" spans="1:5" x14ac:dyDescent="0.25">
      <c r="A346" s="157" t="s">
        <v>2853</v>
      </c>
      <c r="B346" s="162" t="s">
        <v>2853</v>
      </c>
      <c r="C346" s="11" t="s">
        <v>1074</v>
      </c>
      <c r="D346" s="156" t="s">
        <v>2853</v>
      </c>
      <c r="E346" s="1" t="s">
        <v>1189</v>
      </c>
    </row>
    <row r="347" spans="1:5" x14ac:dyDescent="0.25">
      <c r="A347" s="157" t="s">
        <v>2853</v>
      </c>
      <c r="B347" s="162" t="s">
        <v>2853</v>
      </c>
      <c r="C347" s="11" t="s">
        <v>1075</v>
      </c>
      <c r="D347" s="156" t="s">
        <v>2853</v>
      </c>
      <c r="E347" s="1" t="s">
        <v>1189</v>
      </c>
    </row>
    <row r="348" spans="1:5" x14ac:dyDescent="0.25">
      <c r="A348" s="157" t="s">
        <v>2853</v>
      </c>
      <c r="B348" s="162" t="s">
        <v>2853</v>
      </c>
      <c r="C348" s="11" t="s">
        <v>1076</v>
      </c>
      <c r="D348" s="156" t="s">
        <v>2853</v>
      </c>
      <c r="E348" s="1" t="s">
        <v>1189</v>
      </c>
    </row>
    <row r="349" spans="1:5" x14ac:dyDescent="0.25">
      <c r="A349" s="157" t="s">
        <v>2853</v>
      </c>
      <c r="B349" s="162" t="s">
        <v>2853</v>
      </c>
      <c r="C349" s="11" t="s">
        <v>1077</v>
      </c>
      <c r="D349" s="156" t="s">
        <v>2853</v>
      </c>
      <c r="E349" s="1" t="s">
        <v>1189</v>
      </c>
    </row>
    <row r="350" spans="1:5" x14ac:dyDescent="0.25">
      <c r="A350" s="157" t="s">
        <v>2853</v>
      </c>
      <c r="B350" s="162" t="s">
        <v>2853</v>
      </c>
      <c r="C350" s="11" t="s">
        <v>1078</v>
      </c>
      <c r="D350" s="156" t="s">
        <v>2853</v>
      </c>
      <c r="E350" s="1" t="s">
        <v>1189</v>
      </c>
    </row>
    <row r="351" spans="1:5" x14ac:dyDescent="0.25">
      <c r="A351" s="157" t="s">
        <v>2853</v>
      </c>
      <c r="B351" s="162" t="s">
        <v>2853</v>
      </c>
      <c r="C351" s="11" t="s">
        <v>1079</v>
      </c>
      <c r="D351" s="156" t="s">
        <v>2853</v>
      </c>
      <c r="E351" s="1" t="s">
        <v>1189</v>
      </c>
    </row>
    <row r="352" spans="1:5" x14ac:dyDescent="0.25">
      <c r="A352" s="157" t="s">
        <v>2853</v>
      </c>
      <c r="B352" s="162" t="s">
        <v>2853</v>
      </c>
      <c r="C352" s="11" t="s">
        <v>1080</v>
      </c>
      <c r="D352" s="156" t="s">
        <v>2853</v>
      </c>
      <c r="E352" s="1" t="s">
        <v>1189</v>
      </c>
    </row>
    <row r="353" spans="1:5" x14ac:dyDescent="0.25">
      <c r="A353" s="157" t="s">
        <v>2853</v>
      </c>
      <c r="B353" s="162" t="s">
        <v>2853</v>
      </c>
      <c r="C353" s="11" t="s">
        <v>1081</v>
      </c>
      <c r="D353" s="156" t="s">
        <v>2853</v>
      </c>
      <c r="E353" s="1" t="s">
        <v>1189</v>
      </c>
    </row>
    <row r="354" spans="1:5" x14ac:dyDescent="0.25">
      <c r="A354" s="157" t="s">
        <v>2853</v>
      </c>
      <c r="B354" s="162" t="s">
        <v>2853</v>
      </c>
      <c r="C354" s="11" t="s">
        <v>1082</v>
      </c>
      <c r="D354" s="156" t="s">
        <v>2853</v>
      </c>
      <c r="E354" s="1" t="s">
        <v>1189</v>
      </c>
    </row>
    <row r="355" spans="1:5" x14ac:dyDescent="0.25">
      <c r="A355" s="157" t="s">
        <v>2853</v>
      </c>
      <c r="B355" s="162" t="s">
        <v>2853</v>
      </c>
      <c r="C355" s="11" t="s">
        <v>1083</v>
      </c>
      <c r="D355" s="156" t="s">
        <v>2853</v>
      </c>
      <c r="E355" s="1" t="s">
        <v>1189</v>
      </c>
    </row>
    <row r="356" spans="1:5" x14ac:dyDescent="0.25">
      <c r="A356" s="157" t="s">
        <v>2853</v>
      </c>
      <c r="B356" s="162" t="s">
        <v>2853</v>
      </c>
      <c r="C356" s="11" t="s">
        <v>1084</v>
      </c>
      <c r="D356" s="156" t="s">
        <v>2853</v>
      </c>
      <c r="E356" s="1" t="s">
        <v>1189</v>
      </c>
    </row>
    <row r="357" spans="1:5" x14ac:dyDescent="0.25">
      <c r="A357" s="157" t="s">
        <v>2853</v>
      </c>
      <c r="B357" s="162" t="s">
        <v>2853</v>
      </c>
      <c r="C357" s="11" t="s">
        <v>1085</v>
      </c>
      <c r="D357" s="156" t="s">
        <v>2853</v>
      </c>
      <c r="E357" s="1" t="s">
        <v>1189</v>
      </c>
    </row>
    <row r="358" spans="1:5" x14ac:dyDescent="0.25">
      <c r="A358" s="157" t="s">
        <v>2853</v>
      </c>
      <c r="B358" s="162" t="s">
        <v>2853</v>
      </c>
      <c r="C358" s="11" t="s">
        <v>1086</v>
      </c>
      <c r="D358" s="156" t="s">
        <v>2853</v>
      </c>
      <c r="E358" s="1" t="s">
        <v>1189</v>
      </c>
    </row>
    <row r="359" spans="1:5" x14ac:dyDescent="0.25">
      <c r="A359" s="157" t="s">
        <v>2853</v>
      </c>
      <c r="B359" s="162" t="s">
        <v>2853</v>
      </c>
      <c r="C359" s="11" t="s">
        <v>1087</v>
      </c>
      <c r="D359" s="156" t="s">
        <v>2853</v>
      </c>
      <c r="E359" s="1" t="s">
        <v>1189</v>
      </c>
    </row>
    <row r="360" spans="1:5" x14ac:dyDescent="0.25">
      <c r="A360" s="157" t="s">
        <v>2853</v>
      </c>
      <c r="B360" s="162" t="s">
        <v>2853</v>
      </c>
      <c r="C360" s="11" t="s">
        <v>1088</v>
      </c>
      <c r="D360" s="156" t="s">
        <v>2853</v>
      </c>
      <c r="E360" s="1" t="s">
        <v>1189</v>
      </c>
    </row>
    <row r="361" spans="1:5" x14ac:dyDescent="0.25">
      <c r="A361" s="157" t="s">
        <v>2853</v>
      </c>
      <c r="B361" s="162" t="s">
        <v>2853</v>
      </c>
      <c r="C361" s="11" t="s">
        <v>1089</v>
      </c>
      <c r="D361" s="156" t="s">
        <v>2853</v>
      </c>
      <c r="E361" s="1" t="s">
        <v>1189</v>
      </c>
    </row>
    <row r="362" spans="1:5" x14ac:dyDescent="0.25">
      <c r="A362" s="157" t="s">
        <v>2853</v>
      </c>
      <c r="B362" s="162" t="s">
        <v>2853</v>
      </c>
      <c r="C362" s="11" t="s">
        <v>1090</v>
      </c>
      <c r="D362" s="156" t="s">
        <v>2853</v>
      </c>
      <c r="E362" s="1" t="s">
        <v>1189</v>
      </c>
    </row>
    <row r="363" spans="1:5" x14ac:dyDescent="0.25">
      <c r="A363" s="157" t="s">
        <v>2853</v>
      </c>
      <c r="B363" s="162" t="s">
        <v>2853</v>
      </c>
      <c r="C363" s="11" t="s">
        <v>1091</v>
      </c>
      <c r="D363" s="156" t="s">
        <v>2853</v>
      </c>
      <c r="E363" s="1" t="s">
        <v>1189</v>
      </c>
    </row>
    <row r="364" spans="1:5" x14ac:dyDescent="0.25">
      <c r="A364" s="157" t="s">
        <v>2853</v>
      </c>
      <c r="B364" s="162" t="s">
        <v>2853</v>
      </c>
      <c r="C364" s="11" t="s">
        <v>1092</v>
      </c>
      <c r="D364" s="156" t="s">
        <v>2853</v>
      </c>
      <c r="E364" s="1" t="s">
        <v>1189</v>
      </c>
    </row>
    <row r="365" spans="1:5" x14ac:dyDescent="0.25">
      <c r="A365" s="157" t="s">
        <v>2853</v>
      </c>
      <c r="B365" s="162" t="s">
        <v>2853</v>
      </c>
      <c r="C365" s="11" t="s">
        <v>1093</v>
      </c>
      <c r="D365" s="156" t="s">
        <v>2853</v>
      </c>
      <c r="E365" s="1" t="s">
        <v>1189</v>
      </c>
    </row>
    <row r="366" spans="1:5" x14ac:dyDescent="0.25">
      <c r="A366" s="157" t="s">
        <v>2853</v>
      </c>
      <c r="B366" s="162" t="s">
        <v>2853</v>
      </c>
      <c r="C366" s="11" t="s">
        <v>1094</v>
      </c>
      <c r="D366" s="156" t="s">
        <v>2853</v>
      </c>
      <c r="E366" s="1" t="s">
        <v>1189</v>
      </c>
    </row>
    <row r="367" spans="1:5" x14ac:dyDescent="0.25">
      <c r="A367" s="157" t="s">
        <v>2853</v>
      </c>
      <c r="B367" s="162" t="s">
        <v>2853</v>
      </c>
      <c r="C367" s="11" t="s">
        <v>1095</v>
      </c>
      <c r="D367" s="156" t="s">
        <v>2853</v>
      </c>
      <c r="E367" s="1" t="s">
        <v>1189</v>
      </c>
    </row>
    <row r="368" spans="1:5" x14ac:dyDescent="0.25">
      <c r="A368" s="157" t="s">
        <v>2853</v>
      </c>
      <c r="B368" s="162" t="s">
        <v>2853</v>
      </c>
      <c r="C368" s="11" t="s">
        <v>1096</v>
      </c>
      <c r="D368" s="156" t="s">
        <v>2853</v>
      </c>
      <c r="E368" s="1" t="s">
        <v>1189</v>
      </c>
    </row>
    <row r="369" spans="1:5" x14ac:dyDescent="0.25">
      <c r="A369" s="157" t="s">
        <v>2853</v>
      </c>
      <c r="B369" s="162" t="s">
        <v>2853</v>
      </c>
      <c r="C369" s="11" t="s">
        <v>1097</v>
      </c>
      <c r="D369" s="156" t="s">
        <v>2853</v>
      </c>
      <c r="E369" s="1" t="s">
        <v>1189</v>
      </c>
    </row>
    <row r="370" spans="1:5" x14ac:dyDescent="0.25">
      <c r="A370" s="157" t="s">
        <v>2853</v>
      </c>
      <c r="B370" s="162" t="s">
        <v>2853</v>
      </c>
      <c r="C370" s="11" t="s">
        <v>1098</v>
      </c>
      <c r="D370" s="156" t="s">
        <v>2853</v>
      </c>
      <c r="E370" s="1" t="s">
        <v>1189</v>
      </c>
    </row>
    <row r="371" spans="1:5" x14ac:dyDescent="0.25">
      <c r="A371" s="157" t="s">
        <v>2853</v>
      </c>
      <c r="B371" s="162" t="s">
        <v>2853</v>
      </c>
      <c r="C371" s="11" t="s">
        <v>982</v>
      </c>
      <c r="D371" s="156" t="s">
        <v>2853</v>
      </c>
      <c r="E371" s="1" t="s">
        <v>1189</v>
      </c>
    </row>
    <row r="372" spans="1:5" x14ac:dyDescent="0.25">
      <c r="A372" s="157" t="s">
        <v>2853</v>
      </c>
      <c r="B372" s="162" t="s">
        <v>2853</v>
      </c>
      <c r="C372" s="11" t="s">
        <v>983</v>
      </c>
      <c r="D372" s="156" t="s">
        <v>2853</v>
      </c>
      <c r="E372" s="1" t="s">
        <v>1189</v>
      </c>
    </row>
    <row r="373" spans="1:5" x14ac:dyDescent="0.25">
      <c r="A373" s="157" t="s">
        <v>2853</v>
      </c>
      <c r="B373" s="162" t="s">
        <v>2853</v>
      </c>
      <c r="C373" s="11" t="s">
        <v>984</v>
      </c>
      <c r="D373" s="156" t="s">
        <v>2853</v>
      </c>
      <c r="E373" s="1" t="s">
        <v>1189</v>
      </c>
    </row>
    <row r="374" spans="1:5" x14ac:dyDescent="0.25">
      <c r="A374" s="157" t="s">
        <v>2853</v>
      </c>
      <c r="B374" s="162" t="s">
        <v>2853</v>
      </c>
      <c r="C374" s="11" t="s">
        <v>985</v>
      </c>
      <c r="D374" s="156" t="s">
        <v>2853</v>
      </c>
      <c r="E374" s="1" t="s">
        <v>1189</v>
      </c>
    </row>
    <row r="375" spans="1:5" x14ac:dyDescent="0.25">
      <c r="A375" s="157" t="s">
        <v>2853</v>
      </c>
      <c r="B375" s="162" t="s">
        <v>2853</v>
      </c>
      <c r="C375" s="11" t="s">
        <v>986</v>
      </c>
      <c r="D375" s="156" t="s">
        <v>2853</v>
      </c>
      <c r="E375" s="1" t="s">
        <v>1189</v>
      </c>
    </row>
    <row r="376" spans="1:5" x14ac:dyDescent="0.25">
      <c r="A376" s="157" t="s">
        <v>2853</v>
      </c>
      <c r="B376" s="162" t="s">
        <v>2853</v>
      </c>
      <c r="C376" s="11" t="s">
        <v>987</v>
      </c>
      <c r="D376" s="156" t="s">
        <v>2853</v>
      </c>
      <c r="E376" s="1" t="s">
        <v>1189</v>
      </c>
    </row>
    <row r="377" spans="1:5" x14ac:dyDescent="0.25">
      <c r="A377" s="157" t="s">
        <v>2853</v>
      </c>
      <c r="B377" s="162" t="s">
        <v>2853</v>
      </c>
      <c r="C377" s="11" t="s">
        <v>988</v>
      </c>
      <c r="D377" s="156" t="s">
        <v>2853</v>
      </c>
      <c r="E377" s="1" t="s">
        <v>1189</v>
      </c>
    </row>
    <row r="378" spans="1:5" x14ac:dyDescent="0.25">
      <c r="A378" s="157" t="s">
        <v>2853</v>
      </c>
      <c r="B378" s="162" t="s">
        <v>2853</v>
      </c>
      <c r="C378" s="11" t="s">
        <v>989</v>
      </c>
      <c r="D378" s="156" t="s">
        <v>2853</v>
      </c>
      <c r="E378" s="1" t="s">
        <v>1189</v>
      </c>
    </row>
    <row r="379" spans="1:5" x14ac:dyDescent="0.25">
      <c r="A379" s="157" t="s">
        <v>2853</v>
      </c>
      <c r="B379" s="162" t="s">
        <v>2853</v>
      </c>
      <c r="C379" s="11" t="s">
        <v>990</v>
      </c>
      <c r="D379" s="156" t="s">
        <v>2853</v>
      </c>
      <c r="E379" s="1" t="s">
        <v>1189</v>
      </c>
    </row>
    <row r="380" spans="1:5" x14ac:dyDescent="0.25">
      <c r="A380" s="157" t="s">
        <v>2853</v>
      </c>
      <c r="B380" s="162" t="s">
        <v>2853</v>
      </c>
      <c r="C380" s="11" t="s">
        <v>991</v>
      </c>
      <c r="D380" s="156" t="s">
        <v>2853</v>
      </c>
      <c r="E380" s="1" t="s">
        <v>1189</v>
      </c>
    </row>
    <row r="381" spans="1:5" x14ac:dyDescent="0.25">
      <c r="A381" s="157" t="s">
        <v>2853</v>
      </c>
      <c r="B381" s="162" t="s">
        <v>2853</v>
      </c>
      <c r="C381" s="11" t="s">
        <v>992</v>
      </c>
      <c r="D381" s="156" t="s">
        <v>2853</v>
      </c>
      <c r="E381" s="1" t="s">
        <v>1189</v>
      </c>
    </row>
    <row r="382" spans="1:5" x14ac:dyDescent="0.25">
      <c r="A382" s="157" t="s">
        <v>2853</v>
      </c>
      <c r="B382" s="162" t="s">
        <v>2853</v>
      </c>
      <c r="C382" s="11" t="s">
        <v>993</v>
      </c>
      <c r="D382" s="156" t="s">
        <v>2853</v>
      </c>
      <c r="E382" s="1" t="s">
        <v>1189</v>
      </c>
    </row>
    <row r="383" spans="1:5" x14ac:dyDescent="0.25">
      <c r="A383" s="157" t="s">
        <v>2853</v>
      </c>
      <c r="B383" s="162" t="s">
        <v>2853</v>
      </c>
      <c r="C383" s="11" t="s">
        <v>994</v>
      </c>
      <c r="D383" s="156" t="s">
        <v>2853</v>
      </c>
      <c r="E383" s="1" t="s">
        <v>1189</v>
      </c>
    </row>
    <row r="384" spans="1:5" x14ac:dyDescent="0.25">
      <c r="A384" s="157" t="s">
        <v>2853</v>
      </c>
      <c r="B384" s="162" t="s">
        <v>2853</v>
      </c>
      <c r="C384" s="11" t="s">
        <v>995</v>
      </c>
      <c r="D384" s="156" t="s">
        <v>2853</v>
      </c>
      <c r="E384" s="1" t="s">
        <v>1189</v>
      </c>
    </row>
    <row r="385" spans="1:5" x14ac:dyDescent="0.25">
      <c r="A385" s="157" t="s">
        <v>2853</v>
      </c>
      <c r="B385" s="162" t="s">
        <v>2853</v>
      </c>
      <c r="C385" s="11" t="s">
        <v>996</v>
      </c>
      <c r="D385" s="156" t="s">
        <v>2853</v>
      </c>
      <c r="E385" s="1" t="s">
        <v>1189</v>
      </c>
    </row>
    <row r="386" spans="1:5" x14ac:dyDescent="0.25">
      <c r="A386" s="157" t="s">
        <v>2853</v>
      </c>
      <c r="B386" s="162" t="s">
        <v>2853</v>
      </c>
      <c r="C386" s="11" t="s">
        <v>997</v>
      </c>
      <c r="D386" s="156" t="s">
        <v>2853</v>
      </c>
      <c r="E386" s="1" t="s">
        <v>1189</v>
      </c>
    </row>
    <row r="387" spans="1:5" x14ac:dyDescent="0.25">
      <c r="A387" s="157" t="s">
        <v>2853</v>
      </c>
      <c r="B387" s="162" t="s">
        <v>2853</v>
      </c>
      <c r="C387" s="11" t="s">
        <v>998</v>
      </c>
      <c r="D387" s="156" t="s">
        <v>2853</v>
      </c>
      <c r="E387" s="1" t="s">
        <v>1189</v>
      </c>
    </row>
    <row r="388" spans="1:5" x14ac:dyDescent="0.25">
      <c r="A388" s="157" t="s">
        <v>2853</v>
      </c>
      <c r="B388" s="162" t="s">
        <v>2853</v>
      </c>
      <c r="C388" s="11" t="s">
        <v>999</v>
      </c>
      <c r="D388" s="156" t="s">
        <v>2853</v>
      </c>
      <c r="E388" s="1" t="s">
        <v>1189</v>
      </c>
    </row>
    <row r="389" spans="1:5" x14ac:dyDescent="0.25">
      <c r="A389" s="157" t="s">
        <v>2853</v>
      </c>
      <c r="B389" s="162" t="s">
        <v>2853</v>
      </c>
      <c r="C389" s="11" t="s">
        <v>1000</v>
      </c>
      <c r="D389" s="156" t="s">
        <v>2853</v>
      </c>
      <c r="E389" s="1" t="s">
        <v>1189</v>
      </c>
    </row>
    <row r="390" spans="1:5" x14ac:dyDescent="0.25">
      <c r="A390" s="157" t="s">
        <v>2853</v>
      </c>
      <c r="B390" s="162" t="s">
        <v>2853</v>
      </c>
      <c r="C390" s="11" t="s">
        <v>1001</v>
      </c>
      <c r="D390" s="156" t="s">
        <v>2853</v>
      </c>
      <c r="E390" s="1" t="s">
        <v>1189</v>
      </c>
    </row>
    <row r="391" spans="1:5" x14ac:dyDescent="0.25">
      <c r="A391" s="157" t="s">
        <v>2853</v>
      </c>
      <c r="B391" s="162" t="s">
        <v>2853</v>
      </c>
      <c r="C391" s="11" t="s">
        <v>1002</v>
      </c>
      <c r="D391" s="156" t="s">
        <v>2853</v>
      </c>
      <c r="E391" s="1" t="s">
        <v>1189</v>
      </c>
    </row>
    <row r="392" spans="1:5" x14ac:dyDescent="0.25">
      <c r="A392" s="157" t="s">
        <v>2853</v>
      </c>
      <c r="B392" s="162" t="s">
        <v>2853</v>
      </c>
      <c r="C392" s="11" t="s">
        <v>1003</v>
      </c>
      <c r="D392" s="156" t="s">
        <v>2853</v>
      </c>
      <c r="E392" s="1" t="s">
        <v>1189</v>
      </c>
    </row>
    <row r="393" spans="1:5" x14ac:dyDescent="0.25">
      <c r="A393" s="157" t="s">
        <v>2853</v>
      </c>
      <c r="B393" s="162" t="s">
        <v>2853</v>
      </c>
      <c r="C393" s="11" t="s">
        <v>1004</v>
      </c>
      <c r="D393" s="156" t="s">
        <v>2853</v>
      </c>
      <c r="E393" s="1" t="s">
        <v>1189</v>
      </c>
    </row>
    <row r="394" spans="1:5" x14ac:dyDescent="0.25">
      <c r="A394" s="157" t="s">
        <v>2853</v>
      </c>
      <c r="B394" s="162" t="s">
        <v>2853</v>
      </c>
      <c r="C394" s="11" t="s">
        <v>1005</v>
      </c>
      <c r="D394" s="156" t="s">
        <v>2853</v>
      </c>
      <c r="E394" s="1" t="s">
        <v>1189</v>
      </c>
    </row>
    <row r="395" spans="1:5" x14ac:dyDescent="0.25">
      <c r="A395" s="157" t="s">
        <v>2853</v>
      </c>
      <c r="B395" s="162" t="s">
        <v>2853</v>
      </c>
      <c r="C395" s="11" t="s">
        <v>1006</v>
      </c>
      <c r="D395" s="156" t="s">
        <v>2853</v>
      </c>
      <c r="E395" s="1" t="s">
        <v>1189</v>
      </c>
    </row>
    <row r="396" spans="1:5" x14ac:dyDescent="0.25">
      <c r="A396" s="157" t="s">
        <v>2853</v>
      </c>
      <c r="B396" s="162" t="s">
        <v>2853</v>
      </c>
      <c r="C396" s="11" t="s">
        <v>1007</v>
      </c>
      <c r="D396" s="156" t="s">
        <v>2853</v>
      </c>
      <c r="E396" s="1" t="s">
        <v>1189</v>
      </c>
    </row>
    <row r="397" spans="1:5" x14ac:dyDescent="0.25">
      <c r="A397" s="157" t="s">
        <v>2853</v>
      </c>
      <c r="B397" s="162" t="s">
        <v>2853</v>
      </c>
      <c r="C397" s="11" t="s">
        <v>1008</v>
      </c>
      <c r="D397" s="156" t="s">
        <v>2853</v>
      </c>
      <c r="E397" s="1" t="s">
        <v>1189</v>
      </c>
    </row>
    <row r="398" spans="1:5" x14ac:dyDescent="0.25">
      <c r="A398" s="157" t="s">
        <v>2853</v>
      </c>
      <c r="B398" s="162" t="s">
        <v>2853</v>
      </c>
      <c r="C398" s="11" t="s">
        <v>1009</v>
      </c>
      <c r="D398" s="156" t="s">
        <v>2853</v>
      </c>
      <c r="E398" s="1" t="s">
        <v>1189</v>
      </c>
    </row>
    <row r="399" spans="1:5" x14ac:dyDescent="0.25">
      <c r="A399" s="157" t="s">
        <v>2853</v>
      </c>
      <c r="B399" s="162" t="s">
        <v>2853</v>
      </c>
      <c r="C399" s="11" t="s">
        <v>1010</v>
      </c>
      <c r="D399" s="156" t="s">
        <v>2853</v>
      </c>
      <c r="E399" s="1" t="s">
        <v>1189</v>
      </c>
    </row>
    <row r="400" spans="1:5" x14ac:dyDescent="0.25">
      <c r="A400" s="157" t="s">
        <v>2853</v>
      </c>
      <c r="B400" s="162" t="s">
        <v>2853</v>
      </c>
      <c r="C400" s="11" t="s">
        <v>1011</v>
      </c>
      <c r="D400" s="156" t="s">
        <v>2853</v>
      </c>
      <c r="E400" s="1" t="s">
        <v>1189</v>
      </c>
    </row>
    <row r="401" spans="1:5" x14ac:dyDescent="0.25">
      <c r="A401" s="157" t="s">
        <v>2853</v>
      </c>
      <c r="B401" s="162" t="s">
        <v>2853</v>
      </c>
      <c r="C401" s="11" t="s">
        <v>1012</v>
      </c>
      <c r="D401" s="156" t="s">
        <v>2853</v>
      </c>
      <c r="E401" s="1" t="s">
        <v>1189</v>
      </c>
    </row>
    <row r="402" spans="1:5" x14ac:dyDescent="0.25">
      <c r="A402" s="157" t="s">
        <v>2853</v>
      </c>
      <c r="B402" s="162" t="s">
        <v>2853</v>
      </c>
      <c r="C402" s="11" t="s">
        <v>1013</v>
      </c>
      <c r="D402" s="156" t="s">
        <v>2853</v>
      </c>
      <c r="E402" s="1" t="s">
        <v>1189</v>
      </c>
    </row>
    <row r="403" spans="1:5" x14ac:dyDescent="0.25">
      <c r="A403" s="157" t="s">
        <v>2853</v>
      </c>
      <c r="B403" s="162" t="s">
        <v>2853</v>
      </c>
      <c r="C403" s="11" t="s">
        <v>1014</v>
      </c>
      <c r="D403" s="156" t="s">
        <v>2853</v>
      </c>
      <c r="E403" s="1" t="s">
        <v>1189</v>
      </c>
    </row>
    <row r="404" spans="1:5" x14ac:dyDescent="0.25">
      <c r="A404" s="157" t="s">
        <v>2853</v>
      </c>
      <c r="B404" s="162" t="s">
        <v>2853</v>
      </c>
      <c r="C404" s="11" t="s">
        <v>1015</v>
      </c>
      <c r="D404" s="156" t="s">
        <v>2853</v>
      </c>
      <c r="E404" s="1" t="s">
        <v>1189</v>
      </c>
    </row>
    <row r="405" spans="1:5" x14ac:dyDescent="0.25">
      <c r="A405" s="157" t="s">
        <v>2853</v>
      </c>
      <c r="B405" s="162" t="s">
        <v>2853</v>
      </c>
      <c r="C405" s="11" t="s">
        <v>1016</v>
      </c>
      <c r="D405" s="156" t="s">
        <v>2853</v>
      </c>
      <c r="E405" s="1" t="s">
        <v>1189</v>
      </c>
    </row>
    <row r="406" spans="1:5" x14ac:dyDescent="0.25">
      <c r="A406" s="157" t="s">
        <v>2853</v>
      </c>
      <c r="B406" s="162" t="s">
        <v>2853</v>
      </c>
      <c r="C406" s="11" t="s">
        <v>1017</v>
      </c>
      <c r="D406" s="156" t="s">
        <v>2853</v>
      </c>
      <c r="E406" s="1" t="s">
        <v>1189</v>
      </c>
    </row>
    <row r="407" spans="1:5" x14ac:dyDescent="0.25">
      <c r="A407" s="157" t="s">
        <v>2853</v>
      </c>
      <c r="B407" s="162" t="s">
        <v>2853</v>
      </c>
      <c r="C407" s="11" t="s">
        <v>1018</v>
      </c>
      <c r="D407" s="156" t="s">
        <v>2853</v>
      </c>
      <c r="E407" s="1" t="s">
        <v>1189</v>
      </c>
    </row>
    <row r="408" spans="1:5" x14ac:dyDescent="0.25">
      <c r="A408" s="157" t="s">
        <v>2853</v>
      </c>
      <c r="B408" s="162" t="s">
        <v>2853</v>
      </c>
      <c r="C408" s="11" t="s">
        <v>1019</v>
      </c>
      <c r="D408" s="156" t="s">
        <v>2853</v>
      </c>
      <c r="E408" s="1" t="s">
        <v>1189</v>
      </c>
    </row>
    <row r="409" spans="1:5" x14ac:dyDescent="0.25">
      <c r="A409" s="157" t="s">
        <v>2853</v>
      </c>
      <c r="B409" s="162" t="s">
        <v>2853</v>
      </c>
      <c r="C409" s="11" t="s">
        <v>1020</v>
      </c>
      <c r="D409" s="156" t="s">
        <v>2853</v>
      </c>
      <c r="E409" s="1" t="s">
        <v>1189</v>
      </c>
    </row>
    <row r="410" spans="1:5" x14ac:dyDescent="0.25">
      <c r="A410" s="157" t="s">
        <v>2853</v>
      </c>
      <c r="B410" s="162" t="s">
        <v>2853</v>
      </c>
      <c r="C410" s="11" t="s">
        <v>1021</v>
      </c>
      <c r="D410" s="156" t="s">
        <v>2853</v>
      </c>
      <c r="E410" s="1" t="s">
        <v>1189</v>
      </c>
    </row>
    <row r="411" spans="1:5" x14ac:dyDescent="0.25">
      <c r="A411" s="157" t="s">
        <v>2853</v>
      </c>
      <c r="B411" s="162" t="s">
        <v>2853</v>
      </c>
      <c r="C411" s="11" t="s">
        <v>1022</v>
      </c>
      <c r="D411" s="156" t="s">
        <v>2853</v>
      </c>
      <c r="E411" s="1" t="s">
        <v>1189</v>
      </c>
    </row>
    <row r="412" spans="1:5" x14ac:dyDescent="0.25">
      <c r="A412" s="157" t="s">
        <v>2853</v>
      </c>
      <c r="B412" s="162" t="s">
        <v>2853</v>
      </c>
      <c r="C412" s="11" t="s">
        <v>1023</v>
      </c>
      <c r="D412" s="156" t="s">
        <v>2853</v>
      </c>
      <c r="E412" s="1" t="s">
        <v>1189</v>
      </c>
    </row>
    <row r="413" spans="1:5" x14ac:dyDescent="0.25">
      <c r="A413" s="157" t="s">
        <v>2853</v>
      </c>
      <c r="B413" s="162" t="s">
        <v>2853</v>
      </c>
      <c r="C413" s="11" t="s">
        <v>1024</v>
      </c>
      <c r="D413" s="156" t="s">
        <v>2853</v>
      </c>
      <c r="E413" s="1" t="s">
        <v>1189</v>
      </c>
    </row>
    <row r="414" spans="1:5" x14ac:dyDescent="0.25">
      <c r="A414" s="157" t="s">
        <v>2853</v>
      </c>
      <c r="B414" s="162" t="s">
        <v>2853</v>
      </c>
      <c r="C414" s="11" t="s">
        <v>1025</v>
      </c>
      <c r="D414" s="156" t="s">
        <v>2853</v>
      </c>
      <c r="E414" s="1" t="s">
        <v>1189</v>
      </c>
    </row>
    <row r="415" spans="1:5" x14ac:dyDescent="0.25">
      <c r="A415" s="157" t="s">
        <v>2853</v>
      </c>
      <c r="B415" s="162" t="s">
        <v>2853</v>
      </c>
      <c r="C415" s="11" t="s">
        <v>1026</v>
      </c>
      <c r="D415" s="156" t="s">
        <v>2853</v>
      </c>
      <c r="E415" s="1" t="s">
        <v>1189</v>
      </c>
    </row>
    <row r="416" spans="1:5" x14ac:dyDescent="0.25">
      <c r="A416" s="157" t="s">
        <v>2853</v>
      </c>
      <c r="B416" s="162" t="s">
        <v>2853</v>
      </c>
      <c r="C416" s="11" t="s">
        <v>1027</v>
      </c>
      <c r="D416" s="156" t="s">
        <v>2853</v>
      </c>
      <c r="E416" s="1" t="s">
        <v>1189</v>
      </c>
    </row>
    <row r="417" spans="1:5" x14ac:dyDescent="0.25">
      <c r="A417" s="157" t="s">
        <v>2853</v>
      </c>
      <c r="B417" s="162" t="s">
        <v>2853</v>
      </c>
      <c r="C417" s="11" t="s">
        <v>1028</v>
      </c>
      <c r="D417" s="156" t="s">
        <v>2853</v>
      </c>
      <c r="E417" s="1" t="s">
        <v>1189</v>
      </c>
    </row>
    <row r="418" spans="1:5" x14ac:dyDescent="0.25">
      <c r="A418" s="157" t="s">
        <v>2853</v>
      </c>
      <c r="B418" s="162" t="s">
        <v>2853</v>
      </c>
      <c r="C418" s="11" t="s">
        <v>1029</v>
      </c>
      <c r="D418" s="156" t="s">
        <v>2853</v>
      </c>
      <c r="E418" s="1" t="s">
        <v>1189</v>
      </c>
    </row>
    <row r="419" spans="1:5" x14ac:dyDescent="0.25">
      <c r="A419" s="157" t="s">
        <v>2853</v>
      </c>
      <c r="B419" s="162" t="s">
        <v>2853</v>
      </c>
      <c r="C419" s="11" t="s">
        <v>1030</v>
      </c>
      <c r="D419" s="156" t="s">
        <v>2853</v>
      </c>
      <c r="E419" s="1" t="s">
        <v>1189</v>
      </c>
    </row>
    <row r="420" spans="1:5" x14ac:dyDescent="0.25">
      <c r="A420" s="157" t="s">
        <v>2853</v>
      </c>
      <c r="B420" s="162" t="s">
        <v>2853</v>
      </c>
      <c r="C420" s="11" t="s">
        <v>1031</v>
      </c>
      <c r="D420" s="156" t="s">
        <v>2853</v>
      </c>
      <c r="E420" s="1" t="s">
        <v>1189</v>
      </c>
    </row>
    <row r="421" spans="1:5" x14ac:dyDescent="0.25">
      <c r="A421" s="157" t="s">
        <v>2853</v>
      </c>
      <c r="B421" s="162" t="s">
        <v>2853</v>
      </c>
      <c r="C421" s="11" t="s">
        <v>1032</v>
      </c>
      <c r="D421" s="156" t="s">
        <v>2853</v>
      </c>
      <c r="E421" s="1" t="s">
        <v>1189</v>
      </c>
    </row>
    <row r="422" spans="1:5" x14ac:dyDescent="0.25">
      <c r="A422" s="157" t="s">
        <v>2853</v>
      </c>
      <c r="B422" s="162" t="s">
        <v>2853</v>
      </c>
      <c r="C422" s="11" t="s">
        <v>1033</v>
      </c>
      <c r="D422" s="156" t="s">
        <v>2853</v>
      </c>
      <c r="E422" s="1" t="s">
        <v>1189</v>
      </c>
    </row>
    <row r="423" spans="1:5" x14ac:dyDescent="0.25">
      <c r="A423" s="157" t="s">
        <v>2853</v>
      </c>
      <c r="B423" s="162" t="s">
        <v>2853</v>
      </c>
      <c r="C423" s="11" t="s">
        <v>1034</v>
      </c>
      <c r="D423" s="156" t="s">
        <v>2853</v>
      </c>
      <c r="E423" s="1" t="s">
        <v>1189</v>
      </c>
    </row>
    <row r="424" spans="1:5" x14ac:dyDescent="0.25">
      <c r="A424" s="157" t="s">
        <v>2853</v>
      </c>
      <c r="B424" s="162" t="s">
        <v>2853</v>
      </c>
      <c r="C424" s="11" t="s">
        <v>1035</v>
      </c>
      <c r="D424" s="156" t="s">
        <v>2853</v>
      </c>
      <c r="E424" s="1" t="s">
        <v>1189</v>
      </c>
    </row>
    <row r="425" spans="1:5" x14ac:dyDescent="0.25">
      <c r="A425" s="157" t="s">
        <v>2853</v>
      </c>
      <c r="B425" s="162" t="s">
        <v>2853</v>
      </c>
      <c r="C425" s="11" t="s">
        <v>1036</v>
      </c>
      <c r="D425" s="156" t="s">
        <v>2853</v>
      </c>
      <c r="E425" s="1" t="s">
        <v>1189</v>
      </c>
    </row>
    <row r="426" spans="1:5" x14ac:dyDescent="0.25">
      <c r="A426" s="157" t="s">
        <v>2853</v>
      </c>
      <c r="B426" s="162" t="s">
        <v>2853</v>
      </c>
      <c r="C426" s="11" t="s">
        <v>1037</v>
      </c>
      <c r="D426" s="156" t="s">
        <v>2853</v>
      </c>
      <c r="E426" s="1" t="s">
        <v>1189</v>
      </c>
    </row>
    <row r="427" spans="1:5" x14ac:dyDescent="0.25">
      <c r="A427" s="157" t="s">
        <v>2853</v>
      </c>
      <c r="B427" s="162" t="s">
        <v>2853</v>
      </c>
      <c r="C427" s="11" t="s">
        <v>1038</v>
      </c>
      <c r="D427" s="156" t="s">
        <v>2853</v>
      </c>
      <c r="E427" s="1" t="s">
        <v>1189</v>
      </c>
    </row>
    <row r="428" spans="1:5" x14ac:dyDescent="0.25">
      <c r="A428" s="157" t="s">
        <v>2853</v>
      </c>
      <c r="B428" s="162" t="s">
        <v>2853</v>
      </c>
      <c r="C428" s="11" t="s">
        <v>1039</v>
      </c>
      <c r="D428" s="156" t="s">
        <v>2853</v>
      </c>
      <c r="E428" s="1" t="s">
        <v>1189</v>
      </c>
    </row>
    <row r="429" spans="1:5" x14ac:dyDescent="0.25">
      <c r="A429" s="157" t="s">
        <v>2853</v>
      </c>
      <c r="B429" s="162" t="s">
        <v>2853</v>
      </c>
      <c r="C429" s="11" t="s">
        <v>1040</v>
      </c>
      <c r="D429" s="156" t="s">
        <v>2853</v>
      </c>
      <c r="E429" s="1" t="s">
        <v>1189</v>
      </c>
    </row>
    <row r="430" spans="1:5" x14ac:dyDescent="0.25">
      <c r="A430" s="157" t="s">
        <v>2853</v>
      </c>
      <c r="B430" s="162" t="s">
        <v>2853</v>
      </c>
      <c r="C430" s="11" t="s">
        <v>1041</v>
      </c>
      <c r="D430" s="156" t="s">
        <v>2853</v>
      </c>
      <c r="E430" s="1" t="s">
        <v>1189</v>
      </c>
    </row>
    <row r="431" spans="1:5" x14ac:dyDescent="0.25">
      <c r="A431" s="157" t="s">
        <v>2853</v>
      </c>
      <c r="B431" s="162" t="s">
        <v>2853</v>
      </c>
      <c r="C431" s="11" t="s">
        <v>1042</v>
      </c>
      <c r="D431" s="156" t="s">
        <v>2853</v>
      </c>
      <c r="E431" s="1" t="s">
        <v>1189</v>
      </c>
    </row>
    <row r="432" spans="1:5" x14ac:dyDescent="0.25">
      <c r="A432" s="157" t="s">
        <v>2853</v>
      </c>
      <c r="B432" s="162" t="s">
        <v>2853</v>
      </c>
      <c r="C432" s="11" t="s">
        <v>1043</v>
      </c>
      <c r="D432" s="156" t="s">
        <v>2853</v>
      </c>
      <c r="E432" s="1" t="s">
        <v>1189</v>
      </c>
    </row>
    <row r="433" spans="1:5" x14ac:dyDescent="0.25">
      <c r="A433" s="157" t="s">
        <v>2853</v>
      </c>
      <c r="B433" s="162" t="s">
        <v>2853</v>
      </c>
      <c r="C433" s="11" t="s">
        <v>1099</v>
      </c>
      <c r="D433" s="156" t="s">
        <v>2853</v>
      </c>
      <c r="E433" s="1" t="s">
        <v>1189</v>
      </c>
    </row>
    <row r="434" spans="1:5" x14ac:dyDescent="0.25">
      <c r="A434" s="157" t="s">
        <v>2853</v>
      </c>
      <c r="B434" s="162" t="s">
        <v>2853</v>
      </c>
      <c r="C434" s="11" t="s">
        <v>1100</v>
      </c>
      <c r="D434" s="156" t="s">
        <v>2853</v>
      </c>
      <c r="E434" s="1" t="s">
        <v>1189</v>
      </c>
    </row>
    <row r="435" spans="1:5" x14ac:dyDescent="0.25">
      <c r="A435" s="157" t="s">
        <v>2853</v>
      </c>
      <c r="B435" s="162" t="s">
        <v>2853</v>
      </c>
      <c r="C435" s="11" t="s">
        <v>1101</v>
      </c>
      <c r="D435" s="156" t="s">
        <v>2853</v>
      </c>
      <c r="E435" s="1" t="s">
        <v>1189</v>
      </c>
    </row>
    <row r="436" spans="1:5" x14ac:dyDescent="0.25">
      <c r="A436" s="157" t="s">
        <v>2853</v>
      </c>
      <c r="B436" s="162" t="s">
        <v>2853</v>
      </c>
      <c r="C436" s="11" t="s">
        <v>1102</v>
      </c>
      <c r="D436" s="156" t="s">
        <v>2853</v>
      </c>
      <c r="E436" s="1" t="s">
        <v>1189</v>
      </c>
    </row>
    <row r="437" spans="1:5" x14ac:dyDescent="0.25">
      <c r="A437" s="157" t="s">
        <v>2853</v>
      </c>
      <c r="B437" s="162" t="s">
        <v>2853</v>
      </c>
      <c r="C437" s="11" t="s">
        <v>1103</v>
      </c>
      <c r="D437" s="156" t="s">
        <v>2853</v>
      </c>
      <c r="E437" s="1" t="s">
        <v>1189</v>
      </c>
    </row>
    <row r="438" spans="1:5" x14ac:dyDescent="0.25">
      <c r="A438" s="157" t="s">
        <v>2853</v>
      </c>
      <c r="B438" s="162" t="s">
        <v>2853</v>
      </c>
      <c r="C438" s="11" t="s">
        <v>1104</v>
      </c>
      <c r="D438" s="156" t="s">
        <v>2853</v>
      </c>
      <c r="E438" s="1" t="s">
        <v>1189</v>
      </c>
    </row>
    <row r="439" spans="1:5" x14ac:dyDescent="0.25">
      <c r="A439" s="157" t="s">
        <v>2853</v>
      </c>
      <c r="B439" s="162" t="s">
        <v>2853</v>
      </c>
      <c r="C439" s="11" t="s">
        <v>1105</v>
      </c>
      <c r="D439" s="156" t="s">
        <v>2853</v>
      </c>
      <c r="E439" s="1" t="s">
        <v>1189</v>
      </c>
    </row>
    <row r="440" spans="1:5" x14ac:dyDescent="0.25">
      <c r="A440" s="157" t="s">
        <v>2853</v>
      </c>
      <c r="B440" s="162" t="s">
        <v>2853</v>
      </c>
      <c r="C440" s="11" t="s">
        <v>1106</v>
      </c>
      <c r="D440" s="156" t="s">
        <v>2853</v>
      </c>
      <c r="E440" s="1" t="s">
        <v>1189</v>
      </c>
    </row>
    <row r="441" spans="1:5" x14ac:dyDescent="0.25">
      <c r="A441" s="157" t="s">
        <v>2853</v>
      </c>
      <c r="B441" s="162" t="s">
        <v>2853</v>
      </c>
      <c r="C441" s="11" t="s">
        <v>1044</v>
      </c>
      <c r="D441" s="156" t="s">
        <v>2853</v>
      </c>
      <c r="E441" s="1" t="s">
        <v>1189</v>
      </c>
    </row>
    <row r="442" spans="1:5" x14ac:dyDescent="0.25">
      <c r="A442" s="157" t="s">
        <v>2853</v>
      </c>
      <c r="B442" s="162" t="s">
        <v>2853</v>
      </c>
      <c r="C442" s="11" t="s">
        <v>1045</v>
      </c>
      <c r="D442" s="156" t="s">
        <v>2853</v>
      </c>
      <c r="E442" s="1" t="s">
        <v>1189</v>
      </c>
    </row>
    <row r="443" spans="1:5" x14ac:dyDescent="0.25">
      <c r="A443" s="157" t="s">
        <v>2853</v>
      </c>
      <c r="B443" s="162" t="s">
        <v>2853</v>
      </c>
      <c r="C443" s="11" t="s">
        <v>1046</v>
      </c>
      <c r="D443" s="156" t="s">
        <v>2853</v>
      </c>
      <c r="E443" s="1" t="s">
        <v>1189</v>
      </c>
    </row>
    <row r="444" spans="1:5" x14ac:dyDescent="0.25">
      <c r="A444" s="157" t="s">
        <v>2853</v>
      </c>
      <c r="B444" s="162" t="s">
        <v>2853</v>
      </c>
      <c r="C444" s="11" t="s">
        <v>1047</v>
      </c>
      <c r="D444" s="156" t="s">
        <v>2853</v>
      </c>
      <c r="E444" s="1" t="s">
        <v>1189</v>
      </c>
    </row>
    <row r="445" spans="1:5" x14ac:dyDescent="0.25">
      <c r="A445" s="157" t="s">
        <v>2853</v>
      </c>
      <c r="B445" s="162" t="s">
        <v>2853</v>
      </c>
      <c r="C445" s="11" t="s">
        <v>1048</v>
      </c>
      <c r="D445" s="156" t="s">
        <v>2853</v>
      </c>
      <c r="E445" s="1" t="s">
        <v>1189</v>
      </c>
    </row>
    <row r="446" spans="1:5" x14ac:dyDescent="0.25">
      <c r="A446" s="157" t="s">
        <v>2853</v>
      </c>
      <c r="B446" s="162" t="s">
        <v>2853</v>
      </c>
      <c r="C446" s="11" t="s">
        <v>1049</v>
      </c>
      <c r="D446" s="156" t="s">
        <v>2853</v>
      </c>
      <c r="E446" s="1" t="s">
        <v>1189</v>
      </c>
    </row>
    <row r="447" spans="1:5" x14ac:dyDescent="0.25">
      <c r="A447" s="157" t="s">
        <v>2853</v>
      </c>
      <c r="B447" s="162" t="s">
        <v>2853</v>
      </c>
      <c r="C447" s="11" t="s">
        <v>1050</v>
      </c>
      <c r="D447" s="156" t="s">
        <v>2853</v>
      </c>
      <c r="E447" s="1" t="s">
        <v>1189</v>
      </c>
    </row>
    <row r="448" spans="1:5" x14ac:dyDescent="0.25">
      <c r="A448" s="157" t="s">
        <v>2853</v>
      </c>
      <c r="B448" s="162" t="s">
        <v>2853</v>
      </c>
      <c r="C448" s="11" t="s">
        <v>1051</v>
      </c>
      <c r="D448" s="156" t="s">
        <v>2853</v>
      </c>
      <c r="E448" s="1" t="s">
        <v>1189</v>
      </c>
    </row>
    <row r="449" spans="1:5" x14ac:dyDescent="0.25">
      <c r="A449" s="157" t="s">
        <v>2853</v>
      </c>
      <c r="B449" s="162" t="s">
        <v>2853</v>
      </c>
      <c r="C449" s="11" t="s">
        <v>1107</v>
      </c>
      <c r="D449" s="156" t="s">
        <v>2853</v>
      </c>
      <c r="E449" s="1" t="s">
        <v>1189</v>
      </c>
    </row>
    <row r="450" spans="1:5" x14ac:dyDescent="0.25">
      <c r="A450" s="157" t="s">
        <v>2853</v>
      </c>
      <c r="B450" s="162" t="s">
        <v>2853</v>
      </c>
      <c r="C450" s="11" t="s">
        <v>1108</v>
      </c>
      <c r="D450" s="156" t="s">
        <v>2853</v>
      </c>
      <c r="E450" s="1" t="s">
        <v>1189</v>
      </c>
    </row>
    <row r="451" spans="1:5" x14ac:dyDescent="0.25">
      <c r="A451" s="157" t="s">
        <v>2853</v>
      </c>
      <c r="B451" s="162" t="s">
        <v>2853</v>
      </c>
      <c r="C451" s="11" t="s">
        <v>1109</v>
      </c>
      <c r="D451" s="156" t="s">
        <v>2853</v>
      </c>
      <c r="E451" s="1" t="s">
        <v>1189</v>
      </c>
    </row>
    <row r="452" spans="1:5" x14ac:dyDescent="0.25">
      <c r="A452" s="157" t="s">
        <v>2853</v>
      </c>
      <c r="B452" s="162" t="s">
        <v>2853</v>
      </c>
      <c r="C452" s="11" t="s">
        <v>1110</v>
      </c>
      <c r="D452" s="156" t="s">
        <v>2853</v>
      </c>
      <c r="E452" s="1" t="s">
        <v>1189</v>
      </c>
    </row>
    <row r="453" spans="1:5" x14ac:dyDescent="0.25">
      <c r="A453" s="157" t="s">
        <v>2853</v>
      </c>
      <c r="B453" s="162" t="s">
        <v>2853</v>
      </c>
      <c r="C453" s="11" t="s">
        <v>1111</v>
      </c>
      <c r="D453" s="156" t="s">
        <v>2853</v>
      </c>
      <c r="E453" s="1" t="s">
        <v>1189</v>
      </c>
    </row>
    <row r="454" spans="1:5" x14ac:dyDescent="0.25">
      <c r="A454" s="157" t="s">
        <v>2853</v>
      </c>
      <c r="B454" s="162" t="s">
        <v>2853</v>
      </c>
      <c r="C454" s="11" t="s">
        <v>1112</v>
      </c>
      <c r="D454" s="156" t="s">
        <v>2853</v>
      </c>
      <c r="E454" s="1" t="s">
        <v>1189</v>
      </c>
    </row>
    <row r="455" spans="1:5" x14ac:dyDescent="0.25">
      <c r="A455" s="157" t="s">
        <v>2853</v>
      </c>
      <c r="B455" s="162" t="s">
        <v>2853</v>
      </c>
      <c r="C455" s="11" t="s">
        <v>1113</v>
      </c>
      <c r="D455" s="156" t="s">
        <v>2853</v>
      </c>
      <c r="E455" s="1" t="s">
        <v>1189</v>
      </c>
    </row>
    <row r="456" spans="1:5" x14ac:dyDescent="0.25">
      <c r="A456" s="157" t="s">
        <v>2853</v>
      </c>
      <c r="B456" s="162" t="s">
        <v>2853</v>
      </c>
      <c r="C456" s="11" t="s">
        <v>1114</v>
      </c>
      <c r="D456" s="156" t="s">
        <v>2853</v>
      </c>
      <c r="E456" s="1" t="s">
        <v>1189</v>
      </c>
    </row>
    <row r="457" spans="1:5" x14ac:dyDescent="0.25">
      <c r="A457" s="157" t="s">
        <v>2853</v>
      </c>
      <c r="B457" s="162" t="s">
        <v>2853</v>
      </c>
      <c r="C457" s="11" t="s">
        <v>1115</v>
      </c>
      <c r="D457" s="156" t="s">
        <v>2853</v>
      </c>
      <c r="E457" s="1" t="s">
        <v>1189</v>
      </c>
    </row>
    <row r="458" spans="1:5" x14ac:dyDescent="0.25">
      <c r="A458" s="157" t="s">
        <v>2853</v>
      </c>
      <c r="B458" s="162" t="s">
        <v>2853</v>
      </c>
      <c r="C458" s="11" t="s">
        <v>1116</v>
      </c>
      <c r="D458" s="156" t="s">
        <v>2853</v>
      </c>
      <c r="E458" s="1" t="s">
        <v>1189</v>
      </c>
    </row>
    <row r="459" spans="1:5" x14ac:dyDescent="0.25">
      <c r="A459" s="157" t="s">
        <v>2853</v>
      </c>
      <c r="B459" s="162" t="s">
        <v>2853</v>
      </c>
      <c r="C459" s="11" t="s">
        <v>1117</v>
      </c>
      <c r="D459" s="156" t="s">
        <v>2853</v>
      </c>
      <c r="E459" s="1" t="s">
        <v>1189</v>
      </c>
    </row>
    <row r="460" spans="1:5" x14ac:dyDescent="0.25">
      <c r="A460" s="157" t="s">
        <v>2853</v>
      </c>
      <c r="B460" s="162" t="s">
        <v>2853</v>
      </c>
      <c r="C460" s="11" t="s">
        <v>1118</v>
      </c>
      <c r="D460" s="156" t="s">
        <v>2853</v>
      </c>
      <c r="E460" s="1" t="s">
        <v>1189</v>
      </c>
    </row>
    <row r="461" spans="1:5" x14ac:dyDescent="0.25">
      <c r="A461" s="157" t="s">
        <v>2853</v>
      </c>
      <c r="B461" s="162" t="s">
        <v>2853</v>
      </c>
      <c r="C461" s="11" t="s">
        <v>1119</v>
      </c>
      <c r="D461" s="156" t="s">
        <v>2853</v>
      </c>
      <c r="E461" s="1" t="s">
        <v>1189</v>
      </c>
    </row>
    <row r="462" spans="1:5" x14ac:dyDescent="0.25">
      <c r="A462" s="157" t="s">
        <v>2853</v>
      </c>
      <c r="B462" s="162" t="s">
        <v>2853</v>
      </c>
      <c r="C462" s="11" t="s">
        <v>1120</v>
      </c>
      <c r="D462" s="156" t="s">
        <v>2853</v>
      </c>
      <c r="E462" s="1" t="s">
        <v>1189</v>
      </c>
    </row>
    <row r="463" spans="1:5" x14ac:dyDescent="0.25">
      <c r="A463" s="157" t="s">
        <v>2853</v>
      </c>
      <c r="B463" s="162" t="s">
        <v>2853</v>
      </c>
      <c r="C463" s="11" t="s">
        <v>1121</v>
      </c>
      <c r="D463" s="156" t="s">
        <v>2853</v>
      </c>
      <c r="E463" s="1" t="s">
        <v>1189</v>
      </c>
    </row>
    <row r="464" spans="1:5" x14ac:dyDescent="0.25">
      <c r="A464" s="157" t="s">
        <v>2853</v>
      </c>
      <c r="B464" s="162" t="s">
        <v>2853</v>
      </c>
      <c r="C464" s="11" t="s">
        <v>1122</v>
      </c>
      <c r="D464" s="156" t="s">
        <v>2853</v>
      </c>
      <c r="E464" s="1" t="s">
        <v>1189</v>
      </c>
    </row>
    <row r="465" spans="1:5" x14ac:dyDescent="0.25">
      <c r="A465" s="157" t="s">
        <v>2853</v>
      </c>
      <c r="B465" s="162" t="s">
        <v>2853</v>
      </c>
      <c r="C465" s="11" t="s">
        <v>1123</v>
      </c>
      <c r="D465" s="156" t="s">
        <v>2853</v>
      </c>
      <c r="E465" s="1" t="s">
        <v>1189</v>
      </c>
    </row>
    <row r="466" spans="1:5" x14ac:dyDescent="0.25">
      <c r="A466" s="157" t="s">
        <v>2853</v>
      </c>
      <c r="B466" s="162" t="s">
        <v>2853</v>
      </c>
      <c r="C466" s="11" t="s">
        <v>1124</v>
      </c>
      <c r="D466" s="156" t="s">
        <v>2853</v>
      </c>
      <c r="E466" s="1" t="s">
        <v>1189</v>
      </c>
    </row>
    <row r="467" spans="1:5" x14ac:dyDescent="0.25">
      <c r="A467" s="157" t="s">
        <v>2853</v>
      </c>
      <c r="B467" s="162" t="s">
        <v>2853</v>
      </c>
      <c r="C467" s="11" t="s">
        <v>1125</v>
      </c>
      <c r="D467" s="156" t="s">
        <v>2853</v>
      </c>
      <c r="E467" s="1" t="s">
        <v>1189</v>
      </c>
    </row>
    <row r="468" spans="1:5" x14ac:dyDescent="0.25">
      <c r="A468" s="157" t="s">
        <v>2853</v>
      </c>
      <c r="B468" s="162" t="s">
        <v>2853</v>
      </c>
      <c r="C468" s="11" t="s">
        <v>1126</v>
      </c>
      <c r="D468" s="156" t="s">
        <v>2853</v>
      </c>
      <c r="E468" s="1" t="s">
        <v>1189</v>
      </c>
    </row>
    <row r="469" spans="1:5" x14ac:dyDescent="0.25">
      <c r="A469" s="157" t="s">
        <v>2853</v>
      </c>
      <c r="B469" s="162" t="s">
        <v>2853</v>
      </c>
      <c r="C469" s="11" t="s">
        <v>1127</v>
      </c>
      <c r="D469" s="156" t="s">
        <v>2853</v>
      </c>
      <c r="E469" s="1" t="s">
        <v>1189</v>
      </c>
    </row>
    <row r="470" spans="1:5" x14ac:dyDescent="0.25">
      <c r="A470" s="157" t="s">
        <v>2853</v>
      </c>
      <c r="B470" s="162" t="s">
        <v>2853</v>
      </c>
      <c r="C470" s="11" t="s">
        <v>1128</v>
      </c>
      <c r="D470" s="156" t="s">
        <v>2853</v>
      </c>
      <c r="E470" s="1" t="s">
        <v>1189</v>
      </c>
    </row>
    <row r="471" spans="1:5" x14ac:dyDescent="0.25">
      <c r="A471" s="157" t="s">
        <v>2853</v>
      </c>
      <c r="B471" s="162" t="s">
        <v>2853</v>
      </c>
      <c r="C471" s="11" t="s">
        <v>1129</v>
      </c>
      <c r="D471" s="156" t="s">
        <v>2853</v>
      </c>
      <c r="E471" s="1" t="s">
        <v>1189</v>
      </c>
    </row>
    <row r="472" spans="1:5" x14ac:dyDescent="0.25">
      <c r="A472" s="157" t="s">
        <v>2853</v>
      </c>
      <c r="B472" s="162" t="s">
        <v>2853</v>
      </c>
      <c r="C472" s="11" t="s">
        <v>1130</v>
      </c>
      <c r="D472" s="156" t="s">
        <v>2853</v>
      </c>
      <c r="E472" s="1" t="s">
        <v>1189</v>
      </c>
    </row>
    <row r="473" spans="1:5" x14ac:dyDescent="0.25">
      <c r="A473" s="157" t="s">
        <v>2853</v>
      </c>
      <c r="B473" s="162" t="s">
        <v>2853</v>
      </c>
      <c r="C473" s="11" t="s">
        <v>1131</v>
      </c>
      <c r="D473" s="156" t="s">
        <v>2853</v>
      </c>
      <c r="E473" s="1" t="s">
        <v>1189</v>
      </c>
    </row>
    <row r="474" spans="1:5" x14ac:dyDescent="0.25">
      <c r="A474" s="157" t="s">
        <v>2853</v>
      </c>
      <c r="B474" s="162" t="s">
        <v>2853</v>
      </c>
      <c r="C474" s="11" t="s">
        <v>1132</v>
      </c>
      <c r="D474" s="156" t="s">
        <v>2853</v>
      </c>
      <c r="E474" s="1" t="s">
        <v>1189</v>
      </c>
    </row>
    <row r="475" spans="1:5" x14ac:dyDescent="0.25">
      <c r="A475" s="157" t="s">
        <v>2853</v>
      </c>
      <c r="B475" s="162" t="s">
        <v>2853</v>
      </c>
      <c r="C475" s="11" t="s">
        <v>1133</v>
      </c>
      <c r="D475" s="156" t="s">
        <v>2853</v>
      </c>
      <c r="E475" s="1" t="s">
        <v>1189</v>
      </c>
    </row>
    <row r="476" spans="1:5" x14ac:dyDescent="0.25">
      <c r="A476" s="157" t="s">
        <v>2853</v>
      </c>
      <c r="B476" s="162" t="s">
        <v>2853</v>
      </c>
      <c r="C476" s="11" t="s">
        <v>1134</v>
      </c>
      <c r="D476" s="156" t="s">
        <v>2853</v>
      </c>
      <c r="E476" s="1" t="s">
        <v>1189</v>
      </c>
    </row>
    <row r="477" spans="1:5" x14ac:dyDescent="0.25">
      <c r="A477" s="157" t="s">
        <v>2853</v>
      </c>
      <c r="B477" s="162" t="s">
        <v>2853</v>
      </c>
      <c r="C477" s="11" t="s">
        <v>1135</v>
      </c>
      <c r="D477" s="156" t="s">
        <v>2853</v>
      </c>
      <c r="E477" s="1" t="s">
        <v>1189</v>
      </c>
    </row>
    <row r="478" spans="1:5" x14ac:dyDescent="0.25">
      <c r="A478" s="157" t="s">
        <v>2853</v>
      </c>
      <c r="B478" s="162" t="s">
        <v>2853</v>
      </c>
      <c r="C478" s="11" t="s">
        <v>1136</v>
      </c>
      <c r="D478" s="156" t="s">
        <v>2853</v>
      </c>
      <c r="E478" s="1" t="s">
        <v>1189</v>
      </c>
    </row>
    <row r="479" spans="1:5" x14ac:dyDescent="0.25">
      <c r="A479" s="157" t="s">
        <v>2853</v>
      </c>
      <c r="B479" s="162" t="s">
        <v>2853</v>
      </c>
      <c r="C479" s="11" t="s">
        <v>1137</v>
      </c>
      <c r="D479" s="156" t="s">
        <v>2853</v>
      </c>
      <c r="E479" s="1" t="s">
        <v>1189</v>
      </c>
    </row>
    <row r="480" spans="1:5" x14ac:dyDescent="0.25">
      <c r="A480" s="157" t="s">
        <v>2853</v>
      </c>
      <c r="B480" s="162" t="s">
        <v>2853</v>
      </c>
      <c r="C480" s="11" t="s">
        <v>1138</v>
      </c>
      <c r="D480" s="156" t="s">
        <v>2853</v>
      </c>
      <c r="E480" s="1" t="s">
        <v>1189</v>
      </c>
    </row>
    <row r="481" spans="1:5" x14ac:dyDescent="0.25">
      <c r="A481" s="157" t="s">
        <v>2853</v>
      </c>
      <c r="B481" s="162" t="s">
        <v>2853</v>
      </c>
      <c r="C481" s="11" t="s">
        <v>1052</v>
      </c>
      <c r="D481" s="156" t="s">
        <v>2853</v>
      </c>
      <c r="E481" s="1" t="s">
        <v>1189</v>
      </c>
    </row>
    <row r="482" spans="1:5" x14ac:dyDescent="0.25">
      <c r="A482" s="157" t="s">
        <v>2853</v>
      </c>
      <c r="B482" s="162" t="s">
        <v>2853</v>
      </c>
      <c r="C482" s="11" t="s">
        <v>1053</v>
      </c>
      <c r="D482" s="156" t="s">
        <v>2853</v>
      </c>
      <c r="E482" s="1" t="s">
        <v>1189</v>
      </c>
    </row>
    <row r="483" spans="1:5" x14ac:dyDescent="0.25">
      <c r="A483" s="157" t="s">
        <v>2853</v>
      </c>
      <c r="B483" s="162" t="s">
        <v>2853</v>
      </c>
      <c r="C483" s="11" t="s">
        <v>1054</v>
      </c>
      <c r="D483" s="156" t="s">
        <v>2853</v>
      </c>
      <c r="E483" s="1" t="s">
        <v>1189</v>
      </c>
    </row>
    <row r="484" spans="1:5" x14ac:dyDescent="0.25">
      <c r="A484" s="157" t="s">
        <v>2853</v>
      </c>
      <c r="B484" s="162" t="s">
        <v>2853</v>
      </c>
      <c r="C484" s="11" t="s">
        <v>1055</v>
      </c>
      <c r="D484" s="156" t="s">
        <v>2853</v>
      </c>
      <c r="E484" s="1" t="s">
        <v>1189</v>
      </c>
    </row>
    <row r="485" spans="1:5" x14ac:dyDescent="0.25">
      <c r="A485" s="157" t="s">
        <v>2853</v>
      </c>
      <c r="B485" s="162" t="s">
        <v>2853</v>
      </c>
      <c r="C485" s="11" t="s">
        <v>1056</v>
      </c>
      <c r="D485" s="156" t="s">
        <v>2853</v>
      </c>
      <c r="E485" s="1" t="s">
        <v>1189</v>
      </c>
    </row>
    <row r="486" spans="1:5" x14ac:dyDescent="0.25">
      <c r="A486" s="157" t="s">
        <v>2853</v>
      </c>
      <c r="B486" s="162" t="s">
        <v>2853</v>
      </c>
      <c r="C486" s="11" t="s">
        <v>1057</v>
      </c>
      <c r="D486" s="156" t="s">
        <v>2853</v>
      </c>
      <c r="E486" s="1" t="s">
        <v>1189</v>
      </c>
    </row>
    <row r="487" spans="1:5" x14ac:dyDescent="0.25">
      <c r="A487" s="157" t="s">
        <v>2853</v>
      </c>
      <c r="B487" s="162" t="s">
        <v>2853</v>
      </c>
      <c r="C487" s="11" t="s">
        <v>1058</v>
      </c>
      <c r="D487" s="156" t="s">
        <v>2853</v>
      </c>
      <c r="E487" s="1" t="s">
        <v>1189</v>
      </c>
    </row>
    <row r="488" spans="1:5" x14ac:dyDescent="0.25">
      <c r="A488" s="157" t="s">
        <v>2853</v>
      </c>
      <c r="B488" s="162" t="s">
        <v>2853</v>
      </c>
      <c r="C488" s="11" t="s">
        <v>1059</v>
      </c>
      <c r="D488" s="156" t="s">
        <v>2853</v>
      </c>
      <c r="E488" s="1" t="s">
        <v>1189</v>
      </c>
    </row>
    <row r="489" spans="1:5" x14ac:dyDescent="0.25">
      <c r="A489" s="157" t="s">
        <v>2853</v>
      </c>
      <c r="B489" s="162" t="s">
        <v>2853</v>
      </c>
      <c r="C489" s="11" t="s">
        <v>102</v>
      </c>
      <c r="D489" s="156" t="s">
        <v>2853</v>
      </c>
    </row>
    <row r="490" spans="1:5" x14ac:dyDescent="0.25">
      <c r="A490" s="157" t="s">
        <v>2853</v>
      </c>
      <c r="B490" s="162" t="s">
        <v>2853</v>
      </c>
      <c r="C490" s="11" t="s">
        <v>780</v>
      </c>
      <c r="D490" s="156" t="s">
        <v>2853</v>
      </c>
    </row>
    <row r="491" spans="1:5" x14ac:dyDescent="0.25">
      <c r="A491" s="157" t="s">
        <v>2853</v>
      </c>
      <c r="B491" s="162" t="s">
        <v>2853</v>
      </c>
      <c r="C491" s="11" t="s">
        <v>776</v>
      </c>
      <c r="D491" s="156" t="s">
        <v>2853</v>
      </c>
    </row>
    <row r="492" spans="1:5" x14ac:dyDescent="0.25">
      <c r="A492" s="157" t="s">
        <v>2853</v>
      </c>
      <c r="B492" s="162" t="s">
        <v>2853</v>
      </c>
      <c r="C492" s="11" t="s">
        <v>777</v>
      </c>
      <c r="D492" s="156" t="s">
        <v>2853</v>
      </c>
    </row>
    <row r="493" spans="1:5" x14ac:dyDescent="0.25">
      <c r="A493" s="157" t="s">
        <v>2853</v>
      </c>
      <c r="B493" s="162" t="s">
        <v>2853</v>
      </c>
      <c r="C493" s="11" t="s">
        <v>778</v>
      </c>
      <c r="D493" s="156" t="s">
        <v>2853</v>
      </c>
    </row>
    <row r="494" spans="1:5" x14ac:dyDescent="0.25">
      <c r="A494" s="157" t="s">
        <v>2853</v>
      </c>
      <c r="B494" s="162" t="s">
        <v>2853</v>
      </c>
      <c r="C494" s="11" t="s">
        <v>775</v>
      </c>
      <c r="D494" s="156" t="s">
        <v>2853</v>
      </c>
    </row>
    <row r="495" spans="1:5" x14ac:dyDescent="0.25">
      <c r="A495" s="157" t="s">
        <v>2853</v>
      </c>
      <c r="B495" s="162" t="s">
        <v>2853</v>
      </c>
      <c r="C495" s="11" t="s">
        <v>781</v>
      </c>
      <c r="D495" s="156" t="s">
        <v>2853</v>
      </c>
    </row>
    <row r="496" spans="1:5" x14ac:dyDescent="0.25">
      <c r="A496" s="157" t="s">
        <v>2853</v>
      </c>
      <c r="B496" s="162" t="s">
        <v>2853</v>
      </c>
      <c r="C496" s="11" t="s">
        <v>782</v>
      </c>
      <c r="D496" s="156" t="s">
        <v>2853</v>
      </c>
    </row>
    <row r="497" spans="1:4" x14ac:dyDescent="0.25">
      <c r="A497" s="157" t="s">
        <v>2853</v>
      </c>
      <c r="B497" s="162" t="s">
        <v>2853</v>
      </c>
      <c r="C497" s="11" t="s">
        <v>779</v>
      </c>
      <c r="D497" s="156" t="s">
        <v>2853</v>
      </c>
    </row>
    <row r="498" spans="1:4" x14ac:dyDescent="0.25">
      <c r="A498" s="166" t="s">
        <v>2853</v>
      </c>
      <c r="B498" s="163" t="s">
        <v>2853</v>
      </c>
      <c r="C498" s="11" t="s">
        <v>130</v>
      </c>
      <c r="D498" s="156" t="s">
        <v>2853</v>
      </c>
    </row>
    <row r="499" spans="1:4" x14ac:dyDescent="0.25">
      <c r="A499" s="173" t="s">
        <v>2853</v>
      </c>
      <c r="B499" s="46" t="s">
        <v>642</v>
      </c>
      <c r="C499" s="10" t="s">
        <v>156</v>
      </c>
      <c r="D499" s="153" t="s">
        <v>2853</v>
      </c>
    </row>
    <row r="500" spans="1:4" x14ac:dyDescent="0.25">
      <c r="A500" s="170" t="s">
        <v>2853</v>
      </c>
      <c r="B500" s="174" t="s">
        <v>2853</v>
      </c>
      <c r="C500" s="10" t="s">
        <v>681</v>
      </c>
      <c r="D500" s="153" t="s">
        <v>2853</v>
      </c>
    </row>
    <row r="501" spans="1:4" x14ac:dyDescent="0.25">
      <c r="A501" s="170" t="s">
        <v>2853</v>
      </c>
      <c r="B501" s="174" t="s">
        <v>2853</v>
      </c>
      <c r="C501" s="10" t="s">
        <v>680</v>
      </c>
      <c r="D501" s="153" t="s">
        <v>2853</v>
      </c>
    </row>
    <row r="502" spans="1:4" x14ac:dyDescent="0.25">
      <c r="A502" s="170" t="s">
        <v>2853</v>
      </c>
      <c r="B502" s="174" t="s">
        <v>2853</v>
      </c>
      <c r="C502" s="10" t="s">
        <v>379</v>
      </c>
      <c r="D502" s="153" t="s">
        <v>2853</v>
      </c>
    </row>
    <row r="503" spans="1:4" x14ac:dyDescent="0.25">
      <c r="A503" s="170" t="s">
        <v>2853</v>
      </c>
      <c r="B503" s="174" t="s">
        <v>2853</v>
      </c>
      <c r="C503" s="10" t="s">
        <v>380</v>
      </c>
      <c r="D503" s="153" t="s">
        <v>2853</v>
      </c>
    </row>
    <row r="504" spans="1:4" x14ac:dyDescent="0.25">
      <c r="A504" s="170" t="s">
        <v>2853</v>
      </c>
      <c r="B504" s="174" t="s">
        <v>2853</v>
      </c>
      <c r="C504" s="10" t="s">
        <v>79</v>
      </c>
      <c r="D504" s="153" t="s">
        <v>2853</v>
      </c>
    </row>
    <row r="505" spans="1:4" x14ac:dyDescent="0.25">
      <c r="A505" s="170" t="s">
        <v>2853</v>
      </c>
      <c r="B505" s="174" t="s">
        <v>2853</v>
      </c>
      <c r="C505" s="10" t="s">
        <v>381</v>
      </c>
      <c r="D505" s="153" t="s">
        <v>2853</v>
      </c>
    </row>
    <row r="506" spans="1:4" x14ac:dyDescent="0.25">
      <c r="A506" s="170" t="s">
        <v>2853</v>
      </c>
      <c r="B506" s="174" t="s">
        <v>2853</v>
      </c>
      <c r="C506" s="10" t="s">
        <v>72</v>
      </c>
      <c r="D506" s="153" t="s">
        <v>2853</v>
      </c>
    </row>
    <row r="507" spans="1:4" x14ac:dyDescent="0.25">
      <c r="A507" s="170" t="s">
        <v>2853</v>
      </c>
      <c r="B507" s="174" t="s">
        <v>2853</v>
      </c>
      <c r="C507" s="10" t="s">
        <v>97</v>
      </c>
      <c r="D507" s="153" t="s">
        <v>2853</v>
      </c>
    </row>
    <row r="508" spans="1:4" x14ac:dyDescent="0.25">
      <c r="A508" s="170" t="s">
        <v>2853</v>
      </c>
      <c r="B508" s="174" t="s">
        <v>2853</v>
      </c>
      <c r="C508" s="10" t="s">
        <v>98</v>
      </c>
      <c r="D508" s="153" t="s">
        <v>2853</v>
      </c>
    </row>
    <row r="509" spans="1:4" x14ac:dyDescent="0.25">
      <c r="A509" s="170" t="s">
        <v>2853</v>
      </c>
      <c r="B509" s="174" t="s">
        <v>2853</v>
      </c>
      <c r="C509" s="10" t="s">
        <v>377</v>
      </c>
      <c r="D509" s="153" t="s">
        <v>2853</v>
      </c>
    </row>
    <row r="510" spans="1:4" x14ac:dyDescent="0.25">
      <c r="A510" s="170" t="s">
        <v>2853</v>
      </c>
      <c r="B510" s="174" t="s">
        <v>2853</v>
      </c>
      <c r="C510" s="10" t="s">
        <v>378</v>
      </c>
      <c r="D510" s="153" t="s">
        <v>2853</v>
      </c>
    </row>
    <row r="511" spans="1:4" x14ac:dyDescent="0.25">
      <c r="A511" s="170" t="s">
        <v>2853</v>
      </c>
      <c r="B511" s="174" t="s">
        <v>2853</v>
      </c>
      <c r="C511" s="10" t="s">
        <v>382</v>
      </c>
      <c r="D511" s="153" t="s">
        <v>2853</v>
      </c>
    </row>
    <row r="512" spans="1:4" x14ac:dyDescent="0.25">
      <c r="A512" s="170" t="s">
        <v>2853</v>
      </c>
      <c r="B512" s="174" t="s">
        <v>2853</v>
      </c>
      <c r="C512" s="10" t="s">
        <v>163</v>
      </c>
      <c r="D512" s="153" t="s">
        <v>2853</v>
      </c>
    </row>
    <row r="513" spans="1:4" x14ac:dyDescent="0.25">
      <c r="A513" s="170" t="s">
        <v>2853</v>
      </c>
      <c r="B513" s="174" t="s">
        <v>2853</v>
      </c>
      <c r="C513" s="10" t="s">
        <v>102</v>
      </c>
      <c r="D513" s="153" t="s">
        <v>2853</v>
      </c>
    </row>
    <row r="514" spans="1:4" x14ac:dyDescent="0.25">
      <c r="A514" s="157" t="s">
        <v>2853</v>
      </c>
      <c r="B514" s="21" t="s">
        <v>639</v>
      </c>
      <c r="C514" s="11" t="s">
        <v>55</v>
      </c>
      <c r="D514" s="156" t="s">
        <v>2853</v>
      </c>
    </row>
    <row r="515" spans="1:4" x14ac:dyDescent="0.25">
      <c r="A515" s="166" t="s">
        <v>2853</v>
      </c>
      <c r="B515" s="163" t="s">
        <v>2853</v>
      </c>
      <c r="C515" s="11" t="s">
        <v>62</v>
      </c>
      <c r="D515" s="156" t="s">
        <v>2853</v>
      </c>
    </row>
    <row r="516" spans="1:4" x14ac:dyDescent="0.25">
      <c r="A516" s="170" t="s">
        <v>2853</v>
      </c>
      <c r="B516" s="46" t="s">
        <v>282</v>
      </c>
      <c r="C516" s="10" t="s">
        <v>283</v>
      </c>
      <c r="D516" s="153" t="s">
        <v>2853</v>
      </c>
    </row>
    <row r="517" spans="1:4" x14ac:dyDescent="0.25">
      <c r="A517" s="170" t="s">
        <v>2853</v>
      </c>
      <c r="B517" s="174" t="s">
        <v>2853</v>
      </c>
      <c r="C517" s="10" t="s">
        <v>229</v>
      </c>
      <c r="D517" s="153" t="s">
        <v>2853</v>
      </c>
    </row>
    <row r="518" spans="1:4" x14ac:dyDescent="0.25">
      <c r="A518" s="170" t="s">
        <v>2853</v>
      </c>
      <c r="B518" s="174" t="s">
        <v>2853</v>
      </c>
      <c r="C518" s="10" t="s">
        <v>230</v>
      </c>
      <c r="D518" s="153" t="s">
        <v>2853</v>
      </c>
    </row>
    <row r="519" spans="1:4" x14ac:dyDescent="0.25">
      <c r="A519" s="170" t="s">
        <v>2853</v>
      </c>
      <c r="B519" s="174" t="s">
        <v>2853</v>
      </c>
      <c r="C519" s="10" t="s">
        <v>231</v>
      </c>
      <c r="D519" s="153" t="s">
        <v>2853</v>
      </c>
    </row>
    <row r="520" spans="1:4" x14ac:dyDescent="0.25">
      <c r="A520" s="155" t="s">
        <v>2853</v>
      </c>
      <c r="B520" s="21" t="s">
        <v>20</v>
      </c>
      <c r="C520" s="11" t="s">
        <v>610</v>
      </c>
      <c r="D520" s="156" t="s">
        <v>2853</v>
      </c>
    </row>
    <row r="521" spans="1:4" x14ac:dyDescent="0.25">
      <c r="A521" s="157" t="s">
        <v>2853</v>
      </c>
      <c r="B521" s="162" t="s">
        <v>2853</v>
      </c>
      <c r="C521" s="11" t="s">
        <v>611</v>
      </c>
      <c r="D521" s="156" t="s">
        <v>2853</v>
      </c>
    </row>
    <row r="522" spans="1:4" x14ac:dyDescent="0.25">
      <c r="A522" s="157" t="s">
        <v>2853</v>
      </c>
      <c r="B522" s="162" t="s">
        <v>2853</v>
      </c>
      <c r="C522" s="11" t="s">
        <v>427</v>
      </c>
      <c r="D522" s="156" t="s">
        <v>2853</v>
      </c>
    </row>
    <row r="523" spans="1:4" x14ac:dyDescent="0.25">
      <c r="A523" s="157" t="s">
        <v>2853</v>
      </c>
      <c r="B523" s="162" t="s">
        <v>2853</v>
      </c>
      <c r="C523" s="11" t="s">
        <v>428</v>
      </c>
      <c r="D523" s="156" t="s">
        <v>2853</v>
      </c>
    </row>
    <row r="524" spans="1:4" x14ac:dyDescent="0.25">
      <c r="A524" s="157" t="s">
        <v>2853</v>
      </c>
      <c r="B524" s="162" t="s">
        <v>2853</v>
      </c>
      <c r="C524" s="11" t="s">
        <v>91</v>
      </c>
      <c r="D524" s="156" t="s">
        <v>2853</v>
      </c>
    </row>
    <row r="525" spans="1:4" x14ac:dyDescent="0.25">
      <c r="A525" s="157" t="s">
        <v>2853</v>
      </c>
      <c r="B525" s="162" t="s">
        <v>2853</v>
      </c>
      <c r="C525" s="11" t="s">
        <v>80</v>
      </c>
      <c r="D525" s="156" t="s">
        <v>2853</v>
      </c>
    </row>
    <row r="526" spans="1:4" x14ac:dyDescent="0.25">
      <c r="A526" s="157" t="s">
        <v>2853</v>
      </c>
      <c r="B526" s="162" t="s">
        <v>2853</v>
      </c>
      <c r="C526" s="11" t="s">
        <v>108</v>
      </c>
      <c r="D526" s="156" t="s">
        <v>2853</v>
      </c>
    </row>
    <row r="527" spans="1:4" x14ac:dyDescent="0.25">
      <c r="A527" s="157" t="s">
        <v>2853</v>
      </c>
      <c r="B527" s="162" t="s">
        <v>2853</v>
      </c>
      <c r="C527" s="11" t="s">
        <v>612</v>
      </c>
      <c r="D527" s="156" t="s">
        <v>2853</v>
      </c>
    </row>
    <row r="528" spans="1:4" x14ac:dyDescent="0.25">
      <c r="A528" s="157" t="s">
        <v>2853</v>
      </c>
      <c r="B528" s="162" t="s">
        <v>2853</v>
      </c>
      <c r="C528" s="11" t="s">
        <v>465</v>
      </c>
      <c r="D528" s="156" t="s">
        <v>2853</v>
      </c>
    </row>
    <row r="529" spans="1:4" x14ac:dyDescent="0.25">
      <c r="A529" s="157" t="s">
        <v>2853</v>
      </c>
      <c r="B529" s="162" t="s">
        <v>2853</v>
      </c>
      <c r="C529" s="11" t="s">
        <v>98</v>
      </c>
      <c r="D529" s="156" t="s">
        <v>2853</v>
      </c>
    </row>
    <row r="530" spans="1:4" x14ac:dyDescent="0.25">
      <c r="A530" s="140" t="s">
        <v>2853</v>
      </c>
      <c r="B530" s="162" t="s">
        <v>2853</v>
      </c>
      <c r="C530" s="11" t="s">
        <v>425</v>
      </c>
      <c r="D530" s="156" t="s">
        <v>2853</v>
      </c>
    </row>
    <row r="531" spans="1:4" x14ac:dyDescent="0.25">
      <c r="A531" s="157" t="s">
        <v>2853</v>
      </c>
      <c r="B531" s="162" t="s">
        <v>2853</v>
      </c>
      <c r="C531" s="11" t="s">
        <v>630</v>
      </c>
      <c r="D531" s="149" t="s">
        <v>1193</v>
      </c>
    </row>
    <row r="532" spans="1:4" x14ac:dyDescent="0.25">
      <c r="A532" s="157" t="s">
        <v>2853</v>
      </c>
      <c r="B532" s="162" t="s">
        <v>2853</v>
      </c>
      <c r="C532" s="11" t="s">
        <v>631</v>
      </c>
      <c r="D532" s="149" t="s">
        <v>1193</v>
      </c>
    </row>
    <row r="533" spans="1:4" x14ac:dyDescent="0.25">
      <c r="A533" s="157" t="s">
        <v>2853</v>
      </c>
      <c r="B533" s="162" t="s">
        <v>2853</v>
      </c>
      <c r="C533" s="11" t="s">
        <v>632</v>
      </c>
      <c r="D533" s="149" t="s">
        <v>1193</v>
      </c>
    </row>
    <row r="534" spans="1:4" x14ac:dyDescent="0.25">
      <c r="A534" s="157" t="s">
        <v>2853</v>
      </c>
      <c r="B534" s="162" t="s">
        <v>2853</v>
      </c>
      <c r="C534" s="11" t="s">
        <v>58</v>
      </c>
      <c r="D534" s="156" t="s">
        <v>2853</v>
      </c>
    </row>
    <row r="535" spans="1:4" x14ac:dyDescent="0.25">
      <c r="A535" s="157" t="s">
        <v>2853</v>
      </c>
      <c r="B535" s="162" t="s">
        <v>2853</v>
      </c>
      <c r="C535" s="11" t="s">
        <v>103</v>
      </c>
      <c r="D535" s="156" t="s">
        <v>2853</v>
      </c>
    </row>
    <row r="536" spans="1:4" x14ac:dyDescent="0.25">
      <c r="A536" s="157" t="s">
        <v>2853</v>
      </c>
      <c r="B536" s="162" t="s">
        <v>2853</v>
      </c>
      <c r="C536" s="11" t="s">
        <v>45</v>
      </c>
      <c r="D536" s="156" t="s">
        <v>2853</v>
      </c>
    </row>
    <row r="537" spans="1:4" x14ac:dyDescent="0.25">
      <c r="A537" s="157" t="s">
        <v>2853</v>
      </c>
      <c r="B537" s="162" t="s">
        <v>2853</v>
      </c>
      <c r="C537" s="11" t="s">
        <v>426</v>
      </c>
      <c r="D537" s="156" t="s">
        <v>2853</v>
      </c>
    </row>
    <row r="538" spans="1:4" x14ac:dyDescent="0.25">
      <c r="A538" s="157" t="s">
        <v>2853</v>
      </c>
      <c r="B538" s="162" t="s">
        <v>2853</v>
      </c>
      <c r="C538" s="11" t="s">
        <v>760</v>
      </c>
      <c r="D538" s="156" t="s">
        <v>2853</v>
      </c>
    </row>
    <row r="539" spans="1:4" x14ac:dyDescent="0.25">
      <c r="A539" s="157" t="s">
        <v>2853</v>
      </c>
      <c r="B539" s="162" t="s">
        <v>2853</v>
      </c>
      <c r="C539" s="11" t="s">
        <v>86</v>
      </c>
      <c r="D539" s="156" t="s">
        <v>2853</v>
      </c>
    </row>
    <row r="540" spans="1:4" x14ac:dyDescent="0.25">
      <c r="A540" s="157" t="s">
        <v>2853</v>
      </c>
      <c r="B540" s="162" t="s">
        <v>2853</v>
      </c>
      <c r="C540" s="11" t="s">
        <v>693</v>
      </c>
      <c r="D540" s="156" t="s">
        <v>2853</v>
      </c>
    </row>
    <row r="541" spans="1:4" x14ac:dyDescent="0.25">
      <c r="A541" s="157" t="s">
        <v>2853</v>
      </c>
      <c r="B541" s="162" t="s">
        <v>2853</v>
      </c>
      <c r="C541" s="11" t="s">
        <v>759</v>
      </c>
      <c r="D541" s="156" t="s">
        <v>2853</v>
      </c>
    </row>
    <row r="542" spans="1:4" x14ac:dyDescent="0.25">
      <c r="A542" s="157" t="s">
        <v>2853</v>
      </c>
      <c r="B542" s="162" t="s">
        <v>2853</v>
      </c>
      <c r="C542" s="11" t="s">
        <v>163</v>
      </c>
      <c r="D542" s="156" t="s">
        <v>2853</v>
      </c>
    </row>
    <row r="543" spans="1:4" x14ac:dyDescent="0.25">
      <c r="A543" s="157" t="s">
        <v>2853</v>
      </c>
      <c r="B543" s="162" t="s">
        <v>2853</v>
      </c>
      <c r="C543" s="11" t="s">
        <v>102</v>
      </c>
      <c r="D543" s="175" t="s">
        <v>2853</v>
      </c>
    </row>
    <row r="544" spans="1:4" x14ac:dyDescent="0.25">
      <c r="A544" s="169" t="s">
        <v>2853</v>
      </c>
      <c r="B544" s="42" t="s">
        <v>866</v>
      </c>
      <c r="C544" s="10" t="s">
        <v>55</v>
      </c>
      <c r="D544" s="153" t="s">
        <v>2853</v>
      </c>
    </row>
    <row r="545" spans="1:4" x14ac:dyDescent="0.25">
      <c r="A545" s="170" t="s">
        <v>2853</v>
      </c>
      <c r="B545" s="174" t="s">
        <v>2853</v>
      </c>
      <c r="C545" s="10" t="s">
        <v>62</v>
      </c>
      <c r="D545" s="153" t="s">
        <v>2853</v>
      </c>
    </row>
    <row r="546" spans="1:4" x14ac:dyDescent="0.25">
      <c r="A546" s="157" t="s">
        <v>2853</v>
      </c>
      <c r="B546" s="21" t="s">
        <v>420</v>
      </c>
      <c r="C546" s="11" t="s">
        <v>444</v>
      </c>
      <c r="D546" s="156" t="s">
        <v>2853</v>
      </c>
    </row>
    <row r="547" spans="1:4" x14ac:dyDescent="0.25">
      <c r="A547" s="157" t="s">
        <v>2853</v>
      </c>
      <c r="B547" s="162" t="s">
        <v>2853</v>
      </c>
      <c r="C547" s="11" t="s">
        <v>439</v>
      </c>
      <c r="D547" s="156" t="s">
        <v>2853</v>
      </c>
    </row>
    <row r="548" spans="1:4" x14ac:dyDescent="0.25">
      <c r="A548" s="157" t="s">
        <v>2853</v>
      </c>
      <c r="B548" s="162" t="s">
        <v>2853</v>
      </c>
      <c r="C548" s="11" t="s">
        <v>423</v>
      </c>
      <c r="D548" s="156" t="s">
        <v>2853</v>
      </c>
    </row>
    <row r="549" spans="1:4" x14ac:dyDescent="0.25">
      <c r="A549" s="157" t="s">
        <v>2853</v>
      </c>
      <c r="B549" s="162" t="s">
        <v>2853</v>
      </c>
      <c r="C549" s="11" t="s">
        <v>422</v>
      </c>
      <c r="D549" s="156" t="s">
        <v>2853</v>
      </c>
    </row>
    <row r="550" spans="1:4" x14ac:dyDescent="0.25">
      <c r="A550" s="157" t="s">
        <v>2853</v>
      </c>
      <c r="B550" s="162" t="s">
        <v>2853</v>
      </c>
      <c r="C550" s="11" t="s">
        <v>424</v>
      </c>
      <c r="D550" s="156" t="s">
        <v>2853</v>
      </c>
    </row>
    <row r="551" spans="1:4" x14ac:dyDescent="0.25">
      <c r="A551" s="169" t="s">
        <v>2853</v>
      </c>
      <c r="B551" s="42" t="s">
        <v>690</v>
      </c>
      <c r="C551" s="10" t="s">
        <v>55</v>
      </c>
      <c r="D551" s="153" t="s">
        <v>2853</v>
      </c>
    </row>
    <row r="552" spans="1:4" x14ac:dyDescent="0.25">
      <c r="A552" s="170" t="s">
        <v>2853</v>
      </c>
      <c r="B552" s="174" t="s">
        <v>2853</v>
      </c>
      <c r="C552" s="10" t="s">
        <v>62</v>
      </c>
      <c r="D552" s="153" t="s">
        <v>2853</v>
      </c>
    </row>
    <row r="553" spans="1:4" x14ac:dyDescent="0.25">
      <c r="A553" s="176" t="s">
        <v>2853</v>
      </c>
      <c r="B553" s="21" t="s">
        <v>833</v>
      </c>
      <c r="C553" s="11" t="s">
        <v>834</v>
      </c>
      <c r="D553" s="156" t="s">
        <v>2853</v>
      </c>
    </row>
    <row r="554" spans="1:4" x14ac:dyDescent="0.25">
      <c r="A554" s="177" t="s">
        <v>2853</v>
      </c>
      <c r="B554" s="177" t="s">
        <v>2853</v>
      </c>
      <c r="C554" s="11" t="s">
        <v>835</v>
      </c>
      <c r="D554" s="156" t="s">
        <v>2853</v>
      </c>
    </row>
    <row r="555" spans="1:4" x14ac:dyDescent="0.25">
      <c r="A555" s="177" t="s">
        <v>2853</v>
      </c>
      <c r="B555" s="177" t="s">
        <v>2853</v>
      </c>
      <c r="C555" s="11" t="s">
        <v>836</v>
      </c>
      <c r="D555" s="156" t="s">
        <v>2853</v>
      </c>
    </row>
    <row r="556" spans="1:4" x14ac:dyDescent="0.25">
      <c r="A556" s="177" t="s">
        <v>2853</v>
      </c>
      <c r="B556" s="177" t="s">
        <v>2853</v>
      </c>
      <c r="C556" s="11" t="s">
        <v>837</v>
      </c>
      <c r="D556" s="156" t="s">
        <v>2853</v>
      </c>
    </row>
    <row r="557" spans="1:4" x14ac:dyDescent="0.25">
      <c r="A557" s="177" t="s">
        <v>2853</v>
      </c>
      <c r="B557" s="177" t="s">
        <v>2853</v>
      </c>
      <c r="C557" s="11" t="s">
        <v>838</v>
      </c>
      <c r="D557" s="156" t="s">
        <v>2853</v>
      </c>
    </row>
    <row r="558" spans="1:4" x14ac:dyDescent="0.25">
      <c r="A558" s="177" t="s">
        <v>2853</v>
      </c>
      <c r="B558" s="177" t="s">
        <v>2853</v>
      </c>
      <c r="C558" s="11" t="s">
        <v>839</v>
      </c>
      <c r="D558" s="156" t="s">
        <v>2853</v>
      </c>
    </row>
    <row r="559" spans="1:4" x14ac:dyDescent="0.25">
      <c r="A559" s="177" t="s">
        <v>2853</v>
      </c>
      <c r="B559" s="177" t="s">
        <v>2853</v>
      </c>
      <c r="C559" s="11" t="s">
        <v>840</v>
      </c>
      <c r="D559" s="156" t="s">
        <v>2853</v>
      </c>
    </row>
    <row r="560" spans="1:4" x14ac:dyDescent="0.25">
      <c r="A560" s="177" t="s">
        <v>2853</v>
      </c>
      <c r="B560" s="177" t="s">
        <v>2853</v>
      </c>
      <c r="C560" s="11" t="s">
        <v>841</v>
      </c>
      <c r="D560" s="156" t="s">
        <v>2853</v>
      </c>
    </row>
    <row r="561" spans="1:4" x14ac:dyDescent="0.25">
      <c r="A561" s="177" t="s">
        <v>2853</v>
      </c>
      <c r="B561" s="177" t="s">
        <v>2853</v>
      </c>
      <c r="C561" s="11" t="s">
        <v>842</v>
      </c>
      <c r="D561" s="156" t="s">
        <v>2853</v>
      </c>
    </row>
    <row r="562" spans="1:4" x14ac:dyDescent="0.25">
      <c r="A562" s="177" t="s">
        <v>2853</v>
      </c>
      <c r="B562" s="177" t="s">
        <v>2853</v>
      </c>
      <c r="C562" s="11" t="s">
        <v>843</v>
      </c>
      <c r="D562" s="156" t="s">
        <v>2853</v>
      </c>
    </row>
    <row r="563" spans="1:4" x14ac:dyDescent="0.25">
      <c r="A563" s="177" t="s">
        <v>2853</v>
      </c>
      <c r="B563" s="177" t="s">
        <v>2853</v>
      </c>
      <c r="C563" s="11" t="s">
        <v>844</v>
      </c>
      <c r="D563" s="156" t="s">
        <v>2853</v>
      </c>
    </row>
    <row r="564" spans="1:4" x14ac:dyDescent="0.25">
      <c r="A564" s="177" t="s">
        <v>2853</v>
      </c>
      <c r="B564" s="177" t="s">
        <v>2853</v>
      </c>
      <c r="C564" s="11" t="s">
        <v>845</v>
      </c>
      <c r="D564" s="156" t="s">
        <v>2853</v>
      </c>
    </row>
    <row r="565" spans="1:4" x14ac:dyDescent="0.25">
      <c r="A565" s="177" t="s">
        <v>2853</v>
      </c>
      <c r="B565" s="177" t="s">
        <v>2853</v>
      </c>
      <c r="C565" s="11" t="s">
        <v>846</v>
      </c>
      <c r="D565" s="156" t="s">
        <v>2853</v>
      </c>
    </row>
    <row r="566" spans="1:4" x14ac:dyDescent="0.25">
      <c r="A566" s="177" t="s">
        <v>2853</v>
      </c>
      <c r="B566" s="177" t="s">
        <v>2853</v>
      </c>
      <c r="C566" s="11" t="s">
        <v>847</v>
      </c>
      <c r="D566" s="156" t="s">
        <v>2853</v>
      </c>
    </row>
    <row r="567" spans="1:4" x14ac:dyDescent="0.25">
      <c r="A567" s="177" t="s">
        <v>2853</v>
      </c>
      <c r="B567" s="177" t="s">
        <v>2853</v>
      </c>
      <c r="C567" s="11" t="s">
        <v>848</v>
      </c>
      <c r="D567" s="156" t="s">
        <v>2853</v>
      </c>
    </row>
    <row r="568" spans="1:4" x14ac:dyDescent="0.25">
      <c r="A568" s="177" t="s">
        <v>2853</v>
      </c>
      <c r="B568" s="177" t="s">
        <v>2853</v>
      </c>
      <c r="C568" s="11" t="s">
        <v>849</v>
      </c>
      <c r="D568" s="156" t="s">
        <v>2853</v>
      </c>
    </row>
    <row r="569" spans="1:4" x14ac:dyDescent="0.25">
      <c r="A569" s="177" t="s">
        <v>2853</v>
      </c>
      <c r="B569" s="177" t="s">
        <v>2853</v>
      </c>
      <c r="C569" s="11" t="s">
        <v>850</v>
      </c>
      <c r="D569" s="156" t="s">
        <v>2853</v>
      </c>
    </row>
    <row r="570" spans="1:4" x14ac:dyDescent="0.25">
      <c r="A570" s="177" t="s">
        <v>2853</v>
      </c>
      <c r="B570" s="177" t="s">
        <v>2853</v>
      </c>
      <c r="C570" s="11" t="s">
        <v>851</v>
      </c>
      <c r="D570" s="156" t="s">
        <v>2853</v>
      </c>
    </row>
    <row r="571" spans="1:4" x14ac:dyDescent="0.25">
      <c r="A571" s="177" t="s">
        <v>2853</v>
      </c>
      <c r="B571" s="177" t="s">
        <v>2853</v>
      </c>
      <c r="C571" s="11" t="s">
        <v>852</v>
      </c>
      <c r="D571" s="156" t="s">
        <v>2853</v>
      </c>
    </row>
    <row r="572" spans="1:4" x14ac:dyDescent="0.25">
      <c r="A572" s="177" t="s">
        <v>2853</v>
      </c>
      <c r="B572" s="177" t="s">
        <v>2853</v>
      </c>
      <c r="C572" s="11" t="s">
        <v>853</v>
      </c>
      <c r="D572" s="156" t="s">
        <v>2853</v>
      </c>
    </row>
    <row r="573" spans="1:4" x14ac:dyDescent="0.25">
      <c r="A573" s="177" t="s">
        <v>2853</v>
      </c>
      <c r="B573" s="177" t="s">
        <v>2853</v>
      </c>
      <c r="C573" s="11" t="s">
        <v>854</v>
      </c>
      <c r="D573" s="156" t="s">
        <v>2853</v>
      </c>
    </row>
    <row r="574" spans="1:4" x14ac:dyDescent="0.25">
      <c r="A574" s="177" t="s">
        <v>2853</v>
      </c>
      <c r="B574" s="177" t="s">
        <v>2853</v>
      </c>
      <c r="C574" s="11" t="s">
        <v>855</v>
      </c>
      <c r="D574" s="156" t="s">
        <v>2853</v>
      </c>
    </row>
    <row r="575" spans="1:4" x14ac:dyDescent="0.25">
      <c r="A575" s="177" t="s">
        <v>2853</v>
      </c>
      <c r="B575" s="177" t="s">
        <v>2853</v>
      </c>
      <c r="C575" s="11" t="s">
        <v>856</v>
      </c>
      <c r="D575" s="156" t="s">
        <v>2853</v>
      </c>
    </row>
    <row r="576" spans="1:4" x14ac:dyDescent="0.25">
      <c r="A576" s="177" t="s">
        <v>2853</v>
      </c>
      <c r="B576" s="177" t="s">
        <v>2853</v>
      </c>
      <c r="C576" s="11" t="s">
        <v>857</v>
      </c>
      <c r="D576" s="156" t="s">
        <v>2853</v>
      </c>
    </row>
    <row r="577" spans="1:5" x14ac:dyDescent="0.25">
      <c r="A577" s="177" t="s">
        <v>2853</v>
      </c>
      <c r="B577" s="177" t="s">
        <v>2853</v>
      </c>
      <c r="C577" s="11" t="s">
        <v>858</v>
      </c>
      <c r="D577" s="156" t="s">
        <v>2853</v>
      </c>
    </row>
    <row r="578" spans="1:5" x14ac:dyDescent="0.25">
      <c r="A578" s="177" t="s">
        <v>2853</v>
      </c>
      <c r="B578" s="177" t="s">
        <v>2853</v>
      </c>
      <c r="C578" s="11" t="s">
        <v>859</v>
      </c>
      <c r="D578" s="156" t="s">
        <v>2853</v>
      </c>
    </row>
    <row r="579" spans="1:5" x14ac:dyDescent="0.25">
      <c r="A579" s="177" t="s">
        <v>2853</v>
      </c>
      <c r="B579" s="177" t="s">
        <v>2853</v>
      </c>
      <c r="C579" s="11" t="s">
        <v>860</v>
      </c>
      <c r="D579" s="156" t="s">
        <v>2853</v>
      </c>
    </row>
    <row r="580" spans="1:5" x14ac:dyDescent="0.25">
      <c r="A580" s="177" t="s">
        <v>2853</v>
      </c>
      <c r="B580" s="177" t="s">
        <v>2853</v>
      </c>
      <c r="C580" s="11" t="s">
        <v>1191</v>
      </c>
      <c r="D580" s="156" t="s">
        <v>2853</v>
      </c>
      <c r="E580" s="1" t="s">
        <v>1189</v>
      </c>
    </row>
    <row r="581" spans="1:5" x14ac:dyDescent="0.25">
      <c r="A581" s="177" t="s">
        <v>2853</v>
      </c>
      <c r="B581" s="177" t="s">
        <v>2853</v>
      </c>
      <c r="C581" s="11" t="s">
        <v>1192</v>
      </c>
      <c r="D581" s="156" t="s">
        <v>2853</v>
      </c>
      <c r="E581" s="1" t="s">
        <v>1189</v>
      </c>
    </row>
    <row r="582" spans="1:5" x14ac:dyDescent="0.25">
      <c r="A582" s="177" t="s">
        <v>2853</v>
      </c>
      <c r="B582" s="177" t="s">
        <v>2853</v>
      </c>
      <c r="C582" s="11" t="s">
        <v>867</v>
      </c>
      <c r="D582" s="156" t="s">
        <v>2853</v>
      </c>
    </row>
    <row r="583" spans="1:5" x14ac:dyDescent="0.25">
      <c r="A583" s="177" t="s">
        <v>2853</v>
      </c>
      <c r="B583" s="177" t="s">
        <v>2853</v>
      </c>
      <c r="C583" s="11" t="s">
        <v>868</v>
      </c>
      <c r="D583" s="156" t="s">
        <v>2853</v>
      </c>
    </row>
    <row r="584" spans="1:5" x14ac:dyDescent="0.25">
      <c r="A584" s="177" t="s">
        <v>2853</v>
      </c>
      <c r="B584" s="177" t="s">
        <v>2853</v>
      </c>
      <c r="C584" s="11" t="s">
        <v>869</v>
      </c>
      <c r="D584" s="156" t="s">
        <v>2853</v>
      </c>
    </row>
    <row r="585" spans="1:5" x14ac:dyDescent="0.25">
      <c r="A585" s="177" t="s">
        <v>2853</v>
      </c>
      <c r="B585" s="177" t="s">
        <v>2853</v>
      </c>
      <c r="C585" s="11" t="s">
        <v>870</v>
      </c>
      <c r="D585" s="156" t="s">
        <v>2853</v>
      </c>
    </row>
    <row r="586" spans="1:5" x14ac:dyDescent="0.25">
      <c r="A586" s="177" t="s">
        <v>2853</v>
      </c>
      <c r="B586" s="177" t="s">
        <v>2853</v>
      </c>
      <c r="C586" s="11" t="s">
        <v>871</v>
      </c>
      <c r="D586" s="156" t="s">
        <v>2853</v>
      </c>
    </row>
    <row r="587" spans="1:5" x14ac:dyDescent="0.25">
      <c r="A587" s="177" t="s">
        <v>2853</v>
      </c>
      <c r="B587" s="177" t="s">
        <v>2853</v>
      </c>
      <c r="C587" s="11" t="s">
        <v>861</v>
      </c>
      <c r="D587" s="156" t="s">
        <v>2853</v>
      </c>
    </row>
    <row r="588" spans="1:5" x14ac:dyDescent="0.25">
      <c r="A588" s="177" t="s">
        <v>2853</v>
      </c>
      <c r="B588" s="177" t="s">
        <v>2853</v>
      </c>
      <c r="C588" s="11" t="s">
        <v>862</v>
      </c>
      <c r="D588" s="156" t="s">
        <v>2853</v>
      </c>
    </row>
    <row r="589" spans="1:5" x14ac:dyDescent="0.25">
      <c r="A589" s="177" t="s">
        <v>2853</v>
      </c>
      <c r="B589" s="177" t="s">
        <v>2853</v>
      </c>
      <c r="C589" s="11" t="s">
        <v>863</v>
      </c>
      <c r="D589" s="156" t="s">
        <v>2853</v>
      </c>
    </row>
    <row r="590" spans="1:5" x14ac:dyDescent="0.25">
      <c r="A590" s="177" t="s">
        <v>2853</v>
      </c>
      <c r="B590" s="177" t="s">
        <v>2853</v>
      </c>
      <c r="C590" s="11" t="s">
        <v>864</v>
      </c>
      <c r="D590" s="156" t="s">
        <v>2853</v>
      </c>
    </row>
    <row r="591" spans="1:5" x14ac:dyDescent="0.25">
      <c r="A591" s="178" t="s">
        <v>2853</v>
      </c>
      <c r="B591" s="178" t="s">
        <v>2853</v>
      </c>
      <c r="C591" s="11" t="s">
        <v>865</v>
      </c>
      <c r="D591" s="156" t="s">
        <v>2853</v>
      </c>
    </row>
    <row r="592" spans="1:5" x14ac:dyDescent="0.25">
      <c r="A592" s="170" t="s">
        <v>2853</v>
      </c>
      <c r="B592" s="46" t="s">
        <v>440</v>
      </c>
      <c r="C592" s="10" t="s">
        <v>441</v>
      </c>
      <c r="D592" s="153" t="s">
        <v>2853</v>
      </c>
    </row>
    <row r="593" spans="1:4" x14ac:dyDescent="0.25">
      <c r="A593" s="170" t="s">
        <v>2853</v>
      </c>
      <c r="B593" s="174" t="s">
        <v>2853</v>
      </c>
      <c r="C593" s="10" t="s">
        <v>442</v>
      </c>
      <c r="D593" s="153" t="s">
        <v>2853</v>
      </c>
    </row>
    <row r="594" spans="1:4" x14ac:dyDescent="0.25">
      <c r="A594" s="170" t="s">
        <v>2853</v>
      </c>
      <c r="B594" s="174" t="s">
        <v>2853</v>
      </c>
      <c r="C594" s="10" t="s">
        <v>102</v>
      </c>
      <c r="D594" s="153" t="s">
        <v>2853</v>
      </c>
    </row>
    <row r="595" spans="1:4" x14ac:dyDescent="0.25">
      <c r="A595" s="179" t="s">
        <v>2853</v>
      </c>
      <c r="B595" s="41" t="s">
        <v>685</v>
      </c>
      <c r="C595" s="11" t="s">
        <v>55</v>
      </c>
      <c r="D595" s="156" t="s">
        <v>2853</v>
      </c>
    </row>
    <row r="596" spans="1:4" x14ac:dyDescent="0.25">
      <c r="A596" s="180" t="s">
        <v>2853</v>
      </c>
      <c r="B596" s="181" t="s">
        <v>2853</v>
      </c>
      <c r="C596" s="47" t="s">
        <v>62</v>
      </c>
      <c r="D596" s="156" t="s">
        <v>2853</v>
      </c>
    </row>
    <row r="597" spans="1:4" x14ac:dyDescent="0.25">
      <c r="A597" s="173" t="s">
        <v>2853</v>
      </c>
      <c r="B597" s="42" t="s">
        <v>289</v>
      </c>
      <c r="C597" s="10" t="s">
        <v>273</v>
      </c>
      <c r="D597" s="153" t="s">
        <v>2853</v>
      </c>
    </row>
    <row r="598" spans="1:4" x14ac:dyDescent="0.25">
      <c r="A598" s="170" t="s">
        <v>2853</v>
      </c>
      <c r="B598" s="170" t="s">
        <v>2853</v>
      </c>
      <c r="C598" s="10" t="s">
        <v>445</v>
      </c>
      <c r="D598" s="153" t="s">
        <v>2853</v>
      </c>
    </row>
    <row r="599" spans="1:4" x14ac:dyDescent="0.25">
      <c r="A599" s="170" t="s">
        <v>2853</v>
      </c>
      <c r="B599" s="170" t="s">
        <v>2853</v>
      </c>
      <c r="C599" s="10" t="s">
        <v>271</v>
      </c>
      <c r="D599" s="153" t="s">
        <v>2853</v>
      </c>
    </row>
    <row r="600" spans="1:4" x14ac:dyDescent="0.25">
      <c r="A600" s="170" t="s">
        <v>2853</v>
      </c>
      <c r="B600" s="170" t="s">
        <v>2853</v>
      </c>
      <c r="C600" s="10" t="s">
        <v>272</v>
      </c>
      <c r="D600" s="153" t="s">
        <v>2853</v>
      </c>
    </row>
    <row r="601" spans="1:4" x14ac:dyDescent="0.25">
      <c r="A601" s="170" t="s">
        <v>2853</v>
      </c>
      <c r="B601" s="170" t="s">
        <v>2853</v>
      </c>
      <c r="C601" s="10" t="s">
        <v>383</v>
      </c>
      <c r="D601" s="153" t="s">
        <v>2853</v>
      </c>
    </row>
    <row r="602" spans="1:4" x14ac:dyDescent="0.25">
      <c r="A602" s="170" t="s">
        <v>2853</v>
      </c>
      <c r="B602" s="170" t="s">
        <v>2853</v>
      </c>
      <c r="C602" s="10" t="s">
        <v>384</v>
      </c>
      <c r="D602" s="153" t="s">
        <v>2853</v>
      </c>
    </row>
    <row r="603" spans="1:4" x14ac:dyDescent="0.25">
      <c r="A603" s="170" t="s">
        <v>2853</v>
      </c>
      <c r="B603" s="170" t="s">
        <v>2853</v>
      </c>
      <c r="C603" s="10" t="s">
        <v>385</v>
      </c>
      <c r="D603" s="153" t="s">
        <v>2853</v>
      </c>
    </row>
    <row r="604" spans="1:4" x14ac:dyDescent="0.25">
      <c r="A604" s="170" t="s">
        <v>2853</v>
      </c>
      <c r="B604" s="170" t="s">
        <v>2853</v>
      </c>
      <c r="C604" s="10" t="s">
        <v>386</v>
      </c>
      <c r="D604" s="153" t="s">
        <v>2853</v>
      </c>
    </row>
    <row r="605" spans="1:4" x14ac:dyDescent="0.25">
      <c r="A605" s="170" t="s">
        <v>2853</v>
      </c>
      <c r="B605" s="170" t="s">
        <v>2853</v>
      </c>
      <c r="C605" s="10" t="s">
        <v>274</v>
      </c>
      <c r="D605" s="153" t="s">
        <v>2853</v>
      </c>
    </row>
    <row r="606" spans="1:4" x14ac:dyDescent="0.25">
      <c r="A606" s="170" t="s">
        <v>2853</v>
      </c>
      <c r="B606" s="170" t="s">
        <v>2853</v>
      </c>
      <c r="C606" s="10" t="s">
        <v>387</v>
      </c>
      <c r="D606" s="153" t="s">
        <v>2853</v>
      </c>
    </row>
    <row r="607" spans="1:4" x14ac:dyDescent="0.25">
      <c r="A607" s="170" t="s">
        <v>2853</v>
      </c>
      <c r="B607" s="170" t="s">
        <v>2853</v>
      </c>
      <c r="C607" s="10" t="s">
        <v>388</v>
      </c>
      <c r="D607" s="153" t="s">
        <v>2853</v>
      </c>
    </row>
    <row r="608" spans="1:4" x14ac:dyDescent="0.25">
      <c r="A608" s="170" t="s">
        <v>2853</v>
      </c>
      <c r="B608" s="170" t="s">
        <v>2853</v>
      </c>
      <c r="C608" s="10" t="s">
        <v>389</v>
      </c>
      <c r="D608" s="153" t="s">
        <v>2853</v>
      </c>
    </row>
    <row r="609" spans="1:5" x14ac:dyDescent="0.25">
      <c r="A609" s="170" t="s">
        <v>2853</v>
      </c>
      <c r="B609" s="170" t="s">
        <v>2853</v>
      </c>
      <c r="C609" s="10" t="s">
        <v>390</v>
      </c>
      <c r="D609" s="153" t="s">
        <v>2853</v>
      </c>
    </row>
    <row r="610" spans="1:5" x14ac:dyDescent="0.25">
      <c r="A610" s="170" t="s">
        <v>2853</v>
      </c>
      <c r="B610" s="170" t="s">
        <v>2853</v>
      </c>
      <c r="C610" s="10" t="s">
        <v>391</v>
      </c>
      <c r="D610" s="153" t="s">
        <v>2853</v>
      </c>
    </row>
    <row r="611" spans="1:5" x14ac:dyDescent="0.25">
      <c r="A611" s="170" t="s">
        <v>2853</v>
      </c>
      <c r="B611" s="170" t="s">
        <v>2853</v>
      </c>
      <c r="C611" s="10" t="s">
        <v>275</v>
      </c>
      <c r="D611" s="153" t="s">
        <v>2853</v>
      </c>
    </row>
    <row r="612" spans="1:5" x14ac:dyDescent="0.25">
      <c r="A612" s="170" t="s">
        <v>2853</v>
      </c>
      <c r="B612" s="170" t="s">
        <v>2853</v>
      </c>
      <c r="C612" s="10" t="s">
        <v>392</v>
      </c>
      <c r="D612" s="153" t="s">
        <v>2853</v>
      </c>
    </row>
    <row r="613" spans="1:5" x14ac:dyDescent="0.25">
      <c r="A613" s="170" t="s">
        <v>2853</v>
      </c>
      <c r="B613" s="170" t="s">
        <v>2853</v>
      </c>
      <c r="C613" s="10" t="s">
        <v>276</v>
      </c>
      <c r="D613" s="153" t="s">
        <v>2853</v>
      </c>
    </row>
    <row r="614" spans="1:5" x14ac:dyDescent="0.25">
      <c r="A614" s="170" t="s">
        <v>2853</v>
      </c>
      <c r="B614" s="170" t="s">
        <v>2853</v>
      </c>
      <c r="C614" s="10" t="s">
        <v>277</v>
      </c>
      <c r="D614" s="153" t="s">
        <v>2853</v>
      </c>
    </row>
    <row r="615" spans="1:5" x14ac:dyDescent="0.25">
      <c r="A615" s="170" t="s">
        <v>2853</v>
      </c>
      <c r="B615" s="170" t="s">
        <v>2853</v>
      </c>
      <c r="C615" s="10" t="s">
        <v>393</v>
      </c>
      <c r="D615" s="153" t="s">
        <v>2853</v>
      </c>
    </row>
    <row r="616" spans="1:5" x14ac:dyDescent="0.25">
      <c r="A616" s="170" t="s">
        <v>2853</v>
      </c>
      <c r="B616" s="170" t="s">
        <v>2853</v>
      </c>
      <c r="C616" s="10" t="s">
        <v>394</v>
      </c>
      <c r="D616" s="153" t="s">
        <v>2853</v>
      </c>
    </row>
    <row r="617" spans="1:5" x14ac:dyDescent="0.25">
      <c r="A617" s="170" t="s">
        <v>2853</v>
      </c>
      <c r="B617" s="170" t="s">
        <v>2853</v>
      </c>
      <c r="C617" s="10" t="s">
        <v>395</v>
      </c>
      <c r="D617" s="153" t="s">
        <v>2853</v>
      </c>
    </row>
    <row r="618" spans="1:5" x14ac:dyDescent="0.25">
      <c r="A618" s="170" t="s">
        <v>2853</v>
      </c>
      <c r="B618" s="170" t="s">
        <v>2853</v>
      </c>
      <c r="C618" s="10" t="s">
        <v>278</v>
      </c>
      <c r="D618" s="153" t="s">
        <v>2853</v>
      </c>
    </row>
    <row r="619" spans="1:5" x14ac:dyDescent="0.25">
      <c r="A619" s="170" t="s">
        <v>2853</v>
      </c>
      <c r="B619" s="170" t="s">
        <v>2853</v>
      </c>
      <c r="C619" s="10" t="s">
        <v>279</v>
      </c>
      <c r="D619" s="153" t="s">
        <v>2853</v>
      </c>
    </row>
    <row r="620" spans="1:5" x14ac:dyDescent="0.25">
      <c r="A620" s="170" t="s">
        <v>2853</v>
      </c>
      <c r="B620" s="170" t="s">
        <v>2853</v>
      </c>
      <c r="C620" s="10" t="s">
        <v>130</v>
      </c>
      <c r="D620" s="153" t="s">
        <v>2853</v>
      </c>
    </row>
    <row r="621" spans="1:5" x14ac:dyDescent="0.25">
      <c r="A621" s="170" t="s">
        <v>2853</v>
      </c>
      <c r="B621" s="170" t="s">
        <v>2853</v>
      </c>
      <c r="C621" s="10" t="s">
        <v>1153</v>
      </c>
      <c r="D621" s="153" t="s">
        <v>2853</v>
      </c>
      <c r="E621" s="1" t="s">
        <v>1189</v>
      </c>
    </row>
    <row r="622" spans="1:5" x14ac:dyDescent="0.25">
      <c r="A622" s="179" t="s">
        <v>2853</v>
      </c>
      <c r="B622" s="21" t="s">
        <v>24</v>
      </c>
      <c r="C622" s="11" t="s">
        <v>446</v>
      </c>
      <c r="D622" s="156" t="s">
        <v>2853</v>
      </c>
    </row>
    <row r="623" spans="1:5" x14ac:dyDescent="0.25">
      <c r="A623" s="162" t="s">
        <v>2853</v>
      </c>
      <c r="B623" s="162" t="s">
        <v>2853</v>
      </c>
      <c r="C623" s="11" t="s">
        <v>112</v>
      </c>
      <c r="D623" s="156" t="s">
        <v>2853</v>
      </c>
    </row>
    <row r="624" spans="1:5" x14ac:dyDescent="0.25">
      <c r="A624" s="162" t="s">
        <v>2853</v>
      </c>
      <c r="B624" s="162" t="s">
        <v>2853</v>
      </c>
      <c r="C624" s="11" t="s">
        <v>105</v>
      </c>
      <c r="D624" s="156" t="s">
        <v>2853</v>
      </c>
    </row>
    <row r="625" spans="1:5" x14ac:dyDescent="0.25">
      <c r="A625" s="162" t="s">
        <v>2853</v>
      </c>
      <c r="B625" s="162" t="s">
        <v>2853</v>
      </c>
      <c r="C625" s="11" t="s">
        <v>87</v>
      </c>
      <c r="D625" s="156" t="s">
        <v>2853</v>
      </c>
    </row>
    <row r="626" spans="1:5" x14ac:dyDescent="0.25">
      <c r="A626" s="162" t="s">
        <v>2853</v>
      </c>
      <c r="B626" s="162" t="s">
        <v>2853</v>
      </c>
      <c r="C626" s="11" t="s">
        <v>1172</v>
      </c>
      <c r="D626" s="156" t="s">
        <v>2853</v>
      </c>
      <c r="E626" s="1" t="s">
        <v>1189</v>
      </c>
    </row>
    <row r="627" spans="1:5" x14ac:dyDescent="0.25">
      <c r="A627" s="162" t="s">
        <v>2853</v>
      </c>
      <c r="B627" s="162" t="s">
        <v>2853</v>
      </c>
      <c r="C627" s="11" t="s">
        <v>60</v>
      </c>
      <c r="D627" s="156" t="s">
        <v>2853</v>
      </c>
    </row>
    <row r="628" spans="1:5" x14ac:dyDescent="0.25">
      <c r="A628" s="162" t="s">
        <v>2853</v>
      </c>
      <c r="B628" s="162" t="s">
        <v>2853</v>
      </c>
      <c r="C628" s="11" t="s">
        <v>93</v>
      </c>
      <c r="D628" s="156" t="s">
        <v>2853</v>
      </c>
    </row>
    <row r="629" spans="1:5" x14ac:dyDescent="0.25">
      <c r="A629" s="162" t="s">
        <v>2853</v>
      </c>
      <c r="B629" s="162" t="s">
        <v>2853</v>
      </c>
      <c r="C629" s="11" t="s">
        <v>75</v>
      </c>
      <c r="D629" s="156" t="s">
        <v>2853</v>
      </c>
    </row>
    <row r="630" spans="1:5" x14ac:dyDescent="0.25">
      <c r="A630" s="162" t="s">
        <v>2853</v>
      </c>
      <c r="B630" s="162" t="s">
        <v>2853</v>
      </c>
      <c r="C630" s="11" t="s">
        <v>68</v>
      </c>
      <c r="D630" s="156" t="s">
        <v>2853</v>
      </c>
    </row>
    <row r="631" spans="1:5" x14ac:dyDescent="0.25">
      <c r="A631" s="162" t="s">
        <v>2853</v>
      </c>
      <c r="B631" s="162" t="s">
        <v>2853</v>
      </c>
      <c r="C631" s="11" t="s">
        <v>82</v>
      </c>
      <c r="D631" s="156" t="s">
        <v>2853</v>
      </c>
    </row>
    <row r="632" spans="1:5" x14ac:dyDescent="0.25">
      <c r="A632" s="162" t="s">
        <v>2853</v>
      </c>
      <c r="B632" s="162" t="s">
        <v>2853</v>
      </c>
      <c r="C632" s="11" t="s">
        <v>397</v>
      </c>
      <c r="D632" s="156" t="s">
        <v>2853</v>
      </c>
    </row>
    <row r="633" spans="1:5" x14ac:dyDescent="0.25">
      <c r="A633" s="163" t="s">
        <v>2853</v>
      </c>
      <c r="B633" s="163" t="s">
        <v>2853</v>
      </c>
      <c r="C633" s="11" t="s">
        <v>102</v>
      </c>
      <c r="D633" s="156" t="s">
        <v>2853</v>
      </c>
    </row>
    <row r="634" spans="1:5" x14ac:dyDescent="0.25">
      <c r="A634" s="170" t="s">
        <v>2853</v>
      </c>
      <c r="B634" s="46" t="s">
        <v>286</v>
      </c>
      <c r="C634" s="10" t="s">
        <v>616</v>
      </c>
      <c r="D634" s="148" t="s">
        <v>1171</v>
      </c>
    </row>
    <row r="635" spans="1:5" x14ac:dyDescent="0.25">
      <c r="A635" s="170" t="s">
        <v>2853</v>
      </c>
      <c r="B635" s="174" t="s">
        <v>2853</v>
      </c>
      <c r="C635" s="10" t="s">
        <v>294</v>
      </c>
      <c r="D635" s="148" t="s">
        <v>336</v>
      </c>
    </row>
    <row r="636" spans="1:5" x14ac:dyDescent="0.25">
      <c r="A636" s="170" t="s">
        <v>2853</v>
      </c>
      <c r="B636" s="174" t="s">
        <v>2853</v>
      </c>
      <c r="C636" s="10" t="s">
        <v>295</v>
      </c>
      <c r="D636" s="148" t="s">
        <v>337</v>
      </c>
    </row>
    <row r="637" spans="1:5" x14ac:dyDescent="0.25">
      <c r="A637" s="170" t="s">
        <v>2853</v>
      </c>
      <c r="B637" s="174" t="s">
        <v>2853</v>
      </c>
      <c r="C637" s="10" t="s">
        <v>296</v>
      </c>
      <c r="D637" s="148" t="s">
        <v>338</v>
      </c>
    </row>
    <row r="638" spans="1:5" x14ac:dyDescent="0.25">
      <c r="A638" s="170" t="s">
        <v>2853</v>
      </c>
      <c r="B638" s="174" t="s">
        <v>2853</v>
      </c>
      <c r="C638" s="10" t="s">
        <v>284</v>
      </c>
      <c r="D638" s="148" t="s">
        <v>292</v>
      </c>
    </row>
    <row r="639" spans="1:5" x14ac:dyDescent="0.25">
      <c r="A639" s="170" t="s">
        <v>2853</v>
      </c>
      <c r="B639" s="174" t="s">
        <v>2853</v>
      </c>
      <c r="C639" s="10" t="s">
        <v>285</v>
      </c>
      <c r="D639" s="148" t="s">
        <v>293</v>
      </c>
    </row>
    <row r="640" spans="1:5" x14ac:dyDescent="0.25">
      <c r="A640" s="170" t="s">
        <v>2853</v>
      </c>
      <c r="B640" s="174" t="s">
        <v>2853</v>
      </c>
      <c r="C640" s="10" t="s">
        <v>617</v>
      </c>
      <c r="D640" s="148" t="s">
        <v>618</v>
      </c>
    </row>
    <row r="641" spans="1:4" x14ac:dyDescent="0.25">
      <c r="A641" s="170" t="s">
        <v>2853</v>
      </c>
      <c r="B641" s="174" t="s">
        <v>2853</v>
      </c>
      <c r="C641" s="10" t="s">
        <v>287</v>
      </c>
      <c r="D641" s="148" t="s">
        <v>287</v>
      </c>
    </row>
    <row r="642" spans="1:4" x14ac:dyDescent="0.25">
      <c r="A642" s="170" t="s">
        <v>2853</v>
      </c>
      <c r="B642" s="174" t="s">
        <v>2853</v>
      </c>
      <c r="C642" s="10" t="s">
        <v>102</v>
      </c>
      <c r="D642" s="153" t="s">
        <v>2853</v>
      </c>
    </row>
    <row r="643" spans="1:4" x14ac:dyDescent="0.25">
      <c r="A643" s="179" t="s">
        <v>2853</v>
      </c>
      <c r="B643" s="21" t="s">
        <v>288</v>
      </c>
      <c r="C643" s="11" t="s">
        <v>447</v>
      </c>
      <c r="D643" s="149" t="s">
        <v>448</v>
      </c>
    </row>
    <row r="644" spans="1:4" x14ac:dyDescent="0.25">
      <c r="A644" s="162" t="s">
        <v>2853</v>
      </c>
      <c r="B644" s="162" t="s">
        <v>2853</v>
      </c>
      <c r="C644" s="11" t="s">
        <v>450</v>
      </c>
      <c r="D644" s="149" t="s">
        <v>449</v>
      </c>
    </row>
    <row r="645" spans="1:4" x14ac:dyDescent="0.25">
      <c r="A645" s="162" t="s">
        <v>2853</v>
      </c>
      <c r="B645" s="162" t="s">
        <v>2853</v>
      </c>
      <c r="C645" s="11" t="s">
        <v>452</v>
      </c>
      <c r="D645" s="149" t="s">
        <v>451</v>
      </c>
    </row>
    <row r="646" spans="1:4" x14ac:dyDescent="0.25">
      <c r="A646" s="162" t="s">
        <v>2853</v>
      </c>
      <c r="B646" s="162" t="s">
        <v>2853</v>
      </c>
      <c r="C646" s="11" t="s">
        <v>454</v>
      </c>
      <c r="D646" s="149" t="s">
        <v>453</v>
      </c>
    </row>
    <row r="647" spans="1:4" x14ac:dyDescent="0.25">
      <c r="A647" s="162" t="s">
        <v>2853</v>
      </c>
      <c r="B647" s="162" t="s">
        <v>2853</v>
      </c>
      <c r="C647" s="11" t="s">
        <v>957</v>
      </c>
      <c r="D647" s="156" t="s">
        <v>2853</v>
      </c>
    </row>
    <row r="648" spans="1:4" x14ac:dyDescent="0.25">
      <c r="A648" s="163" t="s">
        <v>2853</v>
      </c>
      <c r="B648" s="163" t="s">
        <v>2853</v>
      </c>
      <c r="C648" s="11" t="s">
        <v>102</v>
      </c>
      <c r="D648" s="156" t="s">
        <v>2853</v>
      </c>
    </row>
    <row r="649" spans="1:4" x14ac:dyDescent="0.25">
      <c r="A649" s="170" t="s">
        <v>2853</v>
      </c>
      <c r="B649" s="46" t="s">
        <v>933</v>
      </c>
      <c r="C649" s="10" t="s">
        <v>302</v>
      </c>
      <c r="D649" s="153" t="s">
        <v>2853</v>
      </c>
    </row>
    <row r="650" spans="1:4" x14ac:dyDescent="0.25">
      <c r="A650" s="170" t="s">
        <v>2853</v>
      </c>
      <c r="B650" s="174" t="s">
        <v>2853</v>
      </c>
      <c r="C650" s="10" t="s">
        <v>303</v>
      </c>
      <c r="D650" s="153" t="s">
        <v>2853</v>
      </c>
    </row>
    <row r="651" spans="1:4" x14ac:dyDescent="0.25">
      <c r="A651" s="170" t="s">
        <v>2853</v>
      </c>
      <c r="B651" s="174" t="s">
        <v>2853</v>
      </c>
      <c r="C651" s="10" t="s">
        <v>791</v>
      </c>
      <c r="D651" s="153" t="s">
        <v>2853</v>
      </c>
    </row>
    <row r="652" spans="1:4" x14ac:dyDescent="0.25">
      <c r="A652" s="170" t="s">
        <v>2853</v>
      </c>
      <c r="B652" s="174" t="s">
        <v>2853</v>
      </c>
      <c r="C652" s="10" t="s">
        <v>301</v>
      </c>
      <c r="D652" s="153" t="s">
        <v>2853</v>
      </c>
    </row>
    <row r="653" spans="1:4" x14ac:dyDescent="0.25">
      <c r="A653" s="170" t="s">
        <v>2853</v>
      </c>
      <c r="B653" s="174" t="s">
        <v>2853</v>
      </c>
      <c r="C653" s="10" t="s">
        <v>102</v>
      </c>
      <c r="D653" s="153" t="s">
        <v>2853</v>
      </c>
    </row>
    <row r="654" spans="1:4" x14ac:dyDescent="0.25">
      <c r="A654" s="179" t="s">
        <v>2853</v>
      </c>
      <c r="B654" s="21" t="s">
        <v>372</v>
      </c>
      <c r="C654" s="11" t="s">
        <v>304</v>
      </c>
      <c r="D654" s="156" t="s">
        <v>2853</v>
      </c>
    </row>
    <row r="655" spans="1:4" x14ac:dyDescent="0.25">
      <c r="A655" s="162" t="s">
        <v>2853</v>
      </c>
      <c r="B655" s="162" t="s">
        <v>2853</v>
      </c>
      <c r="C655" s="11" t="s">
        <v>305</v>
      </c>
      <c r="D655" s="156" t="s">
        <v>2853</v>
      </c>
    </row>
    <row r="656" spans="1:4" x14ac:dyDescent="0.25">
      <c r="A656" s="170" t="s">
        <v>2853</v>
      </c>
      <c r="B656" s="46" t="s">
        <v>26</v>
      </c>
      <c r="C656" s="10" t="s">
        <v>17</v>
      </c>
      <c r="D656" s="153" t="s">
        <v>2853</v>
      </c>
    </row>
    <row r="657" spans="1:4" x14ac:dyDescent="0.25">
      <c r="A657" s="170" t="s">
        <v>2853</v>
      </c>
      <c r="B657" s="174" t="s">
        <v>2853</v>
      </c>
      <c r="C657" s="10" t="s">
        <v>27</v>
      </c>
      <c r="D657" s="153" t="s">
        <v>2853</v>
      </c>
    </row>
    <row r="658" spans="1:4" x14ac:dyDescent="0.25">
      <c r="A658" s="179" t="s">
        <v>2853</v>
      </c>
      <c r="B658" s="21" t="s">
        <v>628</v>
      </c>
      <c r="C658" s="11" t="s">
        <v>356</v>
      </c>
      <c r="D658" s="156" t="s">
        <v>2853</v>
      </c>
    </row>
    <row r="659" spans="1:4" x14ac:dyDescent="0.25">
      <c r="A659" s="162" t="s">
        <v>2853</v>
      </c>
      <c r="B659" s="162" t="s">
        <v>2853</v>
      </c>
      <c r="C659" s="11" t="s">
        <v>357</v>
      </c>
      <c r="D659" s="156" t="s">
        <v>2853</v>
      </c>
    </row>
    <row r="660" spans="1:4" x14ac:dyDescent="0.25">
      <c r="A660" s="162" t="s">
        <v>2853</v>
      </c>
      <c r="B660" s="162" t="s">
        <v>2853</v>
      </c>
      <c r="C660" s="11" t="s">
        <v>358</v>
      </c>
      <c r="D660" s="156" t="s">
        <v>2853</v>
      </c>
    </row>
    <row r="661" spans="1:4" x14ac:dyDescent="0.25">
      <c r="A661" s="162" t="s">
        <v>2853</v>
      </c>
      <c r="B661" s="162" t="s">
        <v>2853</v>
      </c>
      <c r="C661" s="11" t="s">
        <v>359</v>
      </c>
      <c r="D661" s="156" t="s">
        <v>2853</v>
      </c>
    </row>
    <row r="662" spans="1:4" x14ac:dyDescent="0.25">
      <c r="A662" s="162" t="s">
        <v>2853</v>
      </c>
      <c r="B662" s="162" t="s">
        <v>2853</v>
      </c>
      <c r="C662" s="11" t="s">
        <v>360</v>
      </c>
      <c r="D662" s="156" t="s">
        <v>2853</v>
      </c>
    </row>
    <row r="663" spans="1:4" x14ac:dyDescent="0.25">
      <c r="A663" s="162" t="s">
        <v>2853</v>
      </c>
      <c r="B663" s="162" t="s">
        <v>2853</v>
      </c>
      <c r="C663" s="11" t="s">
        <v>361</v>
      </c>
      <c r="D663" s="156" t="s">
        <v>2853</v>
      </c>
    </row>
    <row r="664" spans="1:4" x14ac:dyDescent="0.25">
      <c r="A664" s="162" t="s">
        <v>2853</v>
      </c>
      <c r="B664" s="162" t="s">
        <v>2853</v>
      </c>
      <c r="C664" s="11" t="s">
        <v>102</v>
      </c>
      <c r="D664" s="156" t="s">
        <v>2853</v>
      </c>
    </row>
    <row r="665" spans="1:4" x14ac:dyDescent="0.25">
      <c r="A665" s="163" t="s">
        <v>2853</v>
      </c>
      <c r="B665" s="163" t="s">
        <v>2853</v>
      </c>
      <c r="C665" s="11" t="s">
        <v>362</v>
      </c>
      <c r="D665" s="156" t="s">
        <v>2853</v>
      </c>
    </row>
    <row r="666" spans="1:4" x14ac:dyDescent="0.25">
      <c r="A666" s="170" t="s">
        <v>2853</v>
      </c>
      <c r="B666" s="46" t="s">
        <v>308</v>
      </c>
      <c r="C666" s="10" t="s">
        <v>363</v>
      </c>
      <c r="D666" s="153" t="s">
        <v>2853</v>
      </c>
    </row>
    <row r="667" spans="1:4" x14ac:dyDescent="0.25">
      <c r="A667" s="170" t="s">
        <v>2853</v>
      </c>
      <c r="B667" s="174" t="s">
        <v>2853</v>
      </c>
      <c r="C667" s="10" t="s">
        <v>370</v>
      </c>
      <c r="D667" s="153" t="s">
        <v>2853</v>
      </c>
    </row>
    <row r="668" spans="1:4" x14ac:dyDescent="0.25">
      <c r="A668" s="179" t="s">
        <v>2853</v>
      </c>
      <c r="B668" s="21" t="s">
        <v>309</v>
      </c>
      <c r="C668" s="11" t="s">
        <v>701</v>
      </c>
      <c r="D668" s="156" t="s">
        <v>2853</v>
      </c>
    </row>
    <row r="669" spans="1:4" x14ac:dyDescent="0.25">
      <c r="A669" s="162" t="s">
        <v>2853</v>
      </c>
      <c r="B669" s="162" t="s">
        <v>2853</v>
      </c>
      <c r="C669" s="11" t="s">
        <v>702</v>
      </c>
      <c r="D669" s="156" t="s">
        <v>2853</v>
      </c>
    </row>
    <row r="670" spans="1:4" x14ac:dyDescent="0.25">
      <c r="A670" s="162" t="s">
        <v>2853</v>
      </c>
      <c r="B670" s="162" t="s">
        <v>2853</v>
      </c>
      <c r="C670" s="11" t="s">
        <v>319</v>
      </c>
      <c r="D670" s="156" t="s">
        <v>2853</v>
      </c>
    </row>
    <row r="671" spans="1:4" x14ac:dyDescent="0.25">
      <c r="A671" s="162" t="s">
        <v>2853</v>
      </c>
      <c r="B671" s="162" t="s">
        <v>2853</v>
      </c>
      <c r="C671" s="11" t="s">
        <v>324</v>
      </c>
      <c r="D671" s="156" t="s">
        <v>2853</v>
      </c>
    </row>
    <row r="672" spans="1:4" x14ac:dyDescent="0.25">
      <c r="A672" s="162" t="s">
        <v>2853</v>
      </c>
      <c r="B672" s="162" t="s">
        <v>2853</v>
      </c>
      <c r="C672" s="11" t="s">
        <v>321</v>
      </c>
      <c r="D672" s="156" t="s">
        <v>2853</v>
      </c>
    </row>
    <row r="673" spans="1:4" x14ac:dyDescent="0.25">
      <c r="A673" s="162" t="s">
        <v>2853</v>
      </c>
      <c r="B673" s="162" t="s">
        <v>2853</v>
      </c>
      <c r="C673" s="11" t="s">
        <v>320</v>
      </c>
      <c r="D673" s="156" t="s">
        <v>2853</v>
      </c>
    </row>
    <row r="674" spans="1:4" x14ac:dyDescent="0.25">
      <c r="A674" s="162" t="s">
        <v>2853</v>
      </c>
      <c r="B674" s="162" t="s">
        <v>2853</v>
      </c>
      <c r="C674" s="11" t="s">
        <v>325</v>
      </c>
      <c r="D674" s="156" t="s">
        <v>2853</v>
      </c>
    </row>
    <row r="675" spans="1:4" x14ac:dyDescent="0.25">
      <c r="A675" s="162" t="s">
        <v>2853</v>
      </c>
      <c r="B675" s="162" t="s">
        <v>2853</v>
      </c>
      <c r="C675" s="11" t="s">
        <v>322</v>
      </c>
      <c r="D675" s="156" t="s">
        <v>2853</v>
      </c>
    </row>
    <row r="676" spans="1:4" x14ac:dyDescent="0.25">
      <c r="A676" s="162" t="s">
        <v>2853</v>
      </c>
      <c r="B676" s="162" t="s">
        <v>2853</v>
      </c>
      <c r="C676" s="11" t="s">
        <v>443</v>
      </c>
      <c r="D676" s="156" t="s">
        <v>2853</v>
      </c>
    </row>
    <row r="677" spans="1:4" x14ac:dyDescent="0.25">
      <c r="A677" s="162" t="s">
        <v>2853</v>
      </c>
      <c r="B677" s="162" t="s">
        <v>2853</v>
      </c>
      <c r="C677" s="11" t="s">
        <v>323</v>
      </c>
      <c r="D677" s="156" t="s">
        <v>2853</v>
      </c>
    </row>
    <row r="678" spans="1:4" x14ac:dyDescent="0.25">
      <c r="A678" s="162" t="s">
        <v>2853</v>
      </c>
      <c r="B678" s="162" t="s">
        <v>2853</v>
      </c>
      <c r="C678" s="11" t="s">
        <v>130</v>
      </c>
      <c r="D678" s="156" t="s">
        <v>2853</v>
      </c>
    </row>
    <row r="679" spans="1:4" x14ac:dyDescent="0.25">
      <c r="A679" s="163" t="s">
        <v>2853</v>
      </c>
      <c r="B679" s="163" t="s">
        <v>2853</v>
      </c>
      <c r="C679" s="11" t="s">
        <v>362</v>
      </c>
      <c r="D679" s="156" t="s">
        <v>2853</v>
      </c>
    </row>
    <row r="680" spans="1:4" x14ac:dyDescent="0.25">
      <c r="A680" s="167" t="s">
        <v>2853</v>
      </c>
      <c r="B680" s="40" t="s">
        <v>310</v>
      </c>
      <c r="C680" s="10" t="s">
        <v>356</v>
      </c>
      <c r="D680" s="153" t="s">
        <v>2853</v>
      </c>
    </row>
    <row r="681" spans="1:4" x14ac:dyDescent="0.25">
      <c r="A681" s="164" t="s">
        <v>2853</v>
      </c>
      <c r="B681" s="164" t="s">
        <v>2853</v>
      </c>
      <c r="C681" s="10" t="s">
        <v>357</v>
      </c>
      <c r="D681" s="153" t="s">
        <v>2853</v>
      </c>
    </row>
    <row r="682" spans="1:4" x14ac:dyDescent="0.25">
      <c r="A682" s="164" t="s">
        <v>2853</v>
      </c>
      <c r="B682" s="164" t="s">
        <v>2853</v>
      </c>
      <c r="C682" s="10" t="s">
        <v>358</v>
      </c>
      <c r="D682" s="153" t="s">
        <v>2853</v>
      </c>
    </row>
    <row r="683" spans="1:4" x14ac:dyDescent="0.25">
      <c r="A683" s="164" t="s">
        <v>2853</v>
      </c>
      <c r="B683" s="164" t="s">
        <v>2853</v>
      </c>
      <c r="C683" s="10" t="s">
        <v>359</v>
      </c>
      <c r="D683" s="153" t="s">
        <v>2853</v>
      </c>
    </row>
    <row r="684" spans="1:4" x14ac:dyDescent="0.25">
      <c r="A684" s="164" t="s">
        <v>2853</v>
      </c>
      <c r="B684" s="164" t="s">
        <v>2853</v>
      </c>
      <c r="C684" s="10" t="s">
        <v>360</v>
      </c>
      <c r="D684" s="153" t="s">
        <v>2853</v>
      </c>
    </row>
    <row r="685" spans="1:4" x14ac:dyDescent="0.25">
      <c r="A685" s="164" t="s">
        <v>2853</v>
      </c>
      <c r="B685" s="164" t="s">
        <v>2853</v>
      </c>
      <c r="C685" s="10" t="s">
        <v>361</v>
      </c>
      <c r="D685" s="153" t="s">
        <v>2853</v>
      </c>
    </row>
    <row r="686" spans="1:4" x14ac:dyDescent="0.25">
      <c r="A686" s="164" t="s">
        <v>2853</v>
      </c>
      <c r="B686" s="164" t="s">
        <v>2853</v>
      </c>
      <c r="C686" s="10" t="s">
        <v>102</v>
      </c>
      <c r="D686" s="153" t="s">
        <v>2853</v>
      </c>
    </row>
    <row r="687" spans="1:4" x14ac:dyDescent="0.25">
      <c r="A687" s="164" t="s">
        <v>2853</v>
      </c>
      <c r="B687" s="164" t="s">
        <v>2853</v>
      </c>
      <c r="C687" s="10" t="s">
        <v>362</v>
      </c>
      <c r="D687" s="153" t="s">
        <v>2853</v>
      </c>
    </row>
    <row r="688" spans="1:4" x14ac:dyDescent="0.25">
      <c r="A688" s="179" t="s">
        <v>2853</v>
      </c>
      <c r="B688" s="21" t="s">
        <v>369</v>
      </c>
      <c r="C688" s="11" t="s">
        <v>339</v>
      </c>
      <c r="D688" s="156" t="s">
        <v>2853</v>
      </c>
    </row>
    <row r="689" spans="1:4" x14ac:dyDescent="0.25">
      <c r="A689" s="162" t="s">
        <v>2853</v>
      </c>
      <c r="B689" s="163" t="s">
        <v>2853</v>
      </c>
      <c r="C689" s="11" t="s">
        <v>340</v>
      </c>
      <c r="D689" s="156" t="s">
        <v>2853</v>
      </c>
    </row>
    <row r="690" spans="1:4" x14ac:dyDescent="0.25">
      <c r="A690" s="167" t="s">
        <v>2853</v>
      </c>
      <c r="B690" s="40" t="s">
        <v>753</v>
      </c>
      <c r="C690" s="10" t="s">
        <v>341</v>
      </c>
      <c r="D690" s="153" t="s">
        <v>2853</v>
      </c>
    </row>
    <row r="691" spans="1:4" x14ac:dyDescent="0.25">
      <c r="A691" s="164" t="s">
        <v>2853</v>
      </c>
      <c r="B691" s="164" t="s">
        <v>2853</v>
      </c>
      <c r="C691" s="10" t="s">
        <v>342</v>
      </c>
      <c r="D691" s="153" t="s">
        <v>2853</v>
      </c>
    </row>
    <row r="692" spans="1:4" x14ac:dyDescent="0.25">
      <c r="A692" s="179" t="s">
        <v>2853</v>
      </c>
      <c r="B692" s="21" t="s">
        <v>343</v>
      </c>
      <c r="C692" s="11" t="s">
        <v>398</v>
      </c>
      <c r="D692" s="156" t="s">
        <v>2853</v>
      </c>
    </row>
    <row r="693" spans="1:4" x14ac:dyDescent="0.25">
      <c r="A693" s="162" t="s">
        <v>2853</v>
      </c>
      <c r="B693" s="162" t="s">
        <v>2853</v>
      </c>
      <c r="C693" s="11" t="s">
        <v>381</v>
      </c>
      <c r="D693" s="156" t="s">
        <v>2853</v>
      </c>
    </row>
    <row r="694" spans="1:4" x14ac:dyDescent="0.25">
      <c r="A694" s="162" t="s">
        <v>2853</v>
      </c>
      <c r="B694" s="162" t="s">
        <v>2853</v>
      </c>
      <c r="C694" s="11" t="s">
        <v>376</v>
      </c>
      <c r="D694" s="156" t="s">
        <v>2853</v>
      </c>
    </row>
    <row r="695" spans="1:4" x14ac:dyDescent="0.25">
      <c r="A695" s="162" t="s">
        <v>2853</v>
      </c>
      <c r="B695" s="162" t="s">
        <v>2853</v>
      </c>
      <c r="C695" s="11" t="s">
        <v>333</v>
      </c>
      <c r="D695" s="156" t="s">
        <v>2853</v>
      </c>
    </row>
    <row r="696" spans="1:4" x14ac:dyDescent="0.25">
      <c r="A696" s="162" t="s">
        <v>2853</v>
      </c>
      <c r="B696" s="162" t="s">
        <v>2853</v>
      </c>
      <c r="C696" s="11" t="s">
        <v>73</v>
      </c>
      <c r="D696" s="156" t="s">
        <v>2853</v>
      </c>
    </row>
    <row r="697" spans="1:4" x14ac:dyDescent="0.25">
      <c r="A697" s="162" t="s">
        <v>2853</v>
      </c>
      <c r="B697" s="162" t="s">
        <v>2853</v>
      </c>
      <c r="C697" s="11" t="s">
        <v>9</v>
      </c>
      <c r="D697" s="156" t="s">
        <v>2853</v>
      </c>
    </row>
    <row r="698" spans="1:4" x14ac:dyDescent="0.25">
      <c r="A698" s="162" t="s">
        <v>2853</v>
      </c>
      <c r="B698" s="162" t="s">
        <v>2853</v>
      </c>
      <c r="C698" s="11" t="s">
        <v>344</v>
      </c>
      <c r="D698" s="156" t="s">
        <v>2853</v>
      </c>
    </row>
    <row r="699" spans="1:4" x14ac:dyDescent="0.25">
      <c r="A699" s="162" t="s">
        <v>2853</v>
      </c>
      <c r="B699" s="162" t="s">
        <v>2853</v>
      </c>
      <c r="C699" s="11" t="s">
        <v>332</v>
      </c>
      <c r="D699" s="156" t="s">
        <v>2853</v>
      </c>
    </row>
    <row r="700" spans="1:4" x14ac:dyDescent="0.25">
      <c r="A700" s="162" t="s">
        <v>2853</v>
      </c>
      <c r="B700" s="162" t="s">
        <v>2853</v>
      </c>
      <c r="C700" s="11" t="s">
        <v>102</v>
      </c>
      <c r="D700" s="156" t="s">
        <v>2853</v>
      </c>
    </row>
    <row r="701" spans="1:4" x14ac:dyDescent="0.25">
      <c r="A701" s="167" t="s">
        <v>2853</v>
      </c>
      <c r="B701" s="40" t="s">
        <v>463</v>
      </c>
      <c r="C701" s="10" t="s">
        <v>414</v>
      </c>
      <c r="D701" s="153" t="s">
        <v>2853</v>
      </c>
    </row>
    <row r="702" spans="1:4" x14ac:dyDescent="0.25">
      <c r="A702" s="164" t="s">
        <v>2853</v>
      </c>
      <c r="B702" s="164" t="s">
        <v>2853</v>
      </c>
      <c r="C702" s="10" t="s">
        <v>262</v>
      </c>
      <c r="D702" s="153" t="s">
        <v>2853</v>
      </c>
    </row>
    <row r="703" spans="1:4" x14ac:dyDescent="0.25">
      <c r="A703" s="164" t="s">
        <v>2853</v>
      </c>
      <c r="B703" s="164" t="s">
        <v>2853</v>
      </c>
      <c r="C703" s="10" t="s">
        <v>172</v>
      </c>
      <c r="D703" s="153" t="s">
        <v>2853</v>
      </c>
    </row>
    <row r="704" spans="1:4" x14ac:dyDescent="0.25">
      <c r="A704" s="164" t="s">
        <v>2853</v>
      </c>
      <c r="B704" s="164" t="s">
        <v>2853</v>
      </c>
      <c r="C704" s="10" t="s">
        <v>653</v>
      </c>
      <c r="D704" s="153" t="s">
        <v>2853</v>
      </c>
    </row>
    <row r="705" spans="1:5" x14ac:dyDescent="0.25">
      <c r="A705" s="164" t="s">
        <v>2853</v>
      </c>
      <c r="B705" s="164" t="s">
        <v>2853</v>
      </c>
      <c r="C705" s="10" t="s">
        <v>156</v>
      </c>
      <c r="D705" s="153" t="s">
        <v>2853</v>
      </c>
    </row>
    <row r="706" spans="1:5" x14ac:dyDescent="0.25">
      <c r="A706" s="164" t="s">
        <v>2853</v>
      </c>
      <c r="B706" s="164" t="s">
        <v>2853</v>
      </c>
      <c r="C706" s="10" t="s">
        <v>647</v>
      </c>
      <c r="D706" s="153" t="s">
        <v>2853</v>
      </c>
    </row>
    <row r="707" spans="1:5" x14ac:dyDescent="0.25">
      <c r="A707" s="164" t="s">
        <v>2853</v>
      </c>
      <c r="B707" s="164" t="s">
        <v>2853</v>
      </c>
      <c r="C707" s="10" t="s">
        <v>649</v>
      </c>
      <c r="D707" s="153" t="s">
        <v>2853</v>
      </c>
    </row>
    <row r="708" spans="1:5" x14ac:dyDescent="0.25">
      <c r="A708" s="164" t="s">
        <v>2853</v>
      </c>
      <c r="B708" s="164" t="s">
        <v>2853</v>
      </c>
      <c r="C708" s="10" t="s">
        <v>66</v>
      </c>
      <c r="D708" s="153" t="s">
        <v>2853</v>
      </c>
    </row>
    <row r="709" spans="1:5" x14ac:dyDescent="0.25">
      <c r="A709" s="164" t="s">
        <v>2853</v>
      </c>
      <c r="B709" s="164" t="s">
        <v>2853</v>
      </c>
      <c r="C709" s="10" t="s">
        <v>269</v>
      </c>
      <c r="D709" s="153" t="s">
        <v>2853</v>
      </c>
    </row>
    <row r="710" spans="1:5" x14ac:dyDescent="0.25">
      <c r="A710" s="164" t="s">
        <v>2853</v>
      </c>
      <c r="B710" s="164" t="s">
        <v>2853</v>
      </c>
      <c r="C710" s="10" t="s">
        <v>654</v>
      </c>
      <c r="D710" s="153" t="s">
        <v>2853</v>
      </c>
    </row>
    <row r="711" spans="1:5" x14ac:dyDescent="0.25">
      <c r="A711" s="164" t="s">
        <v>2853</v>
      </c>
      <c r="B711" s="164" t="s">
        <v>2853</v>
      </c>
      <c r="C711" s="10" t="s">
        <v>140</v>
      </c>
      <c r="D711" s="153" t="s">
        <v>2853</v>
      </c>
    </row>
    <row r="712" spans="1:5" x14ac:dyDescent="0.25">
      <c r="A712" s="164" t="s">
        <v>2853</v>
      </c>
      <c r="B712" s="164" t="s">
        <v>2853</v>
      </c>
      <c r="C712" s="10" t="s">
        <v>256</v>
      </c>
      <c r="D712" s="153" t="s">
        <v>2853</v>
      </c>
    </row>
    <row r="713" spans="1:5" x14ac:dyDescent="0.25">
      <c r="A713" s="164" t="s">
        <v>2853</v>
      </c>
      <c r="B713" s="164" t="s">
        <v>2853</v>
      </c>
      <c r="C713" s="10" t="s">
        <v>122</v>
      </c>
      <c r="D713" s="153" t="s">
        <v>2853</v>
      </c>
    </row>
    <row r="714" spans="1:5" x14ac:dyDescent="0.25">
      <c r="A714" s="164" t="s">
        <v>2853</v>
      </c>
      <c r="B714" s="164" t="s">
        <v>2853</v>
      </c>
      <c r="C714" s="10" t="s">
        <v>270</v>
      </c>
      <c r="D714" s="153" t="s">
        <v>2853</v>
      </c>
    </row>
    <row r="715" spans="1:5" x14ac:dyDescent="0.25">
      <c r="A715" s="164" t="s">
        <v>2853</v>
      </c>
      <c r="B715" s="164" t="s">
        <v>2853</v>
      </c>
      <c r="C715" s="10" t="s">
        <v>708</v>
      </c>
      <c r="D715" s="153" t="s">
        <v>2853</v>
      </c>
    </row>
    <row r="716" spans="1:5" x14ac:dyDescent="0.25">
      <c r="A716" s="164" t="s">
        <v>2853</v>
      </c>
      <c r="B716" s="164" t="s">
        <v>2853</v>
      </c>
      <c r="C716" s="10" t="s">
        <v>1161</v>
      </c>
      <c r="D716" s="148" t="s">
        <v>655</v>
      </c>
      <c r="E716" s="1" t="s">
        <v>1189</v>
      </c>
    </row>
    <row r="717" spans="1:5" x14ac:dyDescent="0.25">
      <c r="A717" s="164" t="s">
        <v>2853</v>
      </c>
      <c r="B717" s="164" t="s">
        <v>2853</v>
      </c>
      <c r="C717" s="10" t="s">
        <v>267</v>
      </c>
      <c r="D717" s="153" t="s">
        <v>2853</v>
      </c>
    </row>
    <row r="718" spans="1:5" x14ac:dyDescent="0.25">
      <c r="A718" s="164" t="s">
        <v>2853</v>
      </c>
      <c r="B718" s="164" t="s">
        <v>2853</v>
      </c>
      <c r="C718" s="10" t="s">
        <v>264</v>
      </c>
      <c r="D718" s="153" t="s">
        <v>2853</v>
      </c>
    </row>
    <row r="719" spans="1:5" x14ac:dyDescent="0.25">
      <c r="A719" s="164" t="s">
        <v>2853</v>
      </c>
      <c r="B719" s="164" t="s">
        <v>2853</v>
      </c>
      <c r="C719" s="10" t="s">
        <v>265</v>
      </c>
      <c r="D719" s="153" t="s">
        <v>2853</v>
      </c>
    </row>
    <row r="720" spans="1:5" x14ac:dyDescent="0.25">
      <c r="A720" s="164" t="s">
        <v>2853</v>
      </c>
      <c r="B720" s="164" t="s">
        <v>2853</v>
      </c>
      <c r="C720" s="10" t="s">
        <v>167</v>
      </c>
      <c r="D720" s="153" t="s">
        <v>2853</v>
      </c>
    </row>
    <row r="721" spans="1:4" x14ac:dyDescent="0.25">
      <c r="A721" s="164" t="s">
        <v>2853</v>
      </c>
      <c r="B721" s="164" t="s">
        <v>2853</v>
      </c>
      <c r="C721" s="10" t="s">
        <v>254</v>
      </c>
      <c r="D721" s="153" t="s">
        <v>2853</v>
      </c>
    </row>
    <row r="722" spans="1:4" x14ac:dyDescent="0.25">
      <c r="A722" s="164" t="s">
        <v>2853</v>
      </c>
      <c r="B722" s="164" t="s">
        <v>2853</v>
      </c>
      <c r="C722" s="10" t="s">
        <v>261</v>
      </c>
      <c r="D722" s="153" t="s">
        <v>2853</v>
      </c>
    </row>
    <row r="723" spans="1:4" x14ac:dyDescent="0.25">
      <c r="A723" s="164" t="s">
        <v>2853</v>
      </c>
      <c r="B723" s="164" t="s">
        <v>2853</v>
      </c>
      <c r="C723" s="10" t="s">
        <v>71</v>
      </c>
      <c r="D723" s="153" t="s">
        <v>2853</v>
      </c>
    </row>
    <row r="724" spans="1:4" x14ac:dyDescent="0.25">
      <c r="A724" s="164" t="s">
        <v>2853</v>
      </c>
      <c r="B724" s="164" t="s">
        <v>2853</v>
      </c>
      <c r="C724" s="10" t="s">
        <v>259</v>
      </c>
      <c r="D724" s="153" t="s">
        <v>2853</v>
      </c>
    </row>
    <row r="725" spans="1:4" x14ac:dyDescent="0.25">
      <c r="A725" s="164" t="s">
        <v>2853</v>
      </c>
      <c r="B725" s="164" t="s">
        <v>2853</v>
      </c>
      <c r="C725" s="10" t="s">
        <v>75</v>
      </c>
      <c r="D725" s="153" t="s">
        <v>2853</v>
      </c>
    </row>
    <row r="726" spans="1:4" x14ac:dyDescent="0.25">
      <c r="A726" s="164" t="s">
        <v>2853</v>
      </c>
      <c r="B726" s="164" t="s">
        <v>2853</v>
      </c>
      <c r="C726" s="10" t="s">
        <v>263</v>
      </c>
      <c r="D726" s="153" t="s">
        <v>2853</v>
      </c>
    </row>
    <row r="727" spans="1:4" x14ac:dyDescent="0.25">
      <c r="A727" s="164" t="s">
        <v>2853</v>
      </c>
      <c r="B727" s="164" t="s">
        <v>2853</v>
      </c>
      <c r="C727" s="10" t="s">
        <v>651</v>
      </c>
      <c r="D727" s="153" t="s">
        <v>2853</v>
      </c>
    </row>
    <row r="728" spans="1:4" x14ac:dyDescent="0.25">
      <c r="A728" s="164" t="s">
        <v>2853</v>
      </c>
      <c r="B728" s="164" t="s">
        <v>2853</v>
      </c>
      <c r="C728" s="10" t="s">
        <v>652</v>
      </c>
      <c r="D728" s="153" t="s">
        <v>2853</v>
      </c>
    </row>
    <row r="729" spans="1:4" x14ac:dyDescent="0.25">
      <c r="A729" s="164" t="s">
        <v>2853</v>
      </c>
      <c r="B729" s="164" t="s">
        <v>2853</v>
      </c>
      <c r="C729" s="10" t="s">
        <v>266</v>
      </c>
      <c r="D729" s="153" t="s">
        <v>2853</v>
      </c>
    </row>
    <row r="730" spans="1:4" x14ac:dyDescent="0.25">
      <c r="A730" s="164" t="s">
        <v>2853</v>
      </c>
      <c r="B730" s="164" t="s">
        <v>2853</v>
      </c>
      <c r="C730" s="10" t="s">
        <v>85</v>
      </c>
      <c r="D730" s="153" t="s">
        <v>2853</v>
      </c>
    </row>
    <row r="731" spans="1:4" x14ac:dyDescent="0.25">
      <c r="A731" s="164" t="s">
        <v>2853</v>
      </c>
      <c r="B731" s="164" t="s">
        <v>2853</v>
      </c>
      <c r="C731" s="10" t="s">
        <v>648</v>
      </c>
      <c r="D731" s="153" t="s">
        <v>2853</v>
      </c>
    </row>
    <row r="732" spans="1:4" x14ac:dyDescent="0.25">
      <c r="A732" s="164" t="s">
        <v>2853</v>
      </c>
      <c r="B732" s="164" t="s">
        <v>2853</v>
      </c>
      <c r="C732" s="10" t="s">
        <v>646</v>
      </c>
      <c r="D732" s="153" t="s">
        <v>2853</v>
      </c>
    </row>
    <row r="733" spans="1:4" x14ac:dyDescent="0.25">
      <c r="A733" s="164" t="s">
        <v>2853</v>
      </c>
      <c r="B733" s="164" t="s">
        <v>2853</v>
      </c>
      <c r="C733" s="10" t="s">
        <v>656</v>
      </c>
      <c r="D733" s="153" t="s">
        <v>2853</v>
      </c>
    </row>
    <row r="734" spans="1:4" x14ac:dyDescent="0.25">
      <c r="A734" s="164" t="s">
        <v>2853</v>
      </c>
      <c r="B734" s="164" t="s">
        <v>2853</v>
      </c>
      <c r="C734" s="10" t="s">
        <v>255</v>
      </c>
      <c r="D734" s="153" t="s">
        <v>2853</v>
      </c>
    </row>
    <row r="735" spans="1:4" x14ac:dyDescent="0.25">
      <c r="A735" s="164" t="s">
        <v>2853</v>
      </c>
      <c r="B735" s="164" t="s">
        <v>2853</v>
      </c>
      <c r="C735" s="10" t="s">
        <v>738</v>
      </c>
      <c r="D735" s="153" t="s">
        <v>2853</v>
      </c>
    </row>
    <row r="736" spans="1:4" x14ac:dyDescent="0.25">
      <c r="A736" s="164" t="s">
        <v>2853</v>
      </c>
      <c r="B736" s="164" t="s">
        <v>2853</v>
      </c>
      <c r="C736" s="10" t="s">
        <v>34</v>
      </c>
      <c r="D736" s="153" t="s">
        <v>2853</v>
      </c>
    </row>
    <row r="737" spans="1:4" x14ac:dyDescent="0.25">
      <c r="A737" s="164" t="s">
        <v>2853</v>
      </c>
      <c r="B737" s="164" t="s">
        <v>2853</v>
      </c>
      <c r="C737" s="10" t="s">
        <v>645</v>
      </c>
      <c r="D737" s="153" t="s">
        <v>2853</v>
      </c>
    </row>
    <row r="738" spans="1:4" x14ac:dyDescent="0.25">
      <c r="A738" s="164" t="s">
        <v>2853</v>
      </c>
      <c r="B738" s="164" t="s">
        <v>2853</v>
      </c>
      <c r="C738" s="10" t="s">
        <v>268</v>
      </c>
      <c r="D738" s="153" t="s">
        <v>2853</v>
      </c>
    </row>
    <row r="739" spans="1:4" x14ac:dyDescent="0.25">
      <c r="A739" s="164" t="s">
        <v>2853</v>
      </c>
      <c r="B739" s="164" t="s">
        <v>2853</v>
      </c>
      <c r="C739" s="10" t="s">
        <v>650</v>
      </c>
      <c r="D739" s="153" t="s">
        <v>2853</v>
      </c>
    </row>
    <row r="740" spans="1:4" x14ac:dyDescent="0.25">
      <c r="A740" s="164" t="s">
        <v>2853</v>
      </c>
      <c r="B740" s="164" t="s">
        <v>2853</v>
      </c>
      <c r="C740" s="10" t="s">
        <v>252</v>
      </c>
      <c r="D740" s="153" t="s">
        <v>2853</v>
      </c>
    </row>
    <row r="741" spans="1:4" x14ac:dyDescent="0.25">
      <c r="A741" s="164" t="s">
        <v>2853</v>
      </c>
      <c r="B741" s="164" t="s">
        <v>2853</v>
      </c>
      <c r="C741" s="10" t="s">
        <v>258</v>
      </c>
      <c r="D741" s="153" t="s">
        <v>2853</v>
      </c>
    </row>
    <row r="742" spans="1:4" x14ac:dyDescent="0.25">
      <c r="A742" s="164" t="s">
        <v>2853</v>
      </c>
      <c r="B742" s="164" t="s">
        <v>2853</v>
      </c>
      <c r="C742" s="10" t="s">
        <v>257</v>
      </c>
      <c r="D742" s="153" t="s">
        <v>2853</v>
      </c>
    </row>
    <row r="743" spans="1:4" x14ac:dyDescent="0.25">
      <c r="A743" s="164" t="s">
        <v>2853</v>
      </c>
      <c r="B743" s="164" t="s">
        <v>2853</v>
      </c>
      <c r="C743" s="10" t="s">
        <v>174</v>
      </c>
      <c r="D743" s="153" t="s">
        <v>2853</v>
      </c>
    </row>
    <row r="744" spans="1:4" x14ac:dyDescent="0.25">
      <c r="A744" s="164" t="s">
        <v>2853</v>
      </c>
      <c r="B744" s="164" t="s">
        <v>2853</v>
      </c>
      <c r="C744" s="10" t="s">
        <v>253</v>
      </c>
      <c r="D744" s="153" t="s">
        <v>2853</v>
      </c>
    </row>
    <row r="745" spans="1:4" x14ac:dyDescent="0.25">
      <c r="A745" s="164" t="s">
        <v>2853</v>
      </c>
      <c r="B745" s="164" t="s">
        <v>2853</v>
      </c>
      <c r="C745" s="10" t="s">
        <v>169</v>
      </c>
      <c r="D745" s="153" t="s">
        <v>2853</v>
      </c>
    </row>
    <row r="746" spans="1:4" x14ac:dyDescent="0.25">
      <c r="A746" s="164" t="s">
        <v>2853</v>
      </c>
      <c r="B746" s="164" t="s">
        <v>2853</v>
      </c>
      <c r="C746" s="10" t="s">
        <v>170</v>
      </c>
      <c r="D746" s="153" t="s">
        <v>2853</v>
      </c>
    </row>
    <row r="747" spans="1:4" x14ac:dyDescent="0.25">
      <c r="A747" s="164" t="s">
        <v>2853</v>
      </c>
      <c r="B747" s="164" t="s">
        <v>2853</v>
      </c>
      <c r="C747" s="10" t="s">
        <v>165</v>
      </c>
      <c r="D747" s="153" t="s">
        <v>2853</v>
      </c>
    </row>
    <row r="748" spans="1:4" x14ac:dyDescent="0.25">
      <c r="A748" s="164" t="s">
        <v>2853</v>
      </c>
      <c r="B748" s="164" t="s">
        <v>2853</v>
      </c>
      <c r="C748" s="10" t="s">
        <v>260</v>
      </c>
      <c r="D748" s="153" t="s">
        <v>2853</v>
      </c>
    </row>
    <row r="749" spans="1:4" x14ac:dyDescent="0.25">
      <c r="A749" s="164" t="s">
        <v>2853</v>
      </c>
      <c r="B749" s="164" t="s">
        <v>2853</v>
      </c>
      <c r="C749" s="10" t="s">
        <v>163</v>
      </c>
      <c r="D749" s="153" t="s">
        <v>2853</v>
      </c>
    </row>
    <row r="750" spans="1:4" x14ac:dyDescent="0.25">
      <c r="A750" s="164" t="s">
        <v>2853</v>
      </c>
      <c r="B750" s="164" t="s">
        <v>2853</v>
      </c>
      <c r="C750" s="10" t="s">
        <v>53</v>
      </c>
      <c r="D750" s="153" t="s">
        <v>2853</v>
      </c>
    </row>
    <row r="751" spans="1:4" x14ac:dyDescent="0.25">
      <c r="A751" s="164" t="s">
        <v>2853</v>
      </c>
      <c r="B751" s="164" t="s">
        <v>2853</v>
      </c>
      <c r="C751" s="10" t="s">
        <v>59</v>
      </c>
      <c r="D751" s="153" t="s">
        <v>2853</v>
      </c>
    </row>
    <row r="752" spans="1:4" x14ac:dyDescent="0.25">
      <c r="A752" s="164" t="s">
        <v>2853</v>
      </c>
      <c r="B752" s="164" t="s">
        <v>2853</v>
      </c>
      <c r="C752" s="10" t="s">
        <v>67</v>
      </c>
      <c r="D752" s="153" t="s">
        <v>2853</v>
      </c>
    </row>
    <row r="753" spans="1:4" x14ac:dyDescent="0.25">
      <c r="A753" s="164" t="s">
        <v>2853</v>
      </c>
      <c r="B753" s="164" t="s">
        <v>2853</v>
      </c>
      <c r="C753" s="10" t="s">
        <v>74</v>
      </c>
      <c r="D753" s="153" t="s">
        <v>2853</v>
      </c>
    </row>
    <row r="754" spans="1:4" x14ac:dyDescent="0.25">
      <c r="A754" s="164" t="s">
        <v>2853</v>
      </c>
      <c r="B754" s="164" t="s">
        <v>2853</v>
      </c>
      <c r="C754" s="10" t="s">
        <v>81</v>
      </c>
      <c r="D754" s="153" t="s">
        <v>2853</v>
      </c>
    </row>
    <row r="755" spans="1:4" x14ac:dyDescent="0.25">
      <c r="A755" s="164" t="s">
        <v>2853</v>
      </c>
      <c r="B755" s="164" t="s">
        <v>2853</v>
      </c>
      <c r="C755" s="10" t="s">
        <v>945</v>
      </c>
      <c r="D755" s="153" t="s">
        <v>2853</v>
      </c>
    </row>
    <row r="756" spans="1:4" x14ac:dyDescent="0.25">
      <c r="A756" s="164" t="s">
        <v>2853</v>
      </c>
      <c r="B756" s="164" t="s">
        <v>2853</v>
      </c>
      <c r="C756" s="10" t="s">
        <v>92</v>
      </c>
      <c r="D756" s="153" t="s">
        <v>2853</v>
      </c>
    </row>
    <row r="757" spans="1:4" x14ac:dyDescent="0.25">
      <c r="A757" s="164" t="s">
        <v>2853</v>
      </c>
      <c r="B757" s="164" t="s">
        <v>2853</v>
      </c>
      <c r="C757" s="10" t="s">
        <v>976</v>
      </c>
      <c r="D757" s="153" t="s">
        <v>2853</v>
      </c>
    </row>
    <row r="758" spans="1:4" x14ac:dyDescent="0.25">
      <c r="A758" s="164" t="s">
        <v>2853</v>
      </c>
      <c r="B758" s="164" t="s">
        <v>2853</v>
      </c>
      <c r="C758" s="10" t="s">
        <v>977</v>
      </c>
      <c r="D758" s="153" t="s">
        <v>2853</v>
      </c>
    </row>
    <row r="759" spans="1:4" x14ac:dyDescent="0.25">
      <c r="A759" s="164" t="s">
        <v>2853</v>
      </c>
      <c r="B759" s="164" t="s">
        <v>2853</v>
      </c>
      <c r="C759" s="10" t="s">
        <v>104</v>
      </c>
      <c r="D759" s="153" t="s">
        <v>2853</v>
      </c>
    </row>
    <row r="760" spans="1:4" x14ac:dyDescent="0.25">
      <c r="A760" s="164" t="s">
        <v>2853</v>
      </c>
      <c r="B760" s="164" t="s">
        <v>2853</v>
      </c>
      <c r="C760" s="10" t="s">
        <v>109</v>
      </c>
      <c r="D760" s="153" t="s">
        <v>2853</v>
      </c>
    </row>
    <row r="761" spans="1:4" x14ac:dyDescent="0.25">
      <c r="A761" s="164" t="s">
        <v>2853</v>
      </c>
      <c r="B761" s="164" t="s">
        <v>2853</v>
      </c>
      <c r="C761" s="10" t="s">
        <v>111</v>
      </c>
      <c r="D761" s="153" t="s">
        <v>2853</v>
      </c>
    </row>
    <row r="762" spans="1:4" x14ac:dyDescent="0.25">
      <c r="A762" s="164" t="s">
        <v>2853</v>
      </c>
      <c r="B762" s="164" t="s">
        <v>2853</v>
      </c>
      <c r="C762" s="10" t="s">
        <v>114</v>
      </c>
      <c r="D762" s="153" t="s">
        <v>2853</v>
      </c>
    </row>
    <row r="763" spans="1:4" x14ac:dyDescent="0.25">
      <c r="A763" s="164" t="s">
        <v>2853</v>
      </c>
      <c r="B763" s="164" t="s">
        <v>2853</v>
      </c>
      <c r="C763" s="10" t="s">
        <v>117</v>
      </c>
      <c r="D763" s="153" t="s">
        <v>2853</v>
      </c>
    </row>
    <row r="764" spans="1:4" x14ac:dyDescent="0.25">
      <c r="A764" s="164" t="s">
        <v>2853</v>
      </c>
      <c r="B764" s="164" t="s">
        <v>2853</v>
      </c>
      <c r="C764" s="10" t="s">
        <v>120</v>
      </c>
      <c r="D764" s="153" t="s">
        <v>2853</v>
      </c>
    </row>
    <row r="765" spans="1:4" x14ac:dyDescent="0.25">
      <c r="A765" s="164" t="s">
        <v>2853</v>
      </c>
      <c r="B765" s="164" t="s">
        <v>2853</v>
      </c>
      <c r="C765" s="10" t="s">
        <v>123</v>
      </c>
      <c r="D765" s="153" t="s">
        <v>2853</v>
      </c>
    </row>
    <row r="766" spans="1:4" x14ac:dyDescent="0.25">
      <c r="A766" s="164" t="s">
        <v>2853</v>
      </c>
      <c r="B766" s="164" t="s">
        <v>2853</v>
      </c>
      <c r="C766" s="10" t="s">
        <v>125</v>
      </c>
      <c r="D766" s="153" t="s">
        <v>2853</v>
      </c>
    </row>
    <row r="767" spans="1:4" x14ac:dyDescent="0.25">
      <c r="A767" s="164" t="s">
        <v>2853</v>
      </c>
      <c r="B767" s="164" t="s">
        <v>2853</v>
      </c>
      <c r="C767" s="10" t="s">
        <v>314</v>
      </c>
      <c r="D767" s="153" t="s">
        <v>2853</v>
      </c>
    </row>
    <row r="768" spans="1:4" x14ac:dyDescent="0.25">
      <c r="A768" s="164" t="s">
        <v>2853</v>
      </c>
      <c r="B768" s="164" t="s">
        <v>2853</v>
      </c>
      <c r="C768" s="10" t="s">
        <v>128</v>
      </c>
      <c r="D768" s="153" t="s">
        <v>2853</v>
      </c>
    </row>
    <row r="769" spans="1:5" x14ac:dyDescent="0.25">
      <c r="A769" s="164" t="s">
        <v>2853</v>
      </c>
      <c r="B769" s="164" t="s">
        <v>2853</v>
      </c>
      <c r="C769" s="10" t="s">
        <v>131</v>
      </c>
      <c r="D769" s="153" t="s">
        <v>2853</v>
      </c>
    </row>
    <row r="770" spans="1:5" x14ac:dyDescent="0.25">
      <c r="A770" s="164" t="s">
        <v>2853</v>
      </c>
      <c r="B770" s="164" t="s">
        <v>2853</v>
      </c>
      <c r="C770" s="10" t="s">
        <v>132</v>
      </c>
      <c r="D770" s="153" t="s">
        <v>2853</v>
      </c>
    </row>
    <row r="771" spans="1:5" x14ac:dyDescent="0.25">
      <c r="A771" s="164" t="s">
        <v>2853</v>
      </c>
      <c r="B771" s="164" t="s">
        <v>2853</v>
      </c>
      <c r="C771" s="10" t="s">
        <v>134</v>
      </c>
      <c r="D771" s="153" t="s">
        <v>2853</v>
      </c>
    </row>
    <row r="772" spans="1:5" x14ac:dyDescent="0.25">
      <c r="A772" s="164" t="s">
        <v>2853</v>
      </c>
      <c r="B772" s="164" t="s">
        <v>2853</v>
      </c>
      <c r="C772" s="10" t="s">
        <v>136</v>
      </c>
      <c r="D772" s="153" t="s">
        <v>2853</v>
      </c>
    </row>
    <row r="773" spans="1:5" x14ac:dyDescent="0.25">
      <c r="A773" s="164" t="s">
        <v>2853</v>
      </c>
      <c r="B773" s="164" t="s">
        <v>2853</v>
      </c>
      <c r="C773" s="10" t="s">
        <v>138</v>
      </c>
      <c r="D773" s="153" t="s">
        <v>2853</v>
      </c>
    </row>
    <row r="774" spans="1:5" x14ac:dyDescent="0.25">
      <c r="A774" s="164" t="s">
        <v>2853</v>
      </c>
      <c r="B774" s="164" t="s">
        <v>2853</v>
      </c>
      <c r="C774" s="10" t="s">
        <v>141</v>
      </c>
      <c r="D774" s="153" t="s">
        <v>2853</v>
      </c>
    </row>
    <row r="775" spans="1:5" x14ac:dyDescent="0.25">
      <c r="A775" s="164" t="s">
        <v>2853</v>
      </c>
      <c r="B775" s="164" t="s">
        <v>2853</v>
      </c>
      <c r="C775" s="10" t="s">
        <v>143</v>
      </c>
      <c r="D775" s="153" t="s">
        <v>2853</v>
      </c>
    </row>
    <row r="776" spans="1:5" x14ac:dyDescent="0.25">
      <c r="A776" s="164" t="s">
        <v>2853</v>
      </c>
      <c r="B776" s="164" t="s">
        <v>2853</v>
      </c>
      <c r="C776" s="10" t="s">
        <v>315</v>
      </c>
      <c r="D776" s="153" t="s">
        <v>2853</v>
      </c>
    </row>
    <row r="777" spans="1:5" x14ac:dyDescent="0.25">
      <c r="A777" s="164" t="s">
        <v>2853</v>
      </c>
      <c r="B777" s="164" t="s">
        <v>2853</v>
      </c>
      <c r="C777" s="10" t="s">
        <v>145</v>
      </c>
      <c r="D777" s="153" t="s">
        <v>2853</v>
      </c>
    </row>
    <row r="778" spans="1:5" x14ac:dyDescent="0.25">
      <c r="A778" s="164" t="s">
        <v>2853</v>
      </c>
      <c r="B778" s="164" t="s">
        <v>2853</v>
      </c>
      <c r="C778" s="10" t="s">
        <v>147</v>
      </c>
      <c r="D778" s="153" t="s">
        <v>2853</v>
      </c>
    </row>
    <row r="779" spans="1:5" x14ac:dyDescent="0.25">
      <c r="A779" s="164" t="s">
        <v>2853</v>
      </c>
      <c r="B779" s="164" t="s">
        <v>2853</v>
      </c>
      <c r="C779" s="10" t="s">
        <v>149</v>
      </c>
      <c r="D779" s="153" t="s">
        <v>2853</v>
      </c>
    </row>
    <row r="780" spans="1:5" x14ac:dyDescent="0.25">
      <c r="A780" s="164" t="s">
        <v>2853</v>
      </c>
      <c r="B780" s="164" t="s">
        <v>2853</v>
      </c>
      <c r="C780" s="10" t="s">
        <v>151</v>
      </c>
      <c r="D780" s="153" t="s">
        <v>2853</v>
      </c>
    </row>
    <row r="781" spans="1:5" x14ac:dyDescent="0.25">
      <c r="A781" s="164" t="s">
        <v>2853</v>
      </c>
      <c r="B781" s="164" t="s">
        <v>2853</v>
      </c>
      <c r="C781" s="10" t="s">
        <v>153</v>
      </c>
      <c r="D781" s="153" t="s">
        <v>2853</v>
      </c>
    </row>
    <row r="782" spans="1:5" x14ac:dyDescent="0.25">
      <c r="A782" s="164" t="s">
        <v>2853</v>
      </c>
      <c r="B782" s="164" t="s">
        <v>2853</v>
      </c>
      <c r="C782" s="10" t="s">
        <v>1140</v>
      </c>
      <c r="D782" s="153" t="s">
        <v>2853</v>
      </c>
      <c r="E782" s="1" t="s">
        <v>1189</v>
      </c>
    </row>
    <row r="783" spans="1:5" x14ac:dyDescent="0.25">
      <c r="A783" s="164" t="s">
        <v>2853</v>
      </c>
      <c r="B783" s="164" t="s">
        <v>2853</v>
      </c>
      <c r="C783" s="10" t="s">
        <v>1139</v>
      </c>
      <c r="D783" s="153" t="s">
        <v>2853</v>
      </c>
      <c r="E783" s="1" t="s">
        <v>1189</v>
      </c>
    </row>
    <row r="784" spans="1:5" x14ac:dyDescent="0.25">
      <c r="A784" s="164" t="s">
        <v>2853</v>
      </c>
      <c r="B784" s="164" t="s">
        <v>2853</v>
      </c>
      <c r="C784" s="10" t="s">
        <v>970</v>
      </c>
      <c r="D784" s="153" t="s">
        <v>2853</v>
      </c>
      <c r="E784" s="1" t="s">
        <v>1189</v>
      </c>
    </row>
    <row r="785" spans="1:5" x14ac:dyDescent="0.25">
      <c r="A785" s="164" t="s">
        <v>2853</v>
      </c>
      <c r="B785" s="164" t="s">
        <v>2853</v>
      </c>
      <c r="C785" s="10" t="s">
        <v>157</v>
      </c>
      <c r="D785" s="153" t="s">
        <v>2853</v>
      </c>
    </row>
    <row r="786" spans="1:5" x14ac:dyDescent="0.25">
      <c r="A786" s="164" t="s">
        <v>2853</v>
      </c>
      <c r="B786" s="164" t="s">
        <v>2853</v>
      </c>
      <c r="C786" s="10" t="s">
        <v>158</v>
      </c>
      <c r="D786" s="153" t="s">
        <v>2853</v>
      </c>
    </row>
    <row r="787" spans="1:5" x14ac:dyDescent="0.25">
      <c r="A787" s="164" t="s">
        <v>2853</v>
      </c>
      <c r="B787" s="164" t="s">
        <v>2853</v>
      </c>
      <c r="C787" s="10" t="s">
        <v>159</v>
      </c>
      <c r="D787" s="153" t="s">
        <v>2853</v>
      </c>
    </row>
    <row r="788" spans="1:5" x14ac:dyDescent="0.25">
      <c r="A788" s="164" t="s">
        <v>2853</v>
      </c>
      <c r="B788" s="164" t="s">
        <v>2853</v>
      </c>
      <c r="C788" s="10" t="s">
        <v>160</v>
      </c>
      <c r="D788" s="153" t="s">
        <v>2853</v>
      </c>
    </row>
    <row r="789" spans="1:5" x14ac:dyDescent="0.25">
      <c r="A789" s="164" t="s">
        <v>2853</v>
      </c>
      <c r="B789" s="164" t="s">
        <v>2853</v>
      </c>
      <c r="C789" s="10" t="s">
        <v>161</v>
      </c>
      <c r="D789" s="153" t="s">
        <v>2853</v>
      </c>
    </row>
    <row r="790" spans="1:5" x14ac:dyDescent="0.25">
      <c r="A790" s="164" t="s">
        <v>2853</v>
      </c>
      <c r="B790" s="164" t="s">
        <v>2853</v>
      </c>
      <c r="C790" s="10" t="s">
        <v>972</v>
      </c>
      <c r="D790" s="153" t="s">
        <v>2853</v>
      </c>
      <c r="E790" s="1" t="s">
        <v>1189</v>
      </c>
    </row>
    <row r="791" spans="1:5" x14ac:dyDescent="0.25">
      <c r="A791" s="164" t="s">
        <v>2853</v>
      </c>
      <c r="B791" s="164" t="s">
        <v>2853</v>
      </c>
      <c r="C791" s="10" t="s">
        <v>164</v>
      </c>
      <c r="D791" s="153" t="s">
        <v>2853</v>
      </c>
    </row>
    <row r="792" spans="1:5" x14ac:dyDescent="0.25">
      <c r="A792" s="164" t="s">
        <v>2853</v>
      </c>
      <c r="B792" s="164" t="s">
        <v>2853</v>
      </c>
      <c r="C792" s="10" t="s">
        <v>166</v>
      </c>
      <c r="D792" s="153" t="s">
        <v>2853</v>
      </c>
    </row>
    <row r="793" spans="1:5" x14ac:dyDescent="0.25">
      <c r="A793" s="164" t="s">
        <v>2853</v>
      </c>
      <c r="B793" s="164" t="s">
        <v>2853</v>
      </c>
      <c r="C793" s="10" t="s">
        <v>168</v>
      </c>
      <c r="D793" s="153" t="s">
        <v>2853</v>
      </c>
    </row>
    <row r="794" spans="1:5" x14ac:dyDescent="0.25">
      <c r="A794" s="164" t="s">
        <v>2853</v>
      </c>
      <c r="B794" s="164" t="s">
        <v>2853</v>
      </c>
      <c r="C794" s="10" t="s">
        <v>171</v>
      </c>
      <c r="D794" s="153" t="s">
        <v>2853</v>
      </c>
    </row>
    <row r="795" spans="1:5" x14ac:dyDescent="0.25">
      <c r="A795" s="164" t="s">
        <v>2853</v>
      </c>
      <c r="B795" s="164" t="s">
        <v>2853</v>
      </c>
      <c r="C795" s="10" t="s">
        <v>173</v>
      </c>
      <c r="D795" s="153" t="s">
        <v>2853</v>
      </c>
    </row>
    <row r="796" spans="1:5" x14ac:dyDescent="0.25">
      <c r="A796" s="164" t="s">
        <v>2853</v>
      </c>
      <c r="B796" s="164" t="s">
        <v>2853</v>
      </c>
      <c r="C796" s="10" t="s">
        <v>175</v>
      </c>
      <c r="D796" s="153" t="s">
        <v>2853</v>
      </c>
    </row>
    <row r="797" spans="1:5" x14ac:dyDescent="0.25">
      <c r="A797" s="164" t="s">
        <v>2853</v>
      </c>
      <c r="B797" s="164" t="s">
        <v>2853</v>
      </c>
      <c r="C797" s="10" t="s">
        <v>177</v>
      </c>
      <c r="D797" s="153" t="s">
        <v>2853</v>
      </c>
    </row>
    <row r="798" spans="1:5" x14ac:dyDescent="0.25">
      <c r="A798" s="164" t="s">
        <v>2853</v>
      </c>
      <c r="B798" s="164" t="s">
        <v>2853</v>
      </c>
      <c r="C798" s="10" t="s">
        <v>178</v>
      </c>
      <c r="D798" s="153" t="s">
        <v>2853</v>
      </c>
    </row>
    <row r="799" spans="1:5" x14ac:dyDescent="0.25">
      <c r="A799" s="164" t="s">
        <v>2853</v>
      </c>
      <c r="B799" s="164" t="s">
        <v>2853</v>
      </c>
      <c r="C799" s="10" t="s">
        <v>179</v>
      </c>
      <c r="D799" s="153" t="s">
        <v>2853</v>
      </c>
    </row>
    <row r="800" spans="1:5" x14ac:dyDescent="0.25">
      <c r="A800" s="164" t="s">
        <v>2853</v>
      </c>
      <c r="B800" s="164" t="s">
        <v>2853</v>
      </c>
      <c r="C800" s="10" t="s">
        <v>180</v>
      </c>
      <c r="D800" s="153" t="s">
        <v>2853</v>
      </c>
    </row>
    <row r="801" spans="1:5" x14ac:dyDescent="0.25">
      <c r="A801" s="164" t="s">
        <v>2853</v>
      </c>
      <c r="B801" s="164" t="s">
        <v>2853</v>
      </c>
      <c r="C801" s="10" t="s">
        <v>181</v>
      </c>
      <c r="D801" s="153" t="s">
        <v>2853</v>
      </c>
    </row>
    <row r="802" spans="1:5" x14ac:dyDescent="0.25">
      <c r="A802" s="164" t="s">
        <v>2853</v>
      </c>
      <c r="B802" s="164" t="s">
        <v>2853</v>
      </c>
      <c r="C802" s="10" t="s">
        <v>182</v>
      </c>
      <c r="D802" s="153" t="s">
        <v>2853</v>
      </c>
    </row>
    <row r="803" spans="1:5" x14ac:dyDescent="0.25">
      <c r="A803" s="164" t="s">
        <v>2853</v>
      </c>
      <c r="B803" s="164" t="s">
        <v>2853</v>
      </c>
      <c r="C803" s="10" t="s">
        <v>183</v>
      </c>
      <c r="D803" s="153" t="s">
        <v>2853</v>
      </c>
    </row>
    <row r="804" spans="1:5" x14ac:dyDescent="0.25">
      <c r="A804" s="164" t="s">
        <v>2853</v>
      </c>
      <c r="B804" s="164" t="s">
        <v>2853</v>
      </c>
      <c r="C804" s="10" t="s">
        <v>510</v>
      </c>
      <c r="D804" s="153" t="s">
        <v>2853</v>
      </c>
    </row>
    <row r="805" spans="1:5" x14ac:dyDescent="0.25">
      <c r="A805" s="164" t="s">
        <v>2853</v>
      </c>
      <c r="B805" s="164" t="s">
        <v>2853</v>
      </c>
      <c r="C805" s="10" t="s">
        <v>184</v>
      </c>
      <c r="D805" s="153" t="s">
        <v>2853</v>
      </c>
    </row>
    <row r="806" spans="1:5" x14ac:dyDescent="0.25">
      <c r="A806" s="164" t="s">
        <v>2853</v>
      </c>
      <c r="B806" s="164" t="s">
        <v>2853</v>
      </c>
      <c r="C806" s="10" t="s">
        <v>185</v>
      </c>
      <c r="D806" s="153" t="s">
        <v>2853</v>
      </c>
    </row>
    <row r="807" spans="1:5" x14ac:dyDescent="0.25">
      <c r="A807" s="164" t="s">
        <v>2853</v>
      </c>
      <c r="B807" s="164" t="s">
        <v>2853</v>
      </c>
      <c r="C807" s="10" t="s">
        <v>186</v>
      </c>
      <c r="D807" s="153" t="s">
        <v>2853</v>
      </c>
    </row>
    <row r="808" spans="1:5" x14ac:dyDescent="0.25">
      <c r="A808" s="164" t="s">
        <v>2853</v>
      </c>
      <c r="B808" s="164" t="s">
        <v>2853</v>
      </c>
      <c r="C808" s="10" t="s">
        <v>187</v>
      </c>
      <c r="D808" s="153" t="s">
        <v>2853</v>
      </c>
    </row>
    <row r="809" spans="1:5" x14ac:dyDescent="0.25">
      <c r="A809" s="164" t="s">
        <v>2853</v>
      </c>
      <c r="B809" s="164" t="s">
        <v>2853</v>
      </c>
      <c r="C809" s="10" t="s">
        <v>971</v>
      </c>
      <c r="D809" s="153" t="s">
        <v>2853</v>
      </c>
      <c r="E809" s="1" t="s">
        <v>1189</v>
      </c>
    </row>
    <row r="810" spans="1:5" x14ac:dyDescent="0.25">
      <c r="A810" s="164" t="s">
        <v>2853</v>
      </c>
      <c r="B810" s="164" t="s">
        <v>2853</v>
      </c>
      <c r="C810" s="10" t="s">
        <v>188</v>
      </c>
      <c r="D810" s="153" t="s">
        <v>2853</v>
      </c>
    </row>
    <row r="811" spans="1:5" x14ac:dyDescent="0.25">
      <c r="A811" s="164" t="s">
        <v>2853</v>
      </c>
      <c r="B811" s="164" t="s">
        <v>2853</v>
      </c>
      <c r="C811" s="10" t="s">
        <v>189</v>
      </c>
      <c r="D811" s="153" t="s">
        <v>2853</v>
      </c>
    </row>
    <row r="812" spans="1:5" x14ac:dyDescent="0.25">
      <c r="A812" s="164" t="s">
        <v>2853</v>
      </c>
      <c r="B812" s="164" t="s">
        <v>2853</v>
      </c>
      <c r="C812" s="10" t="s">
        <v>190</v>
      </c>
      <c r="D812" s="153" t="s">
        <v>2853</v>
      </c>
    </row>
    <row r="813" spans="1:5" x14ac:dyDescent="0.25">
      <c r="A813" s="164" t="s">
        <v>2853</v>
      </c>
      <c r="B813" s="164" t="s">
        <v>2853</v>
      </c>
      <c r="C813" s="10" t="s">
        <v>191</v>
      </c>
      <c r="D813" s="153" t="s">
        <v>2853</v>
      </c>
    </row>
    <row r="814" spans="1:5" x14ac:dyDescent="0.25">
      <c r="A814" s="164" t="s">
        <v>2853</v>
      </c>
      <c r="B814" s="164" t="s">
        <v>2853</v>
      </c>
      <c r="C814" s="10" t="s">
        <v>192</v>
      </c>
      <c r="D814" s="153" t="s">
        <v>2853</v>
      </c>
    </row>
    <row r="815" spans="1:5" x14ac:dyDescent="0.25">
      <c r="A815" s="164" t="s">
        <v>2853</v>
      </c>
      <c r="B815" s="164" t="s">
        <v>2853</v>
      </c>
      <c r="C815" s="10" t="s">
        <v>193</v>
      </c>
      <c r="D815" s="153" t="s">
        <v>2853</v>
      </c>
    </row>
    <row r="816" spans="1:5" x14ac:dyDescent="0.25">
      <c r="A816" s="164" t="s">
        <v>2853</v>
      </c>
      <c r="B816" s="164" t="s">
        <v>2853</v>
      </c>
      <c r="C816" s="10" t="s">
        <v>194</v>
      </c>
      <c r="D816" s="153" t="s">
        <v>2853</v>
      </c>
    </row>
    <row r="817" spans="1:4" x14ac:dyDescent="0.25">
      <c r="A817" s="164" t="s">
        <v>2853</v>
      </c>
      <c r="B817" s="164" t="s">
        <v>2853</v>
      </c>
      <c r="C817" s="10" t="s">
        <v>196</v>
      </c>
      <c r="D817" s="153" t="s">
        <v>2853</v>
      </c>
    </row>
    <row r="818" spans="1:4" x14ac:dyDescent="0.25">
      <c r="A818" s="164" t="s">
        <v>2853</v>
      </c>
      <c r="B818" s="164" t="s">
        <v>2853</v>
      </c>
      <c r="C818" s="10" t="s">
        <v>197</v>
      </c>
      <c r="D818" s="153" t="s">
        <v>2853</v>
      </c>
    </row>
    <row r="819" spans="1:4" x14ac:dyDescent="0.25">
      <c r="A819" s="164" t="s">
        <v>2853</v>
      </c>
      <c r="B819" s="164" t="s">
        <v>2853</v>
      </c>
      <c r="C819" s="10" t="s">
        <v>198</v>
      </c>
      <c r="D819" s="153" t="s">
        <v>2853</v>
      </c>
    </row>
    <row r="820" spans="1:4" x14ac:dyDescent="0.25">
      <c r="A820" s="164" t="s">
        <v>2853</v>
      </c>
      <c r="B820" s="164" t="s">
        <v>2853</v>
      </c>
      <c r="C820" s="10" t="s">
        <v>199</v>
      </c>
      <c r="D820" s="153" t="s">
        <v>2853</v>
      </c>
    </row>
    <row r="821" spans="1:4" x14ac:dyDescent="0.25">
      <c r="A821" s="164" t="s">
        <v>2853</v>
      </c>
      <c r="B821" s="164" t="s">
        <v>2853</v>
      </c>
      <c r="C821" s="10" t="s">
        <v>200</v>
      </c>
      <c r="D821" s="153" t="s">
        <v>2853</v>
      </c>
    </row>
    <row r="822" spans="1:4" x14ac:dyDescent="0.25">
      <c r="A822" s="164" t="s">
        <v>2853</v>
      </c>
      <c r="B822" s="164" t="s">
        <v>2853</v>
      </c>
      <c r="C822" s="10" t="s">
        <v>201</v>
      </c>
      <c r="D822" s="153" t="s">
        <v>2853</v>
      </c>
    </row>
    <row r="823" spans="1:4" x14ac:dyDescent="0.25">
      <c r="A823" s="164" t="s">
        <v>2853</v>
      </c>
      <c r="B823" s="164" t="s">
        <v>2853</v>
      </c>
      <c r="C823" s="10" t="s">
        <v>203</v>
      </c>
      <c r="D823" s="153" t="s">
        <v>2853</v>
      </c>
    </row>
    <row r="824" spans="1:4" x14ac:dyDescent="0.25">
      <c r="A824" s="164" t="s">
        <v>2853</v>
      </c>
      <c r="B824" s="164" t="s">
        <v>2853</v>
      </c>
      <c r="C824" s="10" t="s">
        <v>204</v>
      </c>
      <c r="D824" s="153" t="s">
        <v>2853</v>
      </c>
    </row>
    <row r="825" spans="1:4" x14ac:dyDescent="0.25">
      <c r="A825" s="164" t="s">
        <v>2853</v>
      </c>
      <c r="B825" s="164" t="s">
        <v>2853</v>
      </c>
      <c r="C825" s="10" t="s">
        <v>205</v>
      </c>
      <c r="D825" s="153" t="s">
        <v>2853</v>
      </c>
    </row>
    <row r="826" spans="1:4" x14ac:dyDescent="0.25">
      <c r="A826" s="164" t="s">
        <v>2853</v>
      </c>
      <c r="B826" s="164" t="s">
        <v>2853</v>
      </c>
      <c r="C826" s="10" t="s">
        <v>206</v>
      </c>
      <c r="D826" s="153" t="s">
        <v>2853</v>
      </c>
    </row>
    <row r="827" spans="1:4" x14ac:dyDescent="0.25">
      <c r="A827" s="164" t="s">
        <v>2853</v>
      </c>
      <c r="B827" s="164" t="s">
        <v>2853</v>
      </c>
      <c r="C827" s="10" t="s">
        <v>207</v>
      </c>
      <c r="D827" s="153" t="s">
        <v>2853</v>
      </c>
    </row>
    <row r="828" spans="1:4" x14ac:dyDescent="0.25">
      <c r="A828" s="164" t="s">
        <v>2853</v>
      </c>
      <c r="B828" s="164" t="s">
        <v>2853</v>
      </c>
      <c r="C828" s="10" t="s">
        <v>208</v>
      </c>
      <c r="D828" s="153" t="s">
        <v>2853</v>
      </c>
    </row>
    <row r="829" spans="1:4" x14ac:dyDescent="0.25">
      <c r="A829" s="164" t="s">
        <v>2853</v>
      </c>
      <c r="B829" s="164" t="s">
        <v>2853</v>
      </c>
      <c r="C829" s="10" t="s">
        <v>209</v>
      </c>
      <c r="D829" s="153" t="s">
        <v>2853</v>
      </c>
    </row>
    <row r="830" spans="1:4" x14ac:dyDescent="0.25">
      <c r="A830" s="164" t="s">
        <v>2853</v>
      </c>
      <c r="B830" s="164" t="s">
        <v>2853</v>
      </c>
      <c r="C830" s="10" t="s">
        <v>210</v>
      </c>
      <c r="D830" s="153" t="s">
        <v>2853</v>
      </c>
    </row>
    <row r="831" spans="1:4" x14ac:dyDescent="0.25">
      <c r="A831" s="164" t="s">
        <v>2853</v>
      </c>
      <c r="B831" s="164" t="s">
        <v>2853</v>
      </c>
      <c r="C831" s="10" t="s">
        <v>1183</v>
      </c>
      <c r="D831" s="148" t="s">
        <v>1194</v>
      </c>
    </row>
    <row r="832" spans="1:4" x14ac:dyDescent="0.25">
      <c r="A832" s="164" t="s">
        <v>2853</v>
      </c>
      <c r="B832" s="164" t="s">
        <v>2853</v>
      </c>
      <c r="C832" s="10" t="s">
        <v>1184</v>
      </c>
      <c r="D832" s="148" t="s">
        <v>962</v>
      </c>
    </row>
    <row r="833" spans="1:4" x14ac:dyDescent="0.25">
      <c r="A833" s="164" t="s">
        <v>2853</v>
      </c>
      <c r="B833" s="164" t="s">
        <v>2853</v>
      </c>
      <c r="C833" s="10" t="s">
        <v>1185</v>
      </c>
      <c r="D833" s="148" t="s">
        <v>962</v>
      </c>
    </row>
    <row r="834" spans="1:4" x14ac:dyDescent="0.25">
      <c r="A834" s="164" t="s">
        <v>2853</v>
      </c>
      <c r="B834" s="164" t="s">
        <v>2853</v>
      </c>
      <c r="C834" s="10" t="s">
        <v>958</v>
      </c>
      <c r="D834" s="182" t="s">
        <v>2853</v>
      </c>
    </row>
    <row r="835" spans="1:4" x14ac:dyDescent="0.25">
      <c r="A835" s="164" t="s">
        <v>2853</v>
      </c>
      <c r="B835" s="164" t="s">
        <v>2853</v>
      </c>
      <c r="C835" s="10" t="s">
        <v>317</v>
      </c>
      <c r="D835" s="153" t="s">
        <v>2853</v>
      </c>
    </row>
    <row r="836" spans="1:4" x14ac:dyDescent="0.25">
      <c r="A836" s="164" t="s">
        <v>2853</v>
      </c>
      <c r="B836" s="164" t="s">
        <v>2853</v>
      </c>
      <c r="C836" s="10" t="s">
        <v>946</v>
      </c>
      <c r="D836" s="153" t="s">
        <v>2853</v>
      </c>
    </row>
    <row r="837" spans="1:4" x14ac:dyDescent="0.25">
      <c r="A837" s="164" t="s">
        <v>2853</v>
      </c>
      <c r="B837" s="164" t="s">
        <v>2853</v>
      </c>
      <c r="C837" s="10" t="s">
        <v>947</v>
      </c>
      <c r="D837" s="153" t="s">
        <v>2853</v>
      </c>
    </row>
    <row r="838" spans="1:4" x14ac:dyDescent="0.25">
      <c r="A838" s="164" t="s">
        <v>2853</v>
      </c>
      <c r="B838" s="164" t="s">
        <v>2853</v>
      </c>
      <c r="C838" s="10" t="s">
        <v>316</v>
      </c>
      <c r="D838" s="153" t="s">
        <v>2853</v>
      </c>
    </row>
    <row r="839" spans="1:4" x14ac:dyDescent="0.25">
      <c r="A839" s="164" t="s">
        <v>2853</v>
      </c>
      <c r="B839" s="164" t="s">
        <v>2853</v>
      </c>
      <c r="C839" s="10" t="s">
        <v>313</v>
      </c>
      <c r="D839" s="153" t="s">
        <v>2853</v>
      </c>
    </row>
    <row r="840" spans="1:4" x14ac:dyDescent="0.25">
      <c r="A840" s="164" t="s">
        <v>2853</v>
      </c>
      <c r="B840" s="164" t="s">
        <v>2853</v>
      </c>
      <c r="C840" s="10" t="s">
        <v>318</v>
      </c>
      <c r="D840" s="153" t="s">
        <v>2853</v>
      </c>
    </row>
    <row r="841" spans="1:4" x14ac:dyDescent="0.25">
      <c r="A841" s="164" t="s">
        <v>2853</v>
      </c>
      <c r="B841" s="164" t="s">
        <v>2853</v>
      </c>
      <c r="C841" s="10" t="s">
        <v>948</v>
      </c>
      <c r="D841" s="153" t="s">
        <v>2853</v>
      </c>
    </row>
    <row r="842" spans="1:4" x14ac:dyDescent="0.25">
      <c r="A842" s="164" t="s">
        <v>2853</v>
      </c>
      <c r="B842" s="164" t="s">
        <v>2853</v>
      </c>
      <c r="C842" s="10" t="s">
        <v>704</v>
      </c>
      <c r="D842" s="153" t="s">
        <v>2853</v>
      </c>
    </row>
    <row r="843" spans="1:4" x14ac:dyDescent="0.25">
      <c r="A843" s="164" t="s">
        <v>2853</v>
      </c>
      <c r="B843" s="164" t="s">
        <v>2853</v>
      </c>
      <c r="C843" s="10" t="s">
        <v>705</v>
      </c>
      <c r="D843" s="153" t="s">
        <v>2853</v>
      </c>
    </row>
    <row r="844" spans="1:4" x14ac:dyDescent="0.25">
      <c r="A844" s="164" t="s">
        <v>2853</v>
      </c>
      <c r="B844" s="164" t="s">
        <v>2853</v>
      </c>
      <c r="C844" s="10" t="s">
        <v>707</v>
      </c>
      <c r="D844" s="153" t="s">
        <v>2853</v>
      </c>
    </row>
    <row r="845" spans="1:4" x14ac:dyDescent="0.25">
      <c r="A845" s="164" t="s">
        <v>2853</v>
      </c>
      <c r="B845" s="164" t="s">
        <v>2853</v>
      </c>
      <c r="C845" s="10" t="s">
        <v>706</v>
      </c>
      <c r="D845" s="153" t="s">
        <v>2853</v>
      </c>
    </row>
    <row r="846" spans="1:4" x14ac:dyDescent="0.25">
      <c r="A846" s="164" t="s">
        <v>2853</v>
      </c>
      <c r="B846" s="164" t="s">
        <v>2853</v>
      </c>
      <c r="C846" s="10" t="s">
        <v>703</v>
      </c>
      <c r="D846" s="153" t="s">
        <v>2853</v>
      </c>
    </row>
    <row r="847" spans="1:4" x14ac:dyDescent="0.25">
      <c r="A847" s="164" t="s">
        <v>2853</v>
      </c>
      <c r="B847" s="164" t="s">
        <v>2853</v>
      </c>
      <c r="C847" s="10" t="s">
        <v>455</v>
      </c>
      <c r="D847" s="153" t="s">
        <v>2853</v>
      </c>
    </row>
    <row r="848" spans="1:4" x14ac:dyDescent="0.25">
      <c r="A848" s="164" t="s">
        <v>2853</v>
      </c>
      <c r="B848" s="164" t="s">
        <v>2853</v>
      </c>
      <c r="C848" s="10" t="s">
        <v>456</v>
      </c>
      <c r="D848" s="153" t="s">
        <v>2853</v>
      </c>
    </row>
    <row r="849" spans="1:4" x14ac:dyDescent="0.25">
      <c r="A849" s="164" t="s">
        <v>2853</v>
      </c>
      <c r="B849" s="164" t="s">
        <v>2853</v>
      </c>
      <c r="C849" s="10" t="s">
        <v>457</v>
      </c>
      <c r="D849" s="153" t="s">
        <v>2853</v>
      </c>
    </row>
    <row r="850" spans="1:4" x14ac:dyDescent="0.25">
      <c r="A850" s="164" t="s">
        <v>2853</v>
      </c>
      <c r="B850" s="164" t="s">
        <v>2853</v>
      </c>
      <c r="C850" s="10" t="s">
        <v>102</v>
      </c>
      <c r="D850" s="153" t="s">
        <v>2853</v>
      </c>
    </row>
    <row r="851" spans="1:4" x14ac:dyDescent="0.25">
      <c r="A851" s="21" t="s">
        <v>364</v>
      </c>
      <c r="B851" s="179" t="s">
        <v>2853</v>
      </c>
      <c r="C851" s="11" t="s">
        <v>55</v>
      </c>
      <c r="D851" s="156" t="s">
        <v>2853</v>
      </c>
    </row>
    <row r="852" spans="1:4" x14ac:dyDescent="0.25">
      <c r="A852" s="162" t="s">
        <v>2853</v>
      </c>
      <c r="B852" s="162" t="s">
        <v>2853</v>
      </c>
      <c r="C852" s="11" t="s">
        <v>62</v>
      </c>
      <c r="D852" s="156" t="s">
        <v>2853</v>
      </c>
    </row>
    <row r="853" spans="1:4" x14ac:dyDescent="0.25">
      <c r="A853" s="39" t="s">
        <v>31</v>
      </c>
      <c r="B853" s="39" t="s">
        <v>1</v>
      </c>
      <c r="C853" s="10" t="s">
        <v>213</v>
      </c>
      <c r="D853" s="153" t="s">
        <v>2853</v>
      </c>
    </row>
    <row r="854" spans="1:4" x14ac:dyDescent="0.25">
      <c r="A854" s="164" t="s">
        <v>2853</v>
      </c>
      <c r="B854" s="164" t="s">
        <v>2853</v>
      </c>
      <c r="C854" s="10" t="s">
        <v>220</v>
      </c>
      <c r="D854" s="153" t="s">
        <v>2853</v>
      </c>
    </row>
    <row r="855" spans="1:4" x14ac:dyDescent="0.25">
      <c r="A855" s="164" t="s">
        <v>2853</v>
      </c>
      <c r="B855" s="164" t="s">
        <v>2853</v>
      </c>
      <c r="C855" s="10" t="s">
        <v>218</v>
      </c>
      <c r="D855" s="153" t="s">
        <v>2853</v>
      </c>
    </row>
    <row r="856" spans="1:4" x14ac:dyDescent="0.25">
      <c r="A856" s="164" t="s">
        <v>2853</v>
      </c>
      <c r="B856" s="164" t="s">
        <v>2853</v>
      </c>
      <c r="C856" s="10" t="s">
        <v>219</v>
      </c>
      <c r="D856" s="153" t="s">
        <v>2853</v>
      </c>
    </row>
    <row r="857" spans="1:4" x14ac:dyDescent="0.25">
      <c r="A857" s="164" t="s">
        <v>2853</v>
      </c>
      <c r="B857" s="164" t="s">
        <v>2853</v>
      </c>
      <c r="C857" s="10" t="s">
        <v>214</v>
      </c>
      <c r="D857" s="153" t="s">
        <v>2853</v>
      </c>
    </row>
    <row r="858" spans="1:4" x14ac:dyDescent="0.25">
      <c r="A858" s="164" t="s">
        <v>2853</v>
      </c>
      <c r="B858" s="164" t="s">
        <v>2853</v>
      </c>
      <c r="C858" s="10" t="s">
        <v>217</v>
      </c>
      <c r="D858" s="153" t="s">
        <v>2853</v>
      </c>
    </row>
    <row r="859" spans="1:4" x14ac:dyDescent="0.25">
      <c r="A859" s="164" t="s">
        <v>2853</v>
      </c>
      <c r="B859" s="164" t="s">
        <v>2853</v>
      </c>
      <c r="C859" s="10" t="s">
        <v>215</v>
      </c>
      <c r="D859" s="153" t="s">
        <v>2853</v>
      </c>
    </row>
    <row r="860" spans="1:4" x14ac:dyDescent="0.25">
      <c r="A860" s="164" t="s">
        <v>2853</v>
      </c>
      <c r="B860" s="164" t="s">
        <v>2853</v>
      </c>
      <c r="C860" s="10" t="s">
        <v>216</v>
      </c>
      <c r="D860" s="153" t="s">
        <v>2853</v>
      </c>
    </row>
    <row r="861" spans="1:4" x14ac:dyDescent="0.25">
      <c r="A861" s="164" t="s">
        <v>2853</v>
      </c>
      <c r="B861" s="164" t="s">
        <v>2853</v>
      </c>
      <c r="C861" s="10" t="s">
        <v>505</v>
      </c>
      <c r="D861" s="153" t="s">
        <v>2853</v>
      </c>
    </row>
    <row r="862" spans="1:4" x14ac:dyDescent="0.25">
      <c r="A862" s="21" t="s">
        <v>40</v>
      </c>
      <c r="B862" s="21" t="s">
        <v>1</v>
      </c>
      <c r="C862" s="11" t="s">
        <v>221</v>
      </c>
      <c r="D862" s="156" t="s">
        <v>2853</v>
      </c>
    </row>
    <row r="863" spans="1:4" x14ac:dyDescent="0.25">
      <c r="A863" s="162" t="s">
        <v>2853</v>
      </c>
      <c r="B863" s="162" t="s">
        <v>2853</v>
      </c>
      <c r="C863" s="11" t="s">
        <v>222</v>
      </c>
      <c r="D863" s="156" t="s">
        <v>2853</v>
      </c>
    </row>
    <row r="864" spans="1:4" x14ac:dyDescent="0.25">
      <c r="A864" s="162" t="s">
        <v>2853</v>
      </c>
      <c r="B864" s="162" t="s">
        <v>2853</v>
      </c>
      <c r="C864" s="11" t="s">
        <v>223</v>
      </c>
      <c r="D864" s="156" t="s">
        <v>2853</v>
      </c>
    </row>
    <row r="865" spans="1:4" x14ac:dyDescent="0.25">
      <c r="A865" s="162" t="s">
        <v>2853</v>
      </c>
      <c r="B865" s="162" t="s">
        <v>2853</v>
      </c>
      <c r="C865" s="11" t="s">
        <v>224</v>
      </c>
      <c r="D865" s="156" t="s">
        <v>2853</v>
      </c>
    </row>
    <row r="866" spans="1:4" x14ac:dyDescent="0.25">
      <c r="A866" s="162" t="s">
        <v>2853</v>
      </c>
      <c r="B866" s="162" t="s">
        <v>2853</v>
      </c>
      <c r="C866" s="11" t="s">
        <v>225</v>
      </c>
      <c r="D866" s="156" t="s">
        <v>2853</v>
      </c>
    </row>
    <row r="867" spans="1:4" x14ac:dyDescent="0.25">
      <c r="A867" s="162" t="s">
        <v>2853</v>
      </c>
      <c r="B867" s="162" t="s">
        <v>2853</v>
      </c>
      <c r="C867" s="11" t="s">
        <v>226</v>
      </c>
      <c r="D867" s="156" t="s">
        <v>2853</v>
      </c>
    </row>
    <row r="868" spans="1:4" x14ac:dyDescent="0.25">
      <c r="A868" s="162" t="s">
        <v>2853</v>
      </c>
      <c r="B868" s="162" t="s">
        <v>2853</v>
      </c>
      <c r="C868" s="11" t="s">
        <v>227</v>
      </c>
      <c r="D868" s="156" t="s">
        <v>2853</v>
      </c>
    </row>
    <row r="869" spans="1:4" x14ac:dyDescent="0.25">
      <c r="A869" s="162" t="s">
        <v>2853</v>
      </c>
      <c r="B869" s="162" t="s">
        <v>2853</v>
      </c>
      <c r="C869" s="11" t="s">
        <v>246</v>
      </c>
      <c r="D869" s="156" t="s">
        <v>2853</v>
      </c>
    </row>
    <row r="870" spans="1:4" x14ac:dyDescent="0.25">
      <c r="A870" s="39" t="s">
        <v>32</v>
      </c>
      <c r="B870" s="39" t="s">
        <v>1</v>
      </c>
      <c r="C870" s="10" t="s">
        <v>221</v>
      </c>
      <c r="D870" s="153" t="s">
        <v>2853</v>
      </c>
    </row>
    <row r="871" spans="1:4" x14ac:dyDescent="0.25">
      <c r="A871" s="164" t="s">
        <v>2853</v>
      </c>
      <c r="B871" s="164" t="s">
        <v>2853</v>
      </c>
      <c r="C871" s="10" t="s">
        <v>223</v>
      </c>
      <c r="D871" s="153" t="s">
        <v>2853</v>
      </c>
    </row>
    <row r="872" spans="1:4" x14ac:dyDescent="0.25">
      <c r="A872" s="164" t="s">
        <v>2853</v>
      </c>
      <c r="B872" s="164" t="s">
        <v>2853</v>
      </c>
      <c r="C872" s="10" t="s">
        <v>225</v>
      </c>
      <c r="D872" s="153" t="s">
        <v>2853</v>
      </c>
    </row>
    <row r="873" spans="1:4" x14ac:dyDescent="0.25">
      <c r="A873" s="164" t="s">
        <v>2853</v>
      </c>
      <c r="B873" s="164" t="s">
        <v>2853</v>
      </c>
      <c r="C873" s="10" t="s">
        <v>102</v>
      </c>
      <c r="D873" s="153" t="s">
        <v>2853</v>
      </c>
    </row>
    <row r="874" spans="1:4" x14ac:dyDescent="0.25">
      <c r="A874" s="21" t="s">
        <v>33</v>
      </c>
      <c r="B874" s="21" t="s">
        <v>1</v>
      </c>
      <c r="C874" s="11" t="s">
        <v>228</v>
      </c>
      <c r="D874" s="156" t="s">
        <v>2853</v>
      </c>
    </row>
    <row r="875" spans="1:4" x14ac:dyDescent="0.25">
      <c r="A875" s="162" t="s">
        <v>2853</v>
      </c>
      <c r="B875" s="162" t="s">
        <v>2853</v>
      </c>
      <c r="C875" s="11" t="s">
        <v>229</v>
      </c>
      <c r="D875" s="156" t="s">
        <v>2853</v>
      </c>
    </row>
    <row r="876" spans="1:4" x14ac:dyDescent="0.25">
      <c r="A876" s="162" t="s">
        <v>2853</v>
      </c>
      <c r="B876" s="162" t="s">
        <v>2853</v>
      </c>
      <c r="C876" s="11" t="s">
        <v>230</v>
      </c>
      <c r="D876" s="156" t="s">
        <v>2853</v>
      </c>
    </row>
    <row r="877" spans="1:4" x14ac:dyDescent="0.25">
      <c r="A877" s="162" t="s">
        <v>2853</v>
      </c>
      <c r="B877" s="162" t="s">
        <v>2853</v>
      </c>
      <c r="C877" s="11" t="s">
        <v>231</v>
      </c>
      <c r="D877" s="156" t="s">
        <v>2853</v>
      </c>
    </row>
    <row r="878" spans="1:4" x14ac:dyDescent="0.25">
      <c r="A878" s="162" t="s">
        <v>2853</v>
      </c>
      <c r="B878" s="162" t="s">
        <v>2853</v>
      </c>
      <c r="C878" s="11" t="s">
        <v>623</v>
      </c>
      <c r="D878" s="156" t="s">
        <v>2853</v>
      </c>
    </row>
    <row r="879" spans="1:4" x14ac:dyDescent="0.25">
      <c r="A879" s="162" t="s">
        <v>2853</v>
      </c>
      <c r="B879" s="162" t="s">
        <v>2853</v>
      </c>
      <c r="C879" s="11" t="s">
        <v>306</v>
      </c>
      <c r="D879" s="156" t="s">
        <v>2853</v>
      </c>
    </row>
    <row r="880" spans="1:4" x14ac:dyDescent="0.25">
      <c r="A880" s="162" t="s">
        <v>2853</v>
      </c>
      <c r="B880" s="162" t="s">
        <v>2853</v>
      </c>
      <c r="C880" s="11" t="s">
        <v>307</v>
      </c>
      <c r="D880" s="156" t="s">
        <v>2853</v>
      </c>
    </row>
    <row r="881" spans="1:5" x14ac:dyDescent="0.25">
      <c r="A881" s="162" t="s">
        <v>2853</v>
      </c>
      <c r="B881" s="162" t="s">
        <v>2853</v>
      </c>
      <c r="C881" s="11" t="s">
        <v>291</v>
      </c>
      <c r="D881" s="156" t="s">
        <v>2853</v>
      </c>
    </row>
    <row r="882" spans="1:5" x14ac:dyDescent="0.25">
      <c r="A882" s="162" t="s">
        <v>2853</v>
      </c>
      <c r="B882" s="162" t="s">
        <v>2853</v>
      </c>
      <c r="C882" s="11" t="s">
        <v>785</v>
      </c>
      <c r="D882" s="149" t="s">
        <v>785</v>
      </c>
      <c r="E882" s="1" t="s">
        <v>1189</v>
      </c>
    </row>
    <row r="883" spans="1:5" x14ac:dyDescent="0.25">
      <c r="A883" s="163" t="s">
        <v>2853</v>
      </c>
      <c r="B883" s="163" t="s">
        <v>2853</v>
      </c>
      <c r="C883" s="11" t="s">
        <v>102</v>
      </c>
      <c r="D883" s="156" t="s">
        <v>2853</v>
      </c>
    </row>
    <row r="884" spans="1:5" x14ac:dyDescent="0.25">
      <c r="A884" s="40" t="s">
        <v>459</v>
      </c>
      <c r="B884" s="40" t="s">
        <v>1</v>
      </c>
      <c r="C884" s="10" t="s">
        <v>73</v>
      </c>
      <c r="D884" s="153" t="s">
        <v>2853</v>
      </c>
    </row>
    <row r="885" spans="1:5" x14ac:dyDescent="0.25">
      <c r="A885" s="164" t="s">
        <v>2853</v>
      </c>
      <c r="B885" s="164" t="s">
        <v>2853</v>
      </c>
      <c r="C885" s="10" t="s">
        <v>232</v>
      </c>
      <c r="D885" s="153" t="s">
        <v>2853</v>
      </c>
    </row>
    <row r="886" spans="1:5" x14ac:dyDescent="0.25">
      <c r="A886" s="164" t="s">
        <v>2853</v>
      </c>
      <c r="B886" s="164" t="s">
        <v>2853</v>
      </c>
      <c r="C886" s="10" t="s">
        <v>460</v>
      </c>
      <c r="D886" s="153" t="s">
        <v>2853</v>
      </c>
    </row>
    <row r="887" spans="1:5" x14ac:dyDescent="0.25">
      <c r="A887" s="164" t="s">
        <v>2853</v>
      </c>
      <c r="B887" s="164" t="s">
        <v>2853</v>
      </c>
      <c r="C887" s="10" t="s">
        <v>162</v>
      </c>
      <c r="D887" s="153" t="s">
        <v>2853</v>
      </c>
    </row>
    <row r="888" spans="1:5" x14ac:dyDescent="0.25">
      <c r="A888" s="164" t="s">
        <v>2853</v>
      </c>
      <c r="B888" s="164" t="s">
        <v>2853</v>
      </c>
      <c r="C888" s="10" t="s">
        <v>950</v>
      </c>
      <c r="D888" s="153" t="s">
        <v>2853</v>
      </c>
    </row>
    <row r="889" spans="1:5" x14ac:dyDescent="0.25">
      <c r="A889" s="164" t="s">
        <v>2853</v>
      </c>
      <c r="B889" s="164" t="s">
        <v>2853</v>
      </c>
      <c r="C889" s="10" t="s">
        <v>416</v>
      </c>
      <c r="D889" s="148" t="s">
        <v>417</v>
      </c>
    </row>
    <row r="890" spans="1:5" x14ac:dyDescent="0.25">
      <c r="A890" s="164" t="s">
        <v>2853</v>
      </c>
      <c r="B890" s="164" t="s">
        <v>2853</v>
      </c>
      <c r="C890" s="10" t="s">
        <v>233</v>
      </c>
      <c r="D890" s="153" t="s">
        <v>2853</v>
      </c>
    </row>
    <row r="891" spans="1:5" x14ac:dyDescent="0.25">
      <c r="A891" s="21" t="s">
        <v>34</v>
      </c>
      <c r="B891" s="21" t="s">
        <v>1</v>
      </c>
      <c r="C891" s="11" t="s">
        <v>234</v>
      </c>
      <c r="D891" s="156" t="s">
        <v>2853</v>
      </c>
    </row>
    <row r="892" spans="1:5" x14ac:dyDescent="0.25">
      <c r="A892" s="162" t="s">
        <v>2853</v>
      </c>
      <c r="B892" s="162" t="s">
        <v>2853</v>
      </c>
      <c r="C892" s="11" t="s">
        <v>235</v>
      </c>
      <c r="D892" s="156" t="s">
        <v>2853</v>
      </c>
    </row>
    <row r="893" spans="1:5" x14ac:dyDescent="0.25">
      <c r="A893" s="162" t="s">
        <v>2853</v>
      </c>
      <c r="B893" s="162" t="s">
        <v>2853</v>
      </c>
      <c r="C893" s="11" t="s">
        <v>236</v>
      </c>
      <c r="D893" s="156" t="s">
        <v>2853</v>
      </c>
    </row>
    <row r="894" spans="1:5" x14ac:dyDescent="0.25">
      <c r="A894" s="162" t="s">
        <v>2853</v>
      </c>
      <c r="B894" s="162" t="s">
        <v>2853</v>
      </c>
      <c r="C894" s="11" t="s">
        <v>237</v>
      </c>
      <c r="D894" s="156" t="s">
        <v>2853</v>
      </c>
    </row>
    <row r="895" spans="1:5" x14ac:dyDescent="0.25">
      <c r="A895" s="162" t="s">
        <v>2853</v>
      </c>
      <c r="B895" s="162" t="s">
        <v>2853</v>
      </c>
      <c r="C895" s="11" t="s">
        <v>238</v>
      </c>
      <c r="D895" s="156" t="s">
        <v>2853</v>
      </c>
    </row>
    <row r="896" spans="1:5" x14ac:dyDescent="0.25">
      <c r="A896" s="162" t="s">
        <v>2853</v>
      </c>
      <c r="B896" s="162" t="s">
        <v>2853</v>
      </c>
      <c r="C896" s="11" t="s">
        <v>102</v>
      </c>
      <c r="D896" s="156" t="s">
        <v>2853</v>
      </c>
    </row>
    <row r="897" spans="1:4" x14ac:dyDescent="0.25">
      <c r="A897" s="40" t="s">
        <v>35</v>
      </c>
      <c r="B897" s="40" t="s">
        <v>1</v>
      </c>
      <c r="C897" s="10" t="s">
        <v>211</v>
      </c>
      <c r="D897" s="153" t="s">
        <v>2853</v>
      </c>
    </row>
    <row r="898" spans="1:4" x14ac:dyDescent="0.25">
      <c r="A898" s="164" t="s">
        <v>2853</v>
      </c>
      <c r="B898" s="164" t="s">
        <v>2853</v>
      </c>
      <c r="C898" s="10" t="s">
        <v>212</v>
      </c>
      <c r="D898" s="153" t="s">
        <v>2853</v>
      </c>
    </row>
    <row r="899" spans="1:4" x14ac:dyDescent="0.25">
      <c r="A899" s="164" t="s">
        <v>2853</v>
      </c>
      <c r="B899" s="164" t="s">
        <v>2853</v>
      </c>
      <c r="C899" s="10" t="s">
        <v>73</v>
      </c>
      <c r="D899" s="153" t="s">
        <v>2853</v>
      </c>
    </row>
    <row r="900" spans="1:4" x14ac:dyDescent="0.25">
      <c r="A900" s="164" t="s">
        <v>2853</v>
      </c>
      <c r="B900" s="164" t="s">
        <v>2853</v>
      </c>
      <c r="C900" s="10" t="s">
        <v>102</v>
      </c>
      <c r="D900" s="153" t="s">
        <v>2853</v>
      </c>
    </row>
    <row r="901" spans="1:4" x14ac:dyDescent="0.25">
      <c r="A901" s="21" t="s">
        <v>37</v>
      </c>
      <c r="B901" s="21" t="s">
        <v>1</v>
      </c>
      <c r="C901" s="11" t="s">
        <v>657</v>
      </c>
      <c r="D901" s="156" t="s">
        <v>2853</v>
      </c>
    </row>
    <row r="902" spans="1:4" x14ac:dyDescent="0.25">
      <c r="A902" s="162" t="s">
        <v>2853</v>
      </c>
      <c r="B902" s="162" t="s">
        <v>2853</v>
      </c>
      <c r="C902" s="11" t="s">
        <v>658</v>
      </c>
      <c r="D902" s="156" t="s">
        <v>2853</v>
      </c>
    </row>
    <row r="903" spans="1:4" x14ac:dyDescent="0.25">
      <c r="A903" s="162" t="s">
        <v>2853</v>
      </c>
      <c r="B903" s="162" t="s">
        <v>2853</v>
      </c>
      <c r="C903" s="11" t="s">
        <v>72</v>
      </c>
      <c r="D903" s="156" t="s">
        <v>2853</v>
      </c>
    </row>
    <row r="904" spans="1:4" x14ac:dyDescent="0.25">
      <c r="A904" s="162" t="s">
        <v>2853</v>
      </c>
      <c r="B904" s="162" t="s">
        <v>2853</v>
      </c>
      <c r="C904" s="11" t="s">
        <v>659</v>
      </c>
      <c r="D904" s="156" t="s">
        <v>2853</v>
      </c>
    </row>
    <row r="905" spans="1:4" x14ac:dyDescent="0.25">
      <c r="A905" s="162" t="s">
        <v>2853</v>
      </c>
      <c r="B905" s="162" t="s">
        <v>2853</v>
      </c>
      <c r="C905" s="11" t="s">
        <v>660</v>
      </c>
      <c r="D905" s="156" t="s">
        <v>2853</v>
      </c>
    </row>
    <row r="906" spans="1:4" x14ac:dyDescent="0.25">
      <c r="A906" s="48" t="s">
        <v>39</v>
      </c>
      <c r="B906" s="48" t="s">
        <v>1</v>
      </c>
      <c r="C906" s="49" t="s">
        <v>239</v>
      </c>
      <c r="D906" s="183" t="s">
        <v>2853</v>
      </c>
    </row>
    <row r="907" spans="1:4" x14ac:dyDescent="0.25">
      <c r="A907" s="164" t="s">
        <v>2853</v>
      </c>
      <c r="B907" s="164" t="s">
        <v>2853</v>
      </c>
      <c r="C907" s="49" t="s">
        <v>240</v>
      </c>
      <c r="D907" s="183" t="s">
        <v>2853</v>
      </c>
    </row>
    <row r="908" spans="1:4" x14ac:dyDescent="0.25">
      <c r="A908" s="164" t="s">
        <v>2853</v>
      </c>
      <c r="B908" s="164" t="s">
        <v>2853</v>
      </c>
      <c r="C908" s="10" t="s">
        <v>676</v>
      </c>
      <c r="D908" s="153" t="s">
        <v>2853</v>
      </c>
    </row>
    <row r="909" spans="1:4" x14ac:dyDescent="0.25">
      <c r="A909" s="164" t="s">
        <v>2853</v>
      </c>
      <c r="B909" s="164" t="s">
        <v>2853</v>
      </c>
      <c r="C909" s="10" t="s">
        <v>677</v>
      </c>
      <c r="D909" s="153" t="s">
        <v>2853</v>
      </c>
    </row>
    <row r="910" spans="1:4" x14ac:dyDescent="0.25">
      <c r="A910" s="164" t="s">
        <v>2853</v>
      </c>
      <c r="B910" s="164" t="s">
        <v>2853</v>
      </c>
      <c r="C910" s="10" t="s">
        <v>678</v>
      </c>
      <c r="D910" s="153" t="s">
        <v>2853</v>
      </c>
    </row>
    <row r="911" spans="1:4" x14ac:dyDescent="0.25">
      <c r="A911" s="164" t="s">
        <v>2853</v>
      </c>
      <c r="B911" s="164" t="s">
        <v>2853</v>
      </c>
      <c r="C911" s="10" t="s">
        <v>679</v>
      </c>
      <c r="D911" s="153" t="s">
        <v>2853</v>
      </c>
    </row>
    <row r="912" spans="1:4" x14ac:dyDescent="0.25">
      <c r="A912" s="50" t="s">
        <v>41</v>
      </c>
      <c r="B912" s="50" t="s">
        <v>1</v>
      </c>
      <c r="C912" s="51" t="s">
        <v>221</v>
      </c>
      <c r="D912" s="184" t="s">
        <v>2853</v>
      </c>
    </row>
    <row r="913" spans="1:4" x14ac:dyDescent="0.25">
      <c r="A913" s="162" t="s">
        <v>2853</v>
      </c>
      <c r="B913" s="162" t="s">
        <v>2853</v>
      </c>
      <c r="C913" s="51" t="s">
        <v>222</v>
      </c>
      <c r="D913" s="184" t="s">
        <v>2853</v>
      </c>
    </row>
    <row r="914" spans="1:4" x14ac:dyDescent="0.25">
      <c r="A914" s="162" t="s">
        <v>2853</v>
      </c>
      <c r="B914" s="162" t="s">
        <v>2853</v>
      </c>
      <c r="C914" s="11" t="s">
        <v>223</v>
      </c>
      <c r="D914" s="156" t="s">
        <v>2853</v>
      </c>
    </row>
    <row r="915" spans="1:4" x14ac:dyDescent="0.25">
      <c r="A915" s="162" t="s">
        <v>2853</v>
      </c>
      <c r="B915" s="162" t="s">
        <v>2853</v>
      </c>
      <c r="C915" s="11" t="s">
        <v>224</v>
      </c>
      <c r="D915" s="156" t="s">
        <v>2853</v>
      </c>
    </row>
    <row r="916" spans="1:4" x14ac:dyDescent="0.25">
      <c r="A916" s="162" t="s">
        <v>2853</v>
      </c>
      <c r="B916" s="162" t="s">
        <v>2853</v>
      </c>
      <c r="C916" s="11" t="s">
        <v>225</v>
      </c>
      <c r="D916" s="156" t="s">
        <v>2853</v>
      </c>
    </row>
    <row r="917" spans="1:4" x14ac:dyDescent="0.25">
      <c r="A917" s="162" t="s">
        <v>2853</v>
      </c>
      <c r="B917" s="162" t="s">
        <v>2853</v>
      </c>
      <c r="C917" s="11" t="s">
        <v>226</v>
      </c>
      <c r="D917" s="156" t="s">
        <v>2853</v>
      </c>
    </row>
    <row r="918" spans="1:4" x14ac:dyDescent="0.25">
      <c r="A918" s="162" t="s">
        <v>2853</v>
      </c>
      <c r="B918" s="162" t="s">
        <v>2853</v>
      </c>
      <c r="C918" s="51" t="s">
        <v>227</v>
      </c>
      <c r="D918" s="184" t="s">
        <v>2853</v>
      </c>
    </row>
    <row r="919" spans="1:4" x14ac:dyDescent="0.25">
      <c r="A919" s="162" t="s">
        <v>2853</v>
      </c>
      <c r="B919" s="162" t="s">
        <v>2853</v>
      </c>
      <c r="C919" s="51" t="s">
        <v>246</v>
      </c>
      <c r="D919" s="184" t="s">
        <v>2853</v>
      </c>
    </row>
    <row r="920" spans="1:4" x14ac:dyDescent="0.25">
      <c r="A920" s="48" t="s">
        <v>42</v>
      </c>
      <c r="B920" s="48" t="s">
        <v>1</v>
      </c>
      <c r="C920" s="49" t="s">
        <v>626</v>
      </c>
      <c r="D920" s="183" t="s">
        <v>2853</v>
      </c>
    </row>
    <row r="921" spans="1:4" x14ac:dyDescent="0.25">
      <c r="A921" s="164" t="s">
        <v>2853</v>
      </c>
      <c r="B921" s="164" t="s">
        <v>2853</v>
      </c>
      <c r="C921" s="49" t="s">
        <v>664</v>
      </c>
      <c r="D921" s="183" t="s">
        <v>2853</v>
      </c>
    </row>
    <row r="922" spans="1:4" x14ac:dyDescent="0.25">
      <c r="A922" s="164" t="s">
        <v>2853</v>
      </c>
      <c r="B922" s="164" t="s">
        <v>2853</v>
      </c>
      <c r="C922" s="10" t="s">
        <v>665</v>
      </c>
      <c r="D922" s="153" t="s">
        <v>2853</v>
      </c>
    </row>
    <row r="923" spans="1:4" x14ac:dyDescent="0.25">
      <c r="A923" s="164" t="s">
        <v>2853</v>
      </c>
      <c r="B923" s="164" t="s">
        <v>2853</v>
      </c>
      <c r="C923" s="10" t="s">
        <v>666</v>
      </c>
      <c r="D923" s="153" t="s">
        <v>2853</v>
      </c>
    </row>
    <row r="924" spans="1:4" x14ac:dyDescent="0.25">
      <c r="A924" s="164" t="s">
        <v>2853</v>
      </c>
      <c r="B924" s="164" t="s">
        <v>2853</v>
      </c>
      <c r="C924" s="10" t="s">
        <v>627</v>
      </c>
      <c r="D924" s="153" t="s">
        <v>2853</v>
      </c>
    </row>
    <row r="925" spans="1:4" x14ac:dyDescent="0.25">
      <c r="A925" s="164" t="s">
        <v>2853</v>
      </c>
      <c r="B925" s="164" t="s">
        <v>2853</v>
      </c>
      <c r="C925" s="10" t="s">
        <v>102</v>
      </c>
      <c r="D925" s="153" t="s">
        <v>2853</v>
      </c>
    </row>
    <row r="926" spans="1:4" x14ac:dyDescent="0.25">
      <c r="A926" s="50" t="s">
        <v>683</v>
      </c>
      <c r="B926" s="50" t="s">
        <v>1</v>
      </c>
      <c r="C926" s="11" t="s">
        <v>944</v>
      </c>
      <c r="D926" s="156" t="s">
        <v>2853</v>
      </c>
    </row>
    <row r="927" spans="1:4" x14ac:dyDescent="0.25">
      <c r="A927" s="162" t="s">
        <v>2853</v>
      </c>
      <c r="B927" s="162" t="s">
        <v>2853</v>
      </c>
      <c r="C927" s="11" t="s">
        <v>688</v>
      </c>
      <c r="D927" s="156" t="s">
        <v>2853</v>
      </c>
    </row>
    <row r="928" spans="1:4" x14ac:dyDescent="0.25">
      <c r="A928" s="162" t="s">
        <v>2853</v>
      </c>
      <c r="B928" s="162" t="s">
        <v>2853</v>
      </c>
      <c r="C928" s="11" t="s">
        <v>687</v>
      </c>
      <c r="D928" s="156" t="s">
        <v>2853</v>
      </c>
    </row>
    <row r="929" spans="1:5" x14ac:dyDescent="0.25">
      <c r="A929" s="52" t="s">
        <v>43</v>
      </c>
      <c r="B929" s="52" t="s">
        <v>1</v>
      </c>
      <c r="C929" s="49" t="s">
        <v>312</v>
      </c>
      <c r="D929" s="183" t="s">
        <v>2853</v>
      </c>
    </row>
    <row r="930" spans="1:5" x14ac:dyDescent="0.25">
      <c r="A930" s="185" t="s">
        <v>2853</v>
      </c>
      <c r="B930" s="185" t="s">
        <v>2853</v>
      </c>
      <c r="C930" s="49" t="s">
        <v>229</v>
      </c>
      <c r="D930" s="183" t="s">
        <v>2853</v>
      </c>
    </row>
    <row r="931" spans="1:5" x14ac:dyDescent="0.25">
      <c r="A931" s="185" t="s">
        <v>2853</v>
      </c>
      <c r="B931" s="185" t="s">
        <v>2853</v>
      </c>
      <c r="C931" s="10" t="s">
        <v>228</v>
      </c>
      <c r="D931" s="153" t="s">
        <v>2853</v>
      </c>
    </row>
    <row r="932" spans="1:5" x14ac:dyDescent="0.25">
      <c r="A932" s="185" t="s">
        <v>2853</v>
      </c>
      <c r="B932" s="185" t="s">
        <v>2853</v>
      </c>
      <c r="C932" s="10" t="s">
        <v>230</v>
      </c>
      <c r="D932" s="153" t="s">
        <v>2853</v>
      </c>
    </row>
    <row r="933" spans="1:5" x14ac:dyDescent="0.25">
      <c r="A933" s="185" t="s">
        <v>2853</v>
      </c>
      <c r="B933" s="185" t="s">
        <v>2853</v>
      </c>
      <c r="C933" s="10" t="s">
        <v>102</v>
      </c>
      <c r="D933" s="153" t="s">
        <v>2853</v>
      </c>
    </row>
    <row r="934" spans="1:5" x14ac:dyDescent="0.25">
      <c r="A934" s="53" t="s">
        <v>44</v>
      </c>
      <c r="B934" s="53" t="s">
        <v>1</v>
      </c>
      <c r="C934" s="51" t="s">
        <v>228</v>
      </c>
      <c r="D934" s="184" t="s">
        <v>2853</v>
      </c>
    </row>
    <row r="935" spans="1:5" x14ac:dyDescent="0.25">
      <c r="A935" s="186" t="s">
        <v>2853</v>
      </c>
      <c r="B935" s="186" t="s">
        <v>2853</v>
      </c>
      <c r="C935" s="51" t="s">
        <v>229</v>
      </c>
      <c r="D935" s="184" t="s">
        <v>2853</v>
      </c>
    </row>
    <row r="936" spans="1:5" x14ac:dyDescent="0.25">
      <c r="A936" s="186" t="s">
        <v>2853</v>
      </c>
      <c r="B936" s="186" t="s">
        <v>2853</v>
      </c>
      <c r="C936" s="11" t="s">
        <v>230</v>
      </c>
      <c r="D936" s="156" t="s">
        <v>2853</v>
      </c>
    </row>
    <row r="937" spans="1:5" x14ac:dyDescent="0.25">
      <c r="A937" s="186" t="s">
        <v>2853</v>
      </c>
      <c r="B937" s="186" t="s">
        <v>2853</v>
      </c>
      <c r="C937" s="11" t="s">
        <v>231</v>
      </c>
      <c r="D937" s="156" t="s">
        <v>2853</v>
      </c>
    </row>
    <row r="938" spans="1:5" x14ac:dyDescent="0.25">
      <c r="A938" s="186" t="s">
        <v>2853</v>
      </c>
      <c r="B938" s="186" t="s">
        <v>2853</v>
      </c>
      <c r="C938" s="11" t="s">
        <v>290</v>
      </c>
      <c r="D938" s="156" t="s">
        <v>2853</v>
      </c>
    </row>
    <row r="939" spans="1:5" x14ac:dyDescent="0.25">
      <c r="A939" s="186" t="s">
        <v>2853</v>
      </c>
      <c r="B939" s="186" t="s">
        <v>2853</v>
      </c>
      <c r="C939" s="51" t="s">
        <v>290</v>
      </c>
      <c r="D939" s="184" t="s">
        <v>2853</v>
      </c>
    </row>
    <row r="940" spans="1:5" x14ac:dyDescent="0.25">
      <c r="A940" s="186" t="s">
        <v>2853</v>
      </c>
      <c r="B940" s="186" t="s">
        <v>2853</v>
      </c>
      <c r="C940" s="51" t="s">
        <v>306</v>
      </c>
      <c r="D940" s="184" t="s">
        <v>2853</v>
      </c>
    </row>
    <row r="941" spans="1:5" x14ac:dyDescent="0.25">
      <c r="A941" s="186" t="s">
        <v>2853</v>
      </c>
      <c r="B941" s="186" t="s">
        <v>2853</v>
      </c>
      <c r="C941" s="11" t="s">
        <v>307</v>
      </c>
      <c r="D941" s="156" t="s">
        <v>2853</v>
      </c>
    </row>
    <row r="942" spans="1:5" x14ac:dyDescent="0.25">
      <c r="A942" s="186" t="s">
        <v>2853</v>
      </c>
      <c r="B942" s="186" t="s">
        <v>2853</v>
      </c>
      <c r="C942" s="51" t="s">
        <v>291</v>
      </c>
      <c r="D942" s="184" t="s">
        <v>2853</v>
      </c>
    </row>
    <row r="943" spans="1:5" x14ac:dyDescent="0.25">
      <c r="A943" s="186" t="s">
        <v>2853</v>
      </c>
      <c r="B943" s="186" t="s">
        <v>2853</v>
      </c>
      <c r="C943" s="51" t="s">
        <v>312</v>
      </c>
      <c r="D943" s="184" t="s">
        <v>2853</v>
      </c>
    </row>
    <row r="944" spans="1:5" x14ac:dyDescent="0.25">
      <c r="A944" s="186" t="s">
        <v>2853</v>
      </c>
      <c r="B944" s="186" t="s">
        <v>2853</v>
      </c>
      <c r="C944" s="11" t="s">
        <v>786</v>
      </c>
      <c r="D944" s="149" t="s">
        <v>786</v>
      </c>
      <c r="E944" s="1" t="s">
        <v>1189</v>
      </c>
    </row>
    <row r="945" spans="1:4" x14ac:dyDescent="0.25">
      <c r="A945" s="187" t="s">
        <v>2853</v>
      </c>
      <c r="B945" s="187" t="s">
        <v>2853</v>
      </c>
      <c r="C945" s="11" t="s">
        <v>102</v>
      </c>
      <c r="D945" s="156" t="s">
        <v>2853</v>
      </c>
    </row>
    <row r="946" spans="1:4" ht="14.25" customHeight="1" x14ac:dyDescent="0.25">
      <c r="A946" s="52" t="s">
        <v>462</v>
      </c>
      <c r="B946" s="52" t="s">
        <v>1</v>
      </c>
      <c r="C946" s="49" t="s">
        <v>467</v>
      </c>
      <c r="D946" s="183" t="s">
        <v>2853</v>
      </c>
    </row>
    <row r="947" spans="1:4" x14ac:dyDescent="0.25">
      <c r="A947" s="185" t="s">
        <v>2853</v>
      </c>
      <c r="B947" s="185" t="s">
        <v>2853</v>
      </c>
      <c r="C947" s="49" t="s">
        <v>468</v>
      </c>
      <c r="D947" s="183" t="s">
        <v>2853</v>
      </c>
    </row>
    <row r="948" spans="1:4" x14ac:dyDescent="0.25">
      <c r="A948" s="185" t="s">
        <v>2853</v>
      </c>
      <c r="B948" s="185" t="s">
        <v>2853</v>
      </c>
      <c r="C948" s="10" t="s">
        <v>469</v>
      </c>
      <c r="D948" s="153" t="s">
        <v>2853</v>
      </c>
    </row>
    <row r="949" spans="1:4" x14ac:dyDescent="0.25">
      <c r="A949" s="185" t="s">
        <v>2853</v>
      </c>
      <c r="B949" s="185" t="s">
        <v>2853</v>
      </c>
      <c r="C949" s="10" t="s">
        <v>471</v>
      </c>
      <c r="D949" s="153" t="s">
        <v>2853</v>
      </c>
    </row>
    <row r="950" spans="1:4" x14ac:dyDescent="0.25">
      <c r="A950" s="185" t="s">
        <v>2853</v>
      </c>
      <c r="B950" s="185" t="s">
        <v>2853</v>
      </c>
      <c r="C950" s="10" t="s">
        <v>466</v>
      </c>
      <c r="D950" s="153" t="s">
        <v>2853</v>
      </c>
    </row>
    <row r="951" spans="1:4" x14ac:dyDescent="0.25">
      <c r="A951" s="185" t="s">
        <v>2853</v>
      </c>
      <c r="B951" s="185" t="s">
        <v>2853</v>
      </c>
      <c r="C951" s="49" t="s">
        <v>465</v>
      </c>
      <c r="D951" s="183" t="s">
        <v>2853</v>
      </c>
    </row>
    <row r="952" spans="1:4" x14ac:dyDescent="0.25">
      <c r="A952" s="185" t="s">
        <v>2853</v>
      </c>
      <c r="B952" s="185" t="s">
        <v>2853</v>
      </c>
      <c r="C952" s="49" t="s">
        <v>312</v>
      </c>
      <c r="D952" s="183" t="s">
        <v>2853</v>
      </c>
    </row>
    <row r="953" spans="1:4" x14ac:dyDescent="0.25">
      <c r="A953" s="185" t="s">
        <v>2853</v>
      </c>
      <c r="B953" s="185" t="s">
        <v>2853</v>
      </c>
      <c r="C953" s="10" t="s">
        <v>474</v>
      </c>
      <c r="D953" s="148" t="s">
        <v>640</v>
      </c>
    </row>
    <row r="954" spans="1:4" x14ac:dyDescent="0.25">
      <c r="A954" s="185" t="s">
        <v>2853</v>
      </c>
      <c r="B954" s="185" t="s">
        <v>2853</v>
      </c>
      <c r="C954" s="10" t="s">
        <v>416</v>
      </c>
      <c r="D954" s="148" t="s">
        <v>417</v>
      </c>
    </row>
    <row r="955" spans="1:4" x14ac:dyDescent="0.25">
      <c r="A955" s="185" t="s">
        <v>2853</v>
      </c>
      <c r="B955" s="185" t="s">
        <v>2853</v>
      </c>
      <c r="C955" s="10" t="s">
        <v>102</v>
      </c>
      <c r="D955" s="153" t="s">
        <v>2853</v>
      </c>
    </row>
    <row r="956" spans="1:4" x14ac:dyDescent="0.25">
      <c r="A956" s="53" t="s">
        <v>45</v>
      </c>
      <c r="B956" s="53" t="s">
        <v>1</v>
      </c>
      <c r="C956" s="11" t="s">
        <v>766</v>
      </c>
      <c r="D956" s="156" t="s">
        <v>2853</v>
      </c>
    </row>
    <row r="957" spans="1:4" x14ac:dyDescent="0.25">
      <c r="A957" s="186" t="s">
        <v>2853</v>
      </c>
      <c r="B957" s="186" t="s">
        <v>2853</v>
      </c>
      <c r="C957" s="11" t="s">
        <v>765</v>
      </c>
      <c r="D957" s="156" t="s">
        <v>2853</v>
      </c>
    </row>
    <row r="958" spans="1:4" x14ac:dyDescent="0.25">
      <c r="A958" s="186" t="s">
        <v>2853</v>
      </c>
      <c r="B958" s="186" t="s">
        <v>2853</v>
      </c>
      <c r="C958" s="11" t="s">
        <v>242</v>
      </c>
      <c r="D958" s="156" t="s">
        <v>2853</v>
      </c>
    </row>
    <row r="959" spans="1:4" x14ac:dyDescent="0.25">
      <c r="A959" s="186" t="s">
        <v>2853</v>
      </c>
      <c r="B959" s="186" t="s">
        <v>2853</v>
      </c>
      <c r="C959" s="11" t="s">
        <v>281</v>
      </c>
      <c r="D959" s="156" t="s">
        <v>2853</v>
      </c>
    </row>
    <row r="960" spans="1:4" x14ac:dyDescent="0.25">
      <c r="A960" s="186" t="s">
        <v>2853</v>
      </c>
      <c r="B960" s="186" t="s">
        <v>2853</v>
      </c>
      <c r="C960" s="11" t="s">
        <v>280</v>
      </c>
      <c r="D960" s="156" t="s">
        <v>2853</v>
      </c>
    </row>
    <row r="961" spans="1:5" x14ac:dyDescent="0.25">
      <c r="A961" s="186" t="s">
        <v>2853</v>
      </c>
      <c r="B961" s="186" t="s">
        <v>2853</v>
      </c>
      <c r="C961" s="11" t="s">
        <v>241</v>
      </c>
      <c r="D961" s="156" t="s">
        <v>2853</v>
      </c>
    </row>
    <row r="962" spans="1:5" x14ac:dyDescent="0.25">
      <c r="A962" s="186" t="s">
        <v>2853</v>
      </c>
      <c r="B962" s="186" t="s">
        <v>2853</v>
      </c>
      <c r="C962" s="11" t="s">
        <v>942</v>
      </c>
      <c r="D962" s="156" t="s">
        <v>2853</v>
      </c>
    </row>
    <row r="963" spans="1:5" x14ac:dyDescent="0.25">
      <c r="A963" s="186" t="s">
        <v>2853</v>
      </c>
      <c r="B963" s="186" t="s">
        <v>2853</v>
      </c>
      <c r="C963" s="11" t="s">
        <v>1153</v>
      </c>
      <c r="D963" s="156" t="s">
        <v>2853</v>
      </c>
      <c r="E963" s="1" t="s">
        <v>1189</v>
      </c>
    </row>
    <row r="964" spans="1:5" x14ac:dyDescent="0.25">
      <c r="A964" s="54" t="s">
        <v>47</v>
      </c>
      <c r="B964" s="52" t="s">
        <v>1</v>
      </c>
      <c r="C964" s="10" t="s">
        <v>657</v>
      </c>
      <c r="D964" s="153" t="s">
        <v>2853</v>
      </c>
    </row>
    <row r="965" spans="1:5" x14ac:dyDescent="0.25">
      <c r="A965" s="188" t="s">
        <v>2853</v>
      </c>
      <c r="B965" s="185" t="s">
        <v>2853</v>
      </c>
      <c r="C965" s="10" t="s">
        <v>658</v>
      </c>
      <c r="D965" s="153" t="s">
        <v>2853</v>
      </c>
    </row>
    <row r="966" spans="1:5" x14ac:dyDescent="0.25">
      <c r="A966" s="188" t="s">
        <v>2853</v>
      </c>
      <c r="B966" s="185" t="s">
        <v>2853</v>
      </c>
      <c r="C966" s="10" t="s">
        <v>72</v>
      </c>
      <c r="D966" s="153" t="s">
        <v>2853</v>
      </c>
    </row>
    <row r="967" spans="1:5" x14ac:dyDescent="0.25">
      <c r="A967" s="188" t="s">
        <v>2853</v>
      </c>
      <c r="B967" s="185" t="s">
        <v>2853</v>
      </c>
      <c r="C967" s="10" t="s">
        <v>659</v>
      </c>
      <c r="D967" s="153" t="s">
        <v>2853</v>
      </c>
    </row>
    <row r="968" spans="1:5" x14ac:dyDescent="0.25">
      <c r="A968" s="188" t="s">
        <v>2853</v>
      </c>
      <c r="B968" s="185" t="s">
        <v>2853</v>
      </c>
      <c r="C968" s="10" t="s">
        <v>660</v>
      </c>
      <c r="D968" s="153" t="s">
        <v>2853</v>
      </c>
    </row>
    <row r="969" spans="1:5" x14ac:dyDescent="0.25">
      <c r="A969" s="188" t="s">
        <v>2853</v>
      </c>
      <c r="B969" s="185" t="s">
        <v>2853</v>
      </c>
      <c r="C969" s="10" t="s">
        <v>973</v>
      </c>
      <c r="D969" s="153" t="s">
        <v>2853</v>
      </c>
      <c r="E969" s="1" t="s">
        <v>1189</v>
      </c>
    </row>
    <row r="970" spans="1:5" x14ac:dyDescent="0.25">
      <c r="A970" s="36" t="s">
        <v>48</v>
      </c>
      <c r="B970" s="53" t="s">
        <v>1</v>
      </c>
      <c r="C970" s="11" t="s">
        <v>470</v>
      </c>
      <c r="D970" s="156" t="s">
        <v>2853</v>
      </c>
    </row>
    <row r="971" spans="1:5" x14ac:dyDescent="0.25">
      <c r="A971" s="158" t="s">
        <v>2853</v>
      </c>
      <c r="B971" s="186" t="s">
        <v>2853</v>
      </c>
      <c r="C971" s="11" t="s">
        <v>643</v>
      </c>
      <c r="D971" s="156" t="s">
        <v>2853</v>
      </c>
    </row>
    <row r="972" spans="1:5" x14ac:dyDescent="0.25">
      <c r="A972" s="158" t="s">
        <v>2853</v>
      </c>
      <c r="B972" s="186" t="s">
        <v>2853</v>
      </c>
      <c r="C972" s="11" t="s">
        <v>243</v>
      </c>
      <c r="D972" s="156" t="s">
        <v>2853</v>
      </c>
    </row>
    <row r="973" spans="1:5" x14ac:dyDescent="0.25">
      <c r="A973" s="158" t="s">
        <v>2853</v>
      </c>
      <c r="B973" s="186" t="s">
        <v>2853</v>
      </c>
      <c r="C973" s="11" t="s">
        <v>244</v>
      </c>
      <c r="D973" s="156" t="s">
        <v>2853</v>
      </c>
    </row>
    <row r="974" spans="1:5" x14ac:dyDescent="0.25">
      <c r="A974" s="158" t="s">
        <v>2853</v>
      </c>
      <c r="B974" s="186" t="s">
        <v>2853</v>
      </c>
      <c r="C974" s="11" t="s">
        <v>644</v>
      </c>
      <c r="D974" s="156" t="s">
        <v>2853</v>
      </c>
    </row>
    <row r="975" spans="1:5" x14ac:dyDescent="0.25">
      <c r="A975" s="158" t="s">
        <v>2853</v>
      </c>
      <c r="B975" s="186" t="s">
        <v>2853</v>
      </c>
      <c r="C975" s="11" t="s">
        <v>245</v>
      </c>
      <c r="D975" s="156" t="s">
        <v>2853</v>
      </c>
    </row>
    <row r="976" spans="1:5" x14ac:dyDescent="0.25">
      <c r="A976" s="189" t="s">
        <v>2853</v>
      </c>
      <c r="B976" s="187" t="s">
        <v>2853</v>
      </c>
      <c r="C976" s="11" t="s">
        <v>102</v>
      </c>
      <c r="D976" s="156" t="s">
        <v>2853</v>
      </c>
    </row>
    <row r="977" spans="1:5" x14ac:dyDescent="0.25">
      <c r="A977" s="52" t="s">
        <v>461</v>
      </c>
      <c r="B977" s="52" t="s">
        <v>1</v>
      </c>
      <c r="C977" s="10" t="s">
        <v>350</v>
      </c>
      <c r="D977" s="153" t="s">
        <v>2853</v>
      </c>
      <c r="E977" s="1" t="s">
        <v>1190</v>
      </c>
    </row>
    <row r="978" spans="1:5" x14ac:dyDescent="0.25">
      <c r="A978" s="185" t="s">
        <v>2853</v>
      </c>
      <c r="B978" s="185" t="s">
        <v>2853</v>
      </c>
      <c r="C978" s="10" t="s">
        <v>351</v>
      </c>
      <c r="D978" s="153" t="s">
        <v>2853</v>
      </c>
    </row>
    <row r="979" spans="1:5" x14ac:dyDescent="0.25">
      <c r="A979" s="185" t="s">
        <v>2853</v>
      </c>
      <c r="B979" s="185" t="s">
        <v>2853</v>
      </c>
      <c r="C979" s="10" t="s">
        <v>352</v>
      </c>
      <c r="D979" s="153" t="s">
        <v>2853</v>
      </c>
    </row>
    <row r="980" spans="1:5" x14ac:dyDescent="0.25">
      <c r="A980" s="185" t="s">
        <v>2853</v>
      </c>
      <c r="B980" s="185" t="s">
        <v>2853</v>
      </c>
      <c r="C980" s="10" t="s">
        <v>353</v>
      </c>
      <c r="D980" s="153" t="s">
        <v>2853</v>
      </c>
    </row>
    <row r="981" spans="1:5" x14ac:dyDescent="0.25">
      <c r="A981" s="185" t="s">
        <v>2853</v>
      </c>
      <c r="B981" s="185" t="s">
        <v>2853</v>
      </c>
      <c r="C981" s="10" t="s">
        <v>354</v>
      </c>
      <c r="D981" s="153" t="s">
        <v>2853</v>
      </c>
    </row>
    <row r="982" spans="1:5" x14ac:dyDescent="0.25">
      <c r="A982" s="185" t="s">
        <v>2853</v>
      </c>
      <c r="B982" s="185" t="s">
        <v>2853</v>
      </c>
      <c r="C982" s="10" t="s">
        <v>355</v>
      </c>
      <c r="D982" s="153" t="s">
        <v>2853</v>
      </c>
    </row>
    <row r="983" spans="1:5" x14ac:dyDescent="0.25">
      <c r="A983" s="185" t="s">
        <v>2853</v>
      </c>
      <c r="B983" s="185" t="s">
        <v>2853</v>
      </c>
      <c r="C983" s="10" t="s">
        <v>399</v>
      </c>
      <c r="D983" s="153" t="s">
        <v>2853</v>
      </c>
    </row>
    <row r="984" spans="1:5" x14ac:dyDescent="0.25">
      <c r="A984" s="185" t="s">
        <v>2853</v>
      </c>
      <c r="B984" s="185" t="s">
        <v>2853</v>
      </c>
      <c r="C984" s="10" t="s">
        <v>400</v>
      </c>
      <c r="D984" s="153" t="s">
        <v>2853</v>
      </c>
    </row>
    <row r="985" spans="1:5" x14ac:dyDescent="0.25">
      <c r="A985" s="185" t="s">
        <v>2853</v>
      </c>
      <c r="B985" s="185" t="s">
        <v>2853</v>
      </c>
      <c r="C985" s="10" t="s">
        <v>1143</v>
      </c>
      <c r="D985" s="148" t="s">
        <v>1160</v>
      </c>
      <c r="E985" s="1" t="s">
        <v>1189</v>
      </c>
    </row>
    <row r="986" spans="1:5" x14ac:dyDescent="0.25">
      <c r="A986" s="36" t="s">
        <v>49</v>
      </c>
      <c r="B986" s="53" t="s">
        <v>1</v>
      </c>
      <c r="C986" s="11" t="s">
        <v>239</v>
      </c>
      <c r="D986" s="156" t="s">
        <v>2853</v>
      </c>
    </row>
    <row r="987" spans="1:5" x14ac:dyDescent="0.25">
      <c r="A987" s="158" t="s">
        <v>2853</v>
      </c>
      <c r="B987" s="186" t="s">
        <v>2853</v>
      </c>
      <c r="C987" s="11" t="s">
        <v>240</v>
      </c>
      <c r="D987" s="156" t="s">
        <v>2853</v>
      </c>
    </row>
    <row r="988" spans="1:5" x14ac:dyDescent="0.25">
      <c r="A988" s="158" t="s">
        <v>2853</v>
      </c>
      <c r="B988" s="186" t="s">
        <v>2853</v>
      </c>
      <c r="C988" s="11" t="s">
        <v>661</v>
      </c>
      <c r="D988" s="156" t="s">
        <v>2853</v>
      </c>
    </row>
    <row r="989" spans="1:5" x14ac:dyDescent="0.25">
      <c r="A989" s="158" t="s">
        <v>2853</v>
      </c>
      <c r="B989" s="186" t="s">
        <v>2853</v>
      </c>
      <c r="C989" s="11" t="s">
        <v>662</v>
      </c>
      <c r="D989" s="156" t="s">
        <v>2853</v>
      </c>
    </row>
    <row r="990" spans="1:5" x14ac:dyDescent="0.25">
      <c r="A990" s="158" t="s">
        <v>2853</v>
      </c>
      <c r="B990" s="186" t="s">
        <v>2853</v>
      </c>
      <c r="C990" s="11" t="s">
        <v>663</v>
      </c>
      <c r="D990" s="156" t="s">
        <v>2853</v>
      </c>
    </row>
    <row r="991" spans="1:5" x14ac:dyDescent="0.25">
      <c r="A991" s="158" t="s">
        <v>2853</v>
      </c>
      <c r="B991" s="186" t="s">
        <v>2853</v>
      </c>
      <c r="C991" s="11" t="s">
        <v>684</v>
      </c>
      <c r="D991" s="156" t="s">
        <v>2853</v>
      </c>
    </row>
    <row r="992" spans="1:5" x14ac:dyDescent="0.25">
      <c r="A992" s="52" t="s">
        <v>50</v>
      </c>
      <c r="B992" s="52" t="s">
        <v>1</v>
      </c>
      <c r="C992" s="10" t="s">
        <v>229</v>
      </c>
      <c r="D992" s="153" t="s">
        <v>2853</v>
      </c>
    </row>
    <row r="993" spans="1:5" x14ac:dyDescent="0.25">
      <c r="A993" s="185" t="s">
        <v>2853</v>
      </c>
      <c r="B993" s="185" t="s">
        <v>2853</v>
      </c>
      <c r="C993" s="10" t="s">
        <v>228</v>
      </c>
      <c r="D993" s="153" t="s">
        <v>2853</v>
      </c>
    </row>
    <row r="994" spans="1:5" x14ac:dyDescent="0.25">
      <c r="A994" s="185" t="s">
        <v>2853</v>
      </c>
      <c r="B994" s="185" t="s">
        <v>2853</v>
      </c>
      <c r="C994" s="10" t="s">
        <v>246</v>
      </c>
      <c r="D994" s="153" t="s">
        <v>2853</v>
      </c>
    </row>
    <row r="995" spans="1:5" x14ac:dyDescent="0.25">
      <c r="A995" s="185" t="s">
        <v>2853</v>
      </c>
      <c r="B995" s="185" t="s">
        <v>2853</v>
      </c>
      <c r="C995" s="10" t="s">
        <v>230</v>
      </c>
      <c r="D995" s="153" t="s">
        <v>2853</v>
      </c>
    </row>
    <row r="996" spans="1:5" x14ac:dyDescent="0.25">
      <c r="A996" s="185" t="s">
        <v>2853</v>
      </c>
      <c r="B996" s="185" t="s">
        <v>2853</v>
      </c>
      <c r="C996" s="10" t="s">
        <v>247</v>
      </c>
      <c r="D996" s="148" t="s">
        <v>700</v>
      </c>
    </row>
    <row r="997" spans="1:5" x14ac:dyDescent="0.25">
      <c r="A997" s="185" t="s">
        <v>2853</v>
      </c>
      <c r="B997" s="185" t="s">
        <v>2853</v>
      </c>
      <c r="C997" s="10" t="s">
        <v>102</v>
      </c>
      <c r="D997" s="153" t="s">
        <v>2853</v>
      </c>
    </row>
    <row r="998" spans="1:5" x14ac:dyDescent="0.25">
      <c r="A998" s="53" t="s">
        <v>51</v>
      </c>
      <c r="B998" s="53" t="s">
        <v>1</v>
      </c>
      <c r="C998" s="11" t="s">
        <v>750</v>
      </c>
      <c r="D998" s="156" t="s">
        <v>2853</v>
      </c>
      <c r="E998" s="1" t="s">
        <v>1190</v>
      </c>
    </row>
    <row r="999" spans="1:5" x14ac:dyDescent="0.25">
      <c r="A999" s="186" t="s">
        <v>2853</v>
      </c>
      <c r="B999" s="186" t="s">
        <v>2853</v>
      </c>
      <c r="C999" s="11" t="s">
        <v>751</v>
      </c>
      <c r="D999" s="156" t="s">
        <v>2853</v>
      </c>
    </row>
    <row r="1000" spans="1:5" x14ac:dyDescent="0.25">
      <c r="A1000" s="52" t="s">
        <v>52</v>
      </c>
      <c r="B1000" s="52" t="s">
        <v>1</v>
      </c>
      <c r="C1000" s="10" t="s">
        <v>709</v>
      </c>
      <c r="D1000" s="153" t="s">
        <v>2853</v>
      </c>
    </row>
    <row r="1001" spans="1:5" x14ac:dyDescent="0.25">
      <c r="A1001" s="185" t="s">
        <v>2853</v>
      </c>
      <c r="B1001" s="185" t="s">
        <v>2853</v>
      </c>
      <c r="C1001" s="10" t="s">
        <v>710</v>
      </c>
      <c r="D1001" s="153" t="s">
        <v>2853</v>
      </c>
    </row>
    <row r="1002" spans="1:5" x14ac:dyDescent="0.25">
      <c r="A1002" s="185" t="s">
        <v>2853</v>
      </c>
      <c r="B1002" s="185" t="s">
        <v>2853</v>
      </c>
      <c r="C1002" s="10" t="s">
        <v>711</v>
      </c>
      <c r="D1002" s="153" t="s">
        <v>2853</v>
      </c>
    </row>
    <row r="1003" spans="1:5" x14ac:dyDescent="0.25">
      <c r="A1003" s="185" t="s">
        <v>2853</v>
      </c>
      <c r="B1003" s="185" t="s">
        <v>2853</v>
      </c>
      <c r="C1003" s="10" t="s">
        <v>1187</v>
      </c>
      <c r="D1003" s="153" t="s">
        <v>2853</v>
      </c>
      <c r="E1003" s="1" t="s">
        <v>1189</v>
      </c>
    </row>
    <row r="1004" spans="1:5" x14ac:dyDescent="0.25">
      <c r="A1004" s="185" t="s">
        <v>2853</v>
      </c>
      <c r="B1004" s="185" t="s">
        <v>2853</v>
      </c>
      <c r="C1004" s="10" t="s">
        <v>712</v>
      </c>
      <c r="D1004" s="153" t="s">
        <v>2853</v>
      </c>
    </row>
    <row r="1005" spans="1:5" x14ac:dyDescent="0.25">
      <c r="A1005" s="185" t="s">
        <v>2853</v>
      </c>
      <c r="B1005" s="185" t="s">
        <v>2853</v>
      </c>
      <c r="C1005" s="10" t="s">
        <v>713</v>
      </c>
      <c r="D1005" s="153" t="s">
        <v>2853</v>
      </c>
    </row>
    <row r="1006" spans="1:5" x14ac:dyDescent="0.25">
      <c r="A1006" s="185" t="s">
        <v>2853</v>
      </c>
      <c r="B1006" s="185" t="s">
        <v>2853</v>
      </c>
      <c r="C1006" s="10" t="s">
        <v>1186</v>
      </c>
      <c r="D1006" s="153" t="s">
        <v>2853</v>
      </c>
      <c r="E1006" s="1" t="s">
        <v>1189</v>
      </c>
    </row>
    <row r="1007" spans="1:5" x14ac:dyDescent="0.25">
      <c r="A1007" s="185" t="s">
        <v>2853</v>
      </c>
      <c r="B1007" s="185" t="s">
        <v>2853</v>
      </c>
      <c r="C1007" s="10" t="s">
        <v>714</v>
      </c>
      <c r="D1007" s="153" t="s">
        <v>2853</v>
      </c>
    </row>
    <row r="1008" spans="1:5" x14ac:dyDescent="0.25">
      <c r="A1008" s="185" t="s">
        <v>2853</v>
      </c>
      <c r="B1008" s="185" t="s">
        <v>2853</v>
      </c>
      <c r="C1008" s="10" t="s">
        <v>715</v>
      </c>
      <c r="D1008" s="153" t="s">
        <v>2853</v>
      </c>
    </row>
    <row r="1009" spans="1:4" x14ac:dyDescent="0.25">
      <c r="A1009" s="185" t="s">
        <v>2853</v>
      </c>
      <c r="B1009" s="185" t="s">
        <v>2853</v>
      </c>
      <c r="C1009" s="10" t="s">
        <v>716</v>
      </c>
      <c r="D1009" s="153" t="s">
        <v>2853</v>
      </c>
    </row>
    <row r="1010" spans="1:4" x14ac:dyDescent="0.25">
      <c r="A1010" s="185" t="s">
        <v>2853</v>
      </c>
      <c r="B1010" s="185" t="s">
        <v>2853</v>
      </c>
      <c r="C1010" s="10" t="s">
        <v>717</v>
      </c>
      <c r="D1010" s="153" t="s">
        <v>2853</v>
      </c>
    </row>
    <row r="1011" spans="1:4" x14ac:dyDescent="0.25">
      <c r="A1011" s="185" t="s">
        <v>2853</v>
      </c>
      <c r="B1011" s="185" t="s">
        <v>2853</v>
      </c>
      <c r="C1011" s="10" t="s">
        <v>718</v>
      </c>
      <c r="D1011" s="153" t="s">
        <v>2853</v>
      </c>
    </row>
    <row r="1012" spans="1:4" x14ac:dyDescent="0.25">
      <c r="A1012" s="185" t="s">
        <v>2853</v>
      </c>
      <c r="B1012" s="185" t="s">
        <v>2853</v>
      </c>
      <c r="C1012" s="10" t="s">
        <v>1188</v>
      </c>
      <c r="D1012" s="153" t="s">
        <v>2853</v>
      </c>
    </row>
    <row r="1013" spans="1:4" x14ac:dyDescent="0.25">
      <c r="A1013" s="185" t="s">
        <v>2853</v>
      </c>
      <c r="B1013" s="185" t="s">
        <v>2853</v>
      </c>
      <c r="C1013" s="10" t="s">
        <v>719</v>
      </c>
      <c r="D1013" s="153" t="s">
        <v>2853</v>
      </c>
    </row>
    <row r="1014" spans="1:4" x14ac:dyDescent="0.25">
      <c r="A1014" s="185" t="s">
        <v>2853</v>
      </c>
      <c r="B1014" s="185" t="s">
        <v>2853</v>
      </c>
      <c r="C1014" s="10" t="s">
        <v>720</v>
      </c>
      <c r="D1014" s="153" t="s">
        <v>2853</v>
      </c>
    </row>
    <row r="1015" spans="1:4" x14ac:dyDescent="0.25">
      <c r="A1015" s="185" t="s">
        <v>2853</v>
      </c>
      <c r="B1015" s="185" t="s">
        <v>2853</v>
      </c>
      <c r="C1015" s="10" t="s">
        <v>721</v>
      </c>
      <c r="D1015" s="153" t="s">
        <v>2853</v>
      </c>
    </row>
    <row r="1016" spans="1:4" x14ac:dyDescent="0.25">
      <c r="A1016" s="185" t="s">
        <v>2853</v>
      </c>
      <c r="B1016" s="185" t="s">
        <v>2853</v>
      </c>
      <c r="C1016" s="10" t="s">
        <v>722</v>
      </c>
      <c r="D1016" s="153" t="s">
        <v>2853</v>
      </c>
    </row>
    <row r="1017" spans="1:4" x14ac:dyDescent="0.25">
      <c r="A1017" s="185" t="s">
        <v>2853</v>
      </c>
      <c r="B1017" s="185" t="s">
        <v>2853</v>
      </c>
      <c r="C1017" s="10" t="s">
        <v>723</v>
      </c>
      <c r="D1017" s="153" t="s">
        <v>2853</v>
      </c>
    </row>
    <row r="1018" spans="1:4" x14ac:dyDescent="0.25">
      <c r="A1018" s="185" t="s">
        <v>2853</v>
      </c>
      <c r="B1018" s="185" t="s">
        <v>2853</v>
      </c>
      <c r="C1018" s="10" t="s">
        <v>724</v>
      </c>
      <c r="D1018" s="153" t="s">
        <v>2853</v>
      </c>
    </row>
    <row r="1019" spans="1:4" x14ac:dyDescent="0.25">
      <c r="A1019" s="185" t="s">
        <v>2853</v>
      </c>
      <c r="B1019" s="185" t="s">
        <v>2853</v>
      </c>
      <c r="C1019" s="10" t="s">
        <v>725</v>
      </c>
      <c r="D1019" s="153" t="s">
        <v>2853</v>
      </c>
    </row>
    <row r="1020" spans="1:4" x14ac:dyDescent="0.25">
      <c r="A1020" s="185" t="s">
        <v>2853</v>
      </c>
      <c r="B1020" s="185" t="s">
        <v>2853</v>
      </c>
      <c r="C1020" s="10" t="s">
        <v>726</v>
      </c>
      <c r="D1020" s="153" t="s">
        <v>2853</v>
      </c>
    </row>
    <row r="1021" spans="1:4" x14ac:dyDescent="0.25">
      <c r="A1021" s="185" t="s">
        <v>2853</v>
      </c>
      <c r="B1021" s="185" t="s">
        <v>2853</v>
      </c>
      <c r="C1021" s="10" t="s">
        <v>727</v>
      </c>
      <c r="D1021" s="153" t="s">
        <v>2853</v>
      </c>
    </row>
    <row r="1022" spans="1:4" x14ac:dyDescent="0.25">
      <c r="A1022" s="185" t="s">
        <v>2853</v>
      </c>
      <c r="B1022" s="185" t="s">
        <v>2853</v>
      </c>
      <c r="C1022" s="10" t="s">
        <v>935</v>
      </c>
      <c r="D1022" s="153" t="s">
        <v>2853</v>
      </c>
    </row>
    <row r="1023" spans="1:4" x14ac:dyDescent="0.25">
      <c r="A1023" s="185" t="s">
        <v>2853</v>
      </c>
      <c r="B1023" s="185" t="s">
        <v>2853</v>
      </c>
      <c r="C1023" s="10" t="s">
        <v>728</v>
      </c>
      <c r="D1023" s="153" t="s">
        <v>2853</v>
      </c>
    </row>
    <row r="1024" spans="1:4" x14ac:dyDescent="0.25">
      <c r="A1024" s="185" t="s">
        <v>2853</v>
      </c>
      <c r="B1024" s="185" t="s">
        <v>2853</v>
      </c>
      <c r="C1024" s="10" t="s">
        <v>729</v>
      </c>
      <c r="D1024" s="153" t="s">
        <v>2853</v>
      </c>
    </row>
    <row r="1025" spans="1:5" x14ac:dyDescent="0.25">
      <c r="A1025" s="185" t="s">
        <v>2853</v>
      </c>
      <c r="B1025" s="185" t="s">
        <v>2853</v>
      </c>
      <c r="C1025" s="10" t="s">
        <v>730</v>
      </c>
      <c r="D1025" s="153" t="s">
        <v>2853</v>
      </c>
    </row>
    <row r="1026" spans="1:5" x14ac:dyDescent="0.25">
      <c r="A1026" s="185" t="s">
        <v>2853</v>
      </c>
      <c r="B1026" s="185" t="s">
        <v>2853</v>
      </c>
      <c r="C1026" s="10" t="s">
        <v>731</v>
      </c>
      <c r="D1026" s="153" t="s">
        <v>2853</v>
      </c>
    </row>
    <row r="1027" spans="1:5" x14ac:dyDescent="0.25">
      <c r="A1027" s="185" t="s">
        <v>2853</v>
      </c>
      <c r="B1027" s="185" t="s">
        <v>2853</v>
      </c>
      <c r="C1027" s="10" t="s">
        <v>732</v>
      </c>
      <c r="D1027" s="153" t="s">
        <v>2853</v>
      </c>
    </row>
    <row r="1028" spans="1:5" x14ac:dyDescent="0.25">
      <c r="A1028" s="185" t="s">
        <v>2853</v>
      </c>
      <c r="B1028" s="185" t="s">
        <v>2853</v>
      </c>
      <c r="C1028" s="10" t="s">
        <v>733</v>
      </c>
      <c r="D1028" s="153" t="s">
        <v>2853</v>
      </c>
    </row>
    <row r="1029" spans="1:5" x14ac:dyDescent="0.25">
      <c r="A1029" s="185" t="s">
        <v>2853</v>
      </c>
      <c r="B1029" s="185" t="s">
        <v>2853</v>
      </c>
      <c r="C1029" s="10" t="s">
        <v>734</v>
      </c>
      <c r="D1029" s="153" t="s">
        <v>2853</v>
      </c>
    </row>
    <row r="1030" spans="1:5" x14ac:dyDescent="0.25">
      <c r="A1030" s="185" t="s">
        <v>2853</v>
      </c>
      <c r="B1030" s="185" t="s">
        <v>2853</v>
      </c>
      <c r="C1030" s="10" t="s">
        <v>735</v>
      </c>
      <c r="D1030" s="153" t="s">
        <v>2853</v>
      </c>
    </row>
    <row r="1031" spans="1:5" x14ac:dyDescent="0.25">
      <c r="A1031" s="185" t="s">
        <v>2853</v>
      </c>
      <c r="B1031" s="185" t="s">
        <v>2853</v>
      </c>
      <c r="C1031" s="10" t="s">
        <v>736</v>
      </c>
      <c r="D1031" s="153" t="s">
        <v>2853</v>
      </c>
      <c r="E1031" s="1" t="s">
        <v>1189</v>
      </c>
    </row>
    <row r="1032" spans="1:5" x14ac:dyDescent="0.25">
      <c r="A1032" s="185" t="s">
        <v>2853</v>
      </c>
      <c r="B1032" s="185" t="s">
        <v>2853</v>
      </c>
      <c r="C1032" s="10" t="s">
        <v>737</v>
      </c>
      <c r="D1032" s="153" t="s">
        <v>2853</v>
      </c>
    </row>
    <row r="1033" spans="1:5" x14ac:dyDescent="0.25">
      <c r="A1033" s="185" t="s">
        <v>2853</v>
      </c>
      <c r="B1033" s="185" t="s">
        <v>2853</v>
      </c>
      <c r="C1033" s="10" t="s">
        <v>102</v>
      </c>
      <c r="D1033" s="153" t="s">
        <v>2853</v>
      </c>
    </row>
    <row r="1034" spans="1:5" x14ac:dyDescent="0.25">
      <c r="A1034" s="21" t="s">
        <v>506</v>
      </c>
      <c r="B1034" s="21" t="s">
        <v>1</v>
      </c>
      <c r="C1034" s="11" t="s">
        <v>472</v>
      </c>
      <c r="D1034" s="156" t="s">
        <v>2853</v>
      </c>
      <c r="E1034" s="1" t="s">
        <v>1190</v>
      </c>
    </row>
    <row r="1035" spans="1:5" x14ac:dyDescent="0.25">
      <c r="A1035" s="162" t="s">
        <v>2853</v>
      </c>
      <c r="B1035" s="162" t="s">
        <v>2853</v>
      </c>
      <c r="C1035" s="11" t="s">
        <v>473</v>
      </c>
      <c r="D1035" s="156" t="s">
        <v>2853</v>
      </c>
    </row>
    <row r="1036" spans="1:5" x14ac:dyDescent="0.25">
      <c r="A1036" s="162" t="s">
        <v>2853</v>
      </c>
      <c r="B1036" s="162" t="s">
        <v>2853</v>
      </c>
      <c r="C1036" s="11" t="s">
        <v>102</v>
      </c>
      <c r="D1036" s="156" t="s">
        <v>2853</v>
      </c>
    </row>
    <row r="1037" spans="1:5" x14ac:dyDescent="0.25">
      <c r="A1037" s="52" t="s">
        <v>790</v>
      </c>
      <c r="B1037" s="52" t="s">
        <v>1</v>
      </c>
      <c r="C1037" s="10" t="s">
        <v>248</v>
      </c>
      <c r="D1037" s="153" t="s">
        <v>2853</v>
      </c>
    </row>
    <row r="1038" spans="1:5" x14ac:dyDescent="0.25">
      <c r="A1038" s="185" t="s">
        <v>2853</v>
      </c>
      <c r="B1038" s="185" t="s">
        <v>2853</v>
      </c>
      <c r="C1038" s="10" t="s">
        <v>670</v>
      </c>
      <c r="D1038" s="148" t="s">
        <v>671</v>
      </c>
    </row>
    <row r="1039" spans="1:5" x14ac:dyDescent="0.25">
      <c r="A1039" s="185" t="s">
        <v>2853</v>
      </c>
      <c r="B1039" s="185" t="s">
        <v>2853</v>
      </c>
      <c r="C1039" s="10" t="s">
        <v>668</v>
      </c>
      <c r="D1039" s="148" t="s">
        <v>673</v>
      </c>
    </row>
    <row r="1040" spans="1:5" x14ac:dyDescent="0.25">
      <c r="A1040" s="185" t="s">
        <v>2853</v>
      </c>
      <c r="B1040" s="185" t="s">
        <v>2853</v>
      </c>
      <c r="C1040" s="10" t="s">
        <v>669</v>
      </c>
      <c r="D1040" s="148" t="s">
        <v>672</v>
      </c>
    </row>
    <row r="1044" spans="4:4" x14ac:dyDescent="0.25">
      <c r="D1044" s="25"/>
    </row>
    <row r="1045" spans="4:4" x14ac:dyDescent="0.25">
      <c r="D1045" s="25"/>
    </row>
    <row r="1046" spans="4:4" x14ac:dyDescent="0.25">
      <c r="D1046" s="25"/>
    </row>
    <row r="1047" spans="4:4" x14ac:dyDescent="0.25">
      <c r="D1047" s="25"/>
    </row>
    <row r="1072" spans="3:3" x14ac:dyDescent="0.25">
      <c r="C1072" s="1"/>
    </row>
    <row r="1073" spans="1:3" x14ac:dyDescent="0.25">
      <c r="C1073" s="1"/>
    </row>
    <row r="1074" spans="1:3" x14ac:dyDescent="0.25">
      <c r="A1074" s="55"/>
      <c r="C1074" s="1"/>
    </row>
    <row r="1076" spans="1:3" x14ac:dyDescent="0.25">
      <c r="C1076" s="25" t="s">
        <v>429</v>
      </c>
    </row>
    <row r="1077" spans="1:3" x14ac:dyDescent="0.25">
      <c r="C1077" s="25" t="s">
        <v>2</v>
      </c>
    </row>
    <row r="1078" spans="1:3" x14ac:dyDescent="0.25">
      <c r="C1078" s="25" t="s">
        <v>432</v>
      </c>
    </row>
    <row r="1079" spans="1:3" x14ac:dyDescent="0.25">
      <c r="C1079" s="25" t="s">
        <v>430</v>
      </c>
    </row>
    <row r="1081" spans="1:3" x14ac:dyDescent="0.25">
      <c r="C1081" s="25" t="s">
        <v>429</v>
      </c>
    </row>
    <row r="1082" spans="1:3" x14ac:dyDescent="0.25">
      <c r="C1082" s="25" t="s">
        <v>2</v>
      </c>
    </row>
    <row r="1083" spans="1:3" x14ac:dyDescent="0.25">
      <c r="C1083" s="25" t="s">
        <v>432</v>
      </c>
    </row>
    <row r="1084" spans="1:3" x14ac:dyDescent="0.25">
      <c r="C1084" s="25" t="s">
        <v>430</v>
      </c>
    </row>
    <row r="1085" spans="1:3" x14ac:dyDescent="0.25">
      <c r="C1085" s="25" t="s">
        <v>783</v>
      </c>
    </row>
    <row r="1087" spans="1:3" x14ac:dyDescent="0.25">
      <c r="C1087" s="25" t="s">
        <v>429</v>
      </c>
    </row>
    <row r="1088" spans="1:3" x14ac:dyDescent="0.25">
      <c r="C1088" s="25" t="s">
        <v>2</v>
      </c>
    </row>
    <row r="1089" spans="3:3" x14ac:dyDescent="0.25">
      <c r="C1089" s="25" t="s">
        <v>430</v>
      </c>
    </row>
    <row r="1091" spans="3:3" x14ac:dyDescent="0.25">
      <c r="C1091" s="25" t="s">
        <v>791</v>
      </c>
    </row>
    <row r="1092" spans="3:3" x14ac:dyDescent="0.25">
      <c r="C1092" s="25" t="s">
        <v>102</v>
      </c>
    </row>
    <row r="1094" spans="3:3" x14ac:dyDescent="0.25">
      <c r="C1094" s="25" t="s">
        <v>156</v>
      </c>
    </row>
    <row r="1095" spans="3:3" x14ac:dyDescent="0.25">
      <c r="C1095" s="25" t="s">
        <v>681</v>
      </c>
    </row>
    <row r="1096" spans="3:3" x14ac:dyDescent="0.25">
      <c r="C1096" s="25" t="s">
        <v>680</v>
      </c>
    </row>
    <row r="1097" spans="3:3" x14ac:dyDescent="0.25">
      <c r="C1097" s="25" t="s">
        <v>79</v>
      </c>
    </row>
    <row r="1098" spans="3:3" x14ac:dyDescent="0.25">
      <c r="C1098" s="25" t="s">
        <v>381</v>
      </c>
    </row>
    <row r="1099" spans="3:3" x14ac:dyDescent="0.25">
      <c r="C1099" s="25" t="s">
        <v>72</v>
      </c>
    </row>
    <row r="1100" spans="3:3" x14ac:dyDescent="0.25">
      <c r="C1100" s="25" t="s">
        <v>97</v>
      </c>
    </row>
    <row r="1101" spans="3:3" x14ac:dyDescent="0.25">
      <c r="C1101" s="25" t="s">
        <v>98</v>
      </c>
    </row>
    <row r="1102" spans="3:3" x14ac:dyDescent="0.25">
      <c r="C1102" s="25" t="s">
        <v>377</v>
      </c>
    </row>
    <row r="1103" spans="3:3" x14ac:dyDescent="0.25">
      <c r="C1103" s="25" t="s">
        <v>382</v>
      </c>
    </row>
    <row r="1104" spans="3:3" x14ac:dyDescent="0.25">
      <c r="C1104" s="25" t="s">
        <v>163</v>
      </c>
    </row>
    <row r="1105" spans="3:3" x14ac:dyDescent="0.25">
      <c r="C1105" s="25" t="s">
        <v>102</v>
      </c>
    </row>
    <row r="1108" spans="3:3" x14ac:dyDescent="0.25">
      <c r="C1108" s="25" t="s">
        <v>302</v>
      </c>
    </row>
    <row r="1109" spans="3:3" x14ac:dyDescent="0.25">
      <c r="C1109" s="25" t="s">
        <v>303</v>
      </c>
    </row>
    <row r="1110" spans="3:3" x14ac:dyDescent="0.25">
      <c r="C1110" s="25" t="s">
        <v>301</v>
      </c>
    </row>
    <row r="1111" spans="3:3" x14ac:dyDescent="0.25">
      <c r="C1111" s="25" t="s">
        <v>102</v>
      </c>
    </row>
    <row r="1113" spans="3:3" x14ac:dyDescent="0.25">
      <c r="C1113" s="25" t="s">
        <v>76</v>
      </c>
    </row>
    <row r="1114" spans="3:3" x14ac:dyDescent="0.25">
      <c r="C1114" s="25" t="s">
        <v>88</v>
      </c>
    </row>
    <row r="1115" spans="3:3" x14ac:dyDescent="0.25">
      <c r="C1115" s="25" t="s">
        <v>78</v>
      </c>
    </row>
    <row r="1116" spans="3:3" x14ac:dyDescent="0.25">
      <c r="C1116" s="25" t="s">
        <v>102</v>
      </c>
    </row>
    <row r="1118" spans="3:3" x14ac:dyDescent="0.25">
      <c r="C1118" s="25" t="s">
        <v>821</v>
      </c>
    </row>
    <row r="1119" spans="3:3" x14ac:dyDescent="0.25">
      <c r="C1119" s="25" t="s">
        <v>822</v>
      </c>
    </row>
    <row r="1121" spans="3:3" x14ac:dyDescent="0.25">
      <c r="C1121" s="25" t="s">
        <v>821</v>
      </c>
    </row>
    <row r="1122" spans="3:3" x14ac:dyDescent="0.25">
      <c r="C1122" s="25" t="s">
        <v>54</v>
      </c>
    </row>
    <row r="1123" spans="3:3" x14ac:dyDescent="0.25">
      <c r="C1123" s="25" t="s">
        <v>69</v>
      </c>
    </row>
    <row r="1124" spans="3:3" x14ac:dyDescent="0.25">
      <c r="C1124" s="25" t="s">
        <v>624</v>
      </c>
    </row>
    <row r="1125" spans="3:3" x14ac:dyDescent="0.25">
      <c r="C1125" s="25" t="s">
        <v>955</v>
      </c>
    </row>
    <row r="1126" spans="3:3" x14ac:dyDescent="0.25">
      <c r="C1126" s="25" t="s">
        <v>102</v>
      </c>
    </row>
    <row r="1129" spans="3:3" x14ac:dyDescent="0.25">
      <c r="C1129" s="25" t="s">
        <v>414</v>
      </c>
    </row>
    <row r="1130" spans="3:3" x14ac:dyDescent="0.25">
      <c r="C1130" s="25" t="s">
        <v>262</v>
      </c>
    </row>
    <row r="1131" spans="3:3" x14ac:dyDescent="0.25">
      <c r="C1131" s="25" t="s">
        <v>653</v>
      </c>
    </row>
    <row r="1132" spans="3:3" x14ac:dyDescent="0.25">
      <c r="C1132" s="25" t="s">
        <v>156</v>
      </c>
    </row>
    <row r="1133" spans="3:3" x14ac:dyDescent="0.25">
      <c r="C1133" s="25" t="s">
        <v>647</v>
      </c>
    </row>
    <row r="1134" spans="3:3" x14ac:dyDescent="0.25">
      <c r="C1134" s="25" t="s">
        <v>649</v>
      </c>
    </row>
    <row r="1135" spans="3:3" x14ac:dyDescent="0.25">
      <c r="C1135" s="25" t="s">
        <v>66</v>
      </c>
    </row>
    <row r="1136" spans="3:3" x14ac:dyDescent="0.25">
      <c r="C1136" s="25" t="s">
        <v>269</v>
      </c>
    </row>
    <row r="1137" spans="3:3" x14ac:dyDescent="0.25">
      <c r="C1137" s="25" t="s">
        <v>654</v>
      </c>
    </row>
    <row r="1138" spans="3:3" x14ac:dyDescent="0.25">
      <c r="C1138" s="25" t="s">
        <v>140</v>
      </c>
    </row>
    <row r="1139" spans="3:3" x14ac:dyDescent="0.25">
      <c r="C1139" s="25" t="s">
        <v>256</v>
      </c>
    </row>
    <row r="1140" spans="3:3" x14ac:dyDescent="0.25">
      <c r="C1140" s="25" t="s">
        <v>122</v>
      </c>
    </row>
    <row r="1141" spans="3:3" x14ac:dyDescent="0.25">
      <c r="C1141" s="25" t="s">
        <v>270</v>
      </c>
    </row>
    <row r="1142" spans="3:3" x14ac:dyDescent="0.25">
      <c r="C1142" s="25" t="s">
        <v>708</v>
      </c>
    </row>
    <row r="1143" spans="3:3" x14ac:dyDescent="0.25">
      <c r="C1143" s="25" t="s">
        <v>1161</v>
      </c>
    </row>
    <row r="1144" spans="3:3" x14ac:dyDescent="0.25">
      <c r="C1144" s="25" t="s">
        <v>267</v>
      </c>
    </row>
    <row r="1145" spans="3:3" x14ac:dyDescent="0.25">
      <c r="C1145" s="25" t="s">
        <v>264</v>
      </c>
    </row>
    <row r="1146" spans="3:3" x14ac:dyDescent="0.25">
      <c r="C1146" s="25" t="s">
        <v>265</v>
      </c>
    </row>
    <row r="1147" spans="3:3" x14ac:dyDescent="0.25">
      <c r="C1147" s="25" t="s">
        <v>254</v>
      </c>
    </row>
    <row r="1148" spans="3:3" x14ac:dyDescent="0.25">
      <c r="C1148" s="25" t="s">
        <v>261</v>
      </c>
    </row>
    <row r="1149" spans="3:3" x14ac:dyDescent="0.25">
      <c r="C1149" s="25" t="s">
        <v>71</v>
      </c>
    </row>
    <row r="1150" spans="3:3" x14ac:dyDescent="0.25">
      <c r="C1150" s="25" t="s">
        <v>259</v>
      </c>
    </row>
    <row r="1151" spans="3:3" x14ac:dyDescent="0.25">
      <c r="C1151" s="25" t="s">
        <v>75</v>
      </c>
    </row>
    <row r="1152" spans="3:3" x14ac:dyDescent="0.25">
      <c r="C1152" s="25" t="s">
        <v>263</v>
      </c>
    </row>
    <row r="1153" spans="3:3" x14ac:dyDescent="0.25">
      <c r="C1153" s="25" t="s">
        <v>651</v>
      </c>
    </row>
    <row r="1154" spans="3:3" x14ac:dyDescent="0.25">
      <c r="C1154" s="25" t="s">
        <v>652</v>
      </c>
    </row>
    <row r="1155" spans="3:3" x14ac:dyDescent="0.25">
      <c r="C1155" s="25" t="s">
        <v>266</v>
      </c>
    </row>
    <row r="1156" spans="3:3" x14ac:dyDescent="0.25">
      <c r="C1156" s="25" t="s">
        <v>85</v>
      </c>
    </row>
    <row r="1157" spans="3:3" x14ac:dyDescent="0.25">
      <c r="C1157" s="25" t="s">
        <v>648</v>
      </c>
    </row>
    <row r="1158" spans="3:3" x14ac:dyDescent="0.25">
      <c r="C1158" s="25" t="s">
        <v>646</v>
      </c>
    </row>
    <row r="1159" spans="3:3" x14ac:dyDescent="0.25">
      <c r="C1159" s="25" t="s">
        <v>656</v>
      </c>
    </row>
    <row r="1160" spans="3:3" x14ac:dyDescent="0.25">
      <c r="C1160" s="25" t="s">
        <v>255</v>
      </c>
    </row>
    <row r="1161" spans="3:3" x14ac:dyDescent="0.25">
      <c r="C1161" s="25" t="s">
        <v>738</v>
      </c>
    </row>
    <row r="1162" spans="3:3" x14ac:dyDescent="0.25">
      <c r="C1162" s="25" t="s">
        <v>34</v>
      </c>
    </row>
    <row r="1163" spans="3:3" ht="14.55" customHeight="1" x14ac:dyDescent="0.25">
      <c r="C1163" s="25" t="s">
        <v>645</v>
      </c>
    </row>
    <row r="1164" spans="3:3" x14ac:dyDescent="0.25">
      <c r="C1164" s="25" t="s">
        <v>650</v>
      </c>
    </row>
    <row r="1165" spans="3:3" x14ac:dyDescent="0.25">
      <c r="C1165" s="25" t="s">
        <v>252</v>
      </c>
    </row>
    <row r="1166" spans="3:3" x14ac:dyDescent="0.25">
      <c r="C1166" s="25" t="s">
        <v>258</v>
      </c>
    </row>
    <row r="1167" spans="3:3" x14ac:dyDescent="0.25">
      <c r="C1167" s="25" t="s">
        <v>257</v>
      </c>
    </row>
    <row r="1168" spans="3:3" x14ac:dyDescent="0.25">
      <c r="C1168" s="25" t="s">
        <v>253</v>
      </c>
    </row>
    <row r="1169" spans="3:3" x14ac:dyDescent="0.25">
      <c r="C1169" s="25" t="s">
        <v>260</v>
      </c>
    </row>
    <row r="1170" spans="3:3" x14ac:dyDescent="0.25">
      <c r="C1170" s="25" t="s">
        <v>102</v>
      </c>
    </row>
    <row r="1171" spans="3:3" x14ac:dyDescent="0.25">
      <c r="C1171" s="25" t="s">
        <v>878</v>
      </c>
    </row>
    <row r="1172" spans="3:3" x14ac:dyDescent="0.25">
      <c r="C1172" s="25" t="s">
        <v>879</v>
      </c>
    </row>
    <row r="1173" spans="3:3" x14ac:dyDescent="0.25">
      <c r="C1173" s="25" t="s">
        <v>880</v>
      </c>
    </row>
    <row r="1174" spans="3:3" x14ac:dyDescent="0.25">
      <c r="C1174" s="25" t="s">
        <v>881</v>
      </c>
    </row>
    <row r="1175" spans="3:3" x14ac:dyDescent="0.25">
      <c r="C1175" s="25" t="s">
        <v>882</v>
      </c>
    </row>
    <row r="1176" spans="3:3" x14ac:dyDescent="0.25">
      <c r="C1176" s="25" t="s">
        <v>883</v>
      </c>
    </row>
    <row r="1177" spans="3:3" x14ac:dyDescent="0.25">
      <c r="C1177" s="25" t="s">
        <v>884</v>
      </c>
    </row>
    <row r="1178" spans="3:3" x14ac:dyDescent="0.25">
      <c r="C1178" s="25" t="s">
        <v>885</v>
      </c>
    </row>
    <row r="1179" spans="3:3" x14ac:dyDescent="0.25">
      <c r="C1179" s="25" t="s">
        <v>886</v>
      </c>
    </row>
    <row r="1180" spans="3:3" x14ac:dyDescent="0.25">
      <c r="C1180" s="25" t="s">
        <v>887</v>
      </c>
    </row>
    <row r="1181" spans="3:3" x14ac:dyDescent="0.25">
      <c r="C1181" s="25" t="s">
        <v>888</v>
      </c>
    </row>
    <row r="1182" spans="3:3" x14ac:dyDescent="0.25">
      <c r="C1182" s="25" t="s">
        <v>889</v>
      </c>
    </row>
    <row r="1183" spans="3:3" x14ac:dyDescent="0.25">
      <c r="C1183" s="25" t="s">
        <v>890</v>
      </c>
    </row>
    <row r="1184" spans="3:3" x14ac:dyDescent="0.25">
      <c r="C1184" s="25" t="s">
        <v>891</v>
      </c>
    </row>
    <row r="1185" spans="3:3" x14ac:dyDescent="0.25">
      <c r="C1185" s="25" t="s">
        <v>892</v>
      </c>
    </row>
    <row r="1186" spans="3:3" x14ac:dyDescent="0.25">
      <c r="C1186" s="25" t="s">
        <v>893</v>
      </c>
    </row>
    <row r="1187" spans="3:3" x14ac:dyDescent="0.25">
      <c r="C1187" s="25" t="s">
        <v>877</v>
      </c>
    </row>
    <row r="1188" spans="3:3" x14ac:dyDescent="0.25">
      <c r="C1188" s="25" t="s">
        <v>1144</v>
      </c>
    </row>
    <row r="1189" spans="3:3" x14ac:dyDescent="0.25">
      <c r="C1189" s="25" t="s">
        <v>1145</v>
      </c>
    </row>
    <row r="1190" spans="3:3" x14ac:dyDescent="0.25">
      <c r="C1190" s="25" t="s">
        <v>1146</v>
      </c>
    </row>
    <row r="1191" spans="3:3" x14ac:dyDescent="0.25">
      <c r="C1191" s="25" t="s">
        <v>894</v>
      </c>
    </row>
    <row r="1192" spans="3:3" x14ac:dyDescent="0.25">
      <c r="C1192" s="25" t="s">
        <v>1147</v>
      </c>
    </row>
    <row r="1193" spans="3:3" x14ac:dyDescent="0.25">
      <c r="C1193" s="25" t="s">
        <v>895</v>
      </c>
    </row>
    <row r="1194" spans="3:3" x14ac:dyDescent="0.25">
      <c r="C1194" s="25" t="s">
        <v>896</v>
      </c>
    </row>
    <row r="1195" spans="3:3" x14ac:dyDescent="0.25">
      <c r="C1195" s="25" t="s">
        <v>897</v>
      </c>
    </row>
    <row r="1196" spans="3:3" x14ac:dyDescent="0.25">
      <c r="C1196" s="25" t="s">
        <v>898</v>
      </c>
    </row>
    <row r="1197" spans="3:3" x14ac:dyDescent="0.25">
      <c r="C1197" s="25" t="s">
        <v>899</v>
      </c>
    </row>
    <row r="1198" spans="3:3" x14ac:dyDescent="0.25">
      <c r="C1198" s="25" t="s">
        <v>900</v>
      </c>
    </row>
    <row r="1199" spans="3:3" x14ac:dyDescent="0.25">
      <c r="C1199" s="25" t="s">
        <v>873</v>
      </c>
    </row>
    <row r="1200" spans="3:3" x14ac:dyDescent="0.25">
      <c r="C1200" s="25" t="s">
        <v>1148</v>
      </c>
    </row>
    <row r="1201" spans="3:3" x14ac:dyDescent="0.25">
      <c r="C1201" s="25" t="s">
        <v>901</v>
      </c>
    </row>
    <row r="1202" spans="3:3" x14ac:dyDescent="0.25">
      <c r="C1202" s="25" t="s">
        <v>1149</v>
      </c>
    </row>
    <row r="1203" spans="3:3" x14ac:dyDescent="0.25">
      <c r="C1203" s="25" t="s">
        <v>902</v>
      </c>
    </row>
    <row r="1204" spans="3:3" x14ac:dyDescent="0.25">
      <c r="C1204" s="25" t="s">
        <v>903</v>
      </c>
    </row>
    <row r="1205" spans="3:3" x14ac:dyDescent="0.25">
      <c r="C1205" s="25" t="s">
        <v>904</v>
      </c>
    </row>
    <row r="1206" spans="3:3" x14ac:dyDescent="0.25">
      <c r="C1206" s="25" t="s">
        <v>905</v>
      </c>
    </row>
    <row r="1207" spans="3:3" x14ac:dyDescent="0.25">
      <c r="C1207" s="25" t="s">
        <v>1150</v>
      </c>
    </row>
    <row r="1208" spans="3:3" x14ac:dyDescent="0.25">
      <c r="C1208" s="25" t="s">
        <v>906</v>
      </c>
    </row>
    <row r="1209" spans="3:3" x14ac:dyDescent="0.25">
      <c r="C1209" s="25" t="s">
        <v>907</v>
      </c>
    </row>
    <row r="1210" spans="3:3" x14ac:dyDescent="0.25">
      <c r="C1210" s="25" t="s">
        <v>908</v>
      </c>
    </row>
    <row r="1211" spans="3:3" x14ac:dyDescent="0.25">
      <c r="C1211" s="25" t="s">
        <v>909</v>
      </c>
    </row>
    <row r="1212" spans="3:3" x14ac:dyDescent="0.25">
      <c r="C1212" s="25" t="s">
        <v>910</v>
      </c>
    </row>
    <row r="1213" spans="3:3" x14ac:dyDescent="0.25">
      <c r="C1213" s="25" t="s">
        <v>911</v>
      </c>
    </row>
    <row r="1214" spans="3:3" x14ac:dyDescent="0.25">
      <c r="C1214" s="25" t="s">
        <v>195</v>
      </c>
    </row>
    <row r="1215" spans="3:3" x14ac:dyDescent="0.25">
      <c r="C1215" s="25" t="s">
        <v>1151</v>
      </c>
    </row>
    <row r="1216" spans="3:3" x14ac:dyDescent="0.25">
      <c r="C1216" s="25" t="s">
        <v>912</v>
      </c>
    </row>
    <row r="1217" spans="3:3" x14ac:dyDescent="0.25">
      <c r="C1217" s="25" t="s">
        <v>913</v>
      </c>
    </row>
    <row r="1218" spans="3:3" x14ac:dyDescent="0.25">
      <c r="C1218" s="25" t="s">
        <v>1152</v>
      </c>
    </row>
    <row r="1219" spans="3:3" x14ac:dyDescent="0.25">
      <c r="C1219" s="25" t="s">
        <v>249</v>
      </c>
    </row>
    <row r="1220" spans="3:3" x14ac:dyDescent="0.25">
      <c r="C1220" s="25" t="s">
        <v>914</v>
      </c>
    </row>
    <row r="1221" spans="3:3" x14ac:dyDescent="0.25">
      <c r="C1221" s="25" t="s">
        <v>915</v>
      </c>
    </row>
    <row r="1222" spans="3:3" x14ac:dyDescent="0.25">
      <c r="C1222" s="25" t="s">
        <v>916</v>
      </c>
    </row>
    <row r="1223" spans="3:3" x14ac:dyDescent="0.25">
      <c r="C1223" s="25" t="s">
        <v>917</v>
      </c>
    </row>
    <row r="1224" spans="3:3" x14ac:dyDescent="0.25">
      <c r="C1224" s="25" t="s">
        <v>918</v>
      </c>
    </row>
    <row r="1225" spans="3:3" x14ac:dyDescent="0.25">
      <c r="C1225" s="25" t="s">
        <v>202</v>
      </c>
    </row>
    <row r="1226" spans="3:3" x14ac:dyDescent="0.25">
      <c r="C1226" s="25" t="s">
        <v>919</v>
      </c>
    </row>
    <row r="1227" spans="3:3" x14ac:dyDescent="0.25">
      <c r="C1227" s="25" t="s">
        <v>920</v>
      </c>
    </row>
    <row r="1228" spans="3:3" x14ac:dyDescent="0.25">
      <c r="C1228" s="25" t="s">
        <v>967</v>
      </c>
    </row>
    <row r="1229" spans="3:3" x14ac:dyDescent="0.25">
      <c r="C1229" s="25" t="s">
        <v>968</v>
      </c>
    </row>
    <row r="1230" spans="3:3" x14ac:dyDescent="0.25">
      <c r="C1230" s="25" t="s">
        <v>969</v>
      </c>
    </row>
    <row r="1231" spans="3:3" x14ac:dyDescent="0.25">
      <c r="C1231" s="25" t="s">
        <v>921</v>
      </c>
    </row>
    <row r="1232" spans="3:3" x14ac:dyDescent="0.25">
      <c r="C1232" s="25" t="s">
        <v>922</v>
      </c>
    </row>
    <row r="1233" spans="3:3" x14ac:dyDescent="0.25">
      <c r="C1233" s="25" t="s">
        <v>923</v>
      </c>
    </row>
    <row r="1234" spans="3:3" x14ac:dyDescent="0.25">
      <c r="C1234" s="25" t="s">
        <v>924</v>
      </c>
    </row>
    <row r="1235" spans="3:3" x14ac:dyDescent="0.25">
      <c r="C1235" s="25" t="s">
        <v>925</v>
      </c>
    </row>
    <row r="1236" spans="3:3" x14ac:dyDescent="0.25">
      <c r="C1236" s="25" t="s">
        <v>966</v>
      </c>
    </row>
    <row r="1237" spans="3:3" x14ac:dyDescent="0.25">
      <c r="C1237" s="25" t="s">
        <v>927</v>
      </c>
    </row>
    <row r="1238" spans="3:3" x14ac:dyDescent="0.25">
      <c r="C1238" s="25" t="s">
        <v>928</v>
      </c>
    </row>
    <row r="1239" spans="3:3" x14ac:dyDescent="0.25">
      <c r="C1239" s="25" t="s">
        <v>874</v>
      </c>
    </row>
    <row r="1240" spans="3:3" x14ac:dyDescent="0.25">
      <c r="C1240" s="25" t="s">
        <v>875</v>
      </c>
    </row>
    <row r="1241" spans="3:3" x14ac:dyDescent="0.25">
      <c r="C1241" s="25" t="s">
        <v>929</v>
      </c>
    </row>
    <row r="1242" spans="3:3" x14ac:dyDescent="0.25">
      <c r="C1242" s="25" t="s">
        <v>876</v>
      </c>
    </row>
    <row r="1243" spans="3:3" x14ac:dyDescent="0.25">
      <c r="C1243" s="25" t="s">
        <v>930</v>
      </c>
    </row>
    <row r="1244" spans="3:3" x14ac:dyDescent="0.25">
      <c r="C1244" s="25" t="s">
        <v>931</v>
      </c>
    </row>
    <row r="1245" spans="3:3" x14ac:dyDescent="0.25">
      <c r="C1245" s="25" t="s">
        <v>130</v>
      </c>
    </row>
    <row r="1248" spans="3:3" x14ac:dyDescent="0.25">
      <c r="C1248" s="25" t="s">
        <v>974</v>
      </c>
    </row>
    <row r="1249" spans="3:3" x14ac:dyDescent="0.25">
      <c r="C1249" s="25" t="s">
        <v>54</v>
      </c>
    </row>
    <row r="1250" spans="3:3" x14ac:dyDescent="0.25">
      <c r="C1250" s="25" t="s">
        <v>69</v>
      </c>
    </row>
    <row r="1251" spans="3:3" x14ac:dyDescent="0.25">
      <c r="C1251" s="25" t="s">
        <v>694</v>
      </c>
    </row>
    <row r="1252" spans="3:3" x14ac:dyDescent="0.25">
      <c r="C1252" s="25" t="s">
        <v>696</v>
      </c>
    </row>
    <row r="1253" spans="3:3" x14ac:dyDescent="0.25">
      <c r="C1253" s="25" t="s">
        <v>102</v>
      </c>
    </row>
    <row r="1255" spans="3:3" x14ac:dyDescent="0.25">
      <c r="C1255" s="25" t="s">
        <v>974</v>
      </c>
    </row>
    <row r="1256" spans="3:3" x14ac:dyDescent="0.25">
      <c r="C1256" s="25" t="s">
        <v>624</v>
      </c>
    </row>
    <row r="1257" spans="3:3" x14ac:dyDescent="0.25">
      <c r="C1257" s="25" t="s">
        <v>955</v>
      </c>
    </row>
    <row r="1258" spans="3:3" x14ac:dyDescent="0.25">
      <c r="C1258" s="25" t="s">
        <v>54</v>
      </c>
    </row>
    <row r="1259" spans="3:3" x14ac:dyDescent="0.25">
      <c r="C1259" s="25" t="s">
        <v>102</v>
      </c>
    </row>
    <row r="1261" spans="3:3" x14ac:dyDescent="0.25">
      <c r="C1261" s="25" t="s">
        <v>821</v>
      </c>
    </row>
    <row r="1262" spans="3:3" x14ac:dyDescent="0.25">
      <c r="C1262" s="25" t="s">
        <v>54</v>
      </c>
    </row>
    <row r="1263" spans="3:3" x14ac:dyDescent="0.25">
      <c r="C1263" s="25" t="s">
        <v>696</v>
      </c>
    </row>
    <row r="1264" spans="3:3" x14ac:dyDescent="0.25">
      <c r="C1264" s="25" t="s">
        <v>694</v>
      </c>
    </row>
    <row r="1265" spans="3:3" x14ac:dyDescent="0.25">
      <c r="C1265" s="25" t="s">
        <v>102</v>
      </c>
    </row>
    <row r="1267" spans="3:3" x14ac:dyDescent="0.25">
      <c r="C1267" s="25" t="s">
        <v>974</v>
      </c>
    </row>
    <row r="1268" spans="3:3" x14ac:dyDescent="0.25">
      <c r="C1268" s="25" t="s">
        <v>54</v>
      </c>
    </row>
    <row r="1269" spans="3:3" x14ac:dyDescent="0.25">
      <c r="C1269" s="25" t="s">
        <v>102</v>
      </c>
    </row>
    <row r="1272" spans="3:3" x14ac:dyDescent="0.25">
      <c r="C1272" s="25" t="s">
        <v>821</v>
      </c>
    </row>
    <row r="1273" spans="3:3" x14ac:dyDescent="0.25">
      <c r="C1273" s="25" t="s">
        <v>54</v>
      </c>
    </row>
    <row r="1274" spans="3:3" x14ac:dyDescent="0.25">
      <c r="C1274" s="25" t="s">
        <v>69</v>
      </c>
    </row>
    <row r="1275" spans="3:3" x14ac:dyDescent="0.25">
      <c r="C1275" s="25" t="s">
        <v>624</v>
      </c>
    </row>
    <row r="1276" spans="3:3" x14ac:dyDescent="0.25">
      <c r="C1276" s="25" t="s">
        <v>694</v>
      </c>
    </row>
    <row r="1277" spans="3:3" x14ac:dyDescent="0.25">
      <c r="C1277" s="25" t="s">
        <v>695</v>
      </c>
    </row>
    <row r="1278" spans="3:3" x14ac:dyDescent="0.25">
      <c r="C1278" s="25" t="s">
        <v>696</v>
      </c>
    </row>
    <row r="1279" spans="3:3" x14ac:dyDescent="0.25">
      <c r="C1279" s="25" t="s">
        <v>697</v>
      </c>
    </row>
    <row r="1280" spans="3:3" x14ac:dyDescent="0.25">
      <c r="C1280" s="25" t="s">
        <v>955</v>
      </c>
    </row>
    <row r="1281" spans="3:3" x14ac:dyDescent="0.25">
      <c r="C1281" s="25" t="s">
        <v>102</v>
      </c>
    </row>
    <row r="1283" spans="3:3" x14ac:dyDescent="0.25">
      <c r="C1283" s="25" t="s">
        <v>311</v>
      </c>
    </row>
    <row r="1284" spans="3:3" x14ac:dyDescent="0.25">
      <c r="C1284" s="25" t="s">
        <v>943</v>
      </c>
    </row>
    <row r="1285" spans="3:3" x14ac:dyDescent="0.25">
      <c r="C1285" s="25" t="s">
        <v>476</v>
      </c>
    </row>
    <row r="1286" spans="3:3" x14ac:dyDescent="0.25">
      <c r="C1286" s="25" t="s">
        <v>479</v>
      </c>
    </row>
    <row r="1287" spans="3:3" x14ac:dyDescent="0.25">
      <c r="C1287" s="25" t="s">
        <v>480</v>
      </c>
    </row>
    <row r="1288" spans="3:3" x14ac:dyDescent="0.25">
      <c r="C1288" s="25" t="s">
        <v>477</v>
      </c>
    </row>
    <row r="1289" spans="3:3" x14ac:dyDescent="0.25">
      <c r="C1289" s="25" t="s">
        <v>481</v>
      </c>
    </row>
    <row r="1290" spans="3:3" x14ac:dyDescent="0.25">
      <c r="C1290" s="25" t="s">
        <v>478</v>
      </c>
    </row>
    <row r="1291" spans="3:3" x14ac:dyDescent="0.25">
      <c r="C1291" s="25" t="s">
        <v>482</v>
      </c>
    </row>
    <row r="1292" spans="3:3" x14ac:dyDescent="0.25">
      <c r="C1292" s="25" t="s">
        <v>483</v>
      </c>
    </row>
    <row r="1293" spans="3:3" x14ac:dyDescent="0.25">
      <c r="C1293" s="25" t="s">
        <v>485</v>
      </c>
    </row>
    <row r="1294" spans="3:3" x14ac:dyDescent="0.25">
      <c r="C1294" s="25" t="s">
        <v>484</v>
      </c>
    </row>
    <row r="1295" spans="3:3" x14ac:dyDescent="0.25">
      <c r="C1295" s="25" t="s">
        <v>486</v>
      </c>
    </row>
    <row r="1296" spans="3:3" x14ac:dyDescent="0.25">
      <c r="C1296" s="25" t="s">
        <v>487</v>
      </c>
    </row>
    <row r="1297" spans="3:3" x14ac:dyDescent="0.25">
      <c r="C1297" s="25" t="s">
        <v>488</v>
      </c>
    </row>
    <row r="1298" spans="3:3" x14ac:dyDescent="0.25">
      <c r="C1298" s="25" t="s">
        <v>489</v>
      </c>
    </row>
    <row r="1299" spans="3:3" x14ac:dyDescent="0.25">
      <c r="C1299" s="25" t="s">
        <v>490</v>
      </c>
    </row>
    <row r="1300" spans="3:3" x14ac:dyDescent="0.25">
      <c r="C1300" s="25" t="s">
        <v>491</v>
      </c>
    </row>
    <row r="1301" spans="3:3" x14ac:dyDescent="0.25">
      <c r="C1301" s="25" t="s">
        <v>492</v>
      </c>
    </row>
    <row r="1302" spans="3:3" x14ac:dyDescent="0.25">
      <c r="C1302" s="25" t="s">
        <v>493</v>
      </c>
    </row>
    <row r="1303" spans="3:3" x14ac:dyDescent="0.25">
      <c r="C1303" s="25" t="s">
        <v>494</v>
      </c>
    </row>
    <row r="1304" spans="3:3" x14ac:dyDescent="0.25">
      <c r="C1304" s="25" t="s">
        <v>495</v>
      </c>
    </row>
    <row r="1305" spans="3:3" x14ac:dyDescent="0.25">
      <c r="C1305" s="25" t="s">
        <v>609</v>
      </c>
    </row>
    <row r="1306" spans="3:3" x14ac:dyDescent="0.25">
      <c r="C1306" s="25" t="s">
        <v>496</v>
      </c>
    </row>
    <row r="1307" spans="3:3" x14ac:dyDescent="0.25">
      <c r="C1307" s="25" t="s">
        <v>497</v>
      </c>
    </row>
    <row r="1308" spans="3:3" x14ac:dyDescent="0.25">
      <c r="C1308" s="25" t="s">
        <v>498</v>
      </c>
    </row>
    <row r="1309" spans="3:3" x14ac:dyDescent="0.25">
      <c r="C1309" s="25" t="s">
        <v>499</v>
      </c>
    </row>
    <row r="1310" spans="3:3" x14ac:dyDescent="0.25">
      <c r="C1310" s="25" t="s">
        <v>500</v>
      </c>
    </row>
    <row r="1311" spans="3:3" x14ac:dyDescent="0.25">
      <c r="C1311" s="25" t="s">
        <v>501</v>
      </c>
    </row>
    <row r="1312" spans="3:3" x14ac:dyDescent="0.25">
      <c r="C1312" s="25" t="s">
        <v>502</v>
      </c>
    </row>
    <row r="1313" spans="3:3" x14ac:dyDescent="0.25">
      <c r="C1313" s="25" t="s">
        <v>503</v>
      </c>
    </row>
    <row r="1314" spans="3:3" x14ac:dyDescent="0.25">
      <c r="C1314" s="25" t="s">
        <v>504</v>
      </c>
    </row>
    <row r="1315" spans="3:3" x14ac:dyDescent="0.25">
      <c r="C1315" s="25" t="s">
        <v>102</v>
      </c>
    </row>
    <row r="10000" spans="52:52" x14ac:dyDescent="0.25">
      <c r="AZ10000" s="1">
        <v>1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AZ10000"/>
  <sheetViews>
    <sheetView rightToLeft="1" tabSelected="1" topLeftCell="A776" zoomScale="85" zoomScaleNormal="85" workbookViewId="0">
      <selection activeCell="A2" sqref="A2:D795"/>
    </sheetView>
  </sheetViews>
  <sheetFormatPr defaultColWidth="8.796875" defaultRowHeight="13.8" outlineLevelRow="1" x14ac:dyDescent="0.25"/>
  <cols>
    <col min="1" max="1" width="25.69921875" style="1" customWidth="1"/>
    <col min="2" max="2" width="48.69921875" style="1" customWidth="1"/>
    <col min="3" max="3" width="12" style="1" customWidth="1"/>
    <col min="4" max="4" width="24.796875" style="26" customWidth="1"/>
    <col min="5" max="5" width="14.19921875" style="1" customWidth="1"/>
    <col min="6" max="16384" width="8.796875" style="1"/>
  </cols>
  <sheetData>
    <row r="1" spans="1:5" ht="15.6" x14ac:dyDescent="0.3">
      <c r="A1" s="190" t="s">
        <v>805</v>
      </c>
      <c r="B1" s="191" t="s">
        <v>806</v>
      </c>
      <c r="C1" s="191" t="s">
        <v>816</v>
      </c>
      <c r="D1" s="192" t="s">
        <v>963</v>
      </c>
      <c r="E1" s="56"/>
    </row>
    <row r="2" spans="1:5" ht="15.6" outlineLevel="1" x14ac:dyDescent="0.25">
      <c r="A2" s="57" t="s">
        <v>31</v>
      </c>
      <c r="B2" s="58" t="s">
        <v>667</v>
      </c>
      <c r="C2" s="57">
        <v>5.0999999999999996</v>
      </c>
      <c r="D2" s="194" t="s">
        <v>2853</v>
      </c>
    </row>
    <row r="3" spans="1:5" ht="15.6" outlineLevel="1" x14ac:dyDescent="0.25">
      <c r="A3" s="57" t="s">
        <v>31</v>
      </c>
      <c r="B3" s="58" t="s">
        <v>0</v>
      </c>
      <c r="C3" s="57">
        <v>5.2</v>
      </c>
      <c r="D3" s="194" t="s">
        <v>2853</v>
      </c>
    </row>
    <row r="4" spans="1:5" ht="15.6" outlineLevel="1" x14ac:dyDescent="0.25">
      <c r="A4" s="57" t="s">
        <v>31</v>
      </c>
      <c r="B4" s="58" t="s">
        <v>739</v>
      </c>
      <c r="C4" s="57">
        <v>5.4</v>
      </c>
      <c r="D4" s="194" t="s">
        <v>2853</v>
      </c>
    </row>
    <row r="5" spans="1:5" ht="15.6" outlineLevel="1" x14ac:dyDescent="0.25">
      <c r="A5" s="57" t="s">
        <v>31</v>
      </c>
      <c r="B5" s="58" t="s">
        <v>757</v>
      </c>
      <c r="C5" s="57">
        <v>5.7</v>
      </c>
      <c r="D5" s="194" t="s">
        <v>2853</v>
      </c>
    </row>
    <row r="6" spans="1:5" ht="15.6" outlineLevel="1" x14ac:dyDescent="0.25">
      <c r="A6" s="57" t="s">
        <v>31</v>
      </c>
      <c r="B6" s="58" t="s">
        <v>758</v>
      </c>
      <c r="C6" s="57">
        <v>5.1100000000000003</v>
      </c>
      <c r="D6" s="194" t="s">
        <v>2853</v>
      </c>
    </row>
    <row r="7" spans="1:5" ht="15.6" outlineLevel="1" x14ac:dyDescent="0.25">
      <c r="A7" s="57" t="s">
        <v>31</v>
      </c>
      <c r="B7" s="58" t="s">
        <v>1</v>
      </c>
      <c r="C7" s="57">
        <v>5.26</v>
      </c>
      <c r="D7" s="194" t="s">
        <v>2853</v>
      </c>
    </row>
    <row r="8" spans="1:5" ht="15.6" outlineLevel="1" x14ac:dyDescent="0.25">
      <c r="A8" s="57" t="s">
        <v>31</v>
      </c>
      <c r="B8" s="58" t="s">
        <v>620</v>
      </c>
      <c r="C8" s="57">
        <v>5.27</v>
      </c>
      <c r="D8" s="194" t="s">
        <v>2853</v>
      </c>
    </row>
    <row r="9" spans="1:5" ht="15.6" outlineLevel="1" x14ac:dyDescent="0.25">
      <c r="A9" s="57" t="s">
        <v>31</v>
      </c>
      <c r="B9" s="58" t="s">
        <v>622</v>
      </c>
      <c r="C9" s="57">
        <v>5.36</v>
      </c>
      <c r="D9" s="194" t="s">
        <v>2853</v>
      </c>
    </row>
    <row r="10" spans="1:5" ht="15.6" outlineLevel="1" x14ac:dyDescent="0.25">
      <c r="A10" s="57" t="s">
        <v>31</v>
      </c>
      <c r="B10" s="58" t="s">
        <v>788</v>
      </c>
      <c r="C10" s="59">
        <v>5.5</v>
      </c>
      <c r="D10" s="194" t="s">
        <v>2853</v>
      </c>
    </row>
    <row r="11" spans="1:5" ht="15.6" outlineLevel="1" x14ac:dyDescent="0.25">
      <c r="A11" s="57" t="s">
        <v>31</v>
      </c>
      <c r="B11" s="58" t="s">
        <v>8</v>
      </c>
      <c r="C11" s="57">
        <v>5.51</v>
      </c>
      <c r="D11" s="194" t="s">
        <v>2853</v>
      </c>
    </row>
    <row r="12" spans="1:5" ht="15.6" outlineLevel="1" x14ac:dyDescent="0.25">
      <c r="A12" s="57" t="s">
        <v>31</v>
      </c>
      <c r="B12" s="58" t="s">
        <v>396</v>
      </c>
      <c r="C12" s="57">
        <v>5.53</v>
      </c>
      <c r="D12" s="194" t="s">
        <v>2853</v>
      </c>
    </row>
    <row r="13" spans="1:5" ht="15.6" outlineLevel="1" x14ac:dyDescent="0.25">
      <c r="A13" s="57" t="s">
        <v>31</v>
      </c>
      <c r="B13" s="58" t="s">
        <v>937</v>
      </c>
      <c r="C13" s="57">
        <v>5.59</v>
      </c>
      <c r="D13" s="194" t="s">
        <v>2853</v>
      </c>
    </row>
    <row r="14" spans="1:5" ht="15.6" outlineLevel="1" x14ac:dyDescent="0.25">
      <c r="A14" s="57" t="s">
        <v>31</v>
      </c>
      <c r="B14" s="58" t="s">
        <v>11</v>
      </c>
      <c r="C14" s="57">
        <v>5.54</v>
      </c>
      <c r="D14" s="194" t="s">
        <v>2853</v>
      </c>
    </row>
    <row r="15" spans="1:5" ht="15.6" outlineLevel="1" x14ac:dyDescent="0.25">
      <c r="A15" s="57" t="s">
        <v>31</v>
      </c>
      <c r="B15" s="58" t="s">
        <v>14</v>
      </c>
      <c r="C15" s="59">
        <v>5.7</v>
      </c>
      <c r="D15" s="60" t="s">
        <v>951</v>
      </c>
    </row>
    <row r="16" spans="1:5" ht="15.6" outlineLevel="1" x14ac:dyDescent="0.25">
      <c r="A16" s="57" t="s">
        <v>31</v>
      </c>
      <c r="B16" s="58" t="s">
        <v>1162</v>
      </c>
      <c r="C16" s="57">
        <v>5.63</v>
      </c>
      <c r="D16" s="194" t="s">
        <v>2853</v>
      </c>
    </row>
    <row r="17" spans="1:4" ht="15.6" outlineLevel="1" x14ac:dyDescent="0.25">
      <c r="A17" s="57" t="s">
        <v>31</v>
      </c>
      <c r="B17" s="58" t="s">
        <v>19</v>
      </c>
      <c r="C17" s="57">
        <v>5.47</v>
      </c>
      <c r="D17" s="194" t="s">
        <v>2853</v>
      </c>
    </row>
    <row r="18" spans="1:4" ht="15.6" outlineLevel="1" x14ac:dyDescent="0.25">
      <c r="A18" s="57" t="s">
        <v>31</v>
      </c>
      <c r="B18" s="58" t="s">
        <v>30</v>
      </c>
      <c r="C18" s="57">
        <v>5.48</v>
      </c>
      <c r="D18" s="194" t="s">
        <v>2853</v>
      </c>
    </row>
    <row r="19" spans="1:4" ht="15.6" x14ac:dyDescent="0.25">
      <c r="A19" s="61" t="s">
        <v>31</v>
      </c>
      <c r="B19" s="195" t="s">
        <v>2853</v>
      </c>
      <c r="C19" s="196" t="s">
        <v>2853</v>
      </c>
      <c r="D19" s="194" t="s">
        <v>2853</v>
      </c>
    </row>
    <row r="20" spans="1:4" ht="15.6" outlineLevel="1" x14ac:dyDescent="0.25">
      <c r="A20" s="57" t="s">
        <v>40</v>
      </c>
      <c r="B20" s="58" t="s">
        <v>667</v>
      </c>
      <c r="C20" s="57">
        <v>5.0999999999999996</v>
      </c>
      <c r="D20" s="194" t="s">
        <v>2853</v>
      </c>
    </row>
    <row r="21" spans="1:4" ht="15.6" outlineLevel="1" x14ac:dyDescent="0.25">
      <c r="A21" s="57" t="s">
        <v>40</v>
      </c>
      <c r="B21" s="58" t="s">
        <v>0</v>
      </c>
      <c r="C21" s="57">
        <v>5.2</v>
      </c>
      <c r="D21" s="194" t="s">
        <v>2853</v>
      </c>
    </row>
    <row r="22" spans="1:4" ht="15.6" outlineLevel="1" x14ac:dyDescent="0.25">
      <c r="A22" s="57" t="s">
        <v>40</v>
      </c>
      <c r="B22" s="58" t="s">
        <v>740</v>
      </c>
      <c r="C22" s="57">
        <v>5.3</v>
      </c>
      <c r="D22" s="194" t="s">
        <v>2853</v>
      </c>
    </row>
    <row r="23" spans="1:4" ht="15.6" outlineLevel="1" x14ac:dyDescent="0.25">
      <c r="A23" s="57" t="s">
        <v>40</v>
      </c>
      <c r="B23" s="58" t="s">
        <v>3</v>
      </c>
      <c r="C23" s="57">
        <v>5.14</v>
      </c>
      <c r="D23" s="194" t="s">
        <v>2853</v>
      </c>
    </row>
    <row r="24" spans="1:4" ht="15.6" outlineLevel="1" x14ac:dyDescent="0.25">
      <c r="A24" s="57" t="s">
        <v>40</v>
      </c>
      <c r="B24" s="58" t="s">
        <v>29</v>
      </c>
      <c r="C24" s="57">
        <v>5.19</v>
      </c>
      <c r="D24" s="194" t="s">
        <v>2853</v>
      </c>
    </row>
    <row r="25" spans="1:4" ht="15.6" outlineLevel="1" x14ac:dyDescent="0.25">
      <c r="A25" s="57" t="s">
        <v>40</v>
      </c>
      <c r="B25" s="58" t="s">
        <v>1</v>
      </c>
      <c r="C25" s="57">
        <v>5.26</v>
      </c>
      <c r="D25" s="194" t="s">
        <v>2853</v>
      </c>
    </row>
    <row r="26" spans="1:4" ht="15.6" outlineLevel="1" x14ac:dyDescent="0.25">
      <c r="A26" s="57" t="s">
        <v>40</v>
      </c>
      <c r="B26" s="58" t="s">
        <v>620</v>
      </c>
      <c r="C26" s="57">
        <v>5.27</v>
      </c>
      <c r="D26" s="194" t="s">
        <v>2853</v>
      </c>
    </row>
    <row r="27" spans="1:4" ht="15.6" outlineLevel="1" x14ac:dyDescent="0.25">
      <c r="A27" s="57" t="s">
        <v>40</v>
      </c>
      <c r="B27" s="58" t="s">
        <v>621</v>
      </c>
      <c r="C27" s="57">
        <v>5.28</v>
      </c>
      <c r="D27" s="194" t="s">
        <v>2853</v>
      </c>
    </row>
    <row r="28" spans="1:4" ht="15.6" outlineLevel="1" x14ac:dyDescent="0.25">
      <c r="A28" s="57" t="s">
        <v>40</v>
      </c>
      <c r="B28" s="58" t="s">
        <v>5</v>
      </c>
      <c r="C28" s="59">
        <v>5.3</v>
      </c>
      <c r="D28" s="194" t="s">
        <v>2853</v>
      </c>
    </row>
    <row r="29" spans="1:4" ht="15.6" outlineLevel="1" x14ac:dyDescent="0.25">
      <c r="A29" s="57" t="s">
        <v>40</v>
      </c>
      <c r="B29" s="58" t="s">
        <v>6</v>
      </c>
      <c r="C29" s="57">
        <v>5.49</v>
      </c>
      <c r="D29" s="194" t="s">
        <v>2853</v>
      </c>
    </row>
    <row r="30" spans="1:4" ht="15.6" outlineLevel="1" x14ac:dyDescent="0.25">
      <c r="A30" s="57" t="s">
        <v>40</v>
      </c>
      <c r="B30" s="58" t="s">
        <v>8</v>
      </c>
      <c r="C30" s="57">
        <v>5.51</v>
      </c>
      <c r="D30" s="194" t="s">
        <v>2853</v>
      </c>
    </row>
    <row r="31" spans="1:4" ht="15.6" outlineLevel="1" x14ac:dyDescent="0.25">
      <c r="A31" s="57" t="s">
        <v>40</v>
      </c>
      <c r="B31" s="58" t="s">
        <v>396</v>
      </c>
      <c r="C31" s="57">
        <v>5.53</v>
      </c>
      <c r="D31" s="194" t="s">
        <v>2853</v>
      </c>
    </row>
    <row r="32" spans="1:4" ht="15.6" outlineLevel="1" x14ac:dyDescent="0.25">
      <c r="A32" s="57" t="s">
        <v>40</v>
      </c>
      <c r="B32" s="58" t="s">
        <v>13</v>
      </c>
      <c r="C32" s="57">
        <v>5.69</v>
      </c>
      <c r="D32" s="194" t="s">
        <v>2853</v>
      </c>
    </row>
    <row r="33" spans="1:4" ht="15.6" outlineLevel="1" x14ac:dyDescent="0.25">
      <c r="A33" s="57" t="s">
        <v>40</v>
      </c>
      <c r="B33" s="58" t="s">
        <v>421</v>
      </c>
      <c r="C33" s="57">
        <v>5.75</v>
      </c>
      <c r="D33" s="194" t="s">
        <v>2853</v>
      </c>
    </row>
    <row r="34" spans="1:4" ht="15.6" outlineLevel="1" x14ac:dyDescent="0.25">
      <c r="A34" s="57" t="s">
        <v>40</v>
      </c>
      <c r="B34" s="58" t="s">
        <v>14</v>
      </c>
      <c r="C34" s="59">
        <v>5.7</v>
      </c>
      <c r="D34" s="194" t="s">
        <v>2853</v>
      </c>
    </row>
    <row r="35" spans="1:4" ht="15.6" outlineLevel="1" x14ac:dyDescent="0.25">
      <c r="A35" s="57" t="s">
        <v>40</v>
      </c>
      <c r="B35" s="58" t="s">
        <v>637</v>
      </c>
      <c r="C35" s="57">
        <v>5.74</v>
      </c>
      <c r="D35" s="194" t="s">
        <v>2853</v>
      </c>
    </row>
    <row r="36" spans="1:4" ht="15.6" outlineLevel="1" x14ac:dyDescent="0.25">
      <c r="A36" s="57" t="s">
        <v>40</v>
      </c>
      <c r="B36" s="58" t="s">
        <v>954</v>
      </c>
      <c r="C36" s="57">
        <v>5.62</v>
      </c>
      <c r="D36" s="194" t="s">
        <v>2853</v>
      </c>
    </row>
    <row r="37" spans="1:4" ht="15.6" outlineLevel="1" x14ac:dyDescent="0.25">
      <c r="A37" s="57" t="s">
        <v>40</v>
      </c>
      <c r="B37" s="58" t="s">
        <v>789</v>
      </c>
      <c r="C37" s="57">
        <v>5.58</v>
      </c>
      <c r="D37" s="194" t="s">
        <v>2853</v>
      </c>
    </row>
    <row r="38" spans="1:4" ht="15.6" outlineLevel="1" x14ac:dyDescent="0.25">
      <c r="A38" s="57" t="s">
        <v>40</v>
      </c>
      <c r="B38" s="58" t="s">
        <v>11</v>
      </c>
      <c r="C38" s="57">
        <v>5.54</v>
      </c>
      <c r="D38" s="194" t="s">
        <v>2853</v>
      </c>
    </row>
    <row r="39" spans="1:4" ht="15.6" outlineLevel="1" x14ac:dyDescent="0.25">
      <c r="A39" s="57" t="s">
        <v>40</v>
      </c>
      <c r="B39" s="58" t="s">
        <v>15</v>
      </c>
      <c r="C39" s="57">
        <v>5.55</v>
      </c>
      <c r="D39" s="194" t="s">
        <v>2853</v>
      </c>
    </row>
    <row r="40" spans="1:4" ht="15.6" outlineLevel="1" x14ac:dyDescent="0.25">
      <c r="A40" s="57" t="s">
        <v>40</v>
      </c>
      <c r="B40" s="58" t="s">
        <v>1162</v>
      </c>
      <c r="C40" s="57">
        <v>5.63</v>
      </c>
      <c r="D40" s="194" t="s">
        <v>2853</v>
      </c>
    </row>
    <row r="41" spans="1:4" ht="15.6" outlineLevel="1" x14ac:dyDescent="0.25">
      <c r="A41" s="57" t="s">
        <v>40</v>
      </c>
      <c r="B41" s="58" t="s">
        <v>1163</v>
      </c>
      <c r="C41" s="57">
        <v>5.65</v>
      </c>
      <c r="D41" s="194" t="s">
        <v>2853</v>
      </c>
    </row>
    <row r="42" spans="1:4" ht="15.6" outlineLevel="1" x14ac:dyDescent="0.25">
      <c r="A42" s="57" t="s">
        <v>40</v>
      </c>
      <c r="B42" s="58" t="s">
        <v>26</v>
      </c>
      <c r="C42" s="57">
        <v>5.68</v>
      </c>
      <c r="D42" s="194" t="s">
        <v>2853</v>
      </c>
    </row>
    <row r="43" spans="1:4" ht="15.6" outlineLevel="1" x14ac:dyDescent="0.25">
      <c r="A43" s="57" t="s">
        <v>40</v>
      </c>
      <c r="B43" s="58" t="s">
        <v>18</v>
      </c>
      <c r="C43" s="57">
        <v>5.45</v>
      </c>
      <c r="D43" s="194" t="s">
        <v>2853</v>
      </c>
    </row>
    <row r="44" spans="1:4" ht="15.6" outlineLevel="1" x14ac:dyDescent="0.25">
      <c r="A44" s="57" t="s">
        <v>40</v>
      </c>
      <c r="B44" s="58" t="s">
        <v>19</v>
      </c>
      <c r="C44" s="57">
        <v>5.47</v>
      </c>
      <c r="D44" s="194" t="s">
        <v>2853</v>
      </c>
    </row>
    <row r="45" spans="1:4" ht="15.6" outlineLevel="1" x14ac:dyDescent="0.25">
      <c r="A45" s="57" t="s">
        <v>40</v>
      </c>
      <c r="B45" s="58" t="s">
        <v>30</v>
      </c>
      <c r="C45" s="57">
        <v>5.48</v>
      </c>
      <c r="D45" s="194" t="s">
        <v>2853</v>
      </c>
    </row>
    <row r="46" spans="1:4" ht="15.6" x14ac:dyDescent="0.25">
      <c r="A46" s="61" t="s">
        <v>40</v>
      </c>
      <c r="B46" s="195" t="s">
        <v>2853</v>
      </c>
      <c r="C46" s="196" t="s">
        <v>2853</v>
      </c>
      <c r="D46" s="194" t="s">
        <v>2853</v>
      </c>
    </row>
    <row r="47" spans="1:4" ht="15.6" outlineLevel="1" x14ac:dyDescent="0.25">
      <c r="A47" s="57" t="s">
        <v>32</v>
      </c>
      <c r="B47" s="58" t="s">
        <v>667</v>
      </c>
      <c r="C47" s="57">
        <v>5.0999999999999996</v>
      </c>
      <c r="D47" s="194" t="s">
        <v>2853</v>
      </c>
    </row>
    <row r="48" spans="1:4" ht="15.6" outlineLevel="1" x14ac:dyDescent="0.25">
      <c r="A48" s="57" t="s">
        <v>32</v>
      </c>
      <c r="B48" s="58" t="s">
        <v>0</v>
      </c>
      <c r="C48" s="57">
        <v>5.2</v>
      </c>
      <c r="D48" s="194" t="s">
        <v>2853</v>
      </c>
    </row>
    <row r="49" spans="1:4" ht="15.6" outlineLevel="1" x14ac:dyDescent="0.25">
      <c r="A49" s="57" t="s">
        <v>32</v>
      </c>
      <c r="B49" s="58" t="s">
        <v>740</v>
      </c>
      <c r="C49" s="57">
        <v>5.3</v>
      </c>
      <c r="D49" s="194" t="s">
        <v>2853</v>
      </c>
    </row>
    <row r="50" spans="1:4" ht="15.6" outlineLevel="1" x14ac:dyDescent="0.25">
      <c r="A50" s="57" t="s">
        <v>32</v>
      </c>
      <c r="B50" s="58" t="s">
        <v>2</v>
      </c>
      <c r="C50" s="57">
        <v>5.6</v>
      </c>
      <c r="D50" s="194" t="s">
        <v>2853</v>
      </c>
    </row>
    <row r="51" spans="1:4" ht="15.6" outlineLevel="1" x14ac:dyDescent="0.25">
      <c r="A51" s="57" t="s">
        <v>32</v>
      </c>
      <c r="B51" s="58" t="s">
        <v>746</v>
      </c>
      <c r="C51" s="59">
        <v>5.0999999999999996</v>
      </c>
      <c r="D51" s="194" t="s">
        <v>2853</v>
      </c>
    </row>
    <row r="52" spans="1:4" ht="15.6" outlineLevel="1" x14ac:dyDescent="0.25">
      <c r="A52" s="57" t="s">
        <v>32</v>
      </c>
      <c r="B52" s="58" t="s">
        <v>3</v>
      </c>
      <c r="C52" s="57">
        <v>5.14</v>
      </c>
      <c r="D52" s="194" t="s">
        <v>2853</v>
      </c>
    </row>
    <row r="53" spans="1:4" ht="15.6" outlineLevel="1" x14ac:dyDescent="0.25">
      <c r="A53" s="57" t="s">
        <v>32</v>
      </c>
      <c r="B53" s="58" t="s">
        <v>29</v>
      </c>
      <c r="C53" s="57">
        <v>5.19</v>
      </c>
      <c r="D53" s="194" t="s">
        <v>2853</v>
      </c>
    </row>
    <row r="54" spans="1:4" ht="15.6" outlineLevel="1" x14ac:dyDescent="0.25">
      <c r="A54" s="57" t="s">
        <v>32</v>
      </c>
      <c r="B54" s="58" t="s">
        <v>28</v>
      </c>
      <c r="C54" s="57">
        <v>5.24</v>
      </c>
      <c r="D54" s="194" t="s">
        <v>2853</v>
      </c>
    </row>
    <row r="55" spans="1:4" ht="15.6" outlineLevel="1" x14ac:dyDescent="0.25">
      <c r="A55" s="57" t="s">
        <v>32</v>
      </c>
      <c r="B55" s="58" t="s">
        <v>1</v>
      </c>
      <c r="C55" s="57">
        <v>5.26</v>
      </c>
      <c r="D55" s="194" t="s">
        <v>2853</v>
      </c>
    </row>
    <row r="56" spans="1:4" ht="15.6" outlineLevel="1" x14ac:dyDescent="0.25">
      <c r="A56" s="57" t="s">
        <v>32</v>
      </c>
      <c r="B56" s="58" t="s">
        <v>620</v>
      </c>
      <c r="C56" s="57">
        <v>5.27</v>
      </c>
      <c r="D56" s="194" t="s">
        <v>2853</v>
      </c>
    </row>
    <row r="57" spans="1:4" ht="15.6" outlineLevel="1" x14ac:dyDescent="0.25">
      <c r="A57" s="57" t="s">
        <v>32</v>
      </c>
      <c r="B57" s="58" t="s">
        <v>621</v>
      </c>
      <c r="C57" s="57">
        <v>5.28</v>
      </c>
      <c r="D57" s="194" t="s">
        <v>2853</v>
      </c>
    </row>
    <row r="58" spans="1:4" ht="15.6" outlineLevel="1" x14ac:dyDescent="0.25">
      <c r="A58" s="57" t="s">
        <v>32</v>
      </c>
      <c r="B58" s="58" t="s">
        <v>5</v>
      </c>
      <c r="C58" s="59">
        <v>5.3</v>
      </c>
      <c r="D58" s="194" t="s">
        <v>2853</v>
      </c>
    </row>
    <row r="59" spans="1:4" ht="15.6" outlineLevel="1" x14ac:dyDescent="0.25">
      <c r="A59" s="57" t="s">
        <v>32</v>
      </c>
      <c r="B59" s="58" t="s">
        <v>9</v>
      </c>
      <c r="C59" s="57">
        <v>5.31</v>
      </c>
      <c r="D59" s="194" t="s">
        <v>2853</v>
      </c>
    </row>
    <row r="60" spans="1:4" ht="15.6" outlineLevel="1" x14ac:dyDescent="0.25">
      <c r="A60" s="57" t="s">
        <v>32</v>
      </c>
      <c r="B60" s="58" t="s">
        <v>622</v>
      </c>
      <c r="C60" s="57">
        <v>5.36</v>
      </c>
      <c r="D60" s="194" t="s">
        <v>2853</v>
      </c>
    </row>
    <row r="61" spans="1:4" ht="15.6" outlineLevel="1" x14ac:dyDescent="0.25">
      <c r="A61" s="57" t="s">
        <v>32</v>
      </c>
      <c r="B61" s="58" t="s">
        <v>6</v>
      </c>
      <c r="C61" s="57">
        <v>5.49</v>
      </c>
      <c r="D61" s="194" t="s">
        <v>2853</v>
      </c>
    </row>
    <row r="62" spans="1:4" ht="15.6" outlineLevel="1" x14ac:dyDescent="0.25">
      <c r="A62" s="57" t="s">
        <v>32</v>
      </c>
      <c r="B62" s="58" t="s">
        <v>8</v>
      </c>
      <c r="C62" s="57">
        <v>5.51</v>
      </c>
      <c r="D62" s="194" t="s">
        <v>2853</v>
      </c>
    </row>
    <row r="63" spans="1:4" ht="15.6" outlineLevel="1" x14ac:dyDescent="0.25">
      <c r="A63" s="57" t="s">
        <v>32</v>
      </c>
      <c r="B63" s="58" t="s">
        <v>7</v>
      </c>
      <c r="C63" s="57">
        <v>5.52</v>
      </c>
      <c r="D63" s="194" t="s">
        <v>2853</v>
      </c>
    </row>
    <row r="64" spans="1:4" ht="15.6" outlineLevel="1" x14ac:dyDescent="0.25">
      <c r="A64" s="57" t="s">
        <v>32</v>
      </c>
      <c r="B64" s="58" t="s">
        <v>396</v>
      </c>
      <c r="C64" s="57">
        <v>5.53</v>
      </c>
      <c r="D64" s="194" t="s">
        <v>2853</v>
      </c>
    </row>
    <row r="65" spans="1:4" ht="15.6" outlineLevel="1" x14ac:dyDescent="0.25">
      <c r="A65" s="57" t="s">
        <v>32</v>
      </c>
      <c r="B65" s="58" t="s">
        <v>13</v>
      </c>
      <c r="C65" s="57">
        <v>5.69</v>
      </c>
      <c r="D65" s="194" t="s">
        <v>2853</v>
      </c>
    </row>
    <row r="66" spans="1:4" ht="15.6" outlineLevel="1" x14ac:dyDescent="0.25">
      <c r="A66" s="57" t="s">
        <v>32</v>
      </c>
      <c r="B66" s="58" t="s">
        <v>309</v>
      </c>
      <c r="C66" s="59">
        <v>5.72</v>
      </c>
      <c r="D66" s="194" t="s">
        <v>2853</v>
      </c>
    </row>
    <row r="67" spans="1:4" ht="15.6" outlineLevel="1" x14ac:dyDescent="0.25">
      <c r="A67" s="57" t="s">
        <v>32</v>
      </c>
      <c r="B67" s="58" t="s">
        <v>421</v>
      </c>
      <c r="C67" s="57">
        <v>5.75</v>
      </c>
      <c r="D67" s="194" t="s">
        <v>2853</v>
      </c>
    </row>
    <row r="68" spans="1:4" ht="15.6" outlineLevel="1" x14ac:dyDescent="0.25">
      <c r="A68" s="57" t="s">
        <v>32</v>
      </c>
      <c r="B68" s="58" t="s">
        <v>14</v>
      </c>
      <c r="C68" s="59">
        <v>5.7</v>
      </c>
      <c r="D68" s="194" t="s">
        <v>2853</v>
      </c>
    </row>
    <row r="69" spans="1:4" ht="15.6" outlineLevel="1" x14ac:dyDescent="0.25">
      <c r="A69" s="57" t="s">
        <v>32</v>
      </c>
      <c r="B69" s="58" t="s">
        <v>637</v>
      </c>
      <c r="C69" s="57">
        <v>5.74</v>
      </c>
      <c r="D69" s="194" t="s">
        <v>2853</v>
      </c>
    </row>
    <row r="70" spans="1:4" ht="15.6" outlineLevel="1" x14ac:dyDescent="0.25">
      <c r="A70" s="57" t="s">
        <v>32</v>
      </c>
      <c r="B70" s="58" t="s">
        <v>941</v>
      </c>
      <c r="C70" s="57">
        <v>5.76</v>
      </c>
      <c r="D70" s="194" t="s">
        <v>2853</v>
      </c>
    </row>
    <row r="71" spans="1:4" ht="15.6" outlineLevel="1" x14ac:dyDescent="0.25">
      <c r="A71" s="57" t="s">
        <v>32</v>
      </c>
      <c r="B71" s="58" t="s">
        <v>685</v>
      </c>
      <c r="C71" s="57">
        <v>5.89</v>
      </c>
      <c r="D71" s="60" t="s">
        <v>951</v>
      </c>
    </row>
    <row r="72" spans="1:4" ht="15.6" outlineLevel="1" x14ac:dyDescent="0.25">
      <c r="A72" s="57" t="s">
        <v>32</v>
      </c>
      <c r="B72" s="58" t="s">
        <v>789</v>
      </c>
      <c r="C72" s="57">
        <v>5.58</v>
      </c>
      <c r="D72" s="194" t="s">
        <v>2853</v>
      </c>
    </row>
    <row r="73" spans="1:4" ht="15.6" outlineLevel="1" x14ac:dyDescent="0.25">
      <c r="A73" s="57" t="s">
        <v>32</v>
      </c>
      <c r="B73" s="58" t="s">
        <v>954</v>
      </c>
      <c r="C73" s="57">
        <v>5.62</v>
      </c>
      <c r="D73" s="194" t="s">
        <v>2853</v>
      </c>
    </row>
    <row r="74" spans="1:4" ht="15.6" outlineLevel="1" x14ac:dyDescent="0.25">
      <c r="A74" s="57" t="s">
        <v>32</v>
      </c>
      <c r="B74" s="58" t="s">
        <v>11</v>
      </c>
      <c r="C74" s="57">
        <v>5.54</v>
      </c>
      <c r="D74" s="194" t="s">
        <v>2853</v>
      </c>
    </row>
    <row r="75" spans="1:4" ht="15.6" outlineLevel="1" x14ac:dyDescent="0.25">
      <c r="A75" s="57" t="s">
        <v>32</v>
      </c>
      <c r="B75" s="58" t="s">
        <v>15</v>
      </c>
      <c r="C75" s="57">
        <v>5.55</v>
      </c>
      <c r="D75" s="194" t="s">
        <v>2853</v>
      </c>
    </row>
    <row r="76" spans="1:4" ht="15.6" outlineLevel="1" x14ac:dyDescent="0.25">
      <c r="A76" s="57" t="s">
        <v>32</v>
      </c>
      <c r="B76" s="58" t="s">
        <v>1162</v>
      </c>
      <c r="C76" s="57">
        <v>5.63</v>
      </c>
      <c r="D76" s="194" t="s">
        <v>2853</v>
      </c>
    </row>
    <row r="77" spans="1:4" ht="15.6" outlineLevel="1" x14ac:dyDescent="0.25">
      <c r="A77" s="57" t="s">
        <v>32</v>
      </c>
      <c r="B77" s="58" t="s">
        <v>1163</v>
      </c>
      <c r="C77" s="57">
        <v>5.65</v>
      </c>
      <c r="D77" s="194" t="s">
        <v>2853</v>
      </c>
    </row>
    <row r="78" spans="1:4" ht="15.6" outlineLevel="1" x14ac:dyDescent="0.25">
      <c r="A78" s="57" t="s">
        <v>32</v>
      </c>
      <c r="B78" s="58" t="s">
        <v>804</v>
      </c>
      <c r="C78" s="57">
        <v>5.66</v>
      </c>
      <c r="D78" s="194" t="s">
        <v>2853</v>
      </c>
    </row>
    <row r="79" spans="1:4" ht="15.6" outlineLevel="1" x14ac:dyDescent="0.25">
      <c r="A79" s="57" t="s">
        <v>32</v>
      </c>
      <c r="B79" s="58" t="s">
        <v>26</v>
      </c>
      <c r="C79" s="57">
        <v>5.68</v>
      </c>
      <c r="D79" s="194" t="s">
        <v>2853</v>
      </c>
    </row>
    <row r="80" spans="1:4" ht="15.6" outlineLevel="1" x14ac:dyDescent="0.25">
      <c r="A80" s="57" t="s">
        <v>32</v>
      </c>
      <c r="B80" s="58" t="s">
        <v>18</v>
      </c>
      <c r="C80" s="57">
        <v>5.45</v>
      </c>
      <c r="D80" s="194" t="s">
        <v>2853</v>
      </c>
    </row>
    <row r="81" spans="1:4" ht="15.6" outlineLevel="1" x14ac:dyDescent="0.25">
      <c r="A81" s="57" t="s">
        <v>32</v>
      </c>
      <c r="B81" s="58" t="s">
        <v>19</v>
      </c>
      <c r="C81" s="57">
        <v>5.47</v>
      </c>
      <c r="D81" s="194" t="s">
        <v>2853</v>
      </c>
    </row>
    <row r="82" spans="1:4" ht="15.6" outlineLevel="1" x14ac:dyDescent="0.25">
      <c r="A82" s="57" t="s">
        <v>32</v>
      </c>
      <c r="B82" s="58" t="s">
        <v>30</v>
      </c>
      <c r="C82" s="57">
        <v>5.48</v>
      </c>
      <c r="D82" s="194" t="s">
        <v>2853</v>
      </c>
    </row>
    <row r="83" spans="1:4" ht="15.6" x14ac:dyDescent="0.25">
      <c r="A83" s="61" t="s">
        <v>32</v>
      </c>
      <c r="B83" s="195" t="s">
        <v>2853</v>
      </c>
      <c r="C83" s="196" t="s">
        <v>2853</v>
      </c>
      <c r="D83" s="194" t="s">
        <v>2853</v>
      </c>
    </row>
    <row r="84" spans="1:4" ht="15.6" outlineLevel="1" x14ac:dyDescent="0.25">
      <c r="A84" s="57" t="s">
        <v>33</v>
      </c>
      <c r="B84" s="58" t="s">
        <v>667</v>
      </c>
      <c r="C84" s="57">
        <v>5.0999999999999996</v>
      </c>
      <c r="D84" s="194" t="s">
        <v>2853</v>
      </c>
    </row>
    <row r="85" spans="1:4" ht="15.6" outlineLevel="1" x14ac:dyDescent="0.25">
      <c r="A85" s="57" t="s">
        <v>33</v>
      </c>
      <c r="B85" s="58" t="s">
        <v>0</v>
      </c>
      <c r="C85" s="57">
        <v>5.2</v>
      </c>
      <c r="D85" s="194" t="s">
        <v>2853</v>
      </c>
    </row>
    <row r="86" spans="1:4" ht="15.6" outlineLevel="1" x14ac:dyDescent="0.25">
      <c r="A86" s="57" t="s">
        <v>33</v>
      </c>
      <c r="B86" s="58" t="s">
        <v>740</v>
      </c>
      <c r="C86" s="57">
        <v>5.3</v>
      </c>
      <c r="D86" s="194" t="s">
        <v>2853</v>
      </c>
    </row>
    <row r="87" spans="1:4" ht="15.6" outlineLevel="1" x14ac:dyDescent="0.25">
      <c r="A87" s="57" t="s">
        <v>33</v>
      </c>
      <c r="B87" s="58" t="s">
        <v>2</v>
      </c>
      <c r="C87" s="57">
        <v>5.6</v>
      </c>
      <c r="D87" s="194" t="s">
        <v>2853</v>
      </c>
    </row>
    <row r="88" spans="1:4" ht="15.6" outlineLevel="1" x14ac:dyDescent="0.25">
      <c r="A88" s="57" t="s">
        <v>33</v>
      </c>
      <c r="B88" s="58" t="s">
        <v>746</v>
      </c>
      <c r="C88" s="59">
        <v>5.0999999999999996</v>
      </c>
      <c r="D88" s="194" t="s">
        <v>2853</v>
      </c>
    </row>
    <row r="89" spans="1:4" ht="15.6" outlineLevel="1" x14ac:dyDescent="0.25">
      <c r="A89" s="57" t="s">
        <v>33</v>
      </c>
      <c r="B89" s="58" t="s">
        <v>3</v>
      </c>
      <c r="C89" s="57">
        <v>5.14</v>
      </c>
      <c r="D89" s="194" t="s">
        <v>2853</v>
      </c>
    </row>
    <row r="90" spans="1:4" ht="15.6" outlineLevel="1" x14ac:dyDescent="0.25">
      <c r="A90" s="57" t="s">
        <v>33</v>
      </c>
      <c r="B90" s="58" t="s">
        <v>29</v>
      </c>
      <c r="C90" s="57">
        <v>5.19</v>
      </c>
      <c r="D90" s="194" t="s">
        <v>2853</v>
      </c>
    </row>
    <row r="91" spans="1:4" ht="15.6" outlineLevel="1" x14ac:dyDescent="0.25">
      <c r="A91" s="57" t="s">
        <v>33</v>
      </c>
      <c r="B91" s="58" t="s">
        <v>28</v>
      </c>
      <c r="C91" s="57">
        <v>5.24</v>
      </c>
      <c r="D91" s="194" t="s">
        <v>2853</v>
      </c>
    </row>
    <row r="92" spans="1:4" ht="15.6" outlineLevel="1" x14ac:dyDescent="0.25">
      <c r="A92" s="57" t="s">
        <v>33</v>
      </c>
      <c r="B92" s="58" t="s">
        <v>1</v>
      </c>
      <c r="C92" s="57">
        <v>5.26</v>
      </c>
      <c r="D92" s="194" t="s">
        <v>2853</v>
      </c>
    </row>
    <row r="93" spans="1:4" ht="15.6" outlineLevel="1" x14ac:dyDescent="0.25">
      <c r="A93" s="57" t="s">
        <v>33</v>
      </c>
      <c r="B93" s="58" t="s">
        <v>620</v>
      </c>
      <c r="C93" s="57">
        <v>5.27</v>
      </c>
      <c r="D93" s="194" t="s">
        <v>2853</v>
      </c>
    </row>
    <row r="94" spans="1:4" ht="15.6" outlineLevel="1" x14ac:dyDescent="0.25">
      <c r="A94" s="57" t="s">
        <v>33</v>
      </c>
      <c r="B94" s="58" t="s">
        <v>621</v>
      </c>
      <c r="C94" s="57">
        <v>5.28</v>
      </c>
      <c r="D94" s="194" t="s">
        <v>2853</v>
      </c>
    </row>
    <row r="95" spans="1:4" ht="15.6" outlineLevel="1" x14ac:dyDescent="0.25">
      <c r="A95" s="57" t="s">
        <v>33</v>
      </c>
      <c r="B95" s="58" t="s">
        <v>625</v>
      </c>
      <c r="C95" s="57">
        <v>5.29</v>
      </c>
      <c r="D95" s="194" t="s">
        <v>2853</v>
      </c>
    </row>
    <row r="96" spans="1:4" ht="15.6" outlineLevel="1" x14ac:dyDescent="0.25">
      <c r="A96" s="57" t="s">
        <v>33</v>
      </c>
      <c r="B96" s="58" t="s">
        <v>5</v>
      </c>
      <c r="C96" s="59">
        <v>5.3</v>
      </c>
      <c r="D96" s="194" t="s">
        <v>2853</v>
      </c>
    </row>
    <row r="97" spans="1:4" ht="15.6" outlineLevel="1" x14ac:dyDescent="0.25">
      <c r="A97" s="57" t="s">
        <v>33</v>
      </c>
      <c r="B97" s="58" t="s">
        <v>9</v>
      </c>
      <c r="C97" s="57">
        <v>5.31</v>
      </c>
      <c r="D97" s="194" t="s">
        <v>2853</v>
      </c>
    </row>
    <row r="98" spans="1:4" ht="15.6" outlineLevel="1" x14ac:dyDescent="0.25">
      <c r="A98" s="57" t="s">
        <v>33</v>
      </c>
      <c r="B98" s="58" t="s">
        <v>622</v>
      </c>
      <c r="C98" s="57">
        <v>5.36</v>
      </c>
      <c r="D98" s="194" t="s">
        <v>2853</v>
      </c>
    </row>
    <row r="99" spans="1:4" ht="15.6" outlineLevel="1" x14ac:dyDescent="0.25">
      <c r="A99" s="57" t="s">
        <v>33</v>
      </c>
      <c r="B99" s="58" t="s">
        <v>6</v>
      </c>
      <c r="C99" s="57">
        <v>5.49</v>
      </c>
      <c r="D99" s="194" t="s">
        <v>2853</v>
      </c>
    </row>
    <row r="100" spans="1:4" ht="15.6" outlineLevel="1" x14ac:dyDescent="0.25">
      <c r="A100" s="57" t="s">
        <v>33</v>
      </c>
      <c r="B100" s="58" t="s">
        <v>8</v>
      </c>
      <c r="C100" s="57">
        <v>5.51</v>
      </c>
      <c r="D100" s="194" t="s">
        <v>2853</v>
      </c>
    </row>
    <row r="101" spans="1:4" ht="15.6" outlineLevel="1" x14ac:dyDescent="0.25">
      <c r="A101" s="57" t="s">
        <v>33</v>
      </c>
      <c r="B101" s="58" t="s">
        <v>7</v>
      </c>
      <c r="C101" s="57">
        <v>5.52</v>
      </c>
      <c r="D101" s="194" t="s">
        <v>2853</v>
      </c>
    </row>
    <row r="102" spans="1:4" ht="15.6" outlineLevel="1" x14ac:dyDescent="0.25">
      <c r="A102" s="57" t="s">
        <v>33</v>
      </c>
      <c r="B102" s="58" t="s">
        <v>396</v>
      </c>
      <c r="C102" s="57">
        <v>5.53</v>
      </c>
      <c r="D102" s="194" t="s">
        <v>2853</v>
      </c>
    </row>
    <row r="103" spans="1:4" ht="15.6" outlineLevel="1" x14ac:dyDescent="0.25">
      <c r="A103" s="57" t="s">
        <v>33</v>
      </c>
      <c r="B103" s="58" t="s">
        <v>13</v>
      </c>
      <c r="C103" s="57">
        <v>5.69</v>
      </c>
      <c r="D103" s="194" t="s">
        <v>2853</v>
      </c>
    </row>
    <row r="104" spans="1:4" ht="15.6" outlineLevel="1" x14ac:dyDescent="0.25">
      <c r="A104" s="57" t="s">
        <v>33</v>
      </c>
      <c r="B104" s="58" t="s">
        <v>421</v>
      </c>
      <c r="C104" s="57">
        <v>5.75</v>
      </c>
      <c r="D104" s="194" t="s">
        <v>2853</v>
      </c>
    </row>
    <row r="105" spans="1:4" ht="15.6" outlineLevel="1" x14ac:dyDescent="0.25">
      <c r="A105" s="57" t="s">
        <v>33</v>
      </c>
      <c r="B105" s="58" t="s">
        <v>14</v>
      </c>
      <c r="C105" s="59">
        <v>5.7</v>
      </c>
      <c r="D105" s="194" t="s">
        <v>2853</v>
      </c>
    </row>
    <row r="106" spans="1:4" ht="15.6" outlineLevel="1" x14ac:dyDescent="0.25">
      <c r="A106" s="57" t="s">
        <v>33</v>
      </c>
      <c r="B106" s="58" t="s">
        <v>637</v>
      </c>
      <c r="C106" s="57">
        <v>5.74</v>
      </c>
      <c r="D106" s="194" t="s">
        <v>2853</v>
      </c>
    </row>
    <row r="107" spans="1:4" ht="15.6" outlineLevel="1" x14ac:dyDescent="0.25">
      <c r="A107" s="57" t="s">
        <v>33</v>
      </c>
      <c r="B107" s="58" t="s">
        <v>941</v>
      </c>
      <c r="C107" s="57">
        <v>5.76</v>
      </c>
      <c r="D107" s="194" t="s">
        <v>2853</v>
      </c>
    </row>
    <row r="108" spans="1:4" ht="15.6" outlineLevel="1" x14ac:dyDescent="0.25">
      <c r="A108" s="57" t="s">
        <v>33</v>
      </c>
      <c r="B108" s="58" t="s">
        <v>685</v>
      </c>
      <c r="C108" s="57">
        <v>5.89</v>
      </c>
      <c r="D108" s="60" t="s">
        <v>951</v>
      </c>
    </row>
    <row r="109" spans="1:4" ht="15.6" outlineLevel="1" x14ac:dyDescent="0.25">
      <c r="A109" s="57" t="s">
        <v>33</v>
      </c>
      <c r="B109" s="58" t="s">
        <v>789</v>
      </c>
      <c r="C109" s="57">
        <v>5.58</v>
      </c>
      <c r="D109" s="194" t="s">
        <v>2853</v>
      </c>
    </row>
    <row r="110" spans="1:4" ht="15.6" outlineLevel="1" x14ac:dyDescent="0.25">
      <c r="A110" s="57" t="s">
        <v>33</v>
      </c>
      <c r="B110" s="58" t="s">
        <v>954</v>
      </c>
      <c r="C110" s="57">
        <v>5.62</v>
      </c>
      <c r="D110" s="194" t="s">
        <v>2853</v>
      </c>
    </row>
    <row r="111" spans="1:4" ht="15.6" outlineLevel="1" x14ac:dyDescent="0.25">
      <c r="A111" s="57" t="s">
        <v>33</v>
      </c>
      <c r="B111" s="58" t="s">
        <v>11</v>
      </c>
      <c r="C111" s="57">
        <v>5.54</v>
      </c>
      <c r="D111" s="194" t="s">
        <v>2853</v>
      </c>
    </row>
    <row r="112" spans="1:4" ht="15.6" outlineLevel="1" x14ac:dyDescent="0.25">
      <c r="A112" s="57" t="s">
        <v>33</v>
      </c>
      <c r="B112" s="58" t="s">
        <v>15</v>
      </c>
      <c r="C112" s="57">
        <v>5.55</v>
      </c>
      <c r="D112" s="194" t="s">
        <v>2853</v>
      </c>
    </row>
    <row r="113" spans="1:4" ht="15.6" outlineLevel="1" x14ac:dyDescent="0.25">
      <c r="A113" s="57" t="s">
        <v>33</v>
      </c>
      <c r="B113" s="58" t="s">
        <v>1163</v>
      </c>
      <c r="C113" s="57">
        <v>5.65</v>
      </c>
      <c r="D113" s="194" t="s">
        <v>2853</v>
      </c>
    </row>
    <row r="114" spans="1:4" ht="15.6" outlineLevel="1" x14ac:dyDescent="0.25">
      <c r="A114" s="57" t="s">
        <v>33</v>
      </c>
      <c r="B114" s="58" t="s">
        <v>804</v>
      </c>
      <c r="C114" s="57">
        <v>5.66</v>
      </c>
      <c r="D114" s="194" t="s">
        <v>2853</v>
      </c>
    </row>
    <row r="115" spans="1:4" ht="15.6" outlineLevel="1" x14ac:dyDescent="0.25">
      <c r="A115" s="57" t="s">
        <v>33</v>
      </c>
      <c r="B115" s="58" t="s">
        <v>26</v>
      </c>
      <c r="C115" s="57">
        <v>5.68</v>
      </c>
      <c r="D115" s="194" t="s">
        <v>2853</v>
      </c>
    </row>
    <row r="116" spans="1:4" ht="15.6" outlineLevel="1" x14ac:dyDescent="0.25">
      <c r="A116" s="57" t="s">
        <v>33</v>
      </c>
      <c r="B116" s="58" t="s">
        <v>18</v>
      </c>
      <c r="C116" s="57">
        <v>5.45</v>
      </c>
      <c r="D116" s="194" t="s">
        <v>2853</v>
      </c>
    </row>
    <row r="117" spans="1:4" ht="15.6" outlineLevel="1" x14ac:dyDescent="0.25">
      <c r="A117" s="57" t="s">
        <v>33</v>
      </c>
      <c r="B117" s="58" t="s">
        <v>19</v>
      </c>
      <c r="C117" s="57">
        <v>5.47</v>
      </c>
      <c r="D117" s="194" t="s">
        <v>2853</v>
      </c>
    </row>
    <row r="118" spans="1:4" ht="15.6" outlineLevel="1" x14ac:dyDescent="0.25">
      <c r="A118" s="57" t="s">
        <v>33</v>
      </c>
      <c r="B118" s="58" t="s">
        <v>30</v>
      </c>
      <c r="C118" s="57">
        <v>5.48</v>
      </c>
      <c r="D118" s="194" t="s">
        <v>2853</v>
      </c>
    </row>
    <row r="119" spans="1:4" ht="15.6" x14ac:dyDescent="0.25">
      <c r="A119" s="61" t="s">
        <v>33</v>
      </c>
      <c r="B119" s="195" t="s">
        <v>2853</v>
      </c>
      <c r="C119" s="196" t="s">
        <v>2853</v>
      </c>
      <c r="D119" s="194" t="s">
        <v>2853</v>
      </c>
    </row>
    <row r="120" spans="1:4" ht="15.6" outlineLevel="1" x14ac:dyDescent="0.25">
      <c r="A120" s="57" t="s">
        <v>807</v>
      </c>
      <c r="B120" s="58" t="s">
        <v>667</v>
      </c>
      <c r="C120" s="57">
        <v>5.0999999999999996</v>
      </c>
      <c r="D120" s="194" t="s">
        <v>2853</v>
      </c>
    </row>
    <row r="121" spans="1:4" ht="15.6" outlineLevel="1" x14ac:dyDescent="0.25">
      <c r="A121" s="57" t="s">
        <v>807</v>
      </c>
      <c r="B121" s="58" t="s">
        <v>0</v>
      </c>
      <c r="C121" s="57">
        <v>5.2</v>
      </c>
      <c r="D121" s="194" t="s">
        <v>2853</v>
      </c>
    </row>
    <row r="122" spans="1:4" ht="15.6" outlineLevel="1" x14ac:dyDescent="0.25">
      <c r="A122" s="57" t="s">
        <v>807</v>
      </c>
      <c r="B122" s="58" t="s">
        <v>740</v>
      </c>
      <c r="C122" s="57">
        <v>5.3</v>
      </c>
      <c r="D122" s="194" t="s">
        <v>2853</v>
      </c>
    </row>
    <row r="123" spans="1:4" ht="15.6" outlineLevel="1" x14ac:dyDescent="0.25">
      <c r="A123" s="57" t="s">
        <v>807</v>
      </c>
      <c r="B123" s="58" t="s">
        <v>2</v>
      </c>
      <c r="C123" s="57">
        <v>5.6</v>
      </c>
      <c r="D123" s="194" t="s">
        <v>2853</v>
      </c>
    </row>
    <row r="124" spans="1:4" ht="15.6" outlineLevel="1" x14ac:dyDescent="0.25">
      <c r="A124" s="57" t="s">
        <v>807</v>
      </c>
      <c r="B124" s="58" t="s">
        <v>746</v>
      </c>
      <c r="C124" s="59">
        <v>5.0999999999999996</v>
      </c>
      <c r="D124" s="194" t="s">
        <v>2853</v>
      </c>
    </row>
    <row r="125" spans="1:4" ht="15.6" outlineLevel="1" x14ac:dyDescent="0.25">
      <c r="A125" s="57" t="s">
        <v>807</v>
      </c>
      <c r="B125" s="58" t="s">
        <v>3</v>
      </c>
      <c r="C125" s="57">
        <v>5.14</v>
      </c>
      <c r="D125" s="194" t="s">
        <v>2853</v>
      </c>
    </row>
    <row r="126" spans="1:4" ht="15.6" outlineLevel="1" x14ac:dyDescent="0.25">
      <c r="A126" s="57" t="s">
        <v>807</v>
      </c>
      <c r="B126" s="58" t="s">
        <v>29</v>
      </c>
      <c r="C126" s="57">
        <v>5.19</v>
      </c>
      <c r="D126" s="194" t="s">
        <v>2853</v>
      </c>
    </row>
    <row r="127" spans="1:4" ht="15.6" outlineLevel="1" x14ac:dyDescent="0.25">
      <c r="A127" s="57" t="s">
        <v>807</v>
      </c>
      <c r="B127" s="58" t="s">
        <v>28</v>
      </c>
      <c r="C127" s="57">
        <v>5.24</v>
      </c>
      <c r="D127" s="194" t="s">
        <v>2853</v>
      </c>
    </row>
    <row r="128" spans="1:4" ht="15.6" outlineLevel="1" x14ac:dyDescent="0.25">
      <c r="A128" s="57" t="s">
        <v>807</v>
      </c>
      <c r="B128" s="58" t="s">
        <v>1</v>
      </c>
      <c r="C128" s="57">
        <v>5.26</v>
      </c>
      <c r="D128" s="194" t="s">
        <v>2853</v>
      </c>
    </row>
    <row r="129" spans="1:4" ht="15.6" outlineLevel="1" x14ac:dyDescent="0.25">
      <c r="A129" s="57" t="s">
        <v>807</v>
      </c>
      <c r="B129" s="58" t="s">
        <v>620</v>
      </c>
      <c r="C129" s="57">
        <v>5.27</v>
      </c>
      <c r="D129" s="194" t="s">
        <v>2853</v>
      </c>
    </row>
    <row r="130" spans="1:4" ht="15.6" outlineLevel="1" x14ac:dyDescent="0.25">
      <c r="A130" s="57" t="s">
        <v>807</v>
      </c>
      <c r="B130" s="58" t="s">
        <v>621</v>
      </c>
      <c r="C130" s="57">
        <v>5.28</v>
      </c>
      <c r="D130" s="194" t="s">
        <v>2853</v>
      </c>
    </row>
    <row r="131" spans="1:4" ht="15.6" outlineLevel="1" x14ac:dyDescent="0.25">
      <c r="A131" s="57" t="s">
        <v>807</v>
      </c>
      <c r="B131" s="58" t="s">
        <v>625</v>
      </c>
      <c r="C131" s="57">
        <v>5.29</v>
      </c>
      <c r="D131" s="194" t="s">
        <v>2853</v>
      </c>
    </row>
    <row r="132" spans="1:4" ht="15.6" outlineLevel="1" x14ac:dyDescent="0.25">
      <c r="A132" s="57" t="s">
        <v>807</v>
      </c>
      <c r="B132" s="58" t="s">
        <v>5</v>
      </c>
      <c r="C132" s="59">
        <v>5.3</v>
      </c>
      <c r="D132" s="194" t="s">
        <v>2853</v>
      </c>
    </row>
    <row r="133" spans="1:4" ht="15.6" outlineLevel="1" x14ac:dyDescent="0.25">
      <c r="A133" s="57" t="s">
        <v>807</v>
      </c>
      <c r="B133" s="58" t="s">
        <v>9</v>
      </c>
      <c r="C133" s="57">
        <v>5.31</v>
      </c>
      <c r="D133" s="194" t="s">
        <v>2853</v>
      </c>
    </row>
    <row r="134" spans="1:4" ht="15.6" outlineLevel="1" x14ac:dyDescent="0.25">
      <c r="A134" s="57" t="s">
        <v>807</v>
      </c>
      <c r="B134" s="58" t="s">
        <v>622</v>
      </c>
      <c r="C134" s="57">
        <v>5.36</v>
      </c>
      <c r="D134" s="194" t="s">
        <v>2853</v>
      </c>
    </row>
    <row r="135" spans="1:4" ht="15.6" outlineLevel="1" x14ac:dyDescent="0.25">
      <c r="A135" s="57" t="s">
        <v>807</v>
      </c>
      <c r="B135" s="58" t="s">
        <v>396</v>
      </c>
      <c r="C135" s="57">
        <v>5.53</v>
      </c>
      <c r="D135" s="194" t="s">
        <v>2853</v>
      </c>
    </row>
    <row r="136" spans="1:4" ht="15.6" outlineLevel="1" x14ac:dyDescent="0.25">
      <c r="A136" s="57" t="s">
        <v>807</v>
      </c>
      <c r="B136" s="58" t="s">
        <v>789</v>
      </c>
      <c r="C136" s="57">
        <v>5.58</v>
      </c>
      <c r="D136" s="194" t="s">
        <v>2853</v>
      </c>
    </row>
    <row r="137" spans="1:4" ht="15.6" outlineLevel="1" x14ac:dyDescent="0.25">
      <c r="A137" s="57" t="s">
        <v>807</v>
      </c>
      <c r="B137" s="58" t="s">
        <v>954</v>
      </c>
      <c r="C137" s="57">
        <v>5.62</v>
      </c>
      <c r="D137" s="194" t="s">
        <v>2853</v>
      </c>
    </row>
    <row r="138" spans="1:4" ht="15.6" outlineLevel="1" x14ac:dyDescent="0.25">
      <c r="A138" s="57" t="s">
        <v>807</v>
      </c>
      <c r="B138" s="58" t="s">
        <v>11</v>
      </c>
      <c r="C138" s="57">
        <v>5.54</v>
      </c>
      <c r="D138" s="194" t="s">
        <v>2853</v>
      </c>
    </row>
    <row r="139" spans="1:4" ht="15.6" outlineLevel="1" x14ac:dyDescent="0.25">
      <c r="A139" s="57" t="s">
        <v>807</v>
      </c>
      <c r="B139" s="58" t="s">
        <v>15</v>
      </c>
      <c r="C139" s="57">
        <v>5.55</v>
      </c>
      <c r="D139" s="194" t="s">
        <v>2853</v>
      </c>
    </row>
    <row r="140" spans="1:4" ht="15.6" outlineLevel="1" x14ac:dyDescent="0.25">
      <c r="A140" s="57" t="s">
        <v>807</v>
      </c>
      <c r="B140" s="58" t="s">
        <v>1162</v>
      </c>
      <c r="C140" s="57">
        <v>5.63</v>
      </c>
      <c r="D140" s="194" t="s">
        <v>2853</v>
      </c>
    </row>
    <row r="141" spans="1:4" ht="15.6" outlineLevel="1" x14ac:dyDescent="0.25">
      <c r="A141" s="57" t="s">
        <v>807</v>
      </c>
      <c r="B141" s="58" t="s">
        <v>18</v>
      </c>
      <c r="C141" s="57">
        <v>5.45</v>
      </c>
      <c r="D141" s="194" t="s">
        <v>2853</v>
      </c>
    </row>
    <row r="142" spans="1:4" ht="15.6" outlineLevel="1" x14ac:dyDescent="0.25">
      <c r="A142" s="57" t="s">
        <v>807</v>
      </c>
      <c r="B142" s="58" t="s">
        <v>19</v>
      </c>
      <c r="C142" s="57">
        <v>5.47</v>
      </c>
      <c r="D142" s="194" t="s">
        <v>2853</v>
      </c>
    </row>
    <row r="143" spans="1:4" ht="15.6" outlineLevel="1" x14ac:dyDescent="0.25">
      <c r="A143" s="57" t="s">
        <v>807</v>
      </c>
      <c r="B143" s="58" t="s">
        <v>30</v>
      </c>
      <c r="C143" s="57">
        <v>5.48</v>
      </c>
      <c r="D143" s="194" t="s">
        <v>2853</v>
      </c>
    </row>
    <row r="144" spans="1:4" ht="15.6" x14ac:dyDescent="0.25">
      <c r="A144" s="61" t="s">
        <v>807</v>
      </c>
      <c r="B144" s="195" t="s">
        <v>2853</v>
      </c>
      <c r="C144" s="196" t="s">
        <v>2853</v>
      </c>
      <c r="D144" s="194" t="s">
        <v>2853</v>
      </c>
    </row>
    <row r="145" spans="1:4" ht="15.6" outlineLevel="1" x14ac:dyDescent="0.25">
      <c r="A145" s="57" t="s">
        <v>34</v>
      </c>
      <c r="B145" s="58" t="s">
        <v>667</v>
      </c>
      <c r="C145" s="57">
        <v>5.0999999999999996</v>
      </c>
      <c r="D145" s="194" t="s">
        <v>2853</v>
      </c>
    </row>
    <row r="146" spans="1:4" ht="15.6" outlineLevel="1" x14ac:dyDescent="0.25">
      <c r="A146" s="57" t="s">
        <v>34</v>
      </c>
      <c r="B146" s="58" t="s">
        <v>0</v>
      </c>
      <c r="C146" s="57">
        <v>5.2</v>
      </c>
      <c r="D146" s="194" t="s">
        <v>2853</v>
      </c>
    </row>
    <row r="147" spans="1:4" ht="15.6" outlineLevel="1" x14ac:dyDescent="0.25">
      <c r="A147" s="57" t="s">
        <v>34</v>
      </c>
      <c r="B147" s="58" t="s">
        <v>740</v>
      </c>
      <c r="C147" s="57">
        <v>5.3</v>
      </c>
      <c r="D147" s="194" t="s">
        <v>2853</v>
      </c>
    </row>
    <row r="148" spans="1:4" ht="15.6" outlineLevel="1" x14ac:dyDescent="0.25">
      <c r="A148" s="57" t="s">
        <v>34</v>
      </c>
      <c r="B148" s="58" t="s">
        <v>2</v>
      </c>
      <c r="C148" s="57">
        <v>5.6</v>
      </c>
      <c r="D148" s="194" t="s">
        <v>2853</v>
      </c>
    </row>
    <row r="149" spans="1:4" ht="15.6" outlineLevel="1" x14ac:dyDescent="0.25">
      <c r="A149" s="57" t="s">
        <v>34</v>
      </c>
      <c r="B149" s="58" t="s">
        <v>746</v>
      </c>
      <c r="C149" s="59">
        <v>5.0999999999999996</v>
      </c>
      <c r="D149" s="194" t="s">
        <v>2853</v>
      </c>
    </row>
    <row r="150" spans="1:4" ht="15.6" outlineLevel="1" x14ac:dyDescent="0.25">
      <c r="A150" s="57" t="s">
        <v>34</v>
      </c>
      <c r="B150" s="58" t="s">
        <v>3</v>
      </c>
      <c r="C150" s="57">
        <v>5.14</v>
      </c>
      <c r="D150" s="194" t="s">
        <v>2853</v>
      </c>
    </row>
    <row r="151" spans="1:4" ht="15.6" outlineLevel="1" x14ac:dyDescent="0.25">
      <c r="A151" s="57" t="s">
        <v>34</v>
      </c>
      <c r="B151" s="58" t="s">
        <v>29</v>
      </c>
      <c r="C151" s="57">
        <v>5.19</v>
      </c>
      <c r="D151" s="194" t="s">
        <v>2853</v>
      </c>
    </row>
    <row r="152" spans="1:4" ht="15.6" outlineLevel="1" x14ac:dyDescent="0.25">
      <c r="A152" s="57" t="s">
        <v>34</v>
      </c>
      <c r="B152" s="58" t="s">
        <v>28</v>
      </c>
      <c r="C152" s="57">
        <v>5.24</v>
      </c>
      <c r="D152" s="194" t="s">
        <v>2853</v>
      </c>
    </row>
    <row r="153" spans="1:4" ht="15.6" outlineLevel="1" x14ac:dyDescent="0.25">
      <c r="A153" s="57" t="s">
        <v>34</v>
      </c>
      <c r="B153" s="58" t="s">
        <v>1</v>
      </c>
      <c r="C153" s="57">
        <v>5.26</v>
      </c>
      <c r="D153" s="194" t="s">
        <v>2853</v>
      </c>
    </row>
    <row r="154" spans="1:4" ht="15.6" outlineLevel="1" x14ac:dyDescent="0.25">
      <c r="A154" s="57" t="s">
        <v>34</v>
      </c>
      <c r="B154" s="58" t="s">
        <v>620</v>
      </c>
      <c r="C154" s="57">
        <v>5.27</v>
      </c>
      <c r="D154" s="194" t="s">
        <v>2853</v>
      </c>
    </row>
    <row r="155" spans="1:4" ht="15.6" outlineLevel="1" x14ac:dyDescent="0.25">
      <c r="A155" s="57" t="s">
        <v>34</v>
      </c>
      <c r="B155" s="58" t="s">
        <v>621</v>
      </c>
      <c r="C155" s="57">
        <v>5.28</v>
      </c>
      <c r="D155" s="194" t="s">
        <v>2853</v>
      </c>
    </row>
    <row r="156" spans="1:4" ht="15.6" outlineLevel="1" x14ac:dyDescent="0.25">
      <c r="A156" s="57" t="s">
        <v>34</v>
      </c>
      <c r="B156" s="58" t="s">
        <v>5</v>
      </c>
      <c r="C156" s="59">
        <v>5.3</v>
      </c>
      <c r="D156" s="194" t="s">
        <v>2853</v>
      </c>
    </row>
    <row r="157" spans="1:4" ht="15.6" outlineLevel="1" x14ac:dyDescent="0.25">
      <c r="A157" s="57" t="s">
        <v>34</v>
      </c>
      <c r="B157" s="58" t="s">
        <v>300</v>
      </c>
      <c r="C157" s="57">
        <v>5.32</v>
      </c>
      <c r="D157" s="194" t="s">
        <v>2853</v>
      </c>
    </row>
    <row r="158" spans="1:4" ht="15.6" outlineLevel="1" x14ac:dyDescent="0.25">
      <c r="A158" s="57" t="s">
        <v>34</v>
      </c>
      <c r="B158" s="58" t="s">
        <v>622</v>
      </c>
      <c r="C158" s="57">
        <v>5.36</v>
      </c>
      <c r="D158" s="194" t="s">
        <v>2853</v>
      </c>
    </row>
    <row r="159" spans="1:4" ht="15.6" outlineLevel="1" x14ac:dyDescent="0.25">
      <c r="A159" s="57" t="s">
        <v>34</v>
      </c>
      <c r="B159" s="58" t="s">
        <v>396</v>
      </c>
      <c r="C159" s="57">
        <v>5.53</v>
      </c>
      <c r="D159" s="194" t="s">
        <v>2853</v>
      </c>
    </row>
    <row r="160" spans="1:4" ht="15.6" outlineLevel="1" x14ac:dyDescent="0.25">
      <c r="A160" s="57" t="s">
        <v>34</v>
      </c>
      <c r="B160" s="58" t="s">
        <v>789</v>
      </c>
      <c r="C160" s="57">
        <v>5.58</v>
      </c>
      <c r="D160" s="194" t="s">
        <v>2853</v>
      </c>
    </row>
    <row r="161" spans="1:5" ht="15.6" outlineLevel="1" x14ac:dyDescent="0.25">
      <c r="A161" s="57" t="s">
        <v>34</v>
      </c>
      <c r="B161" s="58" t="s">
        <v>11</v>
      </c>
      <c r="C161" s="57">
        <v>5.54</v>
      </c>
      <c r="D161" s="194" t="s">
        <v>2853</v>
      </c>
    </row>
    <row r="162" spans="1:5" ht="15.6" outlineLevel="1" x14ac:dyDescent="0.25">
      <c r="A162" s="57" t="s">
        <v>34</v>
      </c>
      <c r="B162" s="58" t="s">
        <v>15</v>
      </c>
      <c r="C162" s="57">
        <v>5.55</v>
      </c>
      <c r="D162" s="194" t="s">
        <v>2853</v>
      </c>
    </row>
    <row r="163" spans="1:5" ht="15.6" outlineLevel="1" x14ac:dyDescent="0.25">
      <c r="A163" s="57" t="s">
        <v>34</v>
      </c>
      <c r="B163" s="58" t="s">
        <v>954</v>
      </c>
      <c r="C163" s="57">
        <v>5.62</v>
      </c>
      <c r="D163" s="194" t="s">
        <v>2853</v>
      </c>
      <c r="E163" s="1" t="s">
        <v>1142</v>
      </c>
    </row>
    <row r="164" spans="1:5" ht="15.6" outlineLevel="1" x14ac:dyDescent="0.25">
      <c r="A164" s="57" t="s">
        <v>34</v>
      </c>
      <c r="B164" s="58" t="s">
        <v>1162</v>
      </c>
      <c r="C164" s="57">
        <v>5.63</v>
      </c>
      <c r="D164" s="194" t="s">
        <v>2853</v>
      </c>
    </row>
    <row r="165" spans="1:5" ht="15.6" outlineLevel="1" x14ac:dyDescent="0.25">
      <c r="A165" s="57" t="s">
        <v>34</v>
      </c>
      <c r="B165" s="58" t="s">
        <v>18</v>
      </c>
      <c r="C165" s="57">
        <v>5.45</v>
      </c>
      <c r="D165" s="194" t="s">
        <v>2853</v>
      </c>
    </row>
    <row r="166" spans="1:5" ht="15.6" outlineLevel="1" x14ac:dyDescent="0.25">
      <c r="A166" s="57" t="s">
        <v>34</v>
      </c>
      <c r="B166" s="58" t="s">
        <v>19</v>
      </c>
      <c r="C166" s="57">
        <v>5.47</v>
      </c>
      <c r="D166" s="194" t="s">
        <v>2853</v>
      </c>
    </row>
    <row r="167" spans="1:5" ht="15.6" outlineLevel="1" x14ac:dyDescent="0.25">
      <c r="A167" s="57" t="s">
        <v>34</v>
      </c>
      <c r="B167" s="58" t="s">
        <v>30</v>
      </c>
      <c r="C167" s="57">
        <v>5.48</v>
      </c>
      <c r="D167" s="194" t="s">
        <v>2853</v>
      </c>
    </row>
    <row r="168" spans="1:5" ht="15.6" x14ac:dyDescent="0.25">
      <c r="A168" s="61" t="s">
        <v>34</v>
      </c>
      <c r="B168" s="195" t="s">
        <v>2853</v>
      </c>
      <c r="C168" s="196" t="s">
        <v>2853</v>
      </c>
      <c r="D168" s="194" t="s">
        <v>2853</v>
      </c>
    </row>
    <row r="169" spans="1:5" ht="15.6" outlineLevel="1" x14ac:dyDescent="0.25">
      <c r="A169" s="57" t="s">
        <v>35</v>
      </c>
      <c r="B169" s="58" t="s">
        <v>667</v>
      </c>
      <c r="C169" s="57">
        <v>5.0999999999999996</v>
      </c>
      <c r="D169" s="194" t="s">
        <v>2853</v>
      </c>
    </row>
    <row r="170" spans="1:5" ht="15.6" outlineLevel="1" x14ac:dyDescent="0.25">
      <c r="A170" s="57" t="s">
        <v>35</v>
      </c>
      <c r="B170" s="58" t="s">
        <v>0</v>
      </c>
      <c r="C170" s="57">
        <v>5.2</v>
      </c>
      <c r="D170" s="194" t="s">
        <v>2853</v>
      </c>
    </row>
    <row r="171" spans="1:5" ht="15.6" outlineLevel="1" x14ac:dyDescent="0.25">
      <c r="A171" s="57" t="s">
        <v>35</v>
      </c>
      <c r="B171" s="58" t="s">
        <v>740</v>
      </c>
      <c r="C171" s="57">
        <v>5.3</v>
      </c>
      <c r="D171" s="194" t="s">
        <v>2853</v>
      </c>
    </row>
    <row r="172" spans="1:5" ht="15.6" outlineLevel="1" x14ac:dyDescent="0.25">
      <c r="A172" s="57" t="s">
        <v>35</v>
      </c>
      <c r="B172" s="58" t="s">
        <v>2</v>
      </c>
      <c r="C172" s="57">
        <v>5.6</v>
      </c>
      <c r="D172" s="194" t="s">
        <v>2853</v>
      </c>
    </row>
    <row r="173" spans="1:5" ht="15.6" outlineLevel="1" x14ac:dyDescent="0.25">
      <c r="A173" s="57" t="s">
        <v>35</v>
      </c>
      <c r="B173" s="58" t="s">
        <v>746</v>
      </c>
      <c r="C173" s="59">
        <v>5.0999999999999996</v>
      </c>
      <c r="D173" s="194" t="s">
        <v>2853</v>
      </c>
    </row>
    <row r="174" spans="1:5" ht="15.6" outlineLevel="1" x14ac:dyDescent="0.25">
      <c r="A174" s="57" t="s">
        <v>35</v>
      </c>
      <c r="B174" s="58" t="s">
        <v>3</v>
      </c>
      <c r="C174" s="57">
        <v>5.14</v>
      </c>
      <c r="D174" s="194" t="s">
        <v>2853</v>
      </c>
    </row>
    <row r="175" spans="1:5" ht="15.6" outlineLevel="1" x14ac:dyDescent="0.25">
      <c r="A175" s="57" t="s">
        <v>35</v>
      </c>
      <c r="B175" s="58" t="s">
        <v>29</v>
      </c>
      <c r="C175" s="57">
        <v>5.19</v>
      </c>
      <c r="D175" s="194" t="s">
        <v>2853</v>
      </c>
    </row>
    <row r="176" spans="1:5" ht="15.6" outlineLevel="1" x14ac:dyDescent="0.25">
      <c r="A176" s="57" t="s">
        <v>35</v>
      </c>
      <c r="B176" s="58" t="s">
        <v>28</v>
      </c>
      <c r="C176" s="57">
        <v>5.24</v>
      </c>
      <c r="D176" s="194" t="s">
        <v>2853</v>
      </c>
    </row>
    <row r="177" spans="1:4" ht="15.6" outlineLevel="1" x14ac:dyDescent="0.25">
      <c r="A177" s="57" t="s">
        <v>35</v>
      </c>
      <c r="B177" s="58" t="s">
        <v>1</v>
      </c>
      <c r="C177" s="57">
        <v>5.26</v>
      </c>
      <c r="D177" s="194" t="s">
        <v>2853</v>
      </c>
    </row>
    <row r="178" spans="1:4" ht="15.6" outlineLevel="1" x14ac:dyDescent="0.25">
      <c r="A178" s="57" t="s">
        <v>35</v>
      </c>
      <c r="B178" s="58" t="s">
        <v>620</v>
      </c>
      <c r="C178" s="57">
        <v>5.27</v>
      </c>
      <c r="D178" s="194" t="s">
        <v>2853</v>
      </c>
    </row>
    <row r="179" spans="1:4" ht="15.6" outlineLevel="1" x14ac:dyDescent="0.25">
      <c r="A179" s="57" t="s">
        <v>35</v>
      </c>
      <c r="B179" s="58" t="s">
        <v>621</v>
      </c>
      <c r="C179" s="57">
        <v>5.28</v>
      </c>
      <c r="D179" s="194" t="s">
        <v>2853</v>
      </c>
    </row>
    <row r="180" spans="1:4" ht="15.6" outlineLevel="1" x14ac:dyDescent="0.25">
      <c r="A180" s="57" t="s">
        <v>35</v>
      </c>
      <c r="B180" s="58" t="s">
        <v>625</v>
      </c>
      <c r="C180" s="57">
        <v>5.29</v>
      </c>
      <c r="D180" s="194" t="s">
        <v>2853</v>
      </c>
    </row>
    <row r="181" spans="1:4" ht="15.6" outlineLevel="1" x14ac:dyDescent="0.25">
      <c r="A181" s="57" t="s">
        <v>35</v>
      </c>
      <c r="B181" s="58" t="s">
        <v>5</v>
      </c>
      <c r="C181" s="59">
        <v>5.3</v>
      </c>
      <c r="D181" s="194" t="s">
        <v>2853</v>
      </c>
    </row>
    <row r="182" spans="1:4" ht="15.6" outlineLevel="1" x14ac:dyDescent="0.25">
      <c r="A182" s="57" t="s">
        <v>35</v>
      </c>
      <c r="B182" s="58" t="s">
        <v>300</v>
      </c>
      <c r="C182" s="57">
        <v>5.32</v>
      </c>
      <c r="D182" s="194" t="s">
        <v>2853</v>
      </c>
    </row>
    <row r="183" spans="1:4" ht="15.6" outlineLevel="1" x14ac:dyDescent="0.25">
      <c r="A183" s="57" t="s">
        <v>35</v>
      </c>
      <c r="B183" s="58" t="s">
        <v>622</v>
      </c>
      <c r="C183" s="57">
        <v>5.36</v>
      </c>
      <c r="D183" s="194" t="s">
        <v>2853</v>
      </c>
    </row>
    <row r="184" spans="1:4" ht="15.6" outlineLevel="1" x14ac:dyDescent="0.25">
      <c r="A184" s="57" t="s">
        <v>35</v>
      </c>
      <c r="B184" s="58" t="s">
        <v>396</v>
      </c>
      <c r="C184" s="57">
        <v>5.53</v>
      </c>
      <c r="D184" s="194" t="s">
        <v>2853</v>
      </c>
    </row>
    <row r="185" spans="1:4" ht="15.6" outlineLevel="1" x14ac:dyDescent="0.25">
      <c r="A185" s="57" t="s">
        <v>35</v>
      </c>
      <c r="B185" s="58" t="s">
        <v>789</v>
      </c>
      <c r="C185" s="57">
        <v>5.58</v>
      </c>
      <c r="D185" s="194" t="s">
        <v>2853</v>
      </c>
    </row>
    <row r="186" spans="1:4" ht="15.6" outlineLevel="1" x14ac:dyDescent="0.25">
      <c r="A186" s="57" t="s">
        <v>35</v>
      </c>
      <c r="B186" s="58" t="s">
        <v>11</v>
      </c>
      <c r="C186" s="57">
        <v>5.54</v>
      </c>
      <c r="D186" s="194" t="s">
        <v>2853</v>
      </c>
    </row>
    <row r="187" spans="1:4" ht="15.6" outlineLevel="1" x14ac:dyDescent="0.25">
      <c r="A187" s="57" t="s">
        <v>35</v>
      </c>
      <c r="B187" s="58" t="s">
        <v>15</v>
      </c>
      <c r="C187" s="57">
        <v>5.55</v>
      </c>
      <c r="D187" s="194" t="s">
        <v>2853</v>
      </c>
    </row>
    <row r="188" spans="1:4" ht="15.6" outlineLevel="1" x14ac:dyDescent="0.25">
      <c r="A188" s="57" t="s">
        <v>35</v>
      </c>
      <c r="B188" s="58" t="s">
        <v>1162</v>
      </c>
      <c r="C188" s="57">
        <v>5.63</v>
      </c>
      <c r="D188" s="194" t="s">
        <v>2853</v>
      </c>
    </row>
    <row r="189" spans="1:4" ht="15.6" outlineLevel="1" x14ac:dyDescent="0.25">
      <c r="A189" s="57" t="s">
        <v>35</v>
      </c>
      <c r="B189" s="58" t="s">
        <v>18</v>
      </c>
      <c r="C189" s="57">
        <v>5.45</v>
      </c>
      <c r="D189" s="194" t="s">
        <v>2853</v>
      </c>
    </row>
    <row r="190" spans="1:4" ht="15.6" outlineLevel="1" x14ac:dyDescent="0.25">
      <c r="A190" s="57" t="s">
        <v>35</v>
      </c>
      <c r="B190" s="58" t="s">
        <v>19</v>
      </c>
      <c r="C190" s="57">
        <v>5.47</v>
      </c>
      <c r="D190" s="194" t="s">
        <v>2853</v>
      </c>
    </row>
    <row r="191" spans="1:4" ht="15.6" outlineLevel="1" x14ac:dyDescent="0.25">
      <c r="A191" s="57" t="s">
        <v>35</v>
      </c>
      <c r="B191" s="58" t="s">
        <v>30</v>
      </c>
      <c r="C191" s="57">
        <v>5.48</v>
      </c>
      <c r="D191" s="194" t="s">
        <v>2853</v>
      </c>
    </row>
    <row r="192" spans="1:4" ht="15.6" x14ac:dyDescent="0.25">
      <c r="A192" s="61" t="s">
        <v>35</v>
      </c>
      <c r="B192" s="195" t="s">
        <v>2853</v>
      </c>
      <c r="C192" s="196" t="s">
        <v>2853</v>
      </c>
      <c r="D192" s="194" t="s">
        <v>2853</v>
      </c>
    </row>
    <row r="193" spans="1:4" ht="15.6" outlineLevel="1" x14ac:dyDescent="0.25">
      <c r="A193" s="57" t="s">
        <v>36</v>
      </c>
      <c r="B193" s="58" t="s">
        <v>667</v>
      </c>
      <c r="C193" s="57">
        <v>5.0999999999999996</v>
      </c>
      <c r="D193" s="194" t="s">
        <v>2853</v>
      </c>
    </row>
    <row r="194" spans="1:4" ht="15.6" outlineLevel="1" x14ac:dyDescent="0.25">
      <c r="A194" s="57" t="s">
        <v>36</v>
      </c>
      <c r="B194" s="58" t="s">
        <v>0</v>
      </c>
      <c r="C194" s="57">
        <v>5.2</v>
      </c>
      <c r="D194" s="194" t="s">
        <v>2853</v>
      </c>
    </row>
    <row r="195" spans="1:4" ht="15.6" outlineLevel="1" x14ac:dyDescent="0.25">
      <c r="A195" s="57" t="s">
        <v>36</v>
      </c>
      <c r="B195" s="58" t="s">
        <v>740</v>
      </c>
      <c r="C195" s="57">
        <v>5.3</v>
      </c>
      <c r="D195" s="194" t="s">
        <v>2853</v>
      </c>
    </row>
    <row r="196" spans="1:4" ht="15.6" outlineLevel="1" x14ac:dyDescent="0.25">
      <c r="A196" s="57" t="s">
        <v>36</v>
      </c>
      <c r="B196" s="58" t="s">
        <v>2</v>
      </c>
      <c r="C196" s="57">
        <v>5.6</v>
      </c>
      <c r="D196" s="194" t="s">
        <v>2853</v>
      </c>
    </row>
    <row r="197" spans="1:4" ht="15.6" outlineLevel="1" x14ac:dyDescent="0.25">
      <c r="A197" s="57" t="s">
        <v>36</v>
      </c>
      <c r="B197" s="58" t="s">
        <v>746</v>
      </c>
      <c r="C197" s="59">
        <v>5.0999999999999996</v>
      </c>
      <c r="D197" s="194" t="s">
        <v>2853</v>
      </c>
    </row>
    <row r="198" spans="1:4" ht="15.6" outlineLevel="1" x14ac:dyDescent="0.25">
      <c r="A198" s="57" t="s">
        <v>36</v>
      </c>
      <c r="B198" s="58" t="s">
        <v>3</v>
      </c>
      <c r="C198" s="57">
        <v>5.14</v>
      </c>
      <c r="D198" s="194" t="s">
        <v>2853</v>
      </c>
    </row>
    <row r="199" spans="1:4" ht="15.6" outlineLevel="1" x14ac:dyDescent="0.25">
      <c r="A199" s="57" t="s">
        <v>36</v>
      </c>
      <c r="B199" s="58" t="s">
        <v>29</v>
      </c>
      <c r="C199" s="57">
        <v>5.19</v>
      </c>
      <c r="D199" s="194" t="s">
        <v>2853</v>
      </c>
    </row>
    <row r="200" spans="1:4" ht="15.6" outlineLevel="1" x14ac:dyDescent="0.25">
      <c r="A200" s="57" t="s">
        <v>36</v>
      </c>
      <c r="B200" s="58" t="s">
        <v>28</v>
      </c>
      <c r="C200" s="57">
        <v>5.24</v>
      </c>
      <c r="D200" s="194" t="s">
        <v>2853</v>
      </c>
    </row>
    <row r="201" spans="1:4" ht="15.6" outlineLevel="1" x14ac:dyDescent="0.25">
      <c r="A201" s="57" t="s">
        <v>36</v>
      </c>
      <c r="B201" s="58" t="s">
        <v>620</v>
      </c>
      <c r="C201" s="57">
        <v>5.27</v>
      </c>
      <c r="D201" s="194" t="s">
        <v>2853</v>
      </c>
    </row>
    <row r="202" spans="1:4" ht="15.6" outlineLevel="1" x14ac:dyDescent="0.25">
      <c r="A202" s="57" t="s">
        <v>36</v>
      </c>
      <c r="B202" s="58" t="s">
        <v>621</v>
      </c>
      <c r="C202" s="57">
        <v>5.28</v>
      </c>
      <c r="D202" s="194" t="s">
        <v>2853</v>
      </c>
    </row>
    <row r="203" spans="1:4" ht="15.6" outlineLevel="1" x14ac:dyDescent="0.25">
      <c r="A203" s="57" t="s">
        <v>36</v>
      </c>
      <c r="B203" s="58" t="s">
        <v>625</v>
      </c>
      <c r="C203" s="57">
        <v>5.29</v>
      </c>
      <c r="D203" s="194" t="s">
        <v>2853</v>
      </c>
    </row>
    <row r="204" spans="1:4" ht="15.6" outlineLevel="1" x14ac:dyDescent="0.25">
      <c r="A204" s="57" t="s">
        <v>36</v>
      </c>
      <c r="B204" s="58" t="s">
        <v>5</v>
      </c>
      <c r="C204" s="59">
        <v>5.3</v>
      </c>
      <c r="D204" s="194" t="s">
        <v>2853</v>
      </c>
    </row>
    <row r="205" spans="1:4" ht="15.6" outlineLevel="1" x14ac:dyDescent="0.25">
      <c r="A205" s="57" t="s">
        <v>36</v>
      </c>
      <c r="B205" s="58" t="s">
        <v>754</v>
      </c>
      <c r="C205" s="57">
        <v>5.34</v>
      </c>
      <c r="D205" s="194" t="s">
        <v>2853</v>
      </c>
    </row>
    <row r="206" spans="1:4" ht="15.6" outlineLevel="1" x14ac:dyDescent="0.25">
      <c r="A206" s="57" t="s">
        <v>36</v>
      </c>
      <c r="B206" s="58" t="s">
        <v>9</v>
      </c>
      <c r="C206" s="57">
        <v>5.31</v>
      </c>
      <c r="D206" s="194" t="s">
        <v>2853</v>
      </c>
    </row>
    <row r="207" spans="1:4" ht="15.6" outlineLevel="1" x14ac:dyDescent="0.25">
      <c r="A207" s="57" t="s">
        <v>36</v>
      </c>
      <c r="B207" s="58" t="s">
        <v>682</v>
      </c>
      <c r="C207" s="57">
        <v>5.101</v>
      </c>
      <c r="D207" s="194" t="s">
        <v>2853</v>
      </c>
    </row>
    <row r="208" spans="1:4" ht="15.6" outlineLevel="1" x14ac:dyDescent="0.25">
      <c r="A208" s="57" t="s">
        <v>36</v>
      </c>
      <c r="B208" s="58" t="s">
        <v>622</v>
      </c>
      <c r="C208" s="57">
        <v>5.36</v>
      </c>
      <c r="D208" s="194" t="s">
        <v>2853</v>
      </c>
    </row>
    <row r="209" spans="1:4" ht="15.6" outlineLevel="1" x14ac:dyDescent="0.25">
      <c r="A209" s="57" t="s">
        <v>36</v>
      </c>
      <c r="B209" s="58" t="s">
        <v>396</v>
      </c>
      <c r="C209" s="57">
        <v>5.53</v>
      </c>
      <c r="D209" s="194" t="s">
        <v>2853</v>
      </c>
    </row>
    <row r="210" spans="1:4" ht="15.6" outlineLevel="1" x14ac:dyDescent="0.25">
      <c r="A210" s="57" t="s">
        <v>36</v>
      </c>
      <c r="B210" s="58" t="s">
        <v>23</v>
      </c>
      <c r="C210" s="57">
        <v>5.1020000000000003</v>
      </c>
      <c r="D210" s="194" t="s">
        <v>2853</v>
      </c>
    </row>
    <row r="211" spans="1:4" ht="15.6" outlineLevel="1" x14ac:dyDescent="0.25">
      <c r="A211" s="57" t="s">
        <v>36</v>
      </c>
      <c r="B211" s="58" t="s">
        <v>629</v>
      </c>
      <c r="C211" s="62">
        <v>5.0999999999999996</v>
      </c>
      <c r="D211" s="194" t="s">
        <v>2853</v>
      </c>
    </row>
    <row r="212" spans="1:4" ht="15.6" outlineLevel="1" x14ac:dyDescent="0.25">
      <c r="A212" s="57" t="s">
        <v>36</v>
      </c>
      <c r="B212" s="58" t="s">
        <v>789</v>
      </c>
      <c r="C212" s="57">
        <v>5.58</v>
      </c>
      <c r="D212" s="194" t="s">
        <v>2853</v>
      </c>
    </row>
    <row r="213" spans="1:4" ht="15.6" outlineLevel="1" x14ac:dyDescent="0.25">
      <c r="A213" s="57" t="s">
        <v>36</v>
      </c>
      <c r="B213" s="58" t="s">
        <v>11</v>
      </c>
      <c r="C213" s="57">
        <v>5.54</v>
      </c>
      <c r="D213" s="194" t="s">
        <v>2853</v>
      </c>
    </row>
    <row r="214" spans="1:4" ht="15.6" outlineLevel="1" x14ac:dyDescent="0.25">
      <c r="A214" s="57" t="s">
        <v>36</v>
      </c>
      <c r="B214" s="58" t="s">
        <v>15</v>
      </c>
      <c r="C214" s="57">
        <v>5.55</v>
      </c>
      <c r="D214" s="194" t="s">
        <v>2853</v>
      </c>
    </row>
    <row r="215" spans="1:4" ht="15.6" outlineLevel="1" x14ac:dyDescent="0.25">
      <c r="A215" s="57" t="s">
        <v>36</v>
      </c>
      <c r="B215" s="58" t="s">
        <v>1162</v>
      </c>
      <c r="C215" s="57">
        <v>5.63</v>
      </c>
      <c r="D215" s="194" t="s">
        <v>2853</v>
      </c>
    </row>
    <row r="216" spans="1:4" ht="15.6" outlineLevel="1" x14ac:dyDescent="0.25">
      <c r="A216" s="57" t="s">
        <v>36</v>
      </c>
      <c r="B216" s="58" t="s">
        <v>19</v>
      </c>
      <c r="C216" s="57">
        <v>5.47</v>
      </c>
      <c r="D216" s="194" t="s">
        <v>2853</v>
      </c>
    </row>
    <row r="217" spans="1:4" ht="15.6" outlineLevel="1" x14ac:dyDescent="0.25">
      <c r="A217" s="57" t="s">
        <v>36</v>
      </c>
      <c r="B217" s="58" t="s">
        <v>30</v>
      </c>
      <c r="C217" s="57">
        <v>5.48</v>
      </c>
      <c r="D217" s="194" t="s">
        <v>2853</v>
      </c>
    </row>
    <row r="218" spans="1:4" ht="15.6" x14ac:dyDescent="0.25">
      <c r="A218" s="61" t="s">
        <v>36</v>
      </c>
      <c r="B218" s="195" t="s">
        <v>2853</v>
      </c>
      <c r="C218" s="196" t="s">
        <v>2853</v>
      </c>
      <c r="D218" s="194" t="s">
        <v>2853</v>
      </c>
    </row>
    <row r="219" spans="1:4" ht="15.6" outlineLevel="1" x14ac:dyDescent="0.25">
      <c r="A219" s="57" t="s">
        <v>37</v>
      </c>
      <c r="B219" s="58" t="s">
        <v>667</v>
      </c>
      <c r="C219" s="57">
        <v>5.0999999999999996</v>
      </c>
      <c r="D219" s="194" t="s">
        <v>2853</v>
      </c>
    </row>
    <row r="220" spans="1:4" ht="15.6" outlineLevel="1" x14ac:dyDescent="0.25">
      <c r="A220" s="57" t="s">
        <v>37</v>
      </c>
      <c r="B220" s="58" t="s">
        <v>0</v>
      </c>
      <c r="C220" s="57">
        <v>5.2</v>
      </c>
      <c r="D220" s="194" t="s">
        <v>2853</v>
      </c>
    </row>
    <row r="221" spans="1:4" ht="15.6" outlineLevel="1" x14ac:dyDescent="0.25">
      <c r="A221" s="57" t="s">
        <v>37</v>
      </c>
      <c r="B221" s="58" t="s">
        <v>740</v>
      </c>
      <c r="C221" s="57">
        <v>5.3</v>
      </c>
      <c r="D221" s="194" t="s">
        <v>2853</v>
      </c>
    </row>
    <row r="222" spans="1:4" ht="15.6" outlineLevel="1" x14ac:dyDescent="0.25">
      <c r="A222" s="57" t="s">
        <v>37</v>
      </c>
      <c r="B222" s="58" t="s">
        <v>2</v>
      </c>
      <c r="C222" s="57">
        <v>5.6</v>
      </c>
      <c r="D222" s="194" t="s">
        <v>2853</v>
      </c>
    </row>
    <row r="223" spans="1:4" ht="15.6" outlineLevel="1" x14ac:dyDescent="0.25">
      <c r="A223" s="57" t="s">
        <v>37</v>
      </c>
      <c r="B223" s="58" t="s">
        <v>746</v>
      </c>
      <c r="C223" s="59">
        <v>5.0999999999999996</v>
      </c>
      <c r="D223" s="194" t="s">
        <v>2853</v>
      </c>
    </row>
    <row r="224" spans="1:4" ht="15.6" outlineLevel="1" x14ac:dyDescent="0.25">
      <c r="A224" s="57" t="s">
        <v>37</v>
      </c>
      <c r="B224" s="58" t="s">
        <v>3</v>
      </c>
      <c r="C224" s="57">
        <v>5.14</v>
      </c>
      <c r="D224" s="194" t="s">
        <v>2853</v>
      </c>
    </row>
    <row r="225" spans="1:4" ht="15.6" outlineLevel="1" x14ac:dyDescent="0.25">
      <c r="A225" s="57" t="s">
        <v>37</v>
      </c>
      <c r="B225" s="58" t="s">
        <v>29</v>
      </c>
      <c r="C225" s="57">
        <v>5.19</v>
      </c>
      <c r="D225" s="194" t="s">
        <v>2853</v>
      </c>
    </row>
    <row r="226" spans="1:4" ht="15.6" outlineLevel="1" x14ac:dyDescent="0.25">
      <c r="A226" s="57" t="s">
        <v>37</v>
      </c>
      <c r="B226" s="58" t="s">
        <v>28</v>
      </c>
      <c r="C226" s="57">
        <v>5.24</v>
      </c>
      <c r="D226" s="194" t="s">
        <v>2853</v>
      </c>
    </row>
    <row r="227" spans="1:4" ht="15.6" outlineLevel="1" x14ac:dyDescent="0.25">
      <c r="A227" s="57" t="s">
        <v>37</v>
      </c>
      <c r="B227" s="58" t="s">
        <v>1</v>
      </c>
      <c r="C227" s="57">
        <v>5.26</v>
      </c>
      <c r="D227" s="194" t="s">
        <v>2853</v>
      </c>
    </row>
    <row r="228" spans="1:4" ht="15.6" outlineLevel="1" x14ac:dyDescent="0.25">
      <c r="A228" s="57" t="s">
        <v>37</v>
      </c>
      <c r="B228" s="58" t="s">
        <v>620</v>
      </c>
      <c r="C228" s="57">
        <v>5.27</v>
      </c>
      <c r="D228" s="194" t="s">
        <v>2853</v>
      </c>
    </row>
    <row r="229" spans="1:4" ht="15.6" outlineLevel="1" x14ac:dyDescent="0.25">
      <c r="A229" s="57" t="s">
        <v>37</v>
      </c>
      <c r="B229" s="58" t="s">
        <v>621</v>
      </c>
      <c r="C229" s="57">
        <v>5.28</v>
      </c>
      <c r="D229" s="194" t="s">
        <v>2853</v>
      </c>
    </row>
    <row r="230" spans="1:4" ht="15.6" outlineLevel="1" x14ac:dyDescent="0.25">
      <c r="A230" s="57" t="s">
        <v>37</v>
      </c>
      <c r="B230" s="58" t="s">
        <v>625</v>
      </c>
      <c r="C230" s="57">
        <v>5.29</v>
      </c>
      <c r="D230" s="194" t="s">
        <v>2853</v>
      </c>
    </row>
    <row r="231" spans="1:4" ht="15.6" outlineLevel="1" x14ac:dyDescent="0.25">
      <c r="A231" s="57" t="s">
        <v>37</v>
      </c>
      <c r="B231" s="58" t="s">
        <v>5</v>
      </c>
      <c r="C231" s="59">
        <v>5.3</v>
      </c>
      <c r="D231" s="194" t="s">
        <v>2853</v>
      </c>
    </row>
    <row r="232" spans="1:4" ht="15.6" outlineLevel="1" x14ac:dyDescent="0.25">
      <c r="A232" s="57" t="s">
        <v>37</v>
      </c>
      <c r="B232" s="58" t="s">
        <v>9</v>
      </c>
      <c r="C232" s="57">
        <v>5.31</v>
      </c>
      <c r="D232" s="194" t="s">
        <v>2853</v>
      </c>
    </row>
    <row r="233" spans="1:4" ht="15.6" outlineLevel="1" x14ac:dyDescent="0.25">
      <c r="A233" s="57" t="s">
        <v>37</v>
      </c>
      <c r="B233" s="58" t="s">
        <v>10</v>
      </c>
      <c r="C233" s="57">
        <v>5.33</v>
      </c>
      <c r="D233" s="194" t="s">
        <v>2853</v>
      </c>
    </row>
    <row r="234" spans="1:4" ht="15.6" outlineLevel="1" x14ac:dyDescent="0.25">
      <c r="A234" s="57" t="s">
        <v>37</v>
      </c>
      <c r="B234" s="58" t="s">
        <v>682</v>
      </c>
      <c r="C234" s="57">
        <v>5.101</v>
      </c>
      <c r="D234" s="194" t="s">
        <v>2853</v>
      </c>
    </row>
    <row r="235" spans="1:4" ht="15.6" outlineLevel="1" x14ac:dyDescent="0.25">
      <c r="A235" s="57" t="s">
        <v>37</v>
      </c>
      <c r="B235" s="58" t="s">
        <v>622</v>
      </c>
      <c r="C235" s="57">
        <v>5.36</v>
      </c>
      <c r="D235" s="194" t="s">
        <v>2853</v>
      </c>
    </row>
    <row r="236" spans="1:4" ht="15.6" outlineLevel="1" x14ac:dyDescent="0.25">
      <c r="A236" s="57" t="s">
        <v>37</v>
      </c>
      <c r="B236" s="58" t="s">
        <v>396</v>
      </c>
      <c r="C236" s="57">
        <v>5.53</v>
      </c>
      <c r="D236" s="194" t="s">
        <v>2853</v>
      </c>
    </row>
    <row r="237" spans="1:4" ht="15.6" outlineLevel="1" x14ac:dyDescent="0.25">
      <c r="A237" s="57" t="s">
        <v>37</v>
      </c>
      <c r="B237" s="58" t="s">
        <v>23</v>
      </c>
      <c r="C237" s="57">
        <v>5.1020000000000003</v>
      </c>
      <c r="D237" s="194" t="s">
        <v>2853</v>
      </c>
    </row>
    <row r="238" spans="1:4" ht="15.6" outlineLevel="1" x14ac:dyDescent="0.25">
      <c r="A238" s="57" t="s">
        <v>37</v>
      </c>
      <c r="B238" s="58" t="s">
        <v>789</v>
      </c>
      <c r="C238" s="57">
        <v>5.58</v>
      </c>
      <c r="D238" s="194" t="s">
        <v>2853</v>
      </c>
    </row>
    <row r="239" spans="1:4" ht="15.6" outlineLevel="1" x14ac:dyDescent="0.25">
      <c r="A239" s="57" t="s">
        <v>37</v>
      </c>
      <c r="B239" s="58" t="s">
        <v>11</v>
      </c>
      <c r="C239" s="57">
        <v>5.54</v>
      </c>
      <c r="D239" s="194" t="s">
        <v>2853</v>
      </c>
    </row>
    <row r="240" spans="1:4" ht="15.6" outlineLevel="1" x14ac:dyDescent="0.25">
      <c r="A240" s="57" t="s">
        <v>37</v>
      </c>
      <c r="B240" s="58" t="s">
        <v>15</v>
      </c>
      <c r="C240" s="57">
        <v>5.55</v>
      </c>
      <c r="D240" s="194" t="s">
        <v>2853</v>
      </c>
    </row>
    <row r="241" spans="1:4" ht="15.6" outlineLevel="1" x14ac:dyDescent="0.25">
      <c r="A241" s="57" t="s">
        <v>37</v>
      </c>
      <c r="B241" s="58" t="s">
        <v>1162</v>
      </c>
      <c r="C241" s="57">
        <v>5.63</v>
      </c>
      <c r="D241" s="194" t="s">
        <v>2853</v>
      </c>
    </row>
    <row r="242" spans="1:4" ht="15.6" outlineLevel="1" x14ac:dyDescent="0.25">
      <c r="A242" s="57" t="s">
        <v>37</v>
      </c>
      <c r="B242" s="58" t="s">
        <v>19</v>
      </c>
      <c r="C242" s="57">
        <v>5.47</v>
      </c>
      <c r="D242" s="194" t="s">
        <v>2853</v>
      </c>
    </row>
    <row r="243" spans="1:4" ht="15.6" outlineLevel="1" x14ac:dyDescent="0.25">
      <c r="A243" s="57" t="s">
        <v>37</v>
      </c>
      <c r="B243" s="58" t="s">
        <v>30</v>
      </c>
      <c r="C243" s="57">
        <v>5.48</v>
      </c>
      <c r="D243" s="194" t="s">
        <v>2853</v>
      </c>
    </row>
    <row r="244" spans="1:4" ht="15.6" x14ac:dyDescent="0.25">
      <c r="A244" s="61" t="s">
        <v>37</v>
      </c>
      <c r="B244" s="195" t="s">
        <v>2853</v>
      </c>
      <c r="C244" s="196" t="s">
        <v>2853</v>
      </c>
      <c r="D244" s="194" t="s">
        <v>2853</v>
      </c>
    </row>
    <row r="245" spans="1:4" ht="15.6" outlineLevel="1" x14ac:dyDescent="0.25">
      <c r="A245" s="57" t="s">
        <v>38</v>
      </c>
      <c r="B245" s="58" t="s">
        <v>667</v>
      </c>
      <c r="C245" s="57">
        <v>5.0999999999999996</v>
      </c>
      <c r="D245" s="194" t="s">
        <v>2853</v>
      </c>
    </row>
    <row r="246" spans="1:4" ht="15.6" outlineLevel="1" x14ac:dyDescent="0.25">
      <c r="A246" s="57" t="s">
        <v>38</v>
      </c>
      <c r="B246" s="58" t="s">
        <v>0</v>
      </c>
      <c r="C246" s="57">
        <v>5.2</v>
      </c>
      <c r="D246" s="194" t="s">
        <v>2853</v>
      </c>
    </row>
    <row r="247" spans="1:4" ht="15.6" outlineLevel="1" x14ac:dyDescent="0.25">
      <c r="A247" s="57" t="s">
        <v>38</v>
      </c>
      <c r="B247" s="58" t="s">
        <v>740</v>
      </c>
      <c r="C247" s="57">
        <v>5.3</v>
      </c>
      <c r="D247" s="194" t="s">
        <v>2853</v>
      </c>
    </row>
    <row r="248" spans="1:4" ht="15.6" outlineLevel="1" x14ac:dyDescent="0.25">
      <c r="A248" s="57" t="s">
        <v>38</v>
      </c>
      <c r="B248" s="58" t="s">
        <v>2</v>
      </c>
      <c r="C248" s="57">
        <v>5.6</v>
      </c>
      <c r="D248" s="194" t="s">
        <v>2853</v>
      </c>
    </row>
    <row r="249" spans="1:4" ht="15.6" outlineLevel="1" x14ac:dyDescent="0.25">
      <c r="A249" s="57" t="s">
        <v>38</v>
      </c>
      <c r="B249" s="58" t="s">
        <v>746</v>
      </c>
      <c r="C249" s="59">
        <v>5.0999999999999996</v>
      </c>
      <c r="D249" s="194" t="s">
        <v>2853</v>
      </c>
    </row>
    <row r="250" spans="1:4" ht="15.6" outlineLevel="1" x14ac:dyDescent="0.25">
      <c r="A250" s="57" t="s">
        <v>38</v>
      </c>
      <c r="B250" s="58" t="s">
        <v>3</v>
      </c>
      <c r="C250" s="57">
        <v>5.14</v>
      </c>
      <c r="D250" s="194" t="s">
        <v>2853</v>
      </c>
    </row>
    <row r="251" spans="1:4" ht="15.6" outlineLevel="1" x14ac:dyDescent="0.25">
      <c r="A251" s="57" t="s">
        <v>38</v>
      </c>
      <c r="B251" s="58" t="s">
        <v>29</v>
      </c>
      <c r="C251" s="57">
        <v>5.19</v>
      </c>
      <c r="D251" s="194" t="s">
        <v>2853</v>
      </c>
    </row>
    <row r="252" spans="1:4" ht="15.6" outlineLevel="1" x14ac:dyDescent="0.25">
      <c r="A252" s="57" t="s">
        <v>38</v>
      </c>
      <c r="B252" s="58" t="s">
        <v>28</v>
      </c>
      <c r="C252" s="57">
        <v>5.24</v>
      </c>
      <c r="D252" s="194" t="s">
        <v>2853</v>
      </c>
    </row>
    <row r="253" spans="1:4" ht="15.6" outlineLevel="1" x14ac:dyDescent="0.25">
      <c r="A253" s="57" t="s">
        <v>38</v>
      </c>
      <c r="B253" s="58" t="s">
        <v>620</v>
      </c>
      <c r="C253" s="57">
        <v>5.27</v>
      </c>
      <c r="D253" s="194" t="s">
        <v>2853</v>
      </c>
    </row>
    <row r="254" spans="1:4" ht="15.6" outlineLevel="1" x14ac:dyDescent="0.25">
      <c r="A254" s="57" t="s">
        <v>38</v>
      </c>
      <c r="B254" s="58" t="s">
        <v>621</v>
      </c>
      <c r="C254" s="57">
        <v>5.28</v>
      </c>
      <c r="D254" s="194" t="s">
        <v>2853</v>
      </c>
    </row>
    <row r="255" spans="1:4" ht="15.6" outlineLevel="1" x14ac:dyDescent="0.25">
      <c r="A255" s="57" t="s">
        <v>38</v>
      </c>
      <c r="B255" s="58" t="s">
        <v>5</v>
      </c>
      <c r="C255" s="59">
        <v>5.3</v>
      </c>
      <c r="D255" s="194" t="s">
        <v>2853</v>
      </c>
    </row>
    <row r="256" spans="1:4" ht="15.6" outlineLevel="1" x14ac:dyDescent="0.25">
      <c r="A256" s="57" t="s">
        <v>38</v>
      </c>
      <c r="B256" s="58" t="s">
        <v>10</v>
      </c>
      <c r="C256" s="57">
        <v>5.33</v>
      </c>
      <c r="D256" s="194" t="s">
        <v>2853</v>
      </c>
    </row>
    <row r="257" spans="1:4" ht="15.6" outlineLevel="1" x14ac:dyDescent="0.25">
      <c r="A257" s="57" t="s">
        <v>38</v>
      </c>
      <c r="B257" s="58" t="s">
        <v>622</v>
      </c>
      <c r="C257" s="57">
        <v>5.36</v>
      </c>
      <c r="D257" s="194" t="s">
        <v>2853</v>
      </c>
    </row>
    <row r="258" spans="1:4" ht="15.6" outlineLevel="1" x14ac:dyDescent="0.25">
      <c r="A258" s="57" t="s">
        <v>38</v>
      </c>
      <c r="B258" s="58" t="s">
        <v>396</v>
      </c>
      <c r="C258" s="57">
        <v>5.53</v>
      </c>
      <c r="D258" s="194" t="s">
        <v>2853</v>
      </c>
    </row>
    <row r="259" spans="1:4" ht="15.6" outlineLevel="1" x14ac:dyDescent="0.25">
      <c r="A259" s="57" t="s">
        <v>38</v>
      </c>
      <c r="B259" s="58" t="s">
        <v>789</v>
      </c>
      <c r="C259" s="57">
        <v>5.58</v>
      </c>
      <c r="D259" s="194" t="s">
        <v>2853</v>
      </c>
    </row>
    <row r="260" spans="1:4" ht="15.6" outlineLevel="1" x14ac:dyDescent="0.25">
      <c r="A260" s="57" t="s">
        <v>38</v>
      </c>
      <c r="B260" s="58" t="s">
        <v>11</v>
      </c>
      <c r="C260" s="57">
        <v>5.54</v>
      </c>
      <c r="D260" s="194" t="s">
        <v>2853</v>
      </c>
    </row>
    <row r="261" spans="1:4" ht="15.6" outlineLevel="1" x14ac:dyDescent="0.25">
      <c r="A261" s="57" t="s">
        <v>38</v>
      </c>
      <c r="B261" s="58" t="s">
        <v>15</v>
      </c>
      <c r="C261" s="57">
        <v>5.55</v>
      </c>
      <c r="D261" s="194" t="s">
        <v>2853</v>
      </c>
    </row>
    <row r="262" spans="1:4" ht="15.6" outlineLevel="1" x14ac:dyDescent="0.25">
      <c r="A262" s="57" t="s">
        <v>38</v>
      </c>
      <c r="B262" s="58" t="s">
        <v>1162</v>
      </c>
      <c r="C262" s="57">
        <v>5.63</v>
      </c>
      <c r="D262" s="194" t="s">
        <v>2853</v>
      </c>
    </row>
    <row r="263" spans="1:4" ht="15.6" outlineLevel="1" x14ac:dyDescent="0.25">
      <c r="A263" s="57" t="s">
        <v>38</v>
      </c>
      <c r="B263" s="58" t="s">
        <v>19</v>
      </c>
      <c r="C263" s="57">
        <v>5.47</v>
      </c>
      <c r="D263" s="194" t="s">
        <v>2853</v>
      </c>
    </row>
    <row r="264" spans="1:4" ht="15.6" outlineLevel="1" x14ac:dyDescent="0.25">
      <c r="A264" s="57" t="s">
        <v>38</v>
      </c>
      <c r="B264" s="58" t="s">
        <v>30</v>
      </c>
      <c r="C264" s="57">
        <v>5.48</v>
      </c>
      <c r="D264" s="194" t="s">
        <v>2853</v>
      </c>
    </row>
    <row r="265" spans="1:4" ht="15.6" x14ac:dyDescent="0.25">
      <c r="A265" s="61" t="s">
        <v>38</v>
      </c>
      <c r="B265" s="195" t="s">
        <v>2853</v>
      </c>
      <c r="C265" s="196" t="s">
        <v>2853</v>
      </c>
      <c r="D265" s="194" t="s">
        <v>2853</v>
      </c>
    </row>
    <row r="266" spans="1:4" ht="15.6" outlineLevel="1" x14ac:dyDescent="0.25">
      <c r="A266" s="57" t="s">
        <v>39</v>
      </c>
      <c r="B266" s="58" t="s">
        <v>667</v>
      </c>
      <c r="C266" s="57">
        <v>5.0999999999999996</v>
      </c>
      <c r="D266" s="194" t="s">
        <v>2853</v>
      </c>
    </row>
    <row r="267" spans="1:4" ht="15.6" outlineLevel="1" x14ac:dyDescent="0.25">
      <c r="A267" s="57" t="s">
        <v>39</v>
      </c>
      <c r="B267" s="58" t="s">
        <v>0</v>
      </c>
      <c r="C267" s="57">
        <v>5.2</v>
      </c>
      <c r="D267" s="194" t="s">
        <v>2853</v>
      </c>
    </row>
    <row r="268" spans="1:4" ht="15.6" outlineLevel="1" x14ac:dyDescent="0.25">
      <c r="A268" s="57" t="s">
        <v>39</v>
      </c>
      <c r="B268" s="58" t="s">
        <v>740</v>
      </c>
      <c r="C268" s="57">
        <v>5.3</v>
      </c>
      <c r="D268" s="194" t="s">
        <v>2853</v>
      </c>
    </row>
    <row r="269" spans="1:4" ht="15.6" outlineLevel="1" x14ac:dyDescent="0.25">
      <c r="A269" s="57" t="s">
        <v>39</v>
      </c>
      <c r="B269" s="58" t="s">
        <v>2</v>
      </c>
      <c r="C269" s="57">
        <v>5.6</v>
      </c>
      <c r="D269" s="194" t="s">
        <v>2853</v>
      </c>
    </row>
    <row r="270" spans="1:4" ht="15.6" outlineLevel="1" x14ac:dyDescent="0.25">
      <c r="A270" s="57" t="s">
        <v>39</v>
      </c>
      <c r="B270" s="58" t="s">
        <v>746</v>
      </c>
      <c r="C270" s="59">
        <v>5.0999999999999996</v>
      </c>
      <c r="D270" s="194" t="s">
        <v>2853</v>
      </c>
    </row>
    <row r="271" spans="1:4" ht="15.6" outlineLevel="1" x14ac:dyDescent="0.25">
      <c r="A271" s="57" t="s">
        <v>39</v>
      </c>
      <c r="B271" s="58" t="s">
        <v>3</v>
      </c>
      <c r="C271" s="57">
        <v>5.14</v>
      </c>
      <c r="D271" s="194" t="s">
        <v>2853</v>
      </c>
    </row>
    <row r="272" spans="1:4" ht="15.6" outlineLevel="1" x14ac:dyDescent="0.25">
      <c r="A272" s="57" t="s">
        <v>39</v>
      </c>
      <c r="B272" s="58" t="s">
        <v>29</v>
      </c>
      <c r="C272" s="57">
        <v>5.19</v>
      </c>
      <c r="D272" s="194" t="s">
        <v>2853</v>
      </c>
    </row>
    <row r="273" spans="1:4" ht="15.6" outlineLevel="1" x14ac:dyDescent="0.25">
      <c r="A273" s="57" t="s">
        <v>39</v>
      </c>
      <c r="B273" s="58" t="s">
        <v>28</v>
      </c>
      <c r="C273" s="57">
        <v>5.24</v>
      </c>
      <c r="D273" s="194" t="s">
        <v>2853</v>
      </c>
    </row>
    <row r="274" spans="1:4" ht="15.6" outlineLevel="1" x14ac:dyDescent="0.25">
      <c r="A274" s="57" t="s">
        <v>39</v>
      </c>
      <c r="B274" s="58" t="s">
        <v>1</v>
      </c>
      <c r="C274" s="57">
        <v>5.26</v>
      </c>
      <c r="D274" s="194" t="s">
        <v>2853</v>
      </c>
    </row>
    <row r="275" spans="1:4" ht="15.6" outlineLevel="1" x14ac:dyDescent="0.25">
      <c r="A275" s="57" t="s">
        <v>39</v>
      </c>
      <c r="B275" s="58" t="s">
        <v>620</v>
      </c>
      <c r="C275" s="57">
        <v>5.27</v>
      </c>
      <c r="D275" s="194" t="s">
        <v>2853</v>
      </c>
    </row>
    <row r="276" spans="1:4" ht="15.6" outlineLevel="1" x14ac:dyDescent="0.25">
      <c r="A276" s="57" t="s">
        <v>39</v>
      </c>
      <c r="B276" s="58" t="s">
        <v>621</v>
      </c>
      <c r="C276" s="57">
        <v>5.28</v>
      </c>
      <c r="D276" s="194" t="s">
        <v>2853</v>
      </c>
    </row>
    <row r="277" spans="1:4" ht="15.6" outlineLevel="1" x14ac:dyDescent="0.25">
      <c r="A277" s="57" t="s">
        <v>39</v>
      </c>
      <c r="B277" s="58" t="s">
        <v>625</v>
      </c>
      <c r="C277" s="57">
        <v>5.29</v>
      </c>
      <c r="D277" s="194" t="s">
        <v>2853</v>
      </c>
    </row>
    <row r="278" spans="1:4" ht="15.6" outlineLevel="1" x14ac:dyDescent="0.25">
      <c r="A278" s="57" t="s">
        <v>39</v>
      </c>
      <c r="B278" s="58" t="s">
        <v>5</v>
      </c>
      <c r="C278" s="59">
        <v>5.3</v>
      </c>
      <c r="D278" s="194" t="s">
        <v>2853</v>
      </c>
    </row>
    <row r="279" spans="1:4" ht="15.6" outlineLevel="1" x14ac:dyDescent="0.25">
      <c r="A279" s="57" t="s">
        <v>39</v>
      </c>
      <c r="B279" s="58" t="s">
        <v>10</v>
      </c>
      <c r="C279" s="57">
        <v>5.33</v>
      </c>
      <c r="D279" s="194" t="s">
        <v>2853</v>
      </c>
    </row>
    <row r="280" spans="1:4" ht="15.6" outlineLevel="1" x14ac:dyDescent="0.25">
      <c r="A280" s="57" t="s">
        <v>39</v>
      </c>
      <c r="B280" s="58" t="s">
        <v>622</v>
      </c>
      <c r="C280" s="57">
        <v>5.36</v>
      </c>
      <c r="D280" s="194" t="s">
        <v>2853</v>
      </c>
    </row>
    <row r="281" spans="1:4" ht="15.6" outlineLevel="1" x14ac:dyDescent="0.25">
      <c r="A281" s="57" t="s">
        <v>39</v>
      </c>
      <c r="B281" s="58" t="s">
        <v>13</v>
      </c>
      <c r="C281" s="57">
        <v>5.69</v>
      </c>
      <c r="D281" s="194" t="s">
        <v>2853</v>
      </c>
    </row>
    <row r="282" spans="1:4" ht="15.6" outlineLevel="1" x14ac:dyDescent="0.25">
      <c r="A282" s="57" t="s">
        <v>39</v>
      </c>
      <c r="B282" s="58" t="s">
        <v>14</v>
      </c>
      <c r="C282" s="59">
        <v>5.7</v>
      </c>
      <c r="D282" s="194" t="s">
        <v>2853</v>
      </c>
    </row>
    <row r="283" spans="1:4" ht="15.6" outlineLevel="1" x14ac:dyDescent="0.25">
      <c r="A283" s="57" t="s">
        <v>39</v>
      </c>
      <c r="B283" s="58" t="s">
        <v>637</v>
      </c>
      <c r="C283" s="57">
        <v>5.74</v>
      </c>
      <c r="D283" s="194" t="s">
        <v>2853</v>
      </c>
    </row>
    <row r="284" spans="1:4" ht="15.6" outlineLevel="1" x14ac:dyDescent="0.25">
      <c r="A284" s="57" t="s">
        <v>39</v>
      </c>
      <c r="B284" s="58" t="s">
        <v>6</v>
      </c>
      <c r="C284" s="57">
        <v>5.49</v>
      </c>
      <c r="D284" s="194" t="s">
        <v>2853</v>
      </c>
    </row>
    <row r="285" spans="1:4" ht="15.6" outlineLevel="1" x14ac:dyDescent="0.25">
      <c r="A285" s="57" t="s">
        <v>39</v>
      </c>
      <c r="B285" s="58" t="s">
        <v>8</v>
      </c>
      <c r="C285" s="57">
        <v>5.51</v>
      </c>
      <c r="D285" s="194" t="s">
        <v>2853</v>
      </c>
    </row>
    <row r="286" spans="1:4" ht="15.6" outlineLevel="1" x14ac:dyDescent="0.25">
      <c r="A286" s="57" t="s">
        <v>39</v>
      </c>
      <c r="B286" s="58" t="s">
        <v>7</v>
      </c>
      <c r="C286" s="57">
        <v>5.52</v>
      </c>
      <c r="D286" s="194" t="s">
        <v>2853</v>
      </c>
    </row>
    <row r="287" spans="1:4" ht="15.6" outlineLevel="1" x14ac:dyDescent="0.25">
      <c r="A287" s="57" t="s">
        <v>39</v>
      </c>
      <c r="B287" s="58" t="s">
        <v>396</v>
      </c>
      <c r="C287" s="57">
        <v>5.53</v>
      </c>
      <c r="D287" s="194" t="s">
        <v>2853</v>
      </c>
    </row>
    <row r="288" spans="1:4" ht="15.6" outlineLevel="1" x14ac:dyDescent="0.25">
      <c r="A288" s="57" t="s">
        <v>39</v>
      </c>
      <c r="B288" s="58" t="s">
        <v>789</v>
      </c>
      <c r="C288" s="57">
        <v>5.58</v>
      </c>
      <c r="D288" s="194" t="s">
        <v>2853</v>
      </c>
    </row>
    <row r="289" spans="1:4" ht="15.6" outlineLevel="1" x14ac:dyDescent="0.25">
      <c r="A289" s="57" t="s">
        <v>39</v>
      </c>
      <c r="B289" s="58" t="s">
        <v>11</v>
      </c>
      <c r="C289" s="57">
        <v>5.54</v>
      </c>
      <c r="D289" s="194" t="s">
        <v>2853</v>
      </c>
    </row>
    <row r="290" spans="1:4" ht="15.6" outlineLevel="1" x14ac:dyDescent="0.25">
      <c r="A290" s="57" t="s">
        <v>39</v>
      </c>
      <c r="B290" s="58" t="s">
        <v>15</v>
      </c>
      <c r="C290" s="57">
        <v>5.55</v>
      </c>
      <c r="D290" s="194" t="s">
        <v>2853</v>
      </c>
    </row>
    <row r="291" spans="1:4" ht="15.6" outlineLevel="1" x14ac:dyDescent="0.25">
      <c r="A291" s="57" t="s">
        <v>39</v>
      </c>
      <c r="B291" s="58" t="s">
        <v>1162</v>
      </c>
      <c r="C291" s="57">
        <v>5.63</v>
      </c>
      <c r="D291" s="194" t="s">
        <v>2853</v>
      </c>
    </row>
    <row r="292" spans="1:4" ht="15.6" outlineLevel="1" x14ac:dyDescent="0.25">
      <c r="A292" s="57" t="s">
        <v>39</v>
      </c>
      <c r="B292" s="58" t="s">
        <v>19</v>
      </c>
      <c r="C292" s="57">
        <v>5.47</v>
      </c>
      <c r="D292" s="194" t="s">
        <v>2853</v>
      </c>
    </row>
    <row r="293" spans="1:4" ht="15.6" outlineLevel="1" x14ac:dyDescent="0.25">
      <c r="A293" s="57" t="s">
        <v>39</v>
      </c>
      <c r="B293" s="58" t="s">
        <v>30</v>
      </c>
      <c r="C293" s="57">
        <v>5.48</v>
      </c>
      <c r="D293" s="194" t="s">
        <v>2853</v>
      </c>
    </row>
    <row r="294" spans="1:4" ht="15.6" x14ac:dyDescent="0.25">
      <c r="A294" s="61" t="s">
        <v>39</v>
      </c>
      <c r="B294" s="195" t="s">
        <v>2853</v>
      </c>
      <c r="C294" s="196" t="s">
        <v>2853</v>
      </c>
      <c r="D294" s="194" t="s">
        <v>2853</v>
      </c>
    </row>
    <row r="295" spans="1:4" ht="30" outlineLevel="1" x14ac:dyDescent="0.25">
      <c r="A295" s="57" t="s">
        <v>41</v>
      </c>
      <c r="B295" s="58" t="s">
        <v>667</v>
      </c>
      <c r="C295" s="57">
        <v>5.0999999999999996</v>
      </c>
      <c r="D295" s="194" t="s">
        <v>2853</v>
      </c>
    </row>
    <row r="296" spans="1:4" ht="30" outlineLevel="1" x14ac:dyDescent="0.25">
      <c r="A296" s="57" t="s">
        <v>41</v>
      </c>
      <c r="B296" s="58" t="s">
        <v>0</v>
      </c>
      <c r="C296" s="57">
        <v>5.2</v>
      </c>
      <c r="D296" s="194" t="s">
        <v>2853</v>
      </c>
    </row>
    <row r="297" spans="1:4" ht="30" outlineLevel="1" x14ac:dyDescent="0.25">
      <c r="A297" s="57" t="s">
        <v>41</v>
      </c>
      <c r="B297" s="58" t="s">
        <v>740</v>
      </c>
      <c r="C297" s="57">
        <v>5.3</v>
      </c>
      <c r="D297" s="194" t="s">
        <v>2853</v>
      </c>
    </row>
    <row r="298" spans="1:4" ht="30" outlineLevel="1" x14ac:dyDescent="0.25">
      <c r="A298" s="57" t="s">
        <v>41</v>
      </c>
      <c r="B298" s="58" t="s">
        <v>3</v>
      </c>
      <c r="C298" s="57">
        <v>5.14</v>
      </c>
      <c r="D298" s="194" t="s">
        <v>2853</v>
      </c>
    </row>
    <row r="299" spans="1:4" ht="30" outlineLevel="1" x14ac:dyDescent="0.25">
      <c r="A299" s="57" t="s">
        <v>41</v>
      </c>
      <c r="B299" s="58" t="s">
        <v>29</v>
      </c>
      <c r="C299" s="57">
        <v>5.19</v>
      </c>
      <c r="D299" s="194" t="s">
        <v>2853</v>
      </c>
    </row>
    <row r="300" spans="1:4" ht="30" outlineLevel="1" x14ac:dyDescent="0.25">
      <c r="A300" s="57" t="s">
        <v>41</v>
      </c>
      <c r="B300" s="58" t="s">
        <v>28</v>
      </c>
      <c r="C300" s="57">
        <v>5.24</v>
      </c>
      <c r="D300" s="194" t="s">
        <v>2853</v>
      </c>
    </row>
    <row r="301" spans="1:4" ht="30" outlineLevel="1" x14ac:dyDescent="0.25">
      <c r="A301" s="57" t="s">
        <v>41</v>
      </c>
      <c r="B301" s="58" t="s">
        <v>1</v>
      </c>
      <c r="C301" s="57">
        <v>5.26</v>
      </c>
      <c r="D301" s="194" t="s">
        <v>2853</v>
      </c>
    </row>
    <row r="302" spans="1:4" ht="30" outlineLevel="1" x14ac:dyDescent="0.25">
      <c r="A302" s="57" t="s">
        <v>41</v>
      </c>
      <c r="B302" s="58" t="s">
        <v>620</v>
      </c>
      <c r="C302" s="57">
        <v>5.27</v>
      </c>
      <c r="D302" s="194" t="s">
        <v>2853</v>
      </c>
    </row>
    <row r="303" spans="1:4" ht="30" outlineLevel="1" x14ac:dyDescent="0.25">
      <c r="A303" s="57" t="s">
        <v>41</v>
      </c>
      <c r="B303" s="58" t="s">
        <v>621</v>
      </c>
      <c r="C303" s="57">
        <v>5.28</v>
      </c>
      <c r="D303" s="194" t="s">
        <v>2853</v>
      </c>
    </row>
    <row r="304" spans="1:4" ht="30" outlineLevel="1" x14ac:dyDescent="0.25">
      <c r="A304" s="57" t="s">
        <v>41</v>
      </c>
      <c r="B304" s="58" t="s">
        <v>12</v>
      </c>
      <c r="C304" s="57">
        <v>5.37</v>
      </c>
      <c r="D304" s="194" t="s">
        <v>2853</v>
      </c>
    </row>
    <row r="305" spans="1:4" ht="30" outlineLevel="1" x14ac:dyDescent="0.25">
      <c r="A305" s="57" t="s">
        <v>41</v>
      </c>
      <c r="B305" s="58" t="s">
        <v>6</v>
      </c>
      <c r="C305" s="57">
        <v>5.49</v>
      </c>
      <c r="D305" s="194" t="s">
        <v>2853</v>
      </c>
    </row>
    <row r="306" spans="1:4" ht="30" outlineLevel="1" x14ac:dyDescent="0.25">
      <c r="A306" s="57" t="s">
        <v>41</v>
      </c>
      <c r="B306" s="58" t="s">
        <v>8</v>
      </c>
      <c r="C306" s="57">
        <v>5.51</v>
      </c>
      <c r="D306" s="194" t="s">
        <v>2853</v>
      </c>
    </row>
    <row r="307" spans="1:4" ht="30" outlineLevel="1" x14ac:dyDescent="0.25">
      <c r="A307" s="57" t="s">
        <v>41</v>
      </c>
      <c r="B307" s="58" t="s">
        <v>396</v>
      </c>
      <c r="C307" s="57">
        <v>5.53</v>
      </c>
      <c r="D307" s="194" t="s">
        <v>2853</v>
      </c>
    </row>
    <row r="308" spans="1:4" ht="30" outlineLevel="1" x14ac:dyDescent="0.25">
      <c r="A308" s="57" t="s">
        <v>41</v>
      </c>
      <c r="B308" s="58" t="s">
        <v>13</v>
      </c>
      <c r="C308" s="57">
        <v>5.69</v>
      </c>
      <c r="D308" s="194" t="s">
        <v>2853</v>
      </c>
    </row>
    <row r="309" spans="1:4" ht="30" outlineLevel="1" x14ac:dyDescent="0.25">
      <c r="A309" s="57" t="s">
        <v>41</v>
      </c>
      <c r="B309" s="58" t="s">
        <v>421</v>
      </c>
      <c r="C309" s="57">
        <v>5.75</v>
      </c>
      <c r="D309" s="194" t="s">
        <v>2853</v>
      </c>
    </row>
    <row r="310" spans="1:4" ht="30" outlineLevel="1" x14ac:dyDescent="0.25">
      <c r="A310" s="57" t="s">
        <v>41</v>
      </c>
      <c r="B310" s="58" t="s">
        <v>14</v>
      </c>
      <c r="C310" s="59">
        <v>5.7</v>
      </c>
      <c r="D310" s="194" t="s">
        <v>2853</v>
      </c>
    </row>
    <row r="311" spans="1:4" ht="30" outlineLevel="1" x14ac:dyDescent="0.25">
      <c r="A311" s="57" t="s">
        <v>41</v>
      </c>
      <c r="B311" s="58" t="s">
        <v>637</v>
      </c>
      <c r="C311" s="57">
        <v>5.74</v>
      </c>
      <c r="D311" s="194" t="s">
        <v>2853</v>
      </c>
    </row>
    <row r="312" spans="1:4" ht="30" outlineLevel="1" x14ac:dyDescent="0.25">
      <c r="A312" s="57" t="s">
        <v>41</v>
      </c>
      <c r="B312" s="58" t="s">
        <v>789</v>
      </c>
      <c r="C312" s="57">
        <v>5.58</v>
      </c>
      <c r="D312" s="194" t="s">
        <v>2853</v>
      </c>
    </row>
    <row r="313" spans="1:4" ht="30" outlineLevel="1" x14ac:dyDescent="0.25">
      <c r="A313" s="57" t="s">
        <v>41</v>
      </c>
      <c r="B313" s="58" t="s">
        <v>11</v>
      </c>
      <c r="C313" s="57">
        <v>5.54</v>
      </c>
      <c r="D313" s="194" t="s">
        <v>2853</v>
      </c>
    </row>
    <row r="314" spans="1:4" ht="30" outlineLevel="1" x14ac:dyDescent="0.25">
      <c r="A314" s="57" t="s">
        <v>41</v>
      </c>
      <c r="B314" s="58" t="s">
        <v>15</v>
      </c>
      <c r="C314" s="57">
        <v>5.55</v>
      </c>
      <c r="D314" s="194" t="s">
        <v>2853</v>
      </c>
    </row>
    <row r="315" spans="1:4" ht="30" outlineLevel="1" x14ac:dyDescent="0.25">
      <c r="A315" s="57" t="s">
        <v>41</v>
      </c>
      <c r="B315" s="58" t="s">
        <v>1162</v>
      </c>
      <c r="C315" s="57">
        <v>5.63</v>
      </c>
      <c r="D315" s="194" t="s">
        <v>2853</v>
      </c>
    </row>
    <row r="316" spans="1:4" ht="30" outlineLevel="1" x14ac:dyDescent="0.25">
      <c r="A316" s="57" t="s">
        <v>41</v>
      </c>
      <c r="B316" s="58" t="s">
        <v>1163</v>
      </c>
      <c r="C316" s="57">
        <v>5.65</v>
      </c>
      <c r="D316" s="194" t="s">
        <v>2853</v>
      </c>
    </row>
    <row r="317" spans="1:4" ht="30" outlineLevel="1" x14ac:dyDescent="0.25">
      <c r="A317" s="57" t="s">
        <v>41</v>
      </c>
      <c r="B317" s="58" t="s">
        <v>26</v>
      </c>
      <c r="C317" s="57">
        <v>5.68</v>
      </c>
      <c r="D317" s="194" t="s">
        <v>2853</v>
      </c>
    </row>
    <row r="318" spans="1:4" ht="30" outlineLevel="1" x14ac:dyDescent="0.25">
      <c r="A318" s="57" t="s">
        <v>41</v>
      </c>
      <c r="B318" s="58" t="s">
        <v>19</v>
      </c>
      <c r="C318" s="57">
        <v>5.47</v>
      </c>
      <c r="D318" s="194" t="s">
        <v>2853</v>
      </c>
    </row>
    <row r="319" spans="1:4" ht="30" outlineLevel="1" x14ac:dyDescent="0.25">
      <c r="A319" s="57" t="s">
        <v>41</v>
      </c>
      <c r="B319" s="58" t="s">
        <v>30</v>
      </c>
      <c r="C319" s="57">
        <v>5.48</v>
      </c>
      <c r="D319" s="194" t="s">
        <v>2853</v>
      </c>
    </row>
    <row r="320" spans="1:4" ht="31.2" x14ac:dyDescent="0.25">
      <c r="A320" s="61" t="s">
        <v>41</v>
      </c>
      <c r="B320" s="195" t="s">
        <v>2853</v>
      </c>
      <c r="C320" s="196" t="s">
        <v>2853</v>
      </c>
      <c r="D320" s="194" t="s">
        <v>2853</v>
      </c>
    </row>
    <row r="321" spans="1:4" ht="15.6" outlineLevel="1" x14ac:dyDescent="0.25">
      <c r="A321" s="57" t="s">
        <v>42</v>
      </c>
      <c r="B321" s="58" t="s">
        <v>667</v>
      </c>
      <c r="C321" s="57">
        <v>5.0999999999999996</v>
      </c>
      <c r="D321" s="194" t="s">
        <v>2853</v>
      </c>
    </row>
    <row r="322" spans="1:4" ht="15.6" outlineLevel="1" x14ac:dyDescent="0.25">
      <c r="A322" s="57" t="s">
        <v>42</v>
      </c>
      <c r="B322" s="58" t="s">
        <v>0</v>
      </c>
      <c r="C322" s="57">
        <v>5.2</v>
      </c>
      <c r="D322" s="194" t="s">
        <v>2853</v>
      </c>
    </row>
    <row r="323" spans="1:4" ht="15.6" outlineLevel="1" x14ac:dyDescent="0.25">
      <c r="A323" s="57" t="s">
        <v>42</v>
      </c>
      <c r="B323" s="58" t="s">
        <v>1</v>
      </c>
      <c r="C323" s="57">
        <v>5.26</v>
      </c>
      <c r="D323" s="194" t="s">
        <v>2853</v>
      </c>
    </row>
    <row r="324" spans="1:4" ht="15.6" outlineLevel="1" x14ac:dyDescent="0.25">
      <c r="A324" s="57" t="s">
        <v>42</v>
      </c>
      <c r="B324" s="58" t="s">
        <v>3</v>
      </c>
      <c r="C324" s="57">
        <v>5.14</v>
      </c>
      <c r="D324" s="194" t="s">
        <v>2853</v>
      </c>
    </row>
    <row r="325" spans="1:4" ht="15.6" outlineLevel="1" x14ac:dyDescent="0.25">
      <c r="A325" s="57" t="s">
        <v>42</v>
      </c>
      <c r="B325" s="58" t="s">
        <v>29</v>
      </c>
      <c r="C325" s="57">
        <v>5.19</v>
      </c>
      <c r="D325" s="194" t="s">
        <v>2853</v>
      </c>
    </row>
    <row r="326" spans="1:4" ht="15.6" outlineLevel="1" x14ac:dyDescent="0.25">
      <c r="A326" s="57" t="s">
        <v>42</v>
      </c>
      <c r="B326" s="58" t="s">
        <v>12</v>
      </c>
      <c r="C326" s="57">
        <v>5.37</v>
      </c>
      <c r="D326" s="194" t="s">
        <v>2853</v>
      </c>
    </row>
    <row r="327" spans="1:4" ht="15.6" outlineLevel="1" x14ac:dyDescent="0.25">
      <c r="A327" s="57" t="s">
        <v>42</v>
      </c>
      <c r="B327" s="58" t="s">
        <v>13</v>
      </c>
      <c r="C327" s="57">
        <v>5.69</v>
      </c>
      <c r="D327" s="194" t="s">
        <v>2853</v>
      </c>
    </row>
    <row r="328" spans="1:4" ht="15.6" outlineLevel="1" x14ac:dyDescent="0.25">
      <c r="A328" s="57" t="s">
        <v>42</v>
      </c>
      <c r="B328" s="58" t="s">
        <v>282</v>
      </c>
      <c r="C328" s="59">
        <v>5.8</v>
      </c>
      <c r="D328" s="194" t="s">
        <v>2853</v>
      </c>
    </row>
    <row r="329" spans="1:4" ht="15.6" outlineLevel="1" x14ac:dyDescent="0.25">
      <c r="A329" s="57" t="s">
        <v>42</v>
      </c>
      <c r="B329" s="58" t="s">
        <v>421</v>
      </c>
      <c r="C329" s="57">
        <v>5.75</v>
      </c>
      <c r="D329" s="194" t="s">
        <v>2853</v>
      </c>
    </row>
    <row r="330" spans="1:4" ht="15.6" outlineLevel="1" x14ac:dyDescent="0.25">
      <c r="A330" s="57" t="s">
        <v>42</v>
      </c>
      <c r="B330" s="58" t="s">
        <v>14</v>
      </c>
      <c r="C330" s="59">
        <v>5.7</v>
      </c>
      <c r="D330" s="194" t="s">
        <v>2853</v>
      </c>
    </row>
    <row r="331" spans="1:4" ht="15.6" outlineLevel="1" x14ac:dyDescent="0.25">
      <c r="A331" s="57" t="s">
        <v>42</v>
      </c>
      <c r="B331" s="58" t="s">
        <v>637</v>
      </c>
      <c r="C331" s="57">
        <v>5.74</v>
      </c>
      <c r="D331" s="194" t="s">
        <v>2853</v>
      </c>
    </row>
    <row r="332" spans="1:4" ht="15.6" outlineLevel="1" x14ac:dyDescent="0.25">
      <c r="A332" s="57" t="s">
        <v>42</v>
      </c>
      <c r="B332" s="58" t="s">
        <v>789</v>
      </c>
      <c r="C332" s="57">
        <v>5.58</v>
      </c>
      <c r="D332" s="194" t="s">
        <v>2853</v>
      </c>
    </row>
    <row r="333" spans="1:4" ht="15.6" outlineLevel="1" x14ac:dyDescent="0.25">
      <c r="A333" s="57" t="s">
        <v>42</v>
      </c>
      <c r="B333" s="58" t="s">
        <v>15</v>
      </c>
      <c r="C333" s="57">
        <v>5.55</v>
      </c>
      <c r="D333" s="194" t="s">
        <v>2853</v>
      </c>
    </row>
    <row r="334" spans="1:4" ht="15.6" outlineLevel="1" x14ac:dyDescent="0.25">
      <c r="A334" s="57" t="s">
        <v>42</v>
      </c>
      <c r="B334" s="58" t="s">
        <v>1162</v>
      </c>
      <c r="C334" s="57">
        <v>5.63</v>
      </c>
      <c r="D334" s="194" t="s">
        <v>2853</v>
      </c>
    </row>
    <row r="335" spans="1:4" ht="15.6" outlineLevel="1" x14ac:dyDescent="0.25">
      <c r="A335" s="57" t="s">
        <v>42</v>
      </c>
      <c r="B335" s="58" t="s">
        <v>1163</v>
      </c>
      <c r="C335" s="57">
        <v>5.65</v>
      </c>
      <c r="D335" s="194" t="s">
        <v>2853</v>
      </c>
    </row>
    <row r="336" spans="1:4" ht="15.6" outlineLevel="1" x14ac:dyDescent="0.25">
      <c r="A336" s="57" t="s">
        <v>42</v>
      </c>
      <c r="B336" s="58" t="s">
        <v>26</v>
      </c>
      <c r="C336" s="57">
        <v>5.68</v>
      </c>
      <c r="D336" s="194" t="s">
        <v>2853</v>
      </c>
    </row>
    <row r="337" spans="1:4" ht="15.6" outlineLevel="1" x14ac:dyDescent="0.25">
      <c r="A337" s="57" t="s">
        <v>42</v>
      </c>
      <c r="B337" s="58" t="s">
        <v>19</v>
      </c>
      <c r="C337" s="57">
        <v>5.47</v>
      </c>
      <c r="D337" s="194" t="s">
        <v>2853</v>
      </c>
    </row>
    <row r="338" spans="1:4" ht="15.6" outlineLevel="1" x14ac:dyDescent="0.25">
      <c r="A338" s="57" t="s">
        <v>42</v>
      </c>
      <c r="B338" s="58" t="s">
        <v>30</v>
      </c>
      <c r="C338" s="57">
        <v>5.48</v>
      </c>
      <c r="D338" s="194" t="s">
        <v>2853</v>
      </c>
    </row>
    <row r="339" spans="1:4" ht="15.6" x14ac:dyDescent="0.25">
      <c r="A339" s="61" t="s">
        <v>42</v>
      </c>
      <c r="B339" s="195" t="s">
        <v>2853</v>
      </c>
      <c r="C339" s="196" t="s">
        <v>2853</v>
      </c>
      <c r="D339" s="194" t="s">
        <v>2853</v>
      </c>
    </row>
    <row r="340" spans="1:4" ht="15.6" outlineLevel="1" x14ac:dyDescent="0.25">
      <c r="A340" s="57" t="s">
        <v>683</v>
      </c>
      <c r="B340" s="58" t="s">
        <v>800</v>
      </c>
      <c r="C340" s="57">
        <v>5.0999999999999996</v>
      </c>
      <c r="D340" s="194" t="s">
        <v>2853</v>
      </c>
    </row>
    <row r="341" spans="1:4" ht="15.6" outlineLevel="1" x14ac:dyDescent="0.25">
      <c r="A341" s="57" t="s">
        <v>683</v>
      </c>
      <c r="B341" s="58" t="s">
        <v>0</v>
      </c>
      <c r="C341" s="57">
        <v>5.2</v>
      </c>
      <c r="D341" s="194" t="s">
        <v>2853</v>
      </c>
    </row>
    <row r="342" spans="1:4" ht="15.6" outlineLevel="1" x14ac:dyDescent="0.25">
      <c r="A342" s="57" t="s">
        <v>683</v>
      </c>
      <c r="B342" s="58" t="s">
        <v>1</v>
      </c>
      <c r="C342" s="57">
        <v>5.26</v>
      </c>
      <c r="D342" s="194" t="s">
        <v>2853</v>
      </c>
    </row>
    <row r="343" spans="1:4" ht="15.6" outlineLevel="1" x14ac:dyDescent="0.25">
      <c r="A343" s="57" t="s">
        <v>683</v>
      </c>
      <c r="B343" s="58" t="s">
        <v>774</v>
      </c>
      <c r="C343" s="57">
        <v>5.38</v>
      </c>
      <c r="D343" s="194" t="s">
        <v>2853</v>
      </c>
    </row>
    <row r="344" spans="1:4" ht="15.6" outlineLevel="1" x14ac:dyDescent="0.25">
      <c r="A344" s="57" t="s">
        <v>683</v>
      </c>
      <c r="B344" s="58" t="s">
        <v>773</v>
      </c>
      <c r="C344" s="57">
        <v>5.39</v>
      </c>
      <c r="D344" s="194" t="s">
        <v>2853</v>
      </c>
    </row>
    <row r="345" spans="1:4" ht="15.6" outlineLevel="1" x14ac:dyDescent="0.25">
      <c r="A345" s="57" t="s">
        <v>683</v>
      </c>
      <c r="B345" s="58" t="s">
        <v>1170</v>
      </c>
      <c r="C345" s="59">
        <v>5.6</v>
      </c>
      <c r="D345" s="194" t="s">
        <v>2853</v>
      </c>
    </row>
    <row r="346" spans="1:4" ht="15.6" outlineLevel="1" x14ac:dyDescent="0.25">
      <c r="A346" s="57" t="s">
        <v>683</v>
      </c>
      <c r="B346" s="58" t="s">
        <v>30</v>
      </c>
      <c r="C346" s="57">
        <v>5.48</v>
      </c>
      <c r="D346" s="194" t="s">
        <v>2853</v>
      </c>
    </row>
    <row r="347" spans="1:4" ht="15.6" x14ac:dyDescent="0.25">
      <c r="A347" s="61" t="s">
        <v>683</v>
      </c>
      <c r="B347" s="195" t="s">
        <v>2853</v>
      </c>
      <c r="C347" s="196" t="s">
        <v>2853</v>
      </c>
      <c r="D347" s="194" t="s">
        <v>2853</v>
      </c>
    </row>
    <row r="348" spans="1:4" ht="15.6" outlineLevel="1" x14ac:dyDescent="0.25">
      <c r="A348" s="57" t="s">
        <v>43</v>
      </c>
      <c r="B348" s="58" t="s">
        <v>667</v>
      </c>
      <c r="C348" s="57">
        <v>5.0999999999999996</v>
      </c>
      <c r="D348" s="194" t="s">
        <v>2853</v>
      </c>
    </row>
    <row r="349" spans="1:4" ht="15.6" outlineLevel="1" x14ac:dyDescent="0.25">
      <c r="A349" s="57" t="s">
        <v>43</v>
      </c>
      <c r="B349" s="58" t="s">
        <v>0</v>
      </c>
      <c r="C349" s="57">
        <v>5.2</v>
      </c>
      <c r="D349" s="194" t="s">
        <v>2853</v>
      </c>
    </row>
    <row r="350" spans="1:4" ht="15.6" outlineLevel="1" x14ac:dyDescent="0.25">
      <c r="A350" s="57" t="s">
        <v>43</v>
      </c>
      <c r="B350" s="58" t="s">
        <v>740</v>
      </c>
      <c r="C350" s="57">
        <v>5.3</v>
      </c>
      <c r="D350" s="194" t="s">
        <v>2853</v>
      </c>
    </row>
    <row r="351" spans="1:4" ht="15.6" outlineLevel="1" x14ac:dyDescent="0.25">
      <c r="A351" s="57" t="s">
        <v>43</v>
      </c>
      <c r="B351" s="58" t="s">
        <v>2</v>
      </c>
      <c r="C351" s="57">
        <v>5.6</v>
      </c>
      <c r="D351" s="194" t="s">
        <v>2853</v>
      </c>
    </row>
    <row r="352" spans="1:4" ht="15.6" outlineLevel="1" x14ac:dyDescent="0.25">
      <c r="A352" s="57" t="s">
        <v>43</v>
      </c>
      <c r="B352" s="58" t="s">
        <v>746</v>
      </c>
      <c r="C352" s="59">
        <v>5.0999999999999996</v>
      </c>
      <c r="D352" s="194" t="s">
        <v>2853</v>
      </c>
    </row>
    <row r="353" spans="1:4" ht="15.6" outlineLevel="1" x14ac:dyDescent="0.25">
      <c r="A353" s="57" t="s">
        <v>43</v>
      </c>
      <c r="B353" s="58" t="s">
        <v>3</v>
      </c>
      <c r="C353" s="57">
        <v>5.14</v>
      </c>
      <c r="D353" s="194" t="s">
        <v>2853</v>
      </c>
    </row>
    <row r="354" spans="1:4" ht="15.6" outlineLevel="1" x14ac:dyDescent="0.25">
      <c r="A354" s="57" t="s">
        <v>43</v>
      </c>
      <c r="B354" s="58" t="s">
        <v>29</v>
      </c>
      <c r="C354" s="57">
        <v>5.19</v>
      </c>
      <c r="D354" s="194" t="s">
        <v>2853</v>
      </c>
    </row>
    <row r="355" spans="1:4" ht="15.6" outlineLevel="1" x14ac:dyDescent="0.25">
      <c r="A355" s="57" t="s">
        <v>43</v>
      </c>
      <c r="B355" s="58" t="s">
        <v>28</v>
      </c>
      <c r="C355" s="57">
        <v>5.24</v>
      </c>
      <c r="D355" s="194" t="s">
        <v>2853</v>
      </c>
    </row>
    <row r="356" spans="1:4" ht="15.6" outlineLevel="1" x14ac:dyDescent="0.25">
      <c r="A356" s="57" t="s">
        <v>43</v>
      </c>
      <c r="B356" s="58" t="s">
        <v>1</v>
      </c>
      <c r="C356" s="57">
        <v>5.26</v>
      </c>
      <c r="D356" s="194" t="s">
        <v>2853</v>
      </c>
    </row>
    <row r="357" spans="1:4" ht="15.6" outlineLevel="1" x14ac:dyDescent="0.25">
      <c r="A357" s="57" t="s">
        <v>43</v>
      </c>
      <c r="B357" s="58" t="s">
        <v>620</v>
      </c>
      <c r="C357" s="57">
        <v>5.27</v>
      </c>
      <c r="D357" s="194" t="s">
        <v>2853</v>
      </c>
    </row>
    <row r="358" spans="1:4" ht="15.6" outlineLevel="1" x14ac:dyDescent="0.25">
      <c r="A358" s="57" t="s">
        <v>43</v>
      </c>
      <c r="B358" s="58" t="s">
        <v>621</v>
      </c>
      <c r="C358" s="57">
        <v>5.28</v>
      </c>
      <c r="D358" s="194" t="s">
        <v>2853</v>
      </c>
    </row>
    <row r="359" spans="1:4" ht="15.6" outlineLevel="1" x14ac:dyDescent="0.25">
      <c r="A359" s="57" t="s">
        <v>43</v>
      </c>
      <c r="B359" s="58" t="s">
        <v>9</v>
      </c>
      <c r="C359" s="57">
        <v>5.31</v>
      </c>
      <c r="D359" s="194" t="s">
        <v>2853</v>
      </c>
    </row>
    <row r="360" spans="1:4" ht="15.6" outlineLevel="1" x14ac:dyDescent="0.25">
      <c r="A360" s="57" t="s">
        <v>43</v>
      </c>
      <c r="B360" s="58" t="s">
        <v>622</v>
      </c>
      <c r="C360" s="57">
        <v>5.36</v>
      </c>
      <c r="D360" s="194" t="s">
        <v>2853</v>
      </c>
    </row>
    <row r="361" spans="1:4" ht="15.6" outlineLevel="1" x14ac:dyDescent="0.25">
      <c r="A361" s="57" t="s">
        <v>43</v>
      </c>
      <c r="B361" s="58" t="s">
        <v>12</v>
      </c>
      <c r="C361" s="57">
        <v>5.37</v>
      </c>
      <c r="D361" s="194" t="s">
        <v>2853</v>
      </c>
    </row>
    <row r="362" spans="1:4" ht="15.6" outlineLevel="1" x14ac:dyDescent="0.25">
      <c r="A362" s="57" t="s">
        <v>43</v>
      </c>
      <c r="B362" s="58" t="s">
        <v>6</v>
      </c>
      <c r="C362" s="57">
        <v>5.49</v>
      </c>
      <c r="D362" s="194" t="s">
        <v>2853</v>
      </c>
    </row>
    <row r="363" spans="1:4" ht="15.6" outlineLevel="1" x14ac:dyDescent="0.25">
      <c r="A363" s="57" t="s">
        <v>43</v>
      </c>
      <c r="B363" s="58" t="s">
        <v>8</v>
      </c>
      <c r="C363" s="57">
        <v>5.51</v>
      </c>
      <c r="D363" s="194" t="s">
        <v>2853</v>
      </c>
    </row>
    <row r="364" spans="1:4" ht="15.6" outlineLevel="1" x14ac:dyDescent="0.25">
      <c r="A364" s="57" t="s">
        <v>43</v>
      </c>
      <c r="B364" s="58" t="s">
        <v>7</v>
      </c>
      <c r="C364" s="57">
        <v>5.52</v>
      </c>
      <c r="D364" s="194" t="s">
        <v>2853</v>
      </c>
    </row>
    <row r="365" spans="1:4" ht="15.6" outlineLevel="1" x14ac:dyDescent="0.25">
      <c r="A365" s="57" t="s">
        <v>43</v>
      </c>
      <c r="B365" s="58" t="s">
        <v>396</v>
      </c>
      <c r="C365" s="57">
        <v>5.53</v>
      </c>
      <c r="D365" s="194" t="s">
        <v>2853</v>
      </c>
    </row>
    <row r="366" spans="1:4" ht="15.6" outlineLevel="1" x14ac:dyDescent="0.25">
      <c r="A366" s="57" t="s">
        <v>43</v>
      </c>
      <c r="B366" s="58" t="s">
        <v>13</v>
      </c>
      <c r="C366" s="57">
        <v>5.69</v>
      </c>
      <c r="D366" s="194" t="s">
        <v>2853</v>
      </c>
    </row>
    <row r="367" spans="1:4" ht="15.6" outlineLevel="1" x14ac:dyDescent="0.25">
      <c r="A367" s="57" t="s">
        <v>43</v>
      </c>
      <c r="B367" s="58" t="s">
        <v>282</v>
      </c>
      <c r="C367" s="59">
        <v>5.8</v>
      </c>
      <c r="D367" s="194" t="s">
        <v>2853</v>
      </c>
    </row>
    <row r="368" spans="1:4" ht="15.6" outlineLevel="1" x14ac:dyDescent="0.25">
      <c r="A368" s="57" t="s">
        <v>43</v>
      </c>
      <c r="B368" s="58" t="s">
        <v>309</v>
      </c>
      <c r="C368" s="59">
        <v>5.72</v>
      </c>
      <c r="D368" s="194" t="s">
        <v>2853</v>
      </c>
    </row>
    <row r="369" spans="1:4" ht="15.6" outlineLevel="1" x14ac:dyDescent="0.25">
      <c r="A369" s="57" t="s">
        <v>43</v>
      </c>
      <c r="B369" s="58" t="s">
        <v>421</v>
      </c>
      <c r="C369" s="57">
        <v>5.75</v>
      </c>
      <c r="D369" s="194" t="s">
        <v>2853</v>
      </c>
    </row>
    <row r="370" spans="1:4" ht="15.6" outlineLevel="1" x14ac:dyDescent="0.25">
      <c r="A370" s="57" t="s">
        <v>43</v>
      </c>
      <c r="B370" s="58" t="s">
        <v>14</v>
      </c>
      <c r="C370" s="59">
        <v>5.7</v>
      </c>
      <c r="D370" s="194" t="s">
        <v>2853</v>
      </c>
    </row>
    <row r="371" spans="1:4" ht="15.6" outlineLevel="1" x14ac:dyDescent="0.25">
      <c r="A371" s="57" t="s">
        <v>43</v>
      </c>
      <c r="B371" s="58" t="s">
        <v>637</v>
      </c>
      <c r="C371" s="57">
        <v>5.74</v>
      </c>
      <c r="D371" s="194" t="s">
        <v>2853</v>
      </c>
    </row>
    <row r="372" spans="1:4" ht="15.6" outlineLevel="1" x14ac:dyDescent="0.25">
      <c r="A372" s="57" t="s">
        <v>43</v>
      </c>
      <c r="B372" s="58" t="s">
        <v>941</v>
      </c>
      <c r="C372" s="57">
        <v>5.76</v>
      </c>
      <c r="D372" s="194" t="s">
        <v>2853</v>
      </c>
    </row>
    <row r="373" spans="1:4" ht="15.6" outlineLevel="1" x14ac:dyDescent="0.25">
      <c r="A373" s="57" t="s">
        <v>43</v>
      </c>
      <c r="B373" s="58" t="s">
        <v>685</v>
      </c>
      <c r="C373" s="57">
        <v>5.89</v>
      </c>
      <c r="D373" s="60" t="s">
        <v>951</v>
      </c>
    </row>
    <row r="374" spans="1:4" ht="15.6" outlineLevel="1" x14ac:dyDescent="0.25">
      <c r="A374" s="57" t="s">
        <v>43</v>
      </c>
      <c r="B374" s="58" t="s">
        <v>933</v>
      </c>
      <c r="C374" s="57">
        <v>5.109</v>
      </c>
      <c r="D374" s="197" t="s">
        <v>2853</v>
      </c>
    </row>
    <row r="375" spans="1:4" ht="15.6" outlineLevel="1" x14ac:dyDescent="0.25">
      <c r="A375" s="57" t="s">
        <v>43</v>
      </c>
      <c r="B375" s="58" t="s">
        <v>372</v>
      </c>
      <c r="C375" s="57">
        <v>5.1109999999999998</v>
      </c>
      <c r="D375" s="194" t="s">
        <v>2853</v>
      </c>
    </row>
    <row r="376" spans="1:4" ht="15.6" outlineLevel="1" x14ac:dyDescent="0.25">
      <c r="A376" s="57" t="s">
        <v>43</v>
      </c>
      <c r="B376" s="58" t="s">
        <v>16</v>
      </c>
      <c r="C376" s="57">
        <v>5.1120000000000001</v>
      </c>
      <c r="D376" s="194" t="s">
        <v>2853</v>
      </c>
    </row>
    <row r="377" spans="1:4" ht="15.6" outlineLevel="1" x14ac:dyDescent="0.25">
      <c r="A377" s="57" t="s">
        <v>43</v>
      </c>
      <c r="B377" s="58" t="s">
        <v>475</v>
      </c>
      <c r="C377" s="57">
        <v>5.1130000000000004</v>
      </c>
      <c r="D377" s="194" t="s">
        <v>2853</v>
      </c>
    </row>
    <row r="378" spans="1:4" ht="15.6" outlineLevel="1" x14ac:dyDescent="0.25">
      <c r="A378" s="57" t="s">
        <v>43</v>
      </c>
      <c r="B378" s="58" t="s">
        <v>789</v>
      </c>
      <c r="C378" s="57">
        <v>5.58</v>
      </c>
      <c r="D378" s="194" t="s">
        <v>2853</v>
      </c>
    </row>
    <row r="379" spans="1:4" ht="15.6" outlineLevel="1" x14ac:dyDescent="0.25">
      <c r="A379" s="57" t="s">
        <v>43</v>
      </c>
      <c r="B379" s="58" t="s">
        <v>11</v>
      </c>
      <c r="C379" s="57">
        <v>5.54</v>
      </c>
      <c r="D379" s="194" t="s">
        <v>2853</v>
      </c>
    </row>
    <row r="380" spans="1:4" ht="15.6" outlineLevel="1" x14ac:dyDescent="0.25">
      <c r="A380" s="57" t="s">
        <v>43</v>
      </c>
      <c r="B380" s="58" t="s">
        <v>15</v>
      </c>
      <c r="C380" s="57">
        <v>5.55</v>
      </c>
      <c r="D380" s="194" t="s">
        <v>2853</v>
      </c>
    </row>
    <row r="381" spans="1:4" ht="15.6" outlineLevel="1" x14ac:dyDescent="0.25">
      <c r="A381" s="57" t="s">
        <v>43</v>
      </c>
      <c r="B381" s="58" t="s">
        <v>1162</v>
      </c>
      <c r="C381" s="57">
        <v>5.63</v>
      </c>
      <c r="D381" s="194" t="s">
        <v>2853</v>
      </c>
    </row>
    <row r="382" spans="1:4" ht="15.6" outlineLevel="1" x14ac:dyDescent="0.25">
      <c r="A382" s="57" t="s">
        <v>43</v>
      </c>
      <c r="B382" s="58" t="s">
        <v>1163</v>
      </c>
      <c r="C382" s="57">
        <v>5.65</v>
      </c>
      <c r="D382" s="194" t="s">
        <v>2853</v>
      </c>
    </row>
    <row r="383" spans="1:4" ht="15.6" outlineLevel="1" x14ac:dyDescent="0.25">
      <c r="A383" s="57" t="s">
        <v>43</v>
      </c>
      <c r="B383" s="58" t="s">
        <v>804</v>
      </c>
      <c r="C383" s="57">
        <v>5.66</v>
      </c>
      <c r="D383" s="194" t="s">
        <v>2853</v>
      </c>
    </row>
    <row r="384" spans="1:4" ht="15.6" outlineLevel="1" x14ac:dyDescent="0.25">
      <c r="A384" s="57" t="s">
        <v>43</v>
      </c>
      <c r="B384" s="58" t="s">
        <v>26</v>
      </c>
      <c r="C384" s="57">
        <v>5.68</v>
      </c>
      <c r="D384" s="194" t="s">
        <v>2853</v>
      </c>
    </row>
    <row r="385" spans="1:4" ht="15.6" outlineLevel="1" x14ac:dyDescent="0.25">
      <c r="A385" s="57" t="s">
        <v>43</v>
      </c>
      <c r="B385" s="58" t="s">
        <v>19</v>
      </c>
      <c r="C385" s="57">
        <v>5.47</v>
      </c>
      <c r="D385" s="194" t="s">
        <v>2853</v>
      </c>
    </row>
    <row r="386" spans="1:4" ht="15.6" outlineLevel="1" x14ac:dyDescent="0.25">
      <c r="A386" s="57" t="s">
        <v>43</v>
      </c>
      <c r="B386" s="58" t="s">
        <v>30</v>
      </c>
      <c r="C386" s="57">
        <v>5.48</v>
      </c>
      <c r="D386" s="194" t="s">
        <v>2853</v>
      </c>
    </row>
    <row r="387" spans="1:4" ht="15.6" x14ac:dyDescent="0.25">
      <c r="A387" s="61" t="s">
        <v>43</v>
      </c>
      <c r="B387" s="195" t="s">
        <v>2853</v>
      </c>
      <c r="C387" s="196" t="s">
        <v>2853</v>
      </c>
      <c r="D387" s="194" t="s">
        <v>2853</v>
      </c>
    </row>
    <row r="388" spans="1:4" ht="15.6" outlineLevel="1" x14ac:dyDescent="0.25">
      <c r="A388" s="57" t="s">
        <v>44</v>
      </c>
      <c r="B388" s="58" t="s">
        <v>667</v>
      </c>
      <c r="C388" s="57">
        <v>5.0999999999999996</v>
      </c>
      <c r="D388" s="194" t="s">
        <v>2853</v>
      </c>
    </row>
    <row r="389" spans="1:4" ht="15.6" outlineLevel="1" x14ac:dyDescent="0.25">
      <c r="A389" s="57" t="s">
        <v>44</v>
      </c>
      <c r="B389" s="58" t="s">
        <v>0</v>
      </c>
      <c r="C389" s="57">
        <v>5.2</v>
      </c>
      <c r="D389" s="194" t="s">
        <v>2853</v>
      </c>
    </row>
    <row r="390" spans="1:4" ht="15.6" outlineLevel="1" x14ac:dyDescent="0.25">
      <c r="A390" s="57" t="s">
        <v>44</v>
      </c>
      <c r="B390" s="58" t="s">
        <v>740</v>
      </c>
      <c r="C390" s="57">
        <v>5.3</v>
      </c>
      <c r="D390" s="194" t="s">
        <v>2853</v>
      </c>
    </row>
    <row r="391" spans="1:4" ht="15.6" outlineLevel="1" x14ac:dyDescent="0.25">
      <c r="A391" s="57" t="s">
        <v>44</v>
      </c>
      <c r="B391" s="58" t="s">
        <v>2</v>
      </c>
      <c r="C391" s="57">
        <v>5.6</v>
      </c>
      <c r="D391" s="194" t="s">
        <v>2853</v>
      </c>
    </row>
    <row r="392" spans="1:4" ht="15.6" outlineLevel="1" x14ac:dyDescent="0.25">
      <c r="A392" s="57" t="s">
        <v>44</v>
      </c>
      <c r="B392" s="58" t="s">
        <v>746</v>
      </c>
      <c r="C392" s="59">
        <v>5.0999999999999996</v>
      </c>
      <c r="D392" s="194" t="s">
        <v>2853</v>
      </c>
    </row>
    <row r="393" spans="1:4" ht="15.6" outlineLevel="1" x14ac:dyDescent="0.25">
      <c r="A393" s="57" t="s">
        <v>44</v>
      </c>
      <c r="B393" s="58" t="s">
        <v>3</v>
      </c>
      <c r="C393" s="57">
        <v>5.14</v>
      </c>
      <c r="D393" s="194" t="s">
        <v>2853</v>
      </c>
    </row>
    <row r="394" spans="1:4" ht="15.6" outlineLevel="1" x14ac:dyDescent="0.25">
      <c r="A394" s="57" t="s">
        <v>44</v>
      </c>
      <c r="B394" s="58" t="s">
        <v>29</v>
      </c>
      <c r="C394" s="57">
        <v>5.19</v>
      </c>
      <c r="D394" s="194" t="s">
        <v>2853</v>
      </c>
    </row>
    <row r="395" spans="1:4" ht="15.6" outlineLevel="1" x14ac:dyDescent="0.25">
      <c r="A395" s="57" t="s">
        <v>44</v>
      </c>
      <c r="B395" s="58" t="s">
        <v>28</v>
      </c>
      <c r="C395" s="57">
        <v>5.24</v>
      </c>
      <c r="D395" s="194" t="s">
        <v>2853</v>
      </c>
    </row>
    <row r="396" spans="1:4" ht="15.6" outlineLevel="1" x14ac:dyDescent="0.25">
      <c r="A396" s="57" t="s">
        <v>44</v>
      </c>
      <c r="B396" s="58" t="s">
        <v>1</v>
      </c>
      <c r="C396" s="57">
        <v>5.26</v>
      </c>
      <c r="D396" s="194" t="s">
        <v>2853</v>
      </c>
    </row>
    <row r="397" spans="1:4" ht="15.6" outlineLevel="1" x14ac:dyDescent="0.25">
      <c r="A397" s="57" t="s">
        <v>44</v>
      </c>
      <c r="B397" s="58" t="s">
        <v>620</v>
      </c>
      <c r="C397" s="57">
        <v>5.27</v>
      </c>
      <c r="D397" s="194" t="s">
        <v>2853</v>
      </c>
    </row>
    <row r="398" spans="1:4" ht="15.6" outlineLevel="1" x14ac:dyDescent="0.25">
      <c r="A398" s="57" t="s">
        <v>44</v>
      </c>
      <c r="B398" s="58" t="s">
        <v>621</v>
      </c>
      <c r="C398" s="57">
        <v>5.28</v>
      </c>
      <c r="D398" s="194" t="s">
        <v>2853</v>
      </c>
    </row>
    <row r="399" spans="1:4" ht="15.6" outlineLevel="1" x14ac:dyDescent="0.25">
      <c r="A399" s="57" t="s">
        <v>44</v>
      </c>
      <c r="B399" s="58" t="s">
        <v>625</v>
      </c>
      <c r="C399" s="57">
        <v>5.29</v>
      </c>
      <c r="D399" s="194" t="s">
        <v>2853</v>
      </c>
    </row>
    <row r="400" spans="1:4" ht="15.6" outlineLevel="1" x14ac:dyDescent="0.25">
      <c r="A400" s="57" t="s">
        <v>44</v>
      </c>
      <c r="B400" s="58" t="s">
        <v>9</v>
      </c>
      <c r="C400" s="57">
        <v>5.31</v>
      </c>
      <c r="D400" s="194" t="s">
        <v>2853</v>
      </c>
    </row>
    <row r="401" spans="1:4" ht="15.6" outlineLevel="1" x14ac:dyDescent="0.25">
      <c r="A401" s="57" t="s">
        <v>44</v>
      </c>
      <c r="B401" s="58" t="s">
        <v>622</v>
      </c>
      <c r="C401" s="57">
        <v>5.36</v>
      </c>
      <c r="D401" s="194" t="s">
        <v>2853</v>
      </c>
    </row>
    <row r="402" spans="1:4" ht="15.6" outlineLevel="1" x14ac:dyDescent="0.25">
      <c r="A402" s="57" t="s">
        <v>44</v>
      </c>
      <c r="B402" s="58" t="s">
        <v>12</v>
      </c>
      <c r="C402" s="57">
        <v>5.37</v>
      </c>
      <c r="D402" s="194" t="s">
        <v>2853</v>
      </c>
    </row>
    <row r="403" spans="1:4" ht="15.6" outlineLevel="1" x14ac:dyDescent="0.25">
      <c r="A403" s="57" t="s">
        <v>44</v>
      </c>
      <c r="B403" s="58" t="s">
        <v>6</v>
      </c>
      <c r="C403" s="57">
        <v>5.49</v>
      </c>
      <c r="D403" s="194" t="s">
        <v>2853</v>
      </c>
    </row>
    <row r="404" spans="1:4" ht="15.6" outlineLevel="1" x14ac:dyDescent="0.25">
      <c r="A404" s="57" t="s">
        <v>44</v>
      </c>
      <c r="B404" s="58" t="s">
        <v>8</v>
      </c>
      <c r="C404" s="57">
        <v>5.51</v>
      </c>
      <c r="D404" s="194" t="s">
        <v>2853</v>
      </c>
    </row>
    <row r="405" spans="1:4" ht="15.6" outlineLevel="1" x14ac:dyDescent="0.25">
      <c r="A405" s="57" t="s">
        <v>44</v>
      </c>
      <c r="B405" s="58" t="s">
        <v>7</v>
      </c>
      <c r="C405" s="57">
        <v>5.52</v>
      </c>
      <c r="D405" s="194" t="s">
        <v>2853</v>
      </c>
    </row>
    <row r="406" spans="1:4" ht="15.6" outlineLevel="1" x14ac:dyDescent="0.25">
      <c r="A406" s="57" t="s">
        <v>44</v>
      </c>
      <c r="B406" s="58" t="s">
        <v>396</v>
      </c>
      <c r="C406" s="57">
        <v>5.53</v>
      </c>
      <c r="D406" s="194" t="s">
        <v>2853</v>
      </c>
    </row>
    <row r="407" spans="1:4" ht="15.6" outlineLevel="1" x14ac:dyDescent="0.25">
      <c r="A407" s="57" t="s">
        <v>44</v>
      </c>
      <c r="B407" s="58" t="s">
        <v>13</v>
      </c>
      <c r="C407" s="57">
        <v>5.69</v>
      </c>
      <c r="D407" s="194" t="s">
        <v>2853</v>
      </c>
    </row>
    <row r="408" spans="1:4" ht="15.6" outlineLevel="1" x14ac:dyDescent="0.25">
      <c r="A408" s="57" t="s">
        <v>44</v>
      </c>
      <c r="B408" s="58" t="s">
        <v>421</v>
      </c>
      <c r="C408" s="57">
        <v>5.75</v>
      </c>
      <c r="D408" s="194" t="s">
        <v>2853</v>
      </c>
    </row>
    <row r="409" spans="1:4" ht="15.6" outlineLevel="1" x14ac:dyDescent="0.25">
      <c r="A409" s="57" t="s">
        <v>44</v>
      </c>
      <c r="B409" s="58" t="s">
        <v>637</v>
      </c>
      <c r="C409" s="57">
        <v>5.74</v>
      </c>
      <c r="D409" s="194" t="s">
        <v>2853</v>
      </c>
    </row>
    <row r="410" spans="1:4" ht="15.6" outlineLevel="1" x14ac:dyDescent="0.25">
      <c r="A410" s="57" t="s">
        <v>44</v>
      </c>
      <c r="B410" s="58" t="s">
        <v>14</v>
      </c>
      <c r="C410" s="59">
        <v>5.7</v>
      </c>
      <c r="D410" s="194" t="s">
        <v>2853</v>
      </c>
    </row>
    <row r="411" spans="1:4" ht="15.6" outlineLevel="1" x14ac:dyDescent="0.25">
      <c r="A411" s="57" t="s">
        <v>44</v>
      </c>
      <c r="B411" s="58" t="s">
        <v>941</v>
      </c>
      <c r="C411" s="57">
        <v>5.76</v>
      </c>
      <c r="D411" s="194" t="s">
        <v>2853</v>
      </c>
    </row>
    <row r="412" spans="1:4" ht="15.6" outlineLevel="1" x14ac:dyDescent="0.25">
      <c r="A412" s="57" t="s">
        <v>44</v>
      </c>
      <c r="B412" s="58" t="s">
        <v>685</v>
      </c>
      <c r="C412" s="57">
        <v>5.89</v>
      </c>
      <c r="D412" s="60" t="s">
        <v>951</v>
      </c>
    </row>
    <row r="413" spans="1:4" ht="15.6" outlineLevel="1" x14ac:dyDescent="0.25">
      <c r="A413" s="57" t="s">
        <v>44</v>
      </c>
      <c r="B413" s="58" t="s">
        <v>933</v>
      </c>
      <c r="C413" s="57">
        <v>5.109</v>
      </c>
      <c r="D413" s="194" t="s">
        <v>2853</v>
      </c>
    </row>
    <row r="414" spans="1:4" ht="15.6" outlineLevel="1" x14ac:dyDescent="0.25">
      <c r="A414" s="57" t="s">
        <v>44</v>
      </c>
      <c r="B414" s="58" t="s">
        <v>372</v>
      </c>
      <c r="C414" s="57">
        <v>5.1109999999999998</v>
      </c>
      <c r="D414" s="194" t="s">
        <v>2853</v>
      </c>
    </row>
    <row r="415" spans="1:4" ht="15.6" outlineLevel="1" x14ac:dyDescent="0.25">
      <c r="A415" s="57" t="s">
        <v>44</v>
      </c>
      <c r="B415" s="58" t="s">
        <v>16</v>
      </c>
      <c r="C415" s="57">
        <v>5.1120000000000001</v>
      </c>
      <c r="D415" s="194" t="s">
        <v>2853</v>
      </c>
    </row>
    <row r="416" spans="1:4" ht="15.6" outlineLevel="1" x14ac:dyDescent="0.25">
      <c r="A416" s="57" t="s">
        <v>44</v>
      </c>
      <c r="B416" s="58" t="s">
        <v>475</v>
      </c>
      <c r="C416" s="57">
        <v>5.1130000000000004</v>
      </c>
      <c r="D416" s="194" t="s">
        <v>2853</v>
      </c>
    </row>
    <row r="417" spans="1:4" ht="15.6" outlineLevel="1" x14ac:dyDescent="0.25">
      <c r="A417" s="57" t="s">
        <v>44</v>
      </c>
      <c r="B417" s="58" t="s">
        <v>789</v>
      </c>
      <c r="C417" s="57">
        <v>5.58</v>
      </c>
      <c r="D417" s="194" t="s">
        <v>2853</v>
      </c>
    </row>
    <row r="418" spans="1:4" ht="15.6" outlineLevel="1" x14ac:dyDescent="0.25">
      <c r="A418" s="57" t="s">
        <v>44</v>
      </c>
      <c r="B418" s="58" t="s">
        <v>11</v>
      </c>
      <c r="C418" s="57">
        <v>5.54</v>
      </c>
      <c r="D418" s="194" t="s">
        <v>2853</v>
      </c>
    </row>
    <row r="419" spans="1:4" ht="15.6" outlineLevel="1" x14ac:dyDescent="0.25">
      <c r="A419" s="57" t="s">
        <v>44</v>
      </c>
      <c r="B419" s="58" t="s">
        <v>15</v>
      </c>
      <c r="C419" s="57">
        <v>5.55</v>
      </c>
      <c r="D419" s="194" t="s">
        <v>2853</v>
      </c>
    </row>
    <row r="420" spans="1:4" ht="15.6" outlineLevel="1" x14ac:dyDescent="0.25">
      <c r="A420" s="57" t="s">
        <v>44</v>
      </c>
      <c r="B420" s="58" t="s">
        <v>1162</v>
      </c>
      <c r="C420" s="57">
        <v>5.63</v>
      </c>
      <c r="D420" s="194" t="s">
        <v>2853</v>
      </c>
    </row>
    <row r="421" spans="1:4" ht="15.6" outlineLevel="1" x14ac:dyDescent="0.25">
      <c r="A421" s="57" t="s">
        <v>44</v>
      </c>
      <c r="B421" s="58" t="s">
        <v>1163</v>
      </c>
      <c r="C421" s="57">
        <v>5.65</v>
      </c>
      <c r="D421" s="194" t="s">
        <v>2853</v>
      </c>
    </row>
    <row r="422" spans="1:4" ht="15.6" outlineLevel="1" x14ac:dyDescent="0.25">
      <c r="A422" s="57" t="s">
        <v>44</v>
      </c>
      <c r="B422" s="58" t="s">
        <v>804</v>
      </c>
      <c r="C422" s="57">
        <v>5.66</v>
      </c>
      <c r="D422" s="194" t="s">
        <v>2853</v>
      </c>
    </row>
    <row r="423" spans="1:4" ht="15.6" outlineLevel="1" x14ac:dyDescent="0.25">
      <c r="A423" s="57" t="s">
        <v>44</v>
      </c>
      <c r="B423" s="58" t="s">
        <v>26</v>
      </c>
      <c r="C423" s="57">
        <v>5.68</v>
      </c>
      <c r="D423" s="194" t="s">
        <v>2853</v>
      </c>
    </row>
    <row r="424" spans="1:4" ht="15.6" outlineLevel="1" x14ac:dyDescent="0.25">
      <c r="A424" s="57" t="s">
        <v>44</v>
      </c>
      <c r="B424" s="58" t="s">
        <v>19</v>
      </c>
      <c r="C424" s="57">
        <v>5.47</v>
      </c>
      <c r="D424" s="194" t="s">
        <v>2853</v>
      </c>
    </row>
    <row r="425" spans="1:4" ht="15.6" outlineLevel="1" x14ac:dyDescent="0.25">
      <c r="A425" s="57" t="s">
        <v>44</v>
      </c>
      <c r="B425" s="58" t="s">
        <v>30</v>
      </c>
      <c r="C425" s="57">
        <v>5.48</v>
      </c>
      <c r="D425" s="194" t="s">
        <v>2853</v>
      </c>
    </row>
    <row r="426" spans="1:4" ht="15.6" x14ac:dyDescent="0.25">
      <c r="A426" s="61" t="s">
        <v>44</v>
      </c>
      <c r="B426" s="195" t="s">
        <v>2853</v>
      </c>
      <c r="C426" s="196" t="s">
        <v>2853</v>
      </c>
      <c r="D426" s="194" t="s">
        <v>2853</v>
      </c>
    </row>
    <row r="427" spans="1:4" ht="15.6" outlineLevel="1" x14ac:dyDescent="0.25">
      <c r="A427" s="57" t="s">
        <v>808</v>
      </c>
      <c r="B427" s="58" t="s">
        <v>667</v>
      </c>
      <c r="C427" s="57">
        <v>5.0999999999999996</v>
      </c>
      <c r="D427" s="194" t="s">
        <v>2853</v>
      </c>
    </row>
    <row r="428" spans="1:4" ht="15.6" outlineLevel="1" x14ac:dyDescent="0.25">
      <c r="A428" s="57" t="s">
        <v>808</v>
      </c>
      <c r="B428" s="58" t="s">
        <v>0</v>
      </c>
      <c r="C428" s="57">
        <v>5.2</v>
      </c>
      <c r="D428" s="194" t="s">
        <v>2853</v>
      </c>
    </row>
    <row r="429" spans="1:4" ht="15.6" outlineLevel="1" x14ac:dyDescent="0.25">
      <c r="A429" s="57" t="s">
        <v>808</v>
      </c>
      <c r="B429" s="58" t="s">
        <v>740</v>
      </c>
      <c r="C429" s="57">
        <v>5.3</v>
      </c>
      <c r="D429" s="194" t="s">
        <v>2853</v>
      </c>
    </row>
    <row r="430" spans="1:4" ht="15.6" outlineLevel="1" x14ac:dyDescent="0.25">
      <c r="A430" s="57" t="s">
        <v>808</v>
      </c>
      <c r="B430" s="58" t="s">
        <v>2</v>
      </c>
      <c r="C430" s="57">
        <v>5.6</v>
      </c>
      <c r="D430" s="194" t="s">
        <v>2853</v>
      </c>
    </row>
    <row r="431" spans="1:4" ht="15.6" outlineLevel="1" x14ac:dyDescent="0.25">
      <c r="A431" s="57" t="s">
        <v>808</v>
      </c>
      <c r="B431" s="58" t="s">
        <v>746</v>
      </c>
      <c r="C431" s="59">
        <v>5.0999999999999996</v>
      </c>
      <c r="D431" s="194" t="s">
        <v>2853</v>
      </c>
    </row>
    <row r="432" spans="1:4" ht="15.6" outlineLevel="1" x14ac:dyDescent="0.25">
      <c r="A432" s="57" t="s">
        <v>808</v>
      </c>
      <c r="B432" s="58" t="s">
        <v>3</v>
      </c>
      <c r="C432" s="57">
        <v>5.14</v>
      </c>
      <c r="D432" s="194" t="s">
        <v>2853</v>
      </c>
    </row>
    <row r="433" spans="1:4" ht="15.6" outlineLevel="1" x14ac:dyDescent="0.25">
      <c r="A433" s="57" t="s">
        <v>808</v>
      </c>
      <c r="B433" s="58" t="s">
        <v>29</v>
      </c>
      <c r="C433" s="57">
        <v>5.19</v>
      </c>
      <c r="D433" s="194" t="s">
        <v>2853</v>
      </c>
    </row>
    <row r="434" spans="1:4" ht="15.6" outlineLevel="1" x14ac:dyDescent="0.25">
      <c r="A434" s="57" t="s">
        <v>808</v>
      </c>
      <c r="B434" s="58" t="s">
        <v>28</v>
      </c>
      <c r="C434" s="57">
        <v>5.24</v>
      </c>
      <c r="D434" s="194" t="s">
        <v>2853</v>
      </c>
    </row>
    <row r="435" spans="1:4" ht="15.6" outlineLevel="1" x14ac:dyDescent="0.25">
      <c r="A435" s="57" t="s">
        <v>808</v>
      </c>
      <c r="B435" s="58" t="s">
        <v>1</v>
      </c>
      <c r="C435" s="57">
        <v>5.26</v>
      </c>
      <c r="D435" s="194" t="s">
        <v>2853</v>
      </c>
    </row>
    <row r="436" spans="1:4" ht="15.6" outlineLevel="1" x14ac:dyDescent="0.25">
      <c r="A436" s="57" t="s">
        <v>808</v>
      </c>
      <c r="B436" s="58" t="s">
        <v>620</v>
      </c>
      <c r="C436" s="57">
        <v>5.27</v>
      </c>
      <c r="D436" s="194" t="s">
        <v>2853</v>
      </c>
    </row>
    <row r="437" spans="1:4" ht="15.6" outlineLevel="1" x14ac:dyDescent="0.25">
      <c r="A437" s="57" t="s">
        <v>808</v>
      </c>
      <c r="B437" s="58" t="s">
        <v>621</v>
      </c>
      <c r="C437" s="57">
        <v>5.28</v>
      </c>
      <c r="D437" s="194" t="s">
        <v>2853</v>
      </c>
    </row>
    <row r="438" spans="1:4" ht="15.6" outlineLevel="1" x14ac:dyDescent="0.25">
      <c r="A438" s="57" t="s">
        <v>808</v>
      </c>
      <c r="B438" s="58" t="s">
        <v>625</v>
      </c>
      <c r="C438" s="57">
        <v>5.29</v>
      </c>
      <c r="D438" s="194" t="s">
        <v>2853</v>
      </c>
    </row>
    <row r="439" spans="1:4" ht="15.6" outlineLevel="1" x14ac:dyDescent="0.25">
      <c r="A439" s="57" t="s">
        <v>808</v>
      </c>
      <c r="B439" s="58" t="s">
        <v>9</v>
      </c>
      <c r="C439" s="57">
        <v>5.31</v>
      </c>
      <c r="D439" s="194" t="s">
        <v>2853</v>
      </c>
    </row>
    <row r="440" spans="1:4" ht="15.6" outlineLevel="1" x14ac:dyDescent="0.25">
      <c r="A440" s="57" t="s">
        <v>808</v>
      </c>
      <c r="B440" s="58" t="s">
        <v>622</v>
      </c>
      <c r="C440" s="57">
        <v>5.36</v>
      </c>
      <c r="D440" s="194" t="s">
        <v>2853</v>
      </c>
    </row>
    <row r="441" spans="1:4" ht="15.6" outlineLevel="1" x14ac:dyDescent="0.25">
      <c r="A441" s="57" t="s">
        <v>808</v>
      </c>
      <c r="B441" s="58" t="s">
        <v>12</v>
      </c>
      <c r="C441" s="57">
        <v>5.37</v>
      </c>
      <c r="D441" s="194" t="s">
        <v>2853</v>
      </c>
    </row>
    <row r="442" spans="1:4" ht="15.6" outlineLevel="1" x14ac:dyDescent="0.25">
      <c r="A442" s="57" t="s">
        <v>808</v>
      </c>
      <c r="B442" s="58" t="s">
        <v>396</v>
      </c>
      <c r="C442" s="57">
        <v>5.53</v>
      </c>
      <c r="D442" s="194" t="s">
        <v>2853</v>
      </c>
    </row>
    <row r="443" spans="1:4" ht="15.6" outlineLevel="1" x14ac:dyDescent="0.25">
      <c r="A443" s="57" t="s">
        <v>808</v>
      </c>
      <c r="B443" s="58" t="s">
        <v>933</v>
      </c>
      <c r="C443" s="57">
        <v>5.109</v>
      </c>
      <c r="D443" s="194" t="s">
        <v>2853</v>
      </c>
    </row>
    <row r="444" spans="1:4" ht="15.6" outlineLevel="1" x14ac:dyDescent="0.25">
      <c r="A444" s="57" t="s">
        <v>808</v>
      </c>
      <c r="B444" s="58" t="s">
        <v>372</v>
      </c>
      <c r="C444" s="57">
        <v>5.1109999999999998</v>
      </c>
      <c r="D444" s="194" t="s">
        <v>2853</v>
      </c>
    </row>
    <row r="445" spans="1:4" ht="15.6" outlineLevel="1" x14ac:dyDescent="0.25">
      <c r="A445" s="57" t="s">
        <v>808</v>
      </c>
      <c r="B445" s="58" t="s">
        <v>16</v>
      </c>
      <c r="C445" s="57">
        <v>5.1120000000000001</v>
      </c>
      <c r="D445" s="194" t="s">
        <v>2853</v>
      </c>
    </row>
    <row r="446" spans="1:4" ht="15.6" outlineLevel="1" x14ac:dyDescent="0.25">
      <c r="A446" s="57" t="s">
        <v>808</v>
      </c>
      <c r="B446" s="58" t="s">
        <v>475</v>
      </c>
      <c r="C446" s="57">
        <v>5.1130000000000004</v>
      </c>
      <c r="D446" s="194" t="s">
        <v>2853</v>
      </c>
    </row>
    <row r="447" spans="1:4" ht="15.6" outlineLevel="1" x14ac:dyDescent="0.25">
      <c r="A447" s="57" t="s">
        <v>808</v>
      </c>
      <c r="B447" s="58" t="s">
        <v>789</v>
      </c>
      <c r="C447" s="57">
        <v>5.58</v>
      </c>
      <c r="D447" s="194" t="s">
        <v>2853</v>
      </c>
    </row>
    <row r="448" spans="1:4" ht="15.6" outlineLevel="1" x14ac:dyDescent="0.25">
      <c r="A448" s="57" t="s">
        <v>808</v>
      </c>
      <c r="B448" s="58" t="s">
        <v>11</v>
      </c>
      <c r="C448" s="57">
        <v>5.54</v>
      </c>
      <c r="D448" s="194" t="s">
        <v>2853</v>
      </c>
    </row>
    <row r="449" spans="1:4" ht="15.6" outlineLevel="1" x14ac:dyDescent="0.25">
      <c r="A449" s="57" t="s">
        <v>808</v>
      </c>
      <c r="B449" s="58" t="s">
        <v>15</v>
      </c>
      <c r="C449" s="57">
        <v>5.55</v>
      </c>
      <c r="D449" s="194" t="s">
        <v>2853</v>
      </c>
    </row>
    <row r="450" spans="1:4" ht="15.6" outlineLevel="1" x14ac:dyDescent="0.25">
      <c r="A450" s="57" t="s">
        <v>808</v>
      </c>
      <c r="B450" s="58" t="s">
        <v>1162</v>
      </c>
      <c r="C450" s="57">
        <v>5.63</v>
      </c>
      <c r="D450" s="194" t="s">
        <v>2853</v>
      </c>
    </row>
    <row r="451" spans="1:4" ht="15.6" outlineLevel="1" x14ac:dyDescent="0.25">
      <c r="A451" s="57" t="s">
        <v>808</v>
      </c>
      <c r="B451" s="58" t="s">
        <v>19</v>
      </c>
      <c r="C451" s="57">
        <v>5.47</v>
      </c>
      <c r="D451" s="194" t="s">
        <v>2853</v>
      </c>
    </row>
    <row r="452" spans="1:4" ht="15.6" outlineLevel="1" x14ac:dyDescent="0.25">
      <c r="A452" s="57" t="s">
        <v>808</v>
      </c>
      <c r="B452" s="58" t="s">
        <v>30</v>
      </c>
      <c r="C452" s="57">
        <v>5.48</v>
      </c>
      <c r="D452" s="194" t="s">
        <v>2853</v>
      </c>
    </row>
    <row r="453" spans="1:4" ht="15.6" x14ac:dyDescent="0.25">
      <c r="A453" s="61" t="s">
        <v>808</v>
      </c>
      <c r="B453" s="195" t="s">
        <v>2853</v>
      </c>
      <c r="C453" s="196" t="s">
        <v>2853</v>
      </c>
      <c r="D453" s="194" t="s">
        <v>2853</v>
      </c>
    </row>
    <row r="454" spans="1:4" ht="15.6" outlineLevel="1" x14ac:dyDescent="0.25">
      <c r="A454" s="57" t="s">
        <v>45</v>
      </c>
      <c r="B454" s="58" t="s">
        <v>667</v>
      </c>
      <c r="C454" s="57">
        <v>5.0999999999999996</v>
      </c>
      <c r="D454" s="194" t="s">
        <v>2853</v>
      </c>
    </row>
    <row r="455" spans="1:4" ht="15.6" outlineLevel="1" x14ac:dyDescent="0.25">
      <c r="A455" s="57" t="s">
        <v>45</v>
      </c>
      <c r="B455" s="58" t="s">
        <v>0</v>
      </c>
      <c r="C455" s="57">
        <v>5.2</v>
      </c>
      <c r="D455" s="194" t="s">
        <v>2853</v>
      </c>
    </row>
    <row r="456" spans="1:4" ht="15.6" outlineLevel="1" x14ac:dyDescent="0.25">
      <c r="A456" s="57" t="s">
        <v>45</v>
      </c>
      <c r="B456" s="58" t="s">
        <v>796</v>
      </c>
      <c r="C456" s="57">
        <v>5.5</v>
      </c>
      <c r="D456" s="194" t="s">
        <v>2853</v>
      </c>
    </row>
    <row r="457" spans="1:4" ht="15.6" outlineLevel="1" x14ac:dyDescent="0.25">
      <c r="A457" s="57" t="s">
        <v>45</v>
      </c>
      <c r="B457" s="58" t="s">
        <v>809</v>
      </c>
      <c r="C457" s="57">
        <v>5.8</v>
      </c>
      <c r="D457" s="60" t="s">
        <v>951</v>
      </c>
    </row>
    <row r="458" spans="1:4" ht="15.6" outlineLevel="1" x14ac:dyDescent="0.25">
      <c r="A458" s="57" t="s">
        <v>45</v>
      </c>
      <c r="B458" s="58" t="s">
        <v>797</v>
      </c>
      <c r="C458" s="57">
        <v>5.12</v>
      </c>
      <c r="D458" s="60" t="s">
        <v>951</v>
      </c>
    </row>
    <row r="459" spans="1:4" ht="15.6" outlineLevel="1" x14ac:dyDescent="0.25">
      <c r="A459" s="57" t="s">
        <v>45</v>
      </c>
      <c r="B459" s="58" t="s">
        <v>763</v>
      </c>
      <c r="C459" s="57">
        <v>5.15</v>
      </c>
      <c r="D459" s="194" t="s">
        <v>2853</v>
      </c>
    </row>
    <row r="460" spans="1:4" ht="15.6" outlineLevel="1" x14ac:dyDescent="0.25">
      <c r="A460" s="57" t="s">
        <v>45</v>
      </c>
      <c r="B460" s="58" t="s">
        <v>762</v>
      </c>
      <c r="C460" s="59">
        <v>5.2</v>
      </c>
      <c r="D460" s="197" t="s">
        <v>2853</v>
      </c>
    </row>
    <row r="461" spans="1:4" ht="15.6" outlineLevel="1" x14ac:dyDescent="0.25">
      <c r="A461" s="57" t="s">
        <v>45</v>
      </c>
      <c r="B461" s="58" t="s">
        <v>767</v>
      </c>
      <c r="C461" s="57">
        <v>5.25</v>
      </c>
      <c r="D461" s="194" t="s">
        <v>2853</v>
      </c>
    </row>
    <row r="462" spans="1:4" ht="15.6" outlineLevel="1" x14ac:dyDescent="0.25">
      <c r="A462" s="57" t="s">
        <v>45</v>
      </c>
      <c r="B462" s="58" t="s">
        <v>1</v>
      </c>
      <c r="C462" s="57">
        <v>5.26</v>
      </c>
      <c r="D462" s="194" t="s">
        <v>2853</v>
      </c>
    </row>
    <row r="463" spans="1:4" ht="15.6" outlineLevel="1" x14ac:dyDescent="0.25">
      <c r="A463" s="57" t="s">
        <v>45</v>
      </c>
      <c r="B463" s="58" t="s">
        <v>289</v>
      </c>
      <c r="C463" s="57">
        <v>5.1139999999999999</v>
      </c>
      <c r="D463" s="60" t="s">
        <v>951</v>
      </c>
    </row>
    <row r="464" spans="1:4" ht="15.6" outlineLevel="1" x14ac:dyDescent="0.25">
      <c r="A464" s="57" t="s">
        <v>45</v>
      </c>
      <c r="B464" s="58" t="s">
        <v>620</v>
      </c>
      <c r="C464" s="57">
        <v>5.27</v>
      </c>
      <c r="D464" s="194" t="s">
        <v>2853</v>
      </c>
    </row>
    <row r="465" spans="1:4" ht="15.6" outlineLevel="1" x14ac:dyDescent="0.25">
      <c r="A465" s="57" t="s">
        <v>45</v>
      </c>
      <c r="B465" s="58" t="s">
        <v>755</v>
      </c>
      <c r="C465" s="57">
        <v>5.1150000000000002</v>
      </c>
      <c r="D465" s="60" t="s">
        <v>951</v>
      </c>
    </row>
    <row r="466" spans="1:4" ht="15.6" outlineLevel="1" x14ac:dyDescent="0.25">
      <c r="A466" s="57" t="s">
        <v>45</v>
      </c>
      <c r="B466" s="58" t="s">
        <v>770</v>
      </c>
      <c r="C466" s="57">
        <v>5.1159999999999997</v>
      </c>
      <c r="D466" s="60" t="s">
        <v>951</v>
      </c>
    </row>
    <row r="467" spans="1:4" ht="15.6" outlineLevel="1" x14ac:dyDescent="0.25">
      <c r="A467" s="57" t="s">
        <v>45</v>
      </c>
      <c r="B467" s="58" t="s">
        <v>621</v>
      </c>
      <c r="C467" s="57">
        <v>5.28</v>
      </c>
      <c r="D467" s="194" t="s">
        <v>2853</v>
      </c>
    </row>
    <row r="468" spans="1:4" ht="15.6" outlineLevel="1" x14ac:dyDescent="0.25">
      <c r="A468" s="57" t="s">
        <v>45</v>
      </c>
      <c r="B468" s="58" t="s">
        <v>622</v>
      </c>
      <c r="C468" s="57">
        <v>5.36</v>
      </c>
      <c r="D468" s="194" t="s">
        <v>2853</v>
      </c>
    </row>
    <row r="469" spans="1:4" ht="15.6" outlineLevel="1" x14ac:dyDescent="0.25">
      <c r="A469" s="57" t="s">
        <v>45</v>
      </c>
      <c r="B469" s="58" t="s">
        <v>12</v>
      </c>
      <c r="C469" s="57">
        <v>5.37</v>
      </c>
      <c r="D469" s="194" t="s">
        <v>2853</v>
      </c>
    </row>
    <row r="470" spans="1:4" ht="15.6" outlineLevel="1" x14ac:dyDescent="0.25">
      <c r="A470" s="57" t="s">
        <v>45</v>
      </c>
      <c r="B470" s="58" t="s">
        <v>396</v>
      </c>
      <c r="C470" s="57">
        <v>5.53</v>
      </c>
      <c r="D470" s="194" t="s">
        <v>2853</v>
      </c>
    </row>
    <row r="471" spans="1:4" ht="15.6" outlineLevel="1" x14ac:dyDescent="0.25">
      <c r="A471" s="57" t="s">
        <v>45</v>
      </c>
      <c r="B471" s="58" t="s">
        <v>933</v>
      </c>
      <c r="C471" s="57">
        <v>5.109</v>
      </c>
      <c r="D471" s="194" t="s">
        <v>2853</v>
      </c>
    </row>
    <row r="472" spans="1:4" ht="15.6" outlineLevel="1" x14ac:dyDescent="0.25">
      <c r="A472" s="57" t="s">
        <v>45</v>
      </c>
      <c r="B472" s="58" t="s">
        <v>372</v>
      </c>
      <c r="C472" s="57">
        <v>5.1109999999999998</v>
      </c>
      <c r="D472" s="194" t="s">
        <v>2853</v>
      </c>
    </row>
    <row r="473" spans="1:4" ht="15.6" outlineLevel="1" x14ac:dyDescent="0.25">
      <c r="A473" s="57" t="s">
        <v>45</v>
      </c>
      <c r="B473" s="58" t="s">
        <v>16</v>
      </c>
      <c r="C473" s="57">
        <v>5.1120000000000001</v>
      </c>
      <c r="D473" s="194" t="s">
        <v>2853</v>
      </c>
    </row>
    <row r="474" spans="1:4" ht="15.6" outlineLevel="1" x14ac:dyDescent="0.25">
      <c r="A474" s="57" t="s">
        <v>45</v>
      </c>
      <c r="B474" s="58" t="s">
        <v>11</v>
      </c>
      <c r="C474" s="57">
        <v>5.54</v>
      </c>
      <c r="D474" s="194" t="s">
        <v>2853</v>
      </c>
    </row>
    <row r="475" spans="1:4" ht="15.6" outlineLevel="1" x14ac:dyDescent="0.25">
      <c r="A475" s="57" t="s">
        <v>45</v>
      </c>
      <c r="B475" s="58" t="s">
        <v>952</v>
      </c>
      <c r="C475" s="57">
        <v>5.61</v>
      </c>
      <c r="D475" s="194" t="s">
        <v>2853</v>
      </c>
    </row>
    <row r="476" spans="1:4" ht="15.6" outlineLevel="1" x14ac:dyDescent="0.25">
      <c r="A476" s="57" t="s">
        <v>45</v>
      </c>
      <c r="B476" s="58" t="s">
        <v>1162</v>
      </c>
      <c r="C476" s="57">
        <v>5.63</v>
      </c>
      <c r="D476" s="194" t="s">
        <v>2853</v>
      </c>
    </row>
    <row r="477" spans="1:4" ht="15.6" outlineLevel="1" x14ac:dyDescent="0.25">
      <c r="A477" s="57" t="s">
        <v>45</v>
      </c>
      <c r="B477" s="58" t="s">
        <v>752</v>
      </c>
      <c r="C477" s="57">
        <v>5.46</v>
      </c>
      <c r="D477" s="194" t="s">
        <v>2853</v>
      </c>
    </row>
    <row r="478" spans="1:4" ht="15.6" outlineLevel="1" x14ac:dyDescent="0.25">
      <c r="A478" s="57" t="s">
        <v>45</v>
      </c>
      <c r="B478" s="58" t="s">
        <v>19</v>
      </c>
      <c r="C478" s="57">
        <v>5.47</v>
      </c>
      <c r="D478" s="194" t="s">
        <v>2853</v>
      </c>
    </row>
    <row r="479" spans="1:4" ht="15.6" outlineLevel="1" x14ac:dyDescent="0.25">
      <c r="A479" s="57" t="s">
        <v>45</v>
      </c>
      <c r="B479" s="58" t="s">
        <v>30</v>
      </c>
      <c r="C479" s="57">
        <v>5.48</v>
      </c>
      <c r="D479" s="194" t="s">
        <v>2853</v>
      </c>
    </row>
    <row r="480" spans="1:4" ht="15.6" x14ac:dyDescent="0.25">
      <c r="A480" s="61" t="s">
        <v>45</v>
      </c>
      <c r="B480" s="195" t="s">
        <v>2853</v>
      </c>
      <c r="C480" s="196" t="s">
        <v>2853</v>
      </c>
      <c r="D480" s="194" t="s">
        <v>2853</v>
      </c>
    </row>
    <row r="481" spans="1:4" ht="15.6" outlineLevel="1" x14ac:dyDescent="0.25">
      <c r="A481" s="57" t="s">
        <v>46</v>
      </c>
      <c r="B481" s="58" t="s">
        <v>667</v>
      </c>
      <c r="C481" s="57">
        <v>5.0999999999999996</v>
      </c>
      <c r="D481" s="194" t="s">
        <v>2853</v>
      </c>
    </row>
    <row r="482" spans="1:4" ht="15.6" outlineLevel="1" x14ac:dyDescent="0.25">
      <c r="A482" s="57" t="s">
        <v>46</v>
      </c>
      <c r="B482" s="58" t="s">
        <v>0</v>
      </c>
      <c r="C482" s="57">
        <v>5.2</v>
      </c>
      <c r="D482" s="194" t="s">
        <v>2853</v>
      </c>
    </row>
    <row r="483" spans="1:4" ht="15.6" outlineLevel="1" x14ac:dyDescent="0.25">
      <c r="A483" s="57" t="s">
        <v>46</v>
      </c>
      <c r="B483" s="58" t="s">
        <v>740</v>
      </c>
      <c r="C483" s="57">
        <v>5.3</v>
      </c>
      <c r="D483" s="194" t="s">
        <v>2853</v>
      </c>
    </row>
    <row r="484" spans="1:4" ht="15.6" outlineLevel="1" x14ac:dyDescent="0.25">
      <c r="A484" s="57" t="s">
        <v>46</v>
      </c>
      <c r="B484" s="58" t="s">
        <v>2</v>
      </c>
      <c r="C484" s="57">
        <v>5.6</v>
      </c>
      <c r="D484" s="194" t="s">
        <v>2853</v>
      </c>
    </row>
    <row r="485" spans="1:4" ht="15.6" outlineLevel="1" x14ac:dyDescent="0.25">
      <c r="A485" s="57" t="s">
        <v>46</v>
      </c>
      <c r="B485" s="58" t="s">
        <v>746</v>
      </c>
      <c r="C485" s="59">
        <v>5.0999999999999996</v>
      </c>
      <c r="D485" s="194" t="s">
        <v>2853</v>
      </c>
    </row>
    <row r="486" spans="1:4" ht="15.6" outlineLevel="1" x14ac:dyDescent="0.25">
      <c r="A486" s="57" t="s">
        <v>46</v>
      </c>
      <c r="B486" s="58" t="s">
        <v>3</v>
      </c>
      <c r="C486" s="57">
        <v>5.14</v>
      </c>
      <c r="D486" s="194" t="s">
        <v>2853</v>
      </c>
    </row>
    <row r="487" spans="1:4" ht="15.6" outlineLevel="1" x14ac:dyDescent="0.25">
      <c r="A487" s="57" t="s">
        <v>46</v>
      </c>
      <c r="B487" s="58" t="s">
        <v>29</v>
      </c>
      <c r="C487" s="57">
        <v>5.19</v>
      </c>
      <c r="D487" s="194" t="s">
        <v>2853</v>
      </c>
    </row>
    <row r="488" spans="1:4" ht="15.6" outlineLevel="1" x14ac:dyDescent="0.25">
      <c r="A488" s="57" t="s">
        <v>46</v>
      </c>
      <c r="B488" s="58" t="s">
        <v>28</v>
      </c>
      <c r="C488" s="57">
        <v>5.24</v>
      </c>
      <c r="D488" s="194" t="s">
        <v>2853</v>
      </c>
    </row>
    <row r="489" spans="1:4" ht="15.6" outlineLevel="1" x14ac:dyDescent="0.25">
      <c r="A489" s="57" t="s">
        <v>46</v>
      </c>
      <c r="B489" s="58" t="s">
        <v>620</v>
      </c>
      <c r="C489" s="57">
        <v>5.27</v>
      </c>
      <c r="D489" s="194" t="s">
        <v>2853</v>
      </c>
    </row>
    <row r="490" spans="1:4" ht="15.6" outlineLevel="1" x14ac:dyDescent="0.25">
      <c r="A490" s="57" t="s">
        <v>46</v>
      </c>
      <c r="B490" s="58" t="s">
        <v>621</v>
      </c>
      <c r="C490" s="57">
        <v>5.28</v>
      </c>
      <c r="D490" s="194" t="s">
        <v>2853</v>
      </c>
    </row>
    <row r="491" spans="1:4" ht="15.6" outlineLevel="1" x14ac:dyDescent="0.25">
      <c r="A491" s="57" t="s">
        <v>46</v>
      </c>
      <c r="B491" s="58" t="s">
        <v>625</v>
      </c>
      <c r="C491" s="57">
        <v>5.29</v>
      </c>
      <c r="D491" s="194" t="s">
        <v>2853</v>
      </c>
    </row>
    <row r="492" spans="1:4" ht="15.6" outlineLevel="1" x14ac:dyDescent="0.25">
      <c r="A492" s="57" t="s">
        <v>46</v>
      </c>
      <c r="B492" s="58" t="s">
        <v>754</v>
      </c>
      <c r="C492" s="57">
        <v>5.34</v>
      </c>
      <c r="D492" s="194" t="s">
        <v>2853</v>
      </c>
    </row>
    <row r="493" spans="1:4" ht="15.6" outlineLevel="1" x14ac:dyDescent="0.25">
      <c r="A493" s="57" t="s">
        <v>46</v>
      </c>
      <c r="B493" s="58" t="s">
        <v>9</v>
      </c>
      <c r="C493" s="57">
        <v>5.31</v>
      </c>
      <c r="D493" s="194" t="s">
        <v>2853</v>
      </c>
    </row>
    <row r="494" spans="1:4" ht="15.6" outlineLevel="1" x14ac:dyDescent="0.25">
      <c r="A494" s="57" t="s">
        <v>46</v>
      </c>
      <c r="B494" s="58" t="s">
        <v>682</v>
      </c>
      <c r="C494" s="57">
        <v>5.101</v>
      </c>
      <c r="D494" s="194" t="s">
        <v>2853</v>
      </c>
    </row>
    <row r="495" spans="1:4" ht="15.6" outlineLevel="1" x14ac:dyDescent="0.25">
      <c r="A495" s="57" t="s">
        <v>46</v>
      </c>
      <c r="B495" s="58" t="s">
        <v>622</v>
      </c>
      <c r="C495" s="57">
        <v>5.36</v>
      </c>
      <c r="D495" s="194" t="s">
        <v>2853</v>
      </c>
    </row>
    <row r="496" spans="1:4" ht="15.6" outlineLevel="1" x14ac:dyDescent="0.25">
      <c r="A496" s="57" t="s">
        <v>46</v>
      </c>
      <c r="B496" s="58" t="s">
        <v>12</v>
      </c>
      <c r="C496" s="57">
        <v>5.37</v>
      </c>
      <c r="D496" s="194" t="s">
        <v>2853</v>
      </c>
    </row>
    <row r="497" spans="1:4" ht="15.6" outlineLevel="1" x14ac:dyDescent="0.25">
      <c r="A497" s="57" t="s">
        <v>46</v>
      </c>
      <c r="B497" s="58" t="s">
        <v>396</v>
      </c>
      <c r="C497" s="57">
        <v>5.53</v>
      </c>
      <c r="D497" s="194" t="s">
        <v>2853</v>
      </c>
    </row>
    <row r="498" spans="1:4" ht="15.6" outlineLevel="1" x14ac:dyDescent="0.25">
      <c r="A498" s="57" t="s">
        <v>46</v>
      </c>
      <c r="B498" s="58" t="s">
        <v>933</v>
      </c>
      <c r="C498" s="57">
        <v>5.109</v>
      </c>
      <c r="D498" s="194" t="s">
        <v>2853</v>
      </c>
    </row>
    <row r="499" spans="1:4" ht="15.6" outlineLevel="1" x14ac:dyDescent="0.25">
      <c r="A499" s="57" t="s">
        <v>46</v>
      </c>
      <c r="B499" s="58" t="s">
        <v>372</v>
      </c>
      <c r="C499" s="57">
        <v>5.1109999999999998</v>
      </c>
      <c r="D499" s="194" t="s">
        <v>2853</v>
      </c>
    </row>
    <row r="500" spans="1:4" ht="15.6" outlineLevel="1" x14ac:dyDescent="0.25">
      <c r="A500" s="57" t="s">
        <v>46</v>
      </c>
      <c r="B500" s="58" t="s">
        <v>16</v>
      </c>
      <c r="C500" s="57">
        <v>5.1120000000000001</v>
      </c>
      <c r="D500" s="194" t="s">
        <v>2853</v>
      </c>
    </row>
    <row r="501" spans="1:4" ht="15.6" outlineLevel="1" x14ac:dyDescent="0.25">
      <c r="A501" s="57" t="s">
        <v>46</v>
      </c>
      <c r="B501" s="58" t="s">
        <v>23</v>
      </c>
      <c r="C501" s="57">
        <v>5.1020000000000003</v>
      </c>
      <c r="D501" s="194" t="s">
        <v>2853</v>
      </c>
    </row>
    <row r="502" spans="1:4" ht="15.6" outlineLevel="1" x14ac:dyDescent="0.25">
      <c r="A502" s="57" t="s">
        <v>46</v>
      </c>
      <c r="B502" s="58" t="s">
        <v>629</v>
      </c>
      <c r="C502" s="62">
        <v>5.0999999999999996</v>
      </c>
      <c r="D502" s="194" t="s">
        <v>2853</v>
      </c>
    </row>
    <row r="503" spans="1:4" ht="15.6" outlineLevel="1" x14ac:dyDescent="0.25">
      <c r="A503" s="57" t="s">
        <v>46</v>
      </c>
      <c r="B503" s="58" t="s">
        <v>789</v>
      </c>
      <c r="C503" s="57">
        <v>5.58</v>
      </c>
      <c r="D503" s="194" t="s">
        <v>2853</v>
      </c>
    </row>
    <row r="504" spans="1:4" ht="15.6" outlineLevel="1" x14ac:dyDescent="0.25">
      <c r="A504" s="57" t="s">
        <v>46</v>
      </c>
      <c r="B504" s="58" t="s">
        <v>15</v>
      </c>
      <c r="C504" s="57">
        <v>5.55</v>
      </c>
      <c r="D504" s="194" t="s">
        <v>2853</v>
      </c>
    </row>
    <row r="505" spans="1:4" ht="15.6" outlineLevel="1" x14ac:dyDescent="0.25">
      <c r="A505" s="57" t="s">
        <v>46</v>
      </c>
      <c r="B505" s="58" t="s">
        <v>11</v>
      </c>
      <c r="C505" s="57">
        <v>5.54</v>
      </c>
      <c r="D505" s="194" t="s">
        <v>2853</v>
      </c>
    </row>
    <row r="506" spans="1:4" ht="15.6" outlineLevel="1" x14ac:dyDescent="0.25">
      <c r="A506" s="57" t="s">
        <v>46</v>
      </c>
      <c r="B506" s="58" t="s">
        <v>1162</v>
      </c>
      <c r="C506" s="57">
        <v>5.63</v>
      </c>
      <c r="D506" s="194" t="s">
        <v>2853</v>
      </c>
    </row>
    <row r="507" spans="1:4" ht="15.6" outlineLevel="1" x14ac:dyDescent="0.25">
      <c r="A507" s="57" t="s">
        <v>46</v>
      </c>
      <c r="B507" s="58" t="s">
        <v>19</v>
      </c>
      <c r="C507" s="57">
        <v>5.47</v>
      </c>
      <c r="D507" s="194" t="s">
        <v>2853</v>
      </c>
    </row>
    <row r="508" spans="1:4" ht="15.6" outlineLevel="1" x14ac:dyDescent="0.25">
      <c r="A508" s="57" t="s">
        <v>46</v>
      </c>
      <c r="B508" s="58" t="s">
        <v>30</v>
      </c>
      <c r="C508" s="57">
        <v>5.48</v>
      </c>
      <c r="D508" s="194" t="s">
        <v>2853</v>
      </c>
    </row>
    <row r="509" spans="1:4" ht="15.6" x14ac:dyDescent="0.25">
      <c r="A509" s="61" t="s">
        <v>46</v>
      </c>
      <c r="B509" s="195" t="s">
        <v>2853</v>
      </c>
      <c r="C509" s="196" t="s">
        <v>2853</v>
      </c>
      <c r="D509" s="194" t="s">
        <v>2853</v>
      </c>
    </row>
    <row r="510" spans="1:4" ht="15.6" outlineLevel="1" x14ac:dyDescent="0.25">
      <c r="A510" s="57" t="s">
        <v>47</v>
      </c>
      <c r="B510" s="58" t="s">
        <v>667</v>
      </c>
      <c r="C510" s="57">
        <v>5.0999999999999996</v>
      </c>
      <c r="D510" s="194" t="s">
        <v>2853</v>
      </c>
    </row>
    <row r="511" spans="1:4" ht="15.6" outlineLevel="1" x14ac:dyDescent="0.25">
      <c r="A511" s="57" t="s">
        <v>47</v>
      </c>
      <c r="B511" s="58" t="s">
        <v>0</v>
      </c>
      <c r="C511" s="57">
        <v>5.2</v>
      </c>
      <c r="D511" s="194" t="s">
        <v>2853</v>
      </c>
    </row>
    <row r="512" spans="1:4" ht="15.6" outlineLevel="1" x14ac:dyDescent="0.25">
      <c r="A512" s="57" t="s">
        <v>47</v>
      </c>
      <c r="B512" s="58" t="s">
        <v>740</v>
      </c>
      <c r="C512" s="57">
        <v>5.3</v>
      </c>
      <c r="D512" s="194" t="s">
        <v>2853</v>
      </c>
    </row>
    <row r="513" spans="1:4" ht="15.6" outlineLevel="1" x14ac:dyDescent="0.25">
      <c r="A513" s="57" t="s">
        <v>47</v>
      </c>
      <c r="B513" s="58" t="s">
        <v>2</v>
      </c>
      <c r="C513" s="57">
        <v>5.6</v>
      </c>
      <c r="D513" s="194" t="s">
        <v>2853</v>
      </c>
    </row>
    <row r="514" spans="1:4" ht="15.6" outlineLevel="1" x14ac:dyDescent="0.25">
      <c r="A514" s="57" t="s">
        <v>47</v>
      </c>
      <c r="B514" s="58" t="s">
        <v>746</v>
      </c>
      <c r="C514" s="59">
        <v>5.0999999999999996</v>
      </c>
      <c r="D514" s="194" t="s">
        <v>2853</v>
      </c>
    </row>
    <row r="515" spans="1:4" ht="15.6" outlineLevel="1" x14ac:dyDescent="0.25">
      <c r="A515" s="57" t="s">
        <v>47</v>
      </c>
      <c r="B515" s="58" t="s">
        <v>3</v>
      </c>
      <c r="C515" s="57">
        <v>5.14</v>
      </c>
      <c r="D515" s="194" t="s">
        <v>2853</v>
      </c>
    </row>
    <row r="516" spans="1:4" ht="15.6" outlineLevel="1" x14ac:dyDescent="0.25">
      <c r="A516" s="57" t="s">
        <v>47</v>
      </c>
      <c r="B516" s="58" t="s">
        <v>29</v>
      </c>
      <c r="C516" s="57">
        <v>5.19</v>
      </c>
      <c r="D516" s="194" t="s">
        <v>2853</v>
      </c>
    </row>
    <row r="517" spans="1:4" ht="15.6" outlineLevel="1" x14ac:dyDescent="0.25">
      <c r="A517" s="57" t="s">
        <v>47</v>
      </c>
      <c r="B517" s="58" t="s">
        <v>28</v>
      </c>
      <c r="C517" s="57">
        <v>5.24</v>
      </c>
      <c r="D517" s="194" t="s">
        <v>2853</v>
      </c>
    </row>
    <row r="518" spans="1:4" ht="15.6" outlineLevel="1" x14ac:dyDescent="0.25">
      <c r="A518" s="57" t="s">
        <v>47</v>
      </c>
      <c r="B518" s="58" t="s">
        <v>1</v>
      </c>
      <c r="C518" s="57">
        <v>5.26</v>
      </c>
      <c r="D518" s="194" t="s">
        <v>2853</v>
      </c>
    </row>
    <row r="519" spans="1:4" ht="15.6" outlineLevel="1" x14ac:dyDescent="0.25">
      <c r="A519" s="57" t="s">
        <v>47</v>
      </c>
      <c r="B519" s="58" t="s">
        <v>620</v>
      </c>
      <c r="C519" s="57">
        <v>5.27</v>
      </c>
      <c r="D519" s="194" t="s">
        <v>2853</v>
      </c>
    </row>
    <row r="520" spans="1:4" ht="15.6" outlineLevel="1" x14ac:dyDescent="0.25">
      <c r="A520" s="57" t="s">
        <v>47</v>
      </c>
      <c r="B520" s="58" t="s">
        <v>621</v>
      </c>
      <c r="C520" s="57">
        <v>5.28</v>
      </c>
      <c r="D520" s="194" t="s">
        <v>2853</v>
      </c>
    </row>
    <row r="521" spans="1:4" ht="15.6" outlineLevel="1" x14ac:dyDescent="0.25">
      <c r="A521" s="57" t="s">
        <v>47</v>
      </c>
      <c r="B521" s="58" t="s">
        <v>9</v>
      </c>
      <c r="C521" s="57">
        <v>5.31</v>
      </c>
      <c r="D521" s="194" t="s">
        <v>2853</v>
      </c>
    </row>
    <row r="522" spans="1:4" ht="15.6" outlineLevel="1" x14ac:dyDescent="0.25">
      <c r="A522" s="57" t="s">
        <v>47</v>
      </c>
      <c r="B522" s="58" t="s">
        <v>10</v>
      </c>
      <c r="C522" s="57">
        <v>5.33</v>
      </c>
      <c r="D522" s="194" t="s">
        <v>2853</v>
      </c>
    </row>
    <row r="523" spans="1:4" ht="15.6" outlineLevel="1" x14ac:dyDescent="0.25">
      <c r="A523" s="57" t="s">
        <v>47</v>
      </c>
      <c r="B523" s="58" t="s">
        <v>682</v>
      </c>
      <c r="C523" s="57">
        <v>5.101</v>
      </c>
      <c r="D523" s="194" t="s">
        <v>2853</v>
      </c>
    </row>
    <row r="524" spans="1:4" ht="15.6" outlineLevel="1" x14ac:dyDescent="0.25">
      <c r="A524" s="57" t="s">
        <v>47</v>
      </c>
      <c r="B524" s="58" t="s">
        <v>622</v>
      </c>
      <c r="C524" s="57">
        <v>5.36</v>
      </c>
      <c r="D524" s="194" t="s">
        <v>2853</v>
      </c>
    </row>
    <row r="525" spans="1:4" ht="15.6" outlineLevel="1" x14ac:dyDescent="0.25">
      <c r="A525" s="57" t="s">
        <v>47</v>
      </c>
      <c r="B525" s="58" t="s">
        <v>12</v>
      </c>
      <c r="C525" s="57">
        <v>5.37</v>
      </c>
      <c r="D525" s="194" t="s">
        <v>2853</v>
      </c>
    </row>
    <row r="526" spans="1:4" ht="15.6" outlineLevel="1" x14ac:dyDescent="0.25">
      <c r="A526" s="57" t="s">
        <v>47</v>
      </c>
      <c r="B526" s="58" t="s">
        <v>396</v>
      </c>
      <c r="C526" s="57">
        <v>5.53</v>
      </c>
      <c r="D526" s="194" t="s">
        <v>2853</v>
      </c>
    </row>
    <row r="527" spans="1:4" ht="15.6" outlineLevel="1" x14ac:dyDescent="0.25">
      <c r="A527" s="57" t="s">
        <v>47</v>
      </c>
      <c r="B527" s="58" t="s">
        <v>933</v>
      </c>
      <c r="C527" s="57">
        <v>5.109</v>
      </c>
      <c r="D527" s="194" t="s">
        <v>2853</v>
      </c>
    </row>
    <row r="528" spans="1:4" ht="15.6" outlineLevel="1" x14ac:dyDescent="0.25">
      <c r="A528" s="57" t="s">
        <v>47</v>
      </c>
      <c r="B528" s="58" t="s">
        <v>372</v>
      </c>
      <c r="C528" s="57">
        <v>5.1109999999999998</v>
      </c>
      <c r="D528" s="194" t="s">
        <v>2853</v>
      </c>
    </row>
    <row r="529" spans="1:4" ht="15.6" outlineLevel="1" x14ac:dyDescent="0.25">
      <c r="A529" s="57" t="s">
        <v>47</v>
      </c>
      <c r="B529" s="58" t="s">
        <v>16</v>
      </c>
      <c r="C529" s="57">
        <v>5.1120000000000001</v>
      </c>
      <c r="D529" s="194" t="s">
        <v>2853</v>
      </c>
    </row>
    <row r="530" spans="1:4" ht="15.6" outlineLevel="1" x14ac:dyDescent="0.25">
      <c r="A530" s="57" t="s">
        <v>47</v>
      </c>
      <c r="B530" s="58" t="s">
        <v>23</v>
      </c>
      <c r="C530" s="57">
        <v>5.1020000000000003</v>
      </c>
      <c r="D530" s="194" t="s">
        <v>2853</v>
      </c>
    </row>
    <row r="531" spans="1:4" ht="15.6" outlineLevel="1" x14ac:dyDescent="0.25">
      <c r="A531" s="57" t="s">
        <v>47</v>
      </c>
      <c r="B531" s="58" t="s">
        <v>629</v>
      </c>
      <c r="C531" s="62">
        <v>5.0999999999999996</v>
      </c>
      <c r="D531" s="194" t="s">
        <v>2853</v>
      </c>
    </row>
    <row r="532" spans="1:4" ht="15.6" outlineLevel="1" x14ac:dyDescent="0.25">
      <c r="A532" s="57" t="s">
        <v>47</v>
      </c>
      <c r="B532" s="58" t="s">
        <v>789</v>
      </c>
      <c r="C532" s="57">
        <v>5.58</v>
      </c>
      <c r="D532" s="194" t="s">
        <v>2853</v>
      </c>
    </row>
    <row r="533" spans="1:4" ht="15.6" outlineLevel="1" x14ac:dyDescent="0.25">
      <c r="A533" s="57" t="s">
        <v>47</v>
      </c>
      <c r="B533" s="58" t="s">
        <v>15</v>
      </c>
      <c r="C533" s="57">
        <v>5.55</v>
      </c>
      <c r="D533" s="194" t="s">
        <v>2853</v>
      </c>
    </row>
    <row r="534" spans="1:4" ht="15.6" outlineLevel="1" x14ac:dyDescent="0.25">
      <c r="A534" s="57" t="s">
        <v>47</v>
      </c>
      <c r="B534" s="58" t="s">
        <v>11</v>
      </c>
      <c r="C534" s="57">
        <v>5.54</v>
      </c>
      <c r="D534" s="194" t="s">
        <v>2853</v>
      </c>
    </row>
    <row r="535" spans="1:4" ht="15.6" outlineLevel="1" x14ac:dyDescent="0.25">
      <c r="A535" s="57" t="s">
        <v>47</v>
      </c>
      <c r="B535" s="58" t="s">
        <v>1162</v>
      </c>
      <c r="C535" s="57">
        <v>5.63</v>
      </c>
      <c r="D535" s="194" t="s">
        <v>2853</v>
      </c>
    </row>
    <row r="536" spans="1:4" ht="15.6" outlineLevel="1" x14ac:dyDescent="0.25">
      <c r="A536" s="57" t="s">
        <v>47</v>
      </c>
      <c r="B536" s="58" t="s">
        <v>19</v>
      </c>
      <c r="C536" s="57">
        <v>5.47</v>
      </c>
      <c r="D536" s="194" t="s">
        <v>2853</v>
      </c>
    </row>
    <row r="537" spans="1:4" ht="15.6" outlineLevel="1" x14ac:dyDescent="0.25">
      <c r="A537" s="57" t="s">
        <v>47</v>
      </c>
      <c r="B537" s="58" t="s">
        <v>30</v>
      </c>
      <c r="C537" s="57">
        <v>5.48</v>
      </c>
      <c r="D537" s="194" t="s">
        <v>2853</v>
      </c>
    </row>
    <row r="538" spans="1:4" ht="15.6" x14ac:dyDescent="0.25">
      <c r="A538" s="61" t="s">
        <v>47</v>
      </c>
      <c r="B538" s="195" t="s">
        <v>2853</v>
      </c>
      <c r="C538" s="196" t="s">
        <v>2853</v>
      </c>
      <c r="D538" s="194" t="s">
        <v>2853</v>
      </c>
    </row>
    <row r="539" spans="1:4" ht="15.6" outlineLevel="1" x14ac:dyDescent="0.25">
      <c r="A539" s="57" t="s">
        <v>461</v>
      </c>
      <c r="B539" s="58" t="s">
        <v>667</v>
      </c>
      <c r="C539" s="57">
        <v>5.0999999999999996</v>
      </c>
      <c r="D539" s="194" t="s">
        <v>2853</v>
      </c>
    </row>
    <row r="540" spans="1:4" ht="15.6" outlineLevel="1" x14ac:dyDescent="0.25">
      <c r="A540" s="57" t="s">
        <v>461</v>
      </c>
      <c r="B540" s="58" t="s">
        <v>0</v>
      </c>
      <c r="C540" s="57">
        <v>5.2</v>
      </c>
      <c r="D540" s="194" t="s">
        <v>2853</v>
      </c>
    </row>
    <row r="541" spans="1:4" ht="15.6" outlineLevel="1" x14ac:dyDescent="0.25">
      <c r="A541" s="57" t="s">
        <v>461</v>
      </c>
      <c r="B541" s="58" t="s">
        <v>1</v>
      </c>
      <c r="C541" s="57">
        <v>5.26</v>
      </c>
      <c r="D541" s="194" t="s">
        <v>2853</v>
      </c>
    </row>
    <row r="542" spans="1:4" ht="15.6" outlineLevel="1" x14ac:dyDescent="0.25">
      <c r="A542" s="57" t="s">
        <v>461</v>
      </c>
      <c r="B542" s="58" t="s">
        <v>418</v>
      </c>
      <c r="C542" s="57">
        <v>5.21</v>
      </c>
      <c r="D542" s="194" t="s">
        <v>2853</v>
      </c>
    </row>
    <row r="543" spans="1:4" ht="15.6" outlineLevel="1" x14ac:dyDescent="0.25">
      <c r="A543" s="57" t="s">
        <v>461</v>
      </c>
      <c r="B543" s="58" t="s">
        <v>814</v>
      </c>
      <c r="C543" s="57">
        <v>5.53</v>
      </c>
      <c r="D543" s="194" t="s">
        <v>2853</v>
      </c>
    </row>
    <row r="544" spans="1:4" ht="15.6" outlineLevel="1" x14ac:dyDescent="0.25">
      <c r="A544" s="57" t="s">
        <v>461</v>
      </c>
      <c r="B544" s="58" t="s">
        <v>11</v>
      </c>
      <c r="C544" s="57">
        <v>5.54</v>
      </c>
      <c r="D544" s="194" t="s">
        <v>2853</v>
      </c>
    </row>
    <row r="545" spans="1:4" ht="15.6" outlineLevel="1" x14ac:dyDescent="0.25">
      <c r="A545" s="57" t="s">
        <v>461</v>
      </c>
      <c r="B545" s="58" t="s">
        <v>326</v>
      </c>
      <c r="C545" s="57">
        <v>5.58</v>
      </c>
      <c r="D545" s="194" t="s">
        <v>2853</v>
      </c>
    </row>
    <row r="546" spans="1:4" ht="15.6" outlineLevel="1" x14ac:dyDescent="0.25">
      <c r="A546" s="57" t="s">
        <v>461</v>
      </c>
      <c r="B546" s="58" t="s">
        <v>330</v>
      </c>
      <c r="C546" s="57">
        <v>5.1180000000000003</v>
      </c>
      <c r="D546" s="194" t="s">
        <v>2853</v>
      </c>
    </row>
    <row r="547" spans="1:4" ht="15.6" outlineLevel="1" x14ac:dyDescent="0.25">
      <c r="A547" s="57" t="s">
        <v>461</v>
      </c>
      <c r="B547" s="58" t="s">
        <v>328</v>
      </c>
      <c r="C547" s="57">
        <v>5.47</v>
      </c>
      <c r="D547" s="194" t="s">
        <v>2853</v>
      </c>
    </row>
    <row r="548" spans="1:4" ht="15.6" outlineLevel="1" x14ac:dyDescent="0.25">
      <c r="A548" s="57" t="s">
        <v>461</v>
      </c>
      <c r="B548" s="58" t="s">
        <v>329</v>
      </c>
      <c r="C548" s="57">
        <v>5.48</v>
      </c>
      <c r="D548" s="194" t="s">
        <v>2853</v>
      </c>
    </row>
    <row r="549" spans="1:4" ht="15.6" outlineLevel="1" x14ac:dyDescent="0.25">
      <c r="A549" s="57" t="s">
        <v>461</v>
      </c>
      <c r="B549" s="58" t="s">
        <v>419</v>
      </c>
      <c r="C549" s="57">
        <v>5.21</v>
      </c>
      <c r="D549" s="194" t="s">
        <v>2853</v>
      </c>
    </row>
    <row r="550" spans="1:4" ht="15.6" outlineLevel="1" x14ac:dyDescent="0.25">
      <c r="A550" s="57" t="s">
        <v>461</v>
      </c>
      <c r="B550" s="58" t="s">
        <v>815</v>
      </c>
      <c r="C550" s="57">
        <v>5.53</v>
      </c>
      <c r="D550" s="194" t="s">
        <v>2853</v>
      </c>
    </row>
    <row r="551" spans="1:4" ht="15.6" outlineLevel="1" x14ac:dyDescent="0.25">
      <c r="A551" s="57" t="s">
        <v>461</v>
      </c>
      <c r="B551" s="58" t="s">
        <v>11</v>
      </c>
      <c r="C551" s="57">
        <v>5.54</v>
      </c>
      <c r="D551" s="194" t="s">
        <v>2853</v>
      </c>
    </row>
    <row r="552" spans="1:4" ht="15.6" outlineLevel="1" x14ac:dyDescent="0.25">
      <c r="A552" s="57" t="s">
        <v>461</v>
      </c>
      <c r="B552" s="58" t="s">
        <v>327</v>
      </c>
      <c r="C552" s="57">
        <v>5.58</v>
      </c>
      <c r="D552" s="194" t="s">
        <v>2853</v>
      </c>
    </row>
    <row r="553" spans="1:4" ht="15.6" outlineLevel="1" x14ac:dyDescent="0.25">
      <c r="A553" s="57" t="s">
        <v>461</v>
      </c>
      <c r="B553" s="58" t="s">
        <v>331</v>
      </c>
      <c r="C553" s="57">
        <v>5.1180000000000003</v>
      </c>
      <c r="D553" s="194" t="s">
        <v>2853</v>
      </c>
    </row>
    <row r="554" spans="1:4" ht="15.6" outlineLevel="1" x14ac:dyDescent="0.25">
      <c r="A554" s="57" t="s">
        <v>461</v>
      </c>
      <c r="B554" s="58" t="s">
        <v>960</v>
      </c>
      <c r="C554" s="57">
        <v>5.47</v>
      </c>
      <c r="D554" s="194" t="s">
        <v>2853</v>
      </c>
    </row>
    <row r="555" spans="1:4" ht="15.6" outlineLevel="1" x14ac:dyDescent="0.25">
      <c r="A555" s="57" t="s">
        <v>461</v>
      </c>
      <c r="B555" s="58" t="s">
        <v>961</v>
      </c>
      <c r="C555" s="57">
        <v>5.48</v>
      </c>
      <c r="D555" s="194" t="s">
        <v>2853</v>
      </c>
    </row>
    <row r="556" spans="1:4" ht="15.6" outlineLevel="1" x14ac:dyDescent="0.25">
      <c r="A556" s="57" t="s">
        <v>461</v>
      </c>
      <c r="B556" s="58" t="s">
        <v>1169</v>
      </c>
      <c r="C556" s="57">
        <v>5.63</v>
      </c>
      <c r="D556" s="194" t="s">
        <v>2853</v>
      </c>
    </row>
    <row r="557" spans="1:4" ht="15.6" outlineLevel="1" x14ac:dyDescent="0.25">
      <c r="A557" s="57" t="s">
        <v>461</v>
      </c>
      <c r="B557" s="58" t="s">
        <v>620</v>
      </c>
      <c r="C557" s="57">
        <v>5.27</v>
      </c>
      <c r="D557" s="194" t="s">
        <v>2853</v>
      </c>
    </row>
    <row r="558" spans="1:4" ht="15.6" outlineLevel="1" x14ac:dyDescent="0.25">
      <c r="A558" s="57" t="s">
        <v>461</v>
      </c>
      <c r="B558" s="58" t="s">
        <v>621</v>
      </c>
      <c r="C558" s="57">
        <v>5.28</v>
      </c>
      <c r="D558" s="194" t="s">
        <v>2853</v>
      </c>
    </row>
    <row r="559" spans="1:4" ht="15.6" outlineLevel="1" x14ac:dyDescent="0.25">
      <c r="A559" s="57" t="s">
        <v>461</v>
      </c>
      <c r="B559" s="58" t="s">
        <v>464</v>
      </c>
      <c r="C559" s="57">
        <v>5.35</v>
      </c>
      <c r="D559" s="194" t="s">
        <v>2853</v>
      </c>
    </row>
    <row r="560" spans="1:4" ht="15.6" outlineLevel="1" x14ac:dyDescent="0.25">
      <c r="A560" s="57" t="s">
        <v>461</v>
      </c>
      <c r="B560" s="58" t="s">
        <v>343</v>
      </c>
      <c r="C560" s="57">
        <v>5.1189999999999998</v>
      </c>
      <c r="D560" s="194" t="s">
        <v>2853</v>
      </c>
    </row>
    <row r="561" spans="1:4" ht="15.6" outlineLevel="1" x14ac:dyDescent="0.25">
      <c r="A561" s="57" t="s">
        <v>461</v>
      </c>
      <c r="B561" s="58" t="s">
        <v>463</v>
      </c>
      <c r="C561" s="62">
        <v>5.12</v>
      </c>
      <c r="D561" s="194" t="s">
        <v>2853</v>
      </c>
    </row>
    <row r="562" spans="1:4" ht="15.6" outlineLevel="1" x14ac:dyDescent="0.25">
      <c r="A562" s="57" t="s">
        <v>461</v>
      </c>
      <c r="B562" s="58" t="s">
        <v>99</v>
      </c>
      <c r="C562" s="57">
        <v>5.1210000000000004</v>
      </c>
      <c r="D562" s="194" t="s">
        <v>2853</v>
      </c>
    </row>
    <row r="563" spans="1:4" ht="15.6" outlineLevel="1" x14ac:dyDescent="0.25">
      <c r="A563" s="57" t="s">
        <v>461</v>
      </c>
      <c r="B563" s="58" t="s">
        <v>622</v>
      </c>
      <c r="C563" s="57">
        <v>5.36</v>
      </c>
      <c r="D563" s="194" t="s">
        <v>2853</v>
      </c>
    </row>
    <row r="564" spans="1:4" ht="15.6" outlineLevel="1" x14ac:dyDescent="0.25">
      <c r="A564" s="57" t="s">
        <v>461</v>
      </c>
      <c r="B564" s="58" t="s">
        <v>365</v>
      </c>
      <c r="C564" s="57">
        <v>5.1219999999999999</v>
      </c>
      <c r="D564" s="194" t="s">
        <v>2853</v>
      </c>
    </row>
    <row r="565" spans="1:4" ht="15.6" outlineLevel="1" x14ac:dyDescent="0.25">
      <c r="A565" s="57" t="s">
        <v>461</v>
      </c>
      <c r="B565" s="58" t="s">
        <v>366</v>
      </c>
      <c r="C565" s="57">
        <v>5.1230000000000002</v>
      </c>
      <c r="D565" s="194" t="s">
        <v>2853</v>
      </c>
    </row>
    <row r="566" spans="1:4" ht="15.6" outlineLevel="1" x14ac:dyDescent="0.25">
      <c r="A566" s="57" t="s">
        <v>461</v>
      </c>
      <c r="B566" s="58" t="s">
        <v>628</v>
      </c>
      <c r="C566" s="57">
        <v>5.1239999999999997</v>
      </c>
      <c r="D566" s="194" t="s">
        <v>2853</v>
      </c>
    </row>
    <row r="567" spans="1:4" ht="15.6" outlineLevel="1" x14ac:dyDescent="0.25">
      <c r="A567" s="57" t="s">
        <v>461</v>
      </c>
      <c r="B567" s="58" t="s">
        <v>308</v>
      </c>
      <c r="C567" s="57">
        <v>5.125</v>
      </c>
      <c r="D567" s="194" t="s">
        <v>2853</v>
      </c>
    </row>
    <row r="568" spans="1:4" ht="15.6" outlineLevel="1" x14ac:dyDescent="0.25">
      <c r="A568" s="57" t="s">
        <v>461</v>
      </c>
      <c r="B568" s="58" t="s">
        <v>368</v>
      </c>
      <c r="C568" s="57">
        <v>5.1260000000000003</v>
      </c>
      <c r="D568" s="194" t="s">
        <v>2853</v>
      </c>
    </row>
    <row r="569" spans="1:4" ht="15.6" outlineLevel="1" x14ac:dyDescent="0.25">
      <c r="A569" s="57" t="s">
        <v>461</v>
      </c>
      <c r="B569" s="58" t="s">
        <v>753</v>
      </c>
      <c r="C569" s="57">
        <v>5.1269999999999998</v>
      </c>
      <c r="D569" s="194" t="s">
        <v>2853</v>
      </c>
    </row>
    <row r="570" spans="1:4" ht="15.6" outlineLevel="1" x14ac:dyDescent="0.25">
      <c r="A570" s="57" t="s">
        <v>461</v>
      </c>
      <c r="B570" s="58" t="s">
        <v>309</v>
      </c>
      <c r="C570" s="59">
        <v>5.72</v>
      </c>
      <c r="D570" s="194" t="s">
        <v>2853</v>
      </c>
    </row>
    <row r="571" spans="1:4" ht="15.6" outlineLevel="1" x14ac:dyDescent="0.25">
      <c r="A571" s="57" t="s">
        <v>461</v>
      </c>
      <c r="B571" s="58" t="s">
        <v>310</v>
      </c>
      <c r="C571" s="57">
        <v>5.1280000000000001</v>
      </c>
      <c r="D571" s="194" t="s">
        <v>2853</v>
      </c>
    </row>
    <row r="572" spans="1:4" ht="15.6" outlineLevel="1" x14ac:dyDescent="0.25">
      <c r="A572" s="57" t="s">
        <v>461</v>
      </c>
      <c r="B572" s="58" t="s">
        <v>349</v>
      </c>
      <c r="C572" s="57">
        <v>5.1289999999999996</v>
      </c>
      <c r="D572" s="60" t="s">
        <v>951</v>
      </c>
    </row>
    <row r="573" spans="1:4" ht="15.6" outlineLevel="1" x14ac:dyDescent="0.25">
      <c r="A573" s="57" t="s">
        <v>461</v>
      </c>
      <c r="B573" s="58" t="s">
        <v>367</v>
      </c>
      <c r="C573" s="57">
        <v>5.1310000000000002</v>
      </c>
      <c r="D573" s="194" t="s">
        <v>2853</v>
      </c>
    </row>
    <row r="574" spans="1:4" ht="15.6" outlineLevel="1" x14ac:dyDescent="0.25">
      <c r="A574" s="57" t="s">
        <v>461</v>
      </c>
      <c r="B574" s="58" t="s">
        <v>633</v>
      </c>
      <c r="C574" s="57">
        <v>5.1319999999999997</v>
      </c>
      <c r="D574" s="60" t="s">
        <v>951</v>
      </c>
    </row>
    <row r="575" spans="1:4" ht="15.6" outlineLevel="1" x14ac:dyDescent="0.25">
      <c r="A575" s="57" t="s">
        <v>461</v>
      </c>
      <c r="B575" s="58" t="s">
        <v>364</v>
      </c>
      <c r="C575" s="57">
        <v>5.133</v>
      </c>
      <c r="D575" s="60" t="s">
        <v>951</v>
      </c>
    </row>
    <row r="576" spans="1:4" ht="15.6" outlineLevel="1" x14ac:dyDescent="0.25">
      <c r="A576" s="57" t="s">
        <v>461</v>
      </c>
      <c r="B576" s="58" t="s">
        <v>458</v>
      </c>
      <c r="C576" s="57">
        <v>5.1340000000000003</v>
      </c>
      <c r="D576" s="60" t="s">
        <v>951</v>
      </c>
    </row>
    <row r="577" spans="1:4" ht="15.6" outlineLevel="1" x14ac:dyDescent="0.25">
      <c r="A577" s="57" t="s">
        <v>461</v>
      </c>
      <c r="B577" s="58" t="s">
        <v>436</v>
      </c>
      <c r="C577" s="62">
        <v>5.13</v>
      </c>
      <c r="D577" s="194" t="s">
        <v>2853</v>
      </c>
    </row>
    <row r="578" spans="1:4" ht="15.6" outlineLevel="1" x14ac:dyDescent="0.25">
      <c r="A578" s="57" t="s">
        <v>461</v>
      </c>
      <c r="B578" s="58" t="s">
        <v>19</v>
      </c>
      <c r="C578" s="57">
        <v>5.47</v>
      </c>
      <c r="D578" s="194" t="s">
        <v>2853</v>
      </c>
    </row>
    <row r="579" spans="1:4" ht="15.6" outlineLevel="1" x14ac:dyDescent="0.25">
      <c r="A579" s="57" t="s">
        <v>461</v>
      </c>
      <c r="B579" s="58" t="s">
        <v>30</v>
      </c>
      <c r="C579" s="57">
        <v>5.48</v>
      </c>
      <c r="D579" s="194" t="s">
        <v>2853</v>
      </c>
    </row>
    <row r="580" spans="1:4" ht="15.6" x14ac:dyDescent="0.25">
      <c r="A580" s="61" t="s">
        <v>461</v>
      </c>
      <c r="B580" s="195" t="s">
        <v>2853</v>
      </c>
      <c r="C580" s="196" t="s">
        <v>2853</v>
      </c>
      <c r="D580" s="194" t="s">
        <v>2853</v>
      </c>
    </row>
    <row r="581" spans="1:4" ht="15.6" outlineLevel="1" x14ac:dyDescent="0.25">
      <c r="A581" s="57" t="s">
        <v>48</v>
      </c>
      <c r="B581" s="58" t="s">
        <v>667</v>
      </c>
      <c r="C581" s="57">
        <v>5.0999999999999996</v>
      </c>
      <c r="D581" s="194" t="s">
        <v>2853</v>
      </c>
    </row>
    <row r="582" spans="1:4" ht="15.6" outlineLevel="1" x14ac:dyDescent="0.25">
      <c r="A582" s="57" t="s">
        <v>48</v>
      </c>
      <c r="B582" s="58" t="s">
        <v>0</v>
      </c>
      <c r="C582" s="57">
        <v>5.2</v>
      </c>
      <c r="D582" s="194" t="s">
        <v>2853</v>
      </c>
    </row>
    <row r="583" spans="1:4" ht="15.6" outlineLevel="1" x14ac:dyDescent="0.25">
      <c r="A583" s="57" t="s">
        <v>48</v>
      </c>
      <c r="B583" s="58" t="s">
        <v>741</v>
      </c>
      <c r="C583" s="57">
        <v>5.9</v>
      </c>
      <c r="D583" s="60" t="s">
        <v>951</v>
      </c>
    </row>
    <row r="584" spans="1:4" ht="15.6" outlineLevel="1" x14ac:dyDescent="0.25">
      <c r="A584" s="57" t="s">
        <v>48</v>
      </c>
      <c r="B584" s="58" t="s">
        <v>742</v>
      </c>
      <c r="C584" s="57">
        <v>5.13</v>
      </c>
      <c r="D584" s="60" t="s">
        <v>951</v>
      </c>
    </row>
    <row r="585" spans="1:4" ht="15.6" outlineLevel="1" x14ac:dyDescent="0.25">
      <c r="A585" s="57" t="s">
        <v>48</v>
      </c>
      <c r="B585" s="58" t="s">
        <v>743</v>
      </c>
      <c r="C585" s="57">
        <v>5.16</v>
      </c>
      <c r="D585" s="60" t="s">
        <v>951</v>
      </c>
    </row>
    <row r="586" spans="1:4" ht="15.6" outlineLevel="1" x14ac:dyDescent="0.25">
      <c r="A586" s="57" t="s">
        <v>48</v>
      </c>
      <c r="B586" s="58" t="s">
        <v>744</v>
      </c>
      <c r="C586" s="57">
        <v>5.22</v>
      </c>
      <c r="D586" s="197" t="s">
        <v>2853</v>
      </c>
    </row>
    <row r="587" spans="1:4" ht="15.6" outlineLevel="1" x14ac:dyDescent="0.25">
      <c r="A587" s="57" t="s">
        <v>48</v>
      </c>
      <c r="B587" s="58" t="s">
        <v>1</v>
      </c>
      <c r="C587" s="57">
        <v>5.26</v>
      </c>
      <c r="D587" s="194" t="s">
        <v>2853</v>
      </c>
    </row>
    <row r="588" spans="1:4" ht="15.6" outlineLevel="1" x14ac:dyDescent="0.25">
      <c r="A588" s="57" t="s">
        <v>48</v>
      </c>
      <c r="B588" s="58" t="s">
        <v>932</v>
      </c>
      <c r="C588" s="57">
        <v>5.77</v>
      </c>
      <c r="D588" s="194" t="s">
        <v>2853</v>
      </c>
    </row>
    <row r="589" spans="1:4" ht="15.6" outlineLevel="1" x14ac:dyDescent="0.25">
      <c r="A589" s="57" t="s">
        <v>48</v>
      </c>
      <c r="B589" s="58" t="s">
        <v>620</v>
      </c>
      <c r="C589" s="57">
        <v>5.27</v>
      </c>
      <c r="D589" s="194" t="s">
        <v>2853</v>
      </c>
    </row>
    <row r="590" spans="1:4" ht="15.6" outlineLevel="1" x14ac:dyDescent="0.25">
      <c r="A590" s="57" t="s">
        <v>48</v>
      </c>
      <c r="B590" s="58" t="s">
        <v>621</v>
      </c>
      <c r="C590" s="57">
        <v>5.28</v>
      </c>
      <c r="D590" s="60" t="s">
        <v>951</v>
      </c>
    </row>
    <row r="591" spans="1:4" ht="15.6" outlineLevel="1" x14ac:dyDescent="0.25">
      <c r="A591" s="57" t="s">
        <v>48</v>
      </c>
      <c r="B591" s="58" t="s">
        <v>9</v>
      </c>
      <c r="C591" s="57">
        <v>5.31</v>
      </c>
      <c r="D591" s="194" t="s">
        <v>2853</v>
      </c>
    </row>
    <row r="592" spans="1:4" ht="15.6" outlineLevel="1" x14ac:dyDescent="0.25">
      <c r="A592" s="57" t="s">
        <v>48</v>
      </c>
      <c r="B592" s="58" t="s">
        <v>622</v>
      </c>
      <c r="C592" s="57">
        <v>5.36</v>
      </c>
      <c r="D592" s="194" t="s">
        <v>2853</v>
      </c>
    </row>
    <row r="593" spans="1:4" ht="15.6" outlineLevel="1" x14ac:dyDescent="0.25">
      <c r="A593" s="57" t="s">
        <v>48</v>
      </c>
      <c r="B593" s="58" t="s">
        <v>297</v>
      </c>
      <c r="C593" s="57">
        <v>5.78</v>
      </c>
      <c r="D593" s="194" t="s">
        <v>2853</v>
      </c>
    </row>
    <row r="594" spans="1:4" ht="15.6" outlineLevel="1" x14ac:dyDescent="0.25">
      <c r="A594" s="57" t="s">
        <v>48</v>
      </c>
      <c r="B594" s="58" t="s">
        <v>608</v>
      </c>
      <c r="C594" s="57">
        <v>5.79</v>
      </c>
      <c r="D594" s="60" t="s">
        <v>951</v>
      </c>
    </row>
    <row r="595" spans="1:4" ht="15.6" outlineLevel="1" x14ac:dyDescent="0.25">
      <c r="A595" s="57" t="s">
        <v>48</v>
      </c>
      <c r="B595" s="58" t="s">
        <v>748</v>
      </c>
      <c r="C595" s="57">
        <v>5.41</v>
      </c>
      <c r="D595" s="194" t="s">
        <v>2853</v>
      </c>
    </row>
    <row r="596" spans="1:4" ht="15.6" outlineLevel="1" x14ac:dyDescent="0.25">
      <c r="A596" s="57" t="s">
        <v>48</v>
      </c>
      <c r="B596" s="58" t="s">
        <v>6</v>
      </c>
      <c r="C596" s="57">
        <v>5.49</v>
      </c>
      <c r="D596" s="194" t="s">
        <v>2853</v>
      </c>
    </row>
    <row r="597" spans="1:4" ht="15.6" outlineLevel="1" x14ac:dyDescent="0.25">
      <c r="A597" s="57" t="s">
        <v>48</v>
      </c>
      <c r="B597" s="58" t="s">
        <v>8</v>
      </c>
      <c r="C597" s="57">
        <v>5.51</v>
      </c>
      <c r="D597" s="194" t="s">
        <v>2853</v>
      </c>
    </row>
    <row r="598" spans="1:4" ht="15.6" outlineLevel="1" x14ac:dyDescent="0.25">
      <c r="A598" s="57" t="s">
        <v>48</v>
      </c>
      <c r="B598" s="58" t="s">
        <v>793</v>
      </c>
      <c r="C598" s="57">
        <v>5.52</v>
      </c>
      <c r="D598" s="194" t="s">
        <v>2853</v>
      </c>
    </row>
    <row r="599" spans="1:4" ht="15.6" outlineLevel="1" x14ac:dyDescent="0.25">
      <c r="A599" s="57" t="s">
        <v>48</v>
      </c>
      <c r="B599" s="58" t="s">
        <v>396</v>
      </c>
      <c r="C599" s="57">
        <v>5.53</v>
      </c>
      <c r="D599" s="194" t="s">
        <v>2853</v>
      </c>
    </row>
    <row r="600" spans="1:4" ht="15.6" outlineLevel="1" x14ac:dyDescent="0.25">
      <c r="A600" s="57" t="s">
        <v>48</v>
      </c>
      <c r="B600" s="58" t="s">
        <v>13</v>
      </c>
      <c r="C600" s="57">
        <v>5.69</v>
      </c>
      <c r="D600" s="194" t="s">
        <v>2853</v>
      </c>
    </row>
    <row r="601" spans="1:4" ht="15.6" outlineLevel="1" x14ac:dyDescent="0.25">
      <c r="A601" s="57" t="s">
        <v>48</v>
      </c>
      <c r="B601" s="58" t="s">
        <v>440</v>
      </c>
      <c r="C601" s="57">
        <v>5.71</v>
      </c>
      <c r="D601" s="194" t="s">
        <v>2853</v>
      </c>
    </row>
    <row r="602" spans="1:4" ht="15.6" outlineLevel="1" x14ac:dyDescent="0.25">
      <c r="A602" s="57" t="s">
        <v>48</v>
      </c>
      <c r="B602" s="58" t="s">
        <v>14</v>
      </c>
      <c r="C602" s="59">
        <v>5.7</v>
      </c>
      <c r="D602" s="194" t="s">
        <v>2853</v>
      </c>
    </row>
    <row r="603" spans="1:4" ht="15.6" outlineLevel="1" x14ac:dyDescent="0.25">
      <c r="A603" s="57" t="s">
        <v>48</v>
      </c>
      <c r="B603" s="58" t="s">
        <v>282</v>
      </c>
      <c r="C603" s="59">
        <v>5.8</v>
      </c>
      <c r="D603" s="60" t="s">
        <v>951</v>
      </c>
    </row>
    <row r="604" spans="1:4" ht="15.6" outlineLevel="1" x14ac:dyDescent="0.25">
      <c r="A604" s="57" t="s">
        <v>48</v>
      </c>
      <c r="B604" s="58" t="s">
        <v>309</v>
      </c>
      <c r="C604" s="59">
        <v>5.72</v>
      </c>
      <c r="D604" s="60" t="s">
        <v>951</v>
      </c>
    </row>
    <row r="605" spans="1:4" ht="15.6" outlineLevel="1" x14ac:dyDescent="0.25">
      <c r="A605" s="57" t="s">
        <v>48</v>
      </c>
      <c r="B605" s="58" t="s">
        <v>689</v>
      </c>
      <c r="C605" s="57">
        <v>5.73</v>
      </c>
      <c r="D605" s="60" t="s">
        <v>951</v>
      </c>
    </row>
    <row r="606" spans="1:4" ht="15.6" outlineLevel="1" x14ac:dyDescent="0.25">
      <c r="A606" s="57" t="s">
        <v>48</v>
      </c>
      <c r="B606" s="58" t="s">
        <v>637</v>
      </c>
      <c r="C606" s="57">
        <v>5.74</v>
      </c>
      <c r="D606" s="194" t="s">
        <v>2853</v>
      </c>
    </row>
    <row r="607" spans="1:4" ht="15.6" outlineLevel="1" x14ac:dyDescent="0.25">
      <c r="A607" s="57" t="s">
        <v>48</v>
      </c>
      <c r="B607" s="58" t="s">
        <v>421</v>
      </c>
      <c r="C607" s="57">
        <v>5.75</v>
      </c>
      <c r="D607" s="194" t="s">
        <v>2853</v>
      </c>
    </row>
    <row r="608" spans="1:4" ht="15.6" outlineLevel="1" x14ac:dyDescent="0.25">
      <c r="A608" s="57" t="s">
        <v>48</v>
      </c>
      <c r="B608" s="58" t="s">
        <v>941</v>
      </c>
      <c r="C608" s="57">
        <v>5.76</v>
      </c>
      <c r="D608" s="194" t="s">
        <v>2853</v>
      </c>
    </row>
    <row r="609" spans="1:4" ht="15.6" outlineLevel="1" x14ac:dyDescent="0.25">
      <c r="A609" s="57" t="s">
        <v>48</v>
      </c>
      <c r="B609" s="58" t="s">
        <v>20</v>
      </c>
      <c r="C609" s="57">
        <v>5.81</v>
      </c>
      <c r="D609" s="60" t="s">
        <v>951</v>
      </c>
    </row>
    <row r="610" spans="1:4" ht="15.6" outlineLevel="1" x14ac:dyDescent="0.25">
      <c r="A610" s="57" t="s">
        <v>48</v>
      </c>
      <c r="B610" s="58" t="s">
        <v>784</v>
      </c>
      <c r="C610" s="57">
        <v>5.82</v>
      </c>
      <c r="D610" s="60" t="s">
        <v>951</v>
      </c>
    </row>
    <row r="611" spans="1:4" ht="15.6" outlineLevel="1" x14ac:dyDescent="0.25">
      <c r="A611" s="57" t="s">
        <v>48</v>
      </c>
      <c r="B611" s="58" t="s">
        <v>674</v>
      </c>
      <c r="C611" s="57">
        <v>5.83</v>
      </c>
      <c r="D611" s="60" t="s">
        <v>951</v>
      </c>
    </row>
    <row r="612" spans="1:4" ht="15.6" outlineLevel="1" x14ac:dyDescent="0.25">
      <c r="A612" s="57" t="s">
        <v>48</v>
      </c>
      <c r="B612" s="58" t="s">
        <v>675</v>
      </c>
      <c r="C612" s="57">
        <v>5.84</v>
      </c>
      <c r="D612" s="194" t="s">
        <v>2853</v>
      </c>
    </row>
    <row r="613" spans="1:4" ht="15.6" outlineLevel="1" x14ac:dyDescent="0.25">
      <c r="A613" s="57" t="s">
        <v>48</v>
      </c>
      <c r="B613" s="58" t="s">
        <v>866</v>
      </c>
      <c r="C613" s="57">
        <v>5.85</v>
      </c>
      <c r="D613" s="60" t="s">
        <v>951</v>
      </c>
    </row>
    <row r="614" spans="1:4" ht="15.6" outlineLevel="1" x14ac:dyDescent="0.25">
      <c r="A614" s="57" t="s">
        <v>48</v>
      </c>
      <c r="B614" s="58" t="s">
        <v>420</v>
      </c>
      <c r="C614" s="57">
        <v>5.86</v>
      </c>
      <c r="D614" s="60" t="s">
        <v>951</v>
      </c>
    </row>
    <row r="615" spans="1:4" ht="15.6" outlineLevel="1" x14ac:dyDescent="0.25">
      <c r="A615" s="57" t="s">
        <v>48</v>
      </c>
      <c r="B615" s="58" t="s">
        <v>21</v>
      </c>
      <c r="C615" s="57">
        <v>5.88</v>
      </c>
      <c r="D615" s="60" t="s">
        <v>951</v>
      </c>
    </row>
    <row r="616" spans="1:4" ht="15.6" outlineLevel="1" x14ac:dyDescent="0.25">
      <c r="A616" s="57" t="s">
        <v>48</v>
      </c>
      <c r="B616" s="58" t="s">
        <v>690</v>
      </c>
      <c r="C616" s="57">
        <v>5.87</v>
      </c>
      <c r="D616" s="194" t="s">
        <v>2853</v>
      </c>
    </row>
    <row r="617" spans="1:4" ht="15.6" outlineLevel="1" x14ac:dyDescent="0.25">
      <c r="A617" s="57" t="s">
        <v>48</v>
      </c>
      <c r="B617" s="58" t="s">
        <v>933</v>
      </c>
      <c r="C617" s="57">
        <v>5.109</v>
      </c>
      <c r="D617" s="194" t="s">
        <v>2853</v>
      </c>
    </row>
    <row r="618" spans="1:4" ht="15.6" outlineLevel="1" x14ac:dyDescent="0.25">
      <c r="A618" s="57" t="s">
        <v>48</v>
      </c>
      <c r="B618" s="58" t="s">
        <v>747</v>
      </c>
      <c r="C618" s="62">
        <v>5.1100000000000003</v>
      </c>
      <c r="D618" s="60" t="s">
        <v>951</v>
      </c>
    </row>
    <row r="619" spans="1:4" ht="15.6" outlineLevel="1" x14ac:dyDescent="0.25">
      <c r="A619" s="57" t="s">
        <v>48</v>
      </c>
      <c r="B619" s="58" t="s">
        <v>372</v>
      </c>
      <c r="C619" s="57">
        <v>5.1109999999999998</v>
      </c>
      <c r="D619" s="194" t="s">
        <v>2853</v>
      </c>
    </row>
    <row r="620" spans="1:4" ht="15.6" outlineLevel="1" x14ac:dyDescent="0.25">
      <c r="A620" s="57" t="s">
        <v>48</v>
      </c>
      <c r="B620" s="58" t="s">
        <v>16</v>
      </c>
      <c r="C620" s="57">
        <v>5.1120000000000001</v>
      </c>
      <c r="D620" s="194" t="s">
        <v>2853</v>
      </c>
    </row>
    <row r="621" spans="1:4" ht="15.6" outlineLevel="1" x14ac:dyDescent="0.25">
      <c r="A621" s="57" t="s">
        <v>48</v>
      </c>
      <c r="B621" s="58" t="s">
        <v>475</v>
      </c>
      <c r="C621" s="57">
        <v>5.1130000000000004</v>
      </c>
      <c r="D621" s="194" t="s">
        <v>2853</v>
      </c>
    </row>
    <row r="622" spans="1:4" ht="15.6" outlineLevel="1" x14ac:dyDescent="0.25">
      <c r="A622" s="57" t="s">
        <v>48</v>
      </c>
      <c r="B622" s="58" t="s">
        <v>638</v>
      </c>
      <c r="C622" s="57">
        <v>5.99</v>
      </c>
      <c r="D622" s="60" t="s">
        <v>951</v>
      </c>
    </row>
    <row r="623" spans="1:4" ht="15.6" outlineLevel="1" x14ac:dyDescent="0.25">
      <c r="A623" s="57" t="s">
        <v>48</v>
      </c>
      <c r="B623" s="58" t="s">
        <v>964</v>
      </c>
      <c r="C623" s="57">
        <v>5.58</v>
      </c>
      <c r="D623" s="197" t="s">
        <v>2853</v>
      </c>
    </row>
    <row r="624" spans="1:4" ht="15.6" outlineLevel="1" x14ac:dyDescent="0.25">
      <c r="A624" s="57" t="s">
        <v>48</v>
      </c>
      <c r="B624" s="58" t="s">
        <v>11</v>
      </c>
      <c r="C624" s="57">
        <v>5.54</v>
      </c>
      <c r="D624" s="194" t="s">
        <v>2853</v>
      </c>
    </row>
    <row r="625" spans="1:4" ht="15.6" outlineLevel="1" x14ac:dyDescent="0.25">
      <c r="A625" s="57" t="s">
        <v>48</v>
      </c>
      <c r="B625" s="58" t="s">
        <v>745</v>
      </c>
      <c r="C625" s="57">
        <v>5.56</v>
      </c>
      <c r="D625" s="194" t="s">
        <v>2853</v>
      </c>
    </row>
    <row r="626" spans="1:4" ht="15.6" outlineLevel="1" x14ac:dyDescent="0.25">
      <c r="A626" s="57" t="s">
        <v>48</v>
      </c>
      <c r="B626" s="58" t="s">
        <v>1162</v>
      </c>
      <c r="C626" s="57">
        <v>5.63</v>
      </c>
      <c r="D626" s="194" t="s">
        <v>2853</v>
      </c>
    </row>
    <row r="627" spans="1:4" ht="15.6" outlineLevel="1" x14ac:dyDescent="0.25">
      <c r="A627" s="57" t="s">
        <v>48</v>
      </c>
      <c r="B627" s="58" t="s">
        <v>803</v>
      </c>
      <c r="C627" s="57">
        <v>5.64</v>
      </c>
      <c r="D627" s="194" t="s">
        <v>2853</v>
      </c>
    </row>
    <row r="628" spans="1:4" ht="15.6" outlineLevel="1" x14ac:dyDescent="0.25">
      <c r="A628" s="57" t="s">
        <v>48</v>
      </c>
      <c r="B628" s="58" t="s">
        <v>1163</v>
      </c>
      <c r="C628" s="57">
        <v>5.65</v>
      </c>
      <c r="D628" s="194" t="s">
        <v>2853</v>
      </c>
    </row>
    <row r="629" spans="1:4" ht="15.6" outlineLevel="1" x14ac:dyDescent="0.25">
      <c r="A629" s="57" t="s">
        <v>48</v>
      </c>
      <c r="B629" s="58" t="s">
        <v>804</v>
      </c>
      <c r="C629" s="57">
        <v>5.66</v>
      </c>
      <c r="D629" s="194" t="s">
        <v>2853</v>
      </c>
    </row>
    <row r="630" spans="1:4" ht="15.6" outlineLevel="1" x14ac:dyDescent="0.25">
      <c r="A630" s="57" t="s">
        <v>48</v>
      </c>
      <c r="B630" s="58" t="s">
        <v>685</v>
      </c>
      <c r="C630" s="57">
        <v>5.89</v>
      </c>
      <c r="D630" s="60" t="s">
        <v>951</v>
      </c>
    </row>
    <row r="631" spans="1:4" ht="15.6" outlineLevel="1" x14ac:dyDescent="0.25">
      <c r="A631" s="57" t="s">
        <v>48</v>
      </c>
      <c r="B631" s="58" t="s">
        <v>26</v>
      </c>
      <c r="C631" s="57">
        <v>5.68</v>
      </c>
      <c r="D631" s="194" t="s">
        <v>2853</v>
      </c>
    </row>
    <row r="632" spans="1:4" ht="15.6" outlineLevel="1" x14ac:dyDescent="0.25">
      <c r="A632" s="57" t="s">
        <v>48</v>
      </c>
      <c r="B632" s="58" t="s">
        <v>19</v>
      </c>
      <c r="C632" s="57">
        <v>5.47</v>
      </c>
      <c r="D632" s="194" t="s">
        <v>2853</v>
      </c>
    </row>
    <row r="633" spans="1:4" ht="15.6" outlineLevel="1" x14ac:dyDescent="0.25">
      <c r="A633" s="57" t="s">
        <v>48</v>
      </c>
      <c r="B633" s="58" t="s">
        <v>30</v>
      </c>
      <c r="C633" s="57">
        <v>5.48</v>
      </c>
      <c r="D633" s="194" t="s">
        <v>2853</v>
      </c>
    </row>
    <row r="634" spans="1:4" ht="15.6" x14ac:dyDescent="0.25">
      <c r="A634" s="61" t="s">
        <v>48</v>
      </c>
      <c r="B634" s="195" t="s">
        <v>2853</v>
      </c>
      <c r="C634" s="196" t="s">
        <v>2853</v>
      </c>
      <c r="D634" s="194" t="s">
        <v>2853</v>
      </c>
    </row>
    <row r="635" spans="1:4" ht="15.6" outlineLevel="1" x14ac:dyDescent="0.25">
      <c r="A635" s="57" t="s">
        <v>49</v>
      </c>
      <c r="B635" s="58" t="s">
        <v>667</v>
      </c>
      <c r="C635" s="57">
        <v>5.0999999999999996</v>
      </c>
      <c r="D635" s="194" t="s">
        <v>2853</v>
      </c>
    </row>
    <row r="636" spans="1:4" ht="15.6" outlineLevel="1" x14ac:dyDescent="0.25">
      <c r="A636" s="57" t="s">
        <v>49</v>
      </c>
      <c r="B636" s="58" t="s">
        <v>0</v>
      </c>
      <c r="C636" s="57">
        <v>5.2</v>
      </c>
      <c r="D636" s="194" t="s">
        <v>2853</v>
      </c>
    </row>
    <row r="637" spans="1:4" ht="15.6" outlineLevel="1" x14ac:dyDescent="0.25">
      <c r="A637" s="57" t="s">
        <v>49</v>
      </c>
      <c r="B637" s="58" t="s">
        <v>740</v>
      </c>
      <c r="C637" s="57">
        <v>5.3</v>
      </c>
      <c r="D637" s="194" t="s">
        <v>2853</v>
      </c>
    </row>
    <row r="638" spans="1:4" ht="15.6" outlineLevel="1" x14ac:dyDescent="0.25">
      <c r="A638" s="57" t="s">
        <v>49</v>
      </c>
      <c r="B638" s="58" t="s">
        <v>2</v>
      </c>
      <c r="C638" s="57">
        <v>5.6</v>
      </c>
      <c r="D638" s="194" t="s">
        <v>2853</v>
      </c>
    </row>
    <row r="639" spans="1:4" ht="15.6" outlineLevel="1" x14ac:dyDescent="0.25">
      <c r="A639" s="57" t="s">
        <v>49</v>
      </c>
      <c r="B639" s="58" t="s">
        <v>746</v>
      </c>
      <c r="C639" s="59">
        <v>5.0999999999999996</v>
      </c>
      <c r="D639" s="194" t="s">
        <v>2853</v>
      </c>
    </row>
    <row r="640" spans="1:4" ht="15.6" outlineLevel="1" x14ac:dyDescent="0.25">
      <c r="A640" s="57" t="s">
        <v>49</v>
      </c>
      <c r="B640" s="58" t="s">
        <v>3</v>
      </c>
      <c r="C640" s="57">
        <v>5.14</v>
      </c>
      <c r="D640" s="194" t="s">
        <v>2853</v>
      </c>
    </row>
    <row r="641" spans="1:4" ht="15.6" outlineLevel="1" x14ac:dyDescent="0.25">
      <c r="A641" s="57" t="s">
        <v>49</v>
      </c>
      <c r="B641" s="58" t="s">
        <v>29</v>
      </c>
      <c r="C641" s="57">
        <v>5.19</v>
      </c>
      <c r="D641" s="194" t="s">
        <v>2853</v>
      </c>
    </row>
    <row r="642" spans="1:4" ht="15.6" outlineLevel="1" x14ac:dyDescent="0.25">
      <c r="A642" s="57" t="s">
        <v>49</v>
      </c>
      <c r="B642" s="58" t="s">
        <v>28</v>
      </c>
      <c r="C642" s="57">
        <v>5.24</v>
      </c>
      <c r="D642" s="194" t="s">
        <v>2853</v>
      </c>
    </row>
    <row r="643" spans="1:4" ht="15.6" outlineLevel="1" x14ac:dyDescent="0.25">
      <c r="A643" s="57" t="s">
        <v>49</v>
      </c>
      <c r="B643" s="58" t="s">
        <v>1</v>
      </c>
      <c r="C643" s="57">
        <v>5.26</v>
      </c>
      <c r="D643" s="194" t="s">
        <v>2853</v>
      </c>
    </row>
    <row r="644" spans="1:4" ht="15.6" outlineLevel="1" x14ac:dyDescent="0.25">
      <c r="A644" s="57" t="s">
        <v>49</v>
      </c>
      <c r="B644" s="58" t="s">
        <v>620</v>
      </c>
      <c r="C644" s="57">
        <v>5.27</v>
      </c>
      <c r="D644" s="194" t="s">
        <v>2853</v>
      </c>
    </row>
    <row r="645" spans="1:4" ht="15.6" outlineLevel="1" x14ac:dyDescent="0.25">
      <c r="A645" s="57" t="s">
        <v>49</v>
      </c>
      <c r="B645" s="58" t="s">
        <v>621</v>
      </c>
      <c r="C645" s="57">
        <v>5.28</v>
      </c>
      <c r="D645" s="194" t="s">
        <v>2853</v>
      </c>
    </row>
    <row r="646" spans="1:4" ht="15.6" outlineLevel="1" x14ac:dyDescent="0.25">
      <c r="A646" s="57" t="s">
        <v>49</v>
      </c>
      <c r="B646" s="58" t="s">
        <v>622</v>
      </c>
      <c r="C646" s="57">
        <v>5.36</v>
      </c>
      <c r="D646" s="194" t="s">
        <v>2853</v>
      </c>
    </row>
    <row r="647" spans="1:4" ht="15.6" outlineLevel="1" x14ac:dyDescent="0.25">
      <c r="A647" s="57" t="s">
        <v>49</v>
      </c>
      <c r="B647" s="58" t="s">
        <v>10</v>
      </c>
      <c r="C647" s="57">
        <v>5.33</v>
      </c>
      <c r="D647" s="194" t="s">
        <v>2853</v>
      </c>
    </row>
    <row r="648" spans="1:4" ht="15.6" outlineLevel="1" x14ac:dyDescent="0.25">
      <c r="A648" s="57" t="s">
        <v>49</v>
      </c>
      <c r="B648" s="58" t="s">
        <v>12</v>
      </c>
      <c r="C648" s="57">
        <v>5.37</v>
      </c>
      <c r="D648" s="194" t="s">
        <v>2853</v>
      </c>
    </row>
    <row r="649" spans="1:4" ht="15.6" outlineLevel="1" x14ac:dyDescent="0.25">
      <c r="A649" s="57" t="s">
        <v>49</v>
      </c>
      <c r="B649" s="58" t="s">
        <v>6</v>
      </c>
      <c r="C649" s="57">
        <v>5.49</v>
      </c>
      <c r="D649" s="194" t="s">
        <v>2853</v>
      </c>
    </row>
    <row r="650" spans="1:4" ht="15.6" outlineLevel="1" x14ac:dyDescent="0.25">
      <c r="A650" s="57" t="s">
        <v>49</v>
      </c>
      <c r="B650" s="58" t="s">
        <v>8</v>
      </c>
      <c r="C650" s="57">
        <v>5.51</v>
      </c>
      <c r="D650" s="194" t="s">
        <v>2853</v>
      </c>
    </row>
    <row r="651" spans="1:4" ht="15.6" outlineLevel="1" x14ac:dyDescent="0.25">
      <c r="A651" s="57" t="s">
        <v>49</v>
      </c>
      <c r="B651" s="58" t="s">
        <v>7</v>
      </c>
      <c r="C651" s="57">
        <v>5.52</v>
      </c>
      <c r="D651" s="194" t="s">
        <v>2853</v>
      </c>
    </row>
    <row r="652" spans="1:4" ht="15.6" outlineLevel="1" x14ac:dyDescent="0.25">
      <c r="A652" s="57" t="s">
        <v>49</v>
      </c>
      <c r="B652" s="58" t="s">
        <v>396</v>
      </c>
      <c r="C652" s="57">
        <v>5.53</v>
      </c>
      <c r="D652" s="194" t="s">
        <v>2853</v>
      </c>
    </row>
    <row r="653" spans="1:4" ht="15.6" outlineLevel="1" x14ac:dyDescent="0.25">
      <c r="A653" s="57" t="s">
        <v>49</v>
      </c>
      <c r="B653" s="58" t="s">
        <v>13</v>
      </c>
      <c r="C653" s="57">
        <v>5.69</v>
      </c>
      <c r="D653" s="194" t="s">
        <v>2853</v>
      </c>
    </row>
    <row r="654" spans="1:4" ht="15.6" outlineLevel="1" x14ac:dyDescent="0.25">
      <c r="A654" s="57" t="s">
        <v>49</v>
      </c>
      <c r="B654" s="58" t="s">
        <v>14</v>
      </c>
      <c r="C654" s="59">
        <v>5.7</v>
      </c>
      <c r="D654" s="194" t="s">
        <v>2853</v>
      </c>
    </row>
    <row r="655" spans="1:4" ht="15.6" outlineLevel="1" x14ac:dyDescent="0.25">
      <c r="A655" s="57" t="s">
        <v>49</v>
      </c>
      <c r="B655" s="58" t="s">
        <v>637</v>
      </c>
      <c r="C655" s="57">
        <v>5.74</v>
      </c>
      <c r="D655" s="194" t="s">
        <v>2853</v>
      </c>
    </row>
    <row r="656" spans="1:4" ht="15.6" outlineLevel="1" x14ac:dyDescent="0.25">
      <c r="A656" s="57" t="s">
        <v>49</v>
      </c>
      <c r="B656" s="58" t="s">
        <v>933</v>
      </c>
      <c r="C656" s="57">
        <v>5.109</v>
      </c>
      <c r="D656" s="194" t="s">
        <v>2853</v>
      </c>
    </row>
    <row r="657" spans="1:4" ht="15.6" outlineLevel="1" x14ac:dyDescent="0.25">
      <c r="A657" s="57" t="s">
        <v>49</v>
      </c>
      <c r="B657" s="58" t="s">
        <v>372</v>
      </c>
      <c r="C657" s="57">
        <v>5.1109999999999998</v>
      </c>
      <c r="D657" s="194" t="s">
        <v>2853</v>
      </c>
    </row>
    <row r="658" spans="1:4" ht="15.6" outlineLevel="1" x14ac:dyDescent="0.25">
      <c r="A658" s="57" t="s">
        <v>49</v>
      </c>
      <c r="B658" s="58" t="s">
        <v>16</v>
      </c>
      <c r="C658" s="57">
        <v>5.1120000000000001</v>
      </c>
      <c r="D658" s="194" t="s">
        <v>2853</v>
      </c>
    </row>
    <row r="659" spans="1:4" ht="15.6" outlineLevel="1" x14ac:dyDescent="0.25">
      <c r="A659" s="57" t="s">
        <v>49</v>
      </c>
      <c r="B659" s="58" t="s">
        <v>789</v>
      </c>
      <c r="C659" s="57">
        <v>5.58</v>
      </c>
      <c r="D659" s="194" t="s">
        <v>2853</v>
      </c>
    </row>
    <row r="660" spans="1:4" ht="15.6" outlineLevel="1" x14ac:dyDescent="0.25">
      <c r="A660" s="57" t="s">
        <v>49</v>
      </c>
      <c r="B660" s="58" t="s">
        <v>11</v>
      </c>
      <c r="C660" s="57">
        <v>5.54</v>
      </c>
      <c r="D660" s="194" t="s">
        <v>2853</v>
      </c>
    </row>
    <row r="661" spans="1:4" ht="15.6" outlineLevel="1" x14ac:dyDescent="0.25">
      <c r="A661" s="57" t="s">
        <v>49</v>
      </c>
      <c r="B661" s="58" t="s">
        <v>15</v>
      </c>
      <c r="C661" s="57">
        <v>5.55</v>
      </c>
      <c r="D661" s="194" t="s">
        <v>2853</v>
      </c>
    </row>
    <row r="662" spans="1:4" ht="15.6" outlineLevel="1" x14ac:dyDescent="0.25">
      <c r="A662" s="57" t="s">
        <v>49</v>
      </c>
      <c r="B662" s="58" t="s">
        <v>1162</v>
      </c>
      <c r="C662" s="57">
        <v>5.63</v>
      </c>
      <c r="D662" s="194" t="s">
        <v>2853</v>
      </c>
    </row>
    <row r="663" spans="1:4" ht="15.6" outlineLevel="1" x14ac:dyDescent="0.25">
      <c r="A663" s="57" t="s">
        <v>49</v>
      </c>
      <c r="B663" s="58" t="s">
        <v>19</v>
      </c>
      <c r="C663" s="57">
        <v>5.47</v>
      </c>
      <c r="D663" s="194" t="s">
        <v>2853</v>
      </c>
    </row>
    <row r="664" spans="1:4" ht="15.6" outlineLevel="1" x14ac:dyDescent="0.25">
      <c r="A664" s="57" t="s">
        <v>49</v>
      </c>
      <c r="B664" s="58" t="s">
        <v>30</v>
      </c>
      <c r="C664" s="57">
        <v>5.48</v>
      </c>
      <c r="D664" s="194" t="s">
        <v>2853</v>
      </c>
    </row>
    <row r="665" spans="1:4" ht="15.6" x14ac:dyDescent="0.25">
      <c r="A665" s="61" t="s">
        <v>49</v>
      </c>
      <c r="B665" s="195" t="s">
        <v>2853</v>
      </c>
      <c r="C665" s="196" t="s">
        <v>2853</v>
      </c>
      <c r="D665" s="194" t="s">
        <v>2853</v>
      </c>
    </row>
    <row r="666" spans="1:4" ht="15.6" outlineLevel="1" x14ac:dyDescent="0.25">
      <c r="A666" s="57" t="s">
        <v>50</v>
      </c>
      <c r="B666" s="58" t="s">
        <v>667</v>
      </c>
      <c r="C666" s="57">
        <v>5.0999999999999996</v>
      </c>
      <c r="D666" s="194" t="s">
        <v>2853</v>
      </c>
    </row>
    <row r="667" spans="1:4" ht="15.6" outlineLevel="1" x14ac:dyDescent="0.25">
      <c r="A667" s="57" t="s">
        <v>50</v>
      </c>
      <c r="B667" s="58" t="s">
        <v>0</v>
      </c>
      <c r="C667" s="57">
        <v>5.2</v>
      </c>
      <c r="D667" s="194" t="s">
        <v>2853</v>
      </c>
    </row>
    <row r="668" spans="1:4" ht="15.6" outlineLevel="1" x14ac:dyDescent="0.25">
      <c r="A668" s="57" t="s">
        <v>50</v>
      </c>
      <c r="B668" s="58" t="s">
        <v>739</v>
      </c>
      <c r="C668" s="57">
        <v>5.4</v>
      </c>
      <c r="D668" s="194" t="s">
        <v>2853</v>
      </c>
    </row>
    <row r="669" spans="1:4" ht="15.6" outlineLevel="1" x14ac:dyDescent="0.25">
      <c r="A669" s="57" t="s">
        <v>50</v>
      </c>
      <c r="B669" s="58" t="s">
        <v>757</v>
      </c>
      <c r="C669" s="57">
        <v>5.7</v>
      </c>
      <c r="D669" s="194" t="s">
        <v>2853</v>
      </c>
    </row>
    <row r="670" spans="1:4" ht="15.6" outlineLevel="1" x14ac:dyDescent="0.25">
      <c r="A670" s="57" t="s">
        <v>50</v>
      </c>
      <c r="B670" s="58" t="s">
        <v>758</v>
      </c>
      <c r="C670" s="57">
        <v>5.1100000000000003</v>
      </c>
      <c r="D670" s="194" t="s">
        <v>2853</v>
      </c>
    </row>
    <row r="671" spans="1:4" ht="15.6" outlineLevel="1" x14ac:dyDescent="0.25">
      <c r="A671" s="57" t="s">
        <v>50</v>
      </c>
      <c r="B671" s="58" t="s">
        <v>1</v>
      </c>
      <c r="C671" s="57">
        <v>5.26</v>
      </c>
      <c r="D671" s="194" t="s">
        <v>2853</v>
      </c>
    </row>
    <row r="672" spans="1:4" ht="15.6" outlineLevel="1" x14ac:dyDescent="0.25">
      <c r="A672" s="57" t="s">
        <v>50</v>
      </c>
      <c r="B672" s="58" t="s">
        <v>641</v>
      </c>
      <c r="C672" s="57">
        <v>5.43</v>
      </c>
      <c r="D672" s="194" t="s">
        <v>2853</v>
      </c>
    </row>
    <row r="673" spans="1:4" ht="15.6" outlineLevel="1" x14ac:dyDescent="0.25">
      <c r="A673" s="57" t="s">
        <v>50</v>
      </c>
      <c r="B673" s="58" t="s">
        <v>620</v>
      </c>
      <c r="C673" s="57">
        <v>5.27</v>
      </c>
      <c r="D673" s="194" t="s">
        <v>2853</v>
      </c>
    </row>
    <row r="674" spans="1:4" ht="15.6" outlineLevel="1" x14ac:dyDescent="0.25">
      <c r="A674" s="57" t="s">
        <v>50</v>
      </c>
      <c r="B674" s="58" t="s">
        <v>621</v>
      </c>
      <c r="C674" s="57">
        <v>5.28</v>
      </c>
      <c r="D674" s="194" t="s">
        <v>2853</v>
      </c>
    </row>
    <row r="675" spans="1:4" ht="15.6" outlineLevel="1" x14ac:dyDescent="0.25">
      <c r="A675" s="57" t="s">
        <v>50</v>
      </c>
      <c r="B675" s="58" t="s">
        <v>622</v>
      </c>
      <c r="C675" s="57">
        <v>5.36</v>
      </c>
      <c r="D675" s="194" t="s">
        <v>2853</v>
      </c>
    </row>
    <row r="676" spans="1:4" ht="15.6" outlineLevel="1" x14ac:dyDescent="0.25">
      <c r="A676" s="57" t="s">
        <v>50</v>
      </c>
      <c r="B676" s="58" t="s">
        <v>788</v>
      </c>
      <c r="C676" s="59">
        <v>5.5</v>
      </c>
      <c r="D676" s="194" t="s">
        <v>2853</v>
      </c>
    </row>
    <row r="677" spans="1:4" ht="15.6" outlineLevel="1" x14ac:dyDescent="0.25">
      <c r="A677" s="57" t="s">
        <v>50</v>
      </c>
      <c r="B677" s="58" t="s">
        <v>8</v>
      </c>
      <c r="C677" s="57">
        <v>5.51</v>
      </c>
      <c r="D677" s="194" t="s">
        <v>2853</v>
      </c>
    </row>
    <row r="678" spans="1:4" ht="15.6" outlineLevel="1" x14ac:dyDescent="0.25">
      <c r="A678" s="57" t="s">
        <v>50</v>
      </c>
      <c r="B678" s="58" t="s">
        <v>396</v>
      </c>
      <c r="C678" s="57">
        <v>5.53</v>
      </c>
      <c r="D678" s="194" t="s">
        <v>2853</v>
      </c>
    </row>
    <row r="679" spans="1:4" ht="15.6" outlineLevel="1" x14ac:dyDescent="0.25">
      <c r="A679" s="57" t="s">
        <v>50</v>
      </c>
      <c r="B679" s="58" t="s">
        <v>13</v>
      </c>
      <c r="C679" s="57">
        <v>5.69</v>
      </c>
      <c r="D679" s="194" t="s">
        <v>2853</v>
      </c>
    </row>
    <row r="680" spans="1:4" ht="15.6" outlineLevel="1" x14ac:dyDescent="0.25">
      <c r="A680" s="57" t="s">
        <v>50</v>
      </c>
      <c r="B680" s="58" t="s">
        <v>14</v>
      </c>
      <c r="C680" s="59">
        <v>5.7</v>
      </c>
      <c r="D680" s="60" t="s">
        <v>951</v>
      </c>
    </row>
    <row r="681" spans="1:4" ht="15.6" outlineLevel="1" x14ac:dyDescent="0.25">
      <c r="A681" s="57" t="s">
        <v>50</v>
      </c>
      <c r="B681" s="58" t="s">
        <v>637</v>
      </c>
      <c r="C681" s="57">
        <v>5.74</v>
      </c>
      <c r="D681" s="194" t="s">
        <v>2853</v>
      </c>
    </row>
    <row r="682" spans="1:4" ht="15.6" outlineLevel="1" x14ac:dyDescent="0.25">
      <c r="A682" s="57" t="s">
        <v>50</v>
      </c>
      <c r="B682" s="58" t="s">
        <v>937</v>
      </c>
      <c r="C682" s="57">
        <v>5.59</v>
      </c>
      <c r="D682" s="194" t="s">
        <v>2853</v>
      </c>
    </row>
    <row r="683" spans="1:4" ht="15.6" outlineLevel="1" x14ac:dyDescent="0.25">
      <c r="A683" s="57" t="s">
        <v>50</v>
      </c>
      <c r="B683" s="58" t="s">
        <v>11</v>
      </c>
      <c r="C683" s="57">
        <v>5.54</v>
      </c>
      <c r="D683" s="194" t="s">
        <v>2853</v>
      </c>
    </row>
    <row r="684" spans="1:4" ht="15.6" outlineLevel="1" x14ac:dyDescent="0.25">
      <c r="A684" s="57" t="s">
        <v>50</v>
      </c>
      <c r="B684" s="58" t="s">
        <v>811</v>
      </c>
      <c r="C684" s="57">
        <v>5.57</v>
      </c>
      <c r="D684" s="194" t="s">
        <v>2853</v>
      </c>
    </row>
    <row r="685" spans="1:4" ht="15.6" outlineLevel="1" x14ac:dyDescent="0.25">
      <c r="A685" s="57" t="s">
        <v>50</v>
      </c>
      <c r="B685" s="58" t="s">
        <v>1162</v>
      </c>
      <c r="C685" s="57">
        <v>5.63</v>
      </c>
      <c r="D685" s="194" t="s">
        <v>2853</v>
      </c>
    </row>
    <row r="686" spans="1:4" ht="15.6" outlineLevel="1" x14ac:dyDescent="0.25">
      <c r="A686" s="57" t="s">
        <v>50</v>
      </c>
      <c r="B686" s="58" t="s">
        <v>19</v>
      </c>
      <c r="C686" s="57">
        <v>5.47</v>
      </c>
      <c r="D686" s="194" t="s">
        <v>2853</v>
      </c>
    </row>
    <row r="687" spans="1:4" ht="15.6" outlineLevel="1" x14ac:dyDescent="0.25">
      <c r="A687" s="57" t="s">
        <v>50</v>
      </c>
      <c r="B687" s="58" t="s">
        <v>30</v>
      </c>
      <c r="C687" s="57">
        <v>5.48</v>
      </c>
      <c r="D687" s="194" t="s">
        <v>2853</v>
      </c>
    </row>
    <row r="688" spans="1:4" ht="15.6" x14ac:dyDescent="0.25">
      <c r="A688" s="61" t="s">
        <v>50</v>
      </c>
      <c r="B688" s="195" t="s">
        <v>2853</v>
      </c>
      <c r="C688" s="196" t="s">
        <v>2853</v>
      </c>
      <c r="D688" s="194" t="s">
        <v>2853</v>
      </c>
    </row>
    <row r="689" spans="1:4" ht="15.6" outlineLevel="1" x14ac:dyDescent="0.25">
      <c r="A689" s="57" t="s">
        <v>51</v>
      </c>
      <c r="B689" s="58" t="s">
        <v>667</v>
      </c>
      <c r="C689" s="57">
        <v>5.0999999999999996</v>
      </c>
      <c r="D689" s="194" t="s">
        <v>2853</v>
      </c>
    </row>
    <row r="690" spans="1:4" ht="15.6" outlineLevel="1" x14ac:dyDescent="0.25">
      <c r="A690" s="57" t="s">
        <v>51</v>
      </c>
      <c r="B690" s="58" t="s">
        <v>0</v>
      </c>
      <c r="C690" s="57">
        <v>5.2</v>
      </c>
      <c r="D690" s="194" t="s">
        <v>2853</v>
      </c>
    </row>
    <row r="691" spans="1:4" ht="15.6" outlineLevel="1" x14ac:dyDescent="0.25">
      <c r="A691" s="57" t="s">
        <v>51</v>
      </c>
      <c r="B691" s="58" t="s">
        <v>299</v>
      </c>
      <c r="C691" s="57">
        <v>5.17</v>
      </c>
      <c r="D691" s="194" t="s">
        <v>2853</v>
      </c>
    </row>
    <row r="692" spans="1:4" ht="15.6" outlineLevel="1" x14ac:dyDescent="0.25">
      <c r="A692" s="57" t="s">
        <v>51</v>
      </c>
      <c r="B692" s="58" t="s">
        <v>1</v>
      </c>
      <c r="C692" s="57">
        <v>5.26</v>
      </c>
      <c r="D692" s="194" t="s">
        <v>2853</v>
      </c>
    </row>
    <row r="693" spans="1:4" ht="15.6" outlineLevel="1" x14ac:dyDescent="0.25">
      <c r="A693" s="57" t="s">
        <v>51</v>
      </c>
      <c r="B693" s="58" t="s">
        <v>798</v>
      </c>
      <c r="C693" s="57">
        <v>5.1029999999999998</v>
      </c>
      <c r="D693" s="194" t="s">
        <v>2853</v>
      </c>
    </row>
    <row r="694" spans="1:4" ht="15.6" outlineLevel="1" x14ac:dyDescent="0.25">
      <c r="A694" s="57" t="s">
        <v>51</v>
      </c>
      <c r="B694" s="58" t="s">
        <v>622</v>
      </c>
      <c r="C694" s="57">
        <v>5.36</v>
      </c>
      <c r="D694" s="194" t="s">
        <v>2853</v>
      </c>
    </row>
    <row r="695" spans="1:4" ht="15.6" outlineLevel="1" x14ac:dyDescent="0.25">
      <c r="A695" s="57" t="s">
        <v>51</v>
      </c>
      <c r="B695" s="58" t="s">
        <v>12</v>
      </c>
      <c r="C695" s="57">
        <v>5.37</v>
      </c>
      <c r="D695" s="194" t="s">
        <v>2853</v>
      </c>
    </row>
    <row r="696" spans="1:4" ht="15.6" outlineLevel="1" x14ac:dyDescent="0.25">
      <c r="A696" s="57" t="s">
        <v>51</v>
      </c>
      <c r="B696" s="58" t="s">
        <v>24</v>
      </c>
      <c r="C696" s="57">
        <v>5.1040000000000001</v>
      </c>
      <c r="D696" s="194" t="s">
        <v>2853</v>
      </c>
    </row>
    <row r="697" spans="1:4" ht="15.6" outlineLevel="1" x14ac:dyDescent="0.25">
      <c r="A697" s="57" t="s">
        <v>51</v>
      </c>
      <c r="B697" s="58" t="s">
        <v>286</v>
      </c>
      <c r="C697" s="57">
        <v>5.1050000000000004</v>
      </c>
      <c r="D697" s="194" t="s">
        <v>2853</v>
      </c>
    </row>
    <row r="698" spans="1:4" ht="15.6" outlineLevel="1" x14ac:dyDescent="0.25">
      <c r="A698" s="57" t="s">
        <v>51</v>
      </c>
      <c r="B698" s="58" t="s">
        <v>25</v>
      </c>
      <c r="C698" s="57">
        <v>5.1059999999999999</v>
      </c>
      <c r="D698" s="194" t="s">
        <v>2853</v>
      </c>
    </row>
    <row r="699" spans="1:4" ht="15.6" outlineLevel="1" x14ac:dyDescent="0.25">
      <c r="A699" s="57" t="s">
        <v>51</v>
      </c>
      <c r="B699" s="58" t="s">
        <v>965</v>
      </c>
      <c r="C699" s="57">
        <v>5.1070000000000002</v>
      </c>
      <c r="D699" s="194" t="s">
        <v>2853</v>
      </c>
    </row>
    <row r="700" spans="1:4" ht="15.6" outlineLevel="1" x14ac:dyDescent="0.25">
      <c r="A700" s="57" t="s">
        <v>51</v>
      </c>
      <c r="B700" s="58" t="s">
        <v>288</v>
      </c>
      <c r="C700" s="57">
        <v>5.1079999999999997</v>
      </c>
      <c r="D700" s="60" t="s">
        <v>951</v>
      </c>
    </row>
    <row r="701" spans="1:4" ht="15.6" outlineLevel="1" x14ac:dyDescent="0.25">
      <c r="A701" s="57" t="s">
        <v>51</v>
      </c>
      <c r="B701" s="58" t="s">
        <v>933</v>
      </c>
      <c r="C701" s="57">
        <v>5.109</v>
      </c>
      <c r="D701" s="194" t="s">
        <v>2853</v>
      </c>
    </row>
    <row r="702" spans="1:4" ht="15.6" outlineLevel="1" x14ac:dyDescent="0.25">
      <c r="A702" s="57" t="s">
        <v>51</v>
      </c>
      <c r="B702" s="58" t="s">
        <v>747</v>
      </c>
      <c r="C702" s="62">
        <v>5.1100000000000003</v>
      </c>
      <c r="D702" s="60" t="s">
        <v>951</v>
      </c>
    </row>
    <row r="703" spans="1:4" ht="15.6" outlineLevel="1" x14ac:dyDescent="0.25">
      <c r="A703" s="57" t="s">
        <v>51</v>
      </c>
      <c r="B703" s="58" t="s">
        <v>372</v>
      </c>
      <c r="C703" s="57">
        <v>5.1109999999999998</v>
      </c>
      <c r="D703" s="194" t="s">
        <v>2853</v>
      </c>
    </row>
    <row r="704" spans="1:4" ht="15.6" outlineLevel="1" x14ac:dyDescent="0.25">
      <c r="A704" s="57" t="s">
        <v>51</v>
      </c>
      <c r="B704" s="58" t="s">
        <v>16</v>
      </c>
      <c r="C704" s="57">
        <v>5.1120000000000001</v>
      </c>
      <c r="D704" s="194" t="s">
        <v>2853</v>
      </c>
    </row>
    <row r="705" spans="1:4" ht="15.6" outlineLevel="1" x14ac:dyDescent="0.25">
      <c r="A705" s="57" t="s">
        <v>51</v>
      </c>
      <c r="B705" s="58" t="s">
        <v>396</v>
      </c>
      <c r="C705" s="57">
        <v>5.53</v>
      </c>
      <c r="D705" s="194" t="s">
        <v>2853</v>
      </c>
    </row>
    <row r="706" spans="1:4" ht="15.6" outlineLevel="1" x14ac:dyDescent="0.25">
      <c r="A706" s="57" t="s">
        <v>51</v>
      </c>
      <c r="B706" s="58" t="s">
        <v>803</v>
      </c>
      <c r="C706" s="57">
        <v>5.64</v>
      </c>
      <c r="D706" s="194" t="s">
        <v>2853</v>
      </c>
    </row>
    <row r="707" spans="1:4" ht="15.6" outlineLevel="1" x14ac:dyDescent="0.25">
      <c r="A707" s="57" t="s">
        <v>51</v>
      </c>
      <c r="B707" s="58" t="s">
        <v>1162</v>
      </c>
      <c r="C707" s="57">
        <v>5.63</v>
      </c>
      <c r="D707" s="194" t="s">
        <v>2853</v>
      </c>
    </row>
    <row r="708" spans="1:4" ht="15.6" outlineLevel="1" x14ac:dyDescent="0.25">
      <c r="A708" s="57" t="s">
        <v>51</v>
      </c>
      <c r="B708" s="58" t="s">
        <v>1163</v>
      </c>
      <c r="C708" s="57">
        <v>5.65</v>
      </c>
      <c r="D708" s="194" t="s">
        <v>2853</v>
      </c>
    </row>
    <row r="709" spans="1:4" ht="15.6" outlineLevel="1" x14ac:dyDescent="0.25">
      <c r="A709" s="57" t="s">
        <v>51</v>
      </c>
      <c r="B709" s="58" t="s">
        <v>804</v>
      </c>
      <c r="C709" s="57">
        <v>5.66</v>
      </c>
      <c r="D709" s="194" t="s">
        <v>2853</v>
      </c>
    </row>
    <row r="710" spans="1:4" ht="15.6" outlineLevel="1" x14ac:dyDescent="0.25">
      <c r="A710" s="57" t="s">
        <v>51</v>
      </c>
      <c r="B710" s="58" t="s">
        <v>26</v>
      </c>
      <c r="C710" s="57">
        <v>5.68</v>
      </c>
      <c r="D710" s="194" t="s">
        <v>2853</v>
      </c>
    </row>
    <row r="711" spans="1:4" ht="15.6" outlineLevel="1" x14ac:dyDescent="0.25">
      <c r="A711" s="57" t="s">
        <v>51</v>
      </c>
      <c r="B711" s="58" t="s">
        <v>19</v>
      </c>
      <c r="C711" s="57">
        <v>5.47</v>
      </c>
      <c r="D711" s="194" t="s">
        <v>2853</v>
      </c>
    </row>
    <row r="712" spans="1:4" ht="15.6" outlineLevel="1" x14ac:dyDescent="0.25">
      <c r="A712" s="57" t="s">
        <v>51</v>
      </c>
      <c r="B712" s="58" t="s">
        <v>30</v>
      </c>
      <c r="C712" s="57">
        <v>5.48</v>
      </c>
      <c r="D712" s="194" t="s">
        <v>2853</v>
      </c>
    </row>
    <row r="713" spans="1:4" ht="15.6" x14ac:dyDescent="0.25">
      <c r="A713" s="61" t="s">
        <v>51</v>
      </c>
      <c r="B713" s="195" t="s">
        <v>2853</v>
      </c>
      <c r="C713" s="196" t="s">
        <v>2853</v>
      </c>
      <c r="D713" s="194" t="s">
        <v>2853</v>
      </c>
    </row>
    <row r="714" spans="1:4" ht="15.6" outlineLevel="1" x14ac:dyDescent="0.25">
      <c r="A714" s="57" t="s">
        <v>953</v>
      </c>
      <c r="B714" s="58" t="s">
        <v>667</v>
      </c>
      <c r="C714" s="57">
        <v>5.0999999999999996</v>
      </c>
      <c r="D714" s="194" t="s">
        <v>2853</v>
      </c>
    </row>
    <row r="715" spans="1:4" ht="15.6" outlineLevel="1" x14ac:dyDescent="0.25">
      <c r="A715" s="57" t="s">
        <v>953</v>
      </c>
      <c r="B715" s="58" t="s">
        <v>0</v>
      </c>
      <c r="C715" s="57">
        <v>5.2</v>
      </c>
      <c r="D715" s="194" t="s">
        <v>2853</v>
      </c>
    </row>
    <row r="716" spans="1:4" ht="15.6" outlineLevel="1" x14ac:dyDescent="0.25">
      <c r="A716" s="57" t="s">
        <v>953</v>
      </c>
      <c r="B716" s="58" t="s">
        <v>740</v>
      </c>
      <c r="C716" s="57">
        <v>5.3</v>
      </c>
      <c r="D716" s="194" t="s">
        <v>2853</v>
      </c>
    </row>
    <row r="717" spans="1:4" ht="15.6" outlineLevel="1" x14ac:dyDescent="0.25">
      <c r="A717" s="57" t="s">
        <v>953</v>
      </c>
      <c r="B717" s="58" t="s">
        <v>2</v>
      </c>
      <c r="C717" s="57">
        <v>5.6</v>
      </c>
      <c r="D717" s="194" t="s">
        <v>2853</v>
      </c>
    </row>
    <row r="718" spans="1:4" ht="15.6" outlineLevel="1" x14ac:dyDescent="0.25">
      <c r="A718" s="57" t="s">
        <v>953</v>
      </c>
      <c r="B718" s="58" t="s">
        <v>746</v>
      </c>
      <c r="C718" s="59">
        <v>5.0999999999999996</v>
      </c>
      <c r="D718" s="194" t="s">
        <v>2853</v>
      </c>
    </row>
    <row r="719" spans="1:4" ht="15.6" outlineLevel="1" x14ac:dyDescent="0.25">
      <c r="A719" s="57" t="s">
        <v>953</v>
      </c>
      <c r="B719" s="58" t="s">
        <v>3</v>
      </c>
      <c r="C719" s="57">
        <v>5.14</v>
      </c>
      <c r="D719" s="194" t="s">
        <v>2853</v>
      </c>
    </row>
    <row r="720" spans="1:4" ht="15.6" outlineLevel="1" x14ac:dyDescent="0.25">
      <c r="A720" s="57" t="s">
        <v>953</v>
      </c>
      <c r="B720" s="58" t="s">
        <v>29</v>
      </c>
      <c r="C720" s="57">
        <v>5.19</v>
      </c>
      <c r="D720" s="194" t="s">
        <v>2853</v>
      </c>
    </row>
    <row r="721" spans="1:4" ht="15.6" outlineLevel="1" x14ac:dyDescent="0.25">
      <c r="A721" s="57" t="s">
        <v>953</v>
      </c>
      <c r="B721" s="58" t="s">
        <v>28</v>
      </c>
      <c r="C721" s="57">
        <v>5.24</v>
      </c>
      <c r="D721" s="194" t="s">
        <v>2853</v>
      </c>
    </row>
    <row r="722" spans="1:4" ht="15.6" outlineLevel="1" x14ac:dyDescent="0.25">
      <c r="A722" s="57" t="s">
        <v>953</v>
      </c>
      <c r="B722" s="58" t="s">
        <v>1</v>
      </c>
      <c r="C722" s="57">
        <v>5.26</v>
      </c>
      <c r="D722" s="194" t="s">
        <v>2853</v>
      </c>
    </row>
    <row r="723" spans="1:4" ht="15.6" outlineLevel="1" x14ac:dyDescent="0.25">
      <c r="A723" s="57" t="s">
        <v>953</v>
      </c>
      <c r="B723" s="58" t="s">
        <v>620</v>
      </c>
      <c r="C723" s="57">
        <v>5.27</v>
      </c>
      <c r="D723" s="194" t="s">
        <v>2853</v>
      </c>
    </row>
    <row r="724" spans="1:4" ht="15.6" outlineLevel="1" x14ac:dyDescent="0.25">
      <c r="A724" s="57" t="s">
        <v>953</v>
      </c>
      <c r="B724" s="58" t="s">
        <v>621</v>
      </c>
      <c r="C724" s="57">
        <v>5.28</v>
      </c>
      <c r="D724" s="194" t="s">
        <v>2853</v>
      </c>
    </row>
    <row r="725" spans="1:4" ht="15.6" outlineLevel="1" x14ac:dyDescent="0.25">
      <c r="A725" s="57" t="s">
        <v>953</v>
      </c>
      <c r="B725" s="58" t="s">
        <v>9</v>
      </c>
      <c r="C725" s="57">
        <v>5.31</v>
      </c>
      <c r="D725" s="194" t="s">
        <v>2853</v>
      </c>
    </row>
    <row r="726" spans="1:4" ht="15.6" outlineLevel="1" x14ac:dyDescent="0.25">
      <c r="A726" s="57" t="s">
        <v>953</v>
      </c>
      <c r="B726" s="58" t="s">
        <v>622</v>
      </c>
      <c r="C726" s="57">
        <v>5.36</v>
      </c>
      <c r="D726" s="194" t="s">
        <v>2853</v>
      </c>
    </row>
    <row r="727" spans="1:4" ht="15.6" outlineLevel="1" x14ac:dyDescent="0.25">
      <c r="A727" s="57" t="s">
        <v>953</v>
      </c>
      <c r="B727" s="58" t="s">
        <v>396</v>
      </c>
      <c r="C727" s="57">
        <v>5.53</v>
      </c>
      <c r="D727" s="194" t="s">
        <v>2853</v>
      </c>
    </row>
    <row r="728" spans="1:4" ht="15.6" outlineLevel="1" x14ac:dyDescent="0.25">
      <c r="A728" s="57" t="s">
        <v>953</v>
      </c>
      <c r="B728" s="58" t="s">
        <v>933</v>
      </c>
      <c r="C728" s="57">
        <v>5.109</v>
      </c>
      <c r="D728" s="194" t="s">
        <v>2853</v>
      </c>
    </row>
    <row r="729" spans="1:4" ht="15.6" outlineLevel="1" x14ac:dyDescent="0.25">
      <c r="A729" s="57" t="s">
        <v>953</v>
      </c>
      <c r="B729" s="58" t="s">
        <v>372</v>
      </c>
      <c r="C729" s="57">
        <v>5.1109999999999998</v>
      </c>
      <c r="D729" s="194" t="s">
        <v>2853</v>
      </c>
    </row>
    <row r="730" spans="1:4" ht="15.6" outlineLevel="1" x14ac:dyDescent="0.25">
      <c r="A730" s="57" t="s">
        <v>953</v>
      </c>
      <c r="B730" s="58" t="s">
        <v>16</v>
      </c>
      <c r="C730" s="57">
        <v>5.1120000000000001</v>
      </c>
      <c r="D730" s="194" t="s">
        <v>2853</v>
      </c>
    </row>
    <row r="731" spans="1:4" ht="15.6" outlineLevel="1" x14ac:dyDescent="0.25">
      <c r="A731" s="57" t="s">
        <v>953</v>
      </c>
      <c r="B731" s="58" t="s">
        <v>475</v>
      </c>
      <c r="C731" s="57">
        <v>5.1130000000000004</v>
      </c>
      <c r="D731" s="194" t="s">
        <v>2853</v>
      </c>
    </row>
    <row r="732" spans="1:4" ht="15.6" outlineLevel="1" x14ac:dyDescent="0.25">
      <c r="A732" s="57" t="s">
        <v>953</v>
      </c>
      <c r="B732" s="58" t="s">
        <v>634</v>
      </c>
      <c r="C732" s="57">
        <v>5.117</v>
      </c>
      <c r="D732" s="194" t="s">
        <v>2853</v>
      </c>
    </row>
    <row r="733" spans="1:4" ht="15.6" outlineLevel="1" x14ac:dyDescent="0.25">
      <c r="A733" s="57" t="s">
        <v>953</v>
      </c>
      <c r="B733" s="58" t="s">
        <v>1165</v>
      </c>
      <c r="C733" s="57">
        <v>5.67</v>
      </c>
      <c r="D733" s="194" t="s">
        <v>2853</v>
      </c>
    </row>
    <row r="734" spans="1:4" ht="15.6" outlineLevel="1" x14ac:dyDescent="0.25">
      <c r="A734" s="57" t="s">
        <v>953</v>
      </c>
      <c r="B734" s="58" t="s">
        <v>1162</v>
      </c>
      <c r="C734" s="57">
        <v>5.63</v>
      </c>
      <c r="D734" s="194" t="s">
        <v>2853</v>
      </c>
    </row>
    <row r="735" spans="1:4" ht="15.6" outlineLevel="1" x14ac:dyDescent="0.25">
      <c r="A735" s="57" t="s">
        <v>953</v>
      </c>
      <c r="B735" s="58" t="s">
        <v>19</v>
      </c>
      <c r="C735" s="57">
        <v>5.47</v>
      </c>
      <c r="D735" s="194" t="s">
        <v>2853</v>
      </c>
    </row>
    <row r="736" spans="1:4" ht="15.6" outlineLevel="1" x14ac:dyDescent="0.25">
      <c r="A736" s="57" t="s">
        <v>953</v>
      </c>
      <c r="B736" s="58" t="s">
        <v>30</v>
      </c>
      <c r="C736" s="57">
        <v>5.48</v>
      </c>
      <c r="D736" s="194" t="s">
        <v>2853</v>
      </c>
    </row>
    <row r="737" spans="1:4" ht="15.6" x14ac:dyDescent="0.25">
      <c r="A737" s="61" t="s">
        <v>975</v>
      </c>
      <c r="B737" s="195" t="s">
        <v>2853</v>
      </c>
      <c r="C737" s="196" t="s">
        <v>2853</v>
      </c>
      <c r="D737" s="194" t="s">
        <v>2853</v>
      </c>
    </row>
    <row r="738" spans="1:4" ht="15.6" outlineLevel="1" x14ac:dyDescent="0.25">
      <c r="A738" s="57" t="s">
        <v>52</v>
      </c>
      <c r="B738" s="58" t="s">
        <v>667</v>
      </c>
      <c r="C738" s="57">
        <v>5.0999999999999996</v>
      </c>
      <c r="D738" s="194" t="s">
        <v>2853</v>
      </c>
    </row>
    <row r="739" spans="1:4" ht="15.6" outlineLevel="1" x14ac:dyDescent="0.25">
      <c r="A739" s="57" t="s">
        <v>52</v>
      </c>
      <c r="B739" s="58" t="s">
        <v>0</v>
      </c>
      <c r="C739" s="57">
        <v>5.2</v>
      </c>
      <c r="D739" s="194" t="s">
        <v>2853</v>
      </c>
    </row>
    <row r="740" spans="1:4" ht="15.6" outlineLevel="1" x14ac:dyDescent="0.25">
      <c r="A740" s="57" t="s">
        <v>52</v>
      </c>
      <c r="B740" s="58" t="s">
        <v>801</v>
      </c>
      <c r="C740" s="57">
        <v>5.18</v>
      </c>
      <c r="D740" s="194" t="s">
        <v>2853</v>
      </c>
    </row>
    <row r="741" spans="1:4" ht="15.6" outlineLevel="1" x14ac:dyDescent="0.25">
      <c r="A741" s="57" t="s">
        <v>52</v>
      </c>
      <c r="B741" s="58" t="s">
        <v>802</v>
      </c>
      <c r="C741" s="57">
        <v>5.23</v>
      </c>
      <c r="D741" s="194" t="s">
        <v>2853</v>
      </c>
    </row>
    <row r="742" spans="1:4" ht="15.6" outlineLevel="1" x14ac:dyDescent="0.25">
      <c r="A742" s="57" t="s">
        <v>52</v>
      </c>
      <c r="B742" s="58" t="s">
        <v>1</v>
      </c>
      <c r="C742" s="57">
        <v>5.26</v>
      </c>
      <c r="D742" s="194" t="s">
        <v>2853</v>
      </c>
    </row>
    <row r="743" spans="1:4" ht="15.6" outlineLevel="1" x14ac:dyDescent="0.25">
      <c r="A743" s="57" t="s">
        <v>52</v>
      </c>
      <c r="B743" s="58" t="s">
        <v>620</v>
      </c>
      <c r="C743" s="57">
        <v>5.27</v>
      </c>
      <c r="D743" s="194" t="s">
        <v>2853</v>
      </c>
    </row>
    <row r="744" spans="1:4" ht="15.6" outlineLevel="1" x14ac:dyDescent="0.25">
      <c r="A744" s="57" t="s">
        <v>52</v>
      </c>
      <c r="B744" s="58" t="s">
        <v>621</v>
      </c>
      <c r="C744" s="57">
        <v>5.28</v>
      </c>
      <c r="D744" s="194" t="s">
        <v>2853</v>
      </c>
    </row>
    <row r="745" spans="1:4" ht="15.6" outlineLevel="1" x14ac:dyDescent="0.25">
      <c r="A745" s="57" t="s">
        <v>52</v>
      </c>
      <c r="B745" s="58" t="s">
        <v>622</v>
      </c>
      <c r="C745" s="57">
        <v>5.36</v>
      </c>
      <c r="D745" s="194" t="s">
        <v>2853</v>
      </c>
    </row>
    <row r="746" spans="1:4" ht="15.6" outlineLevel="1" x14ac:dyDescent="0.25">
      <c r="A746" s="57" t="s">
        <v>52</v>
      </c>
      <c r="B746" s="58" t="s">
        <v>810</v>
      </c>
      <c r="C746" s="57">
        <v>5.44</v>
      </c>
      <c r="D746" s="194" t="s">
        <v>2853</v>
      </c>
    </row>
    <row r="747" spans="1:4" ht="15.6" outlineLevel="1" x14ac:dyDescent="0.25">
      <c r="A747" s="57" t="s">
        <v>52</v>
      </c>
      <c r="B747" s="58" t="s">
        <v>396</v>
      </c>
      <c r="C747" s="57">
        <v>5.53</v>
      </c>
      <c r="D747" s="194" t="s">
        <v>2853</v>
      </c>
    </row>
    <row r="748" spans="1:4" ht="15.6" outlineLevel="1" x14ac:dyDescent="0.25">
      <c r="A748" s="57" t="s">
        <v>52</v>
      </c>
      <c r="B748" s="58" t="s">
        <v>16</v>
      </c>
      <c r="C748" s="57">
        <v>5.1120000000000001</v>
      </c>
      <c r="D748" s="194" t="s">
        <v>2853</v>
      </c>
    </row>
    <row r="749" spans="1:4" ht="15.6" outlineLevel="1" x14ac:dyDescent="0.25">
      <c r="A749" s="57" t="s">
        <v>52</v>
      </c>
      <c r="B749" s="58" t="s">
        <v>937</v>
      </c>
      <c r="C749" s="57">
        <v>5.59</v>
      </c>
      <c r="D749" s="194" t="s">
        <v>2853</v>
      </c>
    </row>
    <row r="750" spans="1:4" ht="15.6" outlineLevel="1" x14ac:dyDescent="0.25">
      <c r="A750" s="57" t="s">
        <v>52</v>
      </c>
      <c r="B750" s="58" t="s">
        <v>11</v>
      </c>
      <c r="C750" s="57">
        <v>5.54</v>
      </c>
      <c r="D750" s="194" t="s">
        <v>2853</v>
      </c>
    </row>
    <row r="751" spans="1:4" ht="15.6" outlineLevel="1" x14ac:dyDescent="0.25">
      <c r="A751" s="57" t="s">
        <v>52</v>
      </c>
      <c r="B751" s="58" t="s">
        <v>1162</v>
      </c>
      <c r="C751" s="57">
        <v>5.63</v>
      </c>
      <c r="D751" s="194" t="s">
        <v>2853</v>
      </c>
    </row>
    <row r="752" spans="1:4" ht="15.6" outlineLevel="1" x14ac:dyDescent="0.25">
      <c r="A752" s="57" t="s">
        <v>52</v>
      </c>
      <c r="B752" s="58" t="s">
        <v>1163</v>
      </c>
      <c r="C752" s="57">
        <v>5.65</v>
      </c>
      <c r="D752" s="194" t="s">
        <v>2853</v>
      </c>
    </row>
    <row r="753" spans="1:4" ht="15.6" outlineLevel="1" x14ac:dyDescent="0.25">
      <c r="A753" s="57" t="s">
        <v>52</v>
      </c>
      <c r="B753" s="58" t="s">
        <v>26</v>
      </c>
      <c r="C753" s="57">
        <v>5.68</v>
      </c>
      <c r="D753" s="194" t="s">
        <v>2853</v>
      </c>
    </row>
    <row r="754" spans="1:4" ht="15.6" outlineLevel="1" x14ac:dyDescent="0.25">
      <c r="A754" s="57" t="s">
        <v>52</v>
      </c>
      <c r="B754" s="58" t="s">
        <v>19</v>
      </c>
      <c r="C754" s="57">
        <v>5.47</v>
      </c>
      <c r="D754" s="194" t="s">
        <v>2853</v>
      </c>
    </row>
    <row r="755" spans="1:4" ht="15.6" outlineLevel="1" x14ac:dyDescent="0.25">
      <c r="A755" s="57" t="s">
        <v>52</v>
      </c>
      <c r="B755" s="58" t="s">
        <v>30</v>
      </c>
      <c r="C755" s="57">
        <v>5.48</v>
      </c>
      <c r="D755" s="194" t="s">
        <v>2853</v>
      </c>
    </row>
    <row r="756" spans="1:4" ht="15.6" x14ac:dyDescent="0.25">
      <c r="A756" s="61" t="s">
        <v>52</v>
      </c>
      <c r="B756" s="195" t="s">
        <v>2853</v>
      </c>
      <c r="C756" s="196" t="s">
        <v>2853</v>
      </c>
      <c r="D756" s="194" t="s">
        <v>2853</v>
      </c>
    </row>
    <row r="757" spans="1:4" ht="15.6" outlineLevel="1" x14ac:dyDescent="0.25">
      <c r="A757" s="57" t="s">
        <v>771</v>
      </c>
      <c r="B757" s="58" t="s">
        <v>667</v>
      </c>
      <c r="C757" s="57">
        <v>5.0999999999999996</v>
      </c>
      <c r="D757" s="194" t="s">
        <v>2853</v>
      </c>
    </row>
    <row r="758" spans="1:4" ht="15.6" outlineLevel="1" x14ac:dyDescent="0.25">
      <c r="A758" s="57" t="s">
        <v>771</v>
      </c>
      <c r="B758" s="58" t="s">
        <v>0</v>
      </c>
      <c r="C758" s="57">
        <v>5.2</v>
      </c>
      <c r="D758" s="194" t="s">
        <v>2853</v>
      </c>
    </row>
    <row r="759" spans="1:4" ht="15.6" outlineLevel="1" x14ac:dyDescent="0.25">
      <c r="A759" s="57" t="s">
        <v>771</v>
      </c>
      <c r="B759" s="58" t="s">
        <v>741</v>
      </c>
      <c r="C759" s="57">
        <v>5.9</v>
      </c>
      <c r="D759" s="60" t="s">
        <v>951</v>
      </c>
    </row>
    <row r="760" spans="1:4" ht="15.6" outlineLevel="1" x14ac:dyDescent="0.25">
      <c r="A760" s="57" t="s">
        <v>771</v>
      </c>
      <c r="B760" s="58" t="s">
        <v>742</v>
      </c>
      <c r="C760" s="57">
        <v>5.13</v>
      </c>
      <c r="D760" s="194" t="s">
        <v>2853</v>
      </c>
    </row>
    <row r="761" spans="1:4" ht="15.6" outlineLevel="1" x14ac:dyDescent="0.25">
      <c r="A761" s="57" t="s">
        <v>771</v>
      </c>
      <c r="B761" s="58" t="s">
        <v>743</v>
      </c>
      <c r="C761" s="57">
        <v>5.16</v>
      </c>
      <c r="D761" s="60" t="s">
        <v>951</v>
      </c>
    </row>
    <row r="762" spans="1:4" ht="15.6" outlineLevel="1" x14ac:dyDescent="0.25">
      <c r="A762" s="57" t="s">
        <v>771</v>
      </c>
      <c r="B762" s="58" t="s">
        <v>744</v>
      </c>
      <c r="C762" s="57">
        <v>5.22</v>
      </c>
      <c r="D762" s="197" t="s">
        <v>2853</v>
      </c>
    </row>
    <row r="763" spans="1:4" ht="15.6" outlineLevel="1" x14ac:dyDescent="0.25">
      <c r="A763" s="57" t="s">
        <v>771</v>
      </c>
      <c r="B763" s="58" t="s">
        <v>749</v>
      </c>
      <c r="C763" s="57">
        <v>5.42</v>
      </c>
      <c r="D763" s="194" t="s">
        <v>2853</v>
      </c>
    </row>
    <row r="764" spans="1:4" ht="15.6" outlineLevel="1" x14ac:dyDescent="0.25">
      <c r="A764" s="57" t="s">
        <v>771</v>
      </c>
      <c r="B764" s="58" t="s">
        <v>620</v>
      </c>
      <c r="C764" s="57">
        <v>5.27</v>
      </c>
      <c r="D764" s="194" t="s">
        <v>2853</v>
      </c>
    </row>
    <row r="765" spans="1:4" ht="15.6" outlineLevel="1" x14ac:dyDescent="0.25">
      <c r="A765" s="57" t="s">
        <v>771</v>
      </c>
      <c r="B765" s="58" t="s">
        <v>621</v>
      </c>
      <c r="C765" s="57">
        <v>5.28</v>
      </c>
      <c r="D765" s="60" t="s">
        <v>951</v>
      </c>
    </row>
    <row r="766" spans="1:4" ht="15.6" outlineLevel="1" x14ac:dyDescent="0.25">
      <c r="A766" s="57" t="s">
        <v>771</v>
      </c>
      <c r="B766" s="58" t="s">
        <v>622</v>
      </c>
      <c r="C766" s="57">
        <v>5.36</v>
      </c>
      <c r="D766" s="194" t="s">
        <v>2853</v>
      </c>
    </row>
    <row r="767" spans="1:4" ht="15.6" outlineLevel="1" x14ac:dyDescent="0.25">
      <c r="A767" s="57" t="s">
        <v>771</v>
      </c>
      <c r="B767" s="58" t="s">
        <v>6</v>
      </c>
      <c r="C767" s="57">
        <v>5.49</v>
      </c>
      <c r="D767" s="194" t="s">
        <v>2853</v>
      </c>
    </row>
    <row r="768" spans="1:4" ht="15.6" outlineLevel="1" x14ac:dyDescent="0.25">
      <c r="A768" s="57" t="s">
        <v>771</v>
      </c>
      <c r="B768" s="58" t="s">
        <v>8</v>
      </c>
      <c r="C768" s="57">
        <v>5.51</v>
      </c>
      <c r="D768" s="194" t="s">
        <v>2853</v>
      </c>
    </row>
    <row r="769" spans="1:4" ht="15.6" outlineLevel="1" x14ac:dyDescent="0.25">
      <c r="A769" s="57" t="s">
        <v>771</v>
      </c>
      <c r="B769" s="58" t="s">
        <v>793</v>
      </c>
      <c r="C769" s="57">
        <v>5.52</v>
      </c>
      <c r="D769" s="194" t="s">
        <v>2853</v>
      </c>
    </row>
    <row r="770" spans="1:4" ht="15.6" outlineLevel="1" x14ac:dyDescent="0.25">
      <c r="A770" s="57" t="s">
        <v>771</v>
      </c>
      <c r="B770" s="58" t="s">
        <v>396</v>
      </c>
      <c r="C770" s="57">
        <v>5.53</v>
      </c>
      <c r="D770" s="194" t="s">
        <v>2853</v>
      </c>
    </row>
    <row r="771" spans="1:4" ht="15.6" outlineLevel="1" x14ac:dyDescent="0.25">
      <c r="A771" s="57" t="s">
        <v>771</v>
      </c>
      <c r="B771" s="58" t="s">
        <v>11</v>
      </c>
      <c r="C771" s="57">
        <v>5.54</v>
      </c>
      <c r="D771" s="194" t="s">
        <v>2853</v>
      </c>
    </row>
    <row r="772" spans="1:4" ht="15.6" outlineLevel="1" x14ac:dyDescent="0.25">
      <c r="A772" s="57" t="s">
        <v>771</v>
      </c>
      <c r="B772" s="58" t="s">
        <v>14</v>
      </c>
      <c r="C772" s="59">
        <v>5.7</v>
      </c>
      <c r="D772" s="194" t="s">
        <v>2853</v>
      </c>
    </row>
    <row r="773" spans="1:4" ht="15.6" outlineLevel="1" x14ac:dyDescent="0.25">
      <c r="A773" s="57" t="s">
        <v>771</v>
      </c>
      <c r="B773" s="58" t="s">
        <v>440</v>
      </c>
      <c r="C773" s="57">
        <v>5.71</v>
      </c>
      <c r="D773" s="194" t="s">
        <v>2853</v>
      </c>
    </row>
    <row r="774" spans="1:4" ht="15.6" outlineLevel="1" x14ac:dyDescent="0.25">
      <c r="A774" s="57" t="s">
        <v>771</v>
      </c>
      <c r="B774" s="58" t="s">
        <v>812</v>
      </c>
      <c r="C774" s="59">
        <v>5.9</v>
      </c>
      <c r="D774" s="194" t="s">
        <v>2853</v>
      </c>
    </row>
    <row r="775" spans="1:4" ht="15.6" outlineLevel="1" x14ac:dyDescent="0.25">
      <c r="A775" s="57" t="s">
        <v>771</v>
      </c>
      <c r="B775" s="58" t="s">
        <v>1166</v>
      </c>
      <c r="C775" s="57">
        <v>5.91</v>
      </c>
      <c r="D775" s="194" t="s">
        <v>2853</v>
      </c>
    </row>
    <row r="776" spans="1:4" ht="15.6" outlineLevel="1" x14ac:dyDescent="0.25">
      <c r="A776" s="57" t="s">
        <v>771</v>
      </c>
      <c r="B776" s="58" t="s">
        <v>764</v>
      </c>
      <c r="C776" s="57">
        <v>5.97</v>
      </c>
      <c r="D776" s="194" t="s">
        <v>2853</v>
      </c>
    </row>
    <row r="777" spans="1:4" ht="15.6" x14ac:dyDescent="0.25">
      <c r="A777" s="61" t="s">
        <v>771</v>
      </c>
      <c r="B777" s="195" t="s">
        <v>2853</v>
      </c>
      <c r="C777" s="196" t="s">
        <v>2853</v>
      </c>
      <c r="D777" s="194" t="s">
        <v>2853</v>
      </c>
    </row>
    <row r="778" spans="1:4" ht="15.6" outlineLevel="1" x14ac:dyDescent="0.25">
      <c r="A778" s="57" t="s">
        <v>790</v>
      </c>
      <c r="B778" s="58" t="s">
        <v>667</v>
      </c>
      <c r="C778" s="57">
        <v>5.0999999999999996</v>
      </c>
      <c r="D778" s="194" t="s">
        <v>2853</v>
      </c>
    </row>
    <row r="779" spans="1:4" ht="15.6" outlineLevel="1" x14ac:dyDescent="0.25">
      <c r="A779" s="57" t="s">
        <v>790</v>
      </c>
      <c r="B779" s="58" t="s">
        <v>0</v>
      </c>
      <c r="C779" s="57">
        <v>5.2</v>
      </c>
      <c r="D779" s="194" t="s">
        <v>2853</v>
      </c>
    </row>
    <row r="780" spans="1:4" ht="15.6" outlineLevel="1" x14ac:dyDescent="0.25">
      <c r="A780" s="57" t="s">
        <v>790</v>
      </c>
      <c r="B780" s="58" t="s">
        <v>1</v>
      </c>
      <c r="C780" s="57">
        <v>5.26</v>
      </c>
      <c r="D780" s="194" t="s">
        <v>2853</v>
      </c>
    </row>
    <row r="781" spans="1:4" ht="15.6" outlineLevel="1" x14ac:dyDescent="0.25">
      <c r="A781" s="57" t="s">
        <v>790</v>
      </c>
      <c r="B781" s="58" t="s">
        <v>796</v>
      </c>
      <c r="C781" s="57">
        <v>5.5</v>
      </c>
      <c r="D781" s="194" t="s">
        <v>2853</v>
      </c>
    </row>
    <row r="782" spans="1:4" ht="15.6" outlineLevel="1" x14ac:dyDescent="0.25">
      <c r="A782" s="57" t="s">
        <v>790</v>
      </c>
      <c r="B782" s="58" t="s">
        <v>809</v>
      </c>
      <c r="C782" s="57">
        <v>5.8</v>
      </c>
      <c r="D782" s="60" t="s">
        <v>951</v>
      </c>
    </row>
    <row r="783" spans="1:4" ht="15" outlineLevel="1" x14ac:dyDescent="0.25">
      <c r="A783" s="57" t="s">
        <v>790</v>
      </c>
      <c r="B783" s="58" t="s">
        <v>797</v>
      </c>
      <c r="C783" s="57">
        <v>5.12</v>
      </c>
      <c r="D783" s="196" t="s">
        <v>2853</v>
      </c>
    </row>
    <row r="784" spans="1:4" ht="15" outlineLevel="1" x14ac:dyDescent="0.25">
      <c r="A784" s="57" t="s">
        <v>790</v>
      </c>
      <c r="B784" s="58" t="s">
        <v>763</v>
      </c>
      <c r="C784" s="57">
        <v>5.15</v>
      </c>
      <c r="D784" s="196" t="s">
        <v>2853</v>
      </c>
    </row>
    <row r="785" spans="1:4" ht="15.6" outlineLevel="1" x14ac:dyDescent="0.25">
      <c r="A785" s="57" t="s">
        <v>790</v>
      </c>
      <c r="B785" s="58" t="s">
        <v>762</v>
      </c>
      <c r="C785" s="59">
        <v>5.2</v>
      </c>
      <c r="D785" s="197" t="s">
        <v>2853</v>
      </c>
    </row>
    <row r="786" spans="1:4" ht="15" outlineLevel="1" x14ac:dyDescent="0.25">
      <c r="A786" s="57" t="s">
        <v>790</v>
      </c>
      <c r="B786" s="58" t="s">
        <v>767</v>
      </c>
      <c r="C786" s="57">
        <v>5.25</v>
      </c>
      <c r="D786" s="196" t="s">
        <v>2853</v>
      </c>
    </row>
    <row r="787" spans="1:4" ht="15" outlineLevel="1" x14ac:dyDescent="0.25">
      <c r="A787" s="57" t="s">
        <v>790</v>
      </c>
      <c r="B787" s="58" t="s">
        <v>396</v>
      </c>
      <c r="C787" s="57">
        <v>5.53</v>
      </c>
      <c r="D787" s="196" t="s">
        <v>2853</v>
      </c>
    </row>
    <row r="788" spans="1:4" ht="15" outlineLevel="1" x14ac:dyDescent="0.25">
      <c r="A788" s="57" t="s">
        <v>790</v>
      </c>
      <c r="B788" s="58" t="s">
        <v>761</v>
      </c>
      <c r="C788" s="59">
        <v>5.4</v>
      </c>
      <c r="D788" s="196" t="s">
        <v>2853</v>
      </c>
    </row>
    <row r="789" spans="1:4" ht="30" outlineLevel="1" x14ac:dyDescent="0.25">
      <c r="A789" s="57" t="s">
        <v>790</v>
      </c>
      <c r="B789" s="58" t="s">
        <v>939</v>
      </c>
      <c r="C789" s="57">
        <v>5.92</v>
      </c>
      <c r="D789" s="196" t="s">
        <v>2853</v>
      </c>
    </row>
    <row r="790" spans="1:4" ht="15" outlineLevel="1" x14ac:dyDescent="0.25">
      <c r="A790" s="57" t="s">
        <v>790</v>
      </c>
      <c r="B790" s="58" t="s">
        <v>1167</v>
      </c>
      <c r="C790" s="57">
        <v>5.93</v>
      </c>
      <c r="D790" s="196" t="s">
        <v>2853</v>
      </c>
    </row>
    <row r="791" spans="1:4" ht="30" outlineLevel="1" x14ac:dyDescent="0.25">
      <c r="A791" s="57" t="s">
        <v>790</v>
      </c>
      <c r="B791" s="58" t="s">
        <v>940</v>
      </c>
      <c r="C791" s="57">
        <v>5.94</v>
      </c>
      <c r="D791" s="196" t="s">
        <v>2853</v>
      </c>
    </row>
    <row r="792" spans="1:4" ht="15" outlineLevel="1" x14ac:dyDescent="0.25">
      <c r="A792" s="57" t="s">
        <v>790</v>
      </c>
      <c r="B792" s="58" t="s">
        <v>1168</v>
      </c>
      <c r="C792" s="57">
        <v>5.95</v>
      </c>
      <c r="D792" s="196" t="s">
        <v>2853</v>
      </c>
    </row>
    <row r="793" spans="1:4" ht="15" outlineLevel="1" x14ac:dyDescent="0.25">
      <c r="A793" s="57" t="s">
        <v>790</v>
      </c>
      <c r="B793" s="58" t="s">
        <v>22</v>
      </c>
      <c r="C793" s="57">
        <v>5.98</v>
      </c>
      <c r="D793" s="196" t="s">
        <v>2853</v>
      </c>
    </row>
    <row r="794" spans="1:4" ht="15" outlineLevel="1" x14ac:dyDescent="0.25">
      <c r="A794" s="57" t="s">
        <v>790</v>
      </c>
      <c r="B794" s="58" t="s">
        <v>813</v>
      </c>
      <c r="C794" s="57">
        <v>5.96</v>
      </c>
      <c r="D794" s="196" t="s">
        <v>2853</v>
      </c>
    </row>
    <row r="795" spans="1:4" ht="15.6" x14ac:dyDescent="0.25">
      <c r="A795" s="193" t="s">
        <v>790</v>
      </c>
      <c r="B795" s="198" t="s">
        <v>2853</v>
      </c>
      <c r="C795" s="199" t="s">
        <v>2853</v>
      </c>
      <c r="D795" s="199" t="s">
        <v>2853</v>
      </c>
    </row>
    <row r="10000" spans="52:52" x14ac:dyDescent="0.25">
      <c r="AZ10000" s="1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3.8" x14ac:dyDescent="0.25"/>
  <cols>
    <col min="1" max="1" width="63.19921875" bestFit="1" customWidth="1"/>
    <col min="2" max="2" width="13.69921875" customWidth="1"/>
  </cols>
  <sheetData>
    <row r="2" spans="1:2" x14ac:dyDescent="0.25">
      <c r="A2" s="12" t="s">
        <v>831</v>
      </c>
    </row>
    <row r="3" spans="1:2" x14ac:dyDescent="0.25">
      <c r="A3" t="s">
        <v>827</v>
      </c>
      <c r="B3" t="s">
        <v>817</v>
      </c>
    </row>
    <row r="4" spans="1:2" x14ac:dyDescent="0.25">
      <c r="A4" t="s">
        <v>823</v>
      </c>
      <c r="B4" t="s">
        <v>830</v>
      </c>
    </row>
    <row r="5" spans="1:2" x14ac:dyDescent="0.25">
      <c r="A5" t="s">
        <v>824</v>
      </c>
      <c r="B5" t="s">
        <v>829</v>
      </c>
    </row>
    <row r="6" spans="1:2" x14ac:dyDescent="0.25">
      <c r="A6" t="s">
        <v>825</v>
      </c>
      <c r="B6" t="s">
        <v>818</v>
      </c>
    </row>
    <row r="7" spans="1:2" x14ac:dyDescent="0.25">
      <c r="A7" t="s">
        <v>826</v>
      </c>
      <c r="B7" t="s">
        <v>691</v>
      </c>
    </row>
    <row r="8" spans="1:2" x14ac:dyDescent="0.25">
      <c r="A8" t="s">
        <v>828</v>
      </c>
      <c r="B8" t="s">
        <v>692</v>
      </c>
    </row>
    <row r="10" spans="1:2" x14ac:dyDescent="0.25">
      <c r="A10" s="12" t="s">
        <v>832</v>
      </c>
    </row>
    <row r="11" spans="1:2" x14ac:dyDescent="0.25">
      <c r="A11" t="s">
        <v>614</v>
      </c>
    </row>
    <row r="12" spans="1:2" x14ac:dyDescent="0.25">
      <c r="A12" t="s">
        <v>615</v>
      </c>
      <c r="B12" t="s">
        <v>511</v>
      </c>
    </row>
    <row r="14" spans="1:2" ht="14.4" x14ac:dyDescent="0.3">
      <c r="A14" s="18"/>
    </row>
    <row r="15" spans="1:2" x14ac:dyDescent="0.25">
      <c r="A15" s="12" t="s">
        <v>513</v>
      </c>
    </row>
    <row r="16" spans="1:2" x14ac:dyDescent="0.25">
      <c r="A16" s="16" t="s">
        <v>514</v>
      </c>
    </row>
    <row r="17" spans="1:2" x14ac:dyDescent="0.25">
      <c r="A17" s="16" t="s">
        <v>515</v>
      </c>
    </row>
    <row r="18" spans="1:2" x14ac:dyDescent="0.25">
      <c r="A18" s="16" t="s">
        <v>516</v>
      </c>
    </row>
    <row r="19" spans="1:2" x14ac:dyDescent="0.25">
      <c r="A19" s="16" t="s">
        <v>517</v>
      </c>
    </row>
    <row r="21" spans="1:2" x14ac:dyDescent="0.25">
      <c r="A21" s="17" t="s">
        <v>512</v>
      </c>
    </row>
    <row r="22" spans="1:2" x14ac:dyDescent="0.25">
      <c r="A22">
        <v>2022</v>
      </c>
      <c r="B22">
        <v>22</v>
      </c>
    </row>
    <row r="23" spans="1:2" x14ac:dyDescent="0.25">
      <c r="A23">
        <v>2023</v>
      </c>
      <c r="B23">
        <v>23</v>
      </c>
    </row>
    <row r="24" spans="1:2" x14ac:dyDescent="0.25">
      <c r="A24">
        <v>2024</v>
      </c>
      <c r="B24">
        <v>24</v>
      </c>
    </row>
    <row r="25" spans="1:2" x14ac:dyDescent="0.25">
      <c r="A25">
        <v>2025</v>
      </c>
      <c r="B25">
        <v>25</v>
      </c>
    </row>
    <row r="26" spans="1:2" x14ac:dyDescent="0.25">
      <c r="A26">
        <v>2026</v>
      </c>
      <c r="B26">
        <v>26</v>
      </c>
    </row>
    <row r="27" spans="1:2" x14ac:dyDescent="0.25">
      <c r="A27">
        <v>2027</v>
      </c>
      <c r="B27">
        <v>27</v>
      </c>
    </row>
    <row r="28" spans="1:2" x14ac:dyDescent="0.25">
      <c r="A28">
        <v>2028</v>
      </c>
      <c r="B28">
        <v>28</v>
      </c>
    </row>
    <row r="29" spans="1:2" x14ac:dyDescent="0.25">
      <c r="A29">
        <v>2029</v>
      </c>
      <c r="B29">
        <v>29</v>
      </c>
    </row>
    <row r="30" spans="1:2" x14ac:dyDescent="0.25">
      <c r="A30">
        <v>2030</v>
      </c>
      <c r="B30">
        <v>30</v>
      </c>
    </row>
    <row r="31" spans="1:2" x14ac:dyDescent="0.25">
      <c r="A31">
        <v>2031</v>
      </c>
      <c r="B31">
        <v>31</v>
      </c>
    </row>
    <row r="34" spans="1:2" x14ac:dyDescent="0.25">
      <c r="A34" s="12" t="s">
        <v>580</v>
      </c>
      <c r="B34" s="12" t="s">
        <v>429</v>
      </c>
    </row>
    <row r="35" spans="1:2" x14ac:dyDescent="0.25">
      <c r="A35" s="6" t="s">
        <v>603</v>
      </c>
      <c r="B35" s="19">
        <v>512310509</v>
      </c>
    </row>
    <row r="36" spans="1:2" x14ac:dyDescent="0.25">
      <c r="A36" t="s">
        <v>588</v>
      </c>
      <c r="B36" s="19">
        <v>513910703</v>
      </c>
    </row>
    <row r="37" spans="1:2" x14ac:dyDescent="0.25">
      <c r="A37" t="s">
        <v>599</v>
      </c>
      <c r="B37" s="19">
        <v>512304882</v>
      </c>
    </row>
    <row r="38" spans="1:2" x14ac:dyDescent="0.25">
      <c r="A38" t="s">
        <v>585</v>
      </c>
      <c r="B38" s="19">
        <v>520030677</v>
      </c>
    </row>
    <row r="39" spans="1:2" x14ac:dyDescent="0.25">
      <c r="A39" t="s">
        <v>819</v>
      </c>
      <c r="B39" s="19">
        <v>513621110</v>
      </c>
    </row>
    <row r="40" spans="1:2" x14ac:dyDescent="0.25">
      <c r="A40" t="s">
        <v>534</v>
      </c>
      <c r="B40" s="6">
        <v>513173393</v>
      </c>
    </row>
    <row r="41" spans="1:2" x14ac:dyDescent="0.25">
      <c r="A41" t="s">
        <v>568</v>
      </c>
      <c r="B41" s="6">
        <v>511880460</v>
      </c>
    </row>
    <row r="42" spans="1:2" x14ac:dyDescent="0.25">
      <c r="A42" t="s">
        <v>557</v>
      </c>
      <c r="B42" s="6">
        <v>510773922</v>
      </c>
    </row>
    <row r="43" spans="1:2" x14ac:dyDescent="0.25">
      <c r="A43" t="s">
        <v>598</v>
      </c>
      <c r="B43">
        <v>520021916</v>
      </c>
    </row>
    <row r="44" spans="1:2" x14ac:dyDescent="0.25">
      <c r="A44" t="s">
        <v>590</v>
      </c>
      <c r="B44">
        <v>520044025</v>
      </c>
    </row>
    <row r="45" spans="1:2" x14ac:dyDescent="0.25">
      <c r="A45" t="s">
        <v>591</v>
      </c>
      <c r="B45">
        <v>570003152</v>
      </c>
    </row>
    <row r="46" spans="1:2" x14ac:dyDescent="0.25">
      <c r="A46" t="s">
        <v>573</v>
      </c>
      <c r="B46" s="6">
        <v>520023094</v>
      </c>
    </row>
    <row r="47" spans="1:2" x14ac:dyDescent="0.25">
      <c r="A47" t="s">
        <v>600</v>
      </c>
      <c r="B47" s="6">
        <v>512711409</v>
      </c>
    </row>
    <row r="48" spans="1:2" x14ac:dyDescent="0.25">
      <c r="A48" t="s">
        <v>592</v>
      </c>
      <c r="B48">
        <v>515859379</v>
      </c>
    </row>
    <row r="49" spans="1:2" x14ac:dyDescent="0.25">
      <c r="A49" t="s">
        <v>556</v>
      </c>
      <c r="B49" s="6">
        <v>520030990</v>
      </c>
    </row>
    <row r="50" spans="1:2" x14ac:dyDescent="0.25">
      <c r="A50" t="s">
        <v>578</v>
      </c>
      <c r="B50" s="6">
        <v>520028812</v>
      </c>
    </row>
    <row r="51" spans="1:2" x14ac:dyDescent="0.25">
      <c r="A51" t="s">
        <v>519</v>
      </c>
      <c r="B51" s="6">
        <v>520034968</v>
      </c>
    </row>
    <row r="52" spans="1:2" x14ac:dyDescent="0.25">
      <c r="A52" t="s">
        <v>562</v>
      </c>
      <c r="B52" s="6">
        <v>520031824</v>
      </c>
    </row>
    <row r="53" spans="1:2" x14ac:dyDescent="0.25">
      <c r="A53" t="s">
        <v>542</v>
      </c>
      <c r="B53" s="6">
        <v>520005497</v>
      </c>
    </row>
    <row r="54" spans="1:2" x14ac:dyDescent="0.25">
      <c r="A54" t="s">
        <v>522</v>
      </c>
      <c r="B54" s="6">
        <v>520022518</v>
      </c>
    </row>
    <row r="55" spans="1:2" x14ac:dyDescent="0.25">
      <c r="A55" t="s">
        <v>552</v>
      </c>
      <c r="B55" s="6">
        <v>520028556</v>
      </c>
    </row>
    <row r="56" spans="1:2" x14ac:dyDescent="0.25">
      <c r="A56" t="s">
        <v>567</v>
      </c>
      <c r="B56" s="6">
        <v>520032269</v>
      </c>
    </row>
    <row r="57" spans="1:2" x14ac:dyDescent="0.25">
      <c r="A57" t="s">
        <v>559</v>
      </c>
      <c r="B57" s="6">
        <v>520027954</v>
      </c>
    </row>
    <row r="58" spans="1:2" x14ac:dyDescent="0.25">
      <c r="A58" t="s">
        <v>607</v>
      </c>
      <c r="B58">
        <v>520029620</v>
      </c>
    </row>
    <row r="59" spans="1:2" x14ac:dyDescent="0.25">
      <c r="A59" t="s">
        <v>558</v>
      </c>
      <c r="B59" s="6">
        <v>520028861</v>
      </c>
    </row>
    <row r="60" spans="1:2" x14ac:dyDescent="0.25">
      <c r="A60" t="s">
        <v>520</v>
      </c>
      <c r="B60" s="6">
        <v>520030743</v>
      </c>
    </row>
    <row r="61" spans="1:2" x14ac:dyDescent="0.25">
      <c r="A61" t="s">
        <v>586</v>
      </c>
      <c r="B61">
        <v>520042177</v>
      </c>
    </row>
    <row r="62" spans="1:2" x14ac:dyDescent="0.25">
      <c r="A62" t="s">
        <v>572</v>
      </c>
      <c r="B62" s="6">
        <v>515447035</v>
      </c>
    </row>
    <row r="63" spans="1:2" x14ac:dyDescent="0.25">
      <c r="A63" t="s">
        <v>553</v>
      </c>
      <c r="B63" s="6">
        <v>520042607</v>
      </c>
    </row>
    <row r="64" spans="1:2" x14ac:dyDescent="0.25">
      <c r="A64" t="s">
        <v>531</v>
      </c>
      <c r="B64" s="6">
        <v>513026484</v>
      </c>
    </row>
    <row r="65" spans="1:2" x14ac:dyDescent="0.25">
      <c r="A65" t="s">
        <v>583</v>
      </c>
      <c r="B65">
        <v>520023185</v>
      </c>
    </row>
    <row r="66" spans="1:2" x14ac:dyDescent="0.25">
      <c r="A66" t="s">
        <v>589</v>
      </c>
      <c r="B66">
        <v>520004078</v>
      </c>
    </row>
    <row r="67" spans="1:2" x14ac:dyDescent="0.25">
      <c r="A67" t="s">
        <v>554</v>
      </c>
      <c r="B67" s="6">
        <v>512267592</v>
      </c>
    </row>
    <row r="68" spans="1:2" x14ac:dyDescent="0.25">
      <c r="A68" t="s">
        <v>593</v>
      </c>
      <c r="B68">
        <v>515764868</v>
      </c>
    </row>
    <row r="69" spans="1:2" x14ac:dyDescent="0.25">
      <c r="A69" t="s">
        <v>545</v>
      </c>
      <c r="B69" s="6">
        <v>513452003</v>
      </c>
    </row>
    <row r="70" spans="1:2" x14ac:dyDescent="0.25">
      <c r="A70" t="s">
        <v>579</v>
      </c>
      <c r="B70" s="6">
        <v>510142789</v>
      </c>
    </row>
    <row r="71" spans="1:2" x14ac:dyDescent="0.25">
      <c r="A71" t="s">
        <v>548</v>
      </c>
      <c r="B71" s="6">
        <v>510960586</v>
      </c>
    </row>
    <row r="72" spans="1:2" x14ac:dyDescent="0.25">
      <c r="A72" t="s">
        <v>563</v>
      </c>
      <c r="B72" s="6">
        <v>510930670</v>
      </c>
    </row>
    <row r="73" spans="1:2" x14ac:dyDescent="0.25">
      <c r="A73" t="s">
        <v>523</v>
      </c>
      <c r="B73" s="6">
        <v>510927536</v>
      </c>
    </row>
    <row r="74" spans="1:2" x14ac:dyDescent="0.25">
      <c r="A74" t="s">
        <v>546</v>
      </c>
      <c r="B74" s="6">
        <v>510930654</v>
      </c>
    </row>
    <row r="75" spans="1:2" x14ac:dyDescent="0.25">
      <c r="A75" t="s">
        <v>570</v>
      </c>
      <c r="B75" s="6">
        <v>520032566</v>
      </c>
    </row>
    <row r="76" spans="1:2" x14ac:dyDescent="0.25">
      <c r="A76" t="s">
        <v>533</v>
      </c>
      <c r="B76" s="6">
        <v>513611509</v>
      </c>
    </row>
    <row r="77" spans="1:2" x14ac:dyDescent="0.25">
      <c r="A77" t="s">
        <v>594</v>
      </c>
      <c r="B77">
        <v>510888985</v>
      </c>
    </row>
    <row r="78" spans="1:2" x14ac:dyDescent="0.25">
      <c r="A78" t="s">
        <v>584</v>
      </c>
      <c r="B78">
        <v>520024647</v>
      </c>
    </row>
    <row r="79" spans="1:2" x14ac:dyDescent="0.25">
      <c r="A79" t="s">
        <v>529</v>
      </c>
      <c r="B79" s="6">
        <v>512244146</v>
      </c>
    </row>
    <row r="80" spans="1:2" x14ac:dyDescent="0.25">
      <c r="A80" t="s">
        <v>560</v>
      </c>
      <c r="B80" s="6">
        <v>510694821</v>
      </c>
    </row>
    <row r="81" spans="1:2" x14ac:dyDescent="0.25">
      <c r="A81" t="s">
        <v>595</v>
      </c>
      <c r="B81">
        <v>515761625</v>
      </c>
    </row>
    <row r="82" spans="1:2" x14ac:dyDescent="0.25">
      <c r="A82" t="s">
        <v>571</v>
      </c>
      <c r="B82" s="6">
        <v>511423048</v>
      </c>
    </row>
    <row r="83" spans="1:2" x14ac:dyDescent="0.25">
      <c r="A83" t="s">
        <v>526</v>
      </c>
      <c r="B83" s="6">
        <v>520019688</v>
      </c>
    </row>
    <row r="84" spans="1:2" x14ac:dyDescent="0.25">
      <c r="A84" t="s">
        <v>587</v>
      </c>
      <c r="B84">
        <v>520004896</v>
      </c>
    </row>
    <row r="85" spans="1:2" x14ac:dyDescent="0.25">
      <c r="A85" t="s">
        <v>536</v>
      </c>
      <c r="B85" s="6">
        <v>512237744</v>
      </c>
    </row>
    <row r="86" spans="1:2" x14ac:dyDescent="0.25">
      <c r="A86" t="s">
        <v>820</v>
      </c>
      <c r="B86" s="6">
        <v>514956465</v>
      </c>
    </row>
    <row r="87" spans="1:2" x14ac:dyDescent="0.25">
      <c r="A87" t="s">
        <v>538</v>
      </c>
      <c r="B87" s="6">
        <v>512362914</v>
      </c>
    </row>
    <row r="88" spans="1:2" x14ac:dyDescent="0.25">
      <c r="A88" t="s">
        <v>537</v>
      </c>
      <c r="B88" s="6">
        <v>520042615</v>
      </c>
    </row>
    <row r="89" spans="1:2" x14ac:dyDescent="0.25">
      <c r="A89" t="s">
        <v>535</v>
      </c>
      <c r="B89" s="6">
        <v>512065202</v>
      </c>
    </row>
    <row r="90" spans="1:2" x14ac:dyDescent="0.25">
      <c r="A90" t="s">
        <v>582</v>
      </c>
      <c r="B90">
        <v>520042540</v>
      </c>
    </row>
    <row r="91" spans="1:2" x14ac:dyDescent="0.25">
      <c r="A91" t="s">
        <v>541</v>
      </c>
      <c r="B91" s="6">
        <v>520027715</v>
      </c>
    </row>
    <row r="92" spans="1:2" x14ac:dyDescent="0.25">
      <c r="A92" t="s">
        <v>540</v>
      </c>
      <c r="B92" s="6">
        <v>512245812</v>
      </c>
    </row>
    <row r="93" spans="1:2" x14ac:dyDescent="0.25">
      <c r="A93" t="s">
        <v>574</v>
      </c>
      <c r="B93" s="6">
        <v>520022351</v>
      </c>
    </row>
    <row r="94" spans="1:2" x14ac:dyDescent="0.25">
      <c r="A94" t="s">
        <v>543</v>
      </c>
      <c r="B94" s="6">
        <v>514767490</v>
      </c>
    </row>
    <row r="95" spans="1:2" x14ac:dyDescent="0.25">
      <c r="A95" t="s">
        <v>532</v>
      </c>
      <c r="B95" s="6">
        <v>520024985</v>
      </c>
    </row>
    <row r="96" spans="1:2" x14ac:dyDescent="0.25">
      <c r="A96" t="s">
        <v>566</v>
      </c>
      <c r="B96" s="6">
        <v>520042573</v>
      </c>
    </row>
    <row r="97" spans="1:2" x14ac:dyDescent="0.25">
      <c r="A97" t="s">
        <v>561</v>
      </c>
      <c r="B97" s="6">
        <v>570009449</v>
      </c>
    </row>
    <row r="98" spans="1:2" x14ac:dyDescent="0.25">
      <c r="A98" t="s">
        <v>521</v>
      </c>
      <c r="B98" s="6">
        <v>520031659</v>
      </c>
    </row>
    <row r="99" spans="1:2" x14ac:dyDescent="0.25">
      <c r="A99" t="s">
        <v>565</v>
      </c>
      <c r="B99" s="6">
        <v>520042581</v>
      </c>
    </row>
    <row r="100" spans="1:2" x14ac:dyDescent="0.25">
      <c r="A100" t="s">
        <v>596</v>
      </c>
      <c r="B100">
        <v>520031030</v>
      </c>
    </row>
    <row r="101" spans="1:2" x14ac:dyDescent="0.25">
      <c r="A101" t="s">
        <v>547</v>
      </c>
      <c r="B101" s="6">
        <v>520030941</v>
      </c>
    </row>
    <row r="102" spans="1:2" x14ac:dyDescent="0.25">
      <c r="A102" t="s">
        <v>564</v>
      </c>
      <c r="B102" s="6">
        <v>512008335</v>
      </c>
    </row>
    <row r="103" spans="1:2" x14ac:dyDescent="0.25">
      <c r="A103" t="s">
        <v>575</v>
      </c>
      <c r="B103" s="6">
        <v>520022963</v>
      </c>
    </row>
    <row r="104" spans="1:2" x14ac:dyDescent="0.25">
      <c r="A104" t="s">
        <v>530</v>
      </c>
      <c r="B104" s="6">
        <v>570011767</v>
      </c>
    </row>
    <row r="105" spans="1:2" x14ac:dyDescent="0.25">
      <c r="A105" t="s">
        <v>569</v>
      </c>
      <c r="B105" s="6">
        <v>570014928</v>
      </c>
    </row>
    <row r="106" spans="1:2" x14ac:dyDescent="0.25">
      <c r="A106" t="s">
        <v>549</v>
      </c>
      <c r="B106" s="6">
        <v>570005959</v>
      </c>
    </row>
    <row r="107" spans="1:2" x14ac:dyDescent="0.25">
      <c r="A107" t="s">
        <v>518</v>
      </c>
      <c r="B107" s="6">
        <v>510800402</v>
      </c>
    </row>
    <row r="108" spans="1:2" x14ac:dyDescent="0.25">
      <c r="A108" t="s">
        <v>525</v>
      </c>
      <c r="B108" s="6">
        <v>570007476</v>
      </c>
    </row>
    <row r="109" spans="1:2" x14ac:dyDescent="0.25">
      <c r="A109" t="s">
        <v>524</v>
      </c>
      <c r="B109" s="6">
        <v>570005850</v>
      </c>
    </row>
    <row r="110" spans="1:2" x14ac:dyDescent="0.25">
      <c r="A110" t="s">
        <v>576</v>
      </c>
      <c r="B110" s="6">
        <v>520020504</v>
      </c>
    </row>
    <row r="111" spans="1:2" x14ac:dyDescent="0.25">
      <c r="A111" t="s">
        <v>577</v>
      </c>
      <c r="B111" s="6">
        <v>520020447</v>
      </c>
    </row>
    <row r="112" spans="1:2" x14ac:dyDescent="0.25">
      <c r="A112" t="s">
        <v>555</v>
      </c>
      <c r="B112" s="6">
        <v>511033060</v>
      </c>
    </row>
    <row r="113" spans="1:2" x14ac:dyDescent="0.25">
      <c r="A113" t="s">
        <v>604</v>
      </c>
      <c r="B113">
        <v>520027848</v>
      </c>
    </row>
    <row r="114" spans="1:2" x14ac:dyDescent="0.25">
      <c r="A114" t="s">
        <v>527</v>
      </c>
      <c r="B114" s="6">
        <v>570009852</v>
      </c>
    </row>
    <row r="115" spans="1:2" x14ac:dyDescent="0.25">
      <c r="A115" t="s">
        <v>550</v>
      </c>
      <c r="B115" s="6">
        <v>520027251</v>
      </c>
    </row>
    <row r="116" spans="1:2" x14ac:dyDescent="0.25">
      <c r="A116" t="s">
        <v>551</v>
      </c>
      <c r="B116" s="6">
        <v>520028390</v>
      </c>
    </row>
    <row r="117" spans="1:2" x14ac:dyDescent="0.25">
      <c r="A117" t="s">
        <v>528</v>
      </c>
      <c r="B117" s="6">
        <v>510806870</v>
      </c>
    </row>
    <row r="118" spans="1:2" x14ac:dyDescent="0.25">
      <c r="A118" t="s">
        <v>605</v>
      </c>
      <c r="B118">
        <v>513879189</v>
      </c>
    </row>
    <row r="119" spans="1:2" x14ac:dyDescent="0.25">
      <c r="A119" t="s">
        <v>597</v>
      </c>
      <c r="B119">
        <v>510015951</v>
      </c>
    </row>
    <row r="120" spans="1:2" x14ac:dyDescent="0.25">
      <c r="A120" t="s">
        <v>539</v>
      </c>
      <c r="B120" s="6">
        <v>520030693</v>
      </c>
    </row>
    <row r="121" spans="1:2" x14ac:dyDescent="0.25">
      <c r="A121" t="s">
        <v>544</v>
      </c>
      <c r="B121" s="6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Ofek Sharon</cp:lastModifiedBy>
  <cp:lastPrinted>2022-08-08T09:16:18Z</cp:lastPrinted>
  <dcterms:created xsi:type="dcterms:W3CDTF">2021-05-03T04:41:48Z</dcterms:created>
  <dcterms:modified xsi:type="dcterms:W3CDTF">2026-03-31T10:35:27Z</dcterms:modified>
  <dc:language>עברית</dc:language>
</cp:coreProperties>
</file>