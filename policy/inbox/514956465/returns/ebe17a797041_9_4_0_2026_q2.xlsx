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local_m_avishaif\INetCache\Content.Outlook\PRHN5UXV\"/>
    </mc:Choice>
  </mc:AlternateContent>
  <xr:revisionPtr revIDLastSave="0" documentId="8_{666FFEF4-9FEB-404F-B8D8-54D147884F44}" xr6:coauthVersionLast="47" xr6:coauthVersionMax="47" xr10:uidLastSave="{00000000-0000-0000-0000-000000000000}"/>
  <bookViews>
    <workbookView xWindow="-110" yWindow="-110" windowWidth="19420" windowHeight="104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חוב'!$A$1:$AJ$296</definedName>
    <definedName name="_xlnm._FilterDatabase" localSheetId="3" hidden="1">'איגרות חוב ממשלתיות'!$A$1:$Z$38</definedName>
    <definedName name="_xlnm._FilterDatabase" localSheetId="15" hidden="1">'אפיק השקעה מובטח תשואה'!$A$1:$G$676</definedName>
    <definedName name="_xlnm._FilterDatabase" localSheetId="31" hidden="1">'אפשרויות בחירה'!$A$1:$E$1058</definedName>
    <definedName name="_xlnm._FilterDatabase" localSheetId="23" hidden="1">הלוואות!$A$1:$BA$31</definedName>
    <definedName name="_xlnm._FilterDatabase" localSheetId="30" hidden="1">'יתרות התחייבות להשקעה'!$A$1:$Q$59</definedName>
    <definedName name="_xlnm._FilterDatabase" localSheetId="17" hidden="1">'לא סחיר איגרות חוב'!$A$1:$AL$37</definedName>
    <definedName name="_xlnm._FilterDatabase" localSheetId="20" hidden="1">'לא סחיר כתבי אופציה'!$A$1:$AB$12</definedName>
    <definedName name="_xlnm._FilterDatabase" localSheetId="18" hidden="1">'לא סחיר מניות מבכ ויהש'!$A$1:$Z$19</definedName>
    <definedName name="_xlnm._FilterDatabase" localSheetId="22" hidden="1">'לא סחיר נגזרים אחרים'!$A$1:$AO$13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ויהש'!$A$1:$Z$136</definedName>
    <definedName name="_xlnm._FilterDatabase" localSheetId="28" hidden="1">'נכסים אחרים'!$A$1:$R$7</definedName>
    <definedName name="_xlnm._FilterDatabase" localSheetId="19" hidden="1">'קרנות השקעה'!$A$1:$Z$83</definedName>
    <definedName name="_xlnm._FilterDatabase" localSheetId="8" hidden="1">'קרנות נאמנות'!$A$1:$W$12</definedName>
    <definedName name="_xlnm._FilterDatabase" localSheetId="7" hidden="1">'קרנות סל'!$A$1:$W$20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56" i="49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C30" i="2"/>
  <c r="D30" i="2"/>
  <c r="E30" i="2"/>
  <c r="B30" i="2"/>
  <c r="R3" i="28" l="1"/>
  <c r="R4" i="28"/>
  <c r="X2" i="26"/>
  <c r="BA6" i="23"/>
  <c r="BA9" i="23"/>
  <c r="BA10" i="23"/>
  <c r="BA11" i="23"/>
  <c r="BA12" i="23"/>
  <c r="BA13" i="23"/>
  <c r="BA14" i="23"/>
  <c r="BA15" i="23"/>
  <c r="BA16" i="23"/>
  <c r="BA17" i="23"/>
  <c r="BA18" i="23"/>
  <c r="BA19" i="23"/>
  <c r="BA20" i="23"/>
  <c r="BA21" i="23"/>
  <c r="BA22" i="23"/>
  <c r="BA23" i="23"/>
  <c r="BA24" i="23"/>
  <c r="BA25" i="23"/>
  <c r="BA26" i="23"/>
  <c r="BA27" i="23"/>
  <c r="BA28" i="23"/>
  <c r="BA29" i="23"/>
  <c r="BA30" i="23"/>
  <c r="J5" i="40"/>
  <c r="J10" i="40"/>
  <c r="W8" i="9"/>
  <c r="R2" i="28"/>
  <c r="BA4" i="23"/>
  <c r="BA31" i="23"/>
  <c r="BA2" i="23"/>
  <c r="AB3" i="20"/>
  <c r="AB4" i="20"/>
  <c r="AB5" i="20"/>
  <c r="AB6" i="20"/>
  <c r="AB7" i="20"/>
  <c r="AB8" i="20"/>
  <c r="AB9" i="20"/>
  <c r="AB10" i="20"/>
  <c r="AB11" i="20"/>
  <c r="AB12" i="20"/>
  <c r="AB2" i="20"/>
  <c r="J3" i="40"/>
  <c r="J4" i="40"/>
  <c r="J6" i="40"/>
  <c r="J7" i="40"/>
  <c r="J8" i="40"/>
  <c r="J9" i="40"/>
  <c r="T8" i="12"/>
  <c r="W2" i="9"/>
  <c r="BA5" i="23"/>
  <c r="J11" i="40"/>
  <c r="J12" i="40"/>
  <c r="J13" i="40"/>
  <c r="J2" i="40"/>
  <c r="Q3" i="40"/>
  <c r="Q4" i="40"/>
  <c r="Q5" i="40"/>
  <c r="Q6" i="40"/>
  <c r="Q7" i="40"/>
  <c r="Q8" i="40"/>
  <c r="Q9" i="40"/>
  <c r="Q10" i="40"/>
  <c r="Q11" i="40"/>
  <c r="Q12" i="40"/>
  <c r="Q13" i="40"/>
  <c r="Q2" i="40"/>
  <c r="AO3" i="40"/>
  <c r="AO4" i="40"/>
  <c r="AO5" i="40"/>
  <c r="AO6" i="40"/>
  <c r="AO7" i="40"/>
  <c r="AO8" i="40"/>
  <c r="AO9" i="40"/>
  <c r="AO10" i="40"/>
  <c r="AO11" i="40"/>
  <c r="AO12" i="40"/>
  <c r="AO13" i="40"/>
  <c r="AO2" i="40"/>
  <c r="Z3" i="19"/>
  <c r="Z4" i="19"/>
  <c r="Z5" i="19"/>
  <c r="Z6" i="19"/>
  <c r="Z7" i="19"/>
  <c r="Z8" i="19"/>
  <c r="Z9" i="19"/>
  <c r="Z10" i="19"/>
  <c r="Z12" i="19"/>
  <c r="Z13" i="19"/>
  <c r="Z14" i="19"/>
  <c r="Z15" i="19"/>
  <c r="Z16" i="19"/>
  <c r="Z17" i="19"/>
  <c r="Z18" i="19"/>
  <c r="Z19" i="19"/>
  <c r="Z20" i="19"/>
  <c r="Z21" i="19"/>
  <c r="Z22" i="19"/>
  <c r="Z23" i="19"/>
  <c r="Z24" i="19"/>
  <c r="Z25" i="19"/>
  <c r="Z26" i="19"/>
  <c r="Z27" i="19"/>
  <c r="Z28" i="19"/>
  <c r="Z29" i="19"/>
  <c r="Z30" i="19"/>
  <c r="Z31" i="19"/>
  <c r="Z32" i="19"/>
  <c r="Z33" i="19"/>
  <c r="Z34" i="19"/>
  <c r="Z35" i="19"/>
  <c r="Z36" i="19"/>
  <c r="Z37" i="19"/>
  <c r="Z38" i="19"/>
  <c r="Z39" i="19"/>
  <c r="Z41" i="19"/>
  <c r="Z42" i="19"/>
  <c r="Z43" i="19"/>
  <c r="Z44" i="19"/>
  <c r="Z45" i="19"/>
  <c r="Z46" i="19"/>
  <c r="Z47" i="19"/>
  <c r="Z48" i="19"/>
  <c r="Z49" i="19"/>
  <c r="Z50" i="19"/>
  <c r="Z51" i="19"/>
  <c r="Z52" i="19"/>
  <c r="Z53" i="19"/>
  <c r="Z54" i="19"/>
  <c r="Z55" i="19"/>
  <c r="Z56" i="19"/>
  <c r="Z57" i="19"/>
  <c r="Z58" i="19"/>
  <c r="Z60" i="19"/>
  <c r="Z61" i="19"/>
  <c r="Z62" i="19"/>
  <c r="Z64" i="19"/>
  <c r="Z77" i="19"/>
  <c r="Z82" i="19"/>
  <c r="Z5" i="18"/>
  <c r="Z10" i="18"/>
  <c r="Z14" i="18"/>
  <c r="Z18" i="18"/>
  <c r="W9" i="9"/>
  <c r="X4" i="26"/>
  <c r="BA8" i="23"/>
  <c r="Z11" i="19"/>
  <c r="Z59" i="19"/>
  <c r="Z63" i="19"/>
  <c r="Z65" i="19"/>
  <c r="Z66" i="19"/>
  <c r="Z67" i="19"/>
  <c r="Z68" i="19"/>
  <c r="Z69" i="19"/>
  <c r="Z70" i="19"/>
  <c r="Z71" i="19"/>
  <c r="Z73" i="19"/>
  <c r="Z74" i="19"/>
  <c r="Z75" i="19"/>
  <c r="Z76" i="19"/>
  <c r="Z78" i="19"/>
  <c r="Z80" i="19"/>
  <c r="Z2" i="19"/>
  <c r="Z6" i="18"/>
  <c r="Z8" i="18"/>
  <c r="Z12" i="18"/>
  <c r="Z16" i="18"/>
  <c r="Z2" i="18"/>
  <c r="W7" i="9"/>
  <c r="R7" i="28"/>
  <c r="BA3" i="23"/>
  <c r="Z40" i="19"/>
  <c r="Z72" i="19"/>
  <c r="Z79" i="19"/>
  <c r="Z81" i="19"/>
  <c r="Z3" i="18"/>
  <c r="Z7" i="18"/>
  <c r="Z11" i="18"/>
  <c r="Z15" i="18"/>
  <c r="Z19" i="18"/>
  <c r="W12" i="9"/>
  <c r="V3" i="25"/>
  <c r="Z83" i="19"/>
  <c r="Z4" i="18"/>
  <c r="Z9" i="18"/>
  <c r="Z13" i="18"/>
  <c r="Z17" i="18"/>
  <c r="AL3" i="17"/>
  <c r="W10" i="9"/>
  <c r="V2" i="25"/>
  <c r="AL4" i="17"/>
  <c r="AL5" i="17"/>
  <c r="AL6" i="17"/>
  <c r="AL7" i="17"/>
  <c r="AL8" i="17"/>
  <c r="AL9" i="17"/>
  <c r="AL10" i="17"/>
  <c r="AL11" i="17"/>
  <c r="AL12" i="17"/>
  <c r="AL13" i="17"/>
  <c r="AL14" i="17"/>
  <c r="AL15" i="17"/>
  <c r="AL16" i="17"/>
  <c r="AL17" i="17"/>
  <c r="AL18" i="17"/>
  <c r="AL19" i="17"/>
  <c r="AL20" i="17"/>
  <c r="AL21" i="17"/>
  <c r="AL22" i="17"/>
  <c r="AL23" i="17"/>
  <c r="AL24" i="17"/>
  <c r="AL25" i="17"/>
  <c r="AB2" i="13"/>
  <c r="T3" i="12"/>
  <c r="T6" i="12"/>
  <c r="T7" i="12"/>
  <c r="R5" i="28"/>
  <c r="V4" i="25"/>
  <c r="AL26" i="17"/>
  <c r="AL27" i="17"/>
  <c r="AL28" i="17"/>
  <c r="AL29" i="17"/>
  <c r="AL30" i="17"/>
  <c r="AL31" i="17"/>
  <c r="AL32" i="17"/>
  <c r="AL33" i="17"/>
  <c r="AL34" i="17"/>
  <c r="AL35" i="17"/>
  <c r="AL36" i="17"/>
  <c r="AL37" i="17"/>
  <c r="AL2" i="17"/>
  <c r="AN2" i="16"/>
  <c r="T4" i="12"/>
  <c r="T5" i="12"/>
  <c r="W6" i="9"/>
  <c r="R6" i="28"/>
  <c r="AD2" i="24"/>
  <c r="T9" i="12"/>
  <c r="T10" i="12"/>
  <c r="T2" i="12"/>
  <c r="Y3" i="10"/>
  <c r="Y4" i="10"/>
  <c r="Y5" i="10"/>
  <c r="Y6" i="10"/>
  <c r="Y7" i="10"/>
  <c r="Y8" i="10"/>
  <c r="Y9" i="10"/>
  <c r="Y2" i="10"/>
  <c r="W3" i="9"/>
  <c r="W4" i="9"/>
  <c r="W5" i="9"/>
  <c r="W11" i="9"/>
  <c r="X3" i="26"/>
  <c r="BA7" i="23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" i="8"/>
  <c r="X3" i="7"/>
  <c r="X4" i="7"/>
  <c r="X10" i="7"/>
  <c r="X16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2" i="7"/>
  <c r="AJ3" i="6"/>
  <c r="AJ4" i="6"/>
  <c r="AJ6" i="6"/>
  <c r="AJ7" i="6"/>
  <c r="AJ8" i="6"/>
  <c r="AJ9" i="6"/>
  <c r="AJ12" i="6"/>
  <c r="AJ14" i="6"/>
  <c r="AJ16" i="6"/>
  <c r="AJ18" i="6"/>
  <c r="AJ20" i="6"/>
  <c r="AJ22" i="6"/>
  <c r="AJ24" i="6"/>
  <c r="AJ26" i="6"/>
  <c r="AJ28" i="6"/>
  <c r="AJ30" i="6"/>
  <c r="AJ33" i="6"/>
  <c r="AJ284" i="6"/>
  <c r="AJ292" i="6"/>
  <c r="X5" i="7"/>
  <c r="X17" i="7"/>
  <c r="AJ5" i="6"/>
  <c r="AJ10" i="6"/>
  <c r="AJ11" i="6"/>
  <c r="AJ13" i="6"/>
  <c r="AJ15" i="6"/>
  <c r="AJ17" i="6"/>
  <c r="AJ19" i="6"/>
  <c r="AJ21" i="6"/>
  <c r="AJ23" i="6"/>
  <c r="AJ25" i="6"/>
  <c r="AJ27" i="6"/>
  <c r="AJ29" i="6"/>
  <c r="AJ31" i="6"/>
  <c r="AJ32" i="6"/>
  <c r="AJ34" i="6"/>
  <c r="AJ288" i="6"/>
  <c r="AJ2" i="6"/>
  <c r="X14" i="7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129" i="6"/>
  <c r="AJ131" i="6"/>
  <c r="AJ133" i="6"/>
  <c r="AJ135" i="6"/>
  <c r="AJ137" i="6"/>
  <c r="AJ139" i="6"/>
  <c r="AJ141" i="6"/>
  <c r="AJ143" i="6"/>
  <c r="AJ145" i="6"/>
  <c r="AJ147" i="6"/>
  <c r="AJ156" i="6"/>
  <c r="AJ159" i="6"/>
  <c r="AJ162" i="6"/>
  <c r="AJ165" i="6"/>
  <c r="AJ168" i="6"/>
  <c r="AJ171" i="6"/>
  <c r="AJ174" i="6"/>
  <c r="AJ177" i="6"/>
  <c r="AJ181" i="6"/>
  <c r="AJ269" i="6"/>
  <c r="AJ275" i="6"/>
  <c r="AJ281" i="6"/>
  <c r="AJ290" i="6"/>
  <c r="X6" i="7"/>
  <c r="X15" i="7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30" i="6"/>
  <c r="AJ132" i="6"/>
  <c r="AJ134" i="6"/>
  <c r="AJ136" i="6"/>
  <c r="AJ138" i="6"/>
  <c r="AJ140" i="6"/>
  <c r="AJ142" i="6"/>
  <c r="AJ144" i="6"/>
  <c r="AJ146" i="6"/>
  <c r="AJ153" i="6"/>
  <c r="AJ155" i="6"/>
  <c r="AJ157" i="6"/>
  <c r="AJ160" i="6"/>
  <c r="AJ163" i="6"/>
  <c r="AJ166" i="6"/>
  <c r="AJ169" i="6"/>
  <c r="AJ172" i="6"/>
  <c r="AJ175" i="6"/>
  <c r="AJ178" i="6"/>
  <c r="AJ180" i="6"/>
  <c r="AJ184" i="6"/>
  <c r="AJ268" i="6"/>
  <c r="AJ273" i="6"/>
  <c r="AJ278" i="6"/>
  <c r="AJ287" i="6"/>
  <c r="AJ295" i="6"/>
  <c r="X12" i="7"/>
  <c r="AJ183" i="6"/>
  <c r="AJ289" i="6"/>
  <c r="X8" i="7"/>
  <c r="AJ148" i="6"/>
  <c r="AJ149" i="6"/>
  <c r="AJ150" i="6"/>
  <c r="AJ151" i="6"/>
  <c r="AJ152" i="6"/>
  <c r="AJ154" i="6"/>
  <c r="AJ158" i="6"/>
  <c r="AJ161" i="6"/>
  <c r="AJ164" i="6"/>
  <c r="AJ167" i="6"/>
  <c r="AJ170" i="6"/>
  <c r="AJ173" i="6"/>
  <c r="AJ176" i="6"/>
  <c r="AJ179" i="6"/>
  <c r="AJ182" i="6"/>
  <c r="AJ270" i="6"/>
  <c r="AJ274" i="6"/>
  <c r="AJ279" i="6"/>
  <c r="AJ291" i="6"/>
  <c r="X7" i="7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5" i="6"/>
  <c r="AJ226" i="6"/>
  <c r="AJ227" i="6"/>
  <c r="AJ228" i="6"/>
  <c r="AJ229" i="6"/>
  <c r="AJ230" i="6"/>
  <c r="AJ231" i="6"/>
  <c r="AJ232" i="6"/>
  <c r="AJ233" i="6"/>
  <c r="AJ234" i="6"/>
  <c r="AJ236" i="6"/>
  <c r="AJ237" i="6"/>
  <c r="AJ239" i="6"/>
  <c r="AJ241" i="6"/>
  <c r="AJ243" i="6"/>
  <c r="AJ245" i="6"/>
  <c r="AJ247" i="6"/>
  <c r="AJ250" i="6"/>
  <c r="AJ251" i="6"/>
  <c r="AJ253" i="6"/>
  <c r="AJ255" i="6"/>
  <c r="AJ257" i="6"/>
  <c r="AJ261" i="6"/>
  <c r="AJ263" i="6"/>
  <c r="AJ265" i="6"/>
  <c r="AJ267" i="6"/>
  <c r="AJ272" i="6"/>
  <c r="AJ276" i="6"/>
  <c r="AJ280" i="6"/>
  <c r="AJ285" i="6"/>
  <c r="AJ293" i="6"/>
  <c r="X9" i="7"/>
  <c r="X18" i="7"/>
  <c r="AJ224" i="6"/>
  <c r="AJ235" i="6"/>
  <c r="AJ238" i="6"/>
  <c r="AJ240" i="6"/>
  <c r="AJ242" i="6"/>
  <c r="AJ244" i="6"/>
  <c r="AJ246" i="6"/>
  <c r="AJ248" i="6"/>
  <c r="AJ249" i="6"/>
  <c r="AJ252" i="6"/>
  <c r="AJ254" i="6"/>
  <c r="AJ256" i="6"/>
  <c r="AJ258" i="6"/>
  <c r="AJ259" i="6"/>
  <c r="AJ262" i="6"/>
  <c r="AJ264" i="6"/>
  <c r="AJ266" i="6"/>
  <c r="AJ271" i="6"/>
  <c r="AJ277" i="6"/>
  <c r="AJ282" i="6"/>
  <c r="AJ286" i="6"/>
  <c r="AJ296" i="6"/>
  <c r="X13" i="7"/>
  <c r="AJ260" i="6"/>
  <c r="AJ283" i="6"/>
  <c r="AJ294" i="6"/>
  <c r="X11" i="7"/>
  <c r="X19" i="7"/>
  <c r="D13" i="38"/>
  <c r="D15" i="38" l="1"/>
</calcChain>
</file>

<file path=xl/sharedStrings.xml><?xml version="1.0" encoding="utf-8"?>
<sst xmlns="http://schemas.openxmlformats.org/spreadsheetml/2006/main" count="16113" uniqueCount="3022">
  <si>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</si>
  <si>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</si>
  <si>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</si>
  <si>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</si>
  <si>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</si>
  <si>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</si>
  <si>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</si>
  <si>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</si>
  <si>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</si>
  <si>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</si>
  <si>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</si>
  <si>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</si>
  <si>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</si>
  <si>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</si>
  <si>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</si>
  <si>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</si>
  <si>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</si>
  <si>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</si>
  <si>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</si>
  <si>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</si>
  <si>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</si>
  <si>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</si>
  <si>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</si>
  <si>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</si>
  <si>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</si>
  <si>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</si>
  <si>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</si>
  <si>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</si>
  <si>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</si>
  <si>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</si>
  <si>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</si>
  <si>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</si>
  <si>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</si>
  <si>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</si>
  <si>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</si>
  <si>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</si>
  <si>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</si>
  <si>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</si>
  <si>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</si>
  <si>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</si>
  <si>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</si>
  <si>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</si>
  <si>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</si>
  <si>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</si>
  <si>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</si>
  <si>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</si>
  <si>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</si>
  <si>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</si>
  <si>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</si>
  <si>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</si>
  <si>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</si>
  <si>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</si>
  <si>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</si>
  <si>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</si>
  <si>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</si>
  <si>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</si>
  <si>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</si>
  <si>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</si>
  <si>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</si>
  <si>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</si>
  <si>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</si>
  <si>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</si>
  <si>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</si>
  <si>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</si>
  <si>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</si>
  <si>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</si>
  <si>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</si>
  <si>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</si>
  <si>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</si>
  <si>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</si>
  <si>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</si>
  <si>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</si>
  <si>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</si>
  <si>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</si>
  <si>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</si>
  <si>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</si>
  <si>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</si>
  <si>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</si>
  <si>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</si>
  <si>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</si>
  <si>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</si>
  <si>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</si>
  <si>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</si>
  <si>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</si>
  <si>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</si>
  <si>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</si>
  <si>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</si>
  <si>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</si>
  <si>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</si>
  <si>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</si>
  <si>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</si>
  <si>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</si>
  <si>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</si>
  <si>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</si>
  <si>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</si>
  <si>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</si>
  <si>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</si>
  <si>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</si>
  <si>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</si>
  <si>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</si>
  <si>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</si>
  <si>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</si>
  <si>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</si>
  <si>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</si>
  <si>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</si>
  <si>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</si>
  <si>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</si>
  <si>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</si>
  <si>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</si>
  <si>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</si>
  <si>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</si>
  <si>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</si>
  <si>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</si>
  <si>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</si>
  <si>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</si>
  <si>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</si>
  <si>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</si>
  <si>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</si>
  <si>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</si>
  <si>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</si>
  <si>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</si>
  <si>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</si>
  <si>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</si>
  <si>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</si>
  <si>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</si>
  <si>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</si>
  <si>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</si>
  <si>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</si>
  <si>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</si>
  <si>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</si>
  <si>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</si>
  <si>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</si>
  <si>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</si>
  <si>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</si>
  <si>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</si>
  <si>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</si>
  <si>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</si>
  <si>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</si>
  <si>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</si>
  <si>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</si>
  <si>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</si>
  <si>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</si>
  <si>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</si>
  <si>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</si>
  <si>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</si>
  <si>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</si>
  <si>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</si>
  <si>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</si>
  <si>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</si>
  <si>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</si>
  <si>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</si>
  <si>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</si>
  <si>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</si>
  <si>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</si>
  <si>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</si>
  <si>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</si>
  <si>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</si>
  <si>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</si>
  <si>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</si>
  <si>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</si>
  <si>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</si>
  <si>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</si>
  <si>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</si>
  <si>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</si>
  <si>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</si>
  <si>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</si>
  <si>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</si>
  <si>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</si>
  <si>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</si>
  <si>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</si>
  <si>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</si>
  <si>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</si>
  <si>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</si>
  <si>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</si>
  <si>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</si>
  <si>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</si>
  <si>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</si>
  <si>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</si>
  <si>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</si>
  <si>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</si>
  <si>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</si>
  <si>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</si>
  <si>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</si>
  <si>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</si>
  <si>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</si>
  <si>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</si>
  <si>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</si>
  <si>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</si>
  <si>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</si>
  <si>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</si>
  <si>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</si>
  <si>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</si>
  <si>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</si>
  <si>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</si>
  <si>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</si>
  <si>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</si>
  <si>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</si>
  <si>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</si>
  <si>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</si>
  <si>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</si>
  <si>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</si>
  <si>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</si>
  <si>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</si>
  <si>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</si>
  <si>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</si>
  <si>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</si>
  <si>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</si>
  <si>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</si>
  <si>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</si>
  <si>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</si>
  <si>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</si>
  <si>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</si>
  <si>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</si>
  <si>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</si>
  <si>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</si>
  <si>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</si>
  <si>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</si>
  <si>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</si>
  <si>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</si>
  <si>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</si>
  <si>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</si>
  <si>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</si>
  <si>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</si>
  <si>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</si>
  <si>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</si>
  <si>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</si>
  <si>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</si>
  <si>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</si>
  <si>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</si>
  <si>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</si>
  <si>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</si>
  <si>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</si>
  <si>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</si>
  <si>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</si>
  <si>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</si>
  <si>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</si>
  <si>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</si>
  <si>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</si>
  <si>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</si>
  <si>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</si>
  <si>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</si>
  <si>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</si>
  <si>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</si>
  <si>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</si>
  <si>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</si>
  <si>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</si>
  <si>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</si>
  <si>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</si>
  <si>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</si>
  <si>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</si>
  <si>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</si>
  <si>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</si>
  <si>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</si>
  <si>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</si>
  <si>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</si>
  <si>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</si>
  <si>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</si>
  <si>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</si>
  <si>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</si>
  <si>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</si>
  <si>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</si>
  <si>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</si>
  <si>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</si>
  <si>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</si>
  <si>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</si>
  <si>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</si>
  <si>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</si>
  <si>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</si>
  <si>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</si>
  <si>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</si>
  <si>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</si>
  <si>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</si>
  <si>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</si>
  <si>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</si>
  <si>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</si>
  <si>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</si>
  <si>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</si>
  <si>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</si>
  <si>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</si>
  <si>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</si>
  <si>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</si>
  <si>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</si>
  <si>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</si>
  <si>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</si>
  <si>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</si>
  <si>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</si>
  <si>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</si>
  <si>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</si>
  <si>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</si>
  <si>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</si>
  <si>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</si>
  <si>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</si>
  <si>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</si>
  <si>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</si>
  <si>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</si>
  <si>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</si>
  <si>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</si>
  <si>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</si>
  <si>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</si>
  <si>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</si>
  <si>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</si>
  <si>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</si>
  <si>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</si>
  <si>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</si>
  <si>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</si>
  <si>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</si>
  <si>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</si>
  <si>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</si>
  <si>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</si>
  <si>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</si>
  <si>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</si>
  <si>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</si>
  <si>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</si>
  <si>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</si>
  <si>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</si>
  <si>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</si>
  <si>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</si>
  <si>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</si>
  <si>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</si>
  <si>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</si>
  <si>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</si>
  <si>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</si>
  <si>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</si>
  <si>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</si>
  <si>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</si>
  <si>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</si>
  <si>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</si>
  <si>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</si>
  <si>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</si>
  <si>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</si>
  <si>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</si>
  <si>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</si>
  <si>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</si>
  <si>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</si>
  <si>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</si>
  <si>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</si>
  <si>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</si>
  <si>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</si>
  <si>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</si>
  <si>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</si>
  <si>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</si>
  <si>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</si>
  <si>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</si>
  <si>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</si>
  <si>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</si>
  <si>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</si>
  <si>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</si>
  <si>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</si>
  <si>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</si>
  <si>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</si>
  <si>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</si>
  <si>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</si>
  <si>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</si>
  <si>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</si>
  <si>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</si>
  <si>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</si>
  <si>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</si>
  <si>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</si>
  <si>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</si>
  <si>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</si>
  <si>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</si>
  <si>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</si>
  <si>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</si>
  <si>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</si>
  <si>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</si>
  <si>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</si>
  <si>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</si>
  <si>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</si>
  <si>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</si>
  <si>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</si>
  <si>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</si>
  <si>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</si>
  <si>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</si>
  <si>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</si>
  <si>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</si>
  <si>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</si>
  <si>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</si>
  <si>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</si>
  <si>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</si>
  <si>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</si>
  <si>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</si>
  <si>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</si>
  <si>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</si>
  <si>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</si>
  <si>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</si>
  <si>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</si>
  <si>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</si>
  <si>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</si>
  <si>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</si>
  <si>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</si>
  <si>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</si>
  <si>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</si>
  <si>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</si>
  <si>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</si>
  <si>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</si>
  <si>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</si>
  <si>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</si>
  <si>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</si>
  <si>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</si>
  <si>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</si>
  <si>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</si>
  <si>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</si>
  <si>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</si>
  <si>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</si>
  <si>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</si>
  <si>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</si>
  <si>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</si>
  <si>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</si>
  <si>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</si>
  <si>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</si>
  <si>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</si>
  <si>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</si>
  <si>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</si>
  <si>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</si>
  <si>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</si>
  <si>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</si>
  <si>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</si>
  <si>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</si>
  <si>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</si>
  <si>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</si>
  <si>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</si>
  <si>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</si>
  <si>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</si>
  <si>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</si>
  <si>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</si>
  <si>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</si>
  <si>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</si>
  <si>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</si>
  <si>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</si>
  <si>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</si>
  <si>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</si>
  <si>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</si>
  <si>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</si>
  <si>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</si>
  <si>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</si>
  <si>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</si>
  <si>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</si>
  <si>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</si>
  <si>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</si>
  <si>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</si>
  <si>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</si>
  <si>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</si>
  <si>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</si>
  <si>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</si>
  <si>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</si>
  <si>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</si>
  <si>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</si>
  <si>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</si>
  <si>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</si>
  <si>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</si>
  <si>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</si>
  <si>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</si>
  <si>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</si>
  <si>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</si>
  <si>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</si>
  <si>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</si>
  <si>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</si>
  <si>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</si>
  <si>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</si>
  <si>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</si>
  <si>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</si>
  <si>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</si>
  <si>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</si>
  <si>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</si>
  <si>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</si>
  <si>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</si>
  <si>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</si>
  <si>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</si>
  <si>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</si>
  <si>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</si>
  <si>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</si>
  <si>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</si>
  <si>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</si>
  <si>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</si>
  <si>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</si>
  <si>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</si>
  <si>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</si>
  <si>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</si>
  <si>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</si>
  <si>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</si>
  <si>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</si>
  <si>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</si>
  <si>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</si>
  <si>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</si>
  <si>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</si>
  <si>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</si>
  <si>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</si>
  <si>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</si>
  <si>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</si>
  <si>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</si>
  <si>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</si>
  <si>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</si>
  <si>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</si>
  <si>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</si>
  <si>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</si>
  <si>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</si>
  <si>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</si>
  <si>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</si>
  <si>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</si>
  <si>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</si>
  <si>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</si>
  <si>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</si>
  <si>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</si>
  <si>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</si>
  <si>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</si>
  <si>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</si>
  <si>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</si>
  <si>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</si>
  <si>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</si>
  <si>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</si>
  <si>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</si>
  <si>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</si>
  <si>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</si>
  <si>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</si>
  <si>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</si>
  <si>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</si>
  <si>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</si>
  <si>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</si>
  <si>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</si>
  <si>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</si>
  <si>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</si>
  <si>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</si>
  <si>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</si>
  <si>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</si>
  <si>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</si>
  <si>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</si>
  <si>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</si>
  <si>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</si>
  <si>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</si>
  <si>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</si>
  <si>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</si>
  <si>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</si>
  <si>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</si>
  <si>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</si>
  <si>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</si>
  <si>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</si>
  <si>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</si>
  <si>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</si>
  <si>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</si>
  <si>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</si>
  <si>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</si>
  <si>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</si>
  <si>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</si>
  <si>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</si>
  <si>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</si>
  <si>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</si>
  <si>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</si>
  <si>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</si>
  <si>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</si>
  <si>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</si>
  <si>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</si>
  <si>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</si>
  <si>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</si>
  <si>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</si>
  <si>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</si>
  <si>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</si>
  <si>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</si>
  <si>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</si>
  <si>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</si>
  <si>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</si>
  <si>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</si>
  <si>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</si>
  <si>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</si>
  <si>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</si>
  <si>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</si>
  <si>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</si>
  <si>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</si>
  <si>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</si>
  <si>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</si>
  <si>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</si>
  <si>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</si>
  <si>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</si>
  <si>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</si>
  <si>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</si>
  <si>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</si>
  <si>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</si>
  <si>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</si>
  <si>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</si>
  <si>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</si>
  <si>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</si>
  <si>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</si>
  <si>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</si>
  <si>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</si>
  <si>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</si>
  <si>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</si>
  <si>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</si>
  <si>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</si>
  <si>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</si>
  <si>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</si>
  <si>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</si>
  <si>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</si>
  <si>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</si>
  <si>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</si>
  <si>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</si>
  <si>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</si>
  <si>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</si>
  <si>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</si>
  <si>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</si>
  <si>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</si>
  <si>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</si>
  <si>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</si>
  <si>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</si>
  <si>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</si>
  <si>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</si>
  <si>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</si>
  <si>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</si>
  <si>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</si>
  <si>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</si>
  <si>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</si>
  <si>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</si>
  <si>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</si>
  <si>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</si>
  <si>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</si>
  <si>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</si>
  <si>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</si>
  <si>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</si>
  <si>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</si>
  <si>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</si>
  <si>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</si>
  <si>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</si>
  <si>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</si>
  <si>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</si>
  <si>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</si>
  <si>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</si>
  <si>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</si>
  <si>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</si>
  <si>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</si>
  <si>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</si>
  <si>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</si>
  <si>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</si>
  <si>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</si>
  <si>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</si>
  <si>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</si>
  <si>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</si>
  <si>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</si>
  <si>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</si>
  <si>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</si>
  <si>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</si>
  <si>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</si>
  <si>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</si>
  <si>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</si>
  <si>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</si>
  <si>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</si>
  <si>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</si>
  <si>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</si>
  <si>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</si>
  <si>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</si>
  <si>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</si>
  <si>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</si>
  <si>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</si>
  <si>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</si>
  <si>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</si>
  <si>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</si>
  <si>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</si>
  <si>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</si>
  <si>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</si>
  <si>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</si>
  <si>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</si>
  <si>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</si>
  <si>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</si>
  <si>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</si>
  <si>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</si>
  <si>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</si>
  <si>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</si>
  <si>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</si>
  <si>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</si>
  <si>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</si>
  <si>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</si>
  <si>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</si>
  <si>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</si>
  <si>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</si>
  <si>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</si>
  <si>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</si>
  <si>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</si>
  <si>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</si>
  <si>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</si>
  <si>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</si>
  <si>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</si>
  <si>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</si>
  <si>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</si>
  <si>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</si>
  <si>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</si>
  <si>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</si>
  <si>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</si>
  <si>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</si>
  <si>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</si>
  <si>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</si>
  <si>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</si>
  <si>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</si>
  <si>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</si>
  <si>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</si>
  <si>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</si>
  <si>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</si>
  <si>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</si>
  <si>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</si>
  <si>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</si>
  <si>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</si>
  <si>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</si>
  <si>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</si>
  <si>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</si>
  <si>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</si>
  <si>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</si>
  <si>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</si>
  <si>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</si>
  <si>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</si>
  <si>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</si>
  <si>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</si>
  <si>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</si>
  <si>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</si>
  <si>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</si>
  <si>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</si>
  <si>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</si>
  <si>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</si>
  <si>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</si>
  <si>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</si>
  <si>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</si>
  <si>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</si>
  <si>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</si>
  <si>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</si>
  <si>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</si>
  <si>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</si>
  <si>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</si>
  <si>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</si>
  <si>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</si>
  <si>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</si>
  <si>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</si>
  <si>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</si>
  <si>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</si>
  <si>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</si>
  <si>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</si>
  <si>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</si>
  <si>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</si>
  <si>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</si>
  <si>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</si>
  <si>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</si>
  <si>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</si>
  <si>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</si>
  <si>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</si>
  <si>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</si>
  <si>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</si>
  <si>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</si>
  <si>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</si>
  <si>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</si>
  <si>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</si>
  <si>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</si>
  <si>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</si>
  <si>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</si>
  <si>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</si>
  <si>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</si>
  <si>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</si>
  <si>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</si>
  <si>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</si>
  <si>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</si>
  <si>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</si>
  <si>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</si>
  <si>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</si>
  <si>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</si>
  <si>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</si>
  <si>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</si>
  <si>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</si>
  <si>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</si>
  <si>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</si>
  <si>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</si>
  <si>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</si>
  <si>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</si>
  <si>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</si>
  <si>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</si>
  <si>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</si>
  <si>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</si>
  <si>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</si>
  <si>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</si>
  <si>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</si>
  <si>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</si>
  <si>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</si>
  <si>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</si>
  <si>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</si>
  <si>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</si>
  <si>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</si>
  <si>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</si>
  <si>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</si>
  <si>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</si>
  <si>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</si>
  <si>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</si>
  <si>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</si>
  <si>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</si>
  <si>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</si>
  <si>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</si>
  <si>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</si>
  <si>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</si>
  <si>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</si>
  <si>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</si>
  <si>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</si>
  <si>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</si>
  <si>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</si>
  <si>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</si>
  <si>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</si>
  <si>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</si>
  <si>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</si>
  <si>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</si>
  <si>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</si>
  <si>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</si>
  <si>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</si>
  <si>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</si>
  <si>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</si>
  <si>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</si>
  <si>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</si>
  <si>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</si>
  <si>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</si>
  <si>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</si>
  <si>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</si>
  <si>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</si>
  <si>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</si>
  <si>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</si>
  <si>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</si>
  <si>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</si>
  <si>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</si>
  <si>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</si>
  <si>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</si>
  <si>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</si>
  <si>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</si>
  <si>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</si>
  <si>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</si>
  <si>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</si>
  <si>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</si>
  <si>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</si>
  <si>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</si>
  <si>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</si>
  <si>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</si>
  <si>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</si>
  <si>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</si>
  <si>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</si>
  <si>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</si>
  <si>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</si>
  <si>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</si>
  <si>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</si>
  <si>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</si>
  <si>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</si>
  <si>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</si>
  <si>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</si>
  <si>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</si>
  <si>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</si>
  <si>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</si>
  <si>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</si>
  <si>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</si>
  <si>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</si>
  <si>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</si>
  <si>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</si>
  <si>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</si>
  <si>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</si>
  <si>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</si>
  <si>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</si>
  <si>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</si>
  <si>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</si>
  <si>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</si>
  <si>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</si>
  <si>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</si>
  <si>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</si>
  <si>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</si>
  <si>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</si>
  <si>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</si>
  <si>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</si>
  <si>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</si>
  <si>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</si>
  <si>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</si>
  <si>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</si>
  <si>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</si>
  <si>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</si>
  <si>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</si>
  <si>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</si>
  <si>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</si>
  <si>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</si>
  <si>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</si>
  <si>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</si>
  <si>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</si>
  <si>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</si>
  <si>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</si>
  <si>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</si>
  <si>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</si>
  <si>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</si>
  <si>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</si>
  <si>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</si>
  <si>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</si>
  <si>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</si>
  <si>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</si>
  <si>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</si>
  <si>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</si>
  <si>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</si>
  <si>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</si>
  <si>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</si>
  <si>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</si>
  <si>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</si>
  <si>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</si>
  <si>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</si>
  <si>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</si>
  <si>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</si>
  <si>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</si>
  <si>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</si>
  <si>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</si>
  <si>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</si>
  <si>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</si>
  <si>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</si>
  <si>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</si>
  <si>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</si>
  <si>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</si>
  <si>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</si>
  <si>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</si>
  <si>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</si>
  <si>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</si>
  <si>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</si>
  <si>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</si>
  <si>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</si>
  <si>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</si>
  <si>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</si>
  <si>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</si>
  <si>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</si>
  <si>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</si>
  <si>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</si>
  <si>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</si>
  <si>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</si>
  <si>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</si>
  <si>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</si>
  <si>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</si>
  <si>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</si>
  <si>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</si>
  <si>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</si>
  <si>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</si>
  <si>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</si>
  <si>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</si>
  <si>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</si>
  <si>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</si>
  <si>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</si>
  <si>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</si>
  <si>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</si>
  <si>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</si>
  <si>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</si>
  <si>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</si>
  <si>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</si>
  <si>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</si>
  <si>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</si>
  <si>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</si>
  <si>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</si>
  <si>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</si>
  <si>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</si>
  <si>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</si>
  <si>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</si>
  <si>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</si>
  <si>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</si>
  <si>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</si>
  <si>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</si>
  <si>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</si>
  <si>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</si>
  <si>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</si>
  <si>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</si>
  <si>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</si>
  <si>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</si>
  <si>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</si>
  <si>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</si>
  <si>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</si>
  <si>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</si>
  <si>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</si>
  <si>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</si>
  <si>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</si>
  <si>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</si>
  <si>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</si>
  <si>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</si>
  <si>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</si>
  <si>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</si>
  <si>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</si>
  <si>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</si>
  <si>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</si>
  <si>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</si>
  <si>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</si>
  <si>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</si>
  <si>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</si>
  <si>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</si>
  <si>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</si>
  <si>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</si>
  <si>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</si>
  <si>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</si>
  <si>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</si>
  <si>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</si>
  <si>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</si>
  <si>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</si>
  <si>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</si>
  <si>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</si>
  <si>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</si>
  <si>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</si>
  <si>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</si>
  <si>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</si>
  <si>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</si>
  <si>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</si>
  <si>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</si>
  <si>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</si>
  <si>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</si>
  <si>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</si>
  <si>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</si>
  <si>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</si>
  <si>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</si>
  <si>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</si>
  <si>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</si>
  <si>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</si>
  <si>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</si>
  <si>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</si>
  <si>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</si>
  <si>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</si>
  <si>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</si>
  <si>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</si>
  <si>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</si>
  <si>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</si>
  <si>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</si>
  <si>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</si>
  <si>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</si>
  <si>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</si>
  <si>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</si>
  <si>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</si>
  <si>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</si>
  <si>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</si>
  <si>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</si>
  <si>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</si>
  <si>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</si>
  <si>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</si>
  <si>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</si>
  <si>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</si>
  <si>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</si>
  <si>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</si>
  <si>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</si>
  <si>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</si>
  <si>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</si>
  <si>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</si>
  <si>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</si>
  <si>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</si>
  <si>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</si>
  <si>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</si>
  <si>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</si>
  <si>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</si>
  <si>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</si>
  <si>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</si>
  <si>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</si>
  <si>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</si>
  <si>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</si>
  <si>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</si>
  <si>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</si>
  <si>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</si>
  <si>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</si>
  <si>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</si>
  <si>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</si>
  <si>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</si>
  <si>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</si>
  <si>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</si>
  <si>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</si>
  <si>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</si>
  <si>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</si>
  <si>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</si>
  <si>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</si>
  <si>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</si>
  <si>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</si>
  <si>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</si>
  <si>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</si>
  <si>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</si>
  <si>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</si>
  <si>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</si>
  <si>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</si>
  <si>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</si>
  <si>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</si>
  <si>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</si>
  <si>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</si>
  <si>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</si>
  <si>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</si>
  <si>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</si>
  <si>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</si>
  <si>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</si>
  <si>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</si>
  <si>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</si>
  <si>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</si>
  <si>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</si>
  <si>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</si>
  <si>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</si>
  <si>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</si>
  <si>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</si>
  <si>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</si>
  <si>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</si>
  <si>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</si>
  <si>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</si>
  <si>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</si>
  <si>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</si>
  <si>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</si>
  <si>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</si>
  <si>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</si>
  <si>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</si>
  <si>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</si>
  <si>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</si>
  <si>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</si>
  <si>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</si>
  <si>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</si>
  <si>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</si>
  <si>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</si>
  <si>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</si>
  <si>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</si>
  <si>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</si>
  <si>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</si>
  <si>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</si>
  <si>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</si>
  <si>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</si>
  <si>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</si>
  <si>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</si>
  <si>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</si>
  <si>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</si>
  <si>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</si>
  <si>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</si>
  <si>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</si>
  <si>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</si>
  <si>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</si>
  <si>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</si>
  <si>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</si>
  <si>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</si>
  <si>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</si>
  <si>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</si>
  <si>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</si>
  <si>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</si>
  <si>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</si>
  <si>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</si>
  <si>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</si>
  <si>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</si>
  <si>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</si>
  <si>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</si>
  <si>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</si>
  <si>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</si>
  <si>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</si>
  <si>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</si>
  <si>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</si>
  <si>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</si>
  <si>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</si>
  <si>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</si>
  <si>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</si>
  <si>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</si>
  <si>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</si>
  <si>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</si>
  <si>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</si>
  <si>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</si>
  <si>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</si>
  <si>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</si>
  <si>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</si>
  <si>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</si>
  <si>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</si>
  <si>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</si>
  <si>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</si>
  <si>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</si>
  <si>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</si>
  <si>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</si>
  <si>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</si>
  <si>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</si>
  <si>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</si>
  <si>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</si>
  <si>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</si>
  <si>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</si>
  <si>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</si>
  <si>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</si>
  <si>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</si>
  <si>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</si>
  <si>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</si>
  <si>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</si>
  <si>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</si>
  <si>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</si>
  <si>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</si>
  <si>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</si>
  <si>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</si>
  <si>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</si>
  <si>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</si>
  <si>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</si>
  <si>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</si>
  <si>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</si>
  <si>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</si>
  <si>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</si>
  <si>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</si>
  <si>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</si>
  <si>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</si>
  <si>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</si>
  <si>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</si>
  <si>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</si>
  <si>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</si>
  <si>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</si>
  <si>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</si>
  <si>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</si>
  <si>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</si>
  <si>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</si>
  <si>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</si>
  <si>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</si>
  <si>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</si>
  <si>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</si>
  <si>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</si>
  <si>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</si>
  <si>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</si>
  <si>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</si>
  <si>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</si>
  <si>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</si>
  <si>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</si>
  <si>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</si>
  <si>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</si>
  <si>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</si>
  <si>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</si>
  <si>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</si>
  <si>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</si>
  <si>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</si>
  <si>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</si>
  <si>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</si>
  <si>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</si>
  <si>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</si>
  <si>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</si>
  <si>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</si>
  <si>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</si>
  <si>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</si>
  <si>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</si>
  <si>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</si>
  <si>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</si>
  <si>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</si>
  <si>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</si>
  <si>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</si>
  <si>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</si>
  <si>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</si>
  <si>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</si>
  <si>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</si>
  <si>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</si>
  <si>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</si>
  <si>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</si>
  <si>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</si>
  <si>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</si>
  <si>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</si>
  <si>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</si>
  <si>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</si>
  <si>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</si>
  <si>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</si>
  <si>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</si>
  <si>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</si>
  <si>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</si>
  <si>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</si>
  <si>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</si>
  <si>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</si>
  <si>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</si>
  <si>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</si>
  <si>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</si>
  <si>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</si>
  <si>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</si>
  <si>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</si>
  <si>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</si>
  <si>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</si>
  <si>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</si>
  <si>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</si>
  <si>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</si>
  <si>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</si>
  <si>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</si>
  <si>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</si>
  <si>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</si>
  <si>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</si>
  <si>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 xml:space="preserve">  </t>
  </si>
  <si>
    <t>Q2</t>
  </si>
  <si>
    <t>NA</t>
  </si>
  <si>
    <t>בנק הבינלאומי הראשון לישראל בע"מ</t>
  </si>
  <si>
    <t>ilAAA</t>
  </si>
  <si>
    <t>ILS</t>
  </si>
  <si>
    <t>בנק המזרחי המאוחד בע"מ</t>
  </si>
  <si>
    <t>USD</t>
  </si>
  <si>
    <t>CHF</t>
  </si>
  <si>
    <t>GBP</t>
  </si>
  <si>
    <t>JPY</t>
  </si>
  <si>
    <t>CAD</t>
  </si>
  <si>
    <t>EUR</t>
  </si>
  <si>
    <t>AUD</t>
  </si>
  <si>
    <t>מדינת ישראל</t>
  </si>
  <si>
    <t>ממשל שקלית 0142</t>
  </si>
  <si>
    <t>IL0011254005</t>
  </si>
  <si>
    <t>ממשל שקלית 0327</t>
  </si>
  <si>
    <t>IL0011393449</t>
  </si>
  <si>
    <t>ממשל שקלית 0347</t>
  </si>
  <si>
    <t>IL0011401937</t>
  </si>
  <si>
    <t>ממשל צמודה 0527</t>
  </si>
  <si>
    <t>IL0011408478</t>
  </si>
  <si>
    <t>ממשל שקלית 0928</t>
  </si>
  <si>
    <t>IL0011508798</t>
  </si>
  <si>
    <t>ממשל צמודה 0529</t>
  </si>
  <si>
    <t>IL0011570236</t>
  </si>
  <si>
    <t>ממשל שקלית 0537</t>
  </si>
  <si>
    <t>IL0011661803</t>
  </si>
  <si>
    <t>ממשל משתנה 1130</t>
  </si>
  <si>
    <t>IL0011665523</t>
  </si>
  <si>
    <t>ממשל צמודה 1131</t>
  </si>
  <si>
    <t>IL0011722209</t>
  </si>
  <si>
    <t>ממשל שקלית 0432</t>
  </si>
  <si>
    <t>IL0011806606</t>
  </si>
  <si>
    <t>ממשל שקלית 1152</t>
  </si>
  <si>
    <t>IL0011840761</t>
  </si>
  <si>
    <t>ממשל שקלית 0229</t>
  </si>
  <si>
    <t>IL0011948028</t>
  </si>
  <si>
    <t>ממשל צמודה 1028</t>
  </si>
  <si>
    <t>IL0011973265</t>
  </si>
  <si>
    <t>ממשל שקלית 0335</t>
  </si>
  <si>
    <t>IL0012023326</t>
  </si>
  <si>
    <t>ממשל שקלית 0927</t>
  </si>
  <si>
    <t>IL0012035791</t>
  </si>
  <si>
    <t>ממשל צמודה 1033</t>
  </si>
  <si>
    <t>IL0012043795</t>
  </si>
  <si>
    <t>ממשל משתנה 1134</t>
  </si>
  <si>
    <t>IL0012051459</t>
  </si>
  <si>
    <t>ממשל צמודה 0431</t>
  </si>
  <si>
    <t>IL0012207226</t>
  </si>
  <si>
    <t>ממשל שקלית 0728</t>
  </si>
  <si>
    <t>IL0012262403</t>
  </si>
  <si>
    <t>ממשל שקלית 1035</t>
  </si>
  <si>
    <t>IL0012277849</t>
  </si>
  <si>
    <t>בנק ישראל</t>
  </si>
  <si>
    <t>מ.ק.מ. 816</t>
  </si>
  <si>
    <t>IL0082608121</t>
  </si>
  <si>
    <t>מ.ק.מ. 1016</t>
  </si>
  <si>
    <t>IL0082610184</t>
  </si>
  <si>
    <t>מ.ק.מ. 117</t>
  </si>
  <si>
    <t>IL0082701181</t>
  </si>
  <si>
    <t>מ.ק.מ 217</t>
  </si>
  <si>
    <t>IL0082702171</t>
  </si>
  <si>
    <t>מ.ק.מ 317</t>
  </si>
  <si>
    <t>IL0082703161</t>
  </si>
  <si>
    <t>מ.ק.מ. 417</t>
  </si>
  <si>
    <t>IL0082704151</t>
  </si>
  <si>
    <t>מ.ק.מ. 517</t>
  </si>
  <si>
    <t>IL0082705141</t>
  </si>
  <si>
    <t>מ.ק.מ. 617</t>
  </si>
  <si>
    <t>IL0082706131</t>
  </si>
  <si>
    <t>STATE OF ISRAEL</t>
  </si>
  <si>
    <t>ISRAEL 2.375 37</t>
  </si>
  <si>
    <t>XS1551294413</t>
  </si>
  <si>
    <t>Baa1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</si>
  <si>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</si>
  <si>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</si>
  <si>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</si>
  <si>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</si>
  <si>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</si>
  <si>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</si>
  <si>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</si>
  <si>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</si>
  <si>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</si>
  <si>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ISRAEL 5.625 2/35</t>
  </si>
  <si>
    <t>US46514Y8B63</t>
  </si>
  <si>
    <t>ISRAEL 4.5 1/31</t>
  </si>
  <si>
    <t>US46515CJY12</t>
  </si>
  <si>
    <t>ISRAEL 5 1/36</t>
  </si>
  <si>
    <t>US46515CJZ86</t>
  </si>
  <si>
    <t>ISRAEL 5.8 1/56</t>
  </si>
  <si>
    <t>US46515CKR42</t>
  </si>
  <si>
    <t>אדמה פתרונות לחקלאות בע"מ</t>
  </si>
  <si>
    <t>אדמה אגח ב</t>
  </si>
  <si>
    <t>IL0011109159</t>
  </si>
  <si>
    <t>ilAA-</t>
  </si>
  <si>
    <t>אמות השקעות בע"מ</t>
  </si>
  <si>
    <t>אמות אגח ד</t>
  </si>
  <si>
    <t>IL0011331498</t>
  </si>
  <si>
    <t>ilAA</t>
  </si>
  <si>
    <t>איירפורט סיטי בע"מ</t>
  </si>
  <si>
    <t>ארפורט אגח ה</t>
  </si>
  <si>
    <t>IL0011334872</t>
  </si>
  <si>
    <t>שיכון ובינוי בע"מ</t>
  </si>
  <si>
    <t>שכון ובי אגח 8</t>
  </si>
  <si>
    <t>IL0011358889</t>
  </si>
  <si>
    <t>ilA</t>
  </si>
  <si>
    <t>קרסו מוטורס בע"מ</t>
  </si>
  <si>
    <t>קרסו מוט' אגח א</t>
  </si>
  <si>
    <t>IL0011364648</t>
  </si>
  <si>
    <t>ריט 1 בע"מ</t>
  </si>
  <si>
    <t>ריט 1 אגח ה</t>
  </si>
  <si>
    <t>IL0011367534</t>
  </si>
  <si>
    <t>ריט 1 אגח ו</t>
  </si>
  <si>
    <t>IL0011385445</t>
  </si>
  <si>
    <t>קבוצת עזריאלי בע"מ</t>
  </si>
  <si>
    <t>עזריאלי אגח ד</t>
  </si>
  <si>
    <t>IL0011386500</t>
  </si>
  <si>
    <t>Aa1.il</t>
  </si>
  <si>
    <t>סלע קפיטל נדל"ן בע"מ</t>
  </si>
  <si>
    <t>סלע נדלן אגח ג</t>
  </si>
  <si>
    <t>IL0011389736</t>
  </si>
  <si>
    <t>Aa3.il</t>
  </si>
  <si>
    <t>קבוצת אשטרום בע"מ</t>
  </si>
  <si>
    <t>אשטרום קב אגח ג</t>
  </si>
  <si>
    <t>IL0011401028</t>
  </si>
  <si>
    <t>רבוע כחול נדל"ן בע"מ</t>
  </si>
  <si>
    <t>רבוע נדלן אגח ו</t>
  </si>
  <si>
    <t>IL0011406076</t>
  </si>
  <si>
    <t>ביג מרכזי קניות בע"מ</t>
  </si>
  <si>
    <t>ביג אגח ט</t>
  </si>
  <si>
    <t>IL0011410508</t>
  </si>
  <si>
    <t>תמר פטרוליום בע"מ</t>
  </si>
  <si>
    <t>תמר פטרו אגח א</t>
  </si>
  <si>
    <t>IL0011413320</t>
  </si>
  <si>
    <t>A1.il</t>
  </si>
  <si>
    <t>קרסו מוט' אגח ג</t>
  </si>
  <si>
    <t>IL0011418295</t>
  </si>
  <si>
    <t>אפי נכסים בע"מ</t>
  </si>
  <si>
    <t>אפי נכסים אגח ח</t>
  </si>
  <si>
    <t>IL0011422313</t>
  </si>
  <si>
    <t>ilA+</t>
  </si>
  <si>
    <t>חברת נמלי ישראל-פיתוח נכסים בע</t>
  </si>
  <si>
    <t>נמלי ישראל אגחב</t>
  </si>
  <si>
    <t>IL0011455727</t>
  </si>
  <si>
    <t>נתיבי הגז הטבעי לישראל בע"מ</t>
  </si>
  <si>
    <t>נתיבי גז אגח ד</t>
  </si>
  <si>
    <t>IL0011475030</t>
  </si>
  <si>
    <t>ביג אגח יא</t>
  </si>
  <si>
    <t>IL0011511172</t>
  </si>
  <si>
    <t>מניבים קרן הריט החדשה בע"מ</t>
  </si>
  <si>
    <t>מניבים ריט אגחב</t>
  </si>
  <si>
    <t>IL0011559288</t>
  </si>
  <si>
    <t>שמוס אינטרנשיונל לימיטד</t>
  </si>
  <si>
    <t>שמוס אגח א</t>
  </si>
  <si>
    <t>IL0011559510</t>
  </si>
  <si>
    <t>חברת פרטנר תקשורת בע"מ</t>
  </si>
  <si>
    <t>פרטנר אגח ז</t>
  </si>
  <si>
    <t>IL0011563975</t>
  </si>
  <si>
    <t>עזריאלי אגח ה</t>
  </si>
  <si>
    <t>IL0011566036</t>
  </si>
  <si>
    <t>עזריאלי אגח ו</t>
  </si>
  <si>
    <t>IL0011566119</t>
  </si>
  <si>
    <t>רבוע נדלן אגח ח</t>
  </si>
  <si>
    <t>IL0011575698</t>
  </si>
  <si>
    <t>ש.י.ר שלמה נדל"ן בע"מ</t>
  </si>
  <si>
    <t>שלמה נדלן אגח ד</t>
  </si>
  <si>
    <t>IL0011576688</t>
  </si>
  <si>
    <t>A2.il</t>
  </si>
  <si>
    <t>דור אלון אנרגיה בישראל (1988)</t>
  </si>
  <si>
    <t>דור אלון אגח ז</t>
  </si>
  <si>
    <t>IL0011577009</t>
  </si>
  <si>
    <t>מקורות חברת מים בע"מ</t>
  </si>
  <si>
    <t>מקורות אגח 11</t>
  </si>
  <si>
    <t>IL0011584765</t>
  </si>
  <si>
    <t>אמות אגח ו</t>
  </si>
  <si>
    <t>IL0011586091</t>
  </si>
  <si>
    <t>נמקו ריאלטי לטד</t>
  </si>
  <si>
    <t>נמקו אגח ב</t>
  </si>
  <si>
    <t>IL0011602583</t>
  </si>
  <si>
    <t>סילברסטין נכסים לימיטד</t>
  </si>
  <si>
    <t>סילברסטין אגח ב</t>
  </si>
  <si>
    <t>IL0011605974</t>
  </si>
  <si>
    <t>ארפורט אגח ט</t>
  </si>
  <si>
    <t>IL0011609448</t>
  </si>
  <si>
    <t>ווסטדייל אמריקה לימיטד</t>
  </si>
  <si>
    <t>ווסטדייל אגח ב</t>
  </si>
  <si>
    <t>IL0011613226</t>
  </si>
  <si>
    <t>אנרג'יקס-אנרגיות מתחדשות בע"מ</t>
  </si>
  <si>
    <t>אנרג'יקס אגח א</t>
  </si>
  <si>
    <t>IL0011617516</t>
  </si>
  <si>
    <t>אמות אגח ז</t>
  </si>
  <si>
    <t>IL0011628661</t>
  </si>
  <si>
    <t>מגה אור החזקות בע"מ</t>
  </si>
  <si>
    <t>מגה אור אגח ט</t>
  </si>
  <si>
    <t>IL0011651416</t>
  </si>
  <si>
    <t>סלע נדלן אגח ד</t>
  </si>
  <si>
    <t>IL0011671471</t>
  </si>
  <si>
    <t>שכון ובי אגח 9</t>
  </si>
  <si>
    <t>IL0011673865</t>
  </si>
  <si>
    <t>אנרג'יקס אג ב</t>
  </si>
  <si>
    <t>IL0011684839</t>
  </si>
  <si>
    <t>אלון רבוע כחול ישראל בע"מ</t>
  </si>
  <si>
    <t>אלון רבוע אגח ו</t>
  </si>
  <si>
    <t>IL0011691271</t>
  </si>
  <si>
    <t>ריט 1 אגח ז</t>
  </si>
  <si>
    <t>IL0011712713</t>
  </si>
  <si>
    <t>אמות אגח ח</t>
  </si>
  <si>
    <t>IL0011727828</t>
  </si>
  <si>
    <t>קרסו מוט' אגח ד</t>
  </si>
  <si>
    <t>IL0011735664</t>
  </si>
  <si>
    <t>אפי נכסים אגחיב</t>
  </si>
  <si>
    <t>IL0011737645</t>
  </si>
  <si>
    <t>שכון ובי אגח 10</t>
  </si>
  <si>
    <t>IL0011751323</t>
  </si>
  <si>
    <t>ריט אזורים - ה.פ ליווינג בע"מ</t>
  </si>
  <si>
    <t>ריט אזורים אגחא</t>
  </si>
  <si>
    <t>IL0011757692</t>
  </si>
  <si>
    <t>ilA-</t>
  </si>
  <si>
    <t>מגוריט ישראל בע"מ</t>
  </si>
  <si>
    <t>מגוריט אגח ג</t>
  </si>
  <si>
    <t>IL0011759755</t>
  </si>
  <si>
    <t>אלביט מערכות בע"מ</t>
  </si>
  <si>
    <t>אלביט מע' אגח ב</t>
  </si>
  <si>
    <t>IL0011782351</t>
  </si>
  <si>
    <t>שפיר הנדסה ותעשיה בע"מ</t>
  </si>
  <si>
    <t>שפיר הנדס אגח ג</t>
  </si>
  <si>
    <t>IL0011784175</t>
  </si>
  <si>
    <t>עזריאלי אגח ז</t>
  </si>
  <si>
    <t>IL0011786725</t>
  </si>
  <si>
    <t>ilAA+</t>
  </si>
  <si>
    <t>עזריאלי אגח ח</t>
  </si>
  <si>
    <t>IL0011786808</t>
  </si>
  <si>
    <t>סטרוברי פילדס ריט לימיטד</t>
  </si>
  <si>
    <t>סטרוברי אגח ג</t>
  </si>
  <si>
    <t>IL0011790198</t>
  </si>
  <si>
    <t>קבוצת דוראל משאבי אנרגיה מתחדש</t>
  </si>
  <si>
    <t>דוראל אגח א</t>
  </si>
  <si>
    <t>IL0011791345</t>
  </si>
  <si>
    <t>ע.י. נופר אנרג'י בע"מ</t>
  </si>
  <si>
    <t>נופר אנרג אגח א</t>
  </si>
  <si>
    <t>IL0011793408</t>
  </si>
  <si>
    <t>A3.il</t>
  </si>
  <si>
    <t>ביג אגח יט</t>
  </si>
  <si>
    <t>IL0011810079</t>
  </si>
  <si>
    <t>מימון ישיר מקבוצת ישיר (2006)</t>
  </si>
  <si>
    <t>מימון ישיר אגחה</t>
  </si>
  <si>
    <t>IL0011828311</t>
  </si>
  <si>
    <t>פרטנר אגח ח</t>
  </si>
  <si>
    <t>IL0011829483</t>
  </si>
  <si>
    <t>אשטרום קב אגח ד</t>
  </si>
  <si>
    <t>IL0011829897</t>
  </si>
  <si>
    <t>פרשקובסקי השקעות ובניין בע"מ</t>
  </si>
  <si>
    <t>פרשקובסקי אגחיד</t>
  </si>
  <si>
    <t>IL0011836231</t>
  </si>
  <si>
    <t>סולאיר אנרגיות מתחדשות בע"מ</t>
  </si>
  <si>
    <t>סולאיר אגח א</t>
  </si>
  <si>
    <t>IL0011837304</t>
  </si>
  <si>
    <t>סאמיט אחזקות נדל"ן בע"מ</t>
  </si>
  <si>
    <t>סאמיט אגח יב</t>
  </si>
  <si>
    <t>IL0011839201</t>
  </si>
  <si>
    <t>Aa2.il</t>
  </si>
  <si>
    <t>אפי נכסים אגחיד</t>
  </si>
  <si>
    <t>IL0011845307</t>
  </si>
  <si>
    <t>אלדן תחבורה בע"מ</t>
  </si>
  <si>
    <t>אלדן תחבו אגח ז</t>
  </si>
  <si>
    <t>IL0011847790</t>
  </si>
  <si>
    <t>מגוריט אגח ד</t>
  </si>
  <si>
    <t>IL0011858342</t>
  </si>
  <si>
    <t>מניף-שירותים פיננסיים בע"מ</t>
  </si>
  <si>
    <t>מניף אגח א</t>
  </si>
  <si>
    <t>IL0011858839</t>
  </si>
  <si>
    <t>פאוורג'ן סולאר איי בע"מ</t>
  </si>
  <si>
    <t>פאוורג'ן אגח ב</t>
  </si>
  <si>
    <t>IL0011862468</t>
  </si>
  <si>
    <t>עמרם אברהם חברה לבנין בע"מ</t>
  </si>
  <si>
    <t>עמרם אברהם אגחא</t>
  </si>
  <si>
    <t>IL0011880445</t>
  </si>
  <si>
    <t>קבוצת אקרו בע"מ</t>
  </si>
  <si>
    <t>אקרו אגח א</t>
  </si>
  <si>
    <t>IL0011885725</t>
  </si>
  <si>
    <t>אלמוגים החזקות בע"מ</t>
  </si>
  <si>
    <t>אלמוגים אגח ט</t>
  </si>
  <si>
    <t>IL0011892242</t>
  </si>
  <si>
    <t>קרסו נדל"ן בע"מ</t>
  </si>
  <si>
    <t>קרסו נדלן אגח א</t>
  </si>
  <si>
    <t>IL0011900086</t>
  </si>
  <si>
    <t>לייטסטון אנטרפרייזס לימיטד</t>
  </si>
  <si>
    <t>לייטסטון אגח ג</t>
  </si>
  <si>
    <t>IL0011900995</t>
  </si>
  <si>
    <t>חג'ג' אירופה דיוולופמנט צ.ש. ב</t>
  </si>
  <si>
    <t>חגג אירופה אגחד</t>
  </si>
  <si>
    <t>IL0011901316</t>
  </si>
  <si>
    <t>משולם לוינשטין הנדסה וקבלנות ב</t>
  </si>
  <si>
    <t>לונשטן הנד אגחה</t>
  </si>
  <si>
    <t>IL0011905861</t>
  </si>
  <si>
    <t>דיסקונט מנפיקים בע"מ</t>
  </si>
  <si>
    <t>דיסקונט מנ נד ט</t>
  </si>
  <si>
    <t>IL0011912461</t>
  </si>
  <si>
    <t>בנק הפועלים בע"מ</t>
  </si>
  <si>
    <t>פועלים אגח 201</t>
  </si>
  <si>
    <t>IL0011913451</t>
  </si>
  <si>
    <t>הכשרת הישוב מקבוצת נמרודי בע"מ</t>
  </si>
  <si>
    <t>הכשרת ישוב אג25</t>
  </si>
  <si>
    <t>IL0011915274</t>
  </si>
  <si>
    <t>מימון ישיר אגחו</t>
  </si>
  <si>
    <t>IL0011916595</t>
  </si>
  <si>
    <t>מזרחי טפחות חברה להנפקות בע"מ</t>
  </si>
  <si>
    <t>מז טפ הנ אגח 66</t>
  </si>
  <si>
    <t>IL0011916678</t>
  </si>
  <si>
    <t>מז טפ הנפ הת 65</t>
  </si>
  <si>
    <t>IL0011916751</t>
  </si>
  <si>
    <t>אלבר שירותי מימונית בע"מ</t>
  </si>
  <si>
    <t>אלבר אגח יט</t>
  </si>
  <si>
    <t>IL0011918245</t>
  </si>
  <si>
    <t>אלבר אגח כ</t>
  </si>
  <si>
    <t>IL0011918328</t>
  </si>
  <si>
    <t>מגוריט אגח ה</t>
  </si>
  <si>
    <t>IL0011921298</t>
  </si>
  <si>
    <t>אלדן תחבו אגח ח</t>
  </si>
  <si>
    <t>IL0011924425</t>
  </si>
  <si>
    <t>אלדן תחבו אגח ט</t>
  </si>
  <si>
    <t>IL0011924599</t>
  </si>
  <si>
    <t>יוניברסל מוטורס ישראל בע"מ</t>
  </si>
  <si>
    <t>יוניברסל אגח ה</t>
  </si>
  <si>
    <t>IL0011926081</t>
  </si>
  <si>
    <t>יוניברסל אגח ו</t>
  </si>
  <si>
    <t>IL0011926164</t>
  </si>
  <si>
    <t>ש.שלמה החזקות בע"מ</t>
  </si>
  <si>
    <t>שלמה החז אגח יט</t>
  </si>
  <si>
    <t>IL0011927311</t>
  </si>
  <si>
    <t>גבאי מניבים ופיתוח בע"מ</t>
  </si>
  <si>
    <t>גבאי מניבאגח יד</t>
  </si>
  <si>
    <t>IL0011931768</t>
  </si>
  <si>
    <t>להב אל.אר רילאסטייט בע"מ</t>
  </si>
  <si>
    <t>להב אגח ג</t>
  </si>
  <si>
    <t>IL0011933418</t>
  </si>
  <si>
    <t>אאורה השקעות בע"מ</t>
  </si>
  <si>
    <t>אאורה אגח יז</t>
  </si>
  <si>
    <t>IL0011935801</t>
  </si>
  <si>
    <t>דליה חברות אנרגיה בע"מ</t>
  </si>
  <si>
    <t>דליה אגח ב</t>
  </si>
  <si>
    <t>IL0011935983</t>
  </si>
  <si>
    <t>חברה לנכסים ולבנין בע"מ</t>
  </si>
  <si>
    <t>נכסים ובנ אגח י</t>
  </si>
  <si>
    <t>IL0011936304</t>
  </si>
  <si>
    <t>מניבים ריט אגחד</t>
  </si>
  <si>
    <t>IL0011939290</t>
  </si>
  <si>
    <t>וילאר אינטרנשיונל בע"מ</t>
  </si>
  <si>
    <t>וילאר אגח י</t>
  </si>
  <si>
    <t>IL0011939522</t>
  </si>
  <si>
    <t>סיאון אינווסטמנט קורפוריישן</t>
  </si>
  <si>
    <t>סיאון אגח א</t>
  </si>
  <si>
    <t>IL0011940181</t>
  </si>
  <si>
    <t>מליסרון בע"מ</t>
  </si>
  <si>
    <t>מליסרון אגח כא</t>
  </si>
  <si>
    <t>IL0011946386</t>
  </si>
  <si>
    <t>הפניקס גיוסי הון (2009)בע"מ</t>
  </si>
  <si>
    <t>פניקס הון אגחיב</t>
  </si>
  <si>
    <t>IL0011955858</t>
  </si>
  <si>
    <t>ארפורט אגח י</t>
  </si>
  <si>
    <t>IL0011959819</t>
  </si>
  <si>
    <t>ארפורט אגח יא</t>
  </si>
  <si>
    <t>IL0011959991</t>
  </si>
  <si>
    <t>חברת החשמל לישראל בע"מ</t>
  </si>
  <si>
    <t>חשמל אגח 34</t>
  </si>
  <si>
    <t>IL0011967812</t>
  </si>
  <si>
    <t>חשמל אגח 35</t>
  </si>
  <si>
    <t>IL0011967994</t>
  </si>
  <si>
    <t>מז טפ הנ אגח 67</t>
  </si>
  <si>
    <t>IL0011968075</t>
  </si>
  <si>
    <t>איסתא בע"מ</t>
  </si>
  <si>
    <t>איסתא אג א</t>
  </si>
  <si>
    <t>IL0011971285</t>
  </si>
  <si>
    <t>אלון רבוע אגח ח</t>
  </si>
  <si>
    <t>IL0011972762</t>
  </si>
  <si>
    <t>כלל ביטוח גיוסי הון בע"מ</t>
  </si>
  <si>
    <t>כלל הון אגח יג</t>
  </si>
  <si>
    <t>IL0011979205</t>
  </si>
  <si>
    <t>נופר אנרג אגח ג</t>
  </si>
  <si>
    <t>IL0011980435</t>
  </si>
  <si>
    <t>שיכון ובינוי אנרגיה בע"מ</t>
  </si>
  <si>
    <t>שוב אנרגיה אגחא</t>
  </si>
  <si>
    <t>IL0011985715</t>
  </si>
  <si>
    <t>בוני התיכון הנדסה אזרחית ותשתי</t>
  </si>
  <si>
    <t>בוני תכון אגחכא</t>
  </si>
  <si>
    <t>IL0011988297</t>
  </si>
  <si>
    <t>מניף אגח ב</t>
  </si>
  <si>
    <t>IL0011988602</t>
  </si>
  <si>
    <t>פתאל נכסים(אירופה)בע"מ</t>
  </si>
  <si>
    <t>פתאל אירו אגח ה</t>
  </si>
  <si>
    <t>IL0011988867</t>
  </si>
  <si>
    <t>בית זיקוק אשדוד בע"מ</t>
  </si>
  <si>
    <t>בית זיקוק אגח 2</t>
  </si>
  <si>
    <t>IL0011994881</t>
  </si>
  <si>
    <t>Baa1.il</t>
  </si>
  <si>
    <t>רנט איט-ריט מגורים בע"מ</t>
  </si>
  <si>
    <t>רנט איט אגח א</t>
  </si>
  <si>
    <t>IL0011995466</t>
  </si>
  <si>
    <t>אשטרום קב אגח ה</t>
  </si>
  <si>
    <t>IL0011995797</t>
  </si>
  <si>
    <t>אפי נכסים אגחטו</t>
  </si>
  <si>
    <t>IL0011996035</t>
  </si>
  <si>
    <t>גפן מגורים והתחדשות בע"מ</t>
  </si>
  <si>
    <t>גפן מגורים אג א</t>
  </si>
  <si>
    <t>IL0011996860</t>
  </si>
  <si>
    <t>פועלים אגח 202</t>
  </si>
  <si>
    <t>IL0011998502</t>
  </si>
  <si>
    <t>פועלים אגח 203</t>
  </si>
  <si>
    <t>IL0011998684</t>
  </si>
  <si>
    <t>כלל החזקות עסקי ביטוח בע"מ</t>
  </si>
  <si>
    <t>כלל ביטוח אגח ג</t>
  </si>
  <si>
    <t>IL0012013913</t>
  </si>
  <si>
    <t>בנק לאומי לישראל בע"מ</t>
  </si>
  <si>
    <t>לאומי אגח 185</t>
  </si>
  <si>
    <t>IL0012018219</t>
  </si>
  <si>
    <t>לאומי אגח 186</t>
  </si>
  <si>
    <t>IL0012018391</t>
  </si>
  <si>
    <t>מז טפ הנ אגח 68</t>
  </si>
  <si>
    <t>IL0012021429</t>
  </si>
  <si>
    <t>ישפרו בע"מ</t>
  </si>
  <si>
    <t>ישפרו אגח א</t>
  </si>
  <si>
    <t>IL0012022906</t>
  </si>
  <si>
    <t>לוזון רונסון אן.וי.</t>
  </si>
  <si>
    <t>לוזון רונ אגח א</t>
  </si>
  <si>
    <t>IL0012023409</t>
  </si>
  <si>
    <t>קרסו מוט' אגח ה</t>
  </si>
  <si>
    <t>IL0012027798</t>
  </si>
  <si>
    <t>אלומיי קפיטל בע"מ</t>
  </si>
  <si>
    <t>אלומיי אגח ו</t>
  </si>
  <si>
    <t>IL0012030743</t>
  </si>
  <si>
    <t>דיסק מנ אגח טז</t>
  </si>
  <si>
    <t>IL0012031576</t>
  </si>
  <si>
    <t>או.פי.סי אנרגיה בע"מ</t>
  </si>
  <si>
    <t>או.פי.סי אגח ד</t>
  </si>
  <si>
    <t>IL0012032640</t>
  </si>
  <si>
    <t>ג'י סיטי בע"מ</t>
  </si>
  <si>
    <t>ג'י סיטי אגח יח</t>
  </si>
  <si>
    <t>IL0012038506</t>
  </si>
  <si>
    <t>קבוצת יובלים השקעות בע"מ</t>
  </si>
  <si>
    <t>יובלים אגח ד</t>
  </si>
  <si>
    <t>IL0012040239</t>
  </si>
  <si>
    <t>לייטסטון אגח ד</t>
  </si>
  <si>
    <t>IL0012042961</t>
  </si>
  <si>
    <t>נאוויטס פטרוליום, שותפות מוגבל</t>
  </si>
  <si>
    <t>נאוויטס פט אגחו</t>
  </si>
  <si>
    <t>IL0012048257</t>
  </si>
  <si>
    <t>אמות אגח ט</t>
  </si>
  <si>
    <t>IL0012049990</t>
  </si>
  <si>
    <t>אמות אגח י</t>
  </si>
  <si>
    <t>IL0012050048</t>
  </si>
  <si>
    <t>סלע נדלן אגח ה</t>
  </si>
  <si>
    <t>IL0012050873</t>
  </si>
  <si>
    <t>דוראל אגח ב</t>
  </si>
  <si>
    <t>IL0012054750</t>
  </si>
  <si>
    <t>נכסים בנ אגח יא</t>
  </si>
  <si>
    <t>IL0012055666</t>
  </si>
  <si>
    <t>הכשרת ישוב אג26</t>
  </si>
  <si>
    <t>IL0012056409</t>
  </si>
  <si>
    <t>נמקו אגח ד</t>
  </si>
  <si>
    <t>IL0012064734</t>
  </si>
  <si>
    <t>אנקור הזדמנויות לימיטד</t>
  </si>
  <si>
    <t>אנקור הזד אגח ב</t>
  </si>
  <si>
    <t>IL0012066226</t>
  </si>
  <si>
    <t>קבוצת עמוס לוזון יזמות ואנרגיה</t>
  </si>
  <si>
    <t>לוזון קב אגח יא</t>
  </si>
  <si>
    <t>IL0012069865</t>
  </si>
  <si>
    <t>אלטיטיוד השקעות לימיטד</t>
  </si>
  <si>
    <t>אלטיטיוד אגח ב</t>
  </si>
  <si>
    <t>IL0012076043</t>
  </si>
  <si>
    <t>אלקו בע"מ</t>
  </si>
  <si>
    <t>אלקו אגח יד</t>
  </si>
  <si>
    <t>IL0012077520</t>
  </si>
  <si>
    <t>חברת גב ים לקרקעות בע"מ</t>
  </si>
  <si>
    <t>גב ים אגח יא</t>
  </si>
  <si>
    <t>IL0012083395</t>
  </si>
  <si>
    <t>סאמיט אגח יג</t>
  </si>
  <si>
    <t>IL0012084955</t>
  </si>
  <si>
    <t>ווסטדייל אגח ג</t>
  </si>
  <si>
    <t>IL0012085119</t>
  </si>
  <si>
    <t>תדיראן גרופ בע"מ</t>
  </si>
  <si>
    <t>תדיראן גרו אגח4</t>
  </si>
  <si>
    <t>IL0012087842</t>
  </si>
  <si>
    <t>ג'י סיטי אגח כ</t>
  </si>
  <si>
    <t>IL0012088675</t>
  </si>
  <si>
    <t>עזריאלי אגח ט</t>
  </si>
  <si>
    <t>IL0012092537</t>
  </si>
  <si>
    <t>רם אדרת הנדסה אזרחית בע"מ</t>
  </si>
  <si>
    <t>רם אדרת אגח ב</t>
  </si>
  <si>
    <t>IL0012094368</t>
  </si>
  <si>
    <t>סופרין אחזקות בע"מ</t>
  </si>
  <si>
    <t>סופרין אגח ב</t>
  </si>
  <si>
    <t>IL0012102369</t>
  </si>
  <si>
    <t>אפי נכסים אגחטז</t>
  </si>
  <si>
    <t>IL0012109471</t>
  </si>
  <si>
    <t>מהדרין בע"מ</t>
  </si>
  <si>
    <t>מהדרין אגח א</t>
  </si>
  <si>
    <t>IL0012114570</t>
  </si>
  <si>
    <t>תשתיות אנרגיה בע"מ</t>
  </si>
  <si>
    <t>תשת אנרג אגח ב</t>
  </si>
  <si>
    <t>IL0012115155</t>
  </si>
  <si>
    <t>Aaa.il</t>
  </si>
  <si>
    <t>פורמולה מערכות (1985)בע"מ</t>
  </si>
  <si>
    <t>פורמולה אגח ד</t>
  </si>
  <si>
    <t>IL0012115569</t>
  </si>
  <si>
    <t>ארפורט אגח יב</t>
  </si>
  <si>
    <t>IL0012115643</t>
  </si>
  <si>
    <t>סילברסטין אגח ג</t>
  </si>
  <si>
    <t>IL0012116484</t>
  </si>
  <si>
    <t>אמ.די.ג'י. ריאל אסטייט גלובל ל</t>
  </si>
  <si>
    <t>אמ.די.ג'י אגח ח</t>
  </si>
  <si>
    <t>IL0012116559</t>
  </si>
  <si>
    <t>מישורים השקעות נדל"ן בע"מ</t>
  </si>
  <si>
    <t>מישורים אגח י</t>
  </si>
  <si>
    <t>IL0012125477</t>
  </si>
  <si>
    <t>ג'י סיטי אגח כא</t>
  </si>
  <si>
    <t>IL0012127523</t>
  </si>
  <si>
    <t>אלה פקדונות בע"מ</t>
  </si>
  <si>
    <t>אלה פקדון אגחיא</t>
  </si>
  <si>
    <t>IL0012134537</t>
  </si>
  <si>
    <t>ilAAAs</t>
  </si>
  <si>
    <t>גרייסטון סיניור דיבט בי.איי לי</t>
  </si>
  <si>
    <t>גרייסטון אגח א</t>
  </si>
  <si>
    <t>IL0012138348</t>
  </si>
  <si>
    <t>מז טפ הנ אגח 70</t>
  </si>
  <si>
    <t>IL0012138835</t>
  </si>
  <si>
    <t>סולאיר אגח ב</t>
  </si>
  <si>
    <t>IL0012148321</t>
  </si>
  <si>
    <t>סולאיר ב חסום</t>
  </si>
  <si>
    <t>דיסק מנ אגח יז</t>
  </si>
  <si>
    <t>IL0012159534</t>
  </si>
  <si>
    <t>לייטסטון אגח ו</t>
  </si>
  <si>
    <t>IL0012165143</t>
  </si>
  <si>
    <t>קבוצת חג'ג' ייזום נדל"ן בע"מ</t>
  </si>
  <si>
    <t>חג'ג' אגח טו</t>
  </si>
  <si>
    <t>IL0012166471</t>
  </si>
  <si>
    <t>מגדלי הים התיכון בע"מ</t>
  </si>
  <si>
    <t>מגדלי תיכוןאגחז</t>
  </si>
  <si>
    <t>IL0012176942</t>
  </si>
  <si>
    <t>פריים אנרג'י פי.אי בע"מ</t>
  </si>
  <si>
    <t>פריים אנרג אגחג</t>
  </si>
  <si>
    <t>IL0012179755</t>
  </si>
  <si>
    <t>אקסטל לימיטד</t>
  </si>
  <si>
    <t>אקסטל אגח ה</t>
  </si>
  <si>
    <t>IL0012186354</t>
  </si>
  <si>
    <t>פתאל אירו אגח ו</t>
  </si>
  <si>
    <t>IL0012192865</t>
  </si>
  <si>
    <t>דוראל אגח ג</t>
  </si>
  <si>
    <t>IL0012201930</t>
  </si>
  <si>
    <t>אפי נכסים אגחיז</t>
  </si>
  <si>
    <t>IL0012203837</t>
  </si>
  <si>
    <t>אנקור הזד אגח ג</t>
  </si>
  <si>
    <t>IL0012204827</t>
  </si>
  <si>
    <t>מבנה נדל"ן (כ.ד) בע"מ</t>
  </si>
  <si>
    <t>מבנה אגח כו</t>
  </si>
  <si>
    <t>IL0012207143</t>
  </si>
  <si>
    <t>בית בכפר בע"מ</t>
  </si>
  <si>
    <t>בית בכפר אגח א</t>
  </si>
  <si>
    <t>IL0012212747</t>
  </si>
  <si>
    <t>גב ים אגח יב</t>
  </si>
  <si>
    <t>IL0012225871</t>
  </si>
  <si>
    <t>נמקו אגח ו</t>
  </si>
  <si>
    <t>IL0012231713</t>
  </si>
  <si>
    <t>פרשקובסקי אגחטז</t>
  </si>
  <si>
    <t>IL0012234113</t>
  </si>
  <si>
    <t>פועלים אגח 102</t>
  </si>
  <si>
    <t>IL0012234527</t>
  </si>
  <si>
    <t>פועלים102 עוקב</t>
  </si>
  <si>
    <t>משק אנרגיה-אנרגיות מתחדשות בע"</t>
  </si>
  <si>
    <t>משק אנרג אגח ג</t>
  </si>
  <si>
    <t>IL0012237181</t>
  </si>
  <si>
    <t>הפניקס גמא בע"מ</t>
  </si>
  <si>
    <t>גמא אגח ד</t>
  </si>
  <si>
    <t>IL0012238411</t>
  </si>
  <si>
    <t>פריורטק בע"מ</t>
  </si>
  <si>
    <t>פריורטק אגח ב</t>
  </si>
  <si>
    <t>IL0012239658</t>
  </si>
  <si>
    <t>קופרליין אמריקאס לימיטד</t>
  </si>
  <si>
    <t>קופרליין אגח ה</t>
  </si>
  <si>
    <t>IL0012240706</t>
  </si>
  <si>
    <t>קסטלן נדל"ן (בי.וי.אי), לימיטד</t>
  </si>
  <si>
    <t>קסטלן אגח ב</t>
  </si>
  <si>
    <t>IL0012248808</t>
  </si>
  <si>
    <t>ביג אגח כג</t>
  </si>
  <si>
    <t>IL0012249558</t>
  </si>
  <si>
    <t>אנקור פרופרטיס,לימיטד</t>
  </si>
  <si>
    <t>אנקור פרופ אגחה</t>
  </si>
  <si>
    <t>IL0012268442</t>
  </si>
  <si>
    <t>ilBBB+</t>
  </si>
  <si>
    <t>פועלים אגח 204</t>
  </si>
  <si>
    <t>IL0012274531</t>
  </si>
  <si>
    <t>דיסקנט מנ נד יא</t>
  </si>
  <si>
    <t>IL0012277500</t>
  </si>
  <si>
    <t>הבינלאומי הראשון הנפקות בע"מ</t>
  </si>
  <si>
    <t>בינל הנפק אגחיג</t>
  </si>
  <si>
    <t>IL0012284696</t>
  </si>
  <si>
    <t>פיקהיל הכנסה ממשכנתאות שותפות</t>
  </si>
  <si>
    <t>פיקהיל אגח א</t>
  </si>
  <si>
    <t>IL0012285354</t>
  </si>
  <si>
    <t>לאומי אגח 187</t>
  </si>
  <si>
    <t>IL0012286592</t>
  </si>
  <si>
    <t>לאומי אגח 188</t>
  </si>
  <si>
    <t>IL0012286675</t>
  </si>
  <si>
    <t>אמטראסט אר.אי. לימיטד</t>
  </si>
  <si>
    <t>אמטראסט חסום</t>
  </si>
  <si>
    <t>IL0012291295</t>
  </si>
  <si>
    <t>אמטראסט אגח א</t>
  </si>
  <si>
    <t>חלל-תקשורת בע"מ</t>
  </si>
  <si>
    <t>חלל תקש אגח כ</t>
  </si>
  <si>
    <t>IL0012294422</t>
  </si>
  <si>
    <t>פרוספקט קפיטל קורפוריישן</t>
  </si>
  <si>
    <t>פרוספקט אגח א</t>
  </si>
  <si>
    <t>IL0012306713</t>
  </si>
  <si>
    <t>מגוריט ט חסום</t>
  </si>
  <si>
    <t>IL0012313073</t>
  </si>
  <si>
    <t>פאוורג'ן ג חסום</t>
  </si>
  <si>
    <t>IL0012313313</t>
  </si>
  <si>
    <t>אבו פמילי מגורים בע"מ</t>
  </si>
  <si>
    <t>אבו מגורים אגחא</t>
  </si>
  <si>
    <t>IL0012316878</t>
  </si>
  <si>
    <t>נאוויטס פטרוליום, שותפות מוגבלת</t>
  </si>
  <si>
    <t>נאוויטס ח חסום</t>
  </si>
  <si>
    <t>IL0012318288</t>
  </si>
  <si>
    <t>אוריון נכסים מסחריים בע"מ</t>
  </si>
  <si>
    <t>אוריון נכס אגחא</t>
  </si>
  <si>
    <t>IL0012327685</t>
  </si>
  <si>
    <t>ארפורט אגח יד</t>
  </si>
  <si>
    <t>IL0012328428</t>
  </si>
  <si>
    <t>סימד הולדינגס, לימיטד</t>
  </si>
  <si>
    <t>סימד הולד אגח א</t>
  </si>
  <si>
    <t>IL0012328758</t>
  </si>
  <si>
    <t>ישפרו אגח ד</t>
  </si>
  <si>
    <t>IL0012329749</t>
  </si>
  <si>
    <t>קבוצת גבאי-בניה,יזום,ניהול ואח</t>
  </si>
  <si>
    <t>גבאי קב אגח ב</t>
  </si>
  <si>
    <t>IL0012336348</t>
  </si>
  <si>
    <t>אמ.די.ג'י אגחיא</t>
  </si>
  <si>
    <t>IL0012343278</t>
  </si>
  <si>
    <t>דיסקנט מנ נד יט</t>
  </si>
  <si>
    <t>IL0012344268</t>
  </si>
  <si>
    <t>דיסק מנ אגח יח</t>
  </si>
  <si>
    <t>IL0012344342</t>
  </si>
  <si>
    <t>איה ניו יורק לימיטד</t>
  </si>
  <si>
    <t>איה ניורק אגח א</t>
  </si>
  <si>
    <t>IL0012362807</t>
  </si>
  <si>
    <t>פריים אנרג אגחד</t>
  </si>
  <si>
    <t>IL0012366949</t>
  </si>
  <si>
    <t>בינל הנפק אגחיד</t>
  </si>
  <si>
    <t>IL0012382375</t>
  </si>
  <si>
    <t>מגוריט אגח יב</t>
  </si>
  <si>
    <t>IL0012408600</t>
  </si>
  <si>
    <t>אפי נכסים אגחיח</t>
  </si>
  <si>
    <t>IL0012419672</t>
  </si>
  <si>
    <t>מז טפ הנ אגח 72</t>
  </si>
  <si>
    <t>IL0012430885</t>
  </si>
  <si>
    <t>מבנה אגח כז</t>
  </si>
  <si>
    <t>IL0012434010</t>
  </si>
  <si>
    <t>ג'י סיטי אגח יב</t>
  </si>
  <si>
    <t>IL0012606039</t>
  </si>
  <si>
    <t>ג'י סיטי אגח טו</t>
  </si>
  <si>
    <t>IL0012607698</t>
  </si>
  <si>
    <t>אדגר השקעות ופיתוח בע"מ</t>
  </si>
  <si>
    <t>אדגר אגח יב</t>
  </si>
  <si>
    <t>IL0018203310</t>
  </si>
  <si>
    <t>מבנה אגח כ</t>
  </si>
  <si>
    <t>IL0022604958</t>
  </si>
  <si>
    <t>מבנה אגח כג</t>
  </si>
  <si>
    <t>IL0022605450</t>
  </si>
  <si>
    <t>מבנה אגח כה</t>
  </si>
  <si>
    <t>IL0022606367</t>
  </si>
  <si>
    <t>בזק החברה הישראלית לתקשורת בע"</t>
  </si>
  <si>
    <t>בזק אגח 11</t>
  </si>
  <si>
    <t>IL0023002343</t>
  </si>
  <si>
    <t>בזק אגח 14</t>
  </si>
  <si>
    <t>IL0023003176</t>
  </si>
  <si>
    <t>מז טפ הנפק 42</t>
  </si>
  <si>
    <t>IL0023101830</t>
  </si>
  <si>
    <t>מז טפ הנפק 52</t>
  </si>
  <si>
    <t>IL0023103810</t>
  </si>
  <si>
    <t>מז טפ הנ אגח 62</t>
  </si>
  <si>
    <t>IL0023104982</t>
  </si>
  <si>
    <t>מז טפ הנ אגח 63</t>
  </si>
  <si>
    <t>IL0023105484</t>
  </si>
  <si>
    <t>מז טפ הנ אגח 64</t>
  </si>
  <si>
    <t>IL0023105559</t>
  </si>
  <si>
    <t>אשטרום נכסים בע"מ</t>
  </si>
  <si>
    <t>אשטרום נכ אגח13</t>
  </si>
  <si>
    <t>IL0025103032</t>
  </si>
  <si>
    <t>מליסרון אגח טז</t>
  </si>
  <si>
    <t>IL0032302650</t>
  </si>
  <si>
    <t>מליסרון אגח יז</t>
  </si>
  <si>
    <t>IL0032302734</t>
  </si>
  <si>
    <t>מליסרון אגח יט</t>
  </si>
  <si>
    <t>IL0032303989</t>
  </si>
  <si>
    <t>מליסרון אגח כ</t>
  </si>
  <si>
    <t>IL0032304227</t>
  </si>
  <si>
    <t>ארי נדל"ן (ארנה) השקעות בע"מ</t>
  </si>
  <si>
    <t>ארי נדלן אגח א</t>
  </si>
  <si>
    <t>IL0036601560</t>
  </si>
  <si>
    <t>אלוני-חץ נכסים והשקעות בע"מ</t>
  </si>
  <si>
    <t>אלוני חץ אגח ט</t>
  </si>
  <si>
    <t>IL0039003541</t>
  </si>
  <si>
    <t>אלוני חץ אגח יב</t>
  </si>
  <si>
    <t>IL0039004952</t>
  </si>
  <si>
    <t>ישראל קנדה (ט.ר) בע"מ</t>
  </si>
  <si>
    <t>ישראל קנדה אגחז</t>
  </si>
  <si>
    <t>IL0043402127</t>
  </si>
  <si>
    <t>מידאס השקעות בנדל"ן בע"מ</t>
  </si>
  <si>
    <t>מידאס אגח ד</t>
  </si>
  <si>
    <t>IL0054402842</t>
  </si>
  <si>
    <t>החברה לישראל בע"מ</t>
  </si>
  <si>
    <t>חברהלישראלאגח14</t>
  </si>
  <si>
    <t>IL0057603016</t>
  </si>
  <si>
    <t>הראל השקעות בביטוח ושרותים פינ</t>
  </si>
  <si>
    <t>הראל השק אגח א</t>
  </si>
  <si>
    <t>IL0058501102</t>
  </si>
  <si>
    <t>חשמל אגח 27</t>
  </si>
  <si>
    <t>IL0060002107</t>
  </si>
  <si>
    <t>חשמל אגח 31</t>
  </si>
  <si>
    <t>IL0060002859</t>
  </si>
  <si>
    <t>חשמל אגח 33</t>
  </si>
  <si>
    <t>IL0060003923</t>
  </si>
  <si>
    <t>לאומי אגח 182</t>
  </si>
  <si>
    <t>IL0060405391</t>
  </si>
  <si>
    <t>לאומי אגח 183</t>
  </si>
  <si>
    <t>IL0060405474</t>
  </si>
  <si>
    <t>לאומי אגח 184</t>
  </si>
  <si>
    <t>IL0060406043</t>
  </si>
  <si>
    <t>הכשרת ישוב אג21</t>
  </si>
  <si>
    <t>IL0061202243</t>
  </si>
  <si>
    <t>הכשרת ישוב אג22</t>
  </si>
  <si>
    <t>IL0061202409</t>
  </si>
  <si>
    <t>הכשרת ישוב אג23</t>
  </si>
  <si>
    <t>IL0061203233</t>
  </si>
  <si>
    <t>ישרס חברה להשקעות בע"מ</t>
  </si>
  <si>
    <t>ישרס אגח טז</t>
  </si>
  <si>
    <t>IL0061302233</t>
  </si>
  <si>
    <t>ישרס אגח יח</t>
  </si>
  <si>
    <t>IL0061302803</t>
  </si>
  <si>
    <t>ישרס אגח יט</t>
  </si>
  <si>
    <t>IL0061303488</t>
  </si>
  <si>
    <t>פועלים התח נד ה</t>
  </si>
  <si>
    <t>IL0066204624</t>
  </si>
  <si>
    <t>אלקו אגח יג</t>
  </si>
  <si>
    <t>IL0069402332</t>
  </si>
  <si>
    <t>אזורים-חברה להשקעות בפתוח ובבנ</t>
  </si>
  <si>
    <t>אזורים אגח 13</t>
  </si>
  <si>
    <t>IL0071504109</t>
  </si>
  <si>
    <t>אזורים אגח 14</t>
  </si>
  <si>
    <t>IL0071504448</t>
  </si>
  <si>
    <t>אנלייט אנרגיה מתחדשת בע"מ</t>
  </si>
  <si>
    <t>אנלייט אנר אגחו</t>
  </si>
  <si>
    <t>IL0072001733</t>
  </si>
  <si>
    <t>אנלייט אנר אג ג</t>
  </si>
  <si>
    <t>IL0072002491</t>
  </si>
  <si>
    <t>אנלייט אנ אגח ד</t>
  </si>
  <si>
    <t>IL0072002566</t>
  </si>
  <si>
    <t>אלקטרה בע"מ</t>
  </si>
  <si>
    <t>אלקטרה ו חסום</t>
  </si>
  <si>
    <t>IL0073902632</t>
  </si>
  <si>
    <t>דיסק מנ אגח יד</t>
  </si>
  <si>
    <t>IL0074801635</t>
  </si>
  <si>
    <t>דיסקונט מנ נד ז</t>
  </si>
  <si>
    <t>IL0074802476</t>
  </si>
  <si>
    <t>דיסק מנ אגח טו</t>
  </si>
  <si>
    <t>IL0074803045</t>
  </si>
  <si>
    <t>דיסקונט מנ נד ח</t>
  </si>
  <si>
    <t>IL0074803128</t>
  </si>
  <si>
    <t>גב ים אגח ח</t>
  </si>
  <si>
    <t>IL0075901517</t>
  </si>
  <si>
    <t>הפניקס פיננסים בע"מ</t>
  </si>
  <si>
    <t>הפניקס אגח 5</t>
  </si>
  <si>
    <t>IL0076702849</t>
  </si>
  <si>
    <t>הפניקס אגח 6</t>
  </si>
  <si>
    <t>IL0076703342</t>
  </si>
  <si>
    <t>שופרסל בע"מ</t>
  </si>
  <si>
    <t>שופרסל אגח ה</t>
  </si>
  <si>
    <t>IL0077702095</t>
  </si>
  <si>
    <t>שופרסל אגח ז</t>
  </si>
  <si>
    <t>IL0077702582</t>
  </si>
  <si>
    <t>חג'ג' אגח יא</t>
  </si>
  <si>
    <t>IL0082303285</t>
  </si>
  <si>
    <t>ISRAEL ELECTRIC CORP LTD</t>
  </si>
  <si>
    <t>213800T8ZHTFZIBYPE21</t>
  </si>
  <si>
    <t>ISRELE 4.25 14/8/28</t>
  </si>
  <si>
    <t>IL0060002446</t>
  </si>
  <si>
    <t>Baa2</t>
  </si>
  <si>
    <t>LEVIATHAN BOND LTD</t>
  </si>
  <si>
    <t>213800CYKA4XE2HZZB09</t>
  </si>
  <si>
    <t>LVIATH 6.5 6/27</t>
  </si>
  <si>
    <t>IL0011677825</t>
  </si>
  <si>
    <t>Ba3</t>
  </si>
  <si>
    <t>LVIATH 6.75 6/30</t>
  </si>
  <si>
    <t>IL0011677908</t>
  </si>
  <si>
    <t>ENERGEAN ISRAEL FINANCE</t>
  </si>
  <si>
    <t>549300RVMKU0CYUZBB05</t>
  </si>
  <si>
    <t>ENOIGA 5.875 30/3/31</t>
  </si>
  <si>
    <t>IL0011736811</t>
  </si>
  <si>
    <t>Bank Hapoalim BM</t>
  </si>
  <si>
    <t>B6ARUI4946ST4S7WOU88</t>
  </si>
  <si>
    <t>HAPOAL 3.255 1/32</t>
  </si>
  <si>
    <t>IL0066204707</t>
  </si>
  <si>
    <t>ISRELE 3.75 2/32</t>
  </si>
  <si>
    <t>IL0060004004</t>
  </si>
  <si>
    <t>Israel Discount Bank Ltd</t>
  </si>
  <si>
    <t>549300XWZ7BG5G23OF51</t>
  </si>
  <si>
    <t>IDBILI 5.375 26/1/28</t>
  </si>
  <si>
    <t>IL0011920878</t>
  </si>
  <si>
    <t>TEVA PHARM FNC NL II</t>
  </si>
  <si>
    <t>549300BAFGM4RC74ZJ94</t>
  </si>
  <si>
    <t>TEVA 7.875 9/31</t>
  </si>
  <si>
    <t>XS2592804194</t>
  </si>
  <si>
    <t>Ba1</t>
  </si>
  <si>
    <t>TEVA 7.375 15/9/29</t>
  </si>
  <si>
    <t>XS2592804434</t>
  </si>
  <si>
    <t>ENOIGA 8.5 30/9/33</t>
  </si>
  <si>
    <t>IL0011971442</t>
  </si>
  <si>
    <t>ORMAT TECHNOLOGIES INC</t>
  </si>
  <si>
    <t>5493000TSHHWY24VHM09</t>
  </si>
  <si>
    <t>ORA 2.5 07/27</t>
  </si>
  <si>
    <t>US686688AB85</t>
  </si>
  <si>
    <t>ITHACA ENERGY NORTH</t>
  </si>
  <si>
    <t>IAECN 8.125 10/29</t>
  </si>
  <si>
    <t>US46567TAC80</t>
  </si>
  <si>
    <t>B1</t>
  </si>
  <si>
    <t>ALLIANZ SE</t>
  </si>
  <si>
    <t>529900K9B0N5BT694847</t>
  </si>
  <si>
    <t>ALVGR 6.55 PERP</t>
  </si>
  <si>
    <t>USX10001AE90</t>
  </si>
  <si>
    <t>A3</t>
  </si>
  <si>
    <t>FORD MOTOR CO</t>
  </si>
  <si>
    <t>20S05OYHG0MQM4VUIC57</t>
  </si>
  <si>
    <t>F 6.184 8/31</t>
  </si>
  <si>
    <t>XS3162352630</t>
  </si>
  <si>
    <t>HAPOAL 5.252 1/33</t>
  </si>
  <si>
    <t>IL0012338161</t>
  </si>
  <si>
    <t>BBB+</t>
  </si>
  <si>
    <t>TELEFONICA EMISIONES SAU</t>
  </si>
  <si>
    <t>549300EEJH4FEPDBBR25</t>
  </si>
  <si>
    <t>TELEFO 4.881 12/49</t>
  </si>
  <si>
    <t>XS3262496378</t>
  </si>
  <si>
    <t>Ba2</t>
  </si>
  <si>
    <t>ISRELE5.633 1/38</t>
  </si>
  <si>
    <t>IL0012349887</t>
  </si>
  <si>
    <t>BANK LEUMI LE-ISRAEL</t>
  </si>
  <si>
    <t>7JDSZWRGUQY2DSTWCR57</t>
  </si>
  <si>
    <t>LUMIIT 5.73 9/36</t>
  </si>
  <si>
    <t>IL0012416785</t>
  </si>
  <si>
    <t>BBB-</t>
  </si>
  <si>
    <t>VIVION INVESTMENTS</t>
  </si>
  <si>
    <t>213800Z4VAFEDGB7L916</t>
  </si>
  <si>
    <t>VIVION 7.9 8/28</t>
  </si>
  <si>
    <t>XS2658230094</t>
  </si>
  <si>
    <t>BB+</t>
  </si>
  <si>
    <t>IAECN 5.5 10/31</t>
  </si>
  <si>
    <t>XS3186903756</t>
  </si>
  <si>
    <t>VIVION 6.5 2/29</t>
  </si>
  <si>
    <t>XS2663653140</t>
  </si>
  <si>
    <t>GOLDMAN SACHS FIN</t>
  </si>
  <si>
    <t>GS FLOAT 6/36</t>
  </si>
  <si>
    <t>XS3327853035</t>
  </si>
  <si>
    <t>Globalworth Real Estate Invest</t>
  </si>
  <si>
    <t>254900ML78194J640347</t>
  </si>
  <si>
    <t>GWILN 6.25 3/29</t>
  </si>
  <si>
    <t>XS2809858561</t>
  </si>
  <si>
    <t>South Bow USA Infrastructure Holdings LLC</t>
  </si>
  <si>
    <t>529900MUF4C20K50JS49</t>
  </si>
  <si>
    <t>SOBOCN 7.625 10/55</t>
  </si>
  <si>
    <t>US836720AG73</t>
  </si>
  <si>
    <t>מבטח שמיר אחזקות בע"מ</t>
  </si>
  <si>
    <t>מבטח שמיר</t>
  </si>
  <si>
    <t>IL0001270193</t>
  </si>
  <si>
    <t>להב</t>
  </si>
  <si>
    <t>IL0001360101</t>
  </si>
  <si>
    <t>וואן טכנולוגיות תוכנה בע"מ</t>
  </si>
  <si>
    <t>וואן טכנולוגיות</t>
  </si>
  <si>
    <t>IL0001610182</t>
  </si>
  <si>
    <t>כלל עסקי ביטוח</t>
  </si>
  <si>
    <t>IL0002240146</t>
  </si>
  <si>
    <t>מבנה</t>
  </si>
  <si>
    <t>IL0002260193</t>
  </si>
  <si>
    <t>בזק</t>
  </si>
  <si>
    <t>IL0002300114</t>
  </si>
  <si>
    <t>ישראמקו נגב 2 שותפות מוגבלת</t>
  </si>
  <si>
    <t>ישראמקו יהש</t>
  </si>
  <si>
    <t>IL0002320179</t>
  </si>
  <si>
    <t>פורמולה מערכות</t>
  </si>
  <si>
    <t>IL0002560162</t>
  </si>
  <si>
    <t>נייס בע"מ</t>
  </si>
  <si>
    <t>נייס</t>
  </si>
  <si>
    <t>IL0002730112</t>
  </si>
  <si>
    <t>איי.סי.אל גרופ בע"מ</t>
  </si>
  <si>
    <t>איי.סי.אל</t>
  </si>
  <si>
    <t>IL0002810146</t>
  </si>
  <si>
    <t>קבוצת סקופ מתכות בע"מ</t>
  </si>
  <si>
    <t>סקופ</t>
  </si>
  <si>
    <t>IL0002880198</t>
  </si>
  <si>
    <t>עשות - אשקלון תעשיות בע"מ</t>
  </si>
  <si>
    <t>עשות</t>
  </si>
  <si>
    <t>IL0003120172</t>
  </si>
  <si>
    <t>עשות חסום</t>
  </si>
  <si>
    <t>מליסרון</t>
  </si>
  <si>
    <t>IL0003230146</t>
  </si>
  <si>
    <t>פריורטק</t>
  </si>
  <si>
    <t>IL0003280133</t>
  </si>
  <si>
    <t>אאורה</t>
  </si>
  <si>
    <t>IL0003730194</t>
  </si>
  <si>
    <t>קבוצת חמת בע"מ</t>
  </si>
  <si>
    <t>חמת</t>
  </si>
  <si>
    <t>IL0003840167</t>
  </si>
  <si>
    <t>אלרוב נדל"ן ומלונאות בע"מ</t>
  </si>
  <si>
    <t>אלרוב נדלן</t>
  </si>
  <si>
    <t>IL0003870198</t>
  </si>
  <si>
    <t>רציו אנרגיות-שותפות מוגבלת</t>
  </si>
  <si>
    <t>רציו יהש</t>
  </si>
  <si>
    <t>IL0003940157</t>
  </si>
  <si>
    <t>וילאר</t>
  </si>
  <si>
    <t>IL0004160169</t>
  </si>
  <si>
    <t>מטריקס אי.טי בע"מ</t>
  </si>
  <si>
    <t>מטריקס</t>
  </si>
  <si>
    <t>IL0004450156</t>
  </si>
  <si>
    <t>לוזון קבוצה</t>
  </si>
  <si>
    <t>IL0004730177</t>
  </si>
  <si>
    <t>ניו-מד אנרג'י- שותפות מוגבלת</t>
  </si>
  <si>
    <t>ניו-מד אנרג יהש</t>
  </si>
  <si>
    <t>IL0004750209</t>
  </si>
  <si>
    <t>אס.טי.ג'י. אינטרנשיונל בע"מ</t>
  </si>
  <si>
    <t>אסטיגי</t>
  </si>
  <si>
    <t>IL0005500124</t>
  </si>
  <si>
    <t>מנורה מבטחים החזקות בע"מ</t>
  </si>
  <si>
    <t>מנורה מב החז</t>
  </si>
  <si>
    <t>IL0005660183</t>
  </si>
  <si>
    <t>לוינשטין הנדסה</t>
  </si>
  <si>
    <t>IL0005730143</t>
  </si>
  <si>
    <t>הראל השקעות</t>
  </si>
  <si>
    <t>IL0005850180</t>
  </si>
  <si>
    <t>ארית תעשיות בע"מ</t>
  </si>
  <si>
    <t>ארית תעשיות</t>
  </si>
  <si>
    <t>IL0005870147</t>
  </si>
  <si>
    <t>הבנק הבינלאומי הראשון לישראל ב</t>
  </si>
  <si>
    <t>בינלאומי</t>
  </si>
  <si>
    <t>IL0005930388</t>
  </si>
  <si>
    <t>לאומי</t>
  </si>
  <si>
    <t>IL0006046119</t>
  </si>
  <si>
    <t>טבע תעשיות פרמצבטיות בע"מ</t>
  </si>
  <si>
    <t>טבע</t>
  </si>
  <si>
    <t>IL0006290147</t>
  </si>
  <si>
    <t>פועלים</t>
  </si>
  <si>
    <t>IL0006625771</t>
  </si>
  <si>
    <t>בנק דיסקונט לישראל בע"מ</t>
  </si>
  <si>
    <t>דיסקונט א</t>
  </si>
  <si>
    <t>IL0006912120</t>
  </si>
  <si>
    <t>בנק מזרחי טפחות בע"מ</t>
  </si>
  <si>
    <t>מזרחי טפחות</t>
  </si>
  <si>
    <t>IL0006954379</t>
  </si>
  <si>
    <t>אזורים חסום</t>
  </si>
  <si>
    <t>אנלייט אנרגיה</t>
  </si>
  <si>
    <t>IL0007200111</t>
  </si>
  <si>
    <t>גב ים</t>
  </si>
  <si>
    <t>IL0007590198</t>
  </si>
  <si>
    <t>הפניקס</t>
  </si>
  <si>
    <t>IL0007670123</t>
  </si>
  <si>
    <t>שופרסל</t>
  </si>
  <si>
    <t>IL0007770378</t>
  </si>
  <si>
    <t>כהן פיתוח גז ונפט בע"מ</t>
  </si>
  <si>
    <t>כהן פיתוח</t>
  </si>
  <si>
    <t>IL0008100104</t>
  </si>
  <si>
    <t>סנו-מפעלי ברונוס בע"מ</t>
  </si>
  <si>
    <t>סנו</t>
  </si>
  <si>
    <t>IL0008130143</t>
  </si>
  <si>
    <t>דלק מערכות רכב בע"מ</t>
  </si>
  <si>
    <t>דלק רכב</t>
  </si>
  <si>
    <t>IL0008290103</t>
  </si>
  <si>
    <t>COGNYTE SOFTWARE LTD</t>
  </si>
  <si>
    <t>IL0011691438</t>
  </si>
  <si>
    <t>אנליסט אי.אמ.אס.-שרותי ניהול ה</t>
  </si>
  <si>
    <t>אנליסט</t>
  </si>
  <si>
    <t>IL0010806136</t>
  </si>
  <si>
    <t>ישרוטל בע"מ</t>
  </si>
  <si>
    <t>ישרוטל</t>
  </si>
  <si>
    <t>IL0010809858</t>
  </si>
  <si>
    <t>איסתא</t>
  </si>
  <si>
    <t>IL0010810740</t>
  </si>
  <si>
    <t>אלביט מערכות</t>
  </si>
  <si>
    <t>IL0010811243</t>
  </si>
  <si>
    <t>מגדל אחזקות ביטוח ופיננסים בע"</t>
  </si>
  <si>
    <t>מגדל ביטוח</t>
  </si>
  <si>
    <t>IL0010811656</t>
  </si>
  <si>
    <t>מנועי בית שמש אחזקות (1997) בע</t>
  </si>
  <si>
    <t>בית שמש</t>
  </si>
  <si>
    <t>IL0010815616</t>
  </si>
  <si>
    <t>טאואר סמיקונדקטור בע"מ</t>
  </si>
  <si>
    <t>טאואר</t>
  </si>
  <si>
    <t>IL0010823792</t>
  </si>
  <si>
    <t>טופ גרופ תוכנה בע"מ</t>
  </si>
  <si>
    <t>טופ גרופ</t>
  </si>
  <si>
    <t>IL0010833775</t>
  </si>
  <si>
    <t>יוניטרוניקס (1989) (ר"ג) בע"מ</t>
  </si>
  <si>
    <t>יוניטרוניקס</t>
  </si>
  <si>
    <t>IL0010838311</t>
  </si>
  <si>
    <t>נובה בע"מ</t>
  </si>
  <si>
    <t>נובה</t>
  </si>
  <si>
    <t>IL0010845571</t>
  </si>
  <si>
    <t>חילן בע"מ</t>
  </si>
  <si>
    <t>חילן</t>
  </si>
  <si>
    <t>IL0010846983</t>
  </si>
  <si>
    <t>פוקס-ויזל בע"מ</t>
  </si>
  <si>
    <t>פוקס</t>
  </si>
  <si>
    <t>IL0010870223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</si>
  <si>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</si>
  <si>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</si>
  <si>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</si>
  <si>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</si>
  <si>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</si>
  <si>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</si>
  <si>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ארד בע"מ</t>
  </si>
  <si>
    <t>ארד</t>
  </si>
  <si>
    <t>IL0010916513</t>
  </si>
  <si>
    <t>פי.סי.בי. טכנולוגיות בע"מ</t>
  </si>
  <si>
    <t>פיסיבי טכנ</t>
  </si>
  <si>
    <t>IL0010916851</t>
  </si>
  <si>
    <t>קמטק בע"מ</t>
  </si>
  <si>
    <t>קמטק</t>
  </si>
  <si>
    <t>IL0010952641</t>
  </si>
  <si>
    <t>ארפורט סיטי</t>
  </si>
  <si>
    <t>IL0010958358</t>
  </si>
  <si>
    <t>ביג</t>
  </si>
  <si>
    <t>IL0010972607</t>
  </si>
  <si>
    <t>אמות</t>
  </si>
  <si>
    <t>IL0010972789</t>
  </si>
  <si>
    <t>ריט 1</t>
  </si>
  <si>
    <t>IL0010989205</t>
  </si>
  <si>
    <t>פז קמעונאות ואנרגיה בע"מ</t>
  </si>
  <si>
    <t>פז אנרגיה</t>
  </si>
  <si>
    <t>IL0011000077</t>
  </si>
  <si>
    <t>סלקום ישראל בע"מ</t>
  </si>
  <si>
    <t>סלקום</t>
  </si>
  <si>
    <t>IL0011015349</t>
  </si>
  <si>
    <t>ב.גאון אחזקות בע"מ</t>
  </si>
  <si>
    <t>גאון אחזקות-ש</t>
  </si>
  <si>
    <t>IL0011047441</t>
  </si>
  <si>
    <t>נטו מלינדה סחר בע"מ</t>
  </si>
  <si>
    <t>נטו מלינדה</t>
  </si>
  <si>
    <t>IL0011050973</t>
  </si>
  <si>
    <t>מצלאוי חברה לבנין בע"מ</t>
  </si>
  <si>
    <t>מצלאוי</t>
  </si>
  <si>
    <t>IL0011067498</t>
  </si>
  <si>
    <t>גפן מגורים</t>
  </si>
  <si>
    <t>IL0011181166</t>
  </si>
  <si>
    <t>קרדן נדל"ן יזום ופיתוח בע"מ</t>
  </si>
  <si>
    <t>קרדן נדלן</t>
  </si>
  <si>
    <t>IL0011184475</t>
  </si>
  <si>
    <t>עזריאלי קבוצה</t>
  </si>
  <si>
    <t>IL0011194789</t>
  </si>
  <si>
    <t>ויקטורי רשת סופרמרקטים בע"מ</t>
  </si>
  <si>
    <t>ויקטורי</t>
  </si>
  <si>
    <t>IL0011237778</t>
  </si>
  <si>
    <t>קרסו מוטורס</t>
  </si>
  <si>
    <t>IL0011238503</t>
  </si>
  <si>
    <t>מגדלי תיכון</t>
  </si>
  <si>
    <t>IL0011315236</t>
  </si>
  <si>
    <t>אינרום תעשיות בנייה בע"מ</t>
  </si>
  <si>
    <t>אינרום</t>
  </si>
  <si>
    <t>IL0011323560</t>
  </si>
  <si>
    <t>שפיר הנדסה</t>
  </si>
  <si>
    <t>IL0011338758</t>
  </si>
  <si>
    <t>אורמת טכנולוגיות, אינק</t>
  </si>
  <si>
    <t>אורמת טכנו</t>
  </si>
  <si>
    <t>US6866881021</t>
  </si>
  <si>
    <t>מגוריט</t>
  </si>
  <si>
    <t>IL0011391955</t>
  </si>
  <si>
    <t>מגוריט חסום</t>
  </si>
  <si>
    <t>או פי סי אנרגיה</t>
  </si>
  <si>
    <t>IL0011415713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</si>
  <si>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</si>
  <si>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</si>
  <si>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</si>
  <si>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</si>
  <si>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</si>
  <si>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פתאל החזקות (1998) בע"מ</t>
  </si>
  <si>
    <t>פתאל החזקות</t>
  </si>
  <si>
    <t>IL0011434292</t>
  </si>
  <si>
    <t>יוניברסל מוטורס</t>
  </si>
  <si>
    <t>IL0011447732</t>
  </si>
  <si>
    <t>גלוברנדס גרופ בע"מ</t>
  </si>
  <si>
    <t>גלוברנדס</t>
  </si>
  <si>
    <t>IL0011474876</t>
  </si>
  <si>
    <t>אנרג'יאן פי אל סי</t>
  </si>
  <si>
    <t>אנרג'יאן</t>
  </si>
  <si>
    <t>GB00BG12Y042</t>
  </si>
  <si>
    <t>ג'נריישן קפיטל בע"מ</t>
  </si>
  <si>
    <t>ג'נריישן קפיטל</t>
  </si>
  <si>
    <t>IL0011569261</t>
  </si>
  <si>
    <t>הבורסה לניירות ערך בתל-אביב בע</t>
  </si>
  <si>
    <t>הבורסה לניע בתא</t>
  </si>
  <si>
    <t>IL0011590291</t>
  </si>
  <si>
    <t>ריט אזורים ליוי</t>
  </si>
  <si>
    <t>IL0011627754</t>
  </si>
  <si>
    <t>דוראל אנרגיה</t>
  </si>
  <si>
    <t>IL0011667685</t>
  </si>
  <si>
    <t>מקס סטוק בע"מ</t>
  </si>
  <si>
    <t>מקס סטוק</t>
  </si>
  <si>
    <t>IL0011685588</t>
  </si>
  <si>
    <t>נופר אנרג'י</t>
  </si>
  <si>
    <t>IL0011708778</t>
  </si>
  <si>
    <t>מניף</t>
  </si>
  <si>
    <t>IL0011708935</t>
  </si>
  <si>
    <t>סולאיר</t>
  </si>
  <si>
    <t>IL0011722878</t>
  </si>
  <si>
    <t>קבוצת ביכורי השדה בע"מ</t>
  </si>
  <si>
    <t>בכורי שדה</t>
  </si>
  <si>
    <t>IL0011726184</t>
  </si>
  <si>
    <t>דיפלומט אחזקות בע"מ</t>
  </si>
  <si>
    <t>דיפלומט אחזקות</t>
  </si>
  <si>
    <t>IL0011734915</t>
  </si>
  <si>
    <t>נאייקס בע"מ</t>
  </si>
  <si>
    <t>נאייקס</t>
  </si>
  <si>
    <t>IL0011751166</t>
  </si>
  <si>
    <t>ארגו פרופרטיז אן.וי.</t>
  </si>
  <si>
    <t>ארגו פרופרטיז</t>
  </si>
  <si>
    <t>NL0015000D84</t>
  </si>
  <si>
    <t>ריטיילורס בע"מ</t>
  </si>
  <si>
    <t>ריטיילורס</t>
  </si>
  <si>
    <t>IL0011754889</t>
  </si>
  <si>
    <t>נקסט ויז'ן מערכות מיוצבות בע"מ</t>
  </si>
  <si>
    <t>נקסט ויז'ן</t>
  </si>
  <si>
    <t>IL0011765935</t>
  </si>
  <si>
    <t>אקונרג'י בע"מ</t>
  </si>
  <si>
    <t>אקונרג'י</t>
  </si>
  <si>
    <t>IL0011783342</t>
  </si>
  <si>
    <t>רימון שירותי ייעוץ וניהול בע"מ</t>
  </si>
  <si>
    <t>רימון</t>
  </si>
  <si>
    <t>IL0011787228</t>
  </si>
  <si>
    <t>טופ גאם תעשיות בע"מ</t>
  </si>
  <si>
    <t>טופ גאם</t>
  </si>
  <si>
    <t>IL0011791428</t>
  </si>
  <si>
    <t>רב-בריח(08) תעשיות בע"מ</t>
  </si>
  <si>
    <t>רב בריח</t>
  </si>
  <si>
    <t>IL0011799934</t>
  </si>
  <si>
    <t>אפי קפיטל נדל"ן בע"מ</t>
  </si>
  <si>
    <t>אפי קפיטל</t>
  </si>
  <si>
    <t>IL0011814378</t>
  </si>
  <si>
    <t>אלומה קרן תשתיות (2020) בע"מ</t>
  </si>
  <si>
    <t>אלומה תשתיות</t>
  </si>
  <si>
    <t>IL0011816431</t>
  </si>
  <si>
    <t>בית בכפר</t>
  </si>
  <si>
    <t>IL0011836561</t>
  </si>
  <si>
    <t>אקרו</t>
  </si>
  <si>
    <t>IL0011849028</t>
  </si>
  <si>
    <t>ישראייר גרופ בע"מ</t>
  </si>
  <si>
    <t>ישראייר גרופ</t>
  </si>
  <si>
    <t>IL0011871949</t>
  </si>
  <si>
    <t>קרסו נדלן</t>
  </si>
  <si>
    <t>IL0011879629</t>
  </si>
  <si>
    <t>שוב אנרגיה</t>
  </si>
  <si>
    <t>IL0011882425</t>
  </si>
  <si>
    <t>בזא</t>
  </si>
  <si>
    <t>IL0011989105</t>
  </si>
  <si>
    <t>לוזון רונסון</t>
  </si>
  <si>
    <t>IL0012025974</t>
  </si>
  <si>
    <t>מיטב טרייד השקעות בע"מ</t>
  </si>
  <si>
    <t>מיטב טרייד</t>
  </si>
  <si>
    <t>IL0012031816</t>
  </si>
  <si>
    <t>שובל הנדסה ובניין בע"מ</t>
  </si>
  <si>
    <t>שובל</t>
  </si>
  <si>
    <t>IL0012079682</t>
  </si>
  <si>
    <t>בלדי בע"מ</t>
  </si>
  <si>
    <t>בלדי</t>
  </si>
  <si>
    <t>IL0012125394</t>
  </si>
  <si>
    <t>מגידו י.ק. בע"מ</t>
  </si>
  <si>
    <t>מגידו</t>
  </si>
  <si>
    <t>IL0012166059</t>
  </si>
  <si>
    <t>אורבניקה (פאלו) ריטייל בע"מ</t>
  </si>
  <si>
    <t>אורבניקה</t>
  </si>
  <si>
    <t>IL0012207556</t>
  </si>
  <si>
    <t>סונול נדל"ן והשקעות בע"מ</t>
  </si>
  <si>
    <t>סונול נדלן</t>
  </si>
  <si>
    <t>IL0012268772</t>
  </si>
  <si>
    <t>עמל הולדינגס א.ד בע"מ</t>
  </si>
  <si>
    <t>עמל הולדינגס</t>
  </si>
  <si>
    <t>IL0012320086</t>
  </si>
  <si>
    <t>קבוצת סוגת בע"מ</t>
  </si>
  <si>
    <t>סוגת</t>
  </si>
  <si>
    <t>IL0012330143</t>
  </si>
  <si>
    <t>סוגת חסום</t>
  </si>
  <si>
    <t>רשף טכנולוגיות בע"מ</t>
  </si>
  <si>
    <t>רשף</t>
  </si>
  <si>
    <t>IL0012335845</t>
  </si>
  <si>
    <t>קבוצת מנרב בע"מ</t>
  </si>
  <si>
    <t>מנרב</t>
  </si>
  <si>
    <t>IL0012384272</t>
  </si>
  <si>
    <t>קבוצת טי אנד אם בע"מ</t>
  </si>
  <si>
    <t>טי אנד אם</t>
  </si>
  <si>
    <t>IL0012430133</t>
  </si>
  <si>
    <t>עלמדב ריל אסטייט אינק</t>
  </si>
  <si>
    <t>עלמדב ריל</t>
  </si>
  <si>
    <t>IL0012432451</t>
  </si>
  <si>
    <t>בתי זקוק לנפט בע"מ</t>
  </si>
  <si>
    <t>בזן</t>
  </si>
  <si>
    <t>IL0025902482</t>
  </si>
  <si>
    <t>SOLAREDGE TECHNOLOGIES INC</t>
  </si>
  <si>
    <t>5493000K6Y58XXPDF853</t>
  </si>
  <si>
    <t>US83417M1045</t>
  </si>
  <si>
    <t>ODDITY TECH LTD NO TRADE</t>
  </si>
  <si>
    <t>254900QH12XZS53G0V57</t>
  </si>
  <si>
    <t>IL0011974909</t>
  </si>
  <si>
    <t>SHL TELEMEDICINE LTD</t>
  </si>
  <si>
    <t>IL0010855885</t>
  </si>
  <si>
    <t>PALO ALTO NETWORKS INC</t>
  </si>
  <si>
    <t>549300QXR2YVZV231H43</t>
  </si>
  <si>
    <t>US6974351057</t>
  </si>
  <si>
    <t>ITHACA ENERGY PLC</t>
  </si>
  <si>
    <t>GB00BPJHV584</t>
  </si>
  <si>
    <t>SHL TELEMEDICINE LTD - RTS</t>
  </si>
  <si>
    <t>EQ0000000099507916</t>
  </si>
  <si>
    <t>RTS - LTD TELEMEDICINE SHL</t>
  </si>
  <si>
    <t>CH1501961093</t>
  </si>
  <si>
    <t>CSG NV</t>
  </si>
  <si>
    <t>315700RSAZS0EH10E702</t>
  </si>
  <si>
    <t>CSV NV</t>
  </si>
  <si>
    <t>NL0015073TS8</t>
  </si>
  <si>
    <t>מיטב קרנות נאמנות בע"מ</t>
  </si>
  <si>
    <t>תכ.תא125</t>
  </si>
  <si>
    <t>IL0011437188</t>
  </si>
  <si>
    <t>תכ.תלבונד60</t>
  </si>
  <si>
    <t>IL0011451015</t>
  </si>
  <si>
    <t>קסם קרנות נאמנות בע"מ</t>
  </si>
  <si>
    <t>קסם.תלבונד 20 צ</t>
  </si>
  <si>
    <t>IL0011459604</t>
  </si>
  <si>
    <t>STOX600.קסם</t>
  </si>
  <si>
    <t>IL0011462087</t>
  </si>
  <si>
    <t>קסם.תלבונד 60 צ</t>
  </si>
  <si>
    <t>IL0011462327</t>
  </si>
  <si>
    <t>אי.בי.אי קרנות נאמנות בעמ</t>
  </si>
  <si>
    <t>IBI.תלבונד 60צד</t>
  </si>
  <si>
    <t>IL0011480063</t>
  </si>
  <si>
    <t>IBI.תא 125</t>
  </si>
  <si>
    <t>IL0011488082</t>
  </si>
  <si>
    <t>הראל קרנות נאמנות בע"מ</t>
  </si>
  <si>
    <t>SP500.הרל</t>
  </si>
  <si>
    <t>IL0011490203</t>
  </si>
  <si>
    <t>מגדל קרנות נאמנות בע"מ</t>
  </si>
  <si>
    <t>MTF.תא125</t>
  </si>
  <si>
    <t>IL0011502833</t>
  </si>
  <si>
    <t>SP500.MTF</t>
  </si>
  <si>
    <t>IL0011503336</t>
  </si>
  <si>
    <t>הרל.תלבד- 60 צמ</t>
  </si>
  <si>
    <t>IL0011504730</t>
  </si>
  <si>
    <t>קסם.תלבונד ש 50</t>
  </si>
  <si>
    <t>IL0011507626</t>
  </si>
  <si>
    <t>IBI.כשתלבונד60צ</t>
  </si>
  <si>
    <t>IL0011550766</t>
  </si>
  <si>
    <t>MTF.כשתלבונד60</t>
  </si>
  <si>
    <t>IL0011596983</t>
  </si>
  <si>
    <t>MTF.כשתלבונדשקל</t>
  </si>
  <si>
    <t>IL0011597064</t>
  </si>
  <si>
    <t>CSI300.קסם</t>
  </si>
  <si>
    <t>IL0011627838</t>
  </si>
  <si>
    <t>Invesco QQQ Trust Series 1</t>
  </si>
  <si>
    <t>ECPGFXU8A2SHKVVGJI15</t>
  </si>
  <si>
    <t>INVESCO QQQ TRUST SERIES 1</t>
  </si>
  <si>
    <t>US46090E1038</t>
  </si>
  <si>
    <t>ISHARES EXPANDED TECH-SOFTWA</t>
  </si>
  <si>
    <t>529900VBK42Y5HHRMD23</t>
  </si>
  <si>
    <t>ISHARES SEMICONDUCTOR</t>
  </si>
  <si>
    <t>US4642875235</t>
  </si>
  <si>
    <t>Ishares iBoxx $ Investment</t>
  </si>
  <si>
    <t>ISHARES IBOXX H/Y CORP BOND</t>
  </si>
  <si>
    <t>US4642885135</t>
  </si>
  <si>
    <t>SP 500 תכלית</t>
  </si>
  <si>
    <t>IL0051139983</t>
  </si>
  <si>
    <t>תכלית ת"א 125</t>
  </si>
  <si>
    <t>IL0051146574</t>
  </si>
  <si>
    <t>תכ.TTFתלבונד20</t>
  </si>
  <si>
    <t>IL0051154727</t>
  </si>
  <si>
    <t>קסם תל בונד 20</t>
  </si>
  <si>
    <t>IL0051155898</t>
  </si>
  <si>
    <t>הרל.תלבנד 20 צמ</t>
  </si>
  <si>
    <t>IL0051172703</t>
  </si>
  <si>
    <t>S&amp;P 500 מח MTF</t>
  </si>
  <si>
    <t>IL0051226277</t>
  </si>
  <si>
    <t>S&amp;P 500 קסם</t>
  </si>
  <si>
    <t>IL0051244825</t>
  </si>
  <si>
    <t>S&amp;P 500י.IBI</t>
  </si>
  <si>
    <t>IL0051274699</t>
  </si>
  <si>
    <t>NASDAQ 100י.IBI</t>
  </si>
  <si>
    <t>IL0051277668</t>
  </si>
  <si>
    <t>NASDAQ 100 הראל</t>
  </si>
  <si>
    <t>IL0051292832</t>
  </si>
  <si>
    <t>STOXX-E600י.IBI</t>
  </si>
  <si>
    <t>IL0051307523</t>
  </si>
  <si>
    <t>אלומיי אפ 2</t>
  </si>
  <si>
    <t>IL0012030826</t>
  </si>
  <si>
    <t>IL0010826357</t>
  </si>
  <si>
    <t>מיטב טרייד אפ 1</t>
  </si>
  <si>
    <t>IL0012031998</t>
  </si>
  <si>
    <t>שובל הנדסה אפ 1</t>
  </si>
  <si>
    <t>IL0012159617</t>
  </si>
  <si>
    <t>חג'ג' אפ 1</t>
  </si>
  <si>
    <t>IL0012166547</t>
  </si>
  <si>
    <t>IL0008230133</t>
  </si>
  <si>
    <t>מגידו אפ 1</t>
  </si>
  <si>
    <t>IL0012251844</t>
  </si>
  <si>
    <t>נאוויטס פט אפ 6</t>
  </si>
  <si>
    <t>IL0012288242</t>
  </si>
  <si>
    <t>מגוריט אפ 1</t>
  </si>
  <si>
    <t>IL0012361320</t>
  </si>
  <si>
    <t>עלמדב ריל אפ 1</t>
  </si>
  <si>
    <t>IL0012432527</t>
  </si>
  <si>
    <t>Chcago Board of Trade</t>
  </si>
  <si>
    <t>BBG01Z2DZQ77</t>
  </si>
  <si>
    <t>ULTRA10 YR 09/26</t>
  </si>
  <si>
    <t>UXYU6 COMDTY</t>
  </si>
  <si>
    <t>Osaka Exchange</t>
  </si>
  <si>
    <t>BBG01V7ZXTP8</t>
  </si>
  <si>
    <t>TOPIX INDX FUT 09/26</t>
  </si>
  <si>
    <t>TPU6 INDEX</t>
  </si>
  <si>
    <t>BBG01SV6FT81</t>
  </si>
  <si>
    <t>NIKKEI 225 MINI 09/26</t>
  </si>
  <si>
    <t>NOU6 INDEX</t>
  </si>
  <si>
    <t>Chicago Mercantile Exchange</t>
  </si>
  <si>
    <t>BBG01HZQ8JX9</t>
  </si>
  <si>
    <t>S&amp;P500 EMINI FUT 09/26</t>
  </si>
  <si>
    <t>ESU6 INDEX</t>
  </si>
  <si>
    <t>BBG01SWCTGH0</t>
  </si>
  <si>
    <t>FUTURE MINI NASDAQ 09/26</t>
  </si>
  <si>
    <t>NQU6 INDEX</t>
  </si>
  <si>
    <t>ICE Futures US Indiced</t>
  </si>
  <si>
    <t>BBG013V2S5T0</t>
  </si>
  <si>
    <t>MSCI EmgMkt 09/26</t>
  </si>
  <si>
    <t>MESU6 INDEX</t>
  </si>
  <si>
    <t>Eurex</t>
  </si>
  <si>
    <t>BBG01JFBR337</t>
  </si>
  <si>
    <t>STOXX600 09/26</t>
  </si>
  <si>
    <t>SXOU6 INDEX</t>
  </si>
  <si>
    <t>Chicago Board of Trade</t>
  </si>
  <si>
    <t>BBG01X9RNBP0</t>
  </si>
  <si>
    <t>FT MINI DOW 09/26</t>
  </si>
  <si>
    <t>DMU6 INDEX</t>
  </si>
  <si>
    <t>NIFTY</t>
  </si>
  <si>
    <t>BBG021YZDYN6</t>
  </si>
  <si>
    <t>NIFTY 50 IFSC</t>
  </si>
  <si>
    <t>JGSN6 INDEX</t>
  </si>
  <si>
    <t>אלה פקדון אגח ה</t>
  </si>
  <si>
    <t>IL0011625774</t>
  </si>
  <si>
    <t>נעמ שכון ובנוי3</t>
  </si>
  <si>
    <t>מקורות אגח -6רמ</t>
  </si>
  <si>
    <t>IL0011009086</t>
  </si>
  <si>
    <t>מקורות אגח -8רמ</t>
  </si>
  <si>
    <t>IL0011243461</t>
  </si>
  <si>
    <t>מת"ם - מרכז תעשיות מדע חיפה בע</t>
  </si>
  <si>
    <t>מת"ם אגח א -רמ</t>
  </si>
  <si>
    <t>IL0011389991</t>
  </si>
  <si>
    <t>רפאל מערכות לחימה מתקדמות בע"מ</t>
  </si>
  <si>
    <t>רפאל אגח ד-רמ</t>
  </si>
  <si>
    <t>IL0011402844</t>
  </si>
  <si>
    <t>אורמת אגח 4 -רמ</t>
  </si>
  <si>
    <t>IL0011672123</t>
  </si>
  <si>
    <t>רשות שדות התעופה בישראל.</t>
  </si>
  <si>
    <t>רש"ת אגח א-רמ</t>
  </si>
  <si>
    <t>IL0011873358</t>
  </si>
  <si>
    <t>רש"ת אגח ב-רמ</t>
  </si>
  <si>
    <t>IL0011873432</t>
  </si>
  <si>
    <t>איילון אגח ג-רמ</t>
  </si>
  <si>
    <t>IL0011955775</t>
  </si>
  <si>
    <t>מקס איט פיננסים בע"מ</t>
  </si>
  <si>
    <t>מקס איט הת ד-רמ</t>
  </si>
  <si>
    <t>IL0011979536</t>
  </si>
  <si>
    <t>לאומי אגח 1 ר-מ</t>
  </si>
  <si>
    <t>IL0011986390</t>
  </si>
  <si>
    <t>אגד חברה לתחבורה בע"מ</t>
  </si>
  <si>
    <t>אגד אגח -1רמ</t>
  </si>
  <si>
    <t>IL0011987877</t>
  </si>
  <si>
    <t>לאומי אגח -2רמ</t>
  </si>
  <si>
    <t>IL0012058975</t>
  </si>
  <si>
    <t>מכלול מימון נדל"ן בע"מ</t>
  </si>
  <si>
    <t>מכלול נד אגח1רמ</t>
  </si>
  <si>
    <t>IL0012071416</t>
  </si>
  <si>
    <t>גב-ים נגב בע"מ</t>
  </si>
  <si>
    <t>גב-יםנגב אגב-רמ</t>
  </si>
  <si>
    <t>IL0012084534</t>
  </si>
  <si>
    <t>פועלים אגח -1רמ</t>
  </si>
  <si>
    <t>IL0012117474</t>
  </si>
  <si>
    <t>עלמדב אינק.</t>
  </si>
  <si>
    <t>עלמדב אגח ג-רמ</t>
  </si>
  <si>
    <t>IL0012118878</t>
  </si>
  <si>
    <t>לאומי אגח -3רמ</t>
  </si>
  <si>
    <t>IL0012150293</t>
  </si>
  <si>
    <t>מכלול נד אגח2רמ</t>
  </si>
  <si>
    <t>IL0012151937</t>
  </si>
  <si>
    <t>ממון משהנ אג1רמ</t>
  </si>
  <si>
    <t>IL0012152687</t>
  </si>
  <si>
    <t>קרן שמש נכסים שותפות מוגבלת</t>
  </si>
  <si>
    <t>קרן שמש אגחא-רמ</t>
  </si>
  <si>
    <t>IL0012153008</t>
  </si>
  <si>
    <t>לאומי אגח -4רמ</t>
  </si>
  <si>
    <t>IL0012219288</t>
  </si>
  <si>
    <t>מת"ם אגח ב-רמ</t>
  </si>
  <si>
    <t>IL0012235367</t>
  </si>
  <si>
    <t>הראלבט אגח ב-רמ</t>
  </si>
  <si>
    <t>IL0012248154</t>
  </si>
  <si>
    <t>מכלול נד אגח3רמ</t>
  </si>
  <si>
    <t>IL0012253667</t>
  </si>
  <si>
    <t>ממון מש2 אג א-מ</t>
  </si>
  <si>
    <t>IL0012257882</t>
  </si>
  <si>
    <t>ממון מש2 אג ב-מ</t>
  </si>
  <si>
    <t>IL0012257965</t>
  </si>
  <si>
    <t>פועלים אגח -2רמ</t>
  </si>
  <si>
    <t>IL0012275454</t>
  </si>
  <si>
    <t>מכלול נד אגח4רמ</t>
  </si>
  <si>
    <t>IL0012319278</t>
  </si>
  <si>
    <t>ממון מש3 אג א-מ</t>
  </si>
  <si>
    <t>IL0012368010</t>
  </si>
  <si>
    <t>ממון מש3 אג ב-מ</t>
  </si>
  <si>
    <t>IL0012368192</t>
  </si>
  <si>
    <t>לאומי אגח -5רמ</t>
  </si>
  <si>
    <t>IL0012378092</t>
  </si>
  <si>
    <t>כלל תעשיות בע"מ</t>
  </si>
  <si>
    <t>כלל תעשאג יז-רמ</t>
  </si>
  <si>
    <t>IL0012433368</t>
  </si>
  <si>
    <t>ממון מש4 אג א-מ</t>
  </si>
  <si>
    <t>IL0012437815</t>
  </si>
  <si>
    <t>ilAA+s</t>
  </si>
  <si>
    <t>ממון מש4 אג ב-מ</t>
  </si>
  <si>
    <t>IL0012437997</t>
  </si>
  <si>
    <t>לידר החזקות והשקעות בע"מ</t>
  </si>
  <si>
    <t>לידר אגח ח- רמ</t>
  </si>
  <si>
    <t>IL0031803617</t>
  </si>
  <si>
    <t>קבוצת נונו ניהול ואחזקות בע?מ</t>
  </si>
  <si>
    <t>אגח להמרה נונו</t>
  </si>
  <si>
    <t>HUMANZ</t>
  </si>
  <si>
    <t>CANDID</t>
  </si>
  <si>
    <t>CANDID 2</t>
  </si>
  <si>
    <t>קרדיט 360</t>
  </si>
  <si>
    <t>קרדיט 360 ל.ס</t>
  </si>
  <si>
    <t>AGORA</t>
  </si>
  <si>
    <t>AGORA ל.ס</t>
  </si>
  <si>
    <t>HUMANZ LTD</t>
  </si>
  <si>
    <t>HUMANZ SAFE</t>
  </si>
  <si>
    <t>Sunbit Inc</t>
  </si>
  <si>
    <t>SUNBIT 3</t>
  </si>
  <si>
    <t>(KSP פי.אס.די.אס יזמות בע"מ (קבוצת</t>
  </si>
  <si>
    <t>KSP פי אס די אס</t>
  </si>
  <si>
    <t>לואן ווייז בע"מ</t>
  </si>
  <si>
    <t>לואן ווייז</t>
  </si>
  <si>
    <t>קרדיט 360 בע"מ</t>
  </si>
  <si>
    <t>CANDID 4 SAFE</t>
  </si>
  <si>
    <t>UVEYE LTD</t>
  </si>
  <si>
    <t>UVEYE - CLA</t>
  </si>
  <si>
    <t>Ener-T International Ltd.</t>
  </si>
  <si>
    <t>UVEYE (PENSIA)</t>
  </si>
  <si>
    <t>Sauce Inc</t>
  </si>
  <si>
    <t>549300JHLCR4</t>
  </si>
  <si>
    <t>SAUCE 1</t>
  </si>
  <si>
    <t>BitSight Technologies, Inc</t>
  </si>
  <si>
    <t>BITSIGHT</t>
  </si>
  <si>
    <t>Seal Cybersecurity</t>
  </si>
  <si>
    <t>SEAL CYBER</t>
  </si>
  <si>
    <t>WONDERFULL OPORTUNITY</t>
  </si>
  <si>
    <t>984500C7B6D</t>
  </si>
  <si>
    <t>MORE 7VTECH, LIMITED PARTNERSHIP</t>
  </si>
  <si>
    <t>WEKA (MTV1)</t>
  </si>
  <si>
    <t>Scintilla Holdings Ltd</t>
  </si>
  <si>
    <t>SCINTILLA</t>
  </si>
  <si>
    <t>Viola Credit GL II (UVCI)</t>
  </si>
  <si>
    <t>VIOLA CREDIT UVCI</t>
  </si>
  <si>
    <t>Rakia Capital Fund, LP</t>
  </si>
  <si>
    <t>RS TACTIC GEAR</t>
  </si>
  <si>
    <t>CERCA OPPORTUNITIES GP, LIMITED PARTNERSHIP</t>
  </si>
  <si>
    <t>CERCA גמל</t>
  </si>
  <si>
    <t>ג.ש.אחזקות אי.בי.סי בע"מ</t>
  </si>
  <si>
    <t>שותפות פייבר</t>
  </si>
  <si>
    <t>קוגיטו קפיטל 3 שותף כללי בע"מ</t>
  </si>
  <si>
    <t>קוגיטו קפיטל 3</t>
  </si>
  <si>
    <t>Green Lantern Management</t>
  </si>
  <si>
    <t>GREEN LANTERN</t>
  </si>
  <si>
    <t>I.L.P Legacy Ltd</t>
  </si>
  <si>
    <t>LEGACY FUND II</t>
  </si>
  <si>
    <t>HIA Capital Partners Ltd</t>
  </si>
  <si>
    <t>SHARK TOPCO 1</t>
  </si>
  <si>
    <t>Red Dot III General Partner L.P.</t>
  </si>
  <si>
    <t>RED DOT 3 CAPITAL</t>
  </si>
  <si>
    <t>TBD VC GP LP</t>
  </si>
  <si>
    <t>TBD VC, L.P</t>
  </si>
  <si>
    <t>4CECRA</t>
  </si>
  <si>
    <t>נבונא בע"מ</t>
  </si>
  <si>
    <t>ROM POP LP - AVATRADE</t>
  </si>
  <si>
    <t>MAPLE CAPITAL FUND</t>
  </si>
  <si>
    <t>MAPLE CAPITAL</t>
  </si>
  <si>
    <t>Secret Chord Ventures</t>
  </si>
  <si>
    <t>SECRET CHORD VENTURES</t>
  </si>
  <si>
    <t>ויולה קרדיט</t>
  </si>
  <si>
    <t>VIOLA CREDIT ALF</t>
  </si>
  <si>
    <t>אביב קפיטל פאנד שותפות ניהול, שותפות מוגבלת</t>
  </si>
  <si>
    <t>אביב קפיטל פאנד, שותפות מוגבלת</t>
  </si>
  <si>
    <t>לנד פייננס שותף כללי בע"מ</t>
  </si>
  <si>
    <t>ןילופ יארשא תופ</t>
  </si>
  <si>
    <t>Greenfield Partners GP Fund III, L.P</t>
  </si>
  <si>
    <t>Greenfield Part</t>
  </si>
  <si>
    <t>Key1 Capital GP LP</t>
  </si>
  <si>
    <t>Key1 SPV II (WI</t>
  </si>
  <si>
    <t>LCN European Fund IV GP S.a.r.l</t>
  </si>
  <si>
    <t>LCN IV</t>
  </si>
  <si>
    <t>HP Islazul Co-Invest GP S.?.r.l.,</t>
  </si>
  <si>
    <t>HENDERSON ISLAZU</t>
  </si>
  <si>
    <t>F.S. TRANSIT</t>
  </si>
  <si>
    <t>F.S. TRANSIT MUTUAL FUND -USD</t>
  </si>
  <si>
    <t>XS1234567890</t>
  </si>
  <si>
    <t>HGI Multifamily Credit Fund GP LLC</t>
  </si>
  <si>
    <t>HGI MULTIFAMILY</t>
  </si>
  <si>
    <t>HarbourVest GP LLC</t>
  </si>
  <si>
    <t>DOVER STREET XL</t>
  </si>
  <si>
    <t>Sheva Growth Investments L.P</t>
  </si>
  <si>
    <t>SHEVA GROWTH INVESTMENTS S1</t>
  </si>
  <si>
    <t>LUCID ALTERNATIVE FUND, LP</t>
  </si>
  <si>
    <t>LUCID ALTERNATIVE FUND</t>
  </si>
  <si>
    <t>Oak Street Real Estate Capital Fund VI, LP</t>
  </si>
  <si>
    <t>OAK STREET REAL ESTATE VI</t>
  </si>
  <si>
    <t>PANTHEON PGIF IV GP</t>
  </si>
  <si>
    <t>PANTHEON GLOBAL INFRASTRUCTURE</t>
  </si>
  <si>
    <t>Scintilla Tech Ltd</t>
  </si>
  <si>
    <t>MORETECH VENTURES II</t>
  </si>
  <si>
    <t>HPS GP Lux Sarl</t>
  </si>
  <si>
    <t>HPS SPECIALTY LOAN</t>
  </si>
  <si>
    <t>Henderson Park Real Estate Fund II GP S.? r.l</t>
  </si>
  <si>
    <t>HENDERSON PARK REAL</t>
  </si>
  <si>
    <t>SHEVA GROWTH 2</t>
  </si>
  <si>
    <t>Target Global Selected Opportunities LLC</t>
  </si>
  <si>
    <t>TARGET GLOBAL BOHRIUM</t>
  </si>
  <si>
    <t>HARBOURVEST GP LLC</t>
  </si>
  <si>
    <t>HV GONDOR FEEDER</t>
  </si>
  <si>
    <t>Pantheon Zilker GP LLC</t>
  </si>
  <si>
    <t>PANTHEON ZILKER</t>
  </si>
  <si>
    <t>EQT CO INVEST</t>
  </si>
  <si>
    <t>EQT VI 10.4</t>
  </si>
  <si>
    <t>Qumra Capital GP IV, L.P.</t>
  </si>
  <si>
    <t>QUMRA CAPITAL IV</t>
  </si>
  <si>
    <t>Sheva Fund GP LP</t>
  </si>
  <si>
    <t>SHEVA GROWTH SE3</t>
  </si>
  <si>
    <t>ECP V (CALIFORNIA CO-INVEST), LP</t>
  </si>
  <si>
    <t>ECP CALIFORNIA</t>
  </si>
  <si>
    <t>Greenfield Partners GP Fund III, L.P.</t>
  </si>
  <si>
    <t>GREENFIELD 1</t>
  </si>
  <si>
    <t>TARGET KRYPTON</t>
  </si>
  <si>
    <t>OEP IX General Partner, L.P.</t>
  </si>
  <si>
    <t>OEP IX BALLYMORE</t>
  </si>
  <si>
    <t>ONE EQUITY PARTNERS</t>
  </si>
  <si>
    <t>Director/PDMR Shareholding</t>
  </si>
  <si>
    <t>YS 1740 PLATFORM CO INVEST LP</t>
  </si>
  <si>
    <t>The Access Fund L.P</t>
  </si>
  <si>
    <t>ACCESS FUND-SPRING HILL</t>
  </si>
  <si>
    <t>TWHF II RIVERHURST CO-INVEST-B</t>
  </si>
  <si>
    <t>QEP Co-Invest GP, LLC</t>
  </si>
  <si>
    <t>QUANTUM - COGENTRIX</t>
  </si>
  <si>
    <t>COLLER INTERNATIONAL PARTNERS</t>
  </si>
  <si>
    <t>COLLER IX SER A</t>
  </si>
  <si>
    <t>COLLER IX SER B</t>
  </si>
  <si>
    <t>Swish GP L.P.</t>
  </si>
  <si>
    <t>SWISH VENTURES</t>
  </si>
  <si>
    <t>Trident Capital X L. P</t>
  </si>
  <si>
    <t>TRIDENT X</t>
  </si>
  <si>
    <t>Thoma Bravo Partners</t>
  </si>
  <si>
    <t>THOMA BRAVO FUND XVI-A, L.P.</t>
  </si>
  <si>
    <t>HGI Multifamily Credit Fund GP, LLC</t>
  </si>
  <si>
    <t>HGI 2</t>
  </si>
  <si>
    <t>Digital Realty</t>
  </si>
  <si>
    <t>DIGITAL REALTY</t>
  </si>
  <si>
    <t>Ares ACIP Management II, L.P</t>
  </si>
  <si>
    <t>SB CO-INVESTMENT</t>
  </si>
  <si>
    <t>TruAmerica Workforce Housing Fund II GP, LLC</t>
  </si>
  <si>
    <t>TRUAMERICA FUND II-B</t>
  </si>
  <si>
    <t>TRUAMERICA FUND II-C</t>
  </si>
  <si>
    <t>NMI Co-Invest</t>
  </si>
  <si>
    <t>New Mountain Capital Wipfli</t>
  </si>
  <si>
    <t>Lindsay Goldberg</t>
  </si>
  <si>
    <t>LINDSAY GOLDBERG</t>
  </si>
  <si>
    <t>New Mountain Strategic Investments GP II, L.L.C.</t>
  </si>
  <si>
    <t>NEW MOUNTAIN STRATEGIC EQUITY</t>
  </si>
  <si>
    <t>Vine Ventures III GP LLC</t>
  </si>
  <si>
    <t>VINE VENTURES</t>
  </si>
  <si>
    <t>SWISH OPPORTUNITY GP L.P</t>
  </si>
  <si>
    <t>SWISH OPPORTUNI</t>
  </si>
  <si>
    <t>OEP XI General Partner L.P.</t>
  </si>
  <si>
    <t>OEP IX McNichols Co-Investment</t>
  </si>
  <si>
    <t>Henderson Park North America Real Estate Fund I GP LLC</t>
  </si>
  <si>
    <t>Henderson Park North America R</t>
  </si>
  <si>
    <t>OEP VII General Partner, L.P.</t>
  </si>
  <si>
    <t>OEP VII Project IB Co-Investment Partners, L.P.</t>
  </si>
  <si>
    <t>Starlight Canadian Residential Growth Fund IV</t>
  </si>
  <si>
    <t>Starlight Canad</t>
  </si>
  <si>
    <t>PSC Credit IV GP S.a.r.l</t>
  </si>
  <si>
    <t>PSC Credit IV (</t>
  </si>
  <si>
    <t>L.P. 7 Ventures Viola</t>
  </si>
  <si>
    <t>HP Grand Reserv</t>
  </si>
  <si>
    <t>AJSC 1319 GP LLC</t>
  </si>
  <si>
    <t>TYKO MORE Inves</t>
  </si>
  <si>
    <t>OEP IX Comau Co-Investment Par</t>
  </si>
  <si>
    <t>Pinegrove Venture Partners, LLC</t>
  </si>
  <si>
    <t>SIF XII-Scale Cayman, L.P</t>
  </si>
  <si>
    <t>EQT AI Infrastructure (General Partner)</t>
  </si>
  <si>
    <t>SCSp Infrastructure AI - פנסיה</t>
  </si>
  <si>
    <t>1L-MORE ALTERNATIVE CREDIT GP LTD</t>
  </si>
  <si>
    <t>MORE 8/23</t>
  </si>
  <si>
    <t>XD1489193247</t>
  </si>
  <si>
    <t>MORE 2/23</t>
  </si>
  <si>
    <t>XD1489193254</t>
  </si>
  <si>
    <t>MORE 3/23</t>
  </si>
  <si>
    <t>XD1489193262</t>
  </si>
  <si>
    <t>MORE 10/24</t>
  </si>
  <si>
    <t>XD1489461263</t>
  </si>
  <si>
    <t>1L MORE 11</t>
  </si>
  <si>
    <t>XD1488921812</t>
  </si>
  <si>
    <t>1L MORE ALT CR FD LP (E) USD S</t>
  </si>
  <si>
    <t>XD1493478915</t>
  </si>
  <si>
    <t>CONVERTECH FUND</t>
  </si>
  <si>
    <t>CONVERTECH FUND (E) SERIES 6/2</t>
  </si>
  <si>
    <t>מצלאוי אופ ל.ס</t>
  </si>
  <si>
    <t>אזורים אופ ל.ס</t>
  </si>
  <si>
    <t>IL0007150118</t>
  </si>
  <si>
    <t>סולאיר אופ ל.ס2</t>
  </si>
  <si>
    <t>מגוריט אופ ל.ס</t>
  </si>
  <si>
    <t>רב בריח אופ ל.ס</t>
  </si>
  <si>
    <t>אקרו אופ ל.ס</t>
  </si>
  <si>
    <t>קבוצת גבאי קיקר</t>
  </si>
  <si>
    <t>IL0012246414</t>
  </si>
  <si>
    <t>איסתא אופציה לס</t>
  </si>
  <si>
    <t>גנרשן קפ אפ לס</t>
  </si>
  <si>
    <t>הכשרת ישוב אופ</t>
  </si>
  <si>
    <t>IL0006120104</t>
  </si>
  <si>
    <t>Ener-T International Ltd OPT</t>
  </si>
  <si>
    <t>IL0011150030</t>
  </si>
  <si>
    <t>USDILS</t>
  </si>
  <si>
    <t>FIRBILIT</t>
  </si>
  <si>
    <t>EURILS</t>
  </si>
  <si>
    <t>MIZBILIT</t>
  </si>
  <si>
    <t>DJP#14P</t>
  </si>
  <si>
    <t>DJP#14R</t>
  </si>
  <si>
    <t>JPMMOREM IND</t>
  </si>
  <si>
    <t>CHASUS33</t>
  </si>
  <si>
    <t>DJP#15P</t>
  </si>
  <si>
    <t>DJP#15R</t>
  </si>
  <si>
    <t>JPMOREM2 IND</t>
  </si>
  <si>
    <t>קבועה</t>
  </si>
  <si>
    <t>ilBBB</t>
  </si>
  <si>
    <t>JPM 7.95 01/34</t>
  </si>
  <si>
    <t>8I5DZWZKVSZI1NUHU748</t>
  </si>
  <si>
    <t>A</t>
  </si>
  <si>
    <t>כנפי רוח בניית ירושלים 2</t>
  </si>
  <si>
    <t>פינת הרחובות כנפי נשרים, פרבשטיין , בית הדפוס א.ת. גבעת שאול, ירושלים</t>
  </si>
  <si>
    <t>רחוב כרמל 20, גני תקווה</t>
  </si>
  <si>
    <t>כנפי רוח 2</t>
  </si>
  <si>
    <t>חוז עמלות</t>
  </si>
  <si>
    <t>חוז שונות</t>
  </si>
  <si>
    <t>ריבית עוש לקבל</t>
  </si>
  <si>
    <t>TEMP_MATACH $</t>
  </si>
  <si>
    <t>TEMP_INTEREST$</t>
  </si>
  <si>
    <t>SIXGILL נאמנות</t>
  </si>
  <si>
    <t xml:space="preserve">נכס או התחייבות בגין השלמת המדינה לתשואת היעד </t>
  </si>
  <si>
    <t>מימון ישיר נדל"ן ומשכנתאות הנפקות (סדרה 1) בע"מ</t>
  </si>
  <si>
    <t>מימון ישיר נדל"ן ומשכנתאות הנפקות (סדרה 2) בע"מ</t>
  </si>
  <si>
    <t>מימון ישיר נדל"ן ומשכנתאות הנפקות (סדרה 3) בע"מ</t>
  </si>
  <si>
    <t>מימון ישיר נדל"ן ומשכנתאות הנפקות (סדרה 4) בע"מ</t>
  </si>
  <si>
    <t>HGI Multifamily Credit Fund LP HGI Multifamily Cr</t>
  </si>
  <si>
    <t>Dover Street XI L.P Dover Street XI L.P</t>
  </si>
  <si>
    <t>Pantheon Global Infrastructure Fund IV -Luxembourg</t>
  </si>
  <si>
    <t>MORETECH VENTURES II, L.P</t>
  </si>
  <si>
    <t>HPS Specialty Loan International Fund VI-L, SCSp</t>
  </si>
  <si>
    <t>Henderson Park Real Estate Fund II</t>
  </si>
  <si>
    <t>HV Gondor Feeder L.P</t>
  </si>
  <si>
    <t>Pantheon Zilker, L.P</t>
  </si>
  <si>
    <t>EQT Infrastructure VI (General Partner) S.à r.l.</t>
  </si>
  <si>
    <t>EQT Infrastructure VI Co-Investment</t>
  </si>
  <si>
    <t>LCN European Fund IV SLP</t>
  </si>
  <si>
    <t>EQT Infrastructure VI (No.1) USD SCSp</t>
  </si>
  <si>
    <t>Qumra Capital IV</t>
  </si>
  <si>
    <t>Greenfield Partners Fund III, L.P</t>
  </si>
  <si>
    <t>TruAmerica Workforce Housing Fund II-B פנסיה</t>
  </si>
  <si>
    <t>The Access Fund</t>
  </si>
  <si>
    <t>SHARK TOPCO, LIMITED PARTNERSHIP</t>
  </si>
  <si>
    <t>TWHF II Riverhurst Co-Invest</t>
  </si>
  <si>
    <t>Quantum Capital Co-Invest Cogentrix</t>
  </si>
  <si>
    <t>Coller International General Partner IX, LP</t>
  </si>
  <si>
    <t>Coller International Partners IX series A</t>
  </si>
  <si>
    <t>Coller   IX series B</t>
  </si>
  <si>
    <t>Swish Ventures L.P</t>
  </si>
  <si>
    <t>Red Dot 3 Capital Partners (Israel), L.P.</t>
  </si>
  <si>
    <t>Cerca 4 Partners Cerca 4 Partners Cerca 4 partne</t>
  </si>
  <si>
    <t>OEP IX General Partner, L.P</t>
  </si>
  <si>
    <t>One Equity Partners IX, L.P. OEP IX,LP.</t>
  </si>
  <si>
    <t>Cerca Opportunity Cerca Opportunity Cerca Opport</t>
  </si>
  <si>
    <t>ECP GP V Co-Investment (California), LLC</t>
  </si>
  <si>
    <t>ECP V (CALIFORNIA CO-INVEST), LP ECP V (CALIFORNI</t>
  </si>
  <si>
    <t>קוגיטו קפיטל 3 שותפות מוגבלת</t>
  </si>
  <si>
    <t>R-Squared Ventures GP III, LLC</t>
  </si>
  <si>
    <t>R-Squared Ventures III, LP</t>
  </si>
  <si>
    <t>MAPLE CAPITAL FUND II GP, LIMITED PARTNERSHIP</t>
  </si>
  <si>
    <t>MAPLE CAPITAL II, LIMITED PARTN</t>
  </si>
  <si>
    <t>Digital Realty DC Partners NA GP, LP</t>
  </si>
  <si>
    <t>Digital Realty DC Partners NA F</t>
  </si>
  <si>
    <t xml:space="preserve">Starlight Bond 2 GP Ltd </t>
  </si>
  <si>
    <t>Starlight Bond FP 2 LP</t>
  </si>
  <si>
    <t>HGI Multifamily Credit Fund II, LP</t>
  </si>
  <si>
    <t>Thoma Bravo Partners XVI, L.P.</t>
  </si>
  <si>
    <t>Thoma Bravo Fund XVI-A, L.P.</t>
  </si>
  <si>
    <t>Trident X Parallel Fund L.P</t>
  </si>
  <si>
    <t>LUCID ALTERNATIVE GP LTD</t>
  </si>
  <si>
    <t>LUCID ALTERNATI</t>
  </si>
  <si>
    <t>Secret Chord Ventures II G.P., Ltd.</t>
  </si>
  <si>
    <t>Secret Chord Ventures II - Limi</t>
  </si>
  <si>
    <t>TruAmerica Workforce Housing Fund II-C</t>
  </si>
  <si>
    <t>Lindsay Goldberg GP VI LLC</t>
  </si>
  <si>
    <t>Lindsay Goldberg VI L.P.</t>
  </si>
  <si>
    <t>New Mountain Strategic Equity Fund II</t>
  </si>
  <si>
    <t>ויולה קרדיט איי.אל.אף 3 ג'י.פי ג'י.פי בע"מ</t>
  </si>
  <si>
    <t>Viola Credit ALF III , L.P.</t>
  </si>
  <si>
    <t>Green Lantern Management VI Ltd.</t>
  </si>
  <si>
    <t>Green Lantern VI Tapugan Limited Partnership</t>
  </si>
  <si>
    <t>Vine Ventures III-B, LP</t>
  </si>
  <si>
    <t>Swish Opportunity Fund L.P</t>
  </si>
  <si>
    <t>Stardom II GP, Limited Partnership</t>
  </si>
  <si>
    <t>Stardom Media Ventures II L.P</t>
  </si>
  <si>
    <t>ECP GP VI LP</t>
  </si>
  <si>
    <t>ECP VI-D, LP</t>
  </si>
  <si>
    <t>Henderson Park North America Real Estate Fund I (US) LP</t>
  </si>
  <si>
    <t>PSC Credit IV (A) SCSp</t>
  </si>
  <si>
    <t>Viola Ventures 7 L.P. (“GP”)</t>
  </si>
  <si>
    <t>Viola Ventures VII, L.P</t>
  </si>
  <si>
    <t xml:space="preserve">Idea VC GP, Limited Partnership </t>
  </si>
  <si>
    <t xml:space="preserve"> IDEA VC, L.P</t>
  </si>
  <si>
    <t>לוזון שותפות אשראי פולין</t>
  </si>
  <si>
    <t>Henderson NA - Hyatt Regency Gr</t>
  </si>
  <si>
    <t>TYKO MORE Investment Vehicle I LP</t>
  </si>
  <si>
    <t>SIF XII-Scale Cayman,Pinegrove</t>
  </si>
  <si>
    <t>LLCP LMM IV GP, L.P</t>
  </si>
  <si>
    <t xml:space="preserve">LLCP Lower Middle Market Fund IV </t>
  </si>
  <si>
    <t>KYG2524W1399</t>
  </si>
  <si>
    <t>לירון פיכמן</t>
  </si>
  <si>
    <t>Liron.Fichman@more.co.il</t>
  </si>
  <si>
    <t>הלוואה 1</t>
  </si>
  <si>
    <t>הלוואה 2</t>
  </si>
  <si>
    <t>הלוואה 3</t>
  </si>
  <si>
    <t>הלוואה 4</t>
  </si>
  <si>
    <t>הלוואה 5</t>
  </si>
  <si>
    <t>הלוואה 6</t>
  </si>
  <si>
    <t>הלוואה 7</t>
  </si>
  <si>
    <t>הלוואה 8</t>
  </si>
  <si>
    <t>הלוואה 9</t>
  </si>
  <si>
    <t>הלוואה 10</t>
  </si>
  <si>
    <t>הלוואה 11</t>
  </si>
  <si>
    <t>הלוואה 12</t>
  </si>
  <si>
    <t>הלוואה 13</t>
  </si>
  <si>
    <t>הלוואה 14</t>
  </si>
  <si>
    <t>הלוואה 15</t>
  </si>
  <si>
    <t>הלוואה 16</t>
  </si>
  <si>
    <t>הלוואה 17</t>
  </si>
  <si>
    <t>הלוואה 18</t>
  </si>
  <si>
    <t>הלוואה 19</t>
  </si>
  <si>
    <t>הלוואה 20</t>
  </si>
  <si>
    <t>הלוואה 21</t>
  </si>
  <si>
    <t>הלוואה 22</t>
  </si>
  <si>
    <t>הלוואה 23</t>
  </si>
  <si>
    <t>הלוואה 24</t>
  </si>
  <si>
    <t>הלוואה 25</t>
  </si>
  <si>
    <t>הלוואה 26</t>
  </si>
  <si>
    <t>הלוואה 27</t>
  </si>
  <si>
    <t>הלוואה 28</t>
  </si>
  <si>
    <t>הלוואה 29</t>
  </si>
  <si>
    <t>הלוואה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</si>
</sst>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-* #,##0.00_-;\-* #,##0.00_-;_-* &quot;-&quot;??_-;_-@_-"/>
    <numFmt numFmtId="165" formatCode="0.000"/>
    <numFmt numFmtId="166" formatCode="#,##0.000"/>
    <numFmt numFmtId="167" formatCode="#0.000"/>
  </numFmts>
  <fonts count="3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1"/>
      <name val="Calibri"/>
      <family val="2"/>
    </font>
    <font>
      <u/>
      <sz val="11"/>
      <color theme="10"/>
      <name val="Arial"/>
      <family val="2"/>
      <charset val="177"/>
      <scheme val="minor"/>
    </font>
    <font>
      <sz val="8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8">
    <xf numFmtId="0" fontId="0" fillId="0" borderId="0"/>
    <xf numFmtId="0" fontId="10" fillId="0" borderId="0"/>
    <xf numFmtId="0" fontId="10" fillId="0" borderId="0"/>
    <xf numFmtId="0" fontId="27" fillId="0" borderId="20" applyNumberFormat="0" applyFill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3" fillId="0" borderId="0" xfId="0" applyFont="1"/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8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4" fillId="0" borderId="0" xfId="0" applyFont="1"/>
    <xf numFmtId="0" fontId="8" fillId="3" borderId="8" xfId="0" applyFont="1" applyFill="1" applyBorder="1" applyAlignment="1">
      <alignment horizontal="center" vertical="center" wrapText="1"/>
    </xf>
    <xf numFmtId="0" fontId="13" fillId="5" borderId="0" xfId="1" applyFont="1" applyFill="1" applyAlignment="1" applyProtection="1">
      <alignment horizontal="left" vertical="center" wrapText="1" indent="1"/>
      <protection locked="0"/>
    </xf>
    <xf numFmtId="0" fontId="15" fillId="3" borderId="7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7" fillId="0" borderId="0" xfId="0" applyFont="1"/>
    <xf numFmtId="0" fontId="18" fillId="0" borderId="1" xfId="0" applyFont="1" applyBorder="1" applyAlignment="1">
      <alignment vertical="center" wrapText="1" readingOrder="2"/>
    </xf>
    <xf numFmtId="0" fontId="18" fillId="0" borderId="1" xfId="0" applyFont="1" applyBorder="1" applyAlignment="1">
      <alignment horizontal="right" vertical="center" wrapText="1" readingOrder="2"/>
    </xf>
    <xf numFmtId="2" fontId="18" fillId="0" borderId="1" xfId="0" applyNumberFormat="1" applyFont="1" applyBorder="1" applyAlignment="1">
      <alignment vertical="center" wrapText="1" readingOrder="2"/>
    </xf>
    <xf numFmtId="165" fontId="18" fillId="0" borderId="1" xfId="0" applyNumberFormat="1" applyFont="1" applyBorder="1" applyAlignment="1">
      <alignment vertical="center" wrapText="1" readingOrder="2"/>
    </xf>
    <xf numFmtId="0" fontId="19" fillId="0" borderId="1" xfId="0" applyFont="1" applyBorder="1" applyAlignment="1">
      <alignment vertical="center" wrapText="1" readingOrder="2"/>
    </xf>
    <xf numFmtId="0" fontId="7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right" vertical="center" wrapText="1"/>
    </xf>
    <xf numFmtId="0" fontId="9" fillId="0" borderId="10" xfId="0" applyFont="1" applyBorder="1"/>
    <xf numFmtId="0" fontId="9" fillId="0" borderId="10" xfId="0" applyFont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1" fillId="0" borderId="0" xfId="0" applyFont="1"/>
    <xf numFmtId="0" fontId="0" fillId="0" borderId="6" xfId="0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3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3" fillId="5" borderId="11" xfId="1" applyFont="1" applyFill="1" applyBorder="1" applyAlignment="1">
      <alignment horizontal="right" vertical="center" wrapText="1"/>
    </xf>
    <xf numFmtId="0" fontId="8" fillId="3" borderId="13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 wrapText="1" readingOrder="2"/>
    </xf>
    <xf numFmtId="0" fontId="19" fillId="0" borderId="14" xfId="0" applyFont="1" applyBorder="1"/>
    <xf numFmtId="0" fontId="19" fillId="0" borderId="15" xfId="0" applyFont="1" applyBorder="1"/>
    <xf numFmtId="0" fontId="19" fillId="0" borderId="16" xfId="0" applyFont="1" applyBorder="1" applyAlignment="1">
      <alignment horizontal="right"/>
    </xf>
    <xf numFmtId="0" fontId="22" fillId="0" borderId="1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vertical="center" wrapText="1" readingOrder="2"/>
    </xf>
    <xf numFmtId="0" fontId="3" fillId="2" borderId="4" xfId="0" applyFont="1" applyFill="1" applyBorder="1" applyAlignment="1">
      <alignment horizontal="right"/>
    </xf>
    <xf numFmtId="0" fontId="4" fillId="0" borderId="17" xfId="0" applyFont="1" applyBorder="1" applyAlignment="1">
      <alignment horizontal="right" vertical="top"/>
    </xf>
    <xf numFmtId="0" fontId="3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4" fillId="2" borderId="3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24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6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9" fillId="0" borderId="21" xfId="0" applyFont="1" applyBorder="1" applyAlignment="1">
      <alignment horizontal="center" vertical="center" wrapText="1"/>
    </xf>
    <xf numFmtId="0" fontId="27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6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13" fillId="5" borderId="11" xfId="1" applyFont="1" applyFill="1" applyBorder="1" applyAlignment="1" applyProtection="1">
      <alignment horizontal="right" vertical="center" wrapText="1"/>
      <protection locked="0"/>
    </xf>
    <xf numFmtId="0" fontId="13" fillId="5" borderId="11" xfId="1" applyFont="1" applyFill="1" applyBorder="1" applyAlignment="1" applyProtection="1">
      <alignment horizontal="left" vertical="center" wrapText="1" indent="1"/>
      <protection locked="0"/>
    </xf>
    <xf numFmtId="166" fontId="9" fillId="0" borderId="10" xfId="0" applyNumberFormat="1" applyFont="1" applyBorder="1" applyAlignment="1">
      <alignment horizontal="center" vertical="center" wrapText="1"/>
    </xf>
    <xf numFmtId="166" fontId="9" fillId="0" borderId="21" xfId="0" applyNumberFormat="1" applyFont="1" applyBorder="1" applyAlignment="1">
      <alignment horizontal="center" vertical="center" wrapText="1"/>
    </xf>
    <xf numFmtId="10" fontId="9" fillId="0" borderId="10" xfId="0" applyNumberFormat="1" applyFont="1" applyBorder="1" applyAlignment="1">
      <alignment horizontal="center" vertical="center" wrapText="1"/>
    </xf>
    <xf numFmtId="166" fontId="0" fillId="0" borderId="0" xfId="0" applyNumberFormat="1"/>
    <xf numFmtId="10" fontId="0" fillId="0" borderId="0" xfId="0" applyNumberFormat="1"/>
    <xf numFmtId="167" fontId="0" fillId="0" borderId="0" xfId="0" applyNumberFormat="1"/>
    <xf numFmtId="14" fontId="0" fillId="0" borderId="0" xfId="0" applyNumberFormat="1"/>
    <xf numFmtId="164" fontId="27" fillId="0" borderId="20" xfId="4" applyFont="1" applyBorder="1" applyAlignment="1">
      <alignment horizontal="center" vertical="center" wrapText="1"/>
    </xf>
    <xf numFmtId="17" fontId="2" fillId="0" borderId="0" xfId="0" applyNumberFormat="1" applyFont="1"/>
    <xf numFmtId="164" fontId="0" fillId="0" borderId="0" xfId="4" applyFont="1"/>
    <xf numFmtId="164" fontId="0" fillId="0" borderId="0" xfId="0" applyNumberFormat="1"/>
    <xf numFmtId="10" fontId="0" fillId="0" borderId="0" xfId="5" applyNumberFormat="1" applyFont="1"/>
    <xf numFmtId="43" fontId="0" fillId="0" borderId="0" xfId="4" applyNumberFormat="1" applyFont="1"/>
    <xf numFmtId="165" fontId="0" fillId="0" borderId="0" xfId="0" applyNumberFormat="1"/>
    <xf numFmtId="9" fontId="0" fillId="0" borderId="0" xfId="0" applyNumberFormat="1"/>
    <xf numFmtId="0" fontId="8" fillId="3" borderId="22" xfId="0" applyFont="1" applyFill="1" applyBorder="1" applyAlignment="1">
      <alignment horizontal="center" vertical="center" wrapText="1"/>
    </xf>
    <xf numFmtId="164" fontId="28" fillId="0" borderId="0" xfId="6" applyFont="1" applyBorder="1" applyAlignment="1">
      <alignment horizontal="center" vertical="center"/>
    </xf>
    <xf numFmtId="164" fontId="0" fillId="0" borderId="0" xfId="4" applyFont="1" applyFill="1" applyBorder="1"/>
    <xf numFmtId="43" fontId="0" fillId="0" borderId="0" xfId="0" applyNumberFormat="1"/>
    <xf numFmtId="164" fontId="28" fillId="0" borderId="0" xfId="6" applyFont="1" applyFill="1" applyBorder="1" applyAlignment="1">
      <alignment horizontal="center" vertical="center"/>
    </xf>
    <xf numFmtId="10" fontId="0" fillId="0" borderId="0" xfId="5" applyNumberFormat="1" applyFont="1" applyFill="1" applyBorder="1"/>
    <xf numFmtId="3" fontId="0" fillId="0" borderId="0" xfId="0" applyNumberFormat="1"/>
    <xf numFmtId="167" fontId="14" fillId="0" borderId="0" xfId="0" applyNumberFormat="1" applyFont="1"/>
    <xf numFmtId="0" fontId="29" fillId="5" borderId="11" xfId="7" applyFill="1" applyBorder="1" applyAlignment="1" applyProtection="1">
      <alignment horizontal="left" vertical="center" wrapText="1" indent="1"/>
      <protection locked="0"/>
    </xf>
  </cellXfs>
  <cellStyles count="8">
    <cellStyle name="Comma" xfId="4" builtinId="3"/>
    <cellStyle name="Comma 6" xfId="6" xr:uid="{1EA046D1-CFEA-471E-BABF-D2BA5EA87854}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היפר-קישור" xfId="7" builtinId="8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ron.Fichman@more.co.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" zeroHeight="1" x14ac:dyDescent="0.3"/>
  <cols>
    <col min="1" max="1" width="29.4140625" bestFit="1" customWidth="1"/>
    <col min="2" max="2" width="11" customWidth="1"/>
    <col min="3" max="3" width="4.58203125" customWidth="1"/>
    <col min="4" max="4" width="67.4140625" customWidth="1"/>
    <col min="5" max="16384" width="9" hidden="1"/>
  </cols>
  <sheetData>
    <row r="1" spans="1:4" ht="18" x14ac:dyDescent="0.3">
      <c r="A1" s="19" t="s">
        <v>815</v>
      </c>
      <c r="B1" s="20"/>
      <c r="C1" s="20"/>
      <c r="D1" s="20"/>
    </row>
    <row r="2" spans="1:4" x14ac:dyDescent="0.3"/>
    <row r="3" spans="1:4" ht="14.5" x14ac:dyDescent="0.3">
      <c r="A3" t="s">
        <v>494</v>
      </c>
      <c r="D3" s="119" t="s">
        <v>778</v>
      </c>
    </row>
    <row r="4" spans="1:4" x14ac:dyDescent="0.3"/>
    <row r="5" spans="1:4" ht="14.5" x14ac:dyDescent="0.3">
      <c r="A5" t="s">
        <v>584</v>
      </c>
      <c r="D5" s="119" t="s">
        <v>586</v>
      </c>
    </row>
    <row r="6" spans="1:4" x14ac:dyDescent="0.3"/>
    <row r="7" spans="1:4" ht="14.5" x14ac:dyDescent="0.3">
      <c r="A7" t="s">
        <v>574</v>
      </c>
      <c r="D7" s="119" t="s">
        <v>1254</v>
      </c>
    </row>
    <row r="8" spans="1:4" ht="14.5" x14ac:dyDescent="0.3">
      <c r="D8" s="18"/>
    </row>
    <row r="9" spans="1:4" ht="14.5" x14ac:dyDescent="0.3">
      <c r="A9" t="s">
        <v>575</v>
      </c>
      <c r="D9" s="119">
        <v>2026</v>
      </c>
    </row>
    <row r="10" spans="1:4" x14ac:dyDescent="0.3"/>
    <row r="11" spans="1:4" ht="14.5" x14ac:dyDescent="0.3">
      <c r="A11" t="s">
        <v>559</v>
      </c>
      <c r="D11" s="119" t="s">
        <v>774</v>
      </c>
    </row>
    <row r="12" spans="1:4" x14ac:dyDescent="0.3"/>
    <row r="13" spans="1:4" ht="14.5" x14ac:dyDescent="0.3">
      <c r="A13" t="s">
        <v>496</v>
      </c>
      <c r="D13" s="85">
        <f>IFERROR(VLOOKUP(D11,'File Name Info'!A35:B130,2,0),"תא מחושב")</f>
        <v>514956465</v>
      </c>
    </row>
    <row r="14" spans="1:4" x14ac:dyDescent="0.3"/>
    <row r="15" spans="1:4" ht="14.5" x14ac:dyDescent="0.3">
      <c r="A15" s="12" t="s">
        <v>362</v>
      </c>
      <c r="D15" s="8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514956465_ca_p_Q226.xlsx</v>
      </c>
    </row>
    <row r="16" spans="1:4" ht="14.5" x14ac:dyDescent="0.3">
      <c r="A16" s="12"/>
      <c r="D16" s="18"/>
    </row>
    <row r="17" spans="1:4" ht="14.5" x14ac:dyDescent="0.3">
      <c r="A17" s="12" t="s">
        <v>428</v>
      </c>
      <c r="B17" s="10" t="s">
        <v>337</v>
      </c>
      <c r="C17" s="10"/>
      <c r="D17" s="120" t="s">
        <v>2990</v>
      </c>
    </row>
    <row r="18" spans="1:4" x14ac:dyDescent="0.3">
      <c r="A18" s="8"/>
      <c r="D18" s="11"/>
    </row>
    <row r="19" spans="1:4" ht="14.5" x14ac:dyDescent="0.3">
      <c r="A19" s="8"/>
      <c r="B19" s="10" t="s">
        <v>338</v>
      </c>
      <c r="C19" s="10"/>
      <c r="D19" s="120" t="s">
        <v>1253</v>
      </c>
    </row>
    <row r="20" spans="1:4" x14ac:dyDescent="0.3">
      <c r="A20" s="8"/>
      <c r="D20" s="11"/>
    </row>
    <row r="21" spans="1:4" x14ac:dyDescent="0.3">
      <c r="A21" s="8"/>
      <c r="B21" s="10" t="s">
        <v>339</v>
      </c>
      <c r="C21" s="10"/>
      <c r="D21" s="144" t="s">
        <v>2991</v>
      </c>
    </row>
    <row r="22" spans="1:4" x14ac:dyDescent="0.3">
      <c r="A22" s="8"/>
      <c r="B22" s="9"/>
      <c r="C22" s="9"/>
    </row>
    <row r="23" spans="1:4" ht="28" x14ac:dyDescent="0.3">
      <c r="A23" s="115" t="s">
        <v>406</v>
      </c>
      <c r="D23" s="114" t="s">
        <v>495</v>
      </c>
    </row>
  </sheetData>
  <conditionalFormatting sqref="D3">
    <cfRule type="containsText" dxfId="7" priority="15" operator="containsText" text="Please fill in data">
      <formula>NOT(ISERROR(SEARCH("Please fill in data",D3)))</formula>
    </cfRule>
  </conditionalFormatting>
  <conditionalFormatting sqref="D5">
    <cfRule type="containsText" dxfId="6" priority="9" operator="containsText" text="Please fill in data">
      <formula>NOT(ISERROR(SEARCH("Please fill in data",D5)))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2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B5BCC3CD-BAEC-4A76-B7AC-2EFFFD6614F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C31" sqref="C31"/>
    </sheetView>
  </sheetViews>
  <sheetFormatPr defaultColWidth="0" defaultRowHeight="12.5" zeroHeight="1" x14ac:dyDescent="0.25"/>
  <cols>
    <col min="1" max="1" width="42.75" style="5" customWidth="1"/>
    <col min="2" max="4" width="13" style="6" customWidth="1"/>
    <col min="5" max="5" width="14" style="6" customWidth="1"/>
    <col min="6" max="16384" width="2.4140625" style="5" hidden="1"/>
  </cols>
  <sheetData>
    <row r="1" spans="1:5" ht="18.75" customHeight="1" x14ac:dyDescent="0.25">
      <c r="A1" s="29"/>
      <c r="B1" s="30"/>
      <c r="C1" s="87" t="s">
        <v>880</v>
      </c>
      <c r="D1" s="86"/>
      <c r="E1" s="30"/>
    </row>
    <row r="2" spans="1:5" ht="26" x14ac:dyDescent="0.25">
      <c r="A2" s="30" t="s">
        <v>1220</v>
      </c>
      <c r="B2" s="30" t="s">
        <v>1105</v>
      </c>
      <c r="C2" s="30" t="s">
        <v>1106</v>
      </c>
      <c r="D2" s="30" t="s">
        <v>25</v>
      </c>
      <c r="E2" s="30" t="s">
        <v>877</v>
      </c>
    </row>
    <row r="3" spans="1:5" x14ac:dyDescent="0.25">
      <c r="A3" s="32" t="s">
        <v>30</v>
      </c>
      <c r="B3" s="121">
        <v>1211658.89876</v>
      </c>
      <c r="C3" s="33"/>
      <c r="D3" s="33" t="s">
        <v>16</v>
      </c>
      <c r="E3" s="123">
        <v>0.21814623284092369</v>
      </c>
    </row>
    <row r="4" spans="1:5" x14ac:dyDescent="0.25">
      <c r="A4" s="32" t="s">
        <v>39</v>
      </c>
      <c r="B4" s="121">
        <v>1319085.0069299999</v>
      </c>
      <c r="C4" s="33"/>
      <c r="D4" s="33" t="s">
        <v>16</v>
      </c>
      <c r="E4" s="123">
        <v>0.23748715529858053</v>
      </c>
    </row>
    <row r="5" spans="1:5" x14ac:dyDescent="0.25">
      <c r="A5" s="32" t="s">
        <v>31</v>
      </c>
      <c r="B5" s="121">
        <v>0</v>
      </c>
      <c r="C5" s="33"/>
      <c r="D5" s="33"/>
      <c r="E5" s="123">
        <v>0</v>
      </c>
    </row>
    <row r="6" spans="1:5" x14ac:dyDescent="0.25">
      <c r="A6" s="32" t="s">
        <v>32</v>
      </c>
      <c r="B6" s="121">
        <v>670120.20004000003</v>
      </c>
      <c r="C6" s="33"/>
      <c r="D6" s="33" t="s">
        <v>16</v>
      </c>
      <c r="E6" s="123">
        <v>0.12064797884861464</v>
      </c>
    </row>
    <row r="7" spans="1:5" x14ac:dyDescent="0.25">
      <c r="A7" s="32" t="s">
        <v>1162</v>
      </c>
      <c r="B7" s="121">
        <v>1053135.61888</v>
      </c>
      <c r="C7" s="33"/>
      <c r="D7" s="33" t="s">
        <v>1255</v>
      </c>
      <c r="E7" s="123">
        <v>0.18960581081389979</v>
      </c>
    </row>
    <row r="8" spans="1:5" x14ac:dyDescent="0.25">
      <c r="A8" s="32" t="s">
        <v>33</v>
      </c>
      <c r="B8" s="121">
        <v>434231.38724000001</v>
      </c>
      <c r="C8" s="33"/>
      <c r="D8" s="33" t="s">
        <v>1255</v>
      </c>
      <c r="E8" s="123">
        <v>7.817871960882386E-2</v>
      </c>
    </row>
    <row r="9" spans="1:5" x14ac:dyDescent="0.25">
      <c r="A9" s="32" t="s">
        <v>34</v>
      </c>
      <c r="B9" s="121">
        <v>673326.51136999996</v>
      </c>
      <c r="C9" s="33"/>
      <c r="D9" s="33" t="s">
        <v>16</v>
      </c>
      <c r="E9" s="123">
        <v>0.12122524093010513</v>
      </c>
    </row>
    <row r="10" spans="1:5" x14ac:dyDescent="0.25">
      <c r="A10" s="32" t="s">
        <v>35</v>
      </c>
      <c r="B10" s="121">
        <v>4648.3922400000001</v>
      </c>
      <c r="C10" s="33"/>
      <c r="D10" s="33" t="s">
        <v>16</v>
      </c>
      <c r="E10" s="123">
        <v>8.3689333438703793E-4</v>
      </c>
    </row>
    <row r="11" spans="1:5" x14ac:dyDescent="0.25">
      <c r="A11" s="32" t="s">
        <v>36</v>
      </c>
      <c r="B11" s="121">
        <v>0</v>
      </c>
      <c r="C11" s="33"/>
      <c r="D11" s="33"/>
      <c r="E11" s="123">
        <v>0</v>
      </c>
    </row>
    <row r="12" spans="1:5" x14ac:dyDescent="0.25">
      <c r="A12" s="32" t="s">
        <v>37</v>
      </c>
      <c r="B12" s="121">
        <v>16087.608980000001</v>
      </c>
      <c r="C12" s="33"/>
      <c r="D12" s="33" t="s">
        <v>16</v>
      </c>
      <c r="E12" s="123">
        <v>2.8964020303043647E-3</v>
      </c>
    </row>
    <row r="13" spans="1:5" x14ac:dyDescent="0.25">
      <c r="A13" s="32" t="s">
        <v>38</v>
      </c>
      <c r="B13" s="121">
        <v>6.3280399999999997</v>
      </c>
      <c r="C13" s="33"/>
      <c r="D13" s="33" t="s">
        <v>16</v>
      </c>
      <c r="E13" s="123">
        <v>1.1392959591840621E-6</v>
      </c>
    </row>
    <row r="14" spans="1:5" x14ac:dyDescent="0.25">
      <c r="A14" s="32" t="s">
        <v>40</v>
      </c>
      <c r="B14" s="121">
        <v>0</v>
      </c>
      <c r="C14" s="33"/>
      <c r="D14" s="33"/>
      <c r="E14" s="123">
        <v>0</v>
      </c>
    </row>
    <row r="15" spans="1:5" x14ac:dyDescent="0.25">
      <c r="A15" s="32" t="s">
        <v>41</v>
      </c>
      <c r="B15" s="121">
        <v>0</v>
      </c>
      <c r="C15" s="33"/>
      <c r="D15" s="33"/>
      <c r="E15" s="123">
        <v>0</v>
      </c>
    </row>
    <row r="16" spans="1:5" x14ac:dyDescent="0.25">
      <c r="A16" s="32" t="s">
        <v>652</v>
      </c>
      <c r="B16" s="121">
        <v>-654958.99800000002</v>
      </c>
      <c r="C16" s="33"/>
      <c r="D16" s="33"/>
      <c r="E16" s="123">
        <v>-0.11791836648514267</v>
      </c>
    </row>
    <row r="17" spans="1:5" x14ac:dyDescent="0.25">
      <c r="A17" s="32" t="s">
        <v>42</v>
      </c>
      <c r="B17" s="121">
        <v>4778.8680000000004</v>
      </c>
      <c r="C17" s="33"/>
      <c r="D17" s="33" t="s">
        <v>16</v>
      </c>
      <c r="E17" s="123">
        <v>8.6038410027022914E-4</v>
      </c>
    </row>
    <row r="18" spans="1:5" x14ac:dyDescent="0.25">
      <c r="A18" s="32" t="s">
        <v>43</v>
      </c>
      <c r="B18" s="121">
        <v>123882.53452</v>
      </c>
      <c r="C18" s="33"/>
      <c r="D18" s="33" t="s">
        <v>16</v>
      </c>
      <c r="E18" s="123">
        <v>2.2303726113001195E-2</v>
      </c>
    </row>
    <row r="19" spans="1:5" x14ac:dyDescent="0.25">
      <c r="A19" s="32" t="s">
        <v>1163</v>
      </c>
      <c r="B19" s="121">
        <v>68647.390790000005</v>
      </c>
      <c r="C19" s="33"/>
      <c r="D19" s="33" t="s">
        <v>16</v>
      </c>
      <c r="E19" s="123">
        <v>1.2359228913783132E-2</v>
      </c>
    </row>
    <row r="20" spans="1:5" x14ac:dyDescent="0.25">
      <c r="A20" s="32" t="s">
        <v>44</v>
      </c>
      <c r="B20" s="121">
        <v>295131.11164000002</v>
      </c>
      <c r="C20" s="33"/>
      <c r="D20" s="33" t="s">
        <v>16</v>
      </c>
      <c r="E20" s="123">
        <v>5.3135201882565902E-2</v>
      </c>
    </row>
    <row r="21" spans="1:5" x14ac:dyDescent="0.25">
      <c r="A21" s="32" t="s">
        <v>45</v>
      </c>
      <c r="B21" s="121">
        <v>8975.9961399999993</v>
      </c>
      <c r="C21" s="33"/>
      <c r="D21" s="33" t="s">
        <v>16</v>
      </c>
      <c r="E21" s="123">
        <v>1.6160321571851218E-3</v>
      </c>
    </row>
    <row r="22" spans="1:5" x14ac:dyDescent="0.25">
      <c r="A22" s="32" t="s">
        <v>46</v>
      </c>
      <c r="B22" s="121">
        <v>0</v>
      </c>
      <c r="C22" s="33"/>
      <c r="D22" s="33"/>
      <c r="E22" s="123">
        <v>0</v>
      </c>
    </row>
    <row r="23" spans="1:5" x14ac:dyDescent="0.25">
      <c r="A23" s="32" t="s">
        <v>449</v>
      </c>
      <c r="B23" s="121">
        <v>9356.8166799999999</v>
      </c>
      <c r="C23" s="33"/>
      <c r="D23" s="33" t="s">
        <v>1255</v>
      </c>
      <c r="E23" s="123">
        <v>1.6845948246771562E-3</v>
      </c>
    </row>
    <row r="24" spans="1:5" x14ac:dyDescent="0.25">
      <c r="A24" s="32" t="s">
        <v>47</v>
      </c>
      <c r="B24" s="121">
        <v>66662.563670000003</v>
      </c>
      <c r="C24" s="33"/>
      <c r="D24" s="33" t="s">
        <v>16</v>
      </c>
      <c r="E24" s="123">
        <v>1.2001882007395855E-2</v>
      </c>
    </row>
    <row r="25" spans="1:5" x14ac:dyDescent="0.25">
      <c r="A25" s="32" t="s">
        <v>48</v>
      </c>
      <c r="B25" s="121">
        <v>3718.7689</v>
      </c>
      <c r="C25" s="33"/>
      <c r="D25" s="33" t="s">
        <v>16</v>
      </c>
      <c r="E25" s="123">
        <v>6.6952458911596002E-4</v>
      </c>
    </row>
    <row r="26" spans="1:5" x14ac:dyDescent="0.25">
      <c r="A26" s="32" t="s">
        <v>49</v>
      </c>
      <c r="B26" s="121">
        <v>214699.95550000001</v>
      </c>
      <c r="C26" s="33"/>
      <c r="D26" s="33" t="s">
        <v>16</v>
      </c>
      <c r="E26" s="123">
        <v>3.8654431978645515E-2</v>
      </c>
    </row>
    <row r="27" spans="1:5" x14ac:dyDescent="0.25">
      <c r="A27" s="32" t="s">
        <v>50</v>
      </c>
      <c r="B27" s="121">
        <v>23449.03686</v>
      </c>
      <c r="C27" s="33"/>
      <c r="D27" s="33" t="s">
        <v>16</v>
      </c>
      <c r="E27" s="123">
        <v>4.2217484310080418E-3</v>
      </c>
    </row>
    <row r="28" spans="1:5" x14ac:dyDescent="0.25">
      <c r="A28" s="32" t="s">
        <v>493</v>
      </c>
      <c r="B28" s="121">
        <v>0</v>
      </c>
      <c r="C28" s="33"/>
      <c r="D28" s="33"/>
      <c r="E28" s="123">
        <v>0</v>
      </c>
    </row>
    <row r="29" spans="1:5" x14ac:dyDescent="0.25">
      <c r="A29" s="32" t="s">
        <v>51</v>
      </c>
      <c r="B29" s="122">
        <v>7698.53251</v>
      </c>
      <c r="C29" s="112"/>
      <c r="D29" s="112" t="s">
        <v>16</v>
      </c>
      <c r="E29" s="123">
        <v>1.3860384858961283E-3</v>
      </c>
    </row>
    <row r="30" spans="1:5" ht="14.5" thickBot="1" x14ac:dyDescent="0.3">
      <c r="A30" s="31" t="s">
        <v>590</v>
      </c>
      <c r="B30" s="128">
        <f>SUM(B3:B29)</f>
        <v>5554342.5296900012</v>
      </c>
      <c r="C30" s="113">
        <f t="shared" ref="C30:E30" si="0">SUM(C3:C29)</f>
        <v>0</v>
      </c>
      <c r="D30" s="113">
        <f t="shared" si="0"/>
        <v>0</v>
      </c>
      <c r="E30" s="113">
        <f t="shared" si="0"/>
        <v>0.99999999999999989</v>
      </c>
    </row>
    <row r="31" spans="1:5" ht="13" thickTop="1" x14ac:dyDescent="0.25">
      <c r="A31" s="32" t="s">
        <v>732</v>
      </c>
      <c r="B31" s="121">
        <v>64944.498497784938</v>
      </c>
      <c r="C31" s="33"/>
      <c r="D31" s="33"/>
      <c r="E31" s="123"/>
    </row>
    <row r="32" spans="1:5" x14ac:dyDescent="0.25">
      <c r="A32" s="32" t="s">
        <v>748</v>
      </c>
      <c r="B32" s="121">
        <v>275918.67726115743</v>
      </c>
      <c r="C32" s="33"/>
      <c r="D32" s="33"/>
      <c r="E32" s="12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16"/>
  <sheetViews>
    <sheetView rightToLeft="1" workbookViewId="0">
      <selection activeCell="A10" sqref="A10"/>
    </sheetView>
  </sheetViews>
  <sheetFormatPr defaultColWidth="0" defaultRowHeight="14" x14ac:dyDescent="0.3"/>
  <cols>
    <col min="1" max="2" width="10.58203125" bestFit="1" customWidth="1"/>
    <col min="3" max="3" width="30" bestFit="1" customWidth="1"/>
    <col min="4" max="4" width="10.75" bestFit="1" customWidth="1"/>
    <col min="5" max="5" width="9.1640625" bestFit="1" customWidth="1"/>
    <col min="6" max="6" width="19.75" bestFit="1" customWidth="1"/>
    <col min="7" max="7" width="10" bestFit="1" customWidth="1"/>
    <col min="8" max="8" width="11" bestFit="1" customWidth="1"/>
    <col min="9" max="9" width="9.58203125" bestFit="1" customWidth="1"/>
    <col min="10" max="10" width="10.1640625" bestFit="1" customWidth="1"/>
    <col min="11" max="11" width="11.25" bestFit="1" customWidth="1"/>
    <col min="12" max="12" width="16.83203125" bestFit="1" customWidth="1"/>
    <col min="13" max="13" width="9.83203125" bestFit="1" customWidth="1"/>
    <col min="14" max="14" width="10.58203125" bestFit="1" customWidth="1"/>
    <col min="15" max="15" width="14" customWidth="1"/>
    <col min="16" max="16" width="11.1640625" bestFit="1" customWidth="1"/>
    <col min="17" max="17" width="10" bestFit="1" customWidth="1"/>
    <col min="18" max="18" width="11.58203125" hidden="1" customWidth="1"/>
    <col min="19" max="16384" width="9" hidden="1"/>
  </cols>
  <sheetData>
    <row r="1" spans="1:17" s="3" customFormat="1" ht="52" x14ac:dyDescent="0.3">
      <c r="A1" s="13" t="s">
        <v>636</v>
      </c>
      <c r="B1" s="13" t="s">
        <v>0</v>
      </c>
      <c r="C1" s="13" t="s">
        <v>702</v>
      </c>
      <c r="D1" s="13" t="s">
        <v>720</v>
      </c>
      <c r="E1" s="13" t="s">
        <v>721</v>
      </c>
      <c r="F1" s="13" t="s">
        <v>1</v>
      </c>
      <c r="G1" s="13" t="s">
        <v>591</v>
      </c>
      <c r="H1" s="13" t="s">
        <v>593</v>
      </c>
      <c r="I1" s="13" t="s">
        <v>746</v>
      </c>
      <c r="J1" s="13" t="s">
        <v>7</v>
      </c>
      <c r="K1" s="13" t="s">
        <v>387</v>
      </c>
      <c r="L1" s="13" t="s">
        <v>881</v>
      </c>
      <c r="M1" s="13" t="s">
        <v>10</v>
      </c>
      <c r="N1" s="13" t="s">
        <v>13</v>
      </c>
      <c r="O1" s="13" t="s">
        <v>1105</v>
      </c>
      <c r="P1" s="13" t="s">
        <v>18</v>
      </c>
      <c r="Q1" s="13" t="s">
        <v>29</v>
      </c>
    </row>
    <row r="2" spans="1:17" x14ac:dyDescent="0.3">
      <c r="A2">
        <v>13908</v>
      </c>
      <c r="B2">
        <v>13908</v>
      </c>
      <c r="C2" t="s">
        <v>1256</v>
      </c>
      <c r="D2">
        <v>31</v>
      </c>
      <c r="E2" t="s">
        <v>750</v>
      </c>
      <c r="F2" t="s">
        <v>209</v>
      </c>
      <c r="G2" t="s">
        <v>52</v>
      </c>
      <c r="H2" t="s">
        <v>61</v>
      </c>
      <c r="I2" t="s">
        <v>1257</v>
      </c>
      <c r="J2" t="s">
        <v>64</v>
      </c>
      <c r="K2" t="s">
        <v>1258</v>
      </c>
      <c r="L2" s="124">
        <v>872843.95629</v>
      </c>
      <c r="M2" s="124">
        <v>1</v>
      </c>
      <c r="N2" s="125"/>
      <c r="O2" s="124">
        <v>872843.95629</v>
      </c>
      <c r="P2" s="125">
        <v>0.72037101958500005</v>
      </c>
      <c r="Q2" s="125">
        <v>0.15714622417042673</v>
      </c>
    </row>
    <row r="3" spans="1:17" x14ac:dyDescent="0.3">
      <c r="A3">
        <v>13908</v>
      </c>
      <c r="B3">
        <v>13908</v>
      </c>
      <c r="C3" t="s">
        <v>1259</v>
      </c>
      <c r="D3">
        <v>20</v>
      </c>
      <c r="E3" t="s">
        <v>750</v>
      </c>
      <c r="F3" t="s">
        <v>209</v>
      </c>
      <c r="G3" t="s">
        <v>52</v>
      </c>
      <c r="H3" t="s">
        <v>61</v>
      </c>
      <c r="I3" t="s">
        <v>1257</v>
      </c>
      <c r="J3" t="s">
        <v>64</v>
      </c>
      <c r="K3" t="s">
        <v>1258</v>
      </c>
      <c r="L3" s="124">
        <v>1.6740000000000001E-2</v>
      </c>
      <c r="M3" s="124">
        <v>1</v>
      </c>
      <c r="N3" s="125"/>
      <c r="O3" s="124">
        <v>1.6740000000000001E-2</v>
      </c>
      <c r="P3" s="125">
        <v>1.38157694522209E-8</v>
      </c>
      <c r="Q3" s="125">
        <v>3.0138580598006968E-9</v>
      </c>
    </row>
    <row r="4" spans="1:17" x14ac:dyDescent="0.3">
      <c r="A4">
        <v>13908</v>
      </c>
      <c r="B4">
        <v>13908</v>
      </c>
      <c r="C4" t="s">
        <v>1256</v>
      </c>
      <c r="D4">
        <v>31</v>
      </c>
      <c r="E4" t="s">
        <v>750</v>
      </c>
      <c r="F4" t="s">
        <v>214</v>
      </c>
      <c r="G4" t="s">
        <v>52</v>
      </c>
      <c r="H4" t="s">
        <v>61</v>
      </c>
      <c r="I4" t="s">
        <v>1257</v>
      </c>
      <c r="J4" t="s">
        <v>64</v>
      </c>
      <c r="K4" t="s">
        <v>1260</v>
      </c>
      <c r="L4" s="124">
        <v>67268.577968435202</v>
      </c>
      <c r="M4" s="124">
        <v>2.9780000000000002</v>
      </c>
      <c r="N4" s="125"/>
      <c r="O4" s="124">
        <v>200325.82519</v>
      </c>
      <c r="P4" s="125">
        <v>0.165331864764</v>
      </c>
      <c r="Q4" s="125">
        <v>3.6066523466852268E-2</v>
      </c>
    </row>
    <row r="5" spans="1:17" x14ac:dyDescent="0.3">
      <c r="A5">
        <v>13908</v>
      </c>
      <c r="B5">
        <v>13908</v>
      </c>
      <c r="C5" t="s">
        <v>1259</v>
      </c>
      <c r="D5">
        <v>20</v>
      </c>
      <c r="E5" t="s">
        <v>750</v>
      </c>
      <c r="F5" t="s">
        <v>214</v>
      </c>
      <c r="G5" t="s">
        <v>52</v>
      </c>
      <c r="H5" t="s">
        <v>61</v>
      </c>
      <c r="I5" t="s">
        <v>1257</v>
      </c>
      <c r="J5" t="s">
        <v>64</v>
      </c>
      <c r="K5" t="s">
        <v>1260</v>
      </c>
      <c r="L5" s="124">
        <v>216.47348891873699</v>
      </c>
      <c r="M5" s="124">
        <v>2.9780000000000002</v>
      </c>
      <c r="N5" s="125"/>
      <c r="O5" s="124">
        <v>644.65805</v>
      </c>
      <c r="P5" s="125">
        <v>5.3204581799999996E-4</v>
      </c>
      <c r="Q5" s="125">
        <v>1.1606379090847674E-4</v>
      </c>
    </row>
    <row r="6" spans="1:17" x14ac:dyDescent="0.3">
      <c r="A6">
        <v>13908</v>
      </c>
      <c r="B6">
        <v>13908</v>
      </c>
      <c r="C6" t="s">
        <v>1256</v>
      </c>
      <c r="D6">
        <v>31</v>
      </c>
      <c r="E6" t="s">
        <v>750</v>
      </c>
      <c r="F6" t="s">
        <v>214</v>
      </c>
      <c r="G6" t="s">
        <v>52</v>
      </c>
      <c r="H6" t="s">
        <v>61</v>
      </c>
      <c r="I6" t="s">
        <v>1257</v>
      </c>
      <c r="J6" t="s">
        <v>64</v>
      </c>
      <c r="K6" t="s">
        <v>1261</v>
      </c>
      <c r="L6" s="124">
        <v>49.010820064126001</v>
      </c>
      <c r="M6" s="124">
        <v>3.6802000000000001</v>
      </c>
      <c r="N6" s="125"/>
      <c r="O6" s="124">
        <v>180.36962</v>
      </c>
      <c r="P6" s="125">
        <v>1.4886171299999999E-4</v>
      </c>
      <c r="Q6" s="125">
        <v>3.2473622041827294E-5</v>
      </c>
    </row>
    <row r="7" spans="1:17" x14ac:dyDescent="0.3">
      <c r="A7">
        <v>13908</v>
      </c>
      <c r="B7">
        <v>13908</v>
      </c>
      <c r="C7" t="s">
        <v>1256</v>
      </c>
      <c r="D7">
        <v>31</v>
      </c>
      <c r="E7" t="s">
        <v>750</v>
      </c>
      <c r="F7" t="s">
        <v>214</v>
      </c>
      <c r="G7" t="s">
        <v>52</v>
      </c>
      <c r="H7" t="s">
        <v>61</v>
      </c>
      <c r="I7" t="s">
        <v>1257</v>
      </c>
      <c r="J7" t="s">
        <v>64</v>
      </c>
      <c r="K7" t="s">
        <v>1262</v>
      </c>
      <c r="L7" s="124">
        <v>435.87909060905298</v>
      </c>
      <c r="M7" s="124">
        <v>3.9388999999999998</v>
      </c>
      <c r="N7" s="125"/>
      <c r="O7" s="124">
        <v>1716.8841500000001</v>
      </c>
      <c r="P7" s="125">
        <v>1.4169698679999999E-3</v>
      </c>
      <c r="Q7" s="125">
        <v>3.0910663878265044E-4</v>
      </c>
    </row>
    <row r="8" spans="1:17" x14ac:dyDescent="0.3">
      <c r="A8">
        <v>13908</v>
      </c>
      <c r="B8">
        <v>13908</v>
      </c>
      <c r="C8" t="s">
        <v>1256</v>
      </c>
      <c r="D8">
        <v>31</v>
      </c>
      <c r="E8" t="s">
        <v>750</v>
      </c>
      <c r="F8" t="s">
        <v>214</v>
      </c>
      <c r="G8" t="s">
        <v>52</v>
      </c>
      <c r="H8" t="s">
        <v>61</v>
      </c>
      <c r="I8" t="s">
        <v>1257</v>
      </c>
      <c r="J8" t="s">
        <v>64</v>
      </c>
      <c r="K8" t="s">
        <v>1263</v>
      </c>
      <c r="L8" s="124">
        <v>1548214.3879832099</v>
      </c>
      <c r="M8" s="124">
        <v>1.8341E-2</v>
      </c>
      <c r="N8" s="125"/>
      <c r="O8" s="124">
        <v>28395.800090000001</v>
      </c>
      <c r="P8" s="125">
        <v>2.3435473562999999E-2</v>
      </c>
      <c r="Q8" s="125">
        <v>5.1123602727440771E-3</v>
      </c>
    </row>
    <row r="9" spans="1:17" x14ac:dyDescent="0.3">
      <c r="A9">
        <v>13908</v>
      </c>
      <c r="B9">
        <v>13908</v>
      </c>
      <c r="C9" t="s">
        <v>1256</v>
      </c>
      <c r="D9">
        <v>31</v>
      </c>
      <c r="E9" t="s">
        <v>750</v>
      </c>
      <c r="F9" t="s">
        <v>214</v>
      </c>
      <c r="G9" t="s">
        <v>52</v>
      </c>
      <c r="H9" t="s">
        <v>61</v>
      </c>
      <c r="I9" t="s">
        <v>1257</v>
      </c>
      <c r="J9" t="s">
        <v>64</v>
      </c>
      <c r="K9" t="s">
        <v>1264</v>
      </c>
      <c r="L9" s="124">
        <v>1.0001434240000001E-2</v>
      </c>
      <c r="M9" s="124">
        <v>2.0916999999999999</v>
      </c>
      <c r="N9" s="125"/>
      <c r="O9" s="124">
        <v>2.0920000000000001E-2</v>
      </c>
      <c r="P9" s="125">
        <v>1.7265585241365599E-8</v>
      </c>
      <c r="Q9" s="125">
        <v>3.7664223781977643E-9</v>
      </c>
    </row>
    <row r="10" spans="1:17" x14ac:dyDescent="0.3">
      <c r="A10">
        <v>13908</v>
      </c>
      <c r="B10">
        <v>13908</v>
      </c>
      <c r="C10" t="s">
        <v>1256</v>
      </c>
      <c r="D10">
        <v>31</v>
      </c>
      <c r="E10" t="s">
        <v>750</v>
      </c>
      <c r="F10" t="s">
        <v>214</v>
      </c>
      <c r="G10" t="s">
        <v>52</v>
      </c>
      <c r="H10" t="s">
        <v>61</v>
      </c>
      <c r="I10" t="s">
        <v>1257</v>
      </c>
      <c r="J10" t="s">
        <v>64</v>
      </c>
      <c r="K10" t="s">
        <v>1265</v>
      </c>
      <c r="L10" s="124">
        <v>8.83782589482987E-6</v>
      </c>
      <c r="M10" s="124">
        <v>3.3944999999999999</v>
      </c>
      <c r="N10" s="125"/>
      <c r="O10" s="124">
        <v>3.0000000000000001E-5</v>
      </c>
      <c r="P10" s="125">
        <v>2.4759443462761401E-11</v>
      </c>
      <c r="Q10" s="125">
        <v>5.4011793186392414E-12</v>
      </c>
    </row>
    <row r="11" spans="1:17" x14ac:dyDescent="0.3">
      <c r="A11">
        <v>13908</v>
      </c>
      <c r="B11">
        <v>13908</v>
      </c>
      <c r="C11" t="s">
        <v>1256</v>
      </c>
      <c r="D11">
        <v>31</v>
      </c>
      <c r="E11" t="s">
        <v>750</v>
      </c>
      <c r="F11" t="s">
        <v>214</v>
      </c>
      <c r="G11" t="s">
        <v>52</v>
      </c>
      <c r="H11" t="s">
        <v>61</v>
      </c>
      <c r="I11" t="s">
        <v>1257</v>
      </c>
      <c r="J11" t="s">
        <v>64</v>
      </c>
      <c r="K11" t="s">
        <v>1265</v>
      </c>
      <c r="L11" s="124">
        <v>13291.6554691413</v>
      </c>
      <c r="M11" s="124">
        <v>3.3944999999999999</v>
      </c>
      <c r="N11" s="125"/>
      <c r="O11" s="124">
        <v>45118.524490000003</v>
      </c>
      <c r="P11" s="125">
        <v>3.7236985207000001E-2</v>
      </c>
      <c r="Q11" s="125">
        <v>8.1231080454302051E-3</v>
      </c>
    </row>
    <row r="12" spans="1:17" x14ac:dyDescent="0.3">
      <c r="A12">
        <v>13908</v>
      </c>
      <c r="B12">
        <v>13908</v>
      </c>
      <c r="C12" t="s">
        <v>1256</v>
      </c>
      <c r="D12">
        <v>31</v>
      </c>
      <c r="E12" t="s">
        <v>750</v>
      </c>
      <c r="F12" t="s">
        <v>214</v>
      </c>
      <c r="G12" t="s">
        <v>52</v>
      </c>
      <c r="H12" t="s">
        <v>61</v>
      </c>
      <c r="I12" t="s">
        <v>1257</v>
      </c>
      <c r="J12" t="s">
        <v>64</v>
      </c>
      <c r="K12" t="s">
        <v>1260</v>
      </c>
      <c r="L12" s="124">
        <v>-108.34040967092</v>
      </c>
      <c r="M12" s="124">
        <v>2.9780000000000002</v>
      </c>
      <c r="N12" s="125"/>
      <c r="O12" s="124">
        <v>-322.63774000000001</v>
      </c>
      <c r="P12" s="125">
        <v>-2.6627769600000002E-4</v>
      </c>
      <c r="Q12" s="125">
        <v>-5.808747629001682E-5</v>
      </c>
    </row>
    <row r="13" spans="1:17" x14ac:dyDescent="0.3">
      <c r="A13">
        <v>13908</v>
      </c>
      <c r="B13">
        <v>13908</v>
      </c>
      <c r="C13" t="s">
        <v>1256</v>
      </c>
      <c r="D13">
        <v>31</v>
      </c>
      <c r="E13" t="s">
        <v>750</v>
      </c>
      <c r="F13" t="s">
        <v>214</v>
      </c>
      <c r="G13" t="s">
        <v>52</v>
      </c>
      <c r="H13" t="s">
        <v>61</v>
      </c>
      <c r="I13" t="s">
        <v>1257</v>
      </c>
      <c r="J13" t="s">
        <v>64</v>
      </c>
      <c r="K13" t="s">
        <v>1260</v>
      </c>
      <c r="L13" s="124">
        <v>101.82399932840799</v>
      </c>
      <c r="M13" s="124">
        <v>2.9780000000000002</v>
      </c>
      <c r="N13" s="125"/>
      <c r="O13" s="124">
        <v>303.23187000000001</v>
      </c>
      <c r="P13" s="125">
        <v>2.50261744E-4</v>
      </c>
      <c r="Q13" s="125">
        <v>5.45936568332101E-5</v>
      </c>
    </row>
    <row r="14" spans="1:17" x14ac:dyDescent="0.3">
      <c r="A14">
        <v>13908</v>
      </c>
      <c r="B14">
        <v>13908</v>
      </c>
      <c r="C14" t="s">
        <v>1256</v>
      </c>
      <c r="D14">
        <v>31</v>
      </c>
      <c r="E14" t="s">
        <v>750</v>
      </c>
      <c r="F14" t="s">
        <v>214</v>
      </c>
      <c r="G14" t="s">
        <v>52</v>
      </c>
      <c r="H14" t="s">
        <v>61</v>
      </c>
      <c r="I14" t="s">
        <v>1257</v>
      </c>
      <c r="J14" t="s">
        <v>64</v>
      </c>
      <c r="K14" t="s">
        <v>1266</v>
      </c>
      <c r="L14" s="124">
        <v>47.942209438376999</v>
      </c>
      <c r="M14" s="124">
        <v>2.0512000000000001</v>
      </c>
      <c r="N14" s="125"/>
      <c r="O14" s="124">
        <v>98.339060000000003</v>
      </c>
      <c r="P14" s="125">
        <v>8.1160679875036805E-5</v>
      </c>
      <c r="Q14" s="125">
        <v>1.770489656954745E-5</v>
      </c>
    </row>
    <row r="15" spans="1:17" x14ac:dyDescent="0.3">
      <c r="A15">
        <v>13908</v>
      </c>
      <c r="B15">
        <v>13908</v>
      </c>
      <c r="C15" t="s">
        <v>1256</v>
      </c>
      <c r="D15">
        <v>31</v>
      </c>
      <c r="E15" t="s">
        <v>750</v>
      </c>
      <c r="F15" t="s">
        <v>209</v>
      </c>
      <c r="G15" t="s">
        <v>52</v>
      </c>
      <c r="H15" t="s">
        <v>61</v>
      </c>
      <c r="I15" t="s">
        <v>1257</v>
      </c>
      <c r="J15" t="s">
        <v>64</v>
      </c>
      <c r="K15" t="s">
        <v>1258</v>
      </c>
      <c r="L15" s="124">
        <v>32395.23</v>
      </c>
      <c r="M15" s="124">
        <v>1</v>
      </c>
      <c r="N15" s="125"/>
      <c r="O15" s="124">
        <v>32395.23</v>
      </c>
      <c r="P15" s="125">
        <v>2.6736262188000001E-2</v>
      </c>
      <c r="Q15" s="125">
        <v>5.832414876618717E-3</v>
      </c>
    </row>
    <row r="16" spans="1:17" x14ac:dyDescent="0.3">
      <c r="A16">
        <v>13908</v>
      </c>
      <c r="B16">
        <v>13908</v>
      </c>
      <c r="C16" t="s">
        <v>1256</v>
      </c>
      <c r="D16">
        <v>31</v>
      </c>
      <c r="E16" t="s">
        <v>750</v>
      </c>
      <c r="F16" t="s">
        <v>214</v>
      </c>
      <c r="G16" t="s">
        <v>52</v>
      </c>
      <c r="H16" t="s">
        <v>61</v>
      </c>
      <c r="I16" t="s">
        <v>1257</v>
      </c>
      <c r="J16" t="s">
        <v>64</v>
      </c>
      <c r="K16" t="s">
        <v>1260</v>
      </c>
      <c r="L16" s="124">
        <v>10060</v>
      </c>
      <c r="M16" s="124">
        <v>2.9780000000000002</v>
      </c>
      <c r="N16" s="125"/>
      <c r="O16" s="124">
        <v>29958.68</v>
      </c>
      <c r="P16" s="125">
        <v>2.4725341455000001E-2</v>
      </c>
      <c r="Q16" s="125">
        <v>5.3937400943243688E-3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8"/>
  <sheetViews>
    <sheetView rightToLeft="1" topLeftCell="D1" workbookViewId="0"/>
  </sheetViews>
  <sheetFormatPr defaultColWidth="0" defaultRowHeight="14" x14ac:dyDescent="0.3"/>
  <cols>
    <col min="1" max="2" width="10.58203125" bestFit="1" customWidth="1"/>
    <col min="3" max="3" width="15.58203125" bestFit="1" customWidth="1"/>
    <col min="4" max="4" width="17" bestFit="1" customWidth="1"/>
    <col min="5" max="5" width="14.4140625" bestFit="1" customWidth="1"/>
    <col min="6" max="6" width="36" bestFit="1" customWidth="1"/>
    <col min="7" max="7" width="10" bestFit="1" customWidth="1"/>
    <col min="8" max="8" width="9.25" bestFit="1" customWidth="1"/>
    <col min="9" max="9" width="9.58203125" bestFit="1" customWidth="1"/>
    <col min="10" max="10" width="5.1640625" bestFit="1" customWidth="1"/>
    <col min="11" max="11" width="8.1640625" bestFit="1" customWidth="1"/>
    <col min="12" max="12" width="11.25" bestFit="1" customWidth="1"/>
    <col min="13" max="13" width="6.58203125" bestFit="1" customWidth="1"/>
    <col min="14" max="14" width="10.75" bestFit="1" customWidth="1"/>
    <col min="15" max="15" width="10.58203125" bestFit="1" customWidth="1"/>
    <col min="16" max="16" width="7.1640625" bestFit="1" customWidth="1"/>
    <col min="17" max="17" width="9.75" bestFit="1" customWidth="1"/>
    <col min="18" max="18" width="14.83203125" bestFit="1" customWidth="1"/>
    <col min="19" max="19" width="9.83203125" bestFit="1" customWidth="1"/>
    <col min="20" max="20" width="8.4140625" bestFit="1" customWidth="1"/>
    <col min="21" max="21" width="11.1640625" bestFit="1" customWidth="1"/>
    <col min="22" max="22" width="10.83203125" bestFit="1" customWidth="1"/>
    <col min="23" max="23" width="10.1640625" bestFit="1" customWidth="1"/>
    <col min="24" max="24" width="10.83203125" bestFit="1" customWidth="1"/>
    <col min="25" max="25" width="11.1640625" bestFit="1" customWidth="1"/>
    <col min="26" max="26" width="10" bestFit="1" customWidth="1"/>
    <col min="27" max="30" width="11.58203125" hidden="1" customWidth="1"/>
    <col min="31" max="16384" width="9" hidden="1"/>
  </cols>
  <sheetData>
    <row r="1" spans="1:26" s="4" customFormat="1" ht="52" x14ac:dyDescent="0.3">
      <c r="A1" s="13" t="s">
        <v>636</v>
      </c>
      <c r="B1" s="13" t="s">
        <v>0</v>
      </c>
      <c r="C1" s="13" t="s">
        <v>703</v>
      </c>
      <c r="D1" s="13" t="s">
        <v>1097</v>
      </c>
      <c r="E1" s="13" t="s">
        <v>28</v>
      </c>
      <c r="F1" s="13" t="s">
        <v>1</v>
      </c>
      <c r="G1" s="13" t="s">
        <v>591</v>
      </c>
      <c r="H1" s="13" t="s">
        <v>592</v>
      </c>
      <c r="I1" s="13" t="s">
        <v>4</v>
      </c>
      <c r="J1" s="13" t="s">
        <v>5</v>
      </c>
      <c r="K1" s="13" t="s">
        <v>7</v>
      </c>
      <c r="L1" s="13" t="s">
        <v>387</v>
      </c>
      <c r="M1" s="13" t="s">
        <v>12</v>
      </c>
      <c r="N1" s="13" t="s">
        <v>412</v>
      </c>
      <c r="O1" s="13" t="s">
        <v>13</v>
      </c>
      <c r="P1" s="13" t="s">
        <v>608</v>
      </c>
      <c r="Q1" s="13" t="s">
        <v>895</v>
      </c>
      <c r="R1" s="13" t="s">
        <v>747</v>
      </c>
      <c r="S1" s="13" t="s">
        <v>10</v>
      </c>
      <c r="T1" s="13" t="s">
        <v>14</v>
      </c>
      <c r="U1" s="13" t="s">
        <v>1105</v>
      </c>
      <c r="V1" s="13" t="s">
        <v>1106</v>
      </c>
      <c r="W1" s="13" t="s">
        <v>25</v>
      </c>
      <c r="X1" s="13" t="s">
        <v>17</v>
      </c>
      <c r="Y1" s="13" t="s">
        <v>18</v>
      </c>
      <c r="Z1" s="13" t="s">
        <v>29</v>
      </c>
    </row>
    <row r="2" spans="1:26" x14ac:dyDescent="0.3">
      <c r="A2">
        <v>13908</v>
      </c>
      <c r="B2">
        <v>13908</v>
      </c>
      <c r="C2" t="s">
        <v>1267</v>
      </c>
      <c r="D2" t="s">
        <v>1268</v>
      </c>
      <c r="E2" t="s">
        <v>1269</v>
      </c>
      <c r="F2" t="s">
        <v>219</v>
      </c>
      <c r="G2" t="s">
        <v>52</v>
      </c>
      <c r="H2" t="s">
        <v>52</v>
      </c>
      <c r="I2" t="s">
        <v>303</v>
      </c>
      <c r="J2" t="s">
        <v>290</v>
      </c>
      <c r="K2" t="s">
        <v>290</v>
      </c>
      <c r="L2" t="s">
        <v>1258</v>
      </c>
      <c r="M2" s="126">
        <v>11.065</v>
      </c>
      <c r="N2" s="127">
        <v>51897</v>
      </c>
      <c r="O2" s="125">
        <v>5.5E-2</v>
      </c>
      <c r="P2" s="125">
        <v>3.9399999999999998E-2</v>
      </c>
      <c r="Q2" s="124">
        <v>0</v>
      </c>
      <c r="R2" s="124">
        <v>16725000</v>
      </c>
      <c r="S2" s="124">
        <v>1</v>
      </c>
      <c r="T2" s="124">
        <v>120.13</v>
      </c>
      <c r="U2" s="124">
        <v>20091.7425</v>
      </c>
      <c r="V2" s="124"/>
      <c r="W2" t="s">
        <v>16</v>
      </c>
      <c r="X2" s="125">
        <v>4.5415522100000002E-4</v>
      </c>
      <c r="Y2" s="125">
        <v>1.5231575216E-2</v>
      </c>
      <c r="Z2" s="125">
        <v>3.6173034688808362E-3</v>
      </c>
    </row>
    <row r="3" spans="1:26" x14ac:dyDescent="0.3">
      <c r="A3">
        <v>13908</v>
      </c>
      <c r="B3">
        <v>13908</v>
      </c>
      <c r="C3" t="s">
        <v>1267</v>
      </c>
      <c r="D3" t="s">
        <v>1270</v>
      </c>
      <c r="E3" t="s">
        <v>1271</v>
      </c>
      <c r="F3" t="s">
        <v>219</v>
      </c>
      <c r="G3" t="s">
        <v>52</v>
      </c>
      <c r="H3" t="s">
        <v>52</v>
      </c>
      <c r="I3" t="s">
        <v>303</v>
      </c>
      <c r="J3" t="s">
        <v>290</v>
      </c>
      <c r="K3" t="s">
        <v>290</v>
      </c>
      <c r="L3" t="s">
        <v>1258</v>
      </c>
      <c r="M3" s="126">
        <v>0.748</v>
      </c>
      <c r="N3" s="127">
        <v>46477</v>
      </c>
      <c r="O3" s="125">
        <v>0.02</v>
      </c>
      <c r="P3" s="125">
        <v>3.1899999999999998E-2</v>
      </c>
      <c r="Q3" s="124">
        <v>0</v>
      </c>
      <c r="R3" s="124">
        <v>41342100</v>
      </c>
      <c r="S3" s="124">
        <v>1</v>
      </c>
      <c r="T3" s="124">
        <v>99.63</v>
      </c>
      <c r="U3" s="124">
        <v>41189.134230000003</v>
      </c>
      <c r="V3" s="124"/>
      <c r="W3" t="s">
        <v>16</v>
      </c>
      <c r="X3" s="125">
        <v>1.4645572540000001E-3</v>
      </c>
      <c r="Y3" s="125">
        <v>3.1225534376000001E-2</v>
      </c>
      <c r="Z3" s="125">
        <v>7.4156633318577221E-3</v>
      </c>
    </row>
    <row r="4" spans="1:26" x14ac:dyDescent="0.3">
      <c r="A4">
        <v>13908</v>
      </c>
      <c r="B4">
        <v>13908</v>
      </c>
      <c r="C4" t="s">
        <v>1267</v>
      </c>
      <c r="D4" t="s">
        <v>1272</v>
      </c>
      <c r="E4" t="s">
        <v>1273</v>
      </c>
      <c r="F4" t="s">
        <v>219</v>
      </c>
      <c r="G4" t="s">
        <v>52</v>
      </c>
      <c r="H4" t="s">
        <v>52</v>
      </c>
      <c r="I4" t="s">
        <v>303</v>
      </c>
      <c r="J4" t="s">
        <v>290</v>
      </c>
      <c r="K4" t="s">
        <v>290</v>
      </c>
      <c r="L4" t="s">
        <v>1258</v>
      </c>
      <c r="M4" s="126">
        <v>14.465</v>
      </c>
      <c r="N4" s="127">
        <v>53782</v>
      </c>
      <c r="O4" s="125">
        <v>3.7499999999999999E-2</v>
      </c>
      <c r="P4" s="125">
        <v>4.1300000000000003E-2</v>
      </c>
      <c r="Q4" s="124">
        <v>0</v>
      </c>
      <c r="R4" s="124">
        <v>8370250</v>
      </c>
      <c r="S4" s="124">
        <v>1</v>
      </c>
      <c r="T4" s="124">
        <v>95.7</v>
      </c>
      <c r="U4" s="124">
        <v>8010.3292499999998</v>
      </c>
      <c r="V4" s="124"/>
      <c r="W4" t="s">
        <v>16</v>
      </c>
      <c r="X4" s="125">
        <v>2.9762104300000002E-4</v>
      </c>
      <c r="Y4" s="125">
        <v>6.0726406619999998E-3</v>
      </c>
      <c r="Z4" s="125">
        <v>1.4421741560196994E-3</v>
      </c>
    </row>
    <row r="5" spans="1:26" x14ac:dyDescent="0.3">
      <c r="A5">
        <v>13908</v>
      </c>
      <c r="B5">
        <v>13908</v>
      </c>
      <c r="C5" t="s">
        <v>1267</v>
      </c>
      <c r="D5" t="s">
        <v>1274</v>
      </c>
      <c r="E5" t="s">
        <v>1275</v>
      </c>
      <c r="F5" t="s">
        <v>217</v>
      </c>
      <c r="G5" t="s">
        <v>52</v>
      </c>
      <c r="H5" t="s">
        <v>52</v>
      </c>
      <c r="I5" t="s">
        <v>303</v>
      </c>
      <c r="J5" t="s">
        <v>290</v>
      </c>
      <c r="K5" t="s">
        <v>290</v>
      </c>
      <c r="L5" t="s">
        <v>1258</v>
      </c>
      <c r="M5" s="126">
        <v>0.91500000000000004</v>
      </c>
      <c r="N5" s="127">
        <v>46538</v>
      </c>
      <c r="O5" s="125">
        <v>7.4999999999999997E-3</v>
      </c>
      <c r="P5" s="125">
        <v>1.72E-2</v>
      </c>
      <c r="Q5" s="124">
        <v>0</v>
      </c>
      <c r="R5" s="124">
        <v>119572805</v>
      </c>
      <c r="S5" s="124">
        <v>1</v>
      </c>
      <c r="T5" s="124">
        <v>119.65</v>
      </c>
      <c r="U5" s="124">
        <v>143068.86118000001</v>
      </c>
      <c r="V5" s="124"/>
      <c r="W5" t="s">
        <v>16</v>
      </c>
      <c r="X5" s="125">
        <v>4.9092853319999998E-3</v>
      </c>
      <c r="Y5" s="125">
        <v>0.108460683298</v>
      </c>
      <c r="Z5" s="125">
        <v>2.5758019138222822E-2</v>
      </c>
    </row>
    <row r="6" spans="1:26" x14ac:dyDescent="0.3">
      <c r="A6">
        <v>13908</v>
      </c>
      <c r="B6">
        <v>13908</v>
      </c>
      <c r="C6" t="s">
        <v>1267</v>
      </c>
      <c r="D6" t="s">
        <v>1276</v>
      </c>
      <c r="E6" t="s">
        <v>1277</v>
      </c>
      <c r="F6" t="s">
        <v>219</v>
      </c>
      <c r="G6" t="s">
        <v>52</v>
      </c>
      <c r="H6" t="s">
        <v>52</v>
      </c>
      <c r="I6" t="s">
        <v>303</v>
      </c>
      <c r="J6" t="s">
        <v>290</v>
      </c>
      <c r="K6" t="s">
        <v>290</v>
      </c>
      <c r="L6" t="s">
        <v>1258</v>
      </c>
      <c r="M6" s="126">
        <v>2.1800000000000002</v>
      </c>
      <c r="N6" s="127">
        <v>47024</v>
      </c>
      <c r="O6" s="125">
        <v>2.2499999999999999E-2</v>
      </c>
      <c r="P6" s="125">
        <v>3.2800000000000003E-2</v>
      </c>
      <c r="Q6" s="124">
        <v>0</v>
      </c>
      <c r="R6" s="124">
        <v>76135295</v>
      </c>
      <c r="S6" s="124">
        <v>1</v>
      </c>
      <c r="T6" s="124">
        <v>99.5</v>
      </c>
      <c r="U6" s="124">
        <v>75754.618520000004</v>
      </c>
      <c r="V6" s="124"/>
      <c r="W6" t="s">
        <v>16</v>
      </c>
      <c r="X6" s="125">
        <v>2.192740835E-3</v>
      </c>
      <c r="Y6" s="125">
        <v>5.7429671416999999E-2</v>
      </c>
      <c r="Z6" s="125">
        <v>1.3638809294720975E-2</v>
      </c>
    </row>
    <row r="7" spans="1:26" x14ac:dyDescent="0.3">
      <c r="A7">
        <v>13908</v>
      </c>
      <c r="B7">
        <v>13908</v>
      </c>
      <c r="C7" t="s">
        <v>1267</v>
      </c>
      <c r="D7" t="s">
        <v>1278</v>
      </c>
      <c r="E7" t="s">
        <v>1279</v>
      </c>
      <c r="F7" t="s">
        <v>217</v>
      </c>
      <c r="G7" t="s">
        <v>52</v>
      </c>
      <c r="H7" t="s">
        <v>52</v>
      </c>
      <c r="I7" t="s">
        <v>303</v>
      </c>
      <c r="J7" t="s">
        <v>290</v>
      </c>
      <c r="K7" t="s">
        <v>290</v>
      </c>
      <c r="L7" t="s">
        <v>1258</v>
      </c>
      <c r="M7" s="126">
        <v>2.903</v>
      </c>
      <c r="N7" s="127">
        <v>47269</v>
      </c>
      <c r="O7" s="125">
        <v>5.0000000000000001E-3</v>
      </c>
      <c r="P7" s="125">
        <v>1.6299999999999999E-2</v>
      </c>
      <c r="Q7" s="124">
        <v>0</v>
      </c>
      <c r="R7" s="124">
        <v>106977651</v>
      </c>
      <c r="S7" s="124">
        <v>1</v>
      </c>
      <c r="T7" s="124">
        <v>115.67</v>
      </c>
      <c r="U7" s="124">
        <v>123741.04891</v>
      </c>
      <c r="V7" s="124"/>
      <c r="W7" t="s">
        <v>16</v>
      </c>
      <c r="X7" s="125">
        <v>3.2274143939999998E-3</v>
      </c>
      <c r="Y7" s="125">
        <v>9.3808244548000005E-2</v>
      </c>
      <c r="Z7" s="125">
        <v>2.2278253141313962E-2</v>
      </c>
    </row>
    <row r="8" spans="1:26" x14ac:dyDescent="0.3">
      <c r="A8">
        <v>13908</v>
      </c>
      <c r="B8">
        <v>13908</v>
      </c>
      <c r="C8" t="s">
        <v>1267</v>
      </c>
      <c r="D8" t="s">
        <v>1280</v>
      </c>
      <c r="E8" t="s">
        <v>1281</v>
      </c>
      <c r="F8" t="s">
        <v>219</v>
      </c>
      <c r="G8" t="s">
        <v>52</v>
      </c>
      <c r="H8" t="s">
        <v>52</v>
      </c>
      <c r="I8" t="s">
        <v>303</v>
      </c>
      <c r="J8" t="s">
        <v>290</v>
      </c>
      <c r="K8" t="s">
        <v>290</v>
      </c>
      <c r="L8" t="s">
        <v>1258</v>
      </c>
      <c r="M8" s="126">
        <v>10.026</v>
      </c>
      <c r="N8" s="127">
        <v>50191</v>
      </c>
      <c r="O8" s="125">
        <v>1.4999999999999999E-2</v>
      </c>
      <c r="P8" s="125">
        <v>3.8100000000000002E-2</v>
      </c>
      <c r="Q8" s="124">
        <v>0</v>
      </c>
      <c r="R8" s="124">
        <v>31517147</v>
      </c>
      <c r="S8" s="124">
        <v>1</v>
      </c>
      <c r="T8" s="124">
        <v>79.78</v>
      </c>
      <c r="U8" s="124">
        <v>25144.37988</v>
      </c>
      <c r="V8" s="124"/>
      <c r="W8" t="s">
        <v>16</v>
      </c>
      <c r="X8" s="125">
        <v>7.5219944500000001E-4</v>
      </c>
      <c r="Y8" s="125">
        <v>1.9061985957999999E-2</v>
      </c>
      <c r="Z8" s="125">
        <v>4.5269768195954881E-3</v>
      </c>
    </row>
    <row r="9" spans="1:26" x14ac:dyDescent="0.3">
      <c r="A9">
        <v>13908</v>
      </c>
      <c r="B9">
        <v>13908</v>
      </c>
      <c r="C9" t="s">
        <v>1267</v>
      </c>
      <c r="D9" t="s">
        <v>1282</v>
      </c>
      <c r="E9" t="s">
        <v>1283</v>
      </c>
      <c r="F9" t="s">
        <v>220</v>
      </c>
      <c r="G9" t="s">
        <v>52</v>
      </c>
      <c r="H9" t="s">
        <v>52</v>
      </c>
      <c r="I9" t="s">
        <v>303</v>
      </c>
      <c r="J9" t="s">
        <v>290</v>
      </c>
      <c r="K9" t="s">
        <v>290</v>
      </c>
      <c r="L9" t="s">
        <v>1258</v>
      </c>
      <c r="M9" s="126">
        <v>4.1210000000000004</v>
      </c>
      <c r="N9" s="127">
        <v>47816</v>
      </c>
      <c r="O9" s="125">
        <v>3.56E-2</v>
      </c>
      <c r="P9" s="125">
        <v>3.56E-2</v>
      </c>
      <c r="Q9" s="124">
        <v>0</v>
      </c>
      <c r="R9" s="124">
        <v>41429977</v>
      </c>
      <c r="S9" s="124">
        <v>1</v>
      </c>
      <c r="T9" s="124">
        <v>99.01</v>
      </c>
      <c r="U9" s="124">
        <v>41019.820229999998</v>
      </c>
      <c r="V9" s="124"/>
      <c r="W9" t="s">
        <v>16</v>
      </c>
      <c r="X9" s="125">
        <v>1.130424512E-3</v>
      </c>
      <c r="Y9" s="125">
        <v>3.1097177220000001E-2</v>
      </c>
      <c r="Z9" s="125">
        <v>7.3851801560191853E-3</v>
      </c>
    </row>
    <row r="10" spans="1:26" x14ac:dyDescent="0.3">
      <c r="A10">
        <v>13908</v>
      </c>
      <c r="B10">
        <v>13908</v>
      </c>
      <c r="C10" t="s">
        <v>1267</v>
      </c>
      <c r="D10" t="s">
        <v>1284</v>
      </c>
      <c r="E10" t="s">
        <v>1285</v>
      </c>
      <c r="F10" t="s">
        <v>217</v>
      </c>
      <c r="G10" t="s">
        <v>52</v>
      </c>
      <c r="H10" t="s">
        <v>52</v>
      </c>
      <c r="I10" t="s">
        <v>303</v>
      </c>
      <c r="J10" t="s">
        <v>290</v>
      </c>
      <c r="K10" t="s">
        <v>290</v>
      </c>
      <c r="L10" t="s">
        <v>1258</v>
      </c>
      <c r="M10" s="126">
        <v>5.4029999999999996</v>
      </c>
      <c r="N10" s="127">
        <v>48182</v>
      </c>
      <c r="O10" s="125">
        <v>1E-3</v>
      </c>
      <c r="P10" s="125">
        <v>1.6500000000000001E-2</v>
      </c>
      <c r="Q10" s="124">
        <v>0</v>
      </c>
      <c r="R10" s="124">
        <v>16031800</v>
      </c>
      <c r="S10" s="124">
        <v>1</v>
      </c>
      <c r="T10" s="124">
        <v>109.97</v>
      </c>
      <c r="U10" s="124">
        <v>17630.170460000001</v>
      </c>
      <c r="V10" s="124"/>
      <c r="W10" t="s">
        <v>16</v>
      </c>
      <c r="X10" s="125">
        <v>4.68376069E-4</v>
      </c>
      <c r="Y10" s="125">
        <v>1.3365454362E-2</v>
      </c>
      <c r="Z10" s="125">
        <v>3.1741237357545493E-3</v>
      </c>
    </row>
    <row r="11" spans="1:26" x14ac:dyDescent="0.3">
      <c r="A11">
        <v>13908</v>
      </c>
      <c r="B11">
        <v>13908</v>
      </c>
      <c r="C11" t="s">
        <v>1267</v>
      </c>
      <c r="D11" t="s">
        <v>1286</v>
      </c>
      <c r="E11" t="s">
        <v>1287</v>
      </c>
      <c r="F11" t="s">
        <v>219</v>
      </c>
      <c r="G11" t="s">
        <v>52</v>
      </c>
      <c r="H11" t="s">
        <v>52</v>
      </c>
      <c r="I11" t="s">
        <v>303</v>
      </c>
      <c r="J11" t="s">
        <v>290</v>
      </c>
      <c r="K11" t="s">
        <v>290</v>
      </c>
      <c r="L11" t="s">
        <v>1258</v>
      </c>
      <c r="M11" s="126">
        <v>5.6319999999999997</v>
      </c>
      <c r="N11" s="127">
        <v>48334</v>
      </c>
      <c r="O11" s="125">
        <v>1.2999999999999999E-2</v>
      </c>
      <c r="P11" s="125">
        <v>3.4700000000000002E-2</v>
      </c>
      <c r="Q11" s="124">
        <v>0</v>
      </c>
      <c r="R11" s="124">
        <v>82012941</v>
      </c>
      <c r="S11" s="124">
        <v>1</v>
      </c>
      <c r="T11" s="124">
        <v>88.94</v>
      </c>
      <c r="U11" s="124">
        <v>72942.309729999994</v>
      </c>
      <c r="V11" s="124"/>
      <c r="W11" t="s">
        <v>16</v>
      </c>
      <c r="X11" s="125">
        <v>1.995995423E-3</v>
      </c>
      <c r="Y11" s="125">
        <v>5.5297656591999998E-2</v>
      </c>
      <c r="Z11" s="125">
        <v>1.3132483158915128E-2</v>
      </c>
    </row>
    <row r="12" spans="1:26" x14ac:dyDescent="0.3">
      <c r="A12">
        <v>13908</v>
      </c>
      <c r="B12">
        <v>13908</v>
      </c>
      <c r="C12" t="s">
        <v>1267</v>
      </c>
      <c r="D12" t="s">
        <v>1288</v>
      </c>
      <c r="E12" t="s">
        <v>1289</v>
      </c>
      <c r="F12" t="s">
        <v>219</v>
      </c>
      <c r="G12" t="s">
        <v>52</v>
      </c>
      <c r="H12" t="s">
        <v>52</v>
      </c>
      <c r="I12" t="s">
        <v>303</v>
      </c>
      <c r="J12" t="s">
        <v>290</v>
      </c>
      <c r="K12" t="s">
        <v>290</v>
      </c>
      <c r="L12" t="s">
        <v>1258</v>
      </c>
      <c r="M12" s="126">
        <v>17.440999999999999</v>
      </c>
      <c r="N12" s="127">
        <v>55852</v>
      </c>
      <c r="O12" s="125">
        <v>2.8000000000000001E-2</v>
      </c>
      <c r="P12" s="125">
        <v>4.2999999999999997E-2</v>
      </c>
      <c r="Q12" s="124">
        <v>0</v>
      </c>
      <c r="R12" s="124">
        <v>3329807</v>
      </c>
      <c r="S12" s="124">
        <v>1</v>
      </c>
      <c r="T12" s="124">
        <v>78.16</v>
      </c>
      <c r="U12" s="124">
        <v>2602.5771500000001</v>
      </c>
      <c r="V12" s="124"/>
      <c r="W12" t="s">
        <v>16</v>
      </c>
      <c r="X12" s="125">
        <v>9.1604575751457604E-5</v>
      </c>
      <c r="Y12" s="125">
        <v>1.9730170050000001E-3</v>
      </c>
      <c r="Z12" s="125">
        <v>4.6856619592476861E-4</v>
      </c>
    </row>
    <row r="13" spans="1:26" x14ac:dyDescent="0.3">
      <c r="A13">
        <v>13908</v>
      </c>
      <c r="B13">
        <v>13908</v>
      </c>
      <c r="C13" t="s">
        <v>1267</v>
      </c>
      <c r="D13" t="s">
        <v>1290</v>
      </c>
      <c r="E13" t="s">
        <v>1291</v>
      </c>
      <c r="F13" t="s">
        <v>219</v>
      </c>
      <c r="G13" t="s">
        <v>52</v>
      </c>
      <c r="H13" t="s">
        <v>52</v>
      </c>
      <c r="I13" t="s">
        <v>303</v>
      </c>
      <c r="J13" t="s">
        <v>290</v>
      </c>
      <c r="K13" t="s">
        <v>290</v>
      </c>
      <c r="L13" t="s">
        <v>1258</v>
      </c>
      <c r="M13" s="126">
        <v>2.5590000000000002</v>
      </c>
      <c r="N13" s="127">
        <v>47177</v>
      </c>
      <c r="O13" s="125">
        <v>3.7499999999999999E-2</v>
      </c>
      <c r="P13" s="125">
        <v>3.3000000000000002E-2</v>
      </c>
      <c r="Q13" s="124">
        <v>0</v>
      </c>
      <c r="R13" s="124">
        <v>40715544</v>
      </c>
      <c r="S13" s="124">
        <v>1</v>
      </c>
      <c r="T13" s="124">
        <v>102.39</v>
      </c>
      <c r="U13" s="124">
        <v>41688.645499999999</v>
      </c>
      <c r="V13" s="124"/>
      <c r="W13" t="s">
        <v>16</v>
      </c>
      <c r="X13" s="125">
        <v>1.162458778E-3</v>
      </c>
      <c r="Y13" s="125">
        <v>3.1604214497000002E-2</v>
      </c>
      <c r="Z13" s="125">
        <v>7.5055949965560954E-3</v>
      </c>
    </row>
    <row r="14" spans="1:26" x14ac:dyDescent="0.3">
      <c r="A14">
        <v>13908</v>
      </c>
      <c r="B14">
        <v>13908</v>
      </c>
      <c r="C14" t="s">
        <v>1267</v>
      </c>
      <c r="D14" t="s">
        <v>1292</v>
      </c>
      <c r="E14" t="s">
        <v>1293</v>
      </c>
      <c r="F14" t="s">
        <v>217</v>
      </c>
      <c r="G14" t="s">
        <v>52</v>
      </c>
      <c r="H14" t="s">
        <v>52</v>
      </c>
      <c r="I14" t="s">
        <v>303</v>
      </c>
      <c r="J14" t="s">
        <v>290</v>
      </c>
      <c r="K14" t="s">
        <v>290</v>
      </c>
      <c r="L14" t="s">
        <v>1258</v>
      </c>
      <c r="M14" s="126">
        <v>2.3039999999999998</v>
      </c>
      <c r="N14" s="127">
        <v>47057</v>
      </c>
      <c r="O14" s="125">
        <v>1.0999999999999999E-2</v>
      </c>
      <c r="P14" s="125">
        <v>1.6799999999999999E-2</v>
      </c>
      <c r="Q14" s="124">
        <v>0</v>
      </c>
      <c r="R14" s="124">
        <v>141268630</v>
      </c>
      <c r="S14" s="124">
        <v>1</v>
      </c>
      <c r="T14" s="124">
        <v>107.38</v>
      </c>
      <c r="U14" s="124">
        <v>151694.25489000001</v>
      </c>
      <c r="V14" s="124"/>
      <c r="W14" t="s">
        <v>16</v>
      </c>
      <c r="X14" s="125">
        <v>4.1924259360000002E-3</v>
      </c>
      <c r="Y14" s="125">
        <v>0.11499960509899999</v>
      </c>
      <c r="Z14" s="125">
        <v>2.731092907560859E-2</v>
      </c>
    </row>
    <row r="15" spans="1:26" x14ac:dyDescent="0.3">
      <c r="A15">
        <v>13908</v>
      </c>
      <c r="B15">
        <v>13908</v>
      </c>
      <c r="C15" t="s">
        <v>1267</v>
      </c>
      <c r="D15" t="s">
        <v>1294</v>
      </c>
      <c r="E15" t="s">
        <v>1295</v>
      </c>
      <c r="F15" t="s">
        <v>219</v>
      </c>
      <c r="G15" t="s">
        <v>52</v>
      </c>
      <c r="H15" t="s">
        <v>52</v>
      </c>
      <c r="I15" t="s">
        <v>303</v>
      </c>
      <c r="J15" t="s">
        <v>290</v>
      </c>
      <c r="K15" t="s">
        <v>290</v>
      </c>
      <c r="L15" t="s">
        <v>1258</v>
      </c>
      <c r="M15" s="126">
        <v>7.5030000000000001</v>
      </c>
      <c r="N15" s="127">
        <v>49398</v>
      </c>
      <c r="O15" s="125">
        <v>0.04</v>
      </c>
      <c r="P15" s="125">
        <v>3.6499999999999998E-2</v>
      </c>
      <c r="Q15" s="124">
        <v>0</v>
      </c>
      <c r="R15" s="124">
        <v>136360365</v>
      </c>
      <c r="S15" s="124">
        <v>1</v>
      </c>
      <c r="T15" s="124">
        <v>103.59</v>
      </c>
      <c r="U15" s="124">
        <v>141255.70209999999</v>
      </c>
      <c r="V15" s="124"/>
      <c r="W15" t="s">
        <v>16</v>
      </c>
      <c r="X15" s="125">
        <v>3.474780287E-3</v>
      </c>
      <c r="Y15" s="125">
        <v>0.107086125123</v>
      </c>
      <c r="Z15" s="125">
        <v>2.5431579227412855E-2</v>
      </c>
    </row>
    <row r="16" spans="1:26" x14ac:dyDescent="0.3">
      <c r="A16">
        <v>13908</v>
      </c>
      <c r="B16">
        <v>13908</v>
      </c>
      <c r="C16" t="s">
        <v>1267</v>
      </c>
      <c r="D16" t="s">
        <v>1296</v>
      </c>
      <c r="E16" t="s">
        <v>1297</v>
      </c>
      <c r="F16" t="s">
        <v>219</v>
      </c>
      <c r="G16" t="s">
        <v>52</v>
      </c>
      <c r="H16" t="s">
        <v>52</v>
      </c>
      <c r="I16" t="s">
        <v>303</v>
      </c>
      <c r="J16" t="s">
        <v>290</v>
      </c>
      <c r="K16" t="s">
        <v>290</v>
      </c>
      <c r="L16" t="s">
        <v>1258</v>
      </c>
      <c r="M16" s="126">
        <v>1.2130000000000001</v>
      </c>
      <c r="N16" s="127">
        <v>46660</v>
      </c>
      <c r="O16" s="125">
        <v>3.7499999999999999E-2</v>
      </c>
      <c r="P16" s="125">
        <v>3.2099999999999997E-2</v>
      </c>
      <c r="Q16" s="124">
        <v>0</v>
      </c>
      <c r="R16" s="124">
        <v>91132541</v>
      </c>
      <c r="S16" s="124">
        <v>1</v>
      </c>
      <c r="T16" s="124">
        <v>103.45</v>
      </c>
      <c r="U16" s="124">
        <v>94276.613660000003</v>
      </c>
      <c r="V16" s="124"/>
      <c r="W16" t="s">
        <v>16</v>
      </c>
      <c r="X16" s="125">
        <v>2.5134407330000001E-3</v>
      </c>
      <c r="Y16" s="125">
        <v>7.1471219188999999E-2</v>
      </c>
      <c r="Z16" s="125">
        <v>1.6973496531057793E-2</v>
      </c>
    </row>
    <row r="17" spans="1:26" x14ac:dyDescent="0.3">
      <c r="A17">
        <v>13908</v>
      </c>
      <c r="B17">
        <v>13908</v>
      </c>
      <c r="C17" t="s">
        <v>1267</v>
      </c>
      <c r="D17" t="s">
        <v>1298</v>
      </c>
      <c r="E17" t="s">
        <v>1299</v>
      </c>
      <c r="F17" t="s">
        <v>217</v>
      </c>
      <c r="G17" t="s">
        <v>52</v>
      </c>
      <c r="H17" t="s">
        <v>52</v>
      </c>
      <c r="I17" t="s">
        <v>303</v>
      </c>
      <c r="J17" t="s">
        <v>290</v>
      </c>
      <c r="K17" t="s">
        <v>290</v>
      </c>
      <c r="L17" t="s">
        <v>1258</v>
      </c>
      <c r="M17" s="126">
        <v>6.9080000000000004</v>
      </c>
      <c r="N17" s="127">
        <v>48883</v>
      </c>
      <c r="O17" s="125">
        <v>1.6E-2</v>
      </c>
      <c r="P17" s="125">
        <v>1.7999999999999999E-2</v>
      </c>
      <c r="Q17" s="124">
        <v>0</v>
      </c>
      <c r="R17" s="124">
        <v>10697170</v>
      </c>
      <c r="S17" s="124">
        <v>1</v>
      </c>
      <c r="T17" s="124">
        <v>106.86</v>
      </c>
      <c r="U17" s="124">
        <v>11430.995860000001</v>
      </c>
      <c r="V17" s="124"/>
      <c r="W17" t="s">
        <v>16</v>
      </c>
      <c r="X17" s="125">
        <v>3.3353915299999998E-4</v>
      </c>
      <c r="Y17" s="125">
        <v>8.6658523139999995E-3</v>
      </c>
      <c r="Z17" s="125">
        <v>2.0580286143494263E-3</v>
      </c>
    </row>
    <row r="18" spans="1:26" x14ac:dyDescent="0.3">
      <c r="A18">
        <v>13908</v>
      </c>
      <c r="B18">
        <v>13908</v>
      </c>
      <c r="C18" t="s">
        <v>1267</v>
      </c>
      <c r="D18" t="s">
        <v>1300</v>
      </c>
      <c r="E18" t="s">
        <v>1301</v>
      </c>
      <c r="F18" t="s">
        <v>220</v>
      </c>
      <c r="G18" t="s">
        <v>52</v>
      </c>
      <c r="H18" t="s">
        <v>52</v>
      </c>
      <c r="I18" t="s">
        <v>303</v>
      </c>
      <c r="J18" t="s">
        <v>290</v>
      </c>
      <c r="K18" t="s">
        <v>290</v>
      </c>
      <c r="L18" t="s">
        <v>1258</v>
      </c>
      <c r="M18" s="126">
        <v>7.3730000000000002</v>
      </c>
      <c r="N18" s="127">
        <v>49278</v>
      </c>
      <c r="O18" s="125">
        <v>3.56E-2</v>
      </c>
      <c r="P18" s="125">
        <v>3.6799999999999999E-2</v>
      </c>
      <c r="Q18" s="124">
        <v>0</v>
      </c>
      <c r="R18" s="124">
        <v>19000000</v>
      </c>
      <c r="S18" s="124">
        <v>1</v>
      </c>
      <c r="T18" s="124">
        <v>97.09</v>
      </c>
      <c r="U18" s="124">
        <v>18447.099999999999</v>
      </c>
      <c r="V18" s="124"/>
      <c r="W18" t="s">
        <v>16</v>
      </c>
      <c r="X18" s="125">
        <v>5.4965348200000002E-4</v>
      </c>
      <c r="Y18" s="125">
        <v>1.3984769672E-2</v>
      </c>
      <c r="Z18" s="125">
        <v>3.3212031669623311E-3</v>
      </c>
    </row>
    <row r="19" spans="1:26" x14ac:dyDescent="0.3">
      <c r="A19">
        <v>13908</v>
      </c>
      <c r="B19">
        <v>13908</v>
      </c>
      <c r="C19" t="s">
        <v>1267</v>
      </c>
      <c r="D19" t="s">
        <v>1302</v>
      </c>
      <c r="E19" t="s">
        <v>1303</v>
      </c>
      <c r="F19" t="s">
        <v>217</v>
      </c>
      <c r="G19" t="s">
        <v>52</v>
      </c>
      <c r="H19" t="s">
        <v>52</v>
      </c>
      <c r="I19" t="s">
        <v>303</v>
      </c>
      <c r="J19" t="s">
        <v>290</v>
      </c>
      <c r="K19" t="s">
        <v>290</v>
      </c>
      <c r="L19" t="s">
        <v>1258</v>
      </c>
      <c r="M19" s="126">
        <v>4.6420000000000003</v>
      </c>
      <c r="N19" s="127">
        <v>47968</v>
      </c>
      <c r="O19" s="125">
        <v>0.02</v>
      </c>
      <c r="P19" s="125">
        <v>1.8100000000000002E-2</v>
      </c>
      <c r="Q19" s="124">
        <v>0</v>
      </c>
      <c r="R19" s="124">
        <v>120627649</v>
      </c>
      <c r="S19" s="124">
        <v>1</v>
      </c>
      <c r="T19" s="124">
        <v>103.97</v>
      </c>
      <c r="U19" s="124">
        <v>125416.56667</v>
      </c>
      <c r="V19" s="124"/>
      <c r="W19" t="s">
        <v>16</v>
      </c>
      <c r="X19" s="125">
        <v>5.7203099900000002E-3</v>
      </c>
      <c r="Y19" s="125">
        <v>9.5078456665000005E-2</v>
      </c>
      <c r="Z19" s="125">
        <v>2.2579912203758119E-2</v>
      </c>
    </row>
    <row r="20" spans="1:26" ht="15" x14ac:dyDescent="0.25">
      <c r="A20">
        <v>13908</v>
      </c>
      <c r="B20">
        <v>13908</v>
      </c>
      <c r="C20" t="s">
        <v>1267</v>
      </c>
      <c r="D20" t="s">
        <v>1304</v>
      </c>
      <c r="E20" t="s">
        <v>1305</v>
      </c>
      <c r="F20" t="s">
        <v>219</v>
      </c>
      <c r="G20" t="s">
        <v>52</v>
      </c>
      <c r="H20" t="s">
        <v>52</v>
      </c>
      <c r="I20" t="s">
        <v>303</v>
      </c>
      <c r="J20" t="s">
        <v>290</v>
      </c>
      <c r="K20" t="s">
        <v>290</v>
      </c>
      <c r="L20" t="s">
        <v>1258</v>
      </c>
      <c r="M20" s="126">
        <v>1.97</v>
      </c>
      <c r="N20" s="127">
        <v>46965</v>
      </c>
      <c r="O20" s="125">
        <v>4.1000000000000002E-2</v>
      </c>
      <c r="P20" s="125">
        <v>3.2500000000000001E-2</v>
      </c>
      <c r="Q20" s="124">
        <v>0</v>
      </c>
      <c r="R20" s="124">
        <v>6815000</v>
      </c>
      <c r="S20" s="124">
        <v>1</v>
      </c>
      <c r="T20" s="124">
        <v>105.38</v>
      </c>
      <c r="U20" s="124">
        <v>7181.6469999999999</v>
      </c>
      <c r="V20" s="124"/>
      <c r="W20" t="s">
        <v>16</v>
      </c>
      <c r="X20" s="125">
        <v>3.4387610800000001E-4</v>
      </c>
      <c r="Y20" s="125">
        <v>5.4444156069999999E-3</v>
      </c>
      <c r="Z20" s="125">
        <v>1.2929787750055851E-3</v>
      </c>
    </row>
    <row r="21" spans="1:26" ht="15" x14ac:dyDescent="0.25">
      <c r="A21">
        <v>13908</v>
      </c>
      <c r="B21">
        <v>13908</v>
      </c>
      <c r="C21" t="s">
        <v>1267</v>
      </c>
      <c r="D21" t="s">
        <v>1306</v>
      </c>
      <c r="E21" t="s">
        <v>1307</v>
      </c>
      <c r="F21" t="s">
        <v>219</v>
      </c>
      <c r="G21" t="s">
        <v>52</v>
      </c>
      <c r="H21" t="s">
        <v>52</v>
      </c>
      <c r="I21" t="s">
        <v>303</v>
      </c>
      <c r="J21" t="s">
        <v>290</v>
      </c>
      <c r="K21" t="s">
        <v>290</v>
      </c>
      <c r="L21" t="s">
        <v>1258</v>
      </c>
      <c r="M21" s="126">
        <v>7.76</v>
      </c>
      <c r="N21" s="127">
        <v>49613</v>
      </c>
      <c r="O21" s="125">
        <v>4.1500000000000002E-2</v>
      </c>
      <c r="P21" s="125">
        <v>3.6799999999999999E-2</v>
      </c>
      <c r="Q21" s="124">
        <v>0</v>
      </c>
      <c r="R21" s="124">
        <v>54986000</v>
      </c>
      <c r="S21" s="124">
        <v>1</v>
      </c>
      <c r="T21" s="124">
        <v>106.4</v>
      </c>
      <c r="U21" s="124">
        <v>58505.103999999999</v>
      </c>
      <c r="V21" s="124"/>
      <c r="W21" t="s">
        <v>16</v>
      </c>
      <c r="X21" s="125">
        <v>3.0930492789999998E-3</v>
      </c>
      <c r="Y21" s="125">
        <v>4.4352792800999997E-2</v>
      </c>
      <c r="Z21" s="125">
        <v>1.0533218591987931E-2</v>
      </c>
    </row>
    <row r="22" spans="1:26" ht="15" x14ac:dyDescent="0.25">
      <c r="A22">
        <v>13908</v>
      </c>
      <c r="B22">
        <v>13908</v>
      </c>
      <c r="C22" t="s">
        <v>1308</v>
      </c>
      <c r="D22" t="s">
        <v>1309</v>
      </c>
      <c r="E22" t="s">
        <v>1310</v>
      </c>
      <c r="F22" t="s">
        <v>223</v>
      </c>
      <c r="G22" t="s">
        <v>52</v>
      </c>
      <c r="H22" t="s">
        <v>52</v>
      </c>
      <c r="I22" t="s">
        <v>303</v>
      </c>
      <c r="J22" t="s">
        <v>290</v>
      </c>
      <c r="K22" t="s">
        <v>290</v>
      </c>
      <c r="L22" t="s">
        <v>1258</v>
      </c>
      <c r="M22" s="126">
        <v>0.1</v>
      </c>
      <c r="N22" s="127">
        <v>46239</v>
      </c>
      <c r="O22" s="125">
        <v>0</v>
      </c>
      <c r="P22" s="125">
        <v>3.4000000000000002E-2</v>
      </c>
      <c r="Q22" s="124">
        <v>0</v>
      </c>
      <c r="R22" s="124">
        <v>3000000</v>
      </c>
      <c r="S22" s="124">
        <v>1</v>
      </c>
      <c r="T22" s="124">
        <v>99.68</v>
      </c>
      <c r="U22" s="124">
        <v>2990.4</v>
      </c>
      <c r="V22" s="124"/>
      <c r="W22" t="s">
        <v>16</v>
      </c>
      <c r="X22" s="125">
        <v>8.8235294117647105E-5</v>
      </c>
      <c r="Y22" s="125">
        <v>2.2670259940000001E-3</v>
      </c>
      <c r="Z22" s="125">
        <v>5.383895544819596E-4</v>
      </c>
    </row>
    <row r="23" spans="1:26" ht="15" x14ac:dyDescent="0.25">
      <c r="A23">
        <v>13908</v>
      </c>
      <c r="B23">
        <v>13908</v>
      </c>
      <c r="C23" t="s">
        <v>1308</v>
      </c>
      <c r="D23" t="s">
        <v>1311</v>
      </c>
      <c r="E23" t="s">
        <v>1312</v>
      </c>
      <c r="F23" t="s">
        <v>223</v>
      </c>
      <c r="G23" t="s">
        <v>52</v>
      </c>
      <c r="H23" t="s">
        <v>52</v>
      </c>
      <c r="I23" t="s">
        <v>303</v>
      </c>
      <c r="J23" t="s">
        <v>290</v>
      </c>
      <c r="K23" t="s">
        <v>290</v>
      </c>
      <c r="L23" t="s">
        <v>1258</v>
      </c>
      <c r="M23" s="126">
        <v>0.27</v>
      </c>
      <c r="N23" s="127">
        <v>46302</v>
      </c>
      <c r="O23" s="125">
        <v>0</v>
      </c>
      <c r="P23" s="125">
        <v>3.3099999999999997E-2</v>
      </c>
      <c r="Q23" s="124">
        <v>0</v>
      </c>
      <c r="R23" s="124">
        <v>13002008</v>
      </c>
      <c r="S23" s="124">
        <v>1</v>
      </c>
      <c r="T23" s="124">
        <v>99.13</v>
      </c>
      <c r="U23" s="124">
        <v>12888.890530000001</v>
      </c>
      <c r="V23" s="124"/>
      <c r="W23" t="s">
        <v>16</v>
      </c>
      <c r="X23" s="125">
        <v>7.2233377699999996E-4</v>
      </c>
      <c r="Y23" s="125">
        <v>9.7710840939999998E-3</v>
      </c>
      <c r="Z23" s="125">
        <v>2.3205069656947056E-3</v>
      </c>
    </row>
    <row r="24" spans="1:26" ht="15" x14ac:dyDescent="0.25">
      <c r="A24">
        <v>13908</v>
      </c>
      <c r="B24">
        <v>13908</v>
      </c>
      <c r="C24" t="s">
        <v>1308</v>
      </c>
      <c r="D24" t="s">
        <v>1313</v>
      </c>
      <c r="E24" t="s">
        <v>1314</v>
      </c>
      <c r="F24" t="s">
        <v>223</v>
      </c>
      <c r="G24" t="s">
        <v>52</v>
      </c>
      <c r="H24" t="s">
        <v>52</v>
      </c>
      <c r="I24" t="s">
        <v>303</v>
      </c>
      <c r="J24" t="s">
        <v>290</v>
      </c>
      <c r="K24" t="s">
        <v>290</v>
      </c>
      <c r="L24" t="s">
        <v>1258</v>
      </c>
      <c r="M24" s="126">
        <v>0.52</v>
      </c>
      <c r="N24" s="127">
        <v>46393</v>
      </c>
      <c r="O24" s="125">
        <v>0</v>
      </c>
      <c r="P24" s="125">
        <v>3.2399999999999998E-2</v>
      </c>
      <c r="Q24" s="124">
        <v>0</v>
      </c>
      <c r="R24" s="124">
        <v>705600</v>
      </c>
      <c r="S24" s="124">
        <v>1</v>
      </c>
      <c r="T24" s="124">
        <v>98.36</v>
      </c>
      <c r="U24" s="124">
        <v>694.02815999999996</v>
      </c>
      <c r="V24" s="124"/>
      <c r="W24" t="s">
        <v>16</v>
      </c>
      <c r="X24" s="125">
        <v>3.9199999999999997E-5</v>
      </c>
      <c r="Y24" s="125">
        <v>5.2614361899999999E-4</v>
      </c>
      <c r="Z24" s="125">
        <v>1.2495235147817486E-4</v>
      </c>
    </row>
    <row r="25" spans="1:26" ht="15" x14ac:dyDescent="0.25">
      <c r="A25">
        <v>13908</v>
      </c>
      <c r="B25">
        <v>13908</v>
      </c>
      <c r="C25" t="s">
        <v>1308</v>
      </c>
      <c r="D25" t="s">
        <v>1315</v>
      </c>
      <c r="E25" t="s">
        <v>1316</v>
      </c>
      <c r="F25" t="s">
        <v>223</v>
      </c>
      <c r="G25" t="s">
        <v>52</v>
      </c>
      <c r="H25" t="s">
        <v>52</v>
      </c>
      <c r="I25" t="s">
        <v>303</v>
      </c>
      <c r="J25" t="s">
        <v>290</v>
      </c>
      <c r="K25" t="s">
        <v>290</v>
      </c>
      <c r="L25" t="s">
        <v>1258</v>
      </c>
      <c r="M25" s="126">
        <v>0.59</v>
      </c>
      <c r="N25" s="127">
        <v>46421</v>
      </c>
      <c r="O25" s="125">
        <v>0</v>
      </c>
      <c r="P25" s="125">
        <v>3.2399999999999998E-2</v>
      </c>
      <c r="Q25" s="124">
        <v>0</v>
      </c>
      <c r="R25" s="124">
        <v>169000</v>
      </c>
      <c r="S25" s="124">
        <v>1</v>
      </c>
      <c r="T25" s="124">
        <v>98.12</v>
      </c>
      <c r="U25" s="124">
        <v>165.8228</v>
      </c>
      <c r="V25" s="124"/>
      <c r="W25" t="s">
        <v>16</v>
      </c>
      <c r="X25" s="125">
        <v>8.4500000000000004E-6</v>
      </c>
      <c r="Y25" s="125">
        <v>1.25710472E-4</v>
      </c>
      <c r="Z25" s="125">
        <v>2.9854622597295038E-5</v>
      </c>
    </row>
    <row r="26" spans="1:26" ht="15" x14ac:dyDescent="0.25">
      <c r="A26">
        <v>13908</v>
      </c>
      <c r="B26">
        <v>13908</v>
      </c>
      <c r="C26" t="s">
        <v>1308</v>
      </c>
      <c r="D26" t="s">
        <v>1317</v>
      </c>
      <c r="E26" t="s">
        <v>1318</v>
      </c>
      <c r="F26" t="s">
        <v>223</v>
      </c>
      <c r="G26" t="s">
        <v>52</v>
      </c>
      <c r="H26" t="s">
        <v>52</v>
      </c>
      <c r="I26" t="s">
        <v>303</v>
      </c>
      <c r="J26" t="s">
        <v>290</v>
      </c>
      <c r="K26" t="s">
        <v>290</v>
      </c>
      <c r="L26" t="s">
        <v>1258</v>
      </c>
      <c r="M26" s="126">
        <v>0.67</v>
      </c>
      <c r="N26" s="127">
        <v>46449</v>
      </c>
      <c r="O26" s="125">
        <v>0</v>
      </c>
      <c r="P26" s="125">
        <v>3.2300000000000002E-2</v>
      </c>
      <c r="Q26" s="124">
        <v>0</v>
      </c>
      <c r="R26" s="124">
        <v>951400</v>
      </c>
      <c r="S26" s="124">
        <v>1</v>
      </c>
      <c r="T26" s="124">
        <v>97.89</v>
      </c>
      <c r="U26" s="124">
        <v>931.32546000000002</v>
      </c>
      <c r="V26" s="124"/>
      <c r="W26" t="s">
        <v>16</v>
      </c>
      <c r="X26" s="125">
        <v>5.2855555555555601E-5</v>
      </c>
      <c r="Y26" s="125">
        <v>7.0603899999999999E-4</v>
      </c>
      <c r="Z26" s="125">
        <v>1.676751937824726E-4</v>
      </c>
    </row>
    <row r="27" spans="1:26" ht="15" x14ac:dyDescent="0.25">
      <c r="A27">
        <v>13908</v>
      </c>
      <c r="B27">
        <v>13908</v>
      </c>
      <c r="C27" t="s">
        <v>1308</v>
      </c>
      <c r="D27" t="s">
        <v>1319</v>
      </c>
      <c r="E27" t="s">
        <v>1320</v>
      </c>
      <c r="F27" t="s">
        <v>223</v>
      </c>
      <c r="G27" t="s">
        <v>52</v>
      </c>
      <c r="H27" t="s">
        <v>52</v>
      </c>
      <c r="I27" t="s">
        <v>303</v>
      </c>
      <c r="J27" t="s">
        <v>290</v>
      </c>
      <c r="K27" t="s">
        <v>290</v>
      </c>
      <c r="L27" t="s">
        <v>1258</v>
      </c>
      <c r="M27" s="126">
        <v>0.77</v>
      </c>
      <c r="N27" s="127">
        <v>46484</v>
      </c>
      <c r="O27" s="125">
        <v>0</v>
      </c>
      <c r="P27" s="125">
        <v>3.7199999999999997E-2</v>
      </c>
      <c r="Q27" s="124">
        <v>0</v>
      </c>
      <c r="R27" s="124">
        <v>65000</v>
      </c>
      <c r="S27" s="124">
        <v>1</v>
      </c>
      <c r="T27" s="124">
        <v>97.63</v>
      </c>
      <c r="U27" s="124">
        <v>63.459499999999998</v>
      </c>
      <c r="V27" s="124"/>
      <c r="W27" t="s">
        <v>16</v>
      </c>
      <c r="X27" s="125">
        <v>3.6111111111111102E-6</v>
      </c>
      <c r="Y27" s="125">
        <v>4.8108726629903702E-5</v>
      </c>
      <c r="Z27" s="125">
        <v>1.1425204632372897E-5</v>
      </c>
    </row>
    <row r="28" spans="1:26" ht="15" x14ac:dyDescent="0.25">
      <c r="A28">
        <v>13908</v>
      </c>
      <c r="B28">
        <v>13908</v>
      </c>
      <c r="C28" t="s">
        <v>1308</v>
      </c>
      <c r="D28" t="s">
        <v>1321</v>
      </c>
      <c r="E28" t="s">
        <v>1322</v>
      </c>
      <c r="F28" t="s">
        <v>223</v>
      </c>
      <c r="G28" t="s">
        <v>52</v>
      </c>
      <c r="H28" t="s">
        <v>52</v>
      </c>
      <c r="I28" t="s">
        <v>303</v>
      </c>
      <c r="J28" t="s">
        <v>290</v>
      </c>
      <c r="K28" t="s">
        <v>290</v>
      </c>
      <c r="L28" t="s">
        <v>1258</v>
      </c>
      <c r="M28" s="126">
        <v>0.84</v>
      </c>
      <c r="N28" s="127">
        <v>46512</v>
      </c>
      <c r="O28" s="125">
        <v>0</v>
      </c>
      <c r="P28" s="125">
        <v>3.2199999999999999E-2</v>
      </c>
      <c r="Q28" s="124">
        <v>0</v>
      </c>
      <c r="R28" s="124">
        <v>24750000</v>
      </c>
      <c r="S28" s="124">
        <v>1</v>
      </c>
      <c r="T28" s="124">
        <v>97.36</v>
      </c>
      <c r="U28" s="124">
        <v>24096.6</v>
      </c>
      <c r="V28" s="124"/>
      <c r="W28" t="s">
        <v>16</v>
      </c>
      <c r="X28" s="125">
        <v>1.3749999999999999E-3</v>
      </c>
      <c r="Y28" s="125">
        <v>1.8267662715000001E-2</v>
      </c>
      <c r="Z28" s="125">
        <v>4.3383352523174113E-3</v>
      </c>
    </row>
    <row r="29" spans="1:26" ht="15" x14ac:dyDescent="0.25">
      <c r="A29">
        <v>13908</v>
      </c>
      <c r="B29">
        <v>13908</v>
      </c>
      <c r="C29" t="s">
        <v>1308</v>
      </c>
      <c r="D29" t="s">
        <v>1323</v>
      </c>
      <c r="E29" t="s">
        <v>1324</v>
      </c>
      <c r="F29" t="s">
        <v>223</v>
      </c>
      <c r="G29" t="s">
        <v>52</v>
      </c>
      <c r="H29" t="s">
        <v>52</v>
      </c>
      <c r="I29" t="s">
        <v>303</v>
      </c>
      <c r="J29" t="s">
        <v>290</v>
      </c>
      <c r="K29" t="s">
        <v>290</v>
      </c>
      <c r="L29" t="s">
        <v>1258</v>
      </c>
      <c r="M29" s="126">
        <v>0.92</v>
      </c>
      <c r="N29" s="127">
        <v>46540</v>
      </c>
      <c r="O29" s="125">
        <v>0</v>
      </c>
      <c r="P29" s="125">
        <v>3.1899999999999998E-2</v>
      </c>
      <c r="Q29" s="124">
        <v>0</v>
      </c>
      <c r="R29" s="124">
        <v>394000</v>
      </c>
      <c r="S29" s="124">
        <v>1</v>
      </c>
      <c r="T29" s="124">
        <v>97.15</v>
      </c>
      <c r="U29" s="124">
        <v>382.77100000000002</v>
      </c>
      <c r="V29" s="124"/>
      <c r="W29" t="s">
        <v>16</v>
      </c>
      <c r="X29" s="125">
        <v>2.1888888888888901E-5</v>
      </c>
      <c r="Y29" s="125">
        <v>2.9017917500000001E-4</v>
      </c>
      <c r="Z29" s="125">
        <v>6.8913826965828697E-5</v>
      </c>
    </row>
    <row r="30" spans="1:26" ht="15" x14ac:dyDescent="0.25">
      <c r="A30">
        <v>13908</v>
      </c>
      <c r="B30">
        <v>13908</v>
      </c>
      <c r="C30" t="s">
        <v>1325</v>
      </c>
      <c r="D30" t="s">
        <v>1326</v>
      </c>
      <c r="E30" t="s">
        <v>1327</v>
      </c>
      <c r="F30" t="s">
        <v>242</v>
      </c>
      <c r="G30" t="s">
        <v>52</v>
      </c>
      <c r="H30" t="s">
        <v>52</v>
      </c>
      <c r="I30" t="s">
        <v>481</v>
      </c>
      <c r="J30" t="s">
        <v>1328</v>
      </c>
      <c r="K30" t="s">
        <v>83</v>
      </c>
      <c r="L30" t="s">
        <v>1265</v>
      </c>
      <c r="M30" s="126">
        <v>9.2349999999999994</v>
      </c>
      <c r="N30" s="127">
        <v>50058</v>
      </c>
      <c r="O30" s="125">
        <v>2.375E-2</v>
      </c>
      <c r="P30" s="125">
        <v>4.036E-2</v>
      </c>
      <c r="Q30" s="124">
        <v>0</v>
      </c>
      <c r="R30" s="124">
        <v>395000</v>
      </c>
      <c r="S30" s="124">
        <v>3.3944999999999999</v>
      </c>
      <c r="T30" s="124">
        <v>87.027100000000004</v>
      </c>
      <c r="U30" s="124">
        <v>1166.88329</v>
      </c>
      <c r="V30" s="124"/>
      <c r="W30" t="s">
        <v>16</v>
      </c>
      <c r="X30" s="125">
        <v>5.2666666600000001E-4</v>
      </c>
      <c r="Y30" s="125">
        <v>8.8461568700000002E-4</v>
      </c>
      <c r="Z30" s="125">
        <v>2.1008486310712386E-4</v>
      </c>
    </row>
    <row r="31" spans="1:26" ht="15" x14ac:dyDescent="0.25">
      <c r="A31">
        <v>13908</v>
      </c>
      <c r="B31">
        <v>13908</v>
      </c>
      <c r="C31" t="s">
        <v>1325</v>
      </c>
      <c r="D31" t="s">
        <v>1329</v>
      </c>
      <c r="E31" t="s">
        <v>1330</v>
      </c>
      <c r="F31" t="s">
        <v>242</v>
      </c>
      <c r="G31" t="s">
        <v>52</v>
      </c>
      <c r="H31" t="s">
        <v>52</v>
      </c>
      <c r="I31" t="s">
        <v>481</v>
      </c>
      <c r="J31" t="s">
        <v>1331</v>
      </c>
      <c r="K31" t="s">
        <v>83</v>
      </c>
      <c r="L31" t="s">
        <v>1260</v>
      </c>
      <c r="M31" s="126">
        <v>4.5759999999999996</v>
      </c>
      <c r="N31" s="127">
        <v>48158</v>
      </c>
      <c r="O31" s="125">
        <v>6.5000000000000002E-2</v>
      </c>
      <c r="P31" s="125">
        <v>5.0209999999999998E-2</v>
      </c>
      <c r="Q31" s="124">
        <v>0</v>
      </c>
      <c r="R31" s="124">
        <v>100000</v>
      </c>
      <c r="S31" s="124">
        <v>2.9780000000000002</v>
      </c>
      <c r="T31" s="124">
        <v>107.9203</v>
      </c>
      <c r="U31" s="124">
        <v>321.38664999999997</v>
      </c>
      <c r="V31" s="124"/>
      <c r="W31" t="s">
        <v>16</v>
      </c>
      <c r="X31" s="125">
        <v>6.6666666666666697E-5</v>
      </c>
      <c r="Y31" s="125">
        <v>2.4364362199999999E-4</v>
      </c>
      <c r="Z31" s="125">
        <v>5.7862230908891606E-5</v>
      </c>
    </row>
    <row r="32" spans="1:26" ht="15" x14ac:dyDescent="0.25">
      <c r="A32">
        <v>13908</v>
      </c>
      <c r="B32">
        <v>13908</v>
      </c>
      <c r="C32" t="s">
        <v>1325</v>
      </c>
      <c r="D32" t="s">
        <v>1332</v>
      </c>
      <c r="E32" t="s">
        <v>1333</v>
      </c>
      <c r="F32" t="s">
        <v>242</v>
      </c>
      <c r="G32" t="s">
        <v>52</v>
      </c>
      <c r="H32" t="s">
        <v>52</v>
      </c>
      <c r="I32" t="s">
        <v>481</v>
      </c>
      <c r="J32" t="s">
        <v>1331</v>
      </c>
      <c r="K32" t="s">
        <v>83</v>
      </c>
      <c r="L32" t="s">
        <v>1260</v>
      </c>
      <c r="M32" s="126">
        <v>13.641</v>
      </c>
      <c r="N32" s="127">
        <v>56320</v>
      </c>
      <c r="O32" s="125">
        <v>5.7500000000000002E-2</v>
      </c>
      <c r="P32" s="125">
        <v>6.062E-2</v>
      </c>
      <c r="Q32" s="124">
        <v>0</v>
      </c>
      <c r="R32" s="124">
        <v>561000</v>
      </c>
      <c r="S32" s="124">
        <v>2.9780000000000002</v>
      </c>
      <c r="T32" s="124">
        <v>97.584900000000005</v>
      </c>
      <c r="U32" s="124">
        <v>1630.3099400000001</v>
      </c>
      <c r="V32" s="124"/>
      <c r="W32" t="s">
        <v>16</v>
      </c>
      <c r="X32" s="125">
        <v>1.8699999999999999E-4</v>
      </c>
      <c r="Y32" s="125">
        <v>1.235940012E-3</v>
      </c>
      <c r="Z32" s="125">
        <v>2.9351987769666611E-4</v>
      </c>
    </row>
    <row r="33" spans="1:26" ht="15" x14ac:dyDescent="0.25">
      <c r="A33">
        <v>13908</v>
      </c>
      <c r="B33">
        <v>13908</v>
      </c>
      <c r="C33" t="s">
        <v>1325</v>
      </c>
      <c r="D33" t="s">
        <v>1334</v>
      </c>
      <c r="E33" t="s">
        <v>1335</v>
      </c>
      <c r="F33" t="s">
        <v>242</v>
      </c>
      <c r="G33" t="s">
        <v>52</v>
      </c>
      <c r="H33" t="s">
        <v>52</v>
      </c>
      <c r="I33" t="s">
        <v>481</v>
      </c>
      <c r="J33" t="s">
        <v>1331</v>
      </c>
      <c r="K33" t="s">
        <v>83</v>
      </c>
      <c r="L33" t="s">
        <v>1260</v>
      </c>
      <c r="M33" s="126">
        <v>6.2880000000000003</v>
      </c>
      <c r="N33" s="127">
        <v>49015</v>
      </c>
      <c r="O33" s="125">
        <v>5.5E-2</v>
      </c>
      <c r="P33" s="125">
        <v>5.2240000000000002E-2</v>
      </c>
      <c r="Q33" s="124">
        <v>0</v>
      </c>
      <c r="R33" s="124">
        <v>1762000</v>
      </c>
      <c r="S33" s="124">
        <v>2.9780000000000002</v>
      </c>
      <c r="T33" s="124">
        <v>103.4016</v>
      </c>
      <c r="U33" s="124">
        <v>5425.7259800000002</v>
      </c>
      <c r="V33" s="124"/>
      <c r="W33" t="s">
        <v>16</v>
      </c>
      <c r="X33" s="125">
        <v>5.8733333299999997E-4</v>
      </c>
      <c r="Y33" s="125">
        <v>4.1132496769999997E-3</v>
      </c>
      <c r="Z33" s="125">
        <v>9.7684396505932111E-4</v>
      </c>
    </row>
    <row r="34" spans="1:26" ht="15" x14ac:dyDescent="0.25">
      <c r="A34">
        <v>13908</v>
      </c>
      <c r="B34">
        <v>13908</v>
      </c>
      <c r="C34" t="s">
        <v>1325</v>
      </c>
      <c r="D34" t="s">
        <v>1336</v>
      </c>
      <c r="E34" t="s">
        <v>1337</v>
      </c>
      <c r="F34" t="s">
        <v>242</v>
      </c>
      <c r="G34" t="s">
        <v>52</v>
      </c>
      <c r="H34" t="s">
        <v>52</v>
      </c>
      <c r="I34" t="s">
        <v>481</v>
      </c>
      <c r="J34" t="s">
        <v>1331</v>
      </c>
      <c r="K34" t="s">
        <v>83</v>
      </c>
      <c r="L34" t="s">
        <v>1260</v>
      </c>
      <c r="M34" s="126">
        <v>2.5059999999999998</v>
      </c>
      <c r="N34" s="127">
        <v>47189</v>
      </c>
      <c r="O34" s="125">
        <v>5.3749999999999999E-2</v>
      </c>
      <c r="P34" s="125">
        <v>4.9149999999999999E-2</v>
      </c>
      <c r="Q34" s="124">
        <v>0</v>
      </c>
      <c r="R34" s="124">
        <v>200000</v>
      </c>
      <c r="S34" s="124">
        <v>2.9780000000000002</v>
      </c>
      <c r="T34" s="124">
        <v>102.7824</v>
      </c>
      <c r="U34" s="124">
        <v>612.17196999999999</v>
      </c>
      <c r="V34" s="124"/>
      <c r="W34" t="s">
        <v>16</v>
      </c>
      <c r="X34" s="125">
        <v>1E-4</v>
      </c>
      <c r="Y34" s="125">
        <v>4.6408833899999998E-4</v>
      </c>
      <c r="Z34" s="125">
        <v>1.1021501946048806E-4</v>
      </c>
    </row>
    <row r="35" spans="1:26" ht="15" x14ac:dyDescent="0.25">
      <c r="A35">
        <v>13908</v>
      </c>
      <c r="B35">
        <v>13908</v>
      </c>
      <c r="C35" t="s">
        <v>1325</v>
      </c>
      <c r="D35" t="s">
        <v>1338</v>
      </c>
      <c r="E35" t="s">
        <v>1339</v>
      </c>
      <c r="F35" t="s">
        <v>242</v>
      </c>
      <c r="G35" t="s">
        <v>52</v>
      </c>
      <c r="H35" t="s">
        <v>52</v>
      </c>
      <c r="I35" t="s">
        <v>481</v>
      </c>
      <c r="J35" t="s">
        <v>1328</v>
      </c>
      <c r="K35" t="s">
        <v>83</v>
      </c>
      <c r="L35" t="s">
        <v>1260</v>
      </c>
      <c r="M35" s="126">
        <v>6.8410000000000002</v>
      </c>
      <c r="N35" s="127">
        <v>49359</v>
      </c>
      <c r="O35" s="125">
        <v>5.6250000000000001E-2</v>
      </c>
      <c r="P35" s="125">
        <v>5.2630000000000003E-2</v>
      </c>
      <c r="Q35" s="124">
        <v>0</v>
      </c>
      <c r="R35" s="124">
        <v>12869000</v>
      </c>
      <c r="S35" s="124">
        <v>2.9780000000000002</v>
      </c>
      <c r="T35" s="124">
        <v>104.5591</v>
      </c>
      <c r="U35" s="124">
        <v>40071.106099999997</v>
      </c>
      <c r="V35" s="124"/>
      <c r="W35" t="s">
        <v>16</v>
      </c>
      <c r="X35" s="125">
        <v>5.1475999999999996E-3</v>
      </c>
      <c r="Y35" s="125">
        <v>3.0377955847E-2</v>
      </c>
      <c r="Z35" s="125">
        <v>7.214374318077291E-3</v>
      </c>
    </row>
    <row r="36" spans="1:26" ht="15" x14ac:dyDescent="0.25">
      <c r="A36">
        <v>13908</v>
      </c>
      <c r="B36">
        <v>13908</v>
      </c>
      <c r="C36" t="s">
        <v>1325</v>
      </c>
      <c r="D36" t="s">
        <v>1340</v>
      </c>
      <c r="E36" t="s">
        <v>1341</v>
      </c>
      <c r="F36" t="s">
        <v>242</v>
      </c>
      <c r="G36" t="s">
        <v>52</v>
      </c>
      <c r="H36" t="s">
        <v>52</v>
      </c>
      <c r="I36" t="s">
        <v>475</v>
      </c>
      <c r="J36" t="s">
        <v>1328</v>
      </c>
      <c r="K36" t="s">
        <v>83</v>
      </c>
      <c r="L36" t="s">
        <v>1260</v>
      </c>
      <c r="M36" s="126">
        <v>4.0570000000000004</v>
      </c>
      <c r="N36" s="127">
        <v>47861</v>
      </c>
      <c r="O36" s="125">
        <v>4.4999999999999998E-2</v>
      </c>
      <c r="P36" s="125">
        <v>5.008E-2</v>
      </c>
      <c r="Q36" s="124">
        <v>0</v>
      </c>
      <c r="R36" s="124">
        <v>900000</v>
      </c>
      <c r="S36" s="124">
        <v>2.9780000000000002</v>
      </c>
      <c r="T36" s="124">
        <v>100.0735</v>
      </c>
      <c r="U36" s="124">
        <v>2682.16995</v>
      </c>
      <c r="V36" s="124"/>
      <c r="W36" t="s">
        <v>16</v>
      </c>
      <c r="X36" s="125">
        <v>4.0000000000000002E-4</v>
      </c>
      <c r="Y36" s="125">
        <v>2.0333564060000002E-3</v>
      </c>
      <c r="Z36" s="125">
        <v>4.8289602876718825E-4</v>
      </c>
    </row>
    <row r="37" spans="1:26" ht="15" x14ac:dyDescent="0.25">
      <c r="A37">
        <v>13908</v>
      </c>
      <c r="B37">
        <v>13908</v>
      </c>
      <c r="C37" t="s">
        <v>1325</v>
      </c>
      <c r="D37" t="s">
        <v>1342</v>
      </c>
      <c r="E37" t="s">
        <v>1343</v>
      </c>
      <c r="F37" t="s">
        <v>242</v>
      </c>
      <c r="G37" t="s">
        <v>52</v>
      </c>
      <c r="H37" t="s">
        <v>52</v>
      </c>
      <c r="I37" t="s">
        <v>481</v>
      </c>
      <c r="J37" t="s">
        <v>1328</v>
      </c>
      <c r="K37" t="s">
        <v>83</v>
      </c>
      <c r="L37" t="s">
        <v>1260</v>
      </c>
      <c r="M37" s="126">
        <v>7.49</v>
      </c>
      <c r="N37" s="127">
        <v>49687</v>
      </c>
      <c r="O37" s="125">
        <v>0.05</v>
      </c>
      <c r="P37" s="125">
        <v>5.3170000000000002E-2</v>
      </c>
      <c r="Q37" s="124">
        <v>0</v>
      </c>
      <c r="R37" s="124">
        <v>1000000</v>
      </c>
      <c r="S37" s="124">
        <v>2.9780000000000002</v>
      </c>
      <c r="T37" s="124">
        <v>100.00020000000001</v>
      </c>
      <c r="U37" s="124">
        <v>2978.00596</v>
      </c>
      <c r="V37" s="124"/>
      <c r="W37" t="s">
        <v>16</v>
      </c>
      <c r="X37" s="125">
        <v>5.0000000000000001E-4</v>
      </c>
      <c r="Y37" s="125">
        <v>2.2576300569999998E-3</v>
      </c>
      <c r="Z37" s="125">
        <v>5.3615814006454667E-4</v>
      </c>
    </row>
    <row r="38" spans="1:26" ht="15" x14ac:dyDescent="0.25">
      <c r="A38">
        <v>13908</v>
      </c>
      <c r="B38">
        <v>13908</v>
      </c>
      <c r="C38" t="s">
        <v>1325</v>
      </c>
      <c r="D38" t="s">
        <v>1344</v>
      </c>
      <c r="E38" t="s">
        <v>1345</v>
      </c>
      <c r="F38" t="s">
        <v>242</v>
      </c>
      <c r="G38" t="s">
        <v>52</v>
      </c>
      <c r="H38" t="s">
        <v>52</v>
      </c>
      <c r="I38" t="s">
        <v>475</v>
      </c>
      <c r="J38" t="s">
        <v>1328</v>
      </c>
      <c r="K38" t="s">
        <v>83</v>
      </c>
      <c r="L38" t="s">
        <v>1260</v>
      </c>
      <c r="M38" s="126">
        <v>13.753</v>
      </c>
      <c r="N38" s="127">
        <v>56992</v>
      </c>
      <c r="O38" s="125">
        <v>5.8000000000000003E-2</v>
      </c>
      <c r="P38" s="125">
        <v>6.0859999999999997E-2</v>
      </c>
      <c r="Q38" s="124">
        <v>0</v>
      </c>
      <c r="R38" s="124">
        <v>300000</v>
      </c>
      <c r="S38" s="124">
        <v>2.9780000000000002</v>
      </c>
      <c r="T38" s="124">
        <v>99.88</v>
      </c>
      <c r="U38" s="124">
        <v>892.32791999999995</v>
      </c>
      <c r="V38" s="124"/>
      <c r="W38" t="s">
        <v>16</v>
      </c>
      <c r="X38" s="125">
        <v>1.7142857099999999E-4</v>
      </c>
      <c r="Y38" s="125">
        <v>6.7647491599999996E-4</v>
      </c>
      <c r="Z38" s="125">
        <v>1.6065410356494569E-4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>
      <selection activeCell="K14" sqref="K14"/>
    </sheetView>
  </sheetViews>
  <sheetFormatPr defaultColWidth="0" defaultRowHeight="14" x14ac:dyDescent="0.3"/>
  <cols>
    <col min="1" max="36" width="11.58203125" customWidth="1"/>
    <col min="37" max="16384" width="11.58203125" hidden="1"/>
  </cols>
  <sheetData>
    <row r="1" spans="1:36" s="4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4</v>
      </c>
      <c r="M1" s="13" t="s">
        <v>8</v>
      </c>
      <c r="N1" s="13" t="s">
        <v>593</v>
      </c>
      <c r="O1" s="13" t="s">
        <v>5</v>
      </c>
      <c r="P1" s="13" t="s">
        <v>7</v>
      </c>
      <c r="Q1" s="13" t="s">
        <v>1098</v>
      </c>
      <c r="R1" s="13" t="s">
        <v>387</v>
      </c>
      <c r="S1" s="13" t="s">
        <v>12</v>
      </c>
      <c r="T1" s="13" t="s">
        <v>301</v>
      </c>
      <c r="U1" s="13" t="s">
        <v>412</v>
      </c>
      <c r="V1" s="13" t="s">
        <v>13</v>
      </c>
      <c r="W1" s="13" t="s">
        <v>608</v>
      </c>
      <c r="X1" s="13" t="s">
        <v>884</v>
      </c>
      <c r="Y1" s="13" t="s">
        <v>654</v>
      </c>
      <c r="Z1" s="13" t="s">
        <v>747</v>
      </c>
      <c r="AA1" s="13" t="s">
        <v>10</v>
      </c>
      <c r="AB1" s="13" t="s">
        <v>14</v>
      </c>
      <c r="AC1" s="13" t="s">
        <v>895</v>
      </c>
      <c r="AD1" s="13" t="s">
        <v>1105</v>
      </c>
      <c r="AE1" s="13" t="s">
        <v>1106</v>
      </c>
      <c r="AF1" s="13" t="s">
        <v>760</v>
      </c>
      <c r="AG1" s="13" t="s">
        <v>25</v>
      </c>
      <c r="AH1" s="13" t="s">
        <v>17</v>
      </c>
      <c r="AI1" s="13" t="s">
        <v>18</v>
      </c>
      <c r="AJ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96"/>
  <sheetViews>
    <sheetView rightToLeft="1" topLeftCell="O1" zoomScale="90" zoomScaleNormal="90" workbookViewId="0">
      <selection activeCell="AC2" sqref="AC2"/>
    </sheetView>
  </sheetViews>
  <sheetFormatPr defaultColWidth="0" defaultRowHeight="14" x14ac:dyDescent="0.3"/>
  <cols>
    <col min="1" max="2" width="10.58203125" bestFit="1" customWidth="1"/>
    <col min="3" max="3" width="39.4140625" bestFit="1" customWidth="1"/>
    <col min="4" max="4" width="24.83203125" bestFit="1" customWidth="1"/>
    <col min="5" max="5" width="10.83203125" bestFit="1" customWidth="1"/>
    <col min="6" max="6" width="20.4140625" bestFit="1" customWidth="1"/>
    <col min="7" max="7" width="14" bestFit="1" customWidth="1"/>
    <col min="8" max="8" width="9.1640625" bestFit="1" customWidth="1"/>
    <col min="9" max="9" width="35.58203125" bestFit="1" customWidth="1"/>
    <col min="10" max="10" width="10" bestFit="1" customWidth="1"/>
    <col min="11" max="11" width="9.25" bestFit="1" customWidth="1"/>
    <col min="12" max="12" width="7.83203125" bestFit="1" customWidth="1"/>
    <col min="13" max="13" width="10.4140625" bestFit="1" customWidth="1"/>
    <col min="14" max="14" width="38.25" bestFit="1" customWidth="1"/>
    <col min="15" max="15" width="11" bestFit="1" customWidth="1"/>
    <col min="16" max="16" width="6.83203125" bestFit="1" customWidth="1"/>
    <col min="17" max="17" width="13.4140625" bestFit="1" customWidth="1"/>
    <col min="18" max="18" width="11.58203125" customWidth="1"/>
    <col min="19" max="19" width="11.25" bestFit="1" customWidth="1"/>
    <col min="20" max="20" width="6.58203125" bestFit="1" customWidth="1"/>
    <col min="21" max="21" width="10.75" bestFit="1" customWidth="1"/>
    <col min="22" max="22" width="10.58203125" bestFit="1" customWidth="1"/>
    <col min="23" max="23" width="7.83203125" bestFit="1" customWidth="1"/>
    <col min="24" max="24" width="11.75" bestFit="1" customWidth="1"/>
    <col min="25" max="25" width="10.1640625" bestFit="1" customWidth="1"/>
    <col min="26" max="26" width="13.83203125" bestFit="1" customWidth="1"/>
    <col min="27" max="27" width="9.83203125" bestFit="1" customWidth="1"/>
    <col min="28" max="28" width="8.4140625" bestFit="1" customWidth="1"/>
    <col min="29" max="29" width="9.75" bestFit="1" customWidth="1"/>
    <col min="30" max="31" width="10.83203125" bestFit="1" customWidth="1"/>
    <col min="32" max="32" width="8.1640625" bestFit="1" customWidth="1"/>
    <col min="33" max="33" width="10.1640625" bestFit="1" customWidth="1"/>
    <col min="34" max="34" width="10.83203125" bestFit="1" customWidth="1"/>
    <col min="35" max="35" width="11.1640625" bestFit="1" customWidth="1"/>
    <col min="36" max="36" width="10" bestFit="1" customWidth="1"/>
    <col min="37" max="16384" width="11.58203125" hidden="1"/>
  </cols>
  <sheetData>
    <row r="1" spans="1:36" s="2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596</v>
      </c>
      <c r="M1" s="13" t="s">
        <v>4</v>
      </c>
      <c r="N1" s="13" t="s">
        <v>8</v>
      </c>
      <c r="O1" s="13" t="s">
        <v>593</v>
      </c>
      <c r="P1" s="13" t="s">
        <v>5</v>
      </c>
      <c r="Q1" s="13" t="s">
        <v>7</v>
      </c>
      <c r="R1" s="13" t="s">
        <v>1098</v>
      </c>
      <c r="S1" s="13" t="s">
        <v>387</v>
      </c>
      <c r="T1" s="13" t="s">
        <v>12</v>
      </c>
      <c r="U1" s="13" t="s">
        <v>412</v>
      </c>
      <c r="V1" s="13" t="s">
        <v>13</v>
      </c>
      <c r="W1" s="13" t="s">
        <v>608</v>
      </c>
      <c r="X1" s="13" t="s">
        <v>884</v>
      </c>
      <c r="Y1" s="13" t="s">
        <v>654</v>
      </c>
      <c r="Z1" s="13" t="s">
        <v>747</v>
      </c>
      <c r="AA1" s="13" t="s">
        <v>10</v>
      </c>
      <c r="AB1" s="13" t="s">
        <v>14</v>
      </c>
      <c r="AC1" s="13" t="s">
        <v>895</v>
      </c>
      <c r="AD1" s="13" t="s">
        <v>1105</v>
      </c>
      <c r="AE1" s="13" t="s">
        <v>1106</v>
      </c>
      <c r="AF1" s="13" t="s">
        <v>760</v>
      </c>
      <c r="AG1" s="13" t="s">
        <v>25</v>
      </c>
      <c r="AH1" s="13" t="s">
        <v>17</v>
      </c>
      <c r="AI1" s="13" t="s">
        <v>18</v>
      </c>
      <c r="AJ1" s="13" t="s">
        <v>29</v>
      </c>
    </row>
    <row r="2" spans="1:36" x14ac:dyDescent="0.3">
      <c r="A2">
        <v>13908</v>
      </c>
      <c r="B2">
        <v>13908</v>
      </c>
      <c r="C2" t="s">
        <v>1346</v>
      </c>
      <c r="D2">
        <v>520043605</v>
      </c>
      <c r="E2" t="s">
        <v>420</v>
      </c>
      <c r="F2" t="s">
        <v>1347</v>
      </c>
      <c r="G2" t="s">
        <v>1348</v>
      </c>
      <c r="H2" t="s">
        <v>75</v>
      </c>
      <c r="I2" t="s">
        <v>225</v>
      </c>
      <c r="J2" t="s">
        <v>52</v>
      </c>
      <c r="K2" t="s">
        <v>52</v>
      </c>
      <c r="L2" t="s">
        <v>775</v>
      </c>
      <c r="M2" t="s">
        <v>303</v>
      </c>
      <c r="N2" t="s">
        <v>258</v>
      </c>
      <c r="O2" t="s">
        <v>61</v>
      </c>
      <c r="P2" t="s">
        <v>1349</v>
      </c>
      <c r="Q2" t="s">
        <v>64</v>
      </c>
      <c r="R2" t="s">
        <v>56</v>
      </c>
      <c r="S2" t="s">
        <v>1258</v>
      </c>
      <c r="T2" s="126">
        <v>4.78</v>
      </c>
      <c r="U2" s="127">
        <v>50009</v>
      </c>
      <c r="V2" s="125">
        <v>5.1499999999999997E-2</v>
      </c>
      <c r="W2" s="125">
        <v>3.04E-2</v>
      </c>
      <c r="X2" t="s">
        <v>607</v>
      </c>
      <c r="Z2" s="124">
        <v>338274.88</v>
      </c>
      <c r="AA2" s="124">
        <v>1</v>
      </c>
      <c r="AB2" s="124">
        <v>159.30000000000001</v>
      </c>
      <c r="AC2" s="124">
        <v>0</v>
      </c>
      <c r="AD2" s="124">
        <v>538.87188000000003</v>
      </c>
      <c r="AE2" s="124"/>
      <c r="AF2" s="124"/>
      <c r="AG2" t="s">
        <v>16</v>
      </c>
      <c r="AH2" s="125">
        <v>1.9230141599999999E-4</v>
      </c>
      <c r="AI2" s="125">
        <v>8.0414212200000004E-4</v>
      </c>
      <c r="AJ2" s="125">
        <f>AD2/'סכום נכסים'!$B$30</f>
        <v>9.7018121788408241E-5</v>
      </c>
    </row>
    <row r="3" spans="1:36" x14ac:dyDescent="0.3">
      <c r="A3">
        <v>13908</v>
      </c>
      <c r="B3">
        <v>13908</v>
      </c>
      <c r="C3" t="s">
        <v>1350</v>
      </c>
      <c r="D3">
        <v>520026683</v>
      </c>
      <c r="E3" t="s">
        <v>420</v>
      </c>
      <c r="F3" t="s">
        <v>1351</v>
      </c>
      <c r="G3" t="s">
        <v>1352</v>
      </c>
      <c r="H3" t="s">
        <v>75</v>
      </c>
      <c r="I3" t="s">
        <v>225</v>
      </c>
      <c r="J3" t="s">
        <v>52</v>
      </c>
      <c r="K3" t="s">
        <v>52</v>
      </c>
      <c r="L3" t="s">
        <v>775</v>
      </c>
      <c r="M3" t="s">
        <v>303</v>
      </c>
      <c r="N3" t="s">
        <v>620</v>
      </c>
      <c r="O3" t="s">
        <v>61</v>
      </c>
      <c r="P3" t="s">
        <v>1353</v>
      </c>
      <c r="Q3" t="s">
        <v>64</v>
      </c>
      <c r="R3" t="s">
        <v>56</v>
      </c>
      <c r="S3" t="s">
        <v>1258</v>
      </c>
      <c r="T3" s="126">
        <v>1.4910000000000001</v>
      </c>
      <c r="U3" s="127">
        <v>46936</v>
      </c>
      <c r="V3" s="125">
        <v>3.2000000000000001E-2</v>
      </c>
      <c r="W3" s="125">
        <v>2.23E-2</v>
      </c>
      <c r="X3" t="s">
        <v>607</v>
      </c>
      <c r="Z3" s="124">
        <v>542283.75</v>
      </c>
      <c r="AA3" s="124">
        <v>1</v>
      </c>
      <c r="AB3" s="124">
        <v>120.75</v>
      </c>
      <c r="AC3" s="124">
        <v>17.62677</v>
      </c>
      <c r="AD3" s="124">
        <v>672.43439999999998</v>
      </c>
      <c r="AE3" s="124"/>
      <c r="AF3" s="124"/>
      <c r="AG3" t="s">
        <v>16</v>
      </c>
      <c r="AH3" s="125">
        <v>1.9643186380000001E-3</v>
      </c>
      <c r="AI3" s="125">
        <v>1.00345341E-3</v>
      </c>
      <c r="AJ3" s="125">
        <f>AD3/'סכום נכסים'!$B$30</f>
        <v>1.210646258140529E-4</v>
      </c>
    </row>
    <row r="4" spans="1:36" x14ac:dyDescent="0.3">
      <c r="A4">
        <v>13908</v>
      </c>
      <c r="B4">
        <v>13908</v>
      </c>
      <c r="C4" t="s">
        <v>1354</v>
      </c>
      <c r="D4">
        <v>511659401</v>
      </c>
      <c r="E4" t="s">
        <v>420</v>
      </c>
      <c r="F4" t="s">
        <v>1355</v>
      </c>
      <c r="G4" t="s">
        <v>1356</v>
      </c>
      <c r="H4" t="s">
        <v>75</v>
      </c>
      <c r="I4" t="s">
        <v>225</v>
      </c>
      <c r="J4" t="s">
        <v>52</v>
      </c>
      <c r="K4" t="s">
        <v>52</v>
      </c>
      <c r="L4" t="s">
        <v>775</v>
      </c>
      <c r="M4" t="s">
        <v>303</v>
      </c>
      <c r="N4" t="s">
        <v>620</v>
      </c>
      <c r="O4" t="s">
        <v>61</v>
      </c>
      <c r="P4" t="s">
        <v>1353</v>
      </c>
      <c r="Q4" t="s">
        <v>64</v>
      </c>
      <c r="R4" t="s">
        <v>56</v>
      </c>
      <c r="S4" t="s">
        <v>1258</v>
      </c>
      <c r="T4" s="126">
        <v>1.633</v>
      </c>
      <c r="U4" s="127">
        <v>47177</v>
      </c>
      <c r="V4" s="125">
        <v>2.3400000000000001E-2</v>
      </c>
      <c r="W4" s="125">
        <v>2.4299999999999999E-2</v>
      </c>
      <c r="X4" t="s">
        <v>607</v>
      </c>
      <c r="Z4" s="124">
        <v>3278142.17</v>
      </c>
      <c r="AA4" s="124">
        <v>1</v>
      </c>
      <c r="AB4" s="124">
        <v>119.82</v>
      </c>
      <c r="AC4" s="124">
        <v>0</v>
      </c>
      <c r="AD4" s="124">
        <v>3927.8699499999998</v>
      </c>
      <c r="AE4" s="124"/>
      <c r="AF4" s="124"/>
      <c r="AG4" t="s">
        <v>16</v>
      </c>
      <c r="AH4" s="125">
        <v>2.8489047429999998E-3</v>
      </c>
      <c r="AI4" s="125">
        <v>5.8614409019999997E-3</v>
      </c>
      <c r="AJ4" s="125">
        <f>AD4/'סכום נכסים'!$B$30</f>
        <v>7.0717099800815162E-4</v>
      </c>
    </row>
    <row r="5" spans="1:36" x14ac:dyDescent="0.3">
      <c r="A5">
        <v>13908</v>
      </c>
      <c r="B5">
        <v>13908</v>
      </c>
      <c r="C5" t="s">
        <v>1357</v>
      </c>
      <c r="D5">
        <v>520036104</v>
      </c>
      <c r="E5" t="s">
        <v>420</v>
      </c>
      <c r="F5" t="s">
        <v>1358</v>
      </c>
      <c r="G5" t="s">
        <v>1359</v>
      </c>
      <c r="H5" t="s">
        <v>75</v>
      </c>
      <c r="I5" t="s">
        <v>225</v>
      </c>
      <c r="J5" t="s">
        <v>52</v>
      </c>
      <c r="K5" t="s">
        <v>52</v>
      </c>
      <c r="L5" t="s">
        <v>775</v>
      </c>
      <c r="M5" t="s">
        <v>303</v>
      </c>
      <c r="N5" t="s">
        <v>138</v>
      </c>
      <c r="O5" t="s">
        <v>61</v>
      </c>
      <c r="P5" t="s">
        <v>1360</v>
      </c>
      <c r="Q5" t="s">
        <v>64</v>
      </c>
      <c r="R5" t="s">
        <v>56</v>
      </c>
      <c r="S5" t="s">
        <v>1258</v>
      </c>
      <c r="T5" s="126">
        <v>1.7749999999999999</v>
      </c>
      <c r="U5" s="127">
        <v>47239</v>
      </c>
      <c r="V5" s="125">
        <v>3.9E-2</v>
      </c>
      <c r="W5" s="125">
        <v>2.6599999999999999E-2</v>
      </c>
      <c r="X5" t="s">
        <v>607</v>
      </c>
      <c r="Z5" s="124">
        <v>4172877.23</v>
      </c>
      <c r="AA5" s="124">
        <v>1</v>
      </c>
      <c r="AB5" s="124">
        <v>123.35</v>
      </c>
      <c r="AC5" s="124">
        <v>0</v>
      </c>
      <c r="AD5" s="124">
        <v>5147.24406</v>
      </c>
      <c r="AE5" s="124"/>
      <c r="AF5" s="124"/>
      <c r="AG5" t="s">
        <v>16</v>
      </c>
      <c r="AH5" s="125">
        <v>4.0308631019999996E-3</v>
      </c>
      <c r="AI5" s="125">
        <v>7.6810758120000001E-3</v>
      </c>
      <c r="AJ5" s="125">
        <f>AD5/'סכום נכסים'!$B$30</f>
        <v>9.2670627216202275E-4</v>
      </c>
    </row>
    <row r="6" spans="1:36" x14ac:dyDescent="0.3">
      <c r="A6">
        <v>13908</v>
      </c>
      <c r="B6">
        <v>13908</v>
      </c>
      <c r="C6" t="s">
        <v>1361</v>
      </c>
      <c r="D6">
        <v>514065283</v>
      </c>
      <c r="E6" t="s">
        <v>420</v>
      </c>
      <c r="F6" t="s">
        <v>1362</v>
      </c>
      <c r="G6" t="s">
        <v>1363</v>
      </c>
      <c r="H6" t="s">
        <v>75</v>
      </c>
      <c r="I6" t="s">
        <v>224</v>
      </c>
      <c r="J6" t="s">
        <v>52</v>
      </c>
      <c r="K6" t="s">
        <v>52</v>
      </c>
      <c r="L6" t="s">
        <v>775</v>
      </c>
      <c r="M6" t="s">
        <v>303</v>
      </c>
      <c r="N6" t="s">
        <v>74</v>
      </c>
      <c r="O6" t="s">
        <v>61</v>
      </c>
      <c r="P6" t="s">
        <v>1349</v>
      </c>
      <c r="Q6" t="s">
        <v>64</v>
      </c>
      <c r="R6" t="s">
        <v>56</v>
      </c>
      <c r="S6" t="s">
        <v>1258</v>
      </c>
      <c r="T6" s="126">
        <v>0.17</v>
      </c>
      <c r="U6" s="127">
        <v>46266</v>
      </c>
      <c r="V6" s="125">
        <v>2.75E-2</v>
      </c>
      <c r="W6" s="125">
        <v>3.5900000000000001E-2</v>
      </c>
      <c r="X6" t="s">
        <v>607</v>
      </c>
      <c r="Z6" s="124">
        <v>340643.25</v>
      </c>
      <c r="AA6" s="124">
        <v>1</v>
      </c>
      <c r="AB6" s="124">
        <v>100.77</v>
      </c>
      <c r="AC6" s="124">
        <v>0</v>
      </c>
      <c r="AD6" s="124">
        <v>343.26620000000003</v>
      </c>
      <c r="AE6" s="124"/>
      <c r="AF6" s="124"/>
      <c r="AG6" t="s">
        <v>16</v>
      </c>
      <c r="AH6" s="125">
        <v>7.4077446770000003E-3</v>
      </c>
      <c r="AI6" s="125">
        <v>5.1224571300000001E-4</v>
      </c>
      <c r="AJ6" s="125">
        <f>AD6/'סכום נכסים'!$B$30</f>
        <v>6.1801410007596058E-5</v>
      </c>
    </row>
    <row r="7" spans="1:36" x14ac:dyDescent="0.3">
      <c r="A7">
        <v>13908</v>
      </c>
      <c r="B7">
        <v>13908</v>
      </c>
      <c r="C7" t="s">
        <v>1364</v>
      </c>
      <c r="D7">
        <v>513821488</v>
      </c>
      <c r="E7" t="s">
        <v>420</v>
      </c>
      <c r="F7" t="s">
        <v>1365</v>
      </c>
      <c r="G7" t="s">
        <v>1366</v>
      </c>
      <c r="H7" t="s">
        <v>75</v>
      </c>
      <c r="I7" t="s">
        <v>225</v>
      </c>
      <c r="J7" t="s">
        <v>52</v>
      </c>
      <c r="K7" t="s">
        <v>52</v>
      </c>
      <c r="L7" t="s">
        <v>775</v>
      </c>
      <c r="M7" t="s">
        <v>303</v>
      </c>
      <c r="N7" t="s">
        <v>620</v>
      </c>
      <c r="O7" t="s">
        <v>61</v>
      </c>
      <c r="P7" t="s">
        <v>1353</v>
      </c>
      <c r="Q7" t="s">
        <v>64</v>
      </c>
      <c r="R7" t="s">
        <v>56</v>
      </c>
      <c r="S7" t="s">
        <v>1258</v>
      </c>
      <c r="T7" s="126">
        <v>1.1919999999999999</v>
      </c>
      <c r="U7" s="127">
        <v>47016</v>
      </c>
      <c r="V7" s="125">
        <v>0.04</v>
      </c>
      <c r="W7" s="125">
        <v>2.35E-2</v>
      </c>
      <c r="X7" t="s">
        <v>607</v>
      </c>
      <c r="Z7" s="124">
        <v>1518130.37</v>
      </c>
      <c r="AA7" s="124">
        <v>1</v>
      </c>
      <c r="AB7" s="124">
        <v>123.73</v>
      </c>
      <c r="AC7" s="124">
        <v>0</v>
      </c>
      <c r="AD7" s="124">
        <v>1878.3827100000001</v>
      </c>
      <c r="AE7" s="124"/>
      <c r="AF7" s="124"/>
      <c r="AG7" t="s">
        <v>16</v>
      </c>
      <c r="AH7" s="125">
        <v>2.5235062830000002E-3</v>
      </c>
      <c r="AI7" s="125">
        <v>2.8030534069999999E-3</v>
      </c>
      <c r="AJ7" s="125">
        <f>AD7/'סכום נכסים'!$B$30</f>
        <v>3.3818272819138438E-4</v>
      </c>
    </row>
    <row r="8" spans="1:36" x14ac:dyDescent="0.3">
      <c r="A8">
        <v>13908</v>
      </c>
      <c r="B8">
        <v>13908</v>
      </c>
      <c r="C8" t="s">
        <v>1364</v>
      </c>
      <c r="D8">
        <v>513821488</v>
      </c>
      <c r="E8" t="s">
        <v>420</v>
      </c>
      <c r="F8" t="s">
        <v>1367</v>
      </c>
      <c r="G8" t="s">
        <v>1368</v>
      </c>
      <c r="H8" t="s">
        <v>75</v>
      </c>
      <c r="I8" t="s">
        <v>225</v>
      </c>
      <c r="J8" t="s">
        <v>52</v>
      </c>
      <c r="K8" t="s">
        <v>52</v>
      </c>
      <c r="L8" t="s">
        <v>775</v>
      </c>
      <c r="M8" t="s">
        <v>303</v>
      </c>
      <c r="N8" t="s">
        <v>620</v>
      </c>
      <c r="O8" t="s">
        <v>61</v>
      </c>
      <c r="P8" t="s">
        <v>1353</v>
      </c>
      <c r="Q8" t="s">
        <v>64</v>
      </c>
      <c r="R8" t="s">
        <v>56</v>
      </c>
      <c r="S8" t="s">
        <v>1258</v>
      </c>
      <c r="T8" s="126">
        <v>2.5840000000000001</v>
      </c>
      <c r="U8" s="127">
        <v>48112</v>
      </c>
      <c r="V8" s="125">
        <v>3.5000000000000003E-2</v>
      </c>
      <c r="W8" s="125">
        <v>2.3900000000000001E-2</v>
      </c>
      <c r="X8" t="s">
        <v>607</v>
      </c>
      <c r="Z8" s="124">
        <v>212655.79</v>
      </c>
      <c r="AA8" s="124">
        <v>1</v>
      </c>
      <c r="AB8" s="124">
        <v>125.94</v>
      </c>
      <c r="AC8" s="124">
        <v>0</v>
      </c>
      <c r="AD8" s="124">
        <v>267.81869999999998</v>
      </c>
      <c r="AE8" s="124"/>
      <c r="AF8" s="124"/>
      <c r="AG8" t="s">
        <v>16</v>
      </c>
      <c r="AH8" s="125">
        <v>3.1430709799999999E-4</v>
      </c>
      <c r="AI8" s="125">
        <v>3.99657703E-4</v>
      </c>
      <c r="AJ8" s="125">
        <f>AD8/'סכום נכסים'!$B$30</f>
        <v>4.821789411949491E-5</v>
      </c>
    </row>
    <row r="9" spans="1:36" x14ac:dyDescent="0.3">
      <c r="A9">
        <v>13908</v>
      </c>
      <c r="B9">
        <v>13908</v>
      </c>
      <c r="C9" t="s">
        <v>1369</v>
      </c>
      <c r="D9">
        <v>510960719</v>
      </c>
      <c r="E9" t="s">
        <v>420</v>
      </c>
      <c r="F9" t="s">
        <v>1370</v>
      </c>
      <c r="G9" t="s">
        <v>1371</v>
      </c>
      <c r="H9" t="s">
        <v>75</v>
      </c>
      <c r="I9" t="s">
        <v>225</v>
      </c>
      <c r="J9" t="s">
        <v>52</v>
      </c>
      <c r="K9" t="s">
        <v>52</v>
      </c>
      <c r="L9" t="s">
        <v>775</v>
      </c>
      <c r="M9" t="s">
        <v>303</v>
      </c>
      <c r="N9" t="s">
        <v>620</v>
      </c>
      <c r="O9" t="s">
        <v>61</v>
      </c>
      <c r="P9" t="s">
        <v>1372</v>
      </c>
      <c r="Q9" t="s">
        <v>69</v>
      </c>
      <c r="R9" t="s">
        <v>56</v>
      </c>
      <c r="S9" t="s">
        <v>1258</v>
      </c>
      <c r="T9" s="126">
        <v>2.218</v>
      </c>
      <c r="U9" s="127">
        <v>47669</v>
      </c>
      <c r="V9" s="125">
        <v>1.34E-2</v>
      </c>
      <c r="W9" s="125">
        <v>2.3099999999999999E-2</v>
      </c>
      <c r="X9" t="s">
        <v>607</v>
      </c>
      <c r="Z9" s="124">
        <v>2523509.4</v>
      </c>
      <c r="AA9" s="124">
        <v>1</v>
      </c>
      <c r="AB9" s="124">
        <v>118.34</v>
      </c>
      <c r="AC9" s="124">
        <v>27.533809999999999</v>
      </c>
      <c r="AD9" s="124">
        <v>3013.8548300000002</v>
      </c>
      <c r="AE9" s="124"/>
      <c r="AF9" s="124"/>
      <c r="AG9" t="s">
        <v>16</v>
      </c>
      <c r="AH9" s="125">
        <v>1.4280433920000001E-3</v>
      </c>
      <c r="AI9" s="125">
        <v>4.4974839279999998E-3</v>
      </c>
      <c r="AJ9" s="125">
        <f>AD9/'סכום נכסים'!$B$30</f>
        <v>5.4261234590589956E-4</v>
      </c>
    </row>
    <row r="10" spans="1:36" x14ac:dyDescent="0.3">
      <c r="A10">
        <v>13908</v>
      </c>
      <c r="B10">
        <v>13908</v>
      </c>
      <c r="C10" t="s">
        <v>1373</v>
      </c>
      <c r="D10">
        <v>513992529</v>
      </c>
      <c r="E10" t="s">
        <v>420</v>
      </c>
      <c r="F10" t="s">
        <v>1374</v>
      </c>
      <c r="G10" t="s">
        <v>1375</v>
      </c>
      <c r="H10" t="s">
        <v>75</v>
      </c>
      <c r="I10" t="s">
        <v>225</v>
      </c>
      <c r="J10" t="s">
        <v>52</v>
      </c>
      <c r="K10" t="s">
        <v>52</v>
      </c>
      <c r="L10" t="s">
        <v>775</v>
      </c>
      <c r="M10" t="s">
        <v>303</v>
      </c>
      <c r="N10" t="s">
        <v>620</v>
      </c>
      <c r="O10" t="s">
        <v>61</v>
      </c>
      <c r="P10" t="s">
        <v>1376</v>
      </c>
      <c r="Q10" t="s">
        <v>69</v>
      </c>
      <c r="R10" t="s">
        <v>56</v>
      </c>
      <c r="S10" t="s">
        <v>1258</v>
      </c>
      <c r="T10" s="126">
        <v>1.7470000000000001</v>
      </c>
      <c r="U10" s="127">
        <v>47221</v>
      </c>
      <c r="V10" s="125">
        <v>1.9599999999999999E-2</v>
      </c>
      <c r="W10" s="125">
        <v>2.4E-2</v>
      </c>
      <c r="X10" t="s">
        <v>607</v>
      </c>
      <c r="Z10" s="124">
        <v>2250000</v>
      </c>
      <c r="AA10" s="124">
        <v>1</v>
      </c>
      <c r="AB10" s="124">
        <v>119.64</v>
      </c>
      <c r="AC10" s="124">
        <v>0</v>
      </c>
      <c r="AD10" s="124">
        <v>2691.9</v>
      </c>
      <c r="AE10" s="124"/>
      <c r="AF10" s="124"/>
      <c r="AG10" t="s">
        <v>16</v>
      </c>
      <c r="AH10" s="125">
        <v>2.6198755670000001E-3</v>
      </c>
      <c r="AI10" s="125">
        <v>4.017040524E-3</v>
      </c>
      <c r="AJ10" s="125">
        <f>AD10/'סכום נכסים'!$B$30</f>
        <v>4.8464782026149913E-4</v>
      </c>
    </row>
    <row r="11" spans="1:36" x14ac:dyDescent="0.3">
      <c r="A11">
        <v>13908</v>
      </c>
      <c r="B11">
        <v>13908</v>
      </c>
      <c r="C11" t="s">
        <v>1377</v>
      </c>
      <c r="D11">
        <v>510381601</v>
      </c>
      <c r="E11" t="s">
        <v>420</v>
      </c>
      <c r="F11" t="s">
        <v>1378</v>
      </c>
      <c r="G11" t="s">
        <v>1379</v>
      </c>
      <c r="H11" t="s">
        <v>75</v>
      </c>
      <c r="I11" t="s">
        <v>224</v>
      </c>
      <c r="J11" t="s">
        <v>52</v>
      </c>
      <c r="K11" t="s">
        <v>52</v>
      </c>
      <c r="L11" t="s">
        <v>775</v>
      </c>
      <c r="M11" t="s">
        <v>303</v>
      </c>
      <c r="N11" t="s">
        <v>138</v>
      </c>
      <c r="O11" t="s">
        <v>61</v>
      </c>
      <c r="P11" t="s">
        <v>1360</v>
      </c>
      <c r="Q11" t="s">
        <v>64</v>
      </c>
      <c r="R11" t="s">
        <v>56</v>
      </c>
      <c r="S11" t="s">
        <v>1258</v>
      </c>
      <c r="T11" s="126">
        <v>1.2330000000000001</v>
      </c>
      <c r="U11" s="127">
        <v>47133</v>
      </c>
      <c r="V11" s="125">
        <v>4.2999999999999997E-2</v>
      </c>
      <c r="W11" s="125">
        <v>4.1000000000000002E-2</v>
      </c>
      <c r="X11" t="s">
        <v>607</v>
      </c>
      <c r="Z11" s="124">
        <v>6876274.9900000002</v>
      </c>
      <c r="AA11" s="124">
        <v>1</v>
      </c>
      <c r="AB11" s="124">
        <v>102.27</v>
      </c>
      <c r="AC11" s="124">
        <v>0</v>
      </c>
      <c r="AD11" s="124">
        <v>7032.36643</v>
      </c>
      <c r="AE11" s="124"/>
      <c r="AF11" s="124"/>
      <c r="AG11" t="s">
        <v>16</v>
      </c>
      <c r="AH11" s="125">
        <v>1.1355826938E-2</v>
      </c>
      <c r="AI11" s="125">
        <v>1.0494186609000001E-2</v>
      </c>
      <c r="AJ11" s="125">
        <f>AD11/'סכום נכסים'!$B$30</f>
        <v>1.2661024040936291E-3</v>
      </c>
    </row>
    <row r="12" spans="1:36" x14ac:dyDescent="0.3">
      <c r="A12">
        <v>13908</v>
      </c>
      <c r="B12">
        <v>13908</v>
      </c>
      <c r="C12" t="s">
        <v>1380</v>
      </c>
      <c r="D12">
        <v>513765859</v>
      </c>
      <c r="E12" t="s">
        <v>420</v>
      </c>
      <c r="F12" t="s">
        <v>1381</v>
      </c>
      <c r="G12" t="s">
        <v>1382</v>
      </c>
      <c r="H12" t="s">
        <v>75</v>
      </c>
      <c r="I12" t="s">
        <v>225</v>
      </c>
      <c r="J12" t="s">
        <v>52</v>
      </c>
      <c r="K12" t="s">
        <v>52</v>
      </c>
      <c r="L12" t="s">
        <v>775</v>
      </c>
      <c r="M12" t="s">
        <v>303</v>
      </c>
      <c r="N12" t="s">
        <v>620</v>
      </c>
      <c r="O12" t="s">
        <v>61</v>
      </c>
      <c r="P12" t="s">
        <v>1353</v>
      </c>
      <c r="Q12" t="s">
        <v>64</v>
      </c>
      <c r="R12" t="s">
        <v>56</v>
      </c>
      <c r="S12" t="s">
        <v>1258</v>
      </c>
      <c r="T12" s="126">
        <v>0.41599999999999998</v>
      </c>
      <c r="U12" s="127">
        <v>46356</v>
      </c>
      <c r="V12" s="125">
        <v>2.1499999999999998E-2</v>
      </c>
      <c r="W12" s="125">
        <v>3.4799999999999998E-2</v>
      </c>
      <c r="X12" t="s">
        <v>607</v>
      </c>
      <c r="Z12" s="124">
        <v>196428.57</v>
      </c>
      <c r="AA12" s="124">
        <v>1</v>
      </c>
      <c r="AB12" s="124">
        <v>120.56</v>
      </c>
      <c r="AC12" s="124">
        <v>0</v>
      </c>
      <c r="AD12" s="124">
        <v>236.81428</v>
      </c>
      <c r="AE12" s="124"/>
      <c r="AF12" s="124"/>
      <c r="AG12" t="s">
        <v>16</v>
      </c>
      <c r="AH12" s="125">
        <v>2.8042635999999999E-4</v>
      </c>
      <c r="AI12" s="125">
        <v>3.5339074900000002E-4</v>
      </c>
      <c r="AJ12" s="125">
        <f>AD12/'סכום נכסים'!$B$30</f>
        <v>4.2635879716481418E-5</v>
      </c>
    </row>
    <row r="13" spans="1:36" x14ac:dyDescent="0.3">
      <c r="A13">
        <v>13908</v>
      </c>
      <c r="B13">
        <v>13908</v>
      </c>
      <c r="C13" t="s">
        <v>1383</v>
      </c>
      <c r="D13">
        <v>513623314</v>
      </c>
      <c r="E13" t="s">
        <v>420</v>
      </c>
      <c r="F13" t="s">
        <v>1384</v>
      </c>
      <c r="G13" t="s">
        <v>1385</v>
      </c>
      <c r="H13" t="s">
        <v>75</v>
      </c>
      <c r="I13" t="s">
        <v>225</v>
      </c>
      <c r="J13" t="s">
        <v>52</v>
      </c>
      <c r="K13" t="s">
        <v>52</v>
      </c>
      <c r="L13" t="s">
        <v>775</v>
      </c>
      <c r="M13" t="s">
        <v>303</v>
      </c>
      <c r="N13" t="s">
        <v>620</v>
      </c>
      <c r="O13" t="s">
        <v>61</v>
      </c>
      <c r="P13" t="s">
        <v>1376</v>
      </c>
      <c r="Q13" t="s">
        <v>69</v>
      </c>
      <c r="R13" t="s">
        <v>56</v>
      </c>
      <c r="S13" t="s">
        <v>1258</v>
      </c>
      <c r="T13" s="126">
        <v>0.47099999999999997</v>
      </c>
      <c r="U13" s="127">
        <v>46376</v>
      </c>
      <c r="V13" s="125">
        <v>1.95E-2</v>
      </c>
      <c r="W13" s="125">
        <v>3.8100000000000002E-2</v>
      </c>
      <c r="X13" t="s">
        <v>607</v>
      </c>
      <c r="Z13" s="124">
        <v>66676.05</v>
      </c>
      <c r="AA13" s="124">
        <v>1</v>
      </c>
      <c r="AB13" s="124">
        <v>119.44</v>
      </c>
      <c r="AC13" s="124">
        <v>0</v>
      </c>
      <c r="AD13" s="124">
        <v>79.637870000000007</v>
      </c>
      <c r="AE13" s="124"/>
      <c r="AF13" s="124"/>
      <c r="AG13" t="s">
        <v>16</v>
      </c>
      <c r="AH13" s="125">
        <v>3.9599536300000002E-4</v>
      </c>
      <c r="AI13" s="125">
        <v>1.18841172E-4</v>
      </c>
      <c r="AJ13" s="125">
        <f>AD13/'סכום נכסים'!$B$30</f>
        <v>1.433794721414935E-5</v>
      </c>
    </row>
    <row r="14" spans="1:36" x14ac:dyDescent="0.3">
      <c r="A14">
        <v>13908</v>
      </c>
      <c r="B14">
        <v>13908</v>
      </c>
      <c r="C14" t="s">
        <v>1386</v>
      </c>
      <c r="D14">
        <v>515334662</v>
      </c>
      <c r="E14" t="s">
        <v>420</v>
      </c>
      <c r="F14" t="s">
        <v>1387</v>
      </c>
      <c r="G14" t="s">
        <v>1388</v>
      </c>
      <c r="H14" t="s">
        <v>75</v>
      </c>
      <c r="I14" t="s">
        <v>226</v>
      </c>
      <c r="J14" t="s">
        <v>52</v>
      </c>
      <c r="K14" t="s">
        <v>52</v>
      </c>
      <c r="L14" t="s">
        <v>775</v>
      </c>
      <c r="M14" t="s">
        <v>303</v>
      </c>
      <c r="N14" t="s">
        <v>260</v>
      </c>
      <c r="O14" t="s">
        <v>61</v>
      </c>
      <c r="P14" t="s">
        <v>1389</v>
      </c>
      <c r="Q14" t="s">
        <v>69</v>
      </c>
      <c r="R14" t="s">
        <v>56</v>
      </c>
      <c r="S14" t="s">
        <v>1258</v>
      </c>
      <c r="T14" s="126">
        <v>1.7729999999999999</v>
      </c>
      <c r="U14" s="127">
        <v>46995</v>
      </c>
      <c r="V14" s="125">
        <v>4.6899999999999997E-2</v>
      </c>
      <c r="W14" s="125">
        <v>5.3199999999999997E-2</v>
      </c>
      <c r="X14" t="s">
        <v>607</v>
      </c>
      <c r="Z14" s="124">
        <v>1328409.82</v>
      </c>
      <c r="AA14" s="124">
        <v>1</v>
      </c>
      <c r="AB14" s="124">
        <v>85.05</v>
      </c>
      <c r="AC14" s="124">
        <v>0</v>
      </c>
      <c r="AD14" s="124">
        <v>1129.8125500000001</v>
      </c>
      <c r="AE14" s="124"/>
      <c r="AF14" s="124"/>
      <c r="AG14" t="s">
        <v>16</v>
      </c>
      <c r="AH14" s="125">
        <v>1.140450906E-3</v>
      </c>
      <c r="AI14" s="125">
        <v>1.685984917E-3</v>
      </c>
      <c r="AJ14" s="125">
        <f>AD14/'סכום נכסים'!$B$30</f>
        <v>2.0341067263330214E-4</v>
      </c>
    </row>
    <row r="15" spans="1:36" x14ac:dyDescent="0.3">
      <c r="A15">
        <v>13908</v>
      </c>
      <c r="B15">
        <v>13908</v>
      </c>
      <c r="C15" t="s">
        <v>1361</v>
      </c>
      <c r="D15">
        <v>514065283</v>
      </c>
      <c r="E15" t="s">
        <v>420</v>
      </c>
      <c r="F15" t="s">
        <v>1390</v>
      </c>
      <c r="G15" t="s">
        <v>1391</v>
      </c>
      <c r="H15" t="s">
        <v>75</v>
      </c>
      <c r="I15" t="s">
        <v>224</v>
      </c>
      <c r="J15" t="s">
        <v>52</v>
      </c>
      <c r="K15" t="s">
        <v>52</v>
      </c>
      <c r="L15" t="s">
        <v>775</v>
      </c>
      <c r="M15" t="s">
        <v>303</v>
      </c>
      <c r="N15" t="s">
        <v>74</v>
      </c>
      <c r="O15" t="s">
        <v>61</v>
      </c>
      <c r="P15" t="s">
        <v>1349</v>
      </c>
      <c r="Q15" t="s">
        <v>64</v>
      </c>
      <c r="R15" t="s">
        <v>56</v>
      </c>
      <c r="S15" t="s">
        <v>1258</v>
      </c>
      <c r="T15" s="126">
        <v>0.65800000000000003</v>
      </c>
      <c r="U15" s="127">
        <v>46631</v>
      </c>
      <c r="V15" s="125">
        <v>2.3E-2</v>
      </c>
      <c r="W15" s="125">
        <v>3.8699999999999998E-2</v>
      </c>
      <c r="X15" t="s">
        <v>607</v>
      </c>
      <c r="Z15" s="124">
        <v>1071273.94</v>
      </c>
      <c r="AA15" s="124">
        <v>1</v>
      </c>
      <c r="AB15" s="124">
        <v>99.76</v>
      </c>
      <c r="AC15" s="124">
        <v>0</v>
      </c>
      <c r="AD15" s="124">
        <v>1068.7028800000001</v>
      </c>
      <c r="AE15" s="124"/>
      <c r="AF15" s="124"/>
      <c r="AG15" t="s">
        <v>16</v>
      </c>
      <c r="AH15" s="125">
        <v>1.299495896E-3</v>
      </c>
      <c r="AI15" s="125">
        <v>1.594792814E-3</v>
      </c>
      <c r="AJ15" s="125">
        <f>AD15/'סכום נכסים'!$B$30</f>
        <v>1.924085297742065E-4</v>
      </c>
    </row>
    <row r="16" spans="1:36" x14ac:dyDescent="0.3">
      <c r="A16">
        <v>13908</v>
      </c>
      <c r="B16">
        <v>13908</v>
      </c>
      <c r="C16" t="s">
        <v>1392</v>
      </c>
      <c r="D16">
        <v>510560188</v>
      </c>
      <c r="E16" t="s">
        <v>420</v>
      </c>
      <c r="F16" t="s">
        <v>1393</v>
      </c>
      <c r="G16" t="s">
        <v>1394</v>
      </c>
      <c r="H16" t="s">
        <v>75</v>
      </c>
      <c r="I16" t="s">
        <v>225</v>
      </c>
      <c r="J16" t="s">
        <v>52</v>
      </c>
      <c r="K16" t="s">
        <v>52</v>
      </c>
      <c r="L16" t="s">
        <v>775</v>
      </c>
      <c r="M16" t="s">
        <v>303</v>
      </c>
      <c r="N16" t="s">
        <v>621</v>
      </c>
      <c r="O16" t="s">
        <v>61</v>
      </c>
      <c r="P16" t="s">
        <v>1395</v>
      </c>
      <c r="Q16" t="s">
        <v>64</v>
      </c>
      <c r="R16" t="s">
        <v>56</v>
      </c>
      <c r="S16" t="s">
        <v>1258</v>
      </c>
      <c r="T16" s="126">
        <v>0.28999999999999998</v>
      </c>
      <c r="U16" s="127">
        <v>46310</v>
      </c>
      <c r="V16" s="125">
        <v>2.5700000000000001E-2</v>
      </c>
      <c r="W16" s="125">
        <v>3.27E-2</v>
      </c>
      <c r="X16" t="s">
        <v>607</v>
      </c>
      <c r="Z16" s="124">
        <v>90685.94</v>
      </c>
      <c r="AA16" s="124">
        <v>1</v>
      </c>
      <c r="AB16" s="124">
        <v>120.8</v>
      </c>
      <c r="AC16" s="124">
        <v>0</v>
      </c>
      <c r="AD16" s="124">
        <v>109.54862</v>
      </c>
      <c r="AE16" s="124"/>
      <c r="AF16" s="124"/>
      <c r="AG16" t="s">
        <v>16</v>
      </c>
      <c r="AH16" s="125">
        <v>1.09286867E-4</v>
      </c>
      <c r="AI16" s="125">
        <v>1.6347607399999999E-4</v>
      </c>
      <c r="AJ16" s="125">
        <f>AD16/'סכום נכסים'!$B$30</f>
        <v>1.9723058024315639E-5</v>
      </c>
    </row>
    <row r="17" spans="1:36" x14ac:dyDescent="0.3">
      <c r="A17">
        <v>13908</v>
      </c>
      <c r="B17">
        <v>13908</v>
      </c>
      <c r="C17" t="s">
        <v>1396</v>
      </c>
      <c r="D17">
        <v>513569780</v>
      </c>
      <c r="E17" t="s">
        <v>420</v>
      </c>
      <c r="F17" t="s">
        <v>1397</v>
      </c>
      <c r="G17" t="s">
        <v>1398</v>
      </c>
      <c r="H17" t="s">
        <v>75</v>
      </c>
      <c r="I17" t="s">
        <v>225</v>
      </c>
      <c r="J17" t="s">
        <v>52</v>
      </c>
      <c r="K17" t="s">
        <v>52</v>
      </c>
      <c r="L17" t="s">
        <v>775</v>
      </c>
      <c r="M17" t="s">
        <v>303</v>
      </c>
      <c r="N17" t="s">
        <v>620</v>
      </c>
      <c r="O17" t="s">
        <v>61</v>
      </c>
      <c r="P17" t="s">
        <v>1257</v>
      </c>
      <c r="Q17" t="s">
        <v>64</v>
      </c>
      <c r="R17" t="s">
        <v>56</v>
      </c>
      <c r="S17" t="s">
        <v>1258</v>
      </c>
      <c r="T17" s="126">
        <v>3.3940000000000001</v>
      </c>
      <c r="U17" s="127">
        <v>48213</v>
      </c>
      <c r="V17" s="125">
        <v>1.6500000000000001E-2</v>
      </c>
      <c r="W17" s="125">
        <v>2.12E-2</v>
      </c>
      <c r="X17" t="s">
        <v>607</v>
      </c>
      <c r="Z17" s="124">
        <v>3097105</v>
      </c>
      <c r="AA17" s="124">
        <v>1</v>
      </c>
      <c r="AB17" s="124">
        <v>118.55</v>
      </c>
      <c r="AC17" s="124">
        <v>0</v>
      </c>
      <c r="AD17" s="124">
        <v>3671.61798</v>
      </c>
      <c r="AE17" s="124"/>
      <c r="AF17" s="124"/>
      <c r="AG17" t="s">
        <v>16</v>
      </c>
      <c r="AH17" s="125">
        <v>1.463920337E-3</v>
      </c>
      <c r="AI17" s="125">
        <v>5.4790438780000002E-3</v>
      </c>
      <c r="AJ17" s="125">
        <f>AD17/'סכום נכסים'!$B$30</f>
        <v>6.6103556998399959E-4</v>
      </c>
    </row>
    <row r="18" spans="1:36" x14ac:dyDescent="0.3">
      <c r="A18">
        <v>13908</v>
      </c>
      <c r="B18">
        <v>13908</v>
      </c>
      <c r="C18" t="s">
        <v>1399</v>
      </c>
      <c r="D18">
        <v>513436394</v>
      </c>
      <c r="E18" t="s">
        <v>420</v>
      </c>
      <c r="F18" t="s">
        <v>1400</v>
      </c>
      <c r="G18" t="s">
        <v>1401</v>
      </c>
      <c r="H18" t="s">
        <v>75</v>
      </c>
      <c r="I18" t="s">
        <v>225</v>
      </c>
      <c r="J18" t="s">
        <v>52</v>
      </c>
      <c r="K18" t="s">
        <v>52</v>
      </c>
      <c r="L18" t="s">
        <v>775</v>
      </c>
      <c r="M18" t="s">
        <v>303</v>
      </c>
      <c r="N18" t="s">
        <v>1211</v>
      </c>
      <c r="O18" t="s">
        <v>61</v>
      </c>
      <c r="P18" t="s">
        <v>1257</v>
      </c>
      <c r="Q18" t="s">
        <v>64</v>
      </c>
      <c r="R18" t="s">
        <v>56</v>
      </c>
      <c r="S18" t="s">
        <v>1258</v>
      </c>
      <c r="T18" s="126">
        <v>4.351</v>
      </c>
      <c r="U18" s="127">
        <v>48760</v>
      </c>
      <c r="V18" s="125">
        <v>2.6499999999999999E-2</v>
      </c>
      <c r="W18" s="125">
        <v>2.1499999999999998E-2</v>
      </c>
      <c r="X18" t="s">
        <v>607</v>
      </c>
      <c r="Z18" s="124">
        <v>3250809.41</v>
      </c>
      <c r="AA18" s="124">
        <v>1</v>
      </c>
      <c r="AB18" s="124">
        <v>122.68</v>
      </c>
      <c r="AC18" s="124">
        <v>0</v>
      </c>
      <c r="AD18" s="124">
        <v>3988.0929799999999</v>
      </c>
      <c r="AE18" s="124"/>
      <c r="AF18" s="124"/>
      <c r="AG18" t="s">
        <v>16</v>
      </c>
      <c r="AH18" s="125">
        <v>2.378250159E-3</v>
      </c>
      <c r="AI18" s="125">
        <v>5.951309898E-3</v>
      </c>
      <c r="AJ18" s="125">
        <f>AD18/'סכום נכסים'!$B$30</f>
        <v>7.1801351081287798E-4</v>
      </c>
    </row>
    <row r="19" spans="1:36" x14ac:dyDescent="0.3">
      <c r="A19">
        <v>13908</v>
      </c>
      <c r="B19">
        <v>13908</v>
      </c>
      <c r="C19" t="s">
        <v>1383</v>
      </c>
      <c r="D19">
        <v>513623314</v>
      </c>
      <c r="E19" t="s">
        <v>420</v>
      </c>
      <c r="F19" t="s">
        <v>1402</v>
      </c>
      <c r="G19" t="s">
        <v>1403</v>
      </c>
      <c r="H19" t="s">
        <v>75</v>
      </c>
      <c r="I19" t="s">
        <v>225</v>
      </c>
      <c r="J19" t="s">
        <v>52</v>
      </c>
      <c r="K19" t="s">
        <v>52</v>
      </c>
      <c r="L19" t="s">
        <v>775</v>
      </c>
      <c r="M19" t="s">
        <v>303</v>
      </c>
      <c r="N19" t="s">
        <v>620</v>
      </c>
      <c r="O19" t="s">
        <v>61</v>
      </c>
      <c r="P19" t="s">
        <v>1353</v>
      </c>
      <c r="Q19" t="s">
        <v>64</v>
      </c>
      <c r="R19" t="s">
        <v>56</v>
      </c>
      <c r="S19" t="s">
        <v>1258</v>
      </c>
      <c r="T19" s="126">
        <v>1.224</v>
      </c>
      <c r="U19" s="127">
        <v>46680</v>
      </c>
      <c r="V19" s="125">
        <v>1.8200000000000001E-2</v>
      </c>
      <c r="W19" s="125">
        <v>2.3400000000000001E-2</v>
      </c>
      <c r="X19" t="s">
        <v>607</v>
      </c>
      <c r="Z19" s="124">
        <v>843750</v>
      </c>
      <c r="AA19" s="124">
        <v>1</v>
      </c>
      <c r="AB19" s="124">
        <v>118.89</v>
      </c>
      <c r="AC19" s="124">
        <v>0</v>
      </c>
      <c r="AD19" s="124">
        <v>1003.13437</v>
      </c>
      <c r="AE19" s="124"/>
      <c r="AF19" s="124"/>
      <c r="AG19" t="s">
        <v>16</v>
      </c>
      <c r="AH19" s="125">
        <v>1.6859426099999999E-3</v>
      </c>
      <c r="AI19" s="125">
        <v>1.4969469200000001E-3</v>
      </c>
      <c r="AJ19" s="125">
        <f>AD19/'סכום נכסים'!$B$30</f>
        <v>1.8060362043534014E-4</v>
      </c>
    </row>
    <row r="20" spans="1:36" x14ac:dyDescent="0.3">
      <c r="A20">
        <v>13908</v>
      </c>
      <c r="B20">
        <v>13908</v>
      </c>
      <c r="C20" t="s">
        <v>1404</v>
      </c>
      <c r="D20">
        <v>515327120</v>
      </c>
      <c r="E20" t="s">
        <v>420</v>
      </c>
      <c r="F20" t="s">
        <v>1405</v>
      </c>
      <c r="G20" t="s">
        <v>1406</v>
      </c>
      <c r="H20" t="s">
        <v>75</v>
      </c>
      <c r="I20" t="s">
        <v>225</v>
      </c>
      <c r="J20" t="s">
        <v>52</v>
      </c>
      <c r="K20" t="s">
        <v>52</v>
      </c>
      <c r="L20" t="s">
        <v>775</v>
      </c>
      <c r="M20" t="s">
        <v>303</v>
      </c>
      <c r="N20" t="s">
        <v>620</v>
      </c>
      <c r="O20" t="s">
        <v>61</v>
      </c>
      <c r="P20" t="s">
        <v>1376</v>
      </c>
      <c r="Q20" t="s">
        <v>69</v>
      </c>
      <c r="R20" t="s">
        <v>56</v>
      </c>
      <c r="S20" t="s">
        <v>1258</v>
      </c>
      <c r="T20" s="126">
        <v>1.4159999999999999</v>
      </c>
      <c r="U20" s="127">
        <v>46752</v>
      </c>
      <c r="V20" s="125">
        <v>2.75E-2</v>
      </c>
      <c r="W20" s="125">
        <v>2.46E-2</v>
      </c>
      <c r="X20" t="s">
        <v>607</v>
      </c>
      <c r="Z20" s="124">
        <v>99946.34</v>
      </c>
      <c r="AA20" s="124">
        <v>1</v>
      </c>
      <c r="AB20" s="124">
        <v>119.11</v>
      </c>
      <c r="AC20" s="124">
        <v>0</v>
      </c>
      <c r="AD20" s="124">
        <v>119.04609000000001</v>
      </c>
      <c r="AE20" s="124"/>
      <c r="AF20" s="124"/>
      <c r="AG20" t="s">
        <v>16</v>
      </c>
      <c r="AH20" s="125">
        <v>3.17715921E-4</v>
      </c>
      <c r="AI20" s="125">
        <v>1.7764886000000001E-4</v>
      </c>
      <c r="AJ20" s="125">
        <f>AD20/'סכום נכסים'!$B$30</f>
        <v>2.1432975975762194E-5</v>
      </c>
    </row>
    <row r="21" spans="1:36" x14ac:dyDescent="0.3">
      <c r="A21">
        <v>13908</v>
      </c>
      <c r="B21">
        <v>13908</v>
      </c>
      <c r="C21" t="s">
        <v>1407</v>
      </c>
      <c r="D21">
        <v>633896</v>
      </c>
      <c r="E21" t="s">
        <v>2</v>
      </c>
      <c r="F21" t="s">
        <v>1408</v>
      </c>
      <c r="G21" t="s">
        <v>1409</v>
      </c>
      <c r="H21" t="s">
        <v>75</v>
      </c>
      <c r="I21" t="s">
        <v>226</v>
      </c>
      <c r="J21" t="s">
        <v>52</v>
      </c>
      <c r="K21" t="s">
        <v>307</v>
      </c>
      <c r="L21" t="s">
        <v>775</v>
      </c>
      <c r="M21" t="s">
        <v>303</v>
      </c>
      <c r="N21" t="s">
        <v>621</v>
      </c>
      <c r="O21" t="s">
        <v>61</v>
      </c>
      <c r="P21" t="s">
        <v>1376</v>
      </c>
      <c r="Q21" t="s">
        <v>69</v>
      </c>
      <c r="R21" t="s">
        <v>56</v>
      </c>
      <c r="S21" t="s">
        <v>1258</v>
      </c>
      <c r="T21" s="126">
        <v>1.7330000000000001</v>
      </c>
      <c r="U21" s="127">
        <v>46944</v>
      </c>
      <c r="V21" s="125">
        <v>4.2999999999999997E-2</v>
      </c>
      <c r="W21" s="125">
        <v>9.06E-2</v>
      </c>
      <c r="X21" t="s">
        <v>607</v>
      </c>
      <c r="Z21" s="124">
        <v>5038790.92</v>
      </c>
      <c r="AA21" s="124">
        <v>1</v>
      </c>
      <c r="AB21" s="124">
        <v>77.11</v>
      </c>
      <c r="AC21" s="124">
        <v>0</v>
      </c>
      <c r="AD21" s="124">
        <v>3885.4116800000002</v>
      </c>
      <c r="AE21" s="124"/>
      <c r="AF21" s="124"/>
      <c r="AG21" t="s">
        <v>16</v>
      </c>
      <c r="AH21" s="125">
        <v>5.2355774049999996E-3</v>
      </c>
      <c r="AI21" s="125">
        <v>5.7980817159999998E-3</v>
      </c>
      <c r="AJ21" s="125">
        <f>AD21/'סכום נכסים'!$B$30</f>
        <v>6.9952684034717836E-4</v>
      </c>
    </row>
    <row r="22" spans="1:36" x14ac:dyDescent="0.3">
      <c r="A22">
        <v>13908</v>
      </c>
      <c r="B22">
        <v>13908</v>
      </c>
      <c r="C22" t="s">
        <v>1410</v>
      </c>
      <c r="D22">
        <v>520044314</v>
      </c>
      <c r="E22" t="s">
        <v>420</v>
      </c>
      <c r="F22" t="s">
        <v>1411</v>
      </c>
      <c r="G22" t="s">
        <v>1412</v>
      </c>
      <c r="H22" t="s">
        <v>75</v>
      </c>
      <c r="I22" t="s">
        <v>224</v>
      </c>
      <c r="J22" t="s">
        <v>52</v>
      </c>
      <c r="K22" t="s">
        <v>52</v>
      </c>
      <c r="L22" t="s">
        <v>775</v>
      </c>
      <c r="M22" t="s">
        <v>303</v>
      </c>
      <c r="N22" t="s">
        <v>253</v>
      </c>
      <c r="O22" t="s">
        <v>61</v>
      </c>
      <c r="P22" t="s">
        <v>1349</v>
      </c>
      <c r="Q22" t="s">
        <v>64</v>
      </c>
      <c r="R22" t="s">
        <v>56</v>
      </c>
      <c r="S22" t="s">
        <v>1258</v>
      </c>
      <c r="T22" s="126">
        <v>0.98399999999999999</v>
      </c>
      <c r="U22" s="127">
        <v>46563</v>
      </c>
      <c r="V22" s="125">
        <v>0.04</v>
      </c>
      <c r="W22" s="125">
        <v>3.6799999999999999E-2</v>
      </c>
      <c r="X22" t="s">
        <v>607</v>
      </c>
      <c r="Z22" s="124">
        <v>902222.31</v>
      </c>
      <c r="AA22" s="124">
        <v>1</v>
      </c>
      <c r="AB22" s="124">
        <v>100.37</v>
      </c>
      <c r="AC22" s="124">
        <v>0</v>
      </c>
      <c r="AD22" s="124">
        <v>905.56052999999997</v>
      </c>
      <c r="AE22" s="124"/>
      <c r="AF22" s="124"/>
      <c r="AG22" t="s">
        <v>16</v>
      </c>
      <c r="AH22" s="125">
        <v>2.6509920670000002E-3</v>
      </c>
      <c r="AI22" s="125">
        <v>1.3513404460000001E-3</v>
      </c>
      <c r="AJ22" s="125">
        <f>AD22/'סכום נכסים'!$B$30</f>
        <v>1.6303649354706634E-4</v>
      </c>
    </row>
    <row r="23" spans="1:36" x14ac:dyDescent="0.3">
      <c r="A23">
        <v>13908</v>
      </c>
      <c r="B23">
        <v>13908</v>
      </c>
      <c r="C23" t="s">
        <v>1369</v>
      </c>
      <c r="D23">
        <v>510960719</v>
      </c>
      <c r="E23" t="s">
        <v>420</v>
      </c>
      <c r="F23" t="s">
        <v>1413</v>
      </c>
      <c r="G23" t="s">
        <v>1414</v>
      </c>
      <c r="H23" t="s">
        <v>75</v>
      </c>
      <c r="I23" t="s">
        <v>225</v>
      </c>
      <c r="J23" t="s">
        <v>52</v>
      </c>
      <c r="K23" t="s">
        <v>52</v>
      </c>
      <c r="L23" t="s">
        <v>775</v>
      </c>
      <c r="M23" t="s">
        <v>303</v>
      </c>
      <c r="N23" t="s">
        <v>620</v>
      </c>
      <c r="O23" t="s">
        <v>61</v>
      </c>
      <c r="P23" t="s">
        <v>1372</v>
      </c>
      <c r="Q23" t="s">
        <v>69</v>
      </c>
      <c r="R23" t="s">
        <v>56</v>
      </c>
      <c r="S23" t="s">
        <v>1258</v>
      </c>
      <c r="T23" s="126">
        <v>1.482</v>
      </c>
      <c r="U23" s="127">
        <v>46934</v>
      </c>
      <c r="V23" s="125">
        <v>1.77E-2</v>
      </c>
      <c r="W23" s="125">
        <v>2.29E-2</v>
      </c>
      <c r="X23" t="s">
        <v>607</v>
      </c>
      <c r="Z23" s="124">
        <v>8381818.75</v>
      </c>
      <c r="AA23" s="124">
        <v>1</v>
      </c>
      <c r="AB23" s="124">
        <v>118.43</v>
      </c>
      <c r="AC23" s="124">
        <v>0</v>
      </c>
      <c r="AD23" s="124">
        <v>9926.5879499999992</v>
      </c>
      <c r="AE23" s="124"/>
      <c r="AF23" s="124"/>
      <c r="AG23" t="s">
        <v>16</v>
      </c>
      <c r="AH23" s="125">
        <v>5.1685527580000003E-3</v>
      </c>
      <c r="AI23" s="125">
        <v>1.4813145387E-2</v>
      </c>
      <c r="AJ23" s="125">
        <f>AD23/'סכום נכסים'!$B$30</f>
        <v>1.7871760513397832E-3</v>
      </c>
    </row>
    <row r="24" spans="1:36" x14ac:dyDescent="0.3">
      <c r="A24">
        <v>13908</v>
      </c>
      <c r="B24">
        <v>13908</v>
      </c>
      <c r="C24" t="s">
        <v>1369</v>
      </c>
      <c r="D24">
        <v>510960719</v>
      </c>
      <c r="E24" t="s">
        <v>420</v>
      </c>
      <c r="F24" t="s">
        <v>1415</v>
      </c>
      <c r="G24" t="s">
        <v>1416</v>
      </c>
      <c r="H24" t="s">
        <v>75</v>
      </c>
      <c r="I24" t="s">
        <v>225</v>
      </c>
      <c r="J24" t="s">
        <v>52</v>
      </c>
      <c r="K24" t="s">
        <v>52</v>
      </c>
      <c r="L24" t="s">
        <v>775</v>
      </c>
      <c r="M24" t="s">
        <v>303</v>
      </c>
      <c r="N24" t="s">
        <v>620</v>
      </c>
      <c r="O24" t="s">
        <v>61</v>
      </c>
      <c r="P24" t="s">
        <v>1372</v>
      </c>
      <c r="Q24" t="s">
        <v>69</v>
      </c>
      <c r="R24" t="s">
        <v>56</v>
      </c>
      <c r="S24" t="s">
        <v>1258</v>
      </c>
      <c r="T24" s="126">
        <v>4.0960000000000001</v>
      </c>
      <c r="U24" s="127">
        <v>48579</v>
      </c>
      <c r="V24" s="125">
        <v>2.4799999999999999E-2</v>
      </c>
      <c r="W24" s="125">
        <v>2.4E-2</v>
      </c>
      <c r="X24" t="s">
        <v>607</v>
      </c>
      <c r="Z24" s="124">
        <v>369235.42</v>
      </c>
      <c r="AA24" s="124">
        <v>1</v>
      </c>
      <c r="AB24" s="124">
        <v>119.78</v>
      </c>
      <c r="AC24" s="124">
        <v>0</v>
      </c>
      <c r="AD24" s="124">
        <v>442.27019000000001</v>
      </c>
      <c r="AE24" s="124"/>
      <c r="AF24" s="124"/>
      <c r="AG24" t="s">
        <v>16</v>
      </c>
      <c r="AH24" s="125">
        <v>1.14950415E-4</v>
      </c>
      <c r="AI24" s="125">
        <v>6.5998635699999998E-4</v>
      </c>
      <c r="AJ24" s="125">
        <f>AD24/'סכום נכסים'!$B$30</f>
        <v>7.9626020115954922E-5</v>
      </c>
    </row>
    <row r="25" spans="1:36" x14ac:dyDescent="0.3">
      <c r="A25">
        <v>13908</v>
      </c>
      <c r="B25">
        <v>13908</v>
      </c>
      <c r="C25" t="s">
        <v>1380</v>
      </c>
      <c r="D25">
        <v>513765859</v>
      </c>
      <c r="E25" t="s">
        <v>420</v>
      </c>
      <c r="F25" t="s">
        <v>1417</v>
      </c>
      <c r="G25" t="s">
        <v>1418</v>
      </c>
      <c r="H25" t="s">
        <v>75</v>
      </c>
      <c r="I25" t="s">
        <v>225</v>
      </c>
      <c r="J25" t="s">
        <v>52</v>
      </c>
      <c r="K25" t="s">
        <v>52</v>
      </c>
      <c r="L25" t="s">
        <v>775</v>
      </c>
      <c r="M25" t="s">
        <v>303</v>
      </c>
      <c r="N25" t="s">
        <v>620</v>
      </c>
      <c r="O25" t="s">
        <v>61</v>
      </c>
      <c r="P25" t="s">
        <v>1353</v>
      </c>
      <c r="Q25" t="s">
        <v>64</v>
      </c>
      <c r="R25" t="s">
        <v>56</v>
      </c>
      <c r="S25" t="s">
        <v>1258</v>
      </c>
      <c r="T25" s="126">
        <v>1.4790000000000001</v>
      </c>
      <c r="U25" s="127">
        <v>47057</v>
      </c>
      <c r="V25" s="125">
        <v>1.4200000000000001E-2</v>
      </c>
      <c r="W25" s="125">
        <v>2.4E-2</v>
      </c>
      <c r="X25" t="s">
        <v>607</v>
      </c>
      <c r="Z25" s="124">
        <v>409629.5</v>
      </c>
      <c r="AA25" s="124">
        <v>1</v>
      </c>
      <c r="AB25" s="124">
        <v>117.91</v>
      </c>
      <c r="AC25" s="124">
        <v>0</v>
      </c>
      <c r="AD25" s="124">
        <v>482.99414000000002</v>
      </c>
      <c r="AE25" s="124"/>
      <c r="AF25" s="124"/>
      <c r="AG25" t="s">
        <v>16</v>
      </c>
      <c r="AH25" s="125">
        <v>4.9303431799999997E-4</v>
      </c>
      <c r="AI25" s="125">
        <v>7.2075747E-4</v>
      </c>
      <c r="AJ25" s="125">
        <f>AD25/'סכום נכסים'!$B$30</f>
        <v>8.6957931999731542E-5</v>
      </c>
    </row>
    <row r="26" spans="1:36" x14ac:dyDescent="0.3">
      <c r="A26">
        <v>13908</v>
      </c>
      <c r="B26">
        <v>13908</v>
      </c>
      <c r="C26" t="s">
        <v>1419</v>
      </c>
      <c r="D26">
        <v>513957472</v>
      </c>
      <c r="E26" t="s">
        <v>420</v>
      </c>
      <c r="F26" t="s">
        <v>1420</v>
      </c>
      <c r="G26" t="s">
        <v>1421</v>
      </c>
      <c r="H26" t="s">
        <v>75</v>
      </c>
      <c r="I26" t="s">
        <v>224</v>
      </c>
      <c r="J26" t="s">
        <v>52</v>
      </c>
      <c r="K26" t="s">
        <v>52</v>
      </c>
      <c r="L26" t="s">
        <v>775</v>
      </c>
      <c r="M26" t="s">
        <v>303</v>
      </c>
      <c r="N26" t="s">
        <v>620</v>
      </c>
      <c r="O26" t="s">
        <v>61</v>
      </c>
      <c r="P26" t="s">
        <v>1422</v>
      </c>
      <c r="Q26" t="s">
        <v>69</v>
      </c>
      <c r="R26" t="s">
        <v>56</v>
      </c>
      <c r="S26" t="s">
        <v>1258</v>
      </c>
      <c r="T26" s="126">
        <v>2.198</v>
      </c>
      <c r="U26" s="127">
        <v>47787</v>
      </c>
      <c r="V26" s="125">
        <v>4.1000000000000002E-2</v>
      </c>
      <c r="W26" s="125">
        <v>4.3099999999999999E-2</v>
      </c>
      <c r="X26" t="s">
        <v>607</v>
      </c>
      <c r="Z26" s="124">
        <v>90625</v>
      </c>
      <c r="AA26" s="124">
        <v>1</v>
      </c>
      <c r="AB26" s="124">
        <v>100.32</v>
      </c>
      <c r="AC26" s="124">
        <v>0</v>
      </c>
      <c r="AD26" s="124">
        <v>90.915000000000006</v>
      </c>
      <c r="AE26" s="124"/>
      <c r="AF26" s="124"/>
      <c r="AG26" t="s">
        <v>16</v>
      </c>
      <c r="AH26" s="125">
        <v>1.6784272699999999E-4</v>
      </c>
      <c r="AI26" s="125">
        <v>1.3566969E-4</v>
      </c>
      <c r="AJ26" s="125">
        <f>AD26/'סכום נכסים'!$B$30</f>
        <v>1.6368273925136222E-5</v>
      </c>
    </row>
    <row r="27" spans="1:36" x14ac:dyDescent="0.3">
      <c r="A27">
        <v>13908</v>
      </c>
      <c r="B27">
        <v>13908</v>
      </c>
      <c r="C27" t="s">
        <v>1423</v>
      </c>
      <c r="D27">
        <v>520043878</v>
      </c>
      <c r="E27" t="s">
        <v>420</v>
      </c>
      <c r="F27" t="s">
        <v>1424</v>
      </c>
      <c r="G27" t="s">
        <v>1425</v>
      </c>
      <c r="H27" t="s">
        <v>75</v>
      </c>
      <c r="I27" t="s">
        <v>224</v>
      </c>
      <c r="J27" t="s">
        <v>52</v>
      </c>
      <c r="K27" t="s">
        <v>52</v>
      </c>
      <c r="L27" t="s">
        <v>775</v>
      </c>
      <c r="M27" t="s">
        <v>303</v>
      </c>
      <c r="N27" t="s">
        <v>154</v>
      </c>
      <c r="O27" t="s">
        <v>61</v>
      </c>
      <c r="P27" t="s">
        <v>1422</v>
      </c>
      <c r="Q27" t="s">
        <v>69</v>
      </c>
      <c r="R27" t="s">
        <v>56</v>
      </c>
      <c r="S27" t="s">
        <v>1258</v>
      </c>
      <c r="T27" s="126">
        <v>0.73499999999999999</v>
      </c>
      <c r="U27" s="127">
        <v>46660</v>
      </c>
      <c r="V27" s="125">
        <v>3.2899999999999999E-2</v>
      </c>
      <c r="W27" s="125">
        <v>4.1200000000000001E-2</v>
      </c>
      <c r="X27" t="s">
        <v>607</v>
      </c>
      <c r="Z27" s="124">
        <v>4020133.53</v>
      </c>
      <c r="AA27" s="124">
        <v>1</v>
      </c>
      <c r="AB27" s="124">
        <v>100.25</v>
      </c>
      <c r="AC27" s="124">
        <v>0</v>
      </c>
      <c r="AD27" s="124">
        <v>4030.1838600000001</v>
      </c>
      <c r="AE27" s="124"/>
      <c r="AF27" s="124"/>
      <c r="AG27" t="s">
        <v>16</v>
      </c>
      <c r="AH27" s="125">
        <v>8.4286697179999995E-3</v>
      </c>
      <c r="AI27" s="125">
        <v>6.0141208390000001E-3</v>
      </c>
      <c r="AJ27" s="125">
        <f>AD27/'סכום נכסים'!$B$30</f>
        <v>7.2559152383152225E-4</v>
      </c>
    </row>
    <row r="28" spans="1:36" x14ac:dyDescent="0.3">
      <c r="A28">
        <v>13908</v>
      </c>
      <c r="B28">
        <v>13908</v>
      </c>
      <c r="C28" t="s">
        <v>1426</v>
      </c>
      <c r="D28">
        <v>520010869</v>
      </c>
      <c r="E28" t="s">
        <v>420</v>
      </c>
      <c r="F28" t="s">
        <v>1427</v>
      </c>
      <c r="G28" t="s">
        <v>1428</v>
      </c>
      <c r="H28" t="s">
        <v>75</v>
      </c>
      <c r="I28" t="s">
        <v>225</v>
      </c>
      <c r="J28" t="s">
        <v>52</v>
      </c>
      <c r="K28" t="s">
        <v>52</v>
      </c>
      <c r="L28" t="s">
        <v>775</v>
      </c>
      <c r="M28" t="s">
        <v>303</v>
      </c>
      <c r="N28" t="s">
        <v>1211</v>
      </c>
      <c r="O28" t="s">
        <v>61</v>
      </c>
      <c r="P28" t="s">
        <v>1257</v>
      </c>
      <c r="Q28" t="s">
        <v>64</v>
      </c>
      <c r="R28" t="s">
        <v>56</v>
      </c>
      <c r="S28" t="s">
        <v>1258</v>
      </c>
      <c r="T28" s="126">
        <v>11.438000000000001</v>
      </c>
      <c r="U28" s="127">
        <v>56249</v>
      </c>
      <c r="V28" s="125">
        <v>2.07E-2</v>
      </c>
      <c r="W28" s="125">
        <v>2.7400000000000001E-2</v>
      </c>
      <c r="X28" t="s">
        <v>607</v>
      </c>
      <c r="Z28" s="124">
        <v>1568116.27</v>
      </c>
      <c r="AA28" s="124">
        <v>1</v>
      </c>
      <c r="AB28" s="124">
        <v>109.08</v>
      </c>
      <c r="AC28" s="124">
        <v>0</v>
      </c>
      <c r="AD28" s="124">
        <v>1710.5012300000001</v>
      </c>
      <c r="AE28" s="124"/>
      <c r="AF28" s="124"/>
      <c r="AG28" t="s">
        <v>16</v>
      </c>
      <c r="AH28" s="125">
        <v>1.91757849E-4</v>
      </c>
      <c r="AI28" s="125">
        <v>2.5525289780000001E-3</v>
      </c>
      <c r="AJ28" s="125">
        <f>AD28/'סכום נכסים'!$B$30</f>
        <v>3.0795746226609946E-4</v>
      </c>
    </row>
    <row r="29" spans="1:36" x14ac:dyDescent="0.3">
      <c r="A29">
        <v>13908</v>
      </c>
      <c r="B29">
        <v>13908</v>
      </c>
      <c r="C29" t="s">
        <v>1350</v>
      </c>
      <c r="D29">
        <v>520026683</v>
      </c>
      <c r="E29" t="s">
        <v>420</v>
      </c>
      <c r="F29" t="s">
        <v>1429</v>
      </c>
      <c r="G29" t="s">
        <v>1430</v>
      </c>
      <c r="H29" t="s">
        <v>75</v>
      </c>
      <c r="I29" t="s">
        <v>225</v>
      </c>
      <c r="J29" t="s">
        <v>52</v>
      </c>
      <c r="K29" t="s">
        <v>52</v>
      </c>
      <c r="L29" t="s">
        <v>775</v>
      </c>
      <c r="M29" t="s">
        <v>303</v>
      </c>
      <c r="N29" t="s">
        <v>620</v>
      </c>
      <c r="O29" t="s">
        <v>61</v>
      </c>
      <c r="P29" t="s">
        <v>1353</v>
      </c>
      <c r="Q29" t="s">
        <v>64</v>
      </c>
      <c r="R29" t="s">
        <v>56</v>
      </c>
      <c r="S29" t="s">
        <v>1258</v>
      </c>
      <c r="T29" s="126">
        <v>1.885</v>
      </c>
      <c r="U29" s="127">
        <v>47394</v>
      </c>
      <c r="V29" s="125">
        <v>1.14E-2</v>
      </c>
      <c r="W29" s="125">
        <v>2.3699999999999999E-2</v>
      </c>
      <c r="X29" t="s">
        <v>607</v>
      </c>
      <c r="Z29" s="124">
        <v>13751527.199999999</v>
      </c>
      <c r="AA29" s="124">
        <v>1</v>
      </c>
      <c r="AB29" s="124">
        <v>115.86</v>
      </c>
      <c r="AC29" s="124">
        <v>0</v>
      </c>
      <c r="AD29" s="124">
        <v>15932.519410000001</v>
      </c>
      <c r="AE29" s="124"/>
      <c r="AF29" s="124"/>
      <c r="AG29" t="s">
        <v>16</v>
      </c>
      <c r="AH29" s="125">
        <v>6.4661805290000002E-3</v>
      </c>
      <c r="AI29" s="125">
        <v>2.3775614298E-2</v>
      </c>
      <c r="AJ29" s="125">
        <f>AD29/'סכום נכסים'!$B$30</f>
        <v>2.8684798110370099E-3</v>
      </c>
    </row>
    <row r="30" spans="1:36" x14ac:dyDescent="0.3">
      <c r="A30">
        <v>13908</v>
      </c>
      <c r="B30">
        <v>13908</v>
      </c>
      <c r="C30" t="s">
        <v>1431</v>
      </c>
      <c r="D30">
        <v>1665</v>
      </c>
      <c r="E30" t="s">
        <v>2</v>
      </c>
      <c r="F30" t="s">
        <v>1432</v>
      </c>
      <c r="G30" t="s">
        <v>1433</v>
      </c>
      <c r="H30" t="s">
        <v>75</v>
      </c>
      <c r="I30" t="s">
        <v>224</v>
      </c>
      <c r="J30" t="s">
        <v>52</v>
      </c>
      <c r="K30" t="s">
        <v>306</v>
      </c>
      <c r="L30" t="s">
        <v>775</v>
      </c>
      <c r="M30" t="s">
        <v>303</v>
      </c>
      <c r="N30" t="s">
        <v>621</v>
      </c>
      <c r="O30" t="s">
        <v>61</v>
      </c>
      <c r="P30" t="s">
        <v>1349</v>
      </c>
      <c r="Q30" t="s">
        <v>64</v>
      </c>
      <c r="R30" t="s">
        <v>56</v>
      </c>
      <c r="S30" t="s">
        <v>1258</v>
      </c>
      <c r="T30" s="126">
        <v>2.9790000000000001</v>
      </c>
      <c r="U30" s="127">
        <v>48502</v>
      </c>
      <c r="V30" s="125">
        <v>4.4999999999999998E-2</v>
      </c>
      <c r="W30" s="125">
        <v>5.0799999999999998E-2</v>
      </c>
      <c r="X30" t="s">
        <v>607</v>
      </c>
      <c r="Z30" s="124">
        <v>1007695.54</v>
      </c>
      <c r="AA30" s="124">
        <v>1</v>
      </c>
      <c r="AB30" s="124">
        <v>99.42</v>
      </c>
      <c r="AC30" s="124">
        <v>0</v>
      </c>
      <c r="AD30" s="124">
        <v>1001.85091</v>
      </c>
      <c r="AE30" s="124"/>
      <c r="AF30" s="124"/>
      <c r="AG30" t="s">
        <v>16</v>
      </c>
      <c r="AH30" s="125">
        <v>1.436481612E-3</v>
      </c>
      <c r="AI30" s="125">
        <v>1.495031652E-3</v>
      </c>
      <c r="AJ30" s="125">
        <f>AD30/'סכום נכסים'!$B$30</f>
        <v>1.8037254718173012E-4</v>
      </c>
    </row>
    <row r="31" spans="1:36" x14ac:dyDescent="0.3">
      <c r="A31">
        <v>13908</v>
      </c>
      <c r="B31">
        <v>13908</v>
      </c>
      <c r="C31" t="s">
        <v>1434</v>
      </c>
      <c r="D31">
        <v>1737</v>
      </c>
      <c r="E31" t="s">
        <v>2</v>
      </c>
      <c r="F31" t="s">
        <v>1435</v>
      </c>
      <c r="G31" t="s">
        <v>1436</v>
      </c>
      <c r="H31" t="s">
        <v>75</v>
      </c>
      <c r="I31" t="s">
        <v>224</v>
      </c>
      <c r="J31" t="s">
        <v>52</v>
      </c>
      <c r="K31" t="s">
        <v>306</v>
      </c>
      <c r="L31" t="s">
        <v>775</v>
      </c>
      <c r="M31" t="s">
        <v>303</v>
      </c>
      <c r="N31" t="s">
        <v>621</v>
      </c>
      <c r="O31" t="s">
        <v>61</v>
      </c>
      <c r="P31" t="s">
        <v>1353</v>
      </c>
      <c r="Q31" t="s">
        <v>64</v>
      </c>
      <c r="R31" t="s">
        <v>56</v>
      </c>
      <c r="S31" t="s">
        <v>1258</v>
      </c>
      <c r="T31" s="126">
        <v>0.98599999999999999</v>
      </c>
      <c r="U31" s="127">
        <v>46752</v>
      </c>
      <c r="V31" s="125">
        <v>3.49E-2</v>
      </c>
      <c r="W31" s="125">
        <v>4.9299999999999997E-2</v>
      </c>
      <c r="X31" t="s">
        <v>607</v>
      </c>
      <c r="Z31" s="124">
        <v>200100</v>
      </c>
      <c r="AA31" s="124">
        <v>1</v>
      </c>
      <c r="AB31" s="124">
        <v>98.67</v>
      </c>
      <c r="AC31" s="124">
        <v>0</v>
      </c>
      <c r="AD31" s="124">
        <v>197.43867</v>
      </c>
      <c r="AE31" s="124"/>
      <c r="AF31" s="124"/>
      <c r="AG31" t="s">
        <v>16</v>
      </c>
      <c r="AH31" s="125">
        <v>3.1729165800000001E-4</v>
      </c>
      <c r="AI31" s="125">
        <v>2.9463172399999999E-4</v>
      </c>
      <c r="AJ31" s="125">
        <f>AD31/'סכום נכסים'!$B$30</f>
        <v>3.5546722036787932E-5</v>
      </c>
    </row>
    <row r="32" spans="1:36" x14ac:dyDescent="0.3">
      <c r="A32">
        <v>13908</v>
      </c>
      <c r="B32">
        <v>13908</v>
      </c>
      <c r="C32" t="s">
        <v>1354</v>
      </c>
      <c r="D32">
        <v>511659401</v>
      </c>
      <c r="E32" t="s">
        <v>420</v>
      </c>
      <c r="F32" t="s">
        <v>1437</v>
      </c>
      <c r="G32" t="s">
        <v>1438</v>
      </c>
      <c r="H32" t="s">
        <v>75</v>
      </c>
      <c r="I32" t="s">
        <v>225</v>
      </c>
      <c r="J32" t="s">
        <v>52</v>
      </c>
      <c r="K32" t="s">
        <v>52</v>
      </c>
      <c r="L32" t="s">
        <v>775</v>
      </c>
      <c r="M32" t="s">
        <v>303</v>
      </c>
      <c r="N32" t="s">
        <v>620</v>
      </c>
      <c r="O32" t="s">
        <v>61</v>
      </c>
      <c r="P32" t="s">
        <v>1353</v>
      </c>
      <c r="Q32" t="s">
        <v>64</v>
      </c>
      <c r="R32" t="s">
        <v>56</v>
      </c>
      <c r="S32" t="s">
        <v>1258</v>
      </c>
      <c r="T32" s="126">
        <v>4.1580000000000004</v>
      </c>
      <c r="U32" s="127">
        <v>49551</v>
      </c>
      <c r="V32" s="125">
        <v>6.4999999999999997E-3</v>
      </c>
      <c r="W32" s="125">
        <v>2.4899999999999999E-2</v>
      </c>
      <c r="X32" t="s">
        <v>607</v>
      </c>
      <c r="Z32" s="124">
        <v>159550.54999999999</v>
      </c>
      <c r="AA32" s="124">
        <v>1</v>
      </c>
      <c r="AB32" s="124">
        <v>110.1</v>
      </c>
      <c r="AC32" s="124">
        <v>0</v>
      </c>
      <c r="AD32" s="124">
        <v>175.66515999999999</v>
      </c>
      <c r="AE32" s="124"/>
      <c r="AF32" s="124"/>
      <c r="AG32" t="s">
        <v>16</v>
      </c>
      <c r="AH32" s="125">
        <v>7.6608007518131702E-5</v>
      </c>
      <c r="AI32" s="125">
        <v>2.6213977699999998E-4</v>
      </c>
      <c r="AJ32" s="125">
        <f>AD32/'סכום נכסים'!$B$30</f>
        <v>3.1626634306581772E-5</v>
      </c>
    </row>
    <row r="33" spans="1:36" x14ac:dyDescent="0.3">
      <c r="A33">
        <v>13908</v>
      </c>
      <c r="B33">
        <v>13908</v>
      </c>
      <c r="C33" t="s">
        <v>1439</v>
      </c>
      <c r="D33">
        <v>1772</v>
      </c>
      <c r="E33" t="s">
        <v>2</v>
      </c>
      <c r="F33" t="s">
        <v>1440</v>
      </c>
      <c r="G33" t="s">
        <v>1441</v>
      </c>
      <c r="H33" t="s">
        <v>75</v>
      </c>
      <c r="I33" t="s">
        <v>224</v>
      </c>
      <c r="J33" t="s">
        <v>52</v>
      </c>
      <c r="K33" t="s">
        <v>306</v>
      </c>
      <c r="L33" t="s">
        <v>775</v>
      </c>
      <c r="M33" t="s">
        <v>303</v>
      </c>
      <c r="N33" t="s">
        <v>621</v>
      </c>
      <c r="O33" t="s">
        <v>61</v>
      </c>
      <c r="P33" t="s">
        <v>1395</v>
      </c>
      <c r="Q33" t="s">
        <v>64</v>
      </c>
      <c r="R33" t="s">
        <v>56</v>
      </c>
      <c r="S33" t="s">
        <v>1258</v>
      </c>
      <c r="T33" s="126">
        <v>1.0329999999999999</v>
      </c>
      <c r="U33" s="127">
        <v>46965</v>
      </c>
      <c r="V33" s="125">
        <v>4.3499999999999997E-2</v>
      </c>
      <c r="W33" s="125">
        <v>5.1400000000000001E-2</v>
      </c>
      <c r="X33" t="s">
        <v>607</v>
      </c>
      <c r="Z33" s="124">
        <v>1213815.75</v>
      </c>
      <c r="AA33" s="124">
        <v>1</v>
      </c>
      <c r="AB33" s="124">
        <v>101.07</v>
      </c>
      <c r="AC33" s="124">
        <v>0</v>
      </c>
      <c r="AD33" s="124">
        <v>1226.80358</v>
      </c>
      <c r="AE33" s="124"/>
      <c r="AF33" s="124"/>
      <c r="AG33" t="s">
        <v>16</v>
      </c>
      <c r="AH33" s="125">
        <v>4.1711881439999996E-3</v>
      </c>
      <c r="AI33" s="125">
        <v>1.8307216820000001E-3</v>
      </c>
      <c r="AJ33" s="125">
        <f>AD33/'סכום נכסים'!$B$30</f>
        <v>2.2087287081095272E-4</v>
      </c>
    </row>
    <row r="34" spans="1:36" x14ac:dyDescent="0.3">
      <c r="A34">
        <v>13908</v>
      </c>
      <c r="B34">
        <v>13908</v>
      </c>
      <c r="C34" t="s">
        <v>1442</v>
      </c>
      <c r="D34">
        <v>513901371</v>
      </c>
      <c r="E34" t="s">
        <v>420</v>
      </c>
      <c r="F34" t="s">
        <v>1443</v>
      </c>
      <c r="G34" t="s">
        <v>1444</v>
      </c>
      <c r="H34" t="s">
        <v>75</v>
      </c>
      <c r="I34" t="s">
        <v>224</v>
      </c>
      <c r="J34" t="s">
        <v>52</v>
      </c>
      <c r="K34" t="s">
        <v>52</v>
      </c>
      <c r="L34" t="s">
        <v>775</v>
      </c>
      <c r="M34" t="s">
        <v>303</v>
      </c>
      <c r="N34" t="s">
        <v>616</v>
      </c>
      <c r="O34" t="s">
        <v>61</v>
      </c>
      <c r="P34" t="s">
        <v>1360</v>
      </c>
      <c r="Q34" t="s">
        <v>64</v>
      </c>
      <c r="R34" t="s">
        <v>56</v>
      </c>
      <c r="S34" t="s">
        <v>1258</v>
      </c>
      <c r="T34" s="126">
        <v>1.9890000000000001</v>
      </c>
      <c r="U34" s="127">
        <v>47696</v>
      </c>
      <c r="V34" s="125">
        <v>2.0500000000000001E-2</v>
      </c>
      <c r="W34" s="125">
        <v>4.0800000000000003E-2</v>
      </c>
      <c r="X34" t="s">
        <v>607</v>
      </c>
      <c r="Z34" s="124">
        <v>1636364.34</v>
      </c>
      <c r="AA34" s="124">
        <v>1</v>
      </c>
      <c r="AB34" s="124">
        <v>96.95</v>
      </c>
      <c r="AC34" s="124">
        <v>0</v>
      </c>
      <c r="AD34" s="124">
        <v>1586.45523</v>
      </c>
      <c r="AE34" s="124"/>
      <c r="AF34" s="124"/>
      <c r="AG34" t="s">
        <v>16</v>
      </c>
      <c r="AH34" s="125">
        <v>2.0859966550000001E-3</v>
      </c>
      <c r="AI34" s="125">
        <v>2.3674189039999999E-3</v>
      </c>
      <c r="AJ34" s="125">
        <f>AD34/'סכום נכסים'!$B$30</f>
        <v>2.8562430594076871E-4</v>
      </c>
    </row>
    <row r="35" spans="1:36" x14ac:dyDescent="0.3">
      <c r="A35">
        <v>13908</v>
      </c>
      <c r="B35">
        <v>13908</v>
      </c>
      <c r="C35" t="s">
        <v>1350</v>
      </c>
      <c r="D35">
        <v>520026683</v>
      </c>
      <c r="E35" t="s">
        <v>420</v>
      </c>
      <c r="F35" t="s">
        <v>1445</v>
      </c>
      <c r="G35" t="s">
        <v>1446</v>
      </c>
      <c r="H35" t="s">
        <v>75</v>
      </c>
      <c r="I35" t="s">
        <v>224</v>
      </c>
      <c r="J35" t="s">
        <v>52</v>
      </c>
      <c r="K35" t="s">
        <v>52</v>
      </c>
      <c r="L35" t="s">
        <v>775</v>
      </c>
      <c r="M35" t="s">
        <v>303</v>
      </c>
      <c r="N35" t="s">
        <v>620</v>
      </c>
      <c r="O35" t="s">
        <v>61</v>
      </c>
      <c r="P35" t="s">
        <v>1353</v>
      </c>
      <c r="Q35" t="s">
        <v>64</v>
      </c>
      <c r="R35" t="s">
        <v>56</v>
      </c>
      <c r="S35" t="s">
        <v>1258</v>
      </c>
      <c r="T35" s="126">
        <v>3.7970000000000002</v>
      </c>
      <c r="U35" s="127">
        <v>48218</v>
      </c>
      <c r="V35" s="125">
        <v>2.4400000000000002E-2</v>
      </c>
      <c r="W35" s="125">
        <v>3.9300000000000002E-2</v>
      </c>
      <c r="X35" t="s">
        <v>607</v>
      </c>
      <c r="Z35" s="124">
        <v>109300</v>
      </c>
      <c r="AA35" s="124">
        <v>1</v>
      </c>
      <c r="AB35" s="124">
        <v>95.76</v>
      </c>
      <c r="AC35" s="124">
        <v>0</v>
      </c>
      <c r="AD35" s="124">
        <v>104.66567999999999</v>
      </c>
      <c r="AE35" s="124"/>
      <c r="AF35" s="124"/>
      <c r="AG35" t="s">
        <v>16</v>
      </c>
      <c r="AH35" s="125">
        <v>8.9933829107622694E-5</v>
      </c>
      <c r="AI35" s="125">
        <v>1.56189411E-4</v>
      </c>
      <c r="AJ35" s="125">
        <f>AD35/'סכום נכסים'!$B$30</f>
        <v>1.8843936872910427E-5</v>
      </c>
    </row>
    <row r="36" spans="1:36" x14ac:dyDescent="0.3">
      <c r="A36">
        <v>13908</v>
      </c>
      <c r="B36">
        <v>13908</v>
      </c>
      <c r="C36" t="s">
        <v>1447</v>
      </c>
      <c r="D36">
        <v>513257873</v>
      </c>
      <c r="E36" t="s">
        <v>420</v>
      </c>
      <c r="F36" t="s">
        <v>1448</v>
      </c>
      <c r="G36" t="s">
        <v>1449</v>
      </c>
      <c r="H36" t="s">
        <v>75</v>
      </c>
      <c r="I36" t="s">
        <v>225</v>
      </c>
      <c r="J36" t="s">
        <v>52</v>
      </c>
      <c r="K36" t="s">
        <v>52</v>
      </c>
      <c r="L36" t="s">
        <v>775</v>
      </c>
      <c r="M36" t="s">
        <v>303</v>
      </c>
      <c r="N36" t="s">
        <v>620</v>
      </c>
      <c r="O36" t="s">
        <v>61</v>
      </c>
      <c r="P36" t="s">
        <v>1353</v>
      </c>
      <c r="Q36" t="s">
        <v>64</v>
      </c>
      <c r="R36" t="s">
        <v>56</v>
      </c>
      <c r="S36" t="s">
        <v>1258</v>
      </c>
      <c r="T36" s="126">
        <v>2.62</v>
      </c>
      <c r="U36" s="127">
        <v>47542</v>
      </c>
      <c r="V36" s="125">
        <v>8.3999999999999995E-3</v>
      </c>
      <c r="W36" s="125">
        <v>2.3699999999999999E-2</v>
      </c>
      <c r="X36" t="s">
        <v>607</v>
      </c>
      <c r="Z36" s="124">
        <v>3330400</v>
      </c>
      <c r="AA36" s="124">
        <v>1</v>
      </c>
      <c r="AB36" s="124">
        <v>114.78</v>
      </c>
      <c r="AC36" s="124">
        <v>0</v>
      </c>
      <c r="AD36" s="124">
        <v>3822.63312</v>
      </c>
      <c r="AE36" s="124"/>
      <c r="AF36" s="124"/>
      <c r="AG36" t="s">
        <v>16</v>
      </c>
      <c r="AH36" s="125">
        <v>2.3005909370000001E-3</v>
      </c>
      <c r="AI36" s="125">
        <v>5.7043991799999999E-3</v>
      </c>
      <c r="AJ36" s="125">
        <f>AD36/'סכום נכסים'!$B$30</f>
        <v>6.8822423168297985E-4</v>
      </c>
    </row>
    <row r="37" spans="1:36" x14ac:dyDescent="0.3">
      <c r="A37">
        <v>13908</v>
      </c>
      <c r="B37">
        <v>13908</v>
      </c>
      <c r="C37" t="s">
        <v>1373</v>
      </c>
      <c r="D37">
        <v>513992529</v>
      </c>
      <c r="E37" t="s">
        <v>420</v>
      </c>
      <c r="F37" t="s">
        <v>1450</v>
      </c>
      <c r="G37" t="s">
        <v>1451</v>
      </c>
      <c r="H37" t="s">
        <v>75</v>
      </c>
      <c r="I37" t="s">
        <v>225</v>
      </c>
      <c r="J37" t="s">
        <v>52</v>
      </c>
      <c r="K37" t="s">
        <v>52</v>
      </c>
      <c r="L37" t="s">
        <v>775</v>
      </c>
      <c r="M37" t="s">
        <v>303</v>
      </c>
      <c r="N37" t="s">
        <v>620</v>
      </c>
      <c r="O37" t="s">
        <v>61</v>
      </c>
      <c r="P37" t="s">
        <v>1376</v>
      </c>
      <c r="Q37" t="s">
        <v>69</v>
      </c>
      <c r="R37" t="s">
        <v>56</v>
      </c>
      <c r="S37" t="s">
        <v>1258</v>
      </c>
      <c r="T37" s="126">
        <v>5.0049999999999999</v>
      </c>
      <c r="U37" s="127">
        <v>48665</v>
      </c>
      <c r="V37" s="125">
        <v>1.5800000000000002E-2</v>
      </c>
      <c r="W37" s="125">
        <v>2.47E-2</v>
      </c>
      <c r="X37" t="s">
        <v>607</v>
      </c>
      <c r="Z37" s="124">
        <v>460282.07</v>
      </c>
      <c r="AA37" s="124">
        <v>1</v>
      </c>
      <c r="AB37" s="124">
        <v>114.82</v>
      </c>
      <c r="AC37" s="124">
        <v>0</v>
      </c>
      <c r="AD37" s="124">
        <v>528.49586999999997</v>
      </c>
      <c r="AE37" s="124"/>
      <c r="AF37" s="124"/>
      <c r="AG37" t="s">
        <v>16</v>
      </c>
      <c r="AH37" s="125">
        <v>4.1738667600000001E-4</v>
      </c>
      <c r="AI37" s="125">
        <v>7.8865831799999995E-4</v>
      </c>
      <c r="AJ37" s="125">
        <f>AD37/'סכום נכסים'!$B$30</f>
        <v>9.5150032101008424E-5</v>
      </c>
    </row>
    <row r="38" spans="1:36" x14ac:dyDescent="0.3">
      <c r="A38">
        <v>13908</v>
      </c>
      <c r="B38">
        <v>13908</v>
      </c>
      <c r="C38" t="s">
        <v>1357</v>
      </c>
      <c r="D38">
        <v>520036104</v>
      </c>
      <c r="E38" t="s">
        <v>420</v>
      </c>
      <c r="F38" t="s">
        <v>1452</v>
      </c>
      <c r="G38" t="s">
        <v>1453</v>
      </c>
      <c r="H38" t="s">
        <v>75</v>
      </c>
      <c r="I38" t="s">
        <v>225</v>
      </c>
      <c r="J38" t="s">
        <v>52</v>
      </c>
      <c r="K38" t="s">
        <v>52</v>
      </c>
      <c r="L38" t="s">
        <v>775</v>
      </c>
      <c r="M38" t="s">
        <v>303</v>
      </c>
      <c r="N38" t="s">
        <v>138</v>
      </c>
      <c r="O38" t="s">
        <v>61</v>
      </c>
      <c r="P38" t="s">
        <v>1360</v>
      </c>
      <c r="Q38" t="s">
        <v>64</v>
      </c>
      <c r="R38" t="s">
        <v>56</v>
      </c>
      <c r="S38" t="s">
        <v>1258</v>
      </c>
      <c r="T38" s="126">
        <v>3.2109999999999999</v>
      </c>
      <c r="U38" s="127">
        <v>47938</v>
      </c>
      <c r="V38" s="125">
        <v>3.2500000000000001E-2</v>
      </c>
      <c r="W38" s="125">
        <v>2.5000000000000001E-2</v>
      </c>
      <c r="X38" t="s">
        <v>607</v>
      </c>
      <c r="Z38" s="124">
        <v>73507.509999999995</v>
      </c>
      <c r="AA38" s="124">
        <v>1</v>
      </c>
      <c r="AB38" s="124">
        <v>123.36</v>
      </c>
      <c r="AC38" s="124">
        <v>0</v>
      </c>
      <c r="AD38" s="124">
        <v>90.67886</v>
      </c>
      <c r="AE38" s="124"/>
      <c r="AF38" s="124"/>
      <c r="AG38" t="s">
        <v>16</v>
      </c>
      <c r="AH38" s="125">
        <v>2.38821307E-4</v>
      </c>
      <c r="AI38" s="125">
        <v>1.3531730500000001E-4</v>
      </c>
      <c r="AJ38" s="125">
        <f>AD38/'סכום נכסים'!$B$30</f>
        <v>1.6325759442326104E-5</v>
      </c>
    </row>
    <row r="39" spans="1:36" x14ac:dyDescent="0.3">
      <c r="A39">
        <v>13908</v>
      </c>
      <c r="B39">
        <v>13908</v>
      </c>
      <c r="C39" t="s">
        <v>1442</v>
      </c>
      <c r="D39">
        <v>513901371</v>
      </c>
      <c r="E39" t="s">
        <v>420</v>
      </c>
      <c r="F39" t="s">
        <v>1454</v>
      </c>
      <c r="G39" t="s">
        <v>1455</v>
      </c>
      <c r="H39" t="s">
        <v>75</v>
      </c>
      <c r="I39" t="s">
        <v>594</v>
      </c>
      <c r="J39" t="s">
        <v>52</v>
      </c>
      <c r="K39" t="s">
        <v>52</v>
      </c>
      <c r="L39" t="s">
        <v>775</v>
      </c>
      <c r="M39" t="s">
        <v>303</v>
      </c>
      <c r="N39" t="s">
        <v>616</v>
      </c>
      <c r="O39" t="s">
        <v>61</v>
      </c>
      <c r="P39" t="s">
        <v>1360</v>
      </c>
      <c r="Q39" t="s">
        <v>64</v>
      </c>
      <c r="R39" t="s">
        <v>56</v>
      </c>
      <c r="S39" t="s">
        <v>1258</v>
      </c>
      <c r="T39" s="126">
        <v>1.083</v>
      </c>
      <c r="U39" s="127">
        <v>46600</v>
      </c>
      <c r="V39" s="125">
        <v>2.5000000000000001E-3</v>
      </c>
      <c r="W39" s="125">
        <v>4.2999999999999997E-2</v>
      </c>
      <c r="X39" t="s">
        <v>607</v>
      </c>
      <c r="Z39" s="124">
        <v>2679900</v>
      </c>
      <c r="AA39" s="124">
        <v>1</v>
      </c>
      <c r="AB39" s="124">
        <v>95.9</v>
      </c>
      <c r="AC39" s="124">
        <v>0</v>
      </c>
      <c r="AD39" s="124">
        <v>2570.0241000000001</v>
      </c>
      <c r="AE39" s="124"/>
      <c r="AF39" s="124"/>
      <c r="AG39" t="s">
        <v>16</v>
      </c>
      <c r="AH39" s="125">
        <v>4.7297750440000001E-3</v>
      </c>
      <c r="AI39" s="125">
        <v>3.8351688240000001E-3</v>
      </c>
      <c r="AJ39" s="125">
        <f>AD39/'סכום נכסים'!$B$30</f>
        <v>4.6270536724414763E-4</v>
      </c>
    </row>
    <row r="40" spans="1:36" x14ac:dyDescent="0.3">
      <c r="A40">
        <v>13908</v>
      </c>
      <c r="B40">
        <v>13908</v>
      </c>
      <c r="C40" t="s">
        <v>1456</v>
      </c>
      <c r="D40">
        <v>520042847</v>
      </c>
      <c r="E40" t="s">
        <v>420</v>
      </c>
      <c r="F40" t="s">
        <v>1457</v>
      </c>
      <c r="G40" t="s">
        <v>1458</v>
      </c>
      <c r="H40" t="s">
        <v>75</v>
      </c>
      <c r="I40" t="s">
        <v>224</v>
      </c>
      <c r="J40" t="s">
        <v>52</v>
      </c>
      <c r="K40" t="s">
        <v>52</v>
      </c>
      <c r="L40" t="s">
        <v>775</v>
      </c>
      <c r="M40" t="s">
        <v>303</v>
      </c>
      <c r="N40" t="s">
        <v>675</v>
      </c>
      <c r="O40" t="s">
        <v>61</v>
      </c>
      <c r="P40" t="s">
        <v>1349</v>
      </c>
      <c r="Q40" t="s">
        <v>64</v>
      </c>
      <c r="R40" t="s">
        <v>56</v>
      </c>
      <c r="S40" t="s">
        <v>1258</v>
      </c>
      <c r="T40" s="126">
        <v>0.249</v>
      </c>
      <c r="U40" s="127">
        <v>46295</v>
      </c>
      <c r="V40" s="125">
        <v>3.9E-2</v>
      </c>
      <c r="W40" s="125">
        <v>4.3200000000000002E-2</v>
      </c>
      <c r="X40" t="s">
        <v>607</v>
      </c>
      <c r="Z40" s="124">
        <v>593195</v>
      </c>
      <c r="AA40" s="124">
        <v>1</v>
      </c>
      <c r="AB40" s="124">
        <v>100.88</v>
      </c>
      <c r="AC40" s="124">
        <v>0</v>
      </c>
      <c r="AD40" s="124">
        <v>598.41512</v>
      </c>
      <c r="AE40" s="124"/>
      <c r="AF40" s="124"/>
      <c r="AG40" t="s">
        <v>16</v>
      </c>
      <c r="AH40" s="125">
        <v>2.0590942529999999E-3</v>
      </c>
      <c r="AI40" s="125">
        <v>8.9299668900000002E-4</v>
      </c>
      <c r="AJ40" s="125">
        <f>AD40/'סכום נכסים'!$B$30</f>
        <v>1.0773824567016733E-4</v>
      </c>
    </row>
    <row r="41" spans="1:36" x14ac:dyDescent="0.3">
      <c r="A41">
        <v>13908</v>
      </c>
      <c r="B41">
        <v>13908</v>
      </c>
      <c r="C41" t="s">
        <v>1364</v>
      </c>
      <c r="D41">
        <v>513821488</v>
      </c>
      <c r="E41" t="s">
        <v>420</v>
      </c>
      <c r="F41" t="s">
        <v>1459</v>
      </c>
      <c r="G41" t="s">
        <v>1460</v>
      </c>
      <c r="H41" t="s">
        <v>75</v>
      </c>
      <c r="I41" t="s">
        <v>225</v>
      </c>
      <c r="J41" t="s">
        <v>52</v>
      </c>
      <c r="K41" t="s">
        <v>52</v>
      </c>
      <c r="L41" t="s">
        <v>775</v>
      </c>
      <c r="M41" t="s">
        <v>303</v>
      </c>
      <c r="N41" t="s">
        <v>620</v>
      </c>
      <c r="O41" t="s">
        <v>61</v>
      </c>
      <c r="P41" t="s">
        <v>1353</v>
      </c>
      <c r="Q41" t="s">
        <v>64</v>
      </c>
      <c r="R41" t="s">
        <v>56</v>
      </c>
      <c r="S41" t="s">
        <v>1258</v>
      </c>
      <c r="T41" s="126">
        <v>5.1669999999999998</v>
      </c>
      <c r="U41" s="127">
        <v>49207</v>
      </c>
      <c r="V41" s="125">
        <v>2.5000000000000001E-2</v>
      </c>
      <c r="W41" s="125">
        <v>2.4199999999999999E-2</v>
      </c>
      <c r="X41" t="s">
        <v>607</v>
      </c>
      <c r="Z41" s="124">
        <v>1195944.3999999999</v>
      </c>
      <c r="AA41" s="124">
        <v>1</v>
      </c>
      <c r="AB41" s="124">
        <v>120.75</v>
      </c>
      <c r="AC41" s="124">
        <v>0</v>
      </c>
      <c r="AD41" s="124">
        <v>1444.10286</v>
      </c>
      <c r="AE41" s="124"/>
      <c r="AF41" s="124"/>
      <c r="AG41" t="s">
        <v>16</v>
      </c>
      <c r="AH41" s="125">
        <v>8.8622243999999996E-4</v>
      </c>
      <c r="AI41" s="125">
        <v>2.1549907910000002E-3</v>
      </c>
      <c r="AJ41" s="125">
        <f>AD41/'סכום נכסים'!$B$30</f>
        <v>2.5999528338065933E-4</v>
      </c>
    </row>
    <row r="42" spans="1:36" x14ac:dyDescent="0.3">
      <c r="A42">
        <v>13908</v>
      </c>
      <c r="B42">
        <v>13908</v>
      </c>
      <c r="C42" t="s">
        <v>1350</v>
      </c>
      <c r="D42">
        <v>520026683</v>
      </c>
      <c r="E42" t="s">
        <v>420</v>
      </c>
      <c r="F42" t="s">
        <v>1461</v>
      </c>
      <c r="G42" t="s">
        <v>1462</v>
      </c>
      <c r="H42" t="s">
        <v>75</v>
      </c>
      <c r="I42" t="s">
        <v>225</v>
      </c>
      <c r="J42" t="s">
        <v>52</v>
      </c>
      <c r="K42" t="s">
        <v>52</v>
      </c>
      <c r="L42" t="s">
        <v>775</v>
      </c>
      <c r="M42" t="s">
        <v>303</v>
      </c>
      <c r="N42" t="s">
        <v>620</v>
      </c>
      <c r="O42" t="s">
        <v>61</v>
      </c>
      <c r="P42" t="s">
        <v>1353</v>
      </c>
      <c r="Q42" t="s">
        <v>64</v>
      </c>
      <c r="R42" t="s">
        <v>56</v>
      </c>
      <c r="S42" t="s">
        <v>1258</v>
      </c>
      <c r="T42" s="126">
        <v>3.9209999999999998</v>
      </c>
      <c r="U42" s="127">
        <v>48218</v>
      </c>
      <c r="V42" s="125">
        <v>9.1999999999999998E-3</v>
      </c>
      <c r="W42" s="125">
        <v>2.4E-2</v>
      </c>
      <c r="X42" t="s">
        <v>607</v>
      </c>
      <c r="Z42" s="124">
        <v>1559390</v>
      </c>
      <c r="AA42" s="124">
        <v>1</v>
      </c>
      <c r="AB42" s="124">
        <v>113.4</v>
      </c>
      <c r="AC42" s="124">
        <v>0</v>
      </c>
      <c r="AD42" s="124">
        <v>1768.34826</v>
      </c>
      <c r="AE42" s="124"/>
      <c r="AF42" s="124"/>
      <c r="AG42" t="s">
        <v>16</v>
      </c>
      <c r="AH42" s="125">
        <v>6.0284615999999999E-4</v>
      </c>
      <c r="AI42" s="125">
        <v>2.6388523430000001E-3</v>
      </c>
      <c r="AJ42" s="125">
        <f>AD42/'סכום נכסים'!$B$30</f>
        <v>3.1837220166878961E-4</v>
      </c>
    </row>
    <row r="43" spans="1:36" x14ac:dyDescent="0.3">
      <c r="A43">
        <v>13908</v>
      </c>
      <c r="B43">
        <v>13908</v>
      </c>
      <c r="C43" t="s">
        <v>1361</v>
      </c>
      <c r="D43">
        <v>514065283</v>
      </c>
      <c r="E43" t="s">
        <v>420</v>
      </c>
      <c r="F43" t="s">
        <v>1463</v>
      </c>
      <c r="G43" t="s">
        <v>1464</v>
      </c>
      <c r="H43" t="s">
        <v>75</v>
      </c>
      <c r="I43" t="s">
        <v>224</v>
      </c>
      <c r="J43" t="s">
        <v>52</v>
      </c>
      <c r="K43" t="s">
        <v>52</v>
      </c>
      <c r="L43" t="s">
        <v>775</v>
      </c>
      <c r="M43" t="s">
        <v>303</v>
      </c>
      <c r="N43" t="s">
        <v>74</v>
      </c>
      <c r="O43" t="s">
        <v>61</v>
      </c>
      <c r="P43" t="s">
        <v>1349</v>
      </c>
      <c r="Q43" t="s">
        <v>64</v>
      </c>
      <c r="R43" t="s">
        <v>56</v>
      </c>
      <c r="S43" t="s">
        <v>1258</v>
      </c>
      <c r="T43" s="126">
        <v>1.2310000000000001</v>
      </c>
      <c r="U43" s="127">
        <v>47027</v>
      </c>
      <c r="V43" s="125">
        <v>2.1499999999999998E-2</v>
      </c>
      <c r="W43" s="125">
        <v>0.04</v>
      </c>
      <c r="X43" t="s">
        <v>607</v>
      </c>
      <c r="Z43" s="124">
        <v>1525992.22</v>
      </c>
      <c r="AA43" s="124">
        <v>1</v>
      </c>
      <c r="AB43" s="124">
        <v>97.82</v>
      </c>
      <c r="AC43" s="124">
        <v>11.51891</v>
      </c>
      <c r="AD43" s="124">
        <v>1504.2445</v>
      </c>
      <c r="AE43" s="124"/>
      <c r="AF43" s="124"/>
      <c r="AG43" t="s">
        <v>16</v>
      </c>
      <c r="AH43" s="125">
        <v>3.1207214249999999E-3</v>
      </c>
      <c r="AI43" s="125">
        <v>2.244738331E-3</v>
      </c>
      <c r="AJ43" s="125">
        <f>AD43/'סכום נכסים'!$B$30</f>
        <v>2.7082314278589422E-4</v>
      </c>
    </row>
    <row r="44" spans="1:36" x14ac:dyDescent="0.3">
      <c r="A44">
        <v>13908</v>
      </c>
      <c r="B44">
        <v>13908</v>
      </c>
      <c r="C44" t="s">
        <v>1392</v>
      </c>
      <c r="D44">
        <v>510560188</v>
      </c>
      <c r="E44" t="s">
        <v>420</v>
      </c>
      <c r="F44" t="s">
        <v>1465</v>
      </c>
      <c r="G44" t="s">
        <v>1466</v>
      </c>
      <c r="H44" t="s">
        <v>75</v>
      </c>
      <c r="I44" t="s">
        <v>224</v>
      </c>
      <c r="J44" t="s">
        <v>52</v>
      </c>
      <c r="K44" t="s">
        <v>52</v>
      </c>
      <c r="L44" t="s">
        <v>775</v>
      </c>
      <c r="M44" t="s">
        <v>303</v>
      </c>
      <c r="N44" t="s">
        <v>621</v>
      </c>
      <c r="O44" t="s">
        <v>61</v>
      </c>
      <c r="P44" t="s">
        <v>1395</v>
      </c>
      <c r="Q44" t="s">
        <v>64</v>
      </c>
      <c r="R44" t="s">
        <v>56</v>
      </c>
      <c r="S44" t="s">
        <v>1258</v>
      </c>
      <c r="T44" s="126">
        <v>1.1439999999999999</v>
      </c>
      <c r="U44" s="127">
        <v>46645</v>
      </c>
      <c r="V44" s="125">
        <v>2.3E-2</v>
      </c>
      <c r="W44" s="125">
        <v>3.8699999999999998E-2</v>
      </c>
      <c r="X44" t="s">
        <v>607</v>
      </c>
      <c r="Z44" s="124">
        <v>4603390.47</v>
      </c>
      <c r="AA44" s="124">
        <v>1</v>
      </c>
      <c r="AB44" s="124">
        <v>98.94</v>
      </c>
      <c r="AC44" s="124">
        <v>0</v>
      </c>
      <c r="AD44" s="124">
        <v>4554.5945300000003</v>
      </c>
      <c r="AE44" s="124"/>
      <c r="AF44" s="124"/>
      <c r="AG44" t="s">
        <v>16</v>
      </c>
      <c r="AH44" s="125">
        <v>6.7806299010000001E-3</v>
      </c>
      <c r="AI44" s="125">
        <v>6.7966829370000002E-3</v>
      </c>
      <c r="AJ44" s="125">
        <f>AD44/'סכום נכסים'!$B$30</f>
        <v>8.2000605934078052E-4</v>
      </c>
    </row>
    <row r="45" spans="1:36" x14ac:dyDescent="0.3">
      <c r="A45">
        <v>13908</v>
      </c>
      <c r="B45">
        <v>13908</v>
      </c>
      <c r="C45" t="s">
        <v>1357</v>
      </c>
      <c r="D45">
        <v>520036104</v>
      </c>
      <c r="E45" t="s">
        <v>420</v>
      </c>
      <c r="F45" t="s">
        <v>1467</v>
      </c>
      <c r="G45" t="s">
        <v>1468</v>
      </c>
      <c r="H45" t="s">
        <v>75</v>
      </c>
      <c r="I45" t="s">
        <v>224</v>
      </c>
      <c r="J45" t="s">
        <v>52</v>
      </c>
      <c r="K45" t="s">
        <v>52</v>
      </c>
      <c r="L45" t="s">
        <v>775</v>
      </c>
      <c r="M45" t="s">
        <v>303</v>
      </c>
      <c r="N45" t="s">
        <v>138</v>
      </c>
      <c r="O45" t="s">
        <v>61</v>
      </c>
      <c r="P45" t="s">
        <v>1360</v>
      </c>
      <c r="Q45" t="s">
        <v>64</v>
      </c>
      <c r="R45" t="s">
        <v>56</v>
      </c>
      <c r="S45" t="s">
        <v>1258</v>
      </c>
      <c r="T45" s="126">
        <v>2.23</v>
      </c>
      <c r="U45" s="127">
        <v>47603</v>
      </c>
      <c r="V45" s="125">
        <v>2.8000000000000001E-2</v>
      </c>
      <c r="W45" s="125">
        <v>4.2900000000000001E-2</v>
      </c>
      <c r="X45" t="s">
        <v>607</v>
      </c>
      <c r="Z45" s="124">
        <v>4243615.2</v>
      </c>
      <c r="AA45" s="124">
        <v>1</v>
      </c>
      <c r="AB45" s="124">
        <v>97.32</v>
      </c>
      <c r="AC45" s="124">
        <v>0</v>
      </c>
      <c r="AD45" s="124">
        <v>4129.8863099999999</v>
      </c>
      <c r="AE45" s="124"/>
      <c r="AF45" s="124"/>
      <c r="AG45" t="s">
        <v>16</v>
      </c>
      <c r="AH45" s="125">
        <v>3.404088099E-3</v>
      </c>
      <c r="AI45" s="125">
        <v>6.1629037740000003E-3</v>
      </c>
      <c r="AJ45" s="125">
        <f>AD45/'סכום נכסים'!$B$30</f>
        <v>7.4354188419677766E-4</v>
      </c>
    </row>
    <row r="46" spans="1:36" x14ac:dyDescent="0.3">
      <c r="A46">
        <v>13908</v>
      </c>
      <c r="B46">
        <v>13908</v>
      </c>
      <c r="C46" t="s">
        <v>1469</v>
      </c>
      <c r="D46">
        <v>516117181</v>
      </c>
      <c r="E46" t="s">
        <v>420</v>
      </c>
      <c r="F46" t="s">
        <v>1470</v>
      </c>
      <c r="G46" t="s">
        <v>1471</v>
      </c>
      <c r="H46" t="s">
        <v>75</v>
      </c>
      <c r="I46" t="s">
        <v>225</v>
      </c>
      <c r="J46" t="s">
        <v>52</v>
      </c>
      <c r="K46" t="s">
        <v>52</v>
      </c>
      <c r="L46" t="s">
        <v>775</v>
      </c>
      <c r="M46" t="s">
        <v>303</v>
      </c>
      <c r="N46" t="s">
        <v>620</v>
      </c>
      <c r="O46" t="s">
        <v>61</v>
      </c>
      <c r="P46" t="s">
        <v>1472</v>
      </c>
      <c r="Q46" t="s">
        <v>64</v>
      </c>
      <c r="R46" t="s">
        <v>56</v>
      </c>
      <c r="S46" t="s">
        <v>1258</v>
      </c>
      <c r="T46" s="126">
        <v>3.7970000000000002</v>
      </c>
      <c r="U46" s="127">
        <v>47664</v>
      </c>
      <c r="V46" s="125">
        <v>6.4000000000000003E-3</v>
      </c>
      <c r="W46" s="125">
        <v>2.7199999999999998E-2</v>
      </c>
      <c r="X46" t="s">
        <v>607</v>
      </c>
      <c r="Z46" s="124">
        <v>464646.47</v>
      </c>
      <c r="AA46" s="124">
        <v>1</v>
      </c>
      <c r="AB46" s="124">
        <v>109.31</v>
      </c>
      <c r="AC46" s="124">
        <v>0</v>
      </c>
      <c r="AD46" s="124">
        <v>507.90505999999999</v>
      </c>
      <c r="AE46" s="124"/>
      <c r="AF46" s="124"/>
      <c r="AG46" t="s">
        <v>16</v>
      </c>
      <c r="AH46" s="125">
        <v>1.5544245830000001E-3</v>
      </c>
      <c r="AI46" s="125">
        <v>7.5793127799999996E-4</v>
      </c>
      <c r="AJ46" s="125">
        <f>AD46/'סכום נכסים'!$B$30</f>
        <v>9.1442876863474093E-5</v>
      </c>
    </row>
    <row r="47" spans="1:36" x14ac:dyDescent="0.3">
      <c r="A47">
        <v>13908</v>
      </c>
      <c r="B47">
        <v>13908</v>
      </c>
      <c r="C47" t="s">
        <v>1473</v>
      </c>
      <c r="D47">
        <v>515434074</v>
      </c>
      <c r="E47" t="s">
        <v>420</v>
      </c>
      <c r="F47" t="s">
        <v>1474</v>
      </c>
      <c r="G47" t="s">
        <v>1475</v>
      </c>
      <c r="H47" t="s">
        <v>75</v>
      </c>
      <c r="I47" t="s">
        <v>225</v>
      </c>
      <c r="J47" t="s">
        <v>52</v>
      </c>
      <c r="K47" t="s">
        <v>52</v>
      </c>
      <c r="L47" t="s">
        <v>775</v>
      </c>
      <c r="M47" t="s">
        <v>303</v>
      </c>
      <c r="N47" t="s">
        <v>620</v>
      </c>
      <c r="O47" t="s">
        <v>61</v>
      </c>
      <c r="P47" t="s">
        <v>1472</v>
      </c>
      <c r="Q47" t="s">
        <v>64</v>
      </c>
      <c r="R47" t="s">
        <v>56</v>
      </c>
      <c r="S47" t="s">
        <v>1258</v>
      </c>
      <c r="T47" s="126">
        <v>2.2440000000000002</v>
      </c>
      <c r="U47" s="127">
        <v>47027</v>
      </c>
      <c r="V47" s="125">
        <v>3.0000000000000001E-3</v>
      </c>
      <c r="W47" s="125">
        <v>2.46E-2</v>
      </c>
      <c r="X47" t="s">
        <v>607</v>
      </c>
      <c r="Z47" s="124">
        <v>50000</v>
      </c>
      <c r="AA47" s="124">
        <v>1</v>
      </c>
      <c r="AB47" s="124">
        <v>112.71</v>
      </c>
      <c r="AC47" s="124">
        <v>0</v>
      </c>
      <c r="AD47" s="124">
        <v>56.354999999999997</v>
      </c>
      <c r="AE47" s="124"/>
      <c r="AF47" s="124"/>
      <c r="AG47" t="s">
        <v>16</v>
      </c>
      <c r="AH47" s="125">
        <v>8.8684874262585293E-5</v>
      </c>
      <c r="AI47" s="125">
        <v>8.4096853067011198E-5</v>
      </c>
      <c r="AJ47" s="125">
        <f>AD47/'סכום נכסים'!$B$30</f>
        <v>1.0146115350063815E-5</v>
      </c>
    </row>
    <row r="48" spans="1:36" x14ac:dyDescent="0.3">
      <c r="A48">
        <v>13908</v>
      </c>
      <c r="B48">
        <v>13908</v>
      </c>
      <c r="C48" t="s">
        <v>1476</v>
      </c>
      <c r="D48">
        <v>520043027</v>
      </c>
      <c r="E48" t="s">
        <v>420</v>
      </c>
      <c r="F48" t="s">
        <v>1477</v>
      </c>
      <c r="G48" t="s">
        <v>1478</v>
      </c>
      <c r="H48" t="s">
        <v>75</v>
      </c>
      <c r="I48" t="s">
        <v>224</v>
      </c>
      <c r="J48" t="s">
        <v>52</v>
      </c>
      <c r="K48" t="s">
        <v>52</v>
      </c>
      <c r="L48" t="s">
        <v>775</v>
      </c>
      <c r="M48" t="s">
        <v>303</v>
      </c>
      <c r="N48" t="s">
        <v>623</v>
      </c>
      <c r="O48" t="s">
        <v>61</v>
      </c>
      <c r="P48" t="s">
        <v>1257</v>
      </c>
      <c r="Q48" t="s">
        <v>64</v>
      </c>
      <c r="R48" t="s">
        <v>56</v>
      </c>
      <c r="S48" t="s">
        <v>1258</v>
      </c>
      <c r="T48" s="126">
        <v>1.9630000000000001</v>
      </c>
      <c r="U48" s="127">
        <v>47300</v>
      </c>
      <c r="V48" s="125">
        <v>1.0800000000000001E-2</v>
      </c>
      <c r="W48" s="125">
        <v>3.6499999999999998E-2</v>
      </c>
      <c r="X48" t="s">
        <v>607</v>
      </c>
      <c r="Z48" s="124">
        <v>4831875</v>
      </c>
      <c r="AA48" s="124">
        <v>1</v>
      </c>
      <c r="AB48" s="124">
        <v>95.17</v>
      </c>
      <c r="AC48" s="124">
        <v>0</v>
      </c>
      <c r="AD48" s="124">
        <v>4598.4954399999997</v>
      </c>
      <c r="AE48" s="124"/>
      <c r="AF48" s="124"/>
      <c r="AG48" t="s">
        <v>16</v>
      </c>
      <c r="AH48" s="125">
        <v>8.5900000000000004E-3</v>
      </c>
      <c r="AI48" s="125">
        <v>6.8621949309999996E-3</v>
      </c>
      <c r="AJ48" s="125">
        <f>AD48/'סכום נכסים'!$B$30</f>
        <v>8.2790994891282857E-4</v>
      </c>
    </row>
    <row r="49" spans="1:36" x14ac:dyDescent="0.3">
      <c r="A49">
        <v>13908</v>
      </c>
      <c r="B49">
        <v>13908</v>
      </c>
      <c r="C49" t="s">
        <v>1479</v>
      </c>
      <c r="D49">
        <v>514892801</v>
      </c>
      <c r="E49" t="s">
        <v>420</v>
      </c>
      <c r="F49" t="s">
        <v>1480</v>
      </c>
      <c r="G49" t="s">
        <v>1481</v>
      </c>
      <c r="H49" t="s">
        <v>75</v>
      </c>
      <c r="I49" t="s">
        <v>224</v>
      </c>
      <c r="J49" t="s">
        <v>52</v>
      </c>
      <c r="K49" t="s">
        <v>52</v>
      </c>
      <c r="L49" t="s">
        <v>775</v>
      </c>
      <c r="M49" t="s">
        <v>303</v>
      </c>
      <c r="N49" t="s">
        <v>256</v>
      </c>
      <c r="O49" t="s">
        <v>61</v>
      </c>
      <c r="P49" t="s">
        <v>1395</v>
      </c>
      <c r="Q49" t="s">
        <v>64</v>
      </c>
      <c r="R49" t="s">
        <v>56</v>
      </c>
      <c r="S49" t="s">
        <v>1258</v>
      </c>
      <c r="T49" s="126">
        <v>5.2460000000000004</v>
      </c>
      <c r="U49" s="127">
        <v>50374</v>
      </c>
      <c r="V49" s="125">
        <v>2.3400000000000001E-2</v>
      </c>
      <c r="W49" s="125">
        <v>0.04</v>
      </c>
      <c r="X49" t="s">
        <v>607</v>
      </c>
      <c r="Z49" s="124">
        <v>131200</v>
      </c>
      <c r="AA49" s="124">
        <v>1</v>
      </c>
      <c r="AB49" s="124">
        <v>91.98</v>
      </c>
      <c r="AC49" s="124">
        <v>0</v>
      </c>
      <c r="AD49" s="124">
        <v>120.67776000000001</v>
      </c>
      <c r="AE49" s="124"/>
      <c r="AF49" s="124"/>
      <c r="AG49" t="s">
        <v>16</v>
      </c>
      <c r="AH49" s="125">
        <v>1.37106878E-4</v>
      </c>
      <c r="AI49" s="125">
        <v>1.8008375199999999E-4</v>
      </c>
      <c r="AJ49" s="125">
        <f>AD49/'סכום נכסים'!$B$30</f>
        <v>2.1726740717723664E-5</v>
      </c>
    </row>
    <row r="50" spans="1:36" x14ac:dyDescent="0.3">
      <c r="A50">
        <v>13908</v>
      </c>
      <c r="B50">
        <v>13908</v>
      </c>
      <c r="C50" t="s">
        <v>1369</v>
      </c>
      <c r="D50">
        <v>510960719</v>
      </c>
      <c r="E50" t="s">
        <v>420</v>
      </c>
      <c r="F50" t="s">
        <v>1482</v>
      </c>
      <c r="G50" t="s">
        <v>1483</v>
      </c>
      <c r="H50" t="s">
        <v>75</v>
      </c>
      <c r="I50" t="s">
        <v>225</v>
      </c>
      <c r="J50" t="s">
        <v>52</v>
      </c>
      <c r="K50" t="s">
        <v>52</v>
      </c>
      <c r="L50" t="s">
        <v>775</v>
      </c>
      <c r="M50" t="s">
        <v>303</v>
      </c>
      <c r="N50" t="s">
        <v>620</v>
      </c>
      <c r="O50" t="s">
        <v>61</v>
      </c>
      <c r="P50" t="s">
        <v>1484</v>
      </c>
      <c r="Q50" t="s">
        <v>64</v>
      </c>
      <c r="R50" t="s">
        <v>56</v>
      </c>
      <c r="S50" t="s">
        <v>1258</v>
      </c>
      <c r="T50" s="126">
        <v>5.6310000000000002</v>
      </c>
      <c r="U50" s="127">
        <v>49858</v>
      </c>
      <c r="V50" s="125">
        <v>8.9999999999999993E-3</v>
      </c>
      <c r="W50" s="125">
        <v>2.35E-2</v>
      </c>
      <c r="X50" t="s">
        <v>607</v>
      </c>
      <c r="Z50" s="124">
        <v>1247999.95</v>
      </c>
      <c r="AA50" s="124">
        <v>1</v>
      </c>
      <c r="AB50" s="124">
        <v>108.4</v>
      </c>
      <c r="AC50" s="124">
        <v>8.9806699999999999</v>
      </c>
      <c r="AD50" s="124">
        <v>1361.8126199999999</v>
      </c>
      <c r="AE50" s="124"/>
      <c r="AF50" s="124"/>
      <c r="AG50" t="s">
        <v>16</v>
      </c>
      <c r="AH50" s="125">
        <v>4.7282511599999998E-4</v>
      </c>
      <c r="AI50" s="125">
        <v>2.0321915669999999E-3</v>
      </c>
      <c r="AJ50" s="125">
        <f>AD50/'סכום נכסים'!$B$30</f>
        <v>2.4517980530019734E-4</v>
      </c>
    </row>
    <row r="51" spans="1:36" x14ac:dyDescent="0.3">
      <c r="A51">
        <v>13908</v>
      </c>
      <c r="B51">
        <v>13908</v>
      </c>
      <c r="C51" t="s">
        <v>1369</v>
      </c>
      <c r="D51">
        <v>510960719</v>
      </c>
      <c r="E51" t="s">
        <v>420</v>
      </c>
      <c r="F51" t="s">
        <v>1485</v>
      </c>
      <c r="G51" t="s">
        <v>1486</v>
      </c>
      <c r="H51" t="s">
        <v>75</v>
      </c>
      <c r="I51" t="s">
        <v>225</v>
      </c>
      <c r="J51" t="s">
        <v>52</v>
      </c>
      <c r="K51" t="s">
        <v>52</v>
      </c>
      <c r="L51" t="s">
        <v>775</v>
      </c>
      <c r="M51" t="s">
        <v>303</v>
      </c>
      <c r="N51" t="s">
        <v>620</v>
      </c>
      <c r="O51" t="s">
        <v>61</v>
      </c>
      <c r="P51" t="s">
        <v>1484</v>
      </c>
      <c r="Q51" t="s">
        <v>64</v>
      </c>
      <c r="R51" t="s">
        <v>56</v>
      </c>
      <c r="S51" t="s">
        <v>1258</v>
      </c>
      <c r="T51" s="126">
        <v>9.0909999999999993</v>
      </c>
      <c r="U51" s="127">
        <v>51503</v>
      </c>
      <c r="V51" s="125">
        <v>1.6899999999999998E-2</v>
      </c>
      <c r="W51" s="125">
        <v>2.64E-2</v>
      </c>
      <c r="X51" t="s">
        <v>607</v>
      </c>
      <c r="Z51" s="124">
        <v>1053524</v>
      </c>
      <c r="AA51" s="124">
        <v>1</v>
      </c>
      <c r="AB51" s="124">
        <v>108.01</v>
      </c>
      <c r="AC51" s="124">
        <v>10.464639999999999</v>
      </c>
      <c r="AD51" s="124">
        <v>1148.37591</v>
      </c>
      <c r="AE51" s="124"/>
      <c r="AF51" s="124"/>
      <c r="AG51" t="s">
        <v>16</v>
      </c>
      <c r="AH51" s="125">
        <v>2.4147001099999999E-4</v>
      </c>
      <c r="AI51" s="125">
        <v>1.713686454E-3</v>
      </c>
      <c r="AJ51" s="125">
        <f>AD51/'סכום נכסים'!$B$30</f>
        <v>2.0675280717051729E-4</v>
      </c>
    </row>
    <row r="52" spans="1:36" x14ac:dyDescent="0.3">
      <c r="A52">
        <v>13908</v>
      </c>
      <c r="B52">
        <v>13908</v>
      </c>
      <c r="C52" t="s">
        <v>1487</v>
      </c>
      <c r="D52">
        <v>1654</v>
      </c>
      <c r="E52" t="s">
        <v>2</v>
      </c>
      <c r="F52" t="s">
        <v>1488</v>
      </c>
      <c r="G52" t="s">
        <v>1489</v>
      </c>
      <c r="H52" t="s">
        <v>75</v>
      </c>
      <c r="I52" t="s">
        <v>224</v>
      </c>
      <c r="J52" t="s">
        <v>52</v>
      </c>
      <c r="K52" t="s">
        <v>306</v>
      </c>
      <c r="L52" t="s">
        <v>775</v>
      </c>
      <c r="M52" t="s">
        <v>303</v>
      </c>
      <c r="N52" t="s">
        <v>621</v>
      </c>
      <c r="O52" t="s">
        <v>61</v>
      </c>
      <c r="P52" t="s">
        <v>1349</v>
      </c>
      <c r="Q52" t="s">
        <v>64</v>
      </c>
      <c r="R52" t="s">
        <v>56</v>
      </c>
      <c r="S52" t="s">
        <v>1258</v>
      </c>
      <c r="T52" s="126">
        <v>8.2000000000000003E-2</v>
      </c>
      <c r="U52" s="127">
        <v>46234</v>
      </c>
      <c r="V52" s="125">
        <v>5.7000000000000002E-2</v>
      </c>
      <c r="W52" s="125">
        <v>0.1036</v>
      </c>
      <c r="X52" t="s">
        <v>607</v>
      </c>
      <c r="Z52" s="124">
        <v>148882.82999999999</v>
      </c>
      <c r="AA52" s="124">
        <v>1</v>
      </c>
      <c r="AB52" s="124">
        <v>102.02</v>
      </c>
      <c r="AC52" s="124">
        <v>0</v>
      </c>
      <c r="AD52" s="124">
        <v>151.89026000000001</v>
      </c>
      <c r="AE52" s="124"/>
      <c r="AF52" s="124"/>
      <c r="AG52" t="s">
        <v>16</v>
      </c>
      <c r="AH52" s="125">
        <v>1.467743026E-3</v>
      </c>
      <c r="AI52" s="125">
        <v>2.2666121599999999E-4</v>
      </c>
      <c r="AJ52" s="125">
        <f>AD52/'סכום נכסים'!$B$30</f>
        <v>2.7346217700491242E-5</v>
      </c>
    </row>
    <row r="53" spans="1:36" x14ac:dyDescent="0.3">
      <c r="A53">
        <v>13908</v>
      </c>
      <c r="B53">
        <v>13908</v>
      </c>
      <c r="C53" t="s">
        <v>1490</v>
      </c>
      <c r="D53">
        <v>515364891</v>
      </c>
      <c r="E53" t="s">
        <v>420</v>
      </c>
      <c r="F53" t="s">
        <v>1491</v>
      </c>
      <c r="G53" t="s">
        <v>1492</v>
      </c>
      <c r="H53" t="s">
        <v>75</v>
      </c>
      <c r="I53" t="s">
        <v>225</v>
      </c>
      <c r="J53" t="s">
        <v>52</v>
      </c>
      <c r="K53" t="s">
        <v>52</v>
      </c>
      <c r="L53" t="s">
        <v>775</v>
      </c>
      <c r="M53" t="s">
        <v>303</v>
      </c>
      <c r="N53" t="s">
        <v>616</v>
      </c>
      <c r="O53" t="s">
        <v>61</v>
      </c>
      <c r="P53" t="s">
        <v>290</v>
      </c>
      <c r="Q53" t="s">
        <v>290</v>
      </c>
      <c r="R53" t="s">
        <v>290</v>
      </c>
      <c r="S53" t="s">
        <v>1258</v>
      </c>
      <c r="T53" s="126">
        <v>1.778</v>
      </c>
      <c r="U53" s="127">
        <v>46934</v>
      </c>
      <c r="V53" s="125">
        <v>1.5800000000000002E-2</v>
      </c>
      <c r="W53" s="125">
        <v>2.9499999999999998E-2</v>
      </c>
      <c r="X53" t="s">
        <v>607</v>
      </c>
      <c r="Z53" s="124">
        <v>575057.18000000005</v>
      </c>
      <c r="AA53" s="124">
        <v>1</v>
      </c>
      <c r="AB53" s="124">
        <v>114.79</v>
      </c>
      <c r="AC53" s="124">
        <v>0</v>
      </c>
      <c r="AD53" s="124">
        <v>660.10814000000005</v>
      </c>
      <c r="AE53" s="124"/>
      <c r="AF53" s="124"/>
      <c r="AG53" t="s">
        <v>16</v>
      </c>
      <c r="AH53" s="125">
        <v>2.2263942459999999E-3</v>
      </c>
      <c r="AI53" s="125">
        <v>9.8505930700000001E-4</v>
      </c>
      <c r="AJ53" s="125">
        <f>AD53/'סכום נכסים'!$B$30</f>
        <v>1.188454144611139E-4</v>
      </c>
    </row>
    <row r="54" spans="1:36" x14ac:dyDescent="0.3">
      <c r="A54">
        <v>13908</v>
      </c>
      <c r="B54">
        <v>13908</v>
      </c>
      <c r="C54" t="s">
        <v>1493</v>
      </c>
      <c r="D54">
        <v>514599943</v>
      </c>
      <c r="E54" t="s">
        <v>420</v>
      </c>
      <c r="F54" t="s">
        <v>1494</v>
      </c>
      <c r="G54" t="s">
        <v>1495</v>
      </c>
      <c r="H54" t="s">
        <v>75</v>
      </c>
      <c r="I54" t="s">
        <v>225</v>
      </c>
      <c r="J54" t="s">
        <v>52</v>
      </c>
      <c r="K54" t="s">
        <v>52</v>
      </c>
      <c r="L54" t="s">
        <v>775</v>
      </c>
      <c r="M54" t="s">
        <v>303</v>
      </c>
      <c r="N54" t="s">
        <v>616</v>
      </c>
      <c r="O54" t="s">
        <v>61</v>
      </c>
      <c r="P54" t="s">
        <v>1496</v>
      </c>
      <c r="Q54" t="s">
        <v>69</v>
      </c>
      <c r="R54" t="s">
        <v>56</v>
      </c>
      <c r="S54" t="s">
        <v>1258</v>
      </c>
      <c r="T54" s="126">
        <v>1.387</v>
      </c>
      <c r="U54" s="127">
        <v>46752</v>
      </c>
      <c r="V54" s="125">
        <v>1.4800000000000001E-2</v>
      </c>
      <c r="W54" s="125">
        <v>2.7400000000000001E-2</v>
      </c>
      <c r="X54" t="s">
        <v>607</v>
      </c>
      <c r="Z54" s="124">
        <v>2364025.9500000002</v>
      </c>
      <c r="AA54" s="124">
        <v>1</v>
      </c>
      <c r="AB54" s="124">
        <v>115.1</v>
      </c>
      <c r="AC54" s="124">
        <v>0</v>
      </c>
      <c r="AD54" s="124">
        <v>2720.9938699999998</v>
      </c>
      <c r="AE54" s="124"/>
      <c r="AF54" s="124"/>
      <c r="AG54" t="s">
        <v>16</v>
      </c>
      <c r="AH54" s="125">
        <v>9.2484996569999998E-3</v>
      </c>
      <c r="AI54" s="125">
        <v>4.0604564219999997E-3</v>
      </c>
      <c r="AJ54" s="125">
        <f>AD54/'סכום נכסים'!$B$30</f>
        <v>4.8988586055960504E-4</v>
      </c>
    </row>
    <row r="55" spans="1:36" x14ac:dyDescent="0.3">
      <c r="A55">
        <v>13908</v>
      </c>
      <c r="B55">
        <v>13908</v>
      </c>
      <c r="C55" t="s">
        <v>1383</v>
      </c>
      <c r="D55">
        <v>513623314</v>
      </c>
      <c r="E55" t="s">
        <v>420</v>
      </c>
      <c r="F55" t="s">
        <v>1497</v>
      </c>
      <c r="G55" t="s">
        <v>1498</v>
      </c>
      <c r="H55" t="s">
        <v>75</v>
      </c>
      <c r="I55" t="s">
        <v>224</v>
      </c>
      <c r="J55" t="s">
        <v>52</v>
      </c>
      <c r="K55" t="s">
        <v>52</v>
      </c>
      <c r="L55" t="s">
        <v>775</v>
      </c>
      <c r="M55" t="s">
        <v>303</v>
      </c>
      <c r="N55" t="s">
        <v>620</v>
      </c>
      <c r="O55" t="s">
        <v>61</v>
      </c>
      <c r="P55" t="s">
        <v>1353</v>
      </c>
      <c r="Q55" t="s">
        <v>64</v>
      </c>
      <c r="R55" t="s">
        <v>56</v>
      </c>
      <c r="S55" t="s">
        <v>1258</v>
      </c>
      <c r="T55" s="126">
        <v>2.9550000000000001</v>
      </c>
      <c r="U55" s="127">
        <v>47421</v>
      </c>
      <c r="V55" s="125">
        <v>2.0899999999999998E-2</v>
      </c>
      <c r="W55" s="125">
        <v>3.6400000000000002E-2</v>
      </c>
      <c r="X55" t="s">
        <v>607</v>
      </c>
      <c r="Z55" s="124">
        <v>2000000</v>
      </c>
      <c r="AA55" s="124">
        <v>1</v>
      </c>
      <c r="AB55" s="124">
        <v>95.99</v>
      </c>
      <c r="AC55" s="124">
        <v>0</v>
      </c>
      <c r="AD55" s="124">
        <v>1919.8</v>
      </c>
      <c r="AE55" s="124"/>
      <c r="AF55" s="124"/>
      <c r="AG55" t="s">
        <v>16</v>
      </c>
      <c r="AH55" s="125">
        <v>6.2814070350000004E-3</v>
      </c>
      <c r="AI55" s="125">
        <v>2.8648591690000002E-3</v>
      </c>
      <c r="AJ55" s="125">
        <f>AD55/'סכום נכסים'!$B$30</f>
        <v>3.4563946853078715E-4</v>
      </c>
    </row>
    <row r="56" spans="1:36" x14ac:dyDescent="0.3">
      <c r="A56">
        <v>13908</v>
      </c>
      <c r="B56">
        <v>13908</v>
      </c>
      <c r="C56" t="s">
        <v>1499</v>
      </c>
      <c r="D56">
        <v>513893123</v>
      </c>
      <c r="E56" t="s">
        <v>420</v>
      </c>
      <c r="F56" t="s">
        <v>1500</v>
      </c>
      <c r="G56" t="s">
        <v>1501</v>
      </c>
      <c r="H56" t="s">
        <v>75</v>
      </c>
      <c r="I56" t="s">
        <v>225</v>
      </c>
      <c r="J56" t="s">
        <v>52</v>
      </c>
      <c r="K56" t="s">
        <v>52</v>
      </c>
      <c r="L56" t="s">
        <v>775</v>
      </c>
      <c r="M56" t="s">
        <v>303</v>
      </c>
      <c r="N56" t="s">
        <v>618</v>
      </c>
      <c r="O56" t="s">
        <v>61</v>
      </c>
      <c r="P56" t="s">
        <v>1389</v>
      </c>
      <c r="Q56" t="s">
        <v>69</v>
      </c>
      <c r="R56" t="s">
        <v>56</v>
      </c>
      <c r="S56" t="s">
        <v>1258</v>
      </c>
      <c r="T56" s="126">
        <v>2.3340000000000001</v>
      </c>
      <c r="U56" s="127">
        <v>48060</v>
      </c>
      <c r="V56" s="125">
        <v>0.01</v>
      </c>
      <c r="W56" s="125">
        <v>2.5999999999999999E-2</v>
      </c>
      <c r="X56" t="s">
        <v>607</v>
      </c>
      <c r="Z56" s="124">
        <v>3465096.98</v>
      </c>
      <c r="AA56" s="124">
        <v>1</v>
      </c>
      <c r="AB56" s="124">
        <v>112.64</v>
      </c>
      <c r="AC56" s="124">
        <v>0</v>
      </c>
      <c r="AD56" s="124">
        <v>3903.0852399999999</v>
      </c>
      <c r="AE56" s="124"/>
      <c r="AF56" s="124"/>
      <c r="AG56" t="s">
        <v>16</v>
      </c>
      <c r="AH56" s="125">
        <v>2.0514110019999999E-3</v>
      </c>
      <c r="AI56" s="125">
        <v>5.8244554329999997E-3</v>
      </c>
      <c r="AJ56" s="125">
        <f>AD56/'סכום נכסים'!$B$30</f>
        <v>7.0270877590580263E-4</v>
      </c>
    </row>
    <row r="57" spans="1:36" x14ac:dyDescent="0.3">
      <c r="A57">
        <v>13908</v>
      </c>
      <c r="B57">
        <v>13908</v>
      </c>
      <c r="C57" t="s">
        <v>1410</v>
      </c>
      <c r="D57">
        <v>520044314</v>
      </c>
      <c r="E57" t="s">
        <v>420</v>
      </c>
      <c r="F57" t="s">
        <v>1502</v>
      </c>
      <c r="G57" t="s">
        <v>1503</v>
      </c>
      <c r="H57" t="s">
        <v>75</v>
      </c>
      <c r="I57" t="s">
        <v>224</v>
      </c>
      <c r="J57" t="s">
        <v>52</v>
      </c>
      <c r="K57" t="s">
        <v>52</v>
      </c>
      <c r="L57" t="s">
        <v>775</v>
      </c>
      <c r="M57" t="s">
        <v>303</v>
      </c>
      <c r="N57" t="s">
        <v>253</v>
      </c>
      <c r="O57" t="s">
        <v>61</v>
      </c>
      <c r="P57" t="s">
        <v>1349</v>
      </c>
      <c r="Q57" t="s">
        <v>64</v>
      </c>
      <c r="R57" t="s">
        <v>56</v>
      </c>
      <c r="S57" t="s">
        <v>1258</v>
      </c>
      <c r="T57" s="126">
        <v>3.0419999999999998</v>
      </c>
      <c r="U57" s="127">
        <v>47659</v>
      </c>
      <c r="V57" s="125">
        <v>2.0799999999999999E-2</v>
      </c>
      <c r="W57" s="125">
        <v>3.6600000000000001E-2</v>
      </c>
      <c r="X57" t="s">
        <v>607</v>
      </c>
      <c r="Z57" s="124">
        <v>1750000</v>
      </c>
      <c r="AA57" s="124">
        <v>1</v>
      </c>
      <c r="AB57" s="124">
        <v>95.44</v>
      </c>
      <c r="AC57" s="124">
        <v>0</v>
      </c>
      <c r="AD57" s="124">
        <v>1670.2</v>
      </c>
      <c r="AE57" s="124"/>
      <c r="AF57" s="124"/>
      <c r="AG57" t="s">
        <v>16</v>
      </c>
      <c r="AH57" s="125">
        <v>1.2600361882E-2</v>
      </c>
      <c r="AI57" s="125">
        <v>2.4923886779999998E-3</v>
      </c>
      <c r="AJ57" s="125">
        <f>AD57/'סכום נכסים'!$B$30</f>
        <v>3.0070165659970869E-4</v>
      </c>
    </row>
    <row r="58" spans="1:36" x14ac:dyDescent="0.3">
      <c r="A58">
        <v>13908</v>
      </c>
      <c r="B58">
        <v>13908</v>
      </c>
      <c r="C58" t="s">
        <v>1377</v>
      </c>
      <c r="D58">
        <v>510381601</v>
      </c>
      <c r="E58" t="s">
        <v>420</v>
      </c>
      <c r="F58" t="s">
        <v>1504</v>
      </c>
      <c r="G58" t="s">
        <v>1505</v>
      </c>
      <c r="H58" t="s">
        <v>75</v>
      </c>
      <c r="I58" t="s">
        <v>225</v>
      </c>
      <c r="J58" t="s">
        <v>52</v>
      </c>
      <c r="K58" t="s">
        <v>52</v>
      </c>
      <c r="L58" t="s">
        <v>775</v>
      </c>
      <c r="M58" t="s">
        <v>303</v>
      </c>
      <c r="N58" t="s">
        <v>138</v>
      </c>
      <c r="O58" t="s">
        <v>61</v>
      </c>
      <c r="P58" t="s">
        <v>1360</v>
      </c>
      <c r="Q58" t="s">
        <v>64</v>
      </c>
      <c r="R58" t="s">
        <v>56</v>
      </c>
      <c r="S58" t="s">
        <v>1258</v>
      </c>
      <c r="T58" s="126">
        <v>2.0510000000000002</v>
      </c>
      <c r="U58" s="127">
        <v>47483</v>
      </c>
      <c r="V58" s="125">
        <v>7.4999999999999997E-3</v>
      </c>
      <c r="W58" s="125">
        <v>2.5700000000000001E-2</v>
      </c>
      <c r="X58" t="s">
        <v>607</v>
      </c>
      <c r="Z58" s="124">
        <v>849999.98</v>
      </c>
      <c r="AA58" s="124">
        <v>1</v>
      </c>
      <c r="AB58" s="124">
        <v>112.29</v>
      </c>
      <c r="AC58" s="124">
        <v>0</v>
      </c>
      <c r="AD58" s="124">
        <v>954.46497999999997</v>
      </c>
      <c r="AE58" s="124"/>
      <c r="AF58" s="124"/>
      <c r="AG58" t="s">
        <v>16</v>
      </c>
      <c r="AH58" s="125">
        <v>6.4978987499999998E-4</v>
      </c>
      <c r="AI58" s="125">
        <v>1.424319069E-3</v>
      </c>
      <c r="AJ58" s="125">
        <f>AD58/'סכום נכסים'!$B$30</f>
        <v>1.7184121701138057E-4</v>
      </c>
    </row>
    <row r="59" spans="1:36" x14ac:dyDescent="0.3">
      <c r="A59">
        <v>13908</v>
      </c>
      <c r="B59">
        <v>13908</v>
      </c>
      <c r="C59" t="s">
        <v>1506</v>
      </c>
      <c r="D59">
        <v>513817817</v>
      </c>
      <c r="E59" t="s">
        <v>420</v>
      </c>
      <c r="F59" t="s">
        <v>1507</v>
      </c>
      <c r="G59" t="s">
        <v>1508</v>
      </c>
      <c r="H59" t="s">
        <v>75</v>
      </c>
      <c r="I59" t="s">
        <v>224</v>
      </c>
      <c r="J59" t="s">
        <v>52</v>
      </c>
      <c r="K59" t="s">
        <v>52</v>
      </c>
      <c r="L59" t="s">
        <v>775</v>
      </c>
      <c r="M59" t="s">
        <v>303</v>
      </c>
      <c r="N59" t="s">
        <v>138</v>
      </c>
      <c r="O59" t="s">
        <v>61</v>
      </c>
      <c r="P59" t="s">
        <v>1422</v>
      </c>
      <c r="Q59" t="s">
        <v>69</v>
      </c>
      <c r="R59" t="s">
        <v>56</v>
      </c>
      <c r="S59" t="s">
        <v>1258</v>
      </c>
      <c r="T59" s="126">
        <v>0.501</v>
      </c>
      <c r="U59" s="127">
        <v>46387</v>
      </c>
      <c r="V59" s="125">
        <v>0.02</v>
      </c>
      <c r="W59" s="125">
        <v>4.6800000000000001E-2</v>
      </c>
      <c r="X59" t="s">
        <v>607</v>
      </c>
      <c r="Z59" s="124">
        <v>68000</v>
      </c>
      <c r="AA59" s="124">
        <v>1</v>
      </c>
      <c r="AB59" s="124">
        <v>98.71</v>
      </c>
      <c r="AC59" s="124">
        <v>0</v>
      </c>
      <c r="AD59" s="124">
        <v>67.122799999999998</v>
      </c>
      <c r="AE59" s="124"/>
      <c r="AF59" s="124"/>
      <c r="AG59" t="s">
        <v>16</v>
      </c>
      <c r="AH59" s="125">
        <v>5.7142857100000001E-4</v>
      </c>
      <c r="AI59" s="125">
        <v>1.00165313E-4</v>
      </c>
      <c r="AJ59" s="125">
        <f>AD59/'סכום נכסים'!$B$30</f>
        <v>1.2084742638971934E-5</v>
      </c>
    </row>
    <row r="60" spans="1:36" x14ac:dyDescent="0.3">
      <c r="A60">
        <v>13908</v>
      </c>
      <c r="B60">
        <v>13908</v>
      </c>
      <c r="C60" t="s">
        <v>1509</v>
      </c>
      <c r="D60">
        <v>516046307</v>
      </c>
      <c r="E60" t="s">
        <v>420</v>
      </c>
      <c r="F60" t="s">
        <v>1510</v>
      </c>
      <c r="G60" t="s">
        <v>1511</v>
      </c>
      <c r="H60" t="s">
        <v>75</v>
      </c>
      <c r="I60" t="s">
        <v>225</v>
      </c>
      <c r="J60" t="s">
        <v>52</v>
      </c>
      <c r="K60" t="s">
        <v>52</v>
      </c>
      <c r="L60" t="s">
        <v>775</v>
      </c>
      <c r="M60" t="s">
        <v>303</v>
      </c>
      <c r="N60" t="s">
        <v>616</v>
      </c>
      <c r="O60" t="s">
        <v>61</v>
      </c>
      <c r="P60" t="s">
        <v>290</v>
      </c>
      <c r="Q60" t="s">
        <v>290</v>
      </c>
      <c r="R60" t="s">
        <v>290</v>
      </c>
      <c r="S60" t="s">
        <v>1258</v>
      </c>
      <c r="T60" s="126">
        <v>1.1539999999999999</v>
      </c>
      <c r="U60" s="127">
        <v>46752</v>
      </c>
      <c r="V60" s="125">
        <v>2.3E-2</v>
      </c>
      <c r="W60" s="125">
        <v>3.4200000000000001E-2</v>
      </c>
      <c r="X60" t="s">
        <v>607</v>
      </c>
      <c r="Z60" s="124">
        <v>205230.19</v>
      </c>
      <c r="AA60" s="124">
        <v>1</v>
      </c>
      <c r="AB60" s="124">
        <v>114.74</v>
      </c>
      <c r="AC60" s="124">
        <v>0</v>
      </c>
      <c r="AD60" s="124">
        <v>235.48112</v>
      </c>
      <c r="AE60" s="124"/>
      <c r="AF60" s="124"/>
      <c r="AG60" t="s">
        <v>16</v>
      </c>
      <c r="AH60" s="125">
        <v>3.7837424410000001E-3</v>
      </c>
      <c r="AI60" s="125">
        <v>3.5140131499999998E-4</v>
      </c>
      <c r="AJ60" s="125">
        <f>AD60/'סכום נכסים'!$B$30</f>
        <v>4.2395858509133517E-5</v>
      </c>
    </row>
    <row r="61" spans="1:36" x14ac:dyDescent="0.3">
      <c r="A61">
        <v>13908</v>
      </c>
      <c r="B61">
        <v>13908</v>
      </c>
      <c r="C61" t="s">
        <v>1512</v>
      </c>
      <c r="D61">
        <v>520043720</v>
      </c>
      <c r="E61" t="s">
        <v>420</v>
      </c>
      <c r="F61" t="s">
        <v>1513</v>
      </c>
      <c r="G61" t="s">
        <v>1514</v>
      </c>
      <c r="H61" t="s">
        <v>75</v>
      </c>
      <c r="I61" t="s">
        <v>224</v>
      </c>
      <c r="J61" t="s">
        <v>52</v>
      </c>
      <c r="K61" t="s">
        <v>52</v>
      </c>
      <c r="L61" t="s">
        <v>775</v>
      </c>
      <c r="M61" t="s">
        <v>303</v>
      </c>
      <c r="N61" t="s">
        <v>621</v>
      </c>
      <c r="O61" t="s">
        <v>61</v>
      </c>
      <c r="P61" t="s">
        <v>1515</v>
      </c>
      <c r="Q61" t="s">
        <v>69</v>
      </c>
      <c r="R61" t="s">
        <v>56</v>
      </c>
      <c r="S61" t="s">
        <v>1258</v>
      </c>
      <c r="T61" s="126">
        <v>4.5670000000000002</v>
      </c>
      <c r="U61" s="127">
        <v>48122</v>
      </c>
      <c r="V61" s="125">
        <v>2.8000000000000001E-2</v>
      </c>
      <c r="W61" s="125">
        <v>4.2000000000000003E-2</v>
      </c>
      <c r="X61" t="s">
        <v>607</v>
      </c>
      <c r="Z61" s="124">
        <v>333227.78999999998</v>
      </c>
      <c r="AA61" s="124">
        <v>1</v>
      </c>
      <c r="AB61" s="124">
        <v>94.73</v>
      </c>
      <c r="AC61" s="124">
        <v>0</v>
      </c>
      <c r="AD61" s="124">
        <v>315.66669000000002</v>
      </c>
      <c r="AE61" s="124"/>
      <c r="AF61" s="124"/>
      <c r="AG61" t="s">
        <v>16</v>
      </c>
      <c r="AH61" s="125">
        <v>4.1647055999999999E-4</v>
      </c>
      <c r="AI61" s="125">
        <v>4.7105980300000001E-4</v>
      </c>
      <c r="AJ61" s="125">
        <f>AD61/'סכום נכסים'!$B$30</f>
        <v>5.6832413253710156E-5</v>
      </c>
    </row>
    <row r="62" spans="1:36" x14ac:dyDescent="0.3">
      <c r="A62">
        <v>13908</v>
      </c>
      <c r="B62">
        <v>13908</v>
      </c>
      <c r="C62" t="s">
        <v>1392</v>
      </c>
      <c r="D62">
        <v>510560188</v>
      </c>
      <c r="E62" t="s">
        <v>420</v>
      </c>
      <c r="F62" t="s">
        <v>1516</v>
      </c>
      <c r="G62" t="s">
        <v>1517</v>
      </c>
      <c r="H62" t="s">
        <v>75</v>
      </c>
      <c r="I62" t="s">
        <v>225</v>
      </c>
      <c r="J62" t="s">
        <v>52</v>
      </c>
      <c r="K62" t="s">
        <v>52</v>
      </c>
      <c r="L62" t="s">
        <v>775</v>
      </c>
      <c r="M62" t="s">
        <v>303</v>
      </c>
      <c r="N62" t="s">
        <v>621</v>
      </c>
      <c r="O62" t="s">
        <v>61</v>
      </c>
      <c r="P62" t="s">
        <v>1395</v>
      </c>
      <c r="Q62" t="s">
        <v>64</v>
      </c>
      <c r="R62" t="s">
        <v>56</v>
      </c>
      <c r="S62" t="s">
        <v>1258</v>
      </c>
      <c r="T62" s="126">
        <v>3.528</v>
      </c>
      <c r="U62" s="127">
        <v>47937</v>
      </c>
      <c r="V62" s="125">
        <v>1.54E-2</v>
      </c>
      <c r="W62" s="125">
        <v>2.5000000000000001E-2</v>
      </c>
      <c r="X62" t="s">
        <v>607</v>
      </c>
      <c r="Z62" s="124">
        <v>204000</v>
      </c>
      <c r="AA62" s="124">
        <v>1</v>
      </c>
      <c r="AB62" s="124">
        <v>112.61</v>
      </c>
      <c r="AC62" s="124">
        <v>0</v>
      </c>
      <c r="AD62" s="124">
        <v>229.7244</v>
      </c>
      <c r="AE62" s="124"/>
      <c r="AF62" s="124"/>
      <c r="AG62" t="s">
        <v>16</v>
      </c>
      <c r="AH62" s="125">
        <v>3.4202879999999997E-4</v>
      </c>
      <c r="AI62" s="125">
        <v>3.4281073700000002E-4</v>
      </c>
      <c r="AJ62" s="125">
        <f>AD62/'סכום נכסים'!$B$30</f>
        <v>4.1359422608893614E-5</v>
      </c>
    </row>
    <row r="63" spans="1:36" x14ac:dyDescent="0.3">
      <c r="A63">
        <v>13908</v>
      </c>
      <c r="B63">
        <v>13908</v>
      </c>
      <c r="C63" t="s">
        <v>1518</v>
      </c>
      <c r="D63">
        <v>510454333</v>
      </c>
      <c r="E63" t="s">
        <v>420</v>
      </c>
      <c r="F63" t="s">
        <v>1519</v>
      </c>
      <c r="G63" t="s">
        <v>1520</v>
      </c>
      <c r="H63" t="s">
        <v>75</v>
      </c>
      <c r="I63" t="s">
        <v>225</v>
      </c>
      <c r="J63" t="s">
        <v>52</v>
      </c>
      <c r="K63" t="s">
        <v>52</v>
      </c>
      <c r="L63" t="s">
        <v>775</v>
      </c>
      <c r="M63" t="s">
        <v>303</v>
      </c>
      <c r="N63" t="s">
        <v>1211</v>
      </c>
      <c r="O63" t="s">
        <v>61</v>
      </c>
      <c r="P63" t="s">
        <v>1395</v>
      </c>
      <c r="Q63" t="s">
        <v>64</v>
      </c>
      <c r="R63" t="s">
        <v>56</v>
      </c>
      <c r="S63" t="s">
        <v>1258</v>
      </c>
      <c r="T63" s="126">
        <v>1.6919999999999999</v>
      </c>
      <c r="U63" s="127">
        <v>47300</v>
      </c>
      <c r="V63" s="125">
        <v>0.01</v>
      </c>
      <c r="W63" s="125">
        <v>2.6599999999999999E-2</v>
      </c>
      <c r="X63" t="s">
        <v>607</v>
      </c>
      <c r="Z63" s="124">
        <v>17500</v>
      </c>
      <c r="AA63" s="124">
        <v>1</v>
      </c>
      <c r="AB63" s="124">
        <v>112.79</v>
      </c>
      <c r="AC63" s="124">
        <v>0</v>
      </c>
      <c r="AD63" s="124">
        <v>19.738250000000001</v>
      </c>
      <c r="AE63" s="124"/>
      <c r="AF63" s="124"/>
      <c r="AG63" t="s">
        <v>16</v>
      </c>
      <c r="AH63" s="125">
        <v>1.08321237E-4</v>
      </c>
      <c r="AI63" s="125">
        <v>2.9454790347793999E-5</v>
      </c>
      <c r="AJ63" s="125">
        <f>AD63/'סכום נכסים'!$B$30</f>
        <v>3.5536609228710335E-6</v>
      </c>
    </row>
    <row r="64" spans="1:36" x14ac:dyDescent="0.3">
      <c r="A64">
        <v>13908</v>
      </c>
      <c r="B64">
        <v>13908</v>
      </c>
      <c r="C64" t="s">
        <v>1473</v>
      </c>
      <c r="D64">
        <v>515434074</v>
      </c>
      <c r="E64" t="s">
        <v>420</v>
      </c>
      <c r="F64" t="s">
        <v>1521</v>
      </c>
      <c r="G64" t="s">
        <v>1522</v>
      </c>
      <c r="H64" t="s">
        <v>75</v>
      </c>
      <c r="I64" t="s">
        <v>225</v>
      </c>
      <c r="J64" t="s">
        <v>52</v>
      </c>
      <c r="K64" t="s">
        <v>52</v>
      </c>
      <c r="L64" t="s">
        <v>775</v>
      </c>
      <c r="M64" t="s">
        <v>303</v>
      </c>
      <c r="N64" t="s">
        <v>620</v>
      </c>
      <c r="O64" t="s">
        <v>61</v>
      </c>
      <c r="P64" t="s">
        <v>1472</v>
      </c>
      <c r="Q64" t="s">
        <v>64</v>
      </c>
      <c r="R64" t="s">
        <v>56</v>
      </c>
      <c r="S64" t="s">
        <v>1258</v>
      </c>
      <c r="T64" s="126">
        <v>0.747</v>
      </c>
      <c r="U64" s="127">
        <v>46477</v>
      </c>
      <c r="V64" s="125">
        <v>3.0000000000000001E-3</v>
      </c>
      <c r="W64" s="125">
        <v>3.9699999999999999E-2</v>
      </c>
      <c r="X64" t="s">
        <v>607</v>
      </c>
      <c r="Z64" s="124">
        <v>1210949</v>
      </c>
      <c r="AA64" s="124">
        <v>1</v>
      </c>
      <c r="AB64" s="124">
        <v>112.2</v>
      </c>
      <c r="AC64" s="124">
        <v>0</v>
      </c>
      <c r="AD64" s="124">
        <v>1358.68478</v>
      </c>
      <c r="AE64" s="124"/>
      <c r="AF64" s="124"/>
      <c r="AG64" t="s">
        <v>16</v>
      </c>
      <c r="AH64" s="125">
        <v>2.3809457329999999E-3</v>
      </c>
      <c r="AI64" s="125">
        <v>2.0275239869999998E-3</v>
      </c>
      <c r="AJ64" s="125">
        <f>AD64/'סכום נכסים'!$B$30</f>
        <v>2.4461667114286358E-4</v>
      </c>
    </row>
    <row r="65" spans="1:36" x14ac:dyDescent="0.3">
      <c r="A65">
        <v>13908</v>
      </c>
      <c r="B65">
        <v>13908</v>
      </c>
      <c r="C65" t="s">
        <v>1523</v>
      </c>
      <c r="D65">
        <v>512764408</v>
      </c>
      <c r="E65" t="s">
        <v>420</v>
      </c>
      <c r="F65" t="s">
        <v>1524</v>
      </c>
      <c r="G65" t="s">
        <v>1525</v>
      </c>
      <c r="H65" t="s">
        <v>75</v>
      </c>
      <c r="I65" t="s">
        <v>224</v>
      </c>
      <c r="J65" t="s">
        <v>52</v>
      </c>
      <c r="K65" t="s">
        <v>52</v>
      </c>
      <c r="L65" t="s">
        <v>775</v>
      </c>
      <c r="M65" t="s">
        <v>303</v>
      </c>
      <c r="N65" t="s">
        <v>618</v>
      </c>
      <c r="O65" t="s">
        <v>61</v>
      </c>
      <c r="P65" t="s">
        <v>1496</v>
      </c>
      <c r="Q65" t="s">
        <v>69</v>
      </c>
      <c r="R65" t="s">
        <v>56</v>
      </c>
      <c r="S65" t="s">
        <v>1258</v>
      </c>
      <c r="T65" s="126">
        <v>0.249</v>
      </c>
      <c r="U65" s="127">
        <v>46295</v>
      </c>
      <c r="V65" s="125">
        <v>6.1499999999999999E-2</v>
      </c>
      <c r="W65" s="125">
        <v>6.0699999999999997E-2</v>
      </c>
      <c r="X65" t="s">
        <v>607</v>
      </c>
      <c r="Z65" s="124">
        <v>25160</v>
      </c>
      <c r="AA65" s="124">
        <v>1</v>
      </c>
      <c r="AB65" s="124">
        <v>101.62</v>
      </c>
      <c r="AC65" s="124">
        <v>0</v>
      </c>
      <c r="AD65" s="124">
        <v>25.567589999999999</v>
      </c>
      <c r="AE65" s="124"/>
      <c r="AF65" s="124"/>
      <c r="AG65" t="s">
        <v>16</v>
      </c>
      <c r="AH65" s="125">
        <v>2.0509977799999999E-4</v>
      </c>
      <c r="AI65" s="125">
        <v>3.81537371929302E-5</v>
      </c>
      <c r="AJ65" s="125">
        <f>AD65/'סכום נכסים'!$B$30</f>
        <v>4.6031712778482494E-6</v>
      </c>
    </row>
    <row r="66" spans="1:36" x14ac:dyDescent="0.3">
      <c r="A66">
        <v>13908</v>
      </c>
      <c r="B66">
        <v>13908</v>
      </c>
      <c r="C66" t="s">
        <v>1526</v>
      </c>
      <c r="D66">
        <v>512882747</v>
      </c>
      <c r="E66" t="s">
        <v>420</v>
      </c>
      <c r="F66" t="s">
        <v>1527</v>
      </c>
      <c r="G66" t="s">
        <v>1528</v>
      </c>
      <c r="H66" t="s">
        <v>75</v>
      </c>
      <c r="I66" t="s">
        <v>225</v>
      </c>
      <c r="J66" t="s">
        <v>52</v>
      </c>
      <c r="K66" t="s">
        <v>52</v>
      </c>
      <c r="L66" t="s">
        <v>775</v>
      </c>
      <c r="M66" t="s">
        <v>303</v>
      </c>
      <c r="N66" t="s">
        <v>616</v>
      </c>
      <c r="O66" t="s">
        <v>61</v>
      </c>
      <c r="P66" t="s">
        <v>290</v>
      </c>
      <c r="Q66" t="s">
        <v>290</v>
      </c>
      <c r="R66" t="s">
        <v>290</v>
      </c>
      <c r="S66" t="s">
        <v>1258</v>
      </c>
      <c r="T66" s="126">
        <v>1.1020000000000001</v>
      </c>
      <c r="U66" s="127">
        <v>46752</v>
      </c>
      <c r="V66" s="125">
        <v>2.9499999999999998E-2</v>
      </c>
      <c r="W66" s="125">
        <v>3.5200000000000002E-2</v>
      </c>
      <c r="X66" t="s">
        <v>607</v>
      </c>
      <c r="Z66" s="124">
        <v>380776.84</v>
      </c>
      <c r="AA66" s="124">
        <v>1</v>
      </c>
      <c r="AB66" s="124">
        <v>113.83</v>
      </c>
      <c r="AC66" s="124">
        <v>0</v>
      </c>
      <c r="AD66" s="124">
        <v>433.43828000000002</v>
      </c>
      <c r="AE66" s="124"/>
      <c r="AF66" s="124"/>
      <c r="AG66" t="s">
        <v>16</v>
      </c>
      <c r="AH66" s="125">
        <v>1.922825647E-3</v>
      </c>
      <c r="AI66" s="125">
        <v>6.4680676599999996E-4</v>
      </c>
      <c r="AJ66" s="125">
        <f>AD66/'סכום נכסים'!$B$30</f>
        <v>7.8035929128085499E-5</v>
      </c>
    </row>
    <row r="67" spans="1:36" x14ac:dyDescent="0.3">
      <c r="A67">
        <v>13908</v>
      </c>
      <c r="B67">
        <v>13908</v>
      </c>
      <c r="C67" t="s">
        <v>1529</v>
      </c>
      <c r="D67">
        <v>513201582</v>
      </c>
      <c r="E67" t="s">
        <v>420</v>
      </c>
      <c r="F67" t="s">
        <v>1530</v>
      </c>
      <c r="G67" t="s">
        <v>1531</v>
      </c>
      <c r="H67" t="s">
        <v>75</v>
      </c>
      <c r="I67" t="s">
        <v>224</v>
      </c>
      <c r="J67" t="s">
        <v>52</v>
      </c>
      <c r="K67" t="s">
        <v>52</v>
      </c>
      <c r="L67" t="s">
        <v>775</v>
      </c>
      <c r="M67" t="s">
        <v>303</v>
      </c>
      <c r="N67" t="s">
        <v>138</v>
      </c>
      <c r="O67" t="s">
        <v>61</v>
      </c>
      <c r="P67" t="s">
        <v>1496</v>
      </c>
      <c r="Q67" t="s">
        <v>69</v>
      </c>
      <c r="R67" t="s">
        <v>56</v>
      </c>
      <c r="S67" t="s">
        <v>1258</v>
      </c>
      <c r="T67" s="126">
        <v>0.90100000000000002</v>
      </c>
      <c r="U67" s="127">
        <v>46538</v>
      </c>
      <c r="V67" s="125">
        <v>0.06</v>
      </c>
      <c r="W67" s="125">
        <v>4.41E-2</v>
      </c>
      <c r="X67" t="s">
        <v>607</v>
      </c>
      <c r="Z67" s="124">
        <v>455333.32</v>
      </c>
      <c r="AA67" s="124">
        <v>1</v>
      </c>
      <c r="AB67" s="124">
        <v>101.96</v>
      </c>
      <c r="AC67" s="124">
        <v>0</v>
      </c>
      <c r="AD67" s="124">
        <v>464.25785000000002</v>
      </c>
      <c r="AE67" s="124"/>
      <c r="AF67" s="124"/>
      <c r="AG67" t="s">
        <v>16</v>
      </c>
      <c r="AH67" s="125">
        <v>5.1628008600000004E-3</v>
      </c>
      <c r="AI67" s="125">
        <v>6.9279787399999996E-4</v>
      </c>
      <c r="AJ67" s="125">
        <f>AD67/'סכום נכסים'!$B$30</f>
        <v>8.3584663264530637E-5</v>
      </c>
    </row>
    <row r="68" spans="1:36" x14ac:dyDescent="0.3">
      <c r="A68">
        <v>13908</v>
      </c>
      <c r="B68">
        <v>13908</v>
      </c>
      <c r="C68" t="s">
        <v>1532</v>
      </c>
      <c r="D68">
        <v>511996803</v>
      </c>
      <c r="E68" t="s">
        <v>420</v>
      </c>
      <c r="F68" t="s">
        <v>1533</v>
      </c>
      <c r="G68" t="s">
        <v>1534</v>
      </c>
      <c r="H68" t="s">
        <v>75</v>
      </c>
      <c r="I68" t="s">
        <v>224</v>
      </c>
      <c r="J68" t="s">
        <v>52</v>
      </c>
      <c r="K68" t="s">
        <v>52</v>
      </c>
      <c r="L68" t="s">
        <v>775</v>
      </c>
      <c r="M68" t="s">
        <v>303</v>
      </c>
      <c r="N68" t="s">
        <v>138</v>
      </c>
      <c r="O68" t="s">
        <v>61</v>
      </c>
      <c r="P68" t="s">
        <v>1496</v>
      </c>
      <c r="Q68" t="s">
        <v>69</v>
      </c>
      <c r="R68" t="s">
        <v>56</v>
      </c>
      <c r="S68" t="s">
        <v>1258</v>
      </c>
      <c r="T68" s="126">
        <v>1.046</v>
      </c>
      <c r="U68" s="127">
        <v>46752</v>
      </c>
      <c r="V68" s="125">
        <v>4.53E-2</v>
      </c>
      <c r="W68" s="125">
        <v>4.4600000000000001E-2</v>
      </c>
      <c r="X68" t="s">
        <v>607</v>
      </c>
      <c r="Z68" s="124">
        <v>442579.92</v>
      </c>
      <c r="AA68" s="124">
        <v>1</v>
      </c>
      <c r="AB68" s="124">
        <v>100.12</v>
      </c>
      <c r="AC68" s="124">
        <v>0</v>
      </c>
      <c r="AD68" s="124">
        <v>443.11102</v>
      </c>
      <c r="AE68" s="124"/>
      <c r="AF68" s="124"/>
      <c r="AG68" t="s">
        <v>16</v>
      </c>
      <c r="AH68" s="125">
        <v>7.9032128500000002E-4</v>
      </c>
      <c r="AI68" s="125">
        <v>6.6124110200000005E-4</v>
      </c>
      <c r="AJ68" s="125">
        <f>AD68/'סכום נכסים'!$B$30</f>
        <v>7.9777402569504633E-5</v>
      </c>
    </row>
    <row r="69" spans="1:36" x14ac:dyDescent="0.3">
      <c r="A69">
        <v>13908</v>
      </c>
      <c r="B69">
        <v>13908</v>
      </c>
      <c r="C69" t="s">
        <v>1535</v>
      </c>
      <c r="D69">
        <v>513988824</v>
      </c>
      <c r="E69" t="s">
        <v>420</v>
      </c>
      <c r="F69" t="s">
        <v>1536</v>
      </c>
      <c r="G69" t="s">
        <v>1537</v>
      </c>
      <c r="H69" t="s">
        <v>75</v>
      </c>
      <c r="I69" t="s">
        <v>224</v>
      </c>
      <c r="J69" t="s">
        <v>52</v>
      </c>
      <c r="K69" t="s">
        <v>52</v>
      </c>
      <c r="L69" t="s">
        <v>775</v>
      </c>
      <c r="M69" t="s">
        <v>303</v>
      </c>
      <c r="N69" t="s">
        <v>138</v>
      </c>
      <c r="O69" t="s">
        <v>61</v>
      </c>
      <c r="P69" t="s">
        <v>290</v>
      </c>
      <c r="Q69" t="s">
        <v>290</v>
      </c>
      <c r="R69" t="s">
        <v>290</v>
      </c>
      <c r="S69" t="s">
        <v>1258</v>
      </c>
      <c r="T69" s="126">
        <v>0.46400000000000002</v>
      </c>
      <c r="U69" s="127">
        <v>46477</v>
      </c>
      <c r="V69" s="125">
        <v>6.7000000000000004E-2</v>
      </c>
      <c r="W69" s="125">
        <v>6.8099999999999994E-2</v>
      </c>
      <c r="X69" t="s">
        <v>607</v>
      </c>
      <c r="Z69" s="124">
        <v>225000.02</v>
      </c>
      <c r="AA69" s="124">
        <v>1</v>
      </c>
      <c r="AB69" s="124">
        <v>101.67</v>
      </c>
      <c r="AC69" s="124">
        <v>0</v>
      </c>
      <c r="AD69" s="124">
        <v>228.75752</v>
      </c>
      <c r="AE69" s="124"/>
      <c r="AF69" s="124"/>
      <c r="AG69" t="s">
        <v>16</v>
      </c>
      <c r="AH69" s="125">
        <v>4.2892587380000003E-3</v>
      </c>
      <c r="AI69" s="125">
        <v>3.4136789099999999E-4</v>
      </c>
      <c r="AJ69" s="125">
        <f>AD69/'סכום נכסים'!$B$30</f>
        <v>4.1185346200240086E-5</v>
      </c>
    </row>
    <row r="70" spans="1:36" x14ac:dyDescent="0.3">
      <c r="A70">
        <v>13908</v>
      </c>
      <c r="B70">
        <v>13908</v>
      </c>
      <c r="C70" t="s">
        <v>1538</v>
      </c>
      <c r="D70">
        <v>510488190</v>
      </c>
      <c r="E70" t="s">
        <v>420</v>
      </c>
      <c r="F70" t="s">
        <v>1539</v>
      </c>
      <c r="G70" t="s">
        <v>1540</v>
      </c>
      <c r="H70" t="s">
        <v>75</v>
      </c>
      <c r="I70" t="s">
        <v>224</v>
      </c>
      <c r="J70" t="s">
        <v>52</v>
      </c>
      <c r="K70" t="s">
        <v>52</v>
      </c>
      <c r="L70" t="s">
        <v>775</v>
      </c>
      <c r="M70" t="s">
        <v>303</v>
      </c>
      <c r="N70" t="s">
        <v>138</v>
      </c>
      <c r="O70" t="s">
        <v>61</v>
      </c>
      <c r="P70" t="s">
        <v>1360</v>
      </c>
      <c r="Q70" t="s">
        <v>64</v>
      </c>
      <c r="R70" t="s">
        <v>56</v>
      </c>
      <c r="S70" t="s">
        <v>1258</v>
      </c>
      <c r="T70" s="126">
        <v>1.8240000000000001</v>
      </c>
      <c r="U70" s="127">
        <v>47452</v>
      </c>
      <c r="V70" s="125">
        <v>5.3400000000000003E-2</v>
      </c>
      <c r="W70" s="125">
        <v>4.3200000000000002E-2</v>
      </c>
      <c r="X70" t="s">
        <v>607</v>
      </c>
      <c r="Z70" s="124">
        <v>800000</v>
      </c>
      <c r="AA70" s="124">
        <v>1</v>
      </c>
      <c r="AB70" s="124">
        <v>102.36</v>
      </c>
      <c r="AC70" s="124">
        <v>0</v>
      </c>
      <c r="AD70" s="124">
        <v>818.88</v>
      </c>
      <c r="AE70" s="124"/>
      <c r="AF70" s="124"/>
      <c r="AG70" t="s">
        <v>16</v>
      </c>
      <c r="AH70" s="125">
        <v>1.4354822499999999E-3</v>
      </c>
      <c r="AI70" s="125">
        <v>1.2219897260000001E-3</v>
      </c>
      <c r="AJ70" s="125">
        <f>AD70/'סכום נכסים'!$B$30</f>
        <v>1.4743059068157672E-4</v>
      </c>
    </row>
    <row r="71" spans="1:36" x14ac:dyDescent="0.3">
      <c r="A71">
        <v>13908</v>
      </c>
      <c r="B71">
        <v>13908</v>
      </c>
      <c r="C71" t="s">
        <v>1541</v>
      </c>
      <c r="D71">
        <v>1630</v>
      </c>
      <c r="E71" t="s">
        <v>2</v>
      </c>
      <c r="F71" t="s">
        <v>1542</v>
      </c>
      <c r="G71" t="s">
        <v>1543</v>
      </c>
      <c r="H71" t="s">
        <v>75</v>
      </c>
      <c r="I71" t="s">
        <v>224</v>
      </c>
      <c r="J71" t="s">
        <v>52</v>
      </c>
      <c r="K71" t="s">
        <v>306</v>
      </c>
      <c r="L71" t="s">
        <v>775</v>
      </c>
      <c r="M71" t="s">
        <v>303</v>
      </c>
      <c r="N71" t="s">
        <v>621</v>
      </c>
      <c r="O71" t="s">
        <v>61</v>
      </c>
      <c r="P71" t="s">
        <v>1395</v>
      </c>
      <c r="Q71" t="s">
        <v>64</v>
      </c>
      <c r="R71" t="s">
        <v>56</v>
      </c>
      <c r="S71" t="s">
        <v>1258</v>
      </c>
      <c r="T71" s="126">
        <v>1.284</v>
      </c>
      <c r="U71" s="127">
        <v>46873</v>
      </c>
      <c r="V71" s="125">
        <v>5.7500000000000002E-2</v>
      </c>
      <c r="W71" s="125">
        <v>5.5E-2</v>
      </c>
      <c r="X71" t="s">
        <v>607</v>
      </c>
      <c r="Z71" s="124">
        <v>4927404.9000000004</v>
      </c>
      <c r="AA71" s="124">
        <v>1</v>
      </c>
      <c r="AB71" s="124">
        <v>101.37</v>
      </c>
      <c r="AC71" s="124">
        <v>0</v>
      </c>
      <c r="AD71" s="124">
        <v>4994.9103500000001</v>
      </c>
      <c r="AE71" s="124"/>
      <c r="AF71" s="124"/>
      <c r="AG71" t="s">
        <v>16</v>
      </c>
      <c r="AH71" s="125">
        <v>8.2952944439999999E-3</v>
      </c>
      <c r="AI71" s="125">
        <v>7.4537528480000002E-3</v>
      </c>
      <c r="AJ71" s="125">
        <f>AD71/'סכום נכסים'!$B$30</f>
        <v>8.9928021602923651E-4</v>
      </c>
    </row>
    <row r="72" spans="1:36" x14ac:dyDescent="0.3">
      <c r="A72">
        <v>13908</v>
      </c>
      <c r="B72">
        <v>13908</v>
      </c>
      <c r="C72" t="s">
        <v>1544</v>
      </c>
      <c r="D72">
        <v>515682292</v>
      </c>
      <c r="E72" t="s">
        <v>420</v>
      </c>
      <c r="F72" t="s">
        <v>1545</v>
      </c>
      <c r="G72" t="s">
        <v>1546</v>
      </c>
      <c r="H72" t="s">
        <v>75</v>
      </c>
      <c r="I72" t="s">
        <v>224</v>
      </c>
      <c r="J72" t="s">
        <v>52</v>
      </c>
      <c r="K72" t="s">
        <v>52</v>
      </c>
      <c r="L72" t="s">
        <v>775</v>
      </c>
      <c r="M72" t="s">
        <v>303</v>
      </c>
      <c r="N72" t="s">
        <v>138</v>
      </c>
      <c r="O72" t="s">
        <v>61</v>
      </c>
      <c r="P72" t="s">
        <v>290</v>
      </c>
      <c r="Q72" t="s">
        <v>290</v>
      </c>
      <c r="R72" t="s">
        <v>290</v>
      </c>
      <c r="S72" t="s">
        <v>1258</v>
      </c>
      <c r="T72" s="126">
        <v>0</v>
      </c>
      <c r="U72" s="127">
        <v>46204</v>
      </c>
      <c r="V72" s="125">
        <v>8.2400000000000001E-2</v>
      </c>
      <c r="W72" s="125">
        <v>0</v>
      </c>
      <c r="X72" t="s">
        <v>607</v>
      </c>
      <c r="Z72" s="124">
        <v>263200</v>
      </c>
      <c r="AA72" s="124">
        <v>1</v>
      </c>
      <c r="AB72" s="124">
        <v>103.93</v>
      </c>
      <c r="AC72" s="124">
        <v>0.50007999999999997</v>
      </c>
      <c r="AD72" s="124">
        <v>274.04383999999999</v>
      </c>
      <c r="AE72" s="124"/>
      <c r="AF72" s="124"/>
      <c r="AG72" t="s">
        <v>16</v>
      </c>
      <c r="AH72" s="125">
        <v>5.5543362650000002E-3</v>
      </c>
      <c r="AI72" s="125">
        <v>4.0894728999999998E-4</v>
      </c>
      <c r="AJ72" s="125">
        <f>AD72/'סכום נכסים'!$B$30</f>
        <v>4.9338664033616038E-5</v>
      </c>
    </row>
    <row r="73" spans="1:36" x14ac:dyDescent="0.3">
      <c r="A73">
        <v>13908</v>
      </c>
      <c r="B73">
        <v>13908</v>
      </c>
      <c r="C73" t="s">
        <v>1547</v>
      </c>
      <c r="D73">
        <v>520033424</v>
      </c>
      <c r="E73" t="s">
        <v>420</v>
      </c>
      <c r="F73" t="s">
        <v>1548</v>
      </c>
      <c r="G73" t="s">
        <v>1549</v>
      </c>
      <c r="H73" t="s">
        <v>75</v>
      </c>
      <c r="I73" t="s">
        <v>224</v>
      </c>
      <c r="J73" t="s">
        <v>52</v>
      </c>
      <c r="K73" t="s">
        <v>52</v>
      </c>
      <c r="L73" t="s">
        <v>775</v>
      </c>
      <c r="M73" t="s">
        <v>303</v>
      </c>
      <c r="N73" t="s">
        <v>138</v>
      </c>
      <c r="O73" t="s">
        <v>61</v>
      </c>
      <c r="P73" t="s">
        <v>1395</v>
      </c>
      <c r="Q73" t="s">
        <v>64</v>
      </c>
      <c r="R73" t="s">
        <v>56</v>
      </c>
      <c r="S73" t="s">
        <v>1258</v>
      </c>
      <c r="T73" s="126">
        <v>2.5960000000000001</v>
      </c>
      <c r="U73" s="127">
        <v>48029</v>
      </c>
      <c r="V73" s="125">
        <v>0.05</v>
      </c>
      <c r="W73" s="125">
        <v>4.0899999999999999E-2</v>
      </c>
      <c r="X73" t="s">
        <v>607</v>
      </c>
      <c r="Z73" s="124">
        <v>650000.01</v>
      </c>
      <c r="AA73" s="124">
        <v>1</v>
      </c>
      <c r="AB73" s="124">
        <v>102.43</v>
      </c>
      <c r="AC73" s="124">
        <v>0</v>
      </c>
      <c r="AD73" s="124">
        <v>665.79501000000005</v>
      </c>
      <c r="AE73" s="124"/>
      <c r="AF73" s="124"/>
      <c r="AG73" t="s">
        <v>16</v>
      </c>
      <c r="AH73" s="125">
        <v>3.386042783E-3</v>
      </c>
      <c r="AI73" s="125">
        <v>9.9354564999999998E-4</v>
      </c>
      <c r="AJ73" s="125">
        <f>AD73/'סכום נכסים'!$B$30</f>
        <v>1.198692746155069E-4</v>
      </c>
    </row>
    <row r="74" spans="1:36" x14ac:dyDescent="0.3">
      <c r="A74">
        <v>13908</v>
      </c>
      <c r="B74">
        <v>13908</v>
      </c>
      <c r="C74" t="s">
        <v>1550</v>
      </c>
      <c r="D74">
        <v>520029935</v>
      </c>
      <c r="E74" t="s">
        <v>420</v>
      </c>
      <c r="F74" t="s">
        <v>1551</v>
      </c>
      <c r="G74" t="s">
        <v>1552</v>
      </c>
      <c r="H74" t="s">
        <v>75</v>
      </c>
      <c r="I74" t="s">
        <v>225</v>
      </c>
      <c r="J74" t="s">
        <v>52</v>
      </c>
      <c r="K74" t="s">
        <v>52</v>
      </c>
      <c r="L74" t="s">
        <v>775</v>
      </c>
      <c r="M74" t="s">
        <v>303</v>
      </c>
      <c r="N74" t="s">
        <v>251</v>
      </c>
      <c r="O74" t="s">
        <v>61</v>
      </c>
      <c r="P74" t="s">
        <v>1349</v>
      </c>
      <c r="Q74" t="s">
        <v>64</v>
      </c>
      <c r="R74" t="s">
        <v>56</v>
      </c>
      <c r="S74" t="s">
        <v>1258</v>
      </c>
      <c r="T74" s="126">
        <v>2.3290000000000002</v>
      </c>
      <c r="U74" s="127">
        <v>48913</v>
      </c>
      <c r="V74" s="125">
        <v>3.1699999999999999E-2</v>
      </c>
      <c r="W74" s="125">
        <v>2.4199999999999999E-2</v>
      </c>
      <c r="X74" t="s">
        <v>607</v>
      </c>
      <c r="Z74" s="124">
        <v>3150000</v>
      </c>
      <c r="AA74" s="124">
        <v>1</v>
      </c>
      <c r="AB74" s="124">
        <v>114.75</v>
      </c>
      <c r="AC74" s="124">
        <v>0</v>
      </c>
      <c r="AD74" s="124">
        <v>3614.625</v>
      </c>
      <c r="AE74" s="124"/>
      <c r="AF74" s="124"/>
      <c r="AG74" t="s">
        <v>16</v>
      </c>
      <c r="AH74" s="125">
        <v>3.730017761E-3</v>
      </c>
      <c r="AI74" s="125">
        <v>5.393994987E-3</v>
      </c>
      <c r="AJ74" s="125">
        <f>AD74/'סכום נכסים'!$B$30</f>
        <v>6.5077459315454557E-4</v>
      </c>
    </row>
    <row r="75" spans="1:36" x14ac:dyDescent="0.3">
      <c r="A75">
        <v>13908</v>
      </c>
      <c r="B75">
        <v>13908</v>
      </c>
      <c r="C75" t="s">
        <v>1553</v>
      </c>
      <c r="D75">
        <v>520000118</v>
      </c>
      <c r="E75" t="s">
        <v>420</v>
      </c>
      <c r="F75" t="s">
        <v>1554</v>
      </c>
      <c r="G75" t="s">
        <v>1555</v>
      </c>
      <c r="H75" t="s">
        <v>75</v>
      </c>
      <c r="I75" t="s">
        <v>225</v>
      </c>
      <c r="J75" t="s">
        <v>52</v>
      </c>
      <c r="K75" t="s">
        <v>52</v>
      </c>
      <c r="L75" t="s">
        <v>775</v>
      </c>
      <c r="M75" t="s">
        <v>303</v>
      </c>
      <c r="N75" t="s">
        <v>251</v>
      </c>
      <c r="O75" t="s">
        <v>61</v>
      </c>
      <c r="P75" t="s">
        <v>1257</v>
      </c>
      <c r="Q75" t="s">
        <v>64</v>
      </c>
      <c r="R75" t="s">
        <v>56</v>
      </c>
      <c r="S75" t="s">
        <v>1258</v>
      </c>
      <c r="T75" s="126">
        <v>3.278</v>
      </c>
      <c r="U75" s="127">
        <v>48547</v>
      </c>
      <c r="V75" s="125">
        <v>1.3899999999999999E-2</v>
      </c>
      <c r="W75" s="125">
        <v>2.1700000000000001E-2</v>
      </c>
      <c r="X75" t="s">
        <v>607</v>
      </c>
      <c r="Z75" s="124">
        <v>5783222.2199999997</v>
      </c>
      <c r="AA75" s="124">
        <v>1</v>
      </c>
      <c r="AB75" s="124">
        <v>108.9</v>
      </c>
      <c r="AC75" s="124">
        <v>0</v>
      </c>
      <c r="AD75" s="124">
        <v>6297.9290000000001</v>
      </c>
      <c r="AE75" s="124"/>
      <c r="AF75" s="124"/>
      <c r="AG75" t="s">
        <v>16</v>
      </c>
      <c r="AH75" s="125">
        <v>1.8657312939999999E-3</v>
      </c>
      <c r="AI75" s="125">
        <v>9.3982079619999992E-3</v>
      </c>
      <c r="AJ75" s="125">
        <f>AD75/'סכום נכסים'!$B$30</f>
        <v>1.133874795501944E-3</v>
      </c>
    </row>
    <row r="76" spans="1:36" x14ac:dyDescent="0.3">
      <c r="A76">
        <v>13908</v>
      </c>
      <c r="B76">
        <v>13908</v>
      </c>
      <c r="C76" t="s">
        <v>1556</v>
      </c>
      <c r="D76">
        <v>520020116</v>
      </c>
      <c r="E76" t="s">
        <v>420</v>
      </c>
      <c r="F76" t="s">
        <v>1557</v>
      </c>
      <c r="G76" t="s">
        <v>1558</v>
      </c>
      <c r="H76" t="s">
        <v>75</v>
      </c>
      <c r="I76" t="s">
        <v>225</v>
      </c>
      <c r="J76" t="s">
        <v>52</v>
      </c>
      <c r="K76" t="s">
        <v>52</v>
      </c>
      <c r="L76" t="s">
        <v>775</v>
      </c>
      <c r="M76" t="s">
        <v>303</v>
      </c>
      <c r="N76" t="s">
        <v>620</v>
      </c>
      <c r="O76" t="s">
        <v>61</v>
      </c>
      <c r="P76" t="s">
        <v>1360</v>
      </c>
      <c r="Q76" t="s">
        <v>64</v>
      </c>
      <c r="R76" t="s">
        <v>56</v>
      </c>
      <c r="S76" t="s">
        <v>1258</v>
      </c>
      <c r="T76" s="126">
        <v>2.2440000000000002</v>
      </c>
      <c r="U76" s="127">
        <v>47483</v>
      </c>
      <c r="V76" s="125">
        <v>2.7E-2</v>
      </c>
      <c r="W76" s="125">
        <v>2.5499999999999998E-2</v>
      </c>
      <c r="X76" t="s">
        <v>607</v>
      </c>
      <c r="Z76" s="124">
        <v>732000.01</v>
      </c>
      <c r="AA76" s="124">
        <v>1</v>
      </c>
      <c r="AB76" s="124">
        <v>111.17</v>
      </c>
      <c r="AC76" s="124">
        <v>0</v>
      </c>
      <c r="AD76" s="124">
        <v>813.76441</v>
      </c>
      <c r="AE76" s="124"/>
      <c r="AF76" s="124"/>
      <c r="AG76" t="s">
        <v>16</v>
      </c>
      <c r="AH76" s="125">
        <v>1.735348709E-3</v>
      </c>
      <c r="AI76" s="125">
        <v>1.214355887E-3</v>
      </c>
      <c r="AJ76" s="125">
        <f>AD76/'סכום נכסים'!$B$30</f>
        <v>1.4650958338455547E-4</v>
      </c>
    </row>
    <row r="77" spans="1:36" x14ac:dyDescent="0.3">
      <c r="A77">
        <v>13908</v>
      </c>
      <c r="B77">
        <v>13908</v>
      </c>
      <c r="C77" t="s">
        <v>1499</v>
      </c>
      <c r="D77">
        <v>513893123</v>
      </c>
      <c r="E77" t="s">
        <v>420</v>
      </c>
      <c r="F77" t="s">
        <v>1559</v>
      </c>
      <c r="G77" t="s">
        <v>1560</v>
      </c>
      <c r="H77" t="s">
        <v>75</v>
      </c>
      <c r="I77" t="s">
        <v>225</v>
      </c>
      <c r="J77" t="s">
        <v>52</v>
      </c>
      <c r="K77" t="s">
        <v>52</v>
      </c>
      <c r="L77" t="s">
        <v>775</v>
      </c>
      <c r="M77" t="s">
        <v>303</v>
      </c>
      <c r="N77" t="s">
        <v>618</v>
      </c>
      <c r="O77" t="s">
        <v>61</v>
      </c>
      <c r="P77" t="s">
        <v>1389</v>
      </c>
      <c r="Q77" t="s">
        <v>69</v>
      </c>
      <c r="R77" t="s">
        <v>56</v>
      </c>
      <c r="S77" t="s">
        <v>1258</v>
      </c>
      <c r="T77" s="126">
        <v>0.49399999999999999</v>
      </c>
      <c r="U77" s="127">
        <v>46477</v>
      </c>
      <c r="V77" s="125">
        <v>3.5400000000000001E-2</v>
      </c>
      <c r="W77" s="125">
        <v>3.6799999999999999E-2</v>
      </c>
      <c r="X77" t="s">
        <v>607</v>
      </c>
      <c r="Z77" s="124">
        <v>702121.51</v>
      </c>
      <c r="AA77" s="124">
        <v>1</v>
      </c>
      <c r="AB77" s="124">
        <v>111.7</v>
      </c>
      <c r="AC77" s="124">
        <v>0</v>
      </c>
      <c r="AD77" s="124">
        <v>784.26972999999998</v>
      </c>
      <c r="AE77" s="124"/>
      <c r="AF77" s="124"/>
      <c r="AG77" t="s">
        <v>16</v>
      </c>
      <c r="AH77" s="125">
        <v>1.257144537E-3</v>
      </c>
      <c r="AI77" s="125">
        <v>1.1703418720000001E-3</v>
      </c>
      <c r="AJ77" s="125">
        <f>AD77/'סכום נכסים'!$B$30</f>
        <v>1.4119938153035939E-4</v>
      </c>
    </row>
    <row r="78" spans="1:36" x14ac:dyDescent="0.3">
      <c r="A78">
        <v>13908</v>
      </c>
      <c r="B78">
        <v>13908</v>
      </c>
      <c r="C78" t="s">
        <v>1561</v>
      </c>
      <c r="D78">
        <v>520032046</v>
      </c>
      <c r="E78" t="s">
        <v>420</v>
      </c>
      <c r="F78" t="s">
        <v>1562</v>
      </c>
      <c r="G78" t="s">
        <v>1563</v>
      </c>
      <c r="H78" t="s">
        <v>75</v>
      </c>
      <c r="I78" t="s">
        <v>225</v>
      </c>
      <c r="J78" t="s">
        <v>52</v>
      </c>
      <c r="K78" t="s">
        <v>52</v>
      </c>
      <c r="L78" t="s">
        <v>775</v>
      </c>
      <c r="M78" t="s">
        <v>303</v>
      </c>
      <c r="N78" t="s">
        <v>251</v>
      </c>
      <c r="O78" t="s">
        <v>61</v>
      </c>
      <c r="P78" t="s">
        <v>1257</v>
      </c>
      <c r="Q78" t="s">
        <v>64</v>
      </c>
      <c r="R78" t="s">
        <v>56</v>
      </c>
      <c r="S78" t="s">
        <v>1258</v>
      </c>
      <c r="T78" s="126">
        <v>2.835</v>
      </c>
      <c r="U78" s="127">
        <v>48190</v>
      </c>
      <c r="V78" s="125">
        <v>1.6400000000000001E-2</v>
      </c>
      <c r="W78" s="125">
        <v>2.0899999999999998E-2</v>
      </c>
      <c r="X78" t="s">
        <v>607</v>
      </c>
      <c r="Z78" s="124">
        <v>340554.43</v>
      </c>
      <c r="AA78" s="124">
        <v>1</v>
      </c>
      <c r="AB78" s="124">
        <v>110.39</v>
      </c>
      <c r="AC78" s="124">
        <v>0</v>
      </c>
      <c r="AD78" s="124">
        <v>375.93804</v>
      </c>
      <c r="AE78" s="124"/>
      <c r="AF78" s="124"/>
      <c r="AG78" t="s">
        <v>16</v>
      </c>
      <c r="AH78" s="125">
        <v>4.2215380500000002E-4</v>
      </c>
      <c r="AI78" s="125">
        <v>5.6100090600000004E-4</v>
      </c>
      <c r="AJ78" s="125">
        <f>AD78/'סכום נכסים'!$B$30</f>
        <v>6.7683625557925727E-5</v>
      </c>
    </row>
    <row r="79" spans="1:36" x14ac:dyDescent="0.3">
      <c r="A79">
        <v>13908</v>
      </c>
      <c r="B79">
        <v>13908</v>
      </c>
      <c r="C79" t="s">
        <v>1561</v>
      </c>
      <c r="D79">
        <v>520032046</v>
      </c>
      <c r="E79" t="s">
        <v>420</v>
      </c>
      <c r="F79" t="s">
        <v>1564</v>
      </c>
      <c r="G79" t="s">
        <v>1565</v>
      </c>
      <c r="H79" t="s">
        <v>75</v>
      </c>
      <c r="I79" t="s">
        <v>225</v>
      </c>
      <c r="J79" t="s">
        <v>52</v>
      </c>
      <c r="K79" t="s">
        <v>52</v>
      </c>
      <c r="L79" t="s">
        <v>775</v>
      </c>
      <c r="M79" t="s">
        <v>303</v>
      </c>
      <c r="N79" t="s">
        <v>251</v>
      </c>
      <c r="O79" t="s">
        <v>61</v>
      </c>
      <c r="P79" t="s">
        <v>1349</v>
      </c>
      <c r="Q79" t="s">
        <v>64</v>
      </c>
      <c r="R79" t="s">
        <v>56</v>
      </c>
      <c r="S79" t="s">
        <v>1258</v>
      </c>
      <c r="T79" s="126">
        <v>1.9079999999999999</v>
      </c>
      <c r="U79" s="127">
        <v>48738</v>
      </c>
      <c r="V79" s="125">
        <v>3.3099999999999997E-2</v>
      </c>
      <c r="W79" s="125">
        <v>2.47E-2</v>
      </c>
      <c r="X79" t="s">
        <v>607</v>
      </c>
      <c r="Z79" s="124">
        <v>50000</v>
      </c>
      <c r="AA79" s="124">
        <v>1</v>
      </c>
      <c r="AB79" s="124">
        <v>112.73</v>
      </c>
      <c r="AC79" s="124">
        <v>0</v>
      </c>
      <c r="AD79" s="124">
        <v>56.365000000000002</v>
      </c>
      <c r="AE79" s="124"/>
      <c r="AF79" s="124"/>
      <c r="AG79" t="s">
        <v>16</v>
      </c>
      <c r="AH79" s="125">
        <v>7.1280918098225098E-5</v>
      </c>
      <c r="AI79" s="125">
        <v>8.4111775762968398E-5</v>
      </c>
      <c r="AJ79" s="125">
        <f>AD79/'סכום נכסים'!$B$30</f>
        <v>1.0147915743170027E-5</v>
      </c>
    </row>
    <row r="80" spans="1:36" x14ac:dyDescent="0.3">
      <c r="A80">
        <v>13908</v>
      </c>
      <c r="B80">
        <v>13908</v>
      </c>
      <c r="C80" t="s">
        <v>1566</v>
      </c>
      <c r="D80">
        <v>512025891</v>
      </c>
      <c r="E80" t="s">
        <v>420</v>
      </c>
      <c r="F80" t="s">
        <v>1567</v>
      </c>
      <c r="G80" t="s">
        <v>1568</v>
      </c>
      <c r="H80" t="s">
        <v>75</v>
      </c>
      <c r="I80" t="s">
        <v>225</v>
      </c>
      <c r="J80" t="s">
        <v>52</v>
      </c>
      <c r="K80" t="s">
        <v>52</v>
      </c>
      <c r="L80" t="s">
        <v>775</v>
      </c>
      <c r="M80" t="s">
        <v>303</v>
      </c>
      <c r="N80" t="s">
        <v>1211</v>
      </c>
      <c r="O80" t="s">
        <v>61</v>
      </c>
      <c r="P80" t="s">
        <v>1395</v>
      </c>
      <c r="Q80" t="s">
        <v>64</v>
      </c>
      <c r="R80" t="s">
        <v>56</v>
      </c>
      <c r="S80" t="s">
        <v>1258</v>
      </c>
      <c r="T80" s="126">
        <v>0.98</v>
      </c>
      <c r="U80" s="127">
        <v>46888</v>
      </c>
      <c r="V80" s="125">
        <v>3.2000000000000001E-2</v>
      </c>
      <c r="W80" s="125">
        <v>2.9399999999999999E-2</v>
      </c>
      <c r="X80" t="s">
        <v>607</v>
      </c>
      <c r="Z80" s="124">
        <v>822968.42</v>
      </c>
      <c r="AA80" s="124">
        <v>1</v>
      </c>
      <c r="AB80" s="124">
        <v>111.53</v>
      </c>
      <c r="AC80" s="124">
        <v>0</v>
      </c>
      <c r="AD80" s="124">
        <v>917.85667999999998</v>
      </c>
      <c r="AE80" s="124"/>
      <c r="AF80" s="124"/>
      <c r="AG80" t="s">
        <v>16</v>
      </c>
      <c r="AH80" s="125">
        <v>1.8753908420000001E-3</v>
      </c>
      <c r="AI80" s="125">
        <v>1.369689616E-3</v>
      </c>
      <c r="AJ80" s="125">
        <f>AD80/'סכום נכסים'!$B$30</f>
        <v>1.6525028391636254E-4</v>
      </c>
    </row>
    <row r="81" spans="1:36" x14ac:dyDescent="0.3">
      <c r="A81">
        <v>13908</v>
      </c>
      <c r="B81">
        <v>13908</v>
      </c>
      <c r="C81" t="s">
        <v>1566</v>
      </c>
      <c r="D81">
        <v>512025891</v>
      </c>
      <c r="E81" t="s">
        <v>420</v>
      </c>
      <c r="F81" t="s">
        <v>1569</v>
      </c>
      <c r="G81" t="s">
        <v>1570</v>
      </c>
      <c r="H81" t="s">
        <v>75</v>
      </c>
      <c r="I81" t="s">
        <v>224</v>
      </c>
      <c r="J81" t="s">
        <v>52</v>
      </c>
      <c r="K81" t="s">
        <v>52</v>
      </c>
      <c r="L81" t="s">
        <v>775</v>
      </c>
      <c r="M81" t="s">
        <v>303</v>
      </c>
      <c r="N81" t="s">
        <v>1211</v>
      </c>
      <c r="O81" t="s">
        <v>61</v>
      </c>
      <c r="P81" t="s">
        <v>1395</v>
      </c>
      <c r="Q81" t="s">
        <v>64</v>
      </c>
      <c r="R81" t="s">
        <v>56</v>
      </c>
      <c r="S81" t="s">
        <v>1258</v>
      </c>
      <c r="T81" s="126">
        <v>1.0660000000000001</v>
      </c>
      <c r="U81" s="127">
        <v>46924</v>
      </c>
      <c r="V81" s="125">
        <v>5.7000000000000002E-2</v>
      </c>
      <c r="W81" s="125">
        <v>4.19E-2</v>
      </c>
      <c r="X81" t="s">
        <v>607</v>
      </c>
      <c r="Z81" s="124">
        <v>716105.24</v>
      </c>
      <c r="AA81" s="124">
        <v>1</v>
      </c>
      <c r="AB81" s="124">
        <v>101.83</v>
      </c>
      <c r="AC81" s="124">
        <v>0</v>
      </c>
      <c r="AD81" s="124">
        <v>729.20997</v>
      </c>
      <c r="AE81" s="124"/>
      <c r="AF81" s="124"/>
      <c r="AG81" t="s">
        <v>16</v>
      </c>
      <c r="AH81" s="125">
        <v>1.3634959809999999E-3</v>
      </c>
      <c r="AI81" s="125">
        <v>1.0881778670000001E-3</v>
      </c>
      <c r="AJ81" s="125">
        <f>AD81/'סכום נכסים'!$B$30</f>
        <v>1.3128646029698471E-4</v>
      </c>
    </row>
    <row r="82" spans="1:36" x14ac:dyDescent="0.3">
      <c r="A82">
        <v>13908</v>
      </c>
      <c r="B82">
        <v>13908</v>
      </c>
      <c r="C82" t="s">
        <v>1473</v>
      </c>
      <c r="D82">
        <v>515434074</v>
      </c>
      <c r="E82" t="s">
        <v>420</v>
      </c>
      <c r="F82" t="s">
        <v>1571</v>
      </c>
      <c r="G82" t="s">
        <v>1572</v>
      </c>
      <c r="H82" t="s">
        <v>75</v>
      </c>
      <c r="I82" t="s">
        <v>225</v>
      </c>
      <c r="J82" t="s">
        <v>52</v>
      </c>
      <c r="K82" t="s">
        <v>52</v>
      </c>
      <c r="L82" t="s">
        <v>775</v>
      </c>
      <c r="M82" t="s">
        <v>303</v>
      </c>
      <c r="N82" t="s">
        <v>620</v>
      </c>
      <c r="O82" t="s">
        <v>61</v>
      </c>
      <c r="P82" t="s">
        <v>1472</v>
      </c>
      <c r="Q82" t="s">
        <v>64</v>
      </c>
      <c r="R82" t="s">
        <v>56</v>
      </c>
      <c r="S82" t="s">
        <v>1258</v>
      </c>
      <c r="T82" s="126">
        <v>0.249</v>
      </c>
      <c r="U82" s="127">
        <v>46295</v>
      </c>
      <c r="V82" s="125">
        <v>3.0000000000000001E-3</v>
      </c>
      <c r="W82" s="125">
        <v>2.8000000000000001E-2</v>
      </c>
      <c r="X82" t="s">
        <v>607</v>
      </c>
      <c r="Z82" s="124">
        <v>199000</v>
      </c>
      <c r="AA82" s="124">
        <v>1</v>
      </c>
      <c r="AB82" s="124">
        <v>110.08</v>
      </c>
      <c r="AC82" s="124">
        <v>0</v>
      </c>
      <c r="AD82" s="124">
        <v>219.0592</v>
      </c>
      <c r="AE82" s="124"/>
      <c r="AF82" s="124"/>
      <c r="AG82" t="s">
        <v>16</v>
      </c>
      <c r="AH82" s="125">
        <v>4.3005640400000002E-4</v>
      </c>
      <c r="AI82" s="125">
        <v>3.2689538299999999E-4</v>
      </c>
      <c r="AJ82" s="125">
        <f>AD82/'סכום נכסים'!$B$30</f>
        <v>3.9439267353255243E-5</v>
      </c>
    </row>
    <row r="83" spans="1:36" x14ac:dyDescent="0.3">
      <c r="A83">
        <v>13908</v>
      </c>
      <c r="B83">
        <v>13908</v>
      </c>
      <c r="C83" t="s">
        <v>1518</v>
      </c>
      <c r="D83">
        <v>510454333</v>
      </c>
      <c r="E83" t="s">
        <v>420</v>
      </c>
      <c r="F83" t="s">
        <v>1573</v>
      </c>
      <c r="G83" t="s">
        <v>1574</v>
      </c>
      <c r="H83" t="s">
        <v>75</v>
      </c>
      <c r="I83" t="s">
        <v>225</v>
      </c>
      <c r="J83" t="s">
        <v>52</v>
      </c>
      <c r="K83" t="s">
        <v>52</v>
      </c>
      <c r="L83" t="s">
        <v>775</v>
      </c>
      <c r="M83" t="s">
        <v>303</v>
      </c>
      <c r="N83" t="s">
        <v>1211</v>
      </c>
      <c r="O83" t="s">
        <v>61</v>
      </c>
      <c r="P83" t="s">
        <v>1395</v>
      </c>
      <c r="Q83" t="s">
        <v>64</v>
      </c>
      <c r="R83" t="s">
        <v>56</v>
      </c>
      <c r="S83" t="s">
        <v>1258</v>
      </c>
      <c r="T83" s="126">
        <v>1.6930000000000001</v>
      </c>
      <c r="U83" s="127">
        <v>47391</v>
      </c>
      <c r="V83" s="125">
        <v>3.2300000000000002E-2</v>
      </c>
      <c r="W83" s="125">
        <v>2.5600000000000001E-2</v>
      </c>
      <c r="X83" t="s">
        <v>607</v>
      </c>
      <c r="Z83" s="124">
        <v>1074777.52</v>
      </c>
      <c r="AA83" s="124">
        <v>1</v>
      </c>
      <c r="AB83" s="124">
        <v>112.85</v>
      </c>
      <c r="AC83" s="124">
        <v>0</v>
      </c>
      <c r="AD83" s="124">
        <v>1212.88643</v>
      </c>
      <c r="AE83" s="124"/>
      <c r="AF83" s="124"/>
      <c r="AG83" t="s">
        <v>16</v>
      </c>
      <c r="AH83" s="125">
        <v>2.5727223249999999E-3</v>
      </c>
      <c r="AI83" s="125">
        <v>1.809953542E-3</v>
      </c>
      <c r="AJ83" s="125">
        <f>AD83/'סכום נכסים'!$B$30</f>
        <v>2.183672367191394E-4</v>
      </c>
    </row>
    <row r="84" spans="1:36" x14ac:dyDescent="0.3">
      <c r="A84">
        <v>13908</v>
      </c>
      <c r="B84">
        <v>13908</v>
      </c>
      <c r="C84" t="s">
        <v>1518</v>
      </c>
      <c r="D84">
        <v>510454333</v>
      </c>
      <c r="E84" t="s">
        <v>420</v>
      </c>
      <c r="F84" t="s">
        <v>1575</v>
      </c>
      <c r="G84" t="s">
        <v>1576</v>
      </c>
      <c r="H84" t="s">
        <v>75</v>
      </c>
      <c r="I84" t="s">
        <v>224</v>
      </c>
      <c r="J84" t="s">
        <v>52</v>
      </c>
      <c r="K84" t="s">
        <v>52</v>
      </c>
      <c r="L84" t="s">
        <v>775</v>
      </c>
      <c r="M84" t="s">
        <v>303</v>
      </c>
      <c r="N84" t="s">
        <v>1211</v>
      </c>
      <c r="O84" t="s">
        <v>61</v>
      </c>
      <c r="P84" t="s">
        <v>1395</v>
      </c>
      <c r="Q84" t="s">
        <v>64</v>
      </c>
      <c r="R84" t="s">
        <v>56</v>
      </c>
      <c r="S84" t="s">
        <v>1258</v>
      </c>
      <c r="T84" s="126">
        <v>1.8740000000000001</v>
      </c>
      <c r="U84" s="127">
        <v>47756</v>
      </c>
      <c r="V84" s="125">
        <v>5.6500000000000002E-2</v>
      </c>
      <c r="W84" s="125">
        <v>4.1700000000000001E-2</v>
      </c>
      <c r="X84" t="s">
        <v>607</v>
      </c>
      <c r="Z84" s="124">
        <v>238820.82</v>
      </c>
      <c r="AA84" s="124">
        <v>1</v>
      </c>
      <c r="AB84" s="124">
        <v>104.24</v>
      </c>
      <c r="AC84" s="124">
        <v>0</v>
      </c>
      <c r="AD84" s="124">
        <v>248.94682</v>
      </c>
      <c r="AE84" s="124"/>
      <c r="AF84" s="124"/>
      <c r="AG84" t="s">
        <v>16</v>
      </c>
      <c r="AH84" s="125">
        <v>6.1258236600000003E-4</v>
      </c>
      <c r="AI84" s="125">
        <v>3.7149577000000002E-4</v>
      </c>
      <c r="AJ84" s="125">
        <f>AD84/'סכום נכסים'!$B$30</f>
        <v>4.4820213854166859E-5</v>
      </c>
    </row>
    <row r="85" spans="1:36" x14ac:dyDescent="0.3">
      <c r="A85">
        <v>13908</v>
      </c>
      <c r="B85">
        <v>13908</v>
      </c>
      <c r="C85" t="s">
        <v>1577</v>
      </c>
      <c r="D85">
        <v>511809071</v>
      </c>
      <c r="E85" t="s">
        <v>420</v>
      </c>
      <c r="F85" t="s">
        <v>1578</v>
      </c>
      <c r="G85" t="s">
        <v>1579</v>
      </c>
      <c r="H85" t="s">
        <v>75</v>
      </c>
      <c r="I85" t="s">
        <v>225</v>
      </c>
      <c r="J85" t="s">
        <v>52</v>
      </c>
      <c r="K85" t="s">
        <v>52</v>
      </c>
      <c r="L85" t="s">
        <v>775</v>
      </c>
      <c r="M85" t="s">
        <v>303</v>
      </c>
      <c r="N85" t="s">
        <v>74</v>
      </c>
      <c r="O85" t="s">
        <v>61</v>
      </c>
      <c r="P85" t="s">
        <v>1349</v>
      </c>
      <c r="Q85" t="s">
        <v>64</v>
      </c>
      <c r="R85" t="s">
        <v>56</v>
      </c>
      <c r="S85" t="s">
        <v>1258</v>
      </c>
      <c r="T85" s="126">
        <v>2.278</v>
      </c>
      <c r="U85" s="127">
        <v>47889</v>
      </c>
      <c r="V85" s="125">
        <v>2.1999999999999999E-2</v>
      </c>
      <c r="W85" s="125">
        <v>2.4199999999999999E-2</v>
      </c>
      <c r="X85" t="s">
        <v>607</v>
      </c>
      <c r="Z85" s="124">
        <v>32758.6</v>
      </c>
      <c r="AA85" s="124">
        <v>1</v>
      </c>
      <c r="AB85" s="124">
        <v>110.5</v>
      </c>
      <c r="AC85" s="124">
        <v>0</v>
      </c>
      <c r="AD85" s="124">
        <v>36.198250000000002</v>
      </c>
      <c r="AE85" s="124"/>
      <c r="AF85" s="124"/>
      <c r="AG85" t="s">
        <v>16</v>
      </c>
      <c r="AH85" s="125">
        <v>1.3271532599999999E-4</v>
      </c>
      <c r="AI85" s="125">
        <v>5.4017547893406698E-5</v>
      </c>
      <c r="AJ85" s="125">
        <f>AD85/'סכום נכסים'!$B$30</f>
        <v>6.5171079756977642E-6</v>
      </c>
    </row>
    <row r="86" spans="1:36" x14ac:dyDescent="0.3">
      <c r="A86">
        <v>13908</v>
      </c>
      <c r="B86">
        <v>13908</v>
      </c>
      <c r="C86" t="s">
        <v>1577</v>
      </c>
      <c r="D86">
        <v>511809071</v>
      </c>
      <c r="E86" t="s">
        <v>420</v>
      </c>
      <c r="F86" t="s">
        <v>1580</v>
      </c>
      <c r="G86" t="s">
        <v>1581</v>
      </c>
      <c r="H86" t="s">
        <v>75</v>
      </c>
      <c r="I86" t="s">
        <v>224</v>
      </c>
      <c r="J86" t="s">
        <v>52</v>
      </c>
      <c r="K86" t="s">
        <v>52</v>
      </c>
      <c r="L86" t="s">
        <v>775</v>
      </c>
      <c r="M86" t="s">
        <v>303</v>
      </c>
      <c r="N86" t="s">
        <v>74</v>
      </c>
      <c r="O86" t="s">
        <v>61</v>
      </c>
      <c r="P86" t="s">
        <v>1349</v>
      </c>
      <c r="Q86" t="s">
        <v>64</v>
      </c>
      <c r="R86" t="s">
        <v>56</v>
      </c>
      <c r="S86" t="s">
        <v>1258</v>
      </c>
      <c r="T86" s="126">
        <v>2.2120000000000002</v>
      </c>
      <c r="U86" s="127">
        <v>47889</v>
      </c>
      <c r="V86" s="125">
        <v>4.6800000000000001E-2</v>
      </c>
      <c r="W86" s="125">
        <v>3.95E-2</v>
      </c>
      <c r="X86" t="s">
        <v>607</v>
      </c>
      <c r="Z86" s="124">
        <v>165479.26</v>
      </c>
      <c r="AA86" s="124">
        <v>1</v>
      </c>
      <c r="AB86" s="124">
        <v>102.39</v>
      </c>
      <c r="AC86" s="124">
        <v>0</v>
      </c>
      <c r="AD86" s="124">
        <v>169.43421000000001</v>
      </c>
      <c r="AE86" s="124"/>
      <c r="AF86" s="124"/>
      <c r="AG86" t="s">
        <v>16</v>
      </c>
      <c r="AH86" s="125">
        <v>5.3874668999999995E-4</v>
      </c>
      <c r="AI86" s="125">
        <v>2.5284152E-4</v>
      </c>
      <c r="AJ86" s="125">
        <f>AD86/'סכום נכסים'!$B$30</f>
        <v>3.0504818364065937E-5</v>
      </c>
    </row>
    <row r="87" spans="1:36" x14ac:dyDescent="0.3">
      <c r="A87">
        <v>13908</v>
      </c>
      <c r="B87">
        <v>13908</v>
      </c>
      <c r="C87" t="s">
        <v>1582</v>
      </c>
      <c r="D87">
        <v>520034372</v>
      </c>
      <c r="E87" t="s">
        <v>420</v>
      </c>
      <c r="F87" t="s">
        <v>1583</v>
      </c>
      <c r="G87" t="s">
        <v>1584</v>
      </c>
      <c r="H87" t="s">
        <v>75</v>
      </c>
      <c r="I87" t="s">
        <v>224</v>
      </c>
      <c r="J87" t="s">
        <v>52</v>
      </c>
      <c r="K87" t="s">
        <v>52</v>
      </c>
      <c r="L87" t="s">
        <v>775</v>
      </c>
      <c r="M87" t="s">
        <v>303</v>
      </c>
      <c r="N87" t="s">
        <v>1211</v>
      </c>
      <c r="O87" t="s">
        <v>61</v>
      </c>
      <c r="P87" t="s">
        <v>1353</v>
      </c>
      <c r="Q87" t="s">
        <v>64</v>
      </c>
      <c r="R87" t="s">
        <v>56</v>
      </c>
      <c r="S87" t="s">
        <v>1258</v>
      </c>
      <c r="T87" s="126">
        <v>2.65</v>
      </c>
      <c r="U87" s="127">
        <v>48203</v>
      </c>
      <c r="V87" s="125">
        <v>4.5600000000000002E-2</v>
      </c>
      <c r="W87" s="125">
        <v>3.9300000000000002E-2</v>
      </c>
      <c r="X87" t="s">
        <v>607</v>
      </c>
      <c r="Z87" s="124">
        <v>384344.09</v>
      </c>
      <c r="AA87" s="124">
        <v>1</v>
      </c>
      <c r="AB87" s="124">
        <v>101.94</v>
      </c>
      <c r="AC87" s="124">
        <v>0</v>
      </c>
      <c r="AD87" s="124">
        <v>391.80036999999999</v>
      </c>
      <c r="AE87" s="124"/>
      <c r="AF87" s="124"/>
      <c r="AG87" t="s">
        <v>16</v>
      </c>
      <c r="AH87" s="125">
        <v>4.5994079600000001E-4</v>
      </c>
      <c r="AI87" s="125">
        <v>5.8467177899999996E-4</v>
      </c>
      <c r="AJ87" s="125">
        <f>AD87/'סכום נכסים'!$B$30</f>
        <v>7.0539468515973424E-5</v>
      </c>
    </row>
    <row r="88" spans="1:36" x14ac:dyDescent="0.3">
      <c r="A88">
        <v>13908</v>
      </c>
      <c r="B88">
        <v>13908</v>
      </c>
      <c r="C88" t="s">
        <v>1585</v>
      </c>
      <c r="D88">
        <v>520032178</v>
      </c>
      <c r="E88" t="s">
        <v>420</v>
      </c>
      <c r="F88" t="s">
        <v>1586</v>
      </c>
      <c r="G88" t="s">
        <v>1587</v>
      </c>
      <c r="H88" t="s">
        <v>75</v>
      </c>
      <c r="I88" t="s">
        <v>224</v>
      </c>
      <c r="J88" t="s">
        <v>52</v>
      </c>
      <c r="K88" t="s">
        <v>52</v>
      </c>
      <c r="L88" t="s">
        <v>775</v>
      </c>
      <c r="M88" t="s">
        <v>303</v>
      </c>
      <c r="N88" t="s">
        <v>138</v>
      </c>
      <c r="O88" t="s">
        <v>61</v>
      </c>
      <c r="P88" t="s">
        <v>290</v>
      </c>
      <c r="Q88" t="s">
        <v>290</v>
      </c>
      <c r="R88" t="s">
        <v>290</v>
      </c>
      <c r="S88" t="s">
        <v>1258</v>
      </c>
      <c r="T88" s="126">
        <v>1.4139999999999999</v>
      </c>
      <c r="U88" s="127">
        <v>46752</v>
      </c>
      <c r="V88" s="125">
        <v>6.3E-2</v>
      </c>
      <c r="W88" s="125">
        <v>5.5E-2</v>
      </c>
      <c r="X88" t="s">
        <v>607</v>
      </c>
      <c r="Z88" s="124">
        <v>209668.5</v>
      </c>
      <c r="AA88" s="124">
        <v>1</v>
      </c>
      <c r="AB88" s="124">
        <v>101.2</v>
      </c>
      <c r="AC88" s="124">
        <v>0</v>
      </c>
      <c r="AD88" s="124">
        <v>212.18451999999999</v>
      </c>
      <c r="AE88" s="124"/>
      <c r="AF88" s="124"/>
      <c r="AG88" t="s">
        <v>16</v>
      </c>
      <c r="AH88" s="125">
        <v>1.1779892779999999E-3</v>
      </c>
      <c r="AI88" s="125">
        <v>3.16636507E-4</v>
      </c>
      <c r="AJ88" s="125">
        <f>AD88/'סכום נכסים'!$B$30</f>
        <v>3.8201554705313145E-5</v>
      </c>
    </row>
    <row r="89" spans="1:36" x14ac:dyDescent="0.3">
      <c r="A89">
        <v>13908</v>
      </c>
      <c r="B89">
        <v>13908</v>
      </c>
      <c r="C89" t="s">
        <v>1588</v>
      </c>
      <c r="D89">
        <v>520034257</v>
      </c>
      <c r="E89" t="s">
        <v>420</v>
      </c>
      <c r="F89" t="s">
        <v>1589</v>
      </c>
      <c r="G89" t="s">
        <v>1590</v>
      </c>
      <c r="H89" t="s">
        <v>75</v>
      </c>
      <c r="I89" t="s">
        <v>225</v>
      </c>
      <c r="J89" t="s">
        <v>52</v>
      </c>
      <c r="K89" t="s">
        <v>52</v>
      </c>
      <c r="L89" t="s">
        <v>775</v>
      </c>
      <c r="M89" t="s">
        <v>303</v>
      </c>
      <c r="N89" t="s">
        <v>675</v>
      </c>
      <c r="O89" t="s">
        <v>61</v>
      </c>
      <c r="P89" t="s">
        <v>1422</v>
      </c>
      <c r="Q89" t="s">
        <v>69</v>
      </c>
      <c r="R89" t="s">
        <v>56</v>
      </c>
      <c r="S89" t="s">
        <v>1258</v>
      </c>
      <c r="T89" s="126">
        <v>1.726</v>
      </c>
      <c r="U89" s="127">
        <v>46944</v>
      </c>
      <c r="V89" s="125">
        <v>3.73E-2</v>
      </c>
      <c r="W89" s="125">
        <v>2.64E-2</v>
      </c>
      <c r="X89" t="s">
        <v>607</v>
      </c>
      <c r="Z89" s="124">
        <v>475622.41</v>
      </c>
      <c r="AA89" s="124">
        <v>1</v>
      </c>
      <c r="AB89" s="124">
        <v>114.44</v>
      </c>
      <c r="AC89" s="124">
        <v>0</v>
      </c>
      <c r="AD89" s="124">
        <v>544.30228999999997</v>
      </c>
      <c r="AE89" s="124"/>
      <c r="AF89" s="124"/>
      <c r="AG89" t="s">
        <v>16</v>
      </c>
      <c r="AH89" s="125">
        <v>1.1827058399999999E-3</v>
      </c>
      <c r="AI89" s="125">
        <v>8.1224575799999997E-4</v>
      </c>
      <c r="AJ89" s="125">
        <f>AD89/'סכום נכסים'!$B$30</f>
        <v>9.7995809061199288E-5</v>
      </c>
    </row>
    <row r="90" spans="1:36" x14ac:dyDescent="0.3">
      <c r="A90">
        <v>13908</v>
      </c>
      <c r="B90">
        <v>13908</v>
      </c>
      <c r="C90" t="s">
        <v>1591</v>
      </c>
      <c r="D90">
        <v>520038274</v>
      </c>
      <c r="E90" t="s">
        <v>420</v>
      </c>
      <c r="F90" t="s">
        <v>1592</v>
      </c>
      <c r="G90" t="s">
        <v>1593</v>
      </c>
      <c r="H90" t="s">
        <v>75</v>
      </c>
      <c r="I90" t="s">
        <v>225</v>
      </c>
      <c r="J90" t="s">
        <v>52</v>
      </c>
      <c r="K90" t="s">
        <v>52</v>
      </c>
      <c r="L90" t="s">
        <v>775</v>
      </c>
      <c r="M90" t="s">
        <v>303</v>
      </c>
      <c r="N90" t="s">
        <v>138</v>
      </c>
      <c r="O90" t="s">
        <v>61</v>
      </c>
      <c r="P90" t="s">
        <v>1422</v>
      </c>
      <c r="Q90" t="s">
        <v>69</v>
      </c>
      <c r="R90" t="s">
        <v>56</v>
      </c>
      <c r="S90" t="s">
        <v>1258</v>
      </c>
      <c r="T90" s="126">
        <v>1.585</v>
      </c>
      <c r="U90" s="127">
        <v>47149</v>
      </c>
      <c r="V90" s="125">
        <v>3.85E-2</v>
      </c>
      <c r="W90" s="125">
        <v>2.7400000000000001E-2</v>
      </c>
      <c r="X90" t="s">
        <v>607</v>
      </c>
      <c r="Z90" s="124">
        <v>1868000</v>
      </c>
      <c r="AA90" s="124">
        <v>1</v>
      </c>
      <c r="AB90" s="124">
        <v>113.76</v>
      </c>
      <c r="AC90" s="124">
        <v>0</v>
      </c>
      <c r="AD90" s="124">
        <v>2125.0367999999999</v>
      </c>
      <c r="AE90" s="124"/>
      <c r="AF90" s="124"/>
      <c r="AG90" t="s">
        <v>16</v>
      </c>
      <c r="AH90" s="125">
        <v>7.7833333329999999E-3</v>
      </c>
      <c r="AI90" s="125">
        <v>3.171127806E-3</v>
      </c>
      <c r="AJ90" s="125">
        <f>AD90/'סכום נכסים'!$B$30</f>
        <v>3.825901605169104E-4</v>
      </c>
    </row>
    <row r="91" spans="1:36" x14ac:dyDescent="0.3">
      <c r="A91">
        <v>13908</v>
      </c>
      <c r="B91">
        <v>13908</v>
      </c>
      <c r="C91" t="s">
        <v>1594</v>
      </c>
      <c r="D91">
        <v>516269248</v>
      </c>
      <c r="E91" t="s">
        <v>420</v>
      </c>
      <c r="F91" t="s">
        <v>1595</v>
      </c>
      <c r="G91" t="s">
        <v>1596</v>
      </c>
      <c r="H91" t="s">
        <v>75</v>
      </c>
      <c r="I91" t="s">
        <v>225</v>
      </c>
      <c r="J91" t="s">
        <v>52</v>
      </c>
      <c r="K91" t="s">
        <v>52</v>
      </c>
      <c r="L91" t="s">
        <v>775</v>
      </c>
      <c r="M91" t="s">
        <v>303</v>
      </c>
      <c r="N91" t="s">
        <v>154</v>
      </c>
      <c r="O91" t="s">
        <v>61</v>
      </c>
      <c r="P91" t="s">
        <v>1496</v>
      </c>
      <c r="Q91" t="s">
        <v>69</v>
      </c>
      <c r="R91" t="s">
        <v>56</v>
      </c>
      <c r="S91" t="s">
        <v>1258</v>
      </c>
      <c r="T91" s="126">
        <v>5.08</v>
      </c>
      <c r="U91" s="127">
        <v>49218</v>
      </c>
      <c r="V91" s="125">
        <v>3.3000000000000002E-2</v>
      </c>
      <c r="W91" s="125">
        <v>2.6200000000000001E-2</v>
      </c>
      <c r="X91" t="s">
        <v>607</v>
      </c>
      <c r="Z91" s="124">
        <v>392307.71</v>
      </c>
      <c r="AA91" s="124">
        <v>1</v>
      </c>
      <c r="AB91" s="124">
        <v>115.2</v>
      </c>
      <c r="AC91" s="124">
        <v>0</v>
      </c>
      <c r="AD91" s="124">
        <v>451.93848000000003</v>
      </c>
      <c r="AE91" s="124"/>
      <c r="AF91" s="124"/>
      <c r="AG91" t="s">
        <v>16</v>
      </c>
      <c r="AH91" s="125">
        <v>3.5019456700000003E-4</v>
      </c>
      <c r="AI91" s="125">
        <v>6.7441405200000003E-4</v>
      </c>
      <c r="AJ91" s="125">
        <f>AD91/'סכום נכסים'!$B$30</f>
        <v>8.1366692382441819E-5</v>
      </c>
    </row>
    <row r="92" spans="1:36" x14ac:dyDescent="0.3">
      <c r="A92">
        <v>13908</v>
      </c>
      <c r="B92">
        <v>13908</v>
      </c>
      <c r="C92" t="s">
        <v>1597</v>
      </c>
      <c r="D92">
        <v>520025438</v>
      </c>
      <c r="E92" t="s">
        <v>420</v>
      </c>
      <c r="F92" t="s">
        <v>1598</v>
      </c>
      <c r="G92" t="s">
        <v>1599</v>
      </c>
      <c r="H92" t="s">
        <v>75</v>
      </c>
      <c r="I92" t="s">
        <v>225</v>
      </c>
      <c r="J92" t="s">
        <v>52</v>
      </c>
      <c r="K92" t="s">
        <v>52</v>
      </c>
      <c r="L92" t="s">
        <v>775</v>
      </c>
      <c r="M92" t="s">
        <v>303</v>
      </c>
      <c r="N92" t="s">
        <v>620</v>
      </c>
      <c r="O92" t="s">
        <v>61</v>
      </c>
      <c r="P92" t="s">
        <v>1360</v>
      </c>
      <c r="Q92" t="s">
        <v>64</v>
      </c>
      <c r="R92" t="s">
        <v>56</v>
      </c>
      <c r="S92" t="s">
        <v>1258</v>
      </c>
      <c r="T92" s="126">
        <v>2.7570000000000001</v>
      </c>
      <c r="U92" s="127">
        <v>47300</v>
      </c>
      <c r="V92" s="125">
        <v>3.6200000000000003E-2</v>
      </c>
      <c r="W92" s="125">
        <v>2.4500000000000001E-2</v>
      </c>
      <c r="X92" t="s">
        <v>607</v>
      </c>
      <c r="Z92" s="124">
        <v>429600.04</v>
      </c>
      <c r="AA92" s="124">
        <v>1</v>
      </c>
      <c r="AB92" s="124">
        <v>113.61</v>
      </c>
      <c r="AC92" s="124">
        <v>0</v>
      </c>
      <c r="AD92" s="124">
        <v>488.06860999999998</v>
      </c>
      <c r="AE92" s="124"/>
      <c r="AF92" s="124"/>
      <c r="AG92" t="s">
        <v>16</v>
      </c>
      <c r="AH92" s="125">
        <v>2.4473169700000002E-4</v>
      </c>
      <c r="AI92" s="125">
        <v>7.2832994700000001E-4</v>
      </c>
      <c r="AJ92" s="125">
        <f>AD92/'סכום נכסים'!$B$30</f>
        <v>8.7871536080300051E-5</v>
      </c>
    </row>
    <row r="93" spans="1:36" x14ac:dyDescent="0.3">
      <c r="A93">
        <v>13908</v>
      </c>
      <c r="B93">
        <v>13908</v>
      </c>
      <c r="C93" t="s">
        <v>1404</v>
      </c>
      <c r="D93">
        <v>515327120</v>
      </c>
      <c r="E93" t="s">
        <v>420</v>
      </c>
      <c r="F93" t="s">
        <v>1600</v>
      </c>
      <c r="G93" t="s">
        <v>1601</v>
      </c>
      <c r="H93" t="s">
        <v>75</v>
      </c>
      <c r="I93" t="s">
        <v>225</v>
      </c>
      <c r="J93" t="s">
        <v>52</v>
      </c>
      <c r="K93" t="s">
        <v>52</v>
      </c>
      <c r="L93" t="s">
        <v>775</v>
      </c>
      <c r="M93" t="s">
        <v>303</v>
      </c>
      <c r="N93" t="s">
        <v>620</v>
      </c>
      <c r="O93" t="s">
        <v>61</v>
      </c>
      <c r="P93" t="s">
        <v>1376</v>
      </c>
      <c r="Q93" t="s">
        <v>69</v>
      </c>
      <c r="R93" t="s">
        <v>56</v>
      </c>
      <c r="S93" t="s">
        <v>1258</v>
      </c>
      <c r="T93" s="126">
        <v>4.5599999999999996</v>
      </c>
      <c r="U93" s="127">
        <v>48213</v>
      </c>
      <c r="V93" s="125">
        <v>3.1800000000000002E-2</v>
      </c>
      <c r="W93" s="125">
        <v>2.5600000000000001E-2</v>
      </c>
      <c r="X93" t="s">
        <v>607</v>
      </c>
      <c r="Z93" s="124">
        <v>164350</v>
      </c>
      <c r="AA93" s="124">
        <v>1</v>
      </c>
      <c r="AB93" s="124">
        <v>114.87</v>
      </c>
      <c r="AC93" s="124">
        <v>0</v>
      </c>
      <c r="AD93" s="124">
        <v>188.78883999999999</v>
      </c>
      <c r="AE93" s="124"/>
      <c r="AF93" s="124"/>
      <c r="AG93" t="s">
        <v>16</v>
      </c>
      <c r="AH93" s="125">
        <v>2.17314828E-4</v>
      </c>
      <c r="AI93" s="125">
        <v>2.8172384499999998E-4</v>
      </c>
      <c r="AJ93" s="125">
        <f>AD93/'סכום נכסים'!$B$30</f>
        <v>3.3989412606596421E-5</v>
      </c>
    </row>
    <row r="94" spans="1:36" x14ac:dyDescent="0.3">
      <c r="A94">
        <v>13908</v>
      </c>
      <c r="B94">
        <v>13908</v>
      </c>
      <c r="C94" t="s">
        <v>1602</v>
      </c>
      <c r="D94">
        <v>520038910</v>
      </c>
      <c r="E94" t="s">
        <v>420</v>
      </c>
      <c r="F94" t="s">
        <v>1603</v>
      </c>
      <c r="G94" t="s">
        <v>1604</v>
      </c>
      <c r="H94" t="s">
        <v>75</v>
      </c>
      <c r="I94" t="s">
        <v>224</v>
      </c>
      <c r="J94" t="s">
        <v>52</v>
      </c>
      <c r="K94" t="s">
        <v>52</v>
      </c>
      <c r="L94" t="s">
        <v>775</v>
      </c>
      <c r="M94" t="s">
        <v>303</v>
      </c>
      <c r="N94" t="s">
        <v>620</v>
      </c>
      <c r="O94" t="s">
        <v>61</v>
      </c>
      <c r="P94" t="s">
        <v>1353</v>
      </c>
      <c r="Q94" t="s">
        <v>64</v>
      </c>
      <c r="R94" t="s">
        <v>56</v>
      </c>
      <c r="S94" t="s">
        <v>1258</v>
      </c>
      <c r="T94" s="126">
        <v>3.2410000000000001</v>
      </c>
      <c r="U94" s="127">
        <v>48213</v>
      </c>
      <c r="V94" s="125">
        <v>4.8899999999999999E-2</v>
      </c>
      <c r="W94" s="125">
        <v>3.9600000000000003E-2</v>
      </c>
      <c r="X94" t="s">
        <v>607</v>
      </c>
      <c r="Z94" s="124">
        <v>4042000</v>
      </c>
      <c r="AA94" s="124">
        <v>1</v>
      </c>
      <c r="AB94" s="124">
        <v>103.09</v>
      </c>
      <c r="AC94" s="124">
        <v>0</v>
      </c>
      <c r="AD94" s="124">
        <v>4166.8977999999997</v>
      </c>
      <c r="AE94" s="124"/>
      <c r="AF94" s="124"/>
      <c r="AG94" t="s">
        <v>16</v>
      </c>
      <c r="AH94" s="125">
        <v>8.7869947260000008E-3</v>
      </c>
      <c r="AI94" s="125">
        <v>6.2181348949999996E-3</v>
      </c>
      <c r="AJ94" s="125">
        <f>AD94/'סכום נכסים'!$B$30</f>
        <v>7.5020540734144507E-4</v>
      </c>
    </row>
    <row r="95" spans="1:36" x14ac:dyDescent="0.3">
      <c r="A95">
        <v>13908</v>
      </c>
      <c r="B95">
        <v>13908</v>
      </c>
      <c r="C95" t="s">
        <v>1605</v>
      </c>
      <c r="D95">
        <v>2409</v>
      </c>
      <c r="E95" t="s">
        <v>2</v>
      </c>
      <c r="F95" t="s">
        <v>1606</v>
      </c>
      <c r="G95" t="s">
        <v>1607</v>
      </c>
      <c r="H95" t="s">
        <v>75</v>
      </c>
      <c r="I95" t="s">
        <v>226</v>
      </c>
      <c r="J95" t="s">
        <v>52</v>
      </c>
      <c r="K95" t="s">
        <v>306</v>
      </c>
      <c r="L95" t="s">
        <v>775</v>
      </c>
      <c r="M95" t="s">
        <v>303</v>
      </c>
      <c r="N95" t="s">
        <v>618</v>
      </c>
      <c r="O95" t="s">
        <v>61</v>
      </c>
      <c r="P95" t="s">
        <v>1389</v>
      </c>
      <c r="Q95" t="s">
        <v>69</v>
      </c>
      <c r="R95" t="s">
        <v>56</v>
      </c>
      <c r="S95" t="s">
        <v>1258</v>
      </c>
      <c r="T95" s="126">
        <v>0.16700000000000001</v>
      </c>
      <c r="U95" s="127">
        <v>46265</v>
      </c>
      <c r="V95" s="125">
        <v>7.4399999999999994E-2</v>
      </c>
      <c r="W95" s="125">
        <v>9.6600000000000005E-2</v>
      </c>
      <c r="X95" t="s">
        <v>607</v>
      </c>
      <c r="Z95" s="124">
        <v>1201000</v>
      </c>
      <c r="AA95" s="124">
        <v>1</v>
      </c>
      <c r="AB95" s="124">
        <v>81.48</v>
      </c>
      <c r="AC95" s="124">
        <v>0</v>
      </c>
      <c r="AD95" s="124">
        <v>978.57479999999998</v>
      </c>
      <c r="AE95" s="124"/>
      <c r="AF95" s="124"/>
      <c r="AG95" t="s">
        <v>16</v>
      </c>
      <c r="AH95" s="125">
        <v>2.852688306E-3</v>
      </c>
      <c r="AI95" s="125">
        <v>1.460297421E-3</v>
      </c>
      <c r="AJ95" s="125">
        <f>AD95/'סכום נכסים'!$B$30</f>
        <v>1.7618193238338439E-4</v>
      </c>
    </row>
    <row r="96" spans="1:36" x14ac:dyDescent="0.3">
      <c r="A96">
        <v>13908</v>
      </c>
      <c r="B96">
        <v>13908</v>
      </c>
      <c r="C96" t="s">
        <v>1608</v>
      </c>
      <c r="D96">
        <v>520037789</v>
      </c>
      <c r="E96" t="s">
        <v>420</v>
      </c>
      <c r="F96" t="s">
        <v>1609</v>
      </c>
      <c r="G96" t="s">
        <v>1610</v>
      </c>
      <c r="H96" t="s">
        <v>75</v>
      </c>
      <c r="I96" t="s">
        <v>225</v>
      </c>
      <c r="J96" t="s">
        <v>52</v>
      </c>
      <c r="K96" t="s">
        <v>52</v>
      </c>
      <c r="L96" t="s">
        <v>775</v>
      </c>
      <c r="M96" t="s">
        <v>303</v>
      </c>
      <c r="N96" t="s">
        <v>620</v>
      </c>
      <c r="O96" t="s">
        <v>61</v>
      </c>
      <c r="P96" t="s">
        <v>1353</v>
      </c>
      <c r="Q96" t="s">
        <v>64</v>
      </c>
      <c r="R96" t="s">
        <v>56</v>
      </c>
      <c r="S96" t="s">
        <v>1258</v>
      </c>
      <c r="T96" s="126">
        <v>5.0119999999999996</v>
      </c>
      <c r="U96" s="127">
        <v>50041</v>
      </c>
      <c r="V96" s="125">
        <v>3.61E-2</v>
      </c>
      <c r="W96" s="125">
        <v>2.53E-2</v>
      </c>
      <c r="X96" t="s">
        <v>607</v>
      </c>
      <c r="Z96" s="124">
        <v>3344460.99</v>
      </c>
      <c r="AA96" s="124">
        <v>1</v>
      </c>
      <c r="AB96" s="124">
        <v>115.48</v>
      </c>
      <c r="AC96" s="124">
        <v>61.900269999999999</v>
      </c>
      <c r="AD96" s="124">
        <v>3924.0838199999998</v>
      </c>
      <c r="AE96" s="124"/>
      <c r="AF96" s="124"/>
      <c r="AG96" t="s">
        <v>16</v>
      </c>
      <c r="AH96" s="125">
        <v>1.092936884E-3</v>
      </c>
      <c r="AI96" s="125">
        <v>5.8557909749999996E-3</v>
      </c>
      <c r="AJ96" s="125">
        <f>AD96/'סכום נכסים'!$B$30</f>
        <v>7.0648934577302895E-4</v>
      </c>
    </row>
    <row r="97" spans="1:36" x14ac:dyDescent="0.3">
      <c r="A97">
        <v>13908</v>
      </c>
      <c r="B97">
        <v>13908</v>
      </c>
      <c r="C97" t="s">
        <v>1611</v>
      </c>
      <c r="D97">
        <v>514290345</v>
      </c>
      <c r="E97" t="s">
        <v>420</v>
      </c>
      <c r="F97" t="s">
        <v>1612</v>
      </c>
      <c r="G97" t="s">
        <v>1613</v>
      </c>
      <c r="H97" t="s">
        <v>75</v>
      </c>
      <c r="I97" t="s">
        <v>225</v>
      </c>
      <c r="J97" t="s">
        <v>52</v>
      </c>
      <c r="K97" t="s">
        <v>52</v>
      </c>
      <c r="L97" t="s">
        <v>775</v>
      </c>
      <c r="M97" t="s">
        <v>303</v>
      </c>
      <c r="N97" t="s">
        <v>262</v>
      </c>
      <c r="O97" t="s">
        <v>61</v>
      </c>
      <c r="P97" t="s">
        <v>1349</v>
      </c>
      <c r="Q97" t="s">
        <v>64</v>
      </c>
      <c r="R97" t="s">
        <v>56</v>
      </c>
      <c r="S97" t="s">
        <v>1258</v>
      </c>
      <c r="T97" s="126">
        <v>5.2690000000000001</v>
      </c>
      <c r="U97" s="127">
        <v>62494</v>
      </c>
      <c r="V97" s="125">
        <v>2.0899999999999998E-2</v>
      </c>
      <c r="W97" s="125">
        <v>2.4299999999999999E-2</v>
      </c>
      <c r="X97" t="s">
        <v>607</v>
      </c>
      <c r="Z97" s="124">
        <v>50000</v>
      </c>
      <c r="AA97" s="124">
        <v>1</v>
      </c>
      <c r="AB97" s="124">
        <v>116.53</v>
      </c>
      <c r="AC97" s="124">
        <v>0</v>
      </c>
      <c r="AD97" s="124">
        <v>58.265000000000001</v>
      </c>
      <c r="AE97" s="124"/>
      <c r="AF97" s="124"/>
      <c r="AG97" t="s">
        <v>16</v>
      </c>
      <c r="AH97" s="125">
        <v>3.2390762154633499E-5</v>
      </c>
      <c r="AI97" s="125">
        <v>8.6947087994843501E-5</v>
      </c>
      <c r="AJ97" s="125">
        <f>AD97/'סכום נכסים'!$B$30</f>
        <v>1.0489990433350513E-5</v>
      </c>
    </row>
    <row r="98" spans="1:36" x14ac:dyDescent="0.3">
      <c r="A98">
        <v>13908</v>
      </c>
      <c r="B98">
        <v>13908</v>
      </c>
      <c r="C98" t="s">
        <v>1354</v>
      </c>
      <c r="D98">
        <v>511659401</v>
      </c>
      <c r="E98" t="s">
        <v>420</v>
      </c>
      <c r="F98" t="s">
        <v>1614</v>
      </c>
      <c r="G98" t="s">
        <v>1615</v>
      </c>
      <c r="H98" t="s">
        <v>75</v>
      </c>
      <c r="I98" t="s">
        <v>224</v>
      </c>
      <c r="J98" t="s">
        <v>52</v>
      </c>
      <c r="K98" t="s">
        <v>52</v>
      </c>
      <c r="L98" t="s">
        <v>775</v>
      </c>
      <c r="M98" t="s">
        <v>303</v>
      </c>
      <c r="N98" t="s">
        <v>620</v>
      </c>
      <c r="O98" t="s">
        <v>61</v>
      </c>
      <c r="P98" t="s">
        <v>1353</v>
      </c>
      <c r="Q98" t="s">
        <v>64</v>
      </c>
      <c r="R98" t="s">
        <v>56</v>
      </c>
      <c r="S98" t="s">
        <v>1258</v>
      </c>
      <c r="T98" s="126">
        <v>1.7529999999999999</v>
      </c>
      <c r="U98" s="127">
        <v>47238</v>
      </c>
      <c r="V98" s="125">
        <v>0.05</v>
      </c>
      <c r="W98" s="125">
        <v>3.8199999999999998E-2</v>
      </c>
      <c r="X98" t="s">
        <v>607</v>
      </c>
      <c r="Z98" s="124">
        <v>262500.01</v>
      </c>
      <c r="AA98" s="124">
        <v>1</v>
      </c>
      <c r="AB98" s="124">
        <v>102.96</v>
      </c>
      <c r="AC98" s="124">
        <v>0</v>
      </c>
      <c r="AD98" s="124">
        <v>270.27001000000001</v>
      </c>
      <c r="AE98" s="124"/>
      <c r="AF98" s="124"/>
      <c r="AG98" t="s">
        <v>16</v>
      </c>
      <c r="AH98" s="125">
        <v>6.2103931400000003E-4</v>
      </c>
      <c r="AI98" s="125">
        <v>4.0331571800000001E-4</v>
      </c>
      <c r="AJ98" s="125">
        <f>AD98/'סכום נכסים'!$B$30</f>
        <v>4.865922628201403E-5</v>
      </c>
    </row>
    <row r="99" spans="1:36" x14ac:dyDescent="0.3">
      <c r="A99">
        <v>13908</v>
      </c>
      <c r="B99">
        <v>13908</v>
      </c>
      <c r="C99" t="s">
        <v>1354</v>
      </c>
      <c r="D99">
        <v>511659401</v>
      </c>
      <c r="E99" t="s">
        <v>420</v>
      </c>
      <c r="F99" t="s">
        <v>1616</v>
      </c>
      <c r="G99" t="s">
        <v>1617</v>
      </c>
      <c r="H99" t="s">
        <v>75</v>
      </c>
      <c r="I99" t="s">
        <v>225</v>
      </c>
      <c r="J99" t="s">
        <v>52</v>
      </c>
      <c r="K99" t="s">
        <v>52</v>
      </c>
      <c r="L99" t="s">
        <v>775</v>
      </c>
      <c r="M99" t="s">
        <v>303</v>
      </c>
      <c r="N99" t="s">
        <v>620</v>
      </c>
      <c r="O99" t="s">
        <v>61</v>
      </c>
      <c r="P99" t="s">
        <v>1353</v>
      </c>
      <c r="Q99" t="s">
        <v>64</v>
      </c>
      <c r="R99" t="s">
        <v>56</v>
      </c>
      <c r="S99" t="s">
        <v>1258</v>
      </c>
      <c r="T99" s="126">
        <v>7.1310000000000002</v>
      </c>
      <c r="U99" s="127">
        <v>50891</v>
      </c>
      <c r="V99" s="125">
        <v>2.64E-2</v>
      </c>
      <c r="W99" s="125">
        <v>2.4199999999999999E-2</v>
      </c>
      <c r="X99" t="s">
        <v>607</v>
      </c>
      <c r="Z99" s="124">
        <v>400900</v>
      </c>
      <c r="AA99" s="124">
        <v>1</v>
      </c>
      <c r="AB99" s="124">
        <v>111.37</v>
      </c>
      <c r="AC99" s="124">
        <v>0</v>
      </c>
      <c r="AD99" s="124">
        <v>446.48232999999999</v>
      </c>
      <c r="AE99" s="124"/>
      <c r="AF99" s="124"/>
      <c r="AG99" t="s">
        <v>16</v>
      </c>
      <c r="AH99" s="125">
        <v>1.4066666659999999E-3</v>
      </c>
      <c r="AI99" s="125">
        <v>6.6627200599999996E-4</v>
      </c>
      <c r="AJ99" s="125">
        <f>AD99/'סכום נכסים'!$B$30</f>
        <v>8.0384370897795354E-5</v>
      </c>
    </row>
    <row r="100" spans="1:36" x14ac:dyDescent="0.3">
      <c r="A100">
        <v>13908</v>
      </c>
      <c r="B100">
        <v>13908</v>
      </c>
      <c r="C100" t="s">
        <v>1618</v>
      </c>
      <c r="D100">
        <v>520000472</v>
      </c>
      <c r="E100" t="s">
        <v>420</v>
      </c>
      <c r="F100" t="s">
        <v>1619</v>
      </c>
      <c r="G100" t="s">
        <v>1620</v>
      </c>
      <c r="H100" t="s">
        <v>75</v>
      </c>
      <c r="I100" t="s">
        <v>225</v>
      </c>
      <c r="J100" t="s">
        <v>52</v>
      </c>
      <c r="K100" t="s">
        <v>52</v>
      </c>
      <c r="L100" t="s">
        <v>775</v>
      </c>
      <c r="M100" t="s">
        <v>303</v>
      </c>
      <c r="N100" t="s">
        <v>154</v>
      </c>
      <c r="O100" t="s">
        <v>61</v>
      </c>
      <c r="P100" t="s">
        <v>1257</v>
      </c>
      <c r="Q100" t="s">
        <v>64</v>
      </c>
      <c r="R100" t="s">
        <v>56</v>
      </c>
      <c r="S100" t="s">
        <v>1258</v>
      </c>
      <c r="T100" s="126">
        <v>6.3369999999999997</v>
      </c>
      <c r="U100" s="127">
        <v>48742</v>
      </c>
      <c r="V100" s="125">
        <v>0.03</v>
      </c>
      <c r="W100" s="125">
        <v>2.24E-2</v>
      </c>
      <c r="X100" t="s">
        <v>607</v>
      </c>
      <c r="Z100" s="124">
        <v>1017000</v>
      </c>
      <c r="AA100" s="124">
        <v>1</v>
      </c>
      <c r="AB100" s="124">
        <v>113.7</v>
      </c>
      <c r="AC100" s="124">
        <v>0</v>
      </c>
      <c r="AD100" s="124">
        <v>1156.329</v>
      </c>
      <c r="AE100" s="124"/>
      <c r="AF100" s="124"/>
      <c r="AG100" t="s">
        <v>16</v>
      </c>
      <c r="AH100" s="125">
        <v>2.4927667999999998E-4</v>
      </c>
      <c r="AI100" s="125">
        <v>1.725554609E-3</v>
      </c>
      <c r="AJ100" s="125">
        <f>AD100/'סכום נכסים'!$B$30</f>
        <v>2.0818467601142651E-4</v>
      </c>
    </row>
    <row r="101" spans="1:36" x14ac:dyDescent="0.3">
      <c r="A101">
        <v>13908</v>
      </c>
      <c r="B101">
        <v>13908</v>
      </c>
      <c r="C101" t="s">
        <v>1618</v>
      </c>
      <c r="D101">
        <v>520000472</v>
      </c>
      <c r="E101" t="s">
        <v>420</v>
      </c>
      <c r="F101" t="s">
        <v>1621</v>
      </c>
      <c r="G101" t="s">
        <v>1622</v>
      </c>
      <c r="H101" t="s">
        <v>75</v>
      </c>
      <c r="I101" t="s">
        <v>225</v>
      </c>
      <c r="J101" t="s">
        <v>52</v>
      </c>
      <c r="K101" t="s">
        <v>52</v>
      </c>
      <c r="L101" t="s">
        <v>775</v>
      </c>
      <c r="M101" t="s">
        <v>303</v>
      </c>
      <c r="N101" t="s">
        <v>154</v>
      </c>
      <c r="O101" t="s">
        <v>61</v>
      </c>
      <c r="P101" t="s">
        <v>1257</v>
      </c>
      <c r="Q101" t="s">
        <v>64</v>
      </c>
      <c r="R101" t="s">
        <v>56</v>
      </c>
      <c r="S101" t="s">
        <v>1258</v>
      </c>
      <c r="T101" s="126">
        <v>9.3759999999999994</v>
      </c>
      <c r="U101" s="127">
        <v>50203</v>
      </c>
      <c r="V101" s="125">
        <v>3.2000000000000001E-2</v>
      </c>
      <c r="W101" s="125">
        <v>2.53E-2</v>
      </c>
      <c r="X101" t="s">
        <v>607</v>
      </c>
      <c r="Z101" s="124">
        <v>1783900</v>
      </c>
      <c r="AA101" s="124">
        <v>1</v>
      </c>
      <c r="AB101" s="124">
        <v>115.44</v>
      </c>
      <c r="AC101" s="124">
        <v>0</v>
      </c>
      <c r="AD101" s="124">
        <v>2059.3341599999999</v>
      </c>
      <c r="AE101" s="124"/>
      <c r="AF101" s="124"/>
      <c r="AG101" t="s">
        <v>16</v>
      </c>
      <c r="AH101" s="125">
        <v>3.6226814500000003E-4</v>
      </c>
      <c r="AI101" s="125">
        <v>3.0730817540000001E-3</v>
      </c>
      <c r="AJ101" s="125">
        <f>AD101/'סכום נכסים'!$B$30</f>
        <v>3.7076110250531044E-4</v>
      </c>
    </row>
    <row r="102" spans="1:36" x14ac:dyDescent="0.3">
      <c r="A102">
        <v>13908</v>
      </c>
      <c r="B102">
        <v>13908</v>
      </c>
      <c r="C102" t="s">
        <v>1561</v>
      </c>
      <c r="D102">
        <v>520032046</v>
      </c>
      <c r="E102" t="s">
        <v>420</v>
      </c>
      <c r="F102" t="s">
        <v>1623</v>
      </c>
      <c r="G102" t="s">
        <v>1624</v>
      </c>
      <c r="H102" t="s">
        <v>75</v>
      </c>
      <c r="I102" t="s">
        <v>225</v>
      </c>
      <c r="J102" t="s">
        <v>52</v>
      </c>
      <c r="K102" t="s">
        <v>52</v>
      </c>
      <c r="L102" t="s">
        <v>775</v>
      </c>
      <c r="M102" t="s">
        <v>303</v>
      </c>
      <c r="N102" t="s">
        <v>251</v>
      </c>
      <c r="O102" t="s">
        <v>61</v>
      </c>
      <c r="P102" t="s">
        <v>1257</v>
      </c>
      <c r="Q102" t="s">
        <v>64</v>
      </c>
      <c r="R102" t="s">
        <v>56</v>
      </c>
      <c r="S102" t="s">
        <v>1258</v>
      </c>
      <c r="T102" s="126">
        <v>3.7879999999999998</v>
      </c>
      <c r="U102" s="127">
        <v>48742</v>
      </c>
      <c r="V102" s="125">
        <v>2.06E-2</v>
      </c>
      <c r="W102" s="125">
        <v>2.2100000000000002E-2</v>
      </c>
      <c r="X102" t="s">
        <v>607</v>
      </c>
      <c r="Z102" s="124">
        <v>2986994.15</v>
      </c>
      <c r="AA102" s="124">
        <v>1</v>
      </c>
      <c r="AB102" s="124">
        <v>107.73</v>
      </c>
      <c r="AC102" s="124">
        <v>0</v>
      </c>
      <c r="AD102" s="124">
        <v>3217.8888000000002</v>
      </c>
      <c r="AE102" s="124"/>
      <c r="AF102" s="124"/>
      <c r="AG102" t="s">
        <v>16</v>
      </c>
      <c r="AH102" s="125">
        <v>2.1334637769999999E-3</v>
      </c>
      <c r="AI102" s="125">
        <v>4.8019576180000001E-3</v>
      </c>
      <c r="AJ102" s="125">
        <f>AD102/'סכום נכסים'!$B$30</f>
        <v>5.7934648120802818E-4</v>
      </c>
    </row>
    <row r="103" spans="1:36" x14ac:dyDescent="0.3">
      <c r="A103">
        <v>13908</v>
      </c>
      <c r="B103">
        <v>13908</v>
      </c>
      <c r="C103" t="s">
        <v>1625</v>
      </c>
      <c r="D103">
        <v>520042763</v>
      </c>
      <c r="E103" t="s">
        <v>420</v>
      </c>
      <c r="F103" t="s">
        <v>1626</v>
      </c>
      <c r="G103" t="s">
        <v>1627</v>
      </c>
      <c r="H103" t="s">
        <v>75</v>
      </c>
      <c r="I103" t="s">
        <v>594</v>
      </c>
      <c r="J103" t="s">
        <v>52</v>
      </c>
      <c r="K103" t="s">
        <v>52</v>
      </c>
      <c r="L103" t="s">
        <v>775</v>
      </c>
      <c r="M103" t="s">
        <v>303</v>
      </c>
      <c r="N103" t="s">
        <v>252</v>
      </c>
      <c r="O103" t="s">
        <v>61</v>
      </c>
      <c r="P103" t="s">
        <v>290</v>
      </c>
      <c r="Q103" t="s">
        <v>290</v>
      </c>
      <c r="R103" t="s">
        <v>290</v>
      </c>
      <c r="S103" t="s">
        <v>1258</v>
      </c>
      <c r="T103" s="126">
        <v>1.9350000000000001</v>
      </c>
      <c r="U103" s="127">
        <v>46934</v>
      </c>
      <c r="V103" s="125">
        <v>4.8500000000000001E-2</v>
      </c>
      <c r="W103" s="125">
        <v>-1.52E-2</v>
      </c>
      <c r="X103" t="s">
        <v>607</v>
      </c>
      <c r="Z103" s="124">
        <v>588000</v>
      </c>
      <c r="AA103" s="124">
        <v>1</v>
      </c>
      <c r="AB103" s="124">
        <v>113</v>
      </c>
      <c r="AC103" s="124">
        <v>0</v>
      </c>
      <c r="AD103" s="124">
        <v>664.44</v>
      </c>
      <c r="AE103" s="124"/>
      <c r="AF103" s="124"/>
      <c r="AG103" t="s">
        <v>16</v>
      </c>
      <c r="AH103" s="125">
        <v>1.9599999999999999E-3</v>
      </c>
      <c r="AI103" s="125">
        <v>9.9152360999999996E-4</v>
      </c>
      <c r="AJ103" s="125">
        <f>AD103/'סכום נכסים'!$B$30</f>
        <v>1.1962531954922193E-4</v>
      </c>
    </row>
    <row r="104" spans="1:36" x14ac:dyDescent="0.3">
      <c r="A104">
        <v>13908</v>
      </c>
      <c r="B104">
        <v>13908</v>
      </c>
      <c r="C104" t="s">
        <v>1456</v>
      </c>
      <c r="D104">
        <v>520042847</v>
      </c>
      <c r="E104" t="s">
        <v>420</v>
      </c>
      <c r="F104" t="s">
        <v>1628</v>
      </c>
      <c r="G104" t="s">
        <v>1629</v>
      </c>
      <c r="H104" t="s">
        <v>75</v>
      </c>
      <c r="I104" t="s">
        <v>224</v>
      </c>
      <c r="J104" t="s">
        <v>52</v>
      </c>
      <c r="K104" t="s">
        <v>52</v>
      </c>
      <c r="L104" t="s">
        <v>775</v>
      </c>
      <c r="M104" t="s">
        <v>303</v>
      </c>
      <c r="N104" t="s">
        <v>675</v>
      </c>
      <c r="O104" t="s">
        <v>61</v>
      </c>
      <c r="P104" t="s">
        <v>1349</v>
      </c>
      <c r="Q104" t="s">
        <v>64</v>
      </c>
      <c r="R104" t="s">
        <v>56</v>
      </c>
      <c r="S104" t="s">
        <v>1258</v>
      </c>
      <c r="T104" s="126">
        <v>2.4550000000000001</v>
      </c>
      <c r="U104" s="127">
        <v>47664</v>
      </c>
      <c r="V104" s="125">
        <v>5.5E-2</v>
      </c>
      <c r="W104" s="125">
        <v>4.1200000000000001E-2</v>
      </c>
      <c r="X104" t="s">
        <v>607</v>
      </c>
      <c r="Z104" s="124">
        <v>885959.6</v>
      </c>
      <c r="AA104" s="124">
        <v>1</v>
      </c>
      <c r="AB104" s="124">
        <v>103.45</v>
      </c>
      <c r="AC104" s="124">
        <v>0</v>
      </c>
      <c r="AD104" s="124">
        <v>916.52521000000002</v>
      </c>
      <c r="AE104" s="124"/>
      <c r="AF104" s="124"/>
      <c r="AG104" t="s">
        <v>16</v>
      </c>
      <c r="AH104" s="125">
        <v>5.9022086600000003E-4</v>
      </c>
      <c r="AI104" s="125">
        <v>1.3677027039999999E-3</v>
      </c>
      <c r="AJ104" s="125">
        <f>AD104/'סכום נכסים'!$B$30</f>
        <v>1.6501056697544958E-4</v>
      </c>
    </row>
    <row r="105" spans="1:36" x14ac:dyDescent="0.3">
      <c r="A105">
        <v>13908</v>
      </c>
      <c r="B105">
        <v>13908</v>
      </c>
      <c r="C105" t="s">
        <v>1630</v>
      </c>
      <c r="D105">
        <v>513754069</v>
      </c>
      <c r="E105" t="s">
        <v>420</v>
      </c>
      <c r="F105" t="s">
        <v>1631</v>
      </c>
      <c r="G105" t="s">
        <v>1632</v>
      </c>
      <c r="H105" t="s">
        <v>75</v>
      </c>
      <c r="I105" t="s">
        <v>224</v>
      </c>
      <c r="J105" t="s">
        <v>52</v>
      </c>
      <c r="K105" t="s">
        <v>52</v>
      </c>
      <c r="L105" t="s">
        <v>775</v>
      </c>
      <c r="M105" t="s">
        <v>303</v>
      </c>
      <c r="N105" t="s">
        <v>262</v>
      </c>
      <c r="O105" t="s">
        <v>61</v>
      </c>
      <c r="P105" t="s">
        <v>1349</v>
      </c>
      <c r="Q105" t="s">
        <v>64</v>
      </c>
      <c r="R105" t="s">
        <v>56</v>
      </c>
      <c r="S105" t="s">
        <v>1258</v>
      </c>
      <c r="T105" s="126">
        <v>6.6130000000000004</v>
      </c>
      <c r="U105" s="127">
        <v>50252</v>
      </c>
      <c r="V105" s="125">
        <v>5.3100000000000001E-2</v>
      </c>
      <c r="W105" s="125">
        <v>4.1099999999999998E-2</v>
      </c>
      <c r="X105" t="s">
        <v>607</v>
      </c>
      <c r="Z105" s="124">
        <v>500000</v>
      </c>
      <c r="AA105" s="124">
        <v>1</v>
      </c>
      <c r="AB105" s="124">
        <v>110.69</v>
      </c>
      <c r="AC105" s="124">
        <v>0</v>
      </c>
      <c r="AD105" s="124">
        <v>553.45000000000005</v>
      </c>
      <c r="AE105" s="124"/>
      <c r="AF105" s="124"/>
      <c r="AG105" t="s">
        <v>16</v>
      </c>
      <c r="AH105" s="125">
        <v>3.9265552700000001E-4</v>
      </c>
      <c r="AI105" s="125">
        <v>8.2589660699999997E-4</v>
      </c>
      <c r="AJ105" s="125">
        <f>AD105/'סכום נכסים'!$B$30</f>
        <v>9.9642756463362944E-5</v>
      </c>
    </row>
    <row r="106" spans="1:36" x14ac:dyDescent="0.3">
      <c r="A106">
        <v>13908</v>
      </c>
      <c r="B106">
        <v>13908</v>
      </c>
      <c r="C106" t="s">
        <v>1493</v>
      </c>
      <c r="D106">
        <v>514599943</v>
      </c>
      <c r="E106" t="s">
        <v>420</v>
      </c>
      <c r="F106" t="s">
        <v>1633</v>
      </c>
      <c r="G106" t="s">
        <v>1634</v>
      </c>
      <c r="H106" t="s">
        <v>75</v>
      </c>
      <c r="I106" t="s">
        <v>224</v>
      </c>
      <c r="J106" t="s">
        <v>52</v>
      </c>
      <c r="K106" t="s">
        <v>52</v>
      </c>
      <c r="L106" t="s">
        <v>775</v>
      </c>
      <c r="M106" t="s">
        <v>303</v>
      </c>
      <c r="N106" t="s">
        <v>616</v>
      </c>
      <c r="O106" t="s">
        <v>61</v>
      </c>
      <c r="P106" t="s">
        <v>1496</v>
      </c>
      <c r="Q106" t="s">
        <v>69</v>
      </c>
      <c r="R106" t="s">
        <v>56</v>
      </c>
      <c r="S106" t="s">
        <v>1258</v>
      </c>
      <c r="T106" s="126">
        <v>2.706</v>
      </c>
      <c r="U106" s="127">
        <v>47664</v>
      </c>
      <c r="V106" s="125">
        <v>6.9500000000000006E-2</v>
      </c>
      <c r="W106" s="125">
        <v>4.8599999999999997E-2</v>
      </c>
      <c r="X106" t="s">
        <v>607</v>
      </c>
      <c r="Z106" s="124">
        <v>1258849.94</v>
      </c>
      <c r="AA106" s="124">
        <v>1</v>
      </c>
      <c r="AB106" s="124">
        <v>105.79</v>
      </c>
      <c r="AC106" s="124">
        <v>0</v>
      </c>
      <c r="AD106" s="124">
        <v>1331.7373500000001</v>
      </c>
      <c r="AE106" s="124"/>
      <c r="AF106" s="124"/>
      <c r="AG106" t="s">
        <v>16</v>
      </c>
      <c r="AH106" s="125">
        <v>1.751997086E-3</v>
      </c>
      <c r="AI106" s="125">
        <v>1.9873111560000001E-3</v>
      </c>
      <c r="AJ106" s="125">
        <f>AD106/'סכום נכסים'!$B$30</f>
        <v>2.3976507442264764E-4</v>
      </c>
    </row>
    <row r="107" spans="1:36" x14ac:dyDescent="0.3">
      <c r="A107">
        <v>13908</v>
      </c>
      <c r="B107">
        <v>13908</v>
      </c>
      <c r="C107" t="s">
        <v>1635</v>
      </c>
      <c r="D107">
        <v>510459928</v>
      </c>
      <c r="E107" t="s">
        <v>420</v>
      </c>
      <c r="F107" t="s">
        <v>1636</v>
      </c>
      <c r="G107" t="s">
        <v>1637</v>
      </c>
      <c r="H107" t="s">
        <v>75</v>
      </c>
      <c r="I107" t="s">
        <v>224</v>
      </c>
      <c r="J107" t="s">
        <v>52</v>
      </c>
      <c r="K107" t="s">
        <v>52</v>
      </c>
      <c r="L107" t="s">
        <v>775</v>
      </c>
      <c r="M107" t="s">
        <v>303</v>
      </c>
      <c r="N107" t="s">
        <v>154</v>
      </c>
      <c r="O107" t="s">
        <v>61</v>
      </c>
      <c r="P107" t="s">
        <v>1496</v>
      </c>
      <c r="Q107" t="s">
        <v>69</v>
      </c>
      <c r="R107" t="s">
        <v>56</v>
      </c>
      <c r="S107" t="s">
        <v>1258</v>
      </c>
      <c r="T107" s="126">
        <v>3.9430000000000001</v>
      </c>
      <c r="U107" s="127">
        <v>49125</v>
      </c>
      <c r="V107" s="125">
        <v>6.7699999999999996E-2</v>
      </c>
      <c r="W107" s="125">
        <v>4.41E-2</v>
      </c>
      <c r="X107" t="s">
        <v>607</v>
      </c>
      <c r="Z107" s="124">
        <v>865480.01</v>
      </c>
      <c r="AA107" s="124">
        <v>1</v>
      </c>
      <c r="AB107" s="124">
        <v>109.5</v>
      </c>
      <c r="AC107" s="124">
        <v>0</v>
      </c>
      <c r="AD107" s="124">
        <v>947.70060999999998</v>
      </c>
      <c r="AE107" s="124"/>
      <c r="AF107" s="124"/>
      <c r="AG107" t="s">
        <v>16</v>
      </c>
      <c r="AH107" s="125">
        <v>1.442466683E-3</v>
      </c>
      <c r="AI107" s="125">
        <v>1.414224806E-3</v>
      </c>
      <c r="AJ107" s="125">
        <f>AD107/'סכום נכסים'!$B$30</f>
        <v>1.706233644997931E-4</v>
      </c>
    </row>
    <row r="108" spans="1:36" x14ac:dyDescent="0.3">
      <c r="A108">
        <v>13908</v>
      </c>
      <c r="B108">
        <v>13908</v>
      </c>
      <c r="C108" t="s">
        <v>1638</v>
      </c>
      <c r="D108">
        <v>520040304</v>
      </c>
      <c r="E108" t="s">
        <v>420</v>
      </c>
      <c r="F108" t="s">
        <v>1639</v>
      </c>
      <c r="G108" t="s">
        <v>1640</v>
      </c>
      <c r="H108" t="s">
        <v>75</v>
      </c>
      <c r="I108" t="s">
        <v>224</v>
      </c>
      <c r="J108" t="s">
        <v>52</v>
      </c>
      <c r="K108" t="s">
        <v>52</v>
      </c>
      <c r="L108" t="s">
        <v>775</v>
      </c>
      <c r="M108" t="s">
        <v>303</v>
      </c>
      <c r="N108" t="s">
        <v>138</v>
      </c>
      <c r="O108" t="s">
        <v>61</v>
      </c>
      <c r="P108" t="s">
        <v>290</v>
      </c>
      <c r="Q108" t="s">
        <v>290</v>
      </c>
      <c r="R108" t="s">
        <v>290</v>
      </c>
      <c r="S108" t="s">
        <v>1258</v>
      </c>
      <c r="T108" s="126">
        <v>1.488</v>
      </c>
      <c r="U108" s="127">
        <v>46934</v>
      </c>
      <c r="V108" s="125">
        <v>7.7499999999999999E-2</v>
      </c>
      <c r="W108" s="125">
        <v>5.8000000000000003E-2</v>
      </c>
      <c r="X108" t="s">
        <v>607</v>
      </c>
      <c r="Z108" s="124">
        <v>588000</v>
      </c>
      <c r="AA108" s="124">
        <v>1</v>
      </c>
      <c r="AB108" s="124">
        <v>102.97</v>
      </c>
      <c r="AC108" s="124">
        <v>0</v>
      </c>
      <c r="AD108" s="124">
        <v>605.46360000000004</v>
      </c>
      <c r="AE108" s="124"/>
      <c r="AF108" s="124"/>
      <c r="AG108" t="s">
        <v>16</v>
      </c>
      <c r="AH108" s="125">
        <v>5.2972972970000004E-3</v>
      </c>
      <c r="AI108" s="125">
        <v>9.0351492100000002E-4</v>
      </c>
      <c r="AJ108" s="125">
        <f>AD108/'סכום נכסים'!$B$30</f>
        <v>1.0900724915029541E-4</v>
      </c>
    </row>
    <row r="109" spans="1:36" x14ac:dyDescent="0.3">
      <c r="A109">
        <v>13908</v>
      </c>
      <c r="B109">
        <v>13908</v>
      </c>
      <c r="C109" t="s">
        <v>1523</v>
      </c>
      <c r="D109">
        <v>512764408</v>
      </c>
      <c r="E109" t="s">
        <v>420</v>
      </c>
      <c r="F109" t="s">
        <v>1641</v>
      </c>
      <c r="G109" t="s">
        <v>1642</v>
      </c>
      <c r="H109" t="s">
        <v>75</v>
      </c>
      <c r="I109" t="s">
        <v>224</v>
      </c>
      <c r="J109" t="s">
        <v>52</v>
      </c>
      <c r="K109" t="s">
        <v>52</v>
      </c>
      <c r="L109" t="s">
        <v>775</v>
      </c>
      <c r="M109" t="s">
        <v>303</v>
      </c>
      <c r="N109" t="s">
        <v>618</v>
      </c>
      <c r="O109" t="s">
        <v>61</v>
      </c>
      <c r="P109" t="s">
        <v>1496</v>
      </c>
      <c r="Q109" t="s">
        <v>69</v>
      </c>
      <c r="R109" t="s">
        <v>56</v>
      </c>
      <c r="S109" t="s">
        <v>1258</v>
      </c>
      <c r="T109" s="126">
        <v>1.0329999999999999</v>
      </c>
      <c r="U109" s="127">
        <v>46965</v>
      </c>
      <c r="V109" s="125">
        <v>7.22E-2</v>
      </c>
      <c r="W109" s="125">
        <v>5.0099999999999999E-2</v>
      </c>
      <c r="X109" t="s">
        <v>607</v>
      </c>
      <c r="Z109" s="124">
        <v>302324</v>
      </c>
      <c r="AA109" s="124">
        <v>1</v>
      </c>
      <c r="AB109" s="124">
        <v>105.36</v>
      </c>
      <c r="AC109" s="124">
        <v>0</v>
      </c>
      <c r="AD109" s="124">
        <v>318.52857</v>
      </c>
      <c r="AE109" s="124"/>
      <c r="AF109" s="124"/>
      <c r="AG109" t="s">
        <v>16</v>
      </c>
      <c r="AH109" s="125">
        <v>8.6852250799999997E-4</v>
      </c>
      <c r="AI109" s="125">
        <v>4.753305E-4</v>
      </c>
      <c r="AJ109" s="125">
        <f>AD109/'סכום נכסים'!$B$30</f>
        <v>5.7347664155991059E-5</v>
      </c>
    </row>
    <row r="110" spans="1:36" x14ac:dyDescent="0.3">
      <c r="A110">
        <v>13908</v>
      </c>
      <c r="B110">
        <v>13908</v>
      </c>
      <c r="C110" t="s">
        <v>1643</v>
      </c>
      <c r="D110">
        <v>515328250</v>
      </c>
      <c r="E110" t="s">
        <v>420</v>
      </c>
      <c r="F110" t="s">
        <v>1644</v>
      </c>
      <c r="G110" t="s">
        <v>1645</v>
      </c>
      <c r="H110" t="s">
        <v>75</v>
      </c>
      <c r="I110" t="s">
        <v>224</v>
      </c>
      <c r="J110" t="s">
        <v>52</v>
      </c>
      <c r="K110" t="s">
        <v>52</v>
      </c>
      <c r="L110" t="s">
        <v>775</v>
      </c>
      <c r="M110" t="s">
        <v>303</v>
      </c>
      <c r="N110" t="s">
        <v>621</v>
      </c>
      <c r="O110" t="s">
        <v>61</v>
      </c>
      <c r="P110" t="s">
        <v>1422</v>
      </c>
      <c r="Q110" t="s">
        <v>69</v>
      </c>
      <c r="R110" t="s">
        <v>56</v>
      </c>
      <c r="S110" t="s">
        <v>1258</v>
      </c>
      <c r="T110" s="126">
        <v>1.9079999999999999</v>
      </c>
      <c r="U110" s="127">
        <v>47300</v>
      </c>
      <c r="V110" s="125">
        <v>6.3700000000000007E-2</v>
      </c>
      <c r="W110" s="125">
        <v>4.1099999999999998E-2</v>
      </c>
      <c r="X110" t="s">
        <v>607</v>
      </c>
      <c r="Z110" s="124">
        <v>749850</v>
      </c>
      <c r="AA110" s="124">
        <v>1</v>
      </c>
      <c r="AB110" s="124">
        <v>104.36</v>
      </c>
      <c r="AC110" s="124">
        <v>0</v>
      </c>
      <c r="AD110" s="124">
        <v>782.54345999999998</v>
      </c>
      <c r="AE110" s="124"/>
      <c r="AF110" s="124"/>
      <c r="AG110" t="s">
        <v>16</v>
      </c>
      <c r="AH110" s="125">
        <v>1.798839876E-3</v>
      </c>
      <c r="AI110" s="125">
        <v>1.1677658120000001E-3</v>
      </c>
      <c r="AJ110" s="125">
        <f>AD110/'סכום נכסים'!$B$30</f>
        <v>1.4088858506961313E-4</v>
      </c>
    </row>
    <row r="111" spans="1:36" x14ac:dyDescent="0.3">
      <c r="A111">
        <v>13908</v>
      </c>
      <c r="B111">
        <v>13908</v>
      </c>
      <c r="C111" t="s">
        <v>1646</v>
      </c>
      <c r="D111">
        <v>513775163</v>
      </c>
      <c r="E111" t="s">
        <v>420</v>
      </c>
      <c r="F111" t="s">
        <v>1647</v>
      </c>
      <c r="G111" t="s">
        <v>1648</v>
      </c>
      <c r="H111" t="s">
        <v>75</v>
      </c>
      <c r="I111" t="s">
        <v>224</v>
      </c>
      <c r="J111" t="s">
        <v>52</v>
      </c>
      <c r="K111" t="s">
        <v>52</v>
      </c>
      <c r="L111" t="s">
        <v>775</v>
      </c>
      <c r="M111" t="s">
        <v>303</v>
      </c>
      <c r="N111" t="s">
        <v>154</v>
      </c>
      <c r="O111" t="s">
        <v>61</v>
      </c>
      <c r="P111" t="s">
        <v>1649</v>
      </c>
      <c r="Q111" t="s">
        <v>69</v>
      </c>
      <c r="R111" t="s">
        <v>56</v>
      </c>
      <c r="S111" t="s">
        <v>1258</v>
      </c>
      <c r="T111" s="126">
        <v>2.2189999999999999</v>
      </c>
      <c r="U111" s="127">
        <v>47238</v>
      </c>
      <c r="V111" s="125">
        <v>7.4999999999999997E-2</v>
      </c>
      <c r="W111" s="125">
        <v>5.0200000000000002E-2</v>
      </c>
      <c r="X111" t="s">
        <v>607</v>
      </c>
      <c r="Z111" s="124">
        <v>1881565.03</v>
      </c>
      <c r="AA111" s="124">
        <v>1</v>
      </c>
      <c r="AB111" s="124">
        <v>106.91</v>
      </c>
      <c r="AC111" s="124">
        <v>0</v>
      </c>
      <c r="AD111" s="124">
        <v>2011.5811699999999</v>
      </c>
      <c r="AE111" s="124"/>
      <c r="AF111" s="124"/>
      <c r="AG111" t="s">
        <v>16</v>
      </c>
      <c r="AH111" s="125">
        <v>3.3599375529999999E-3</v>
      </c>
      <c r="AI111" s="125">
        <v>3.0018214190000001E-3</v>
      </c>
      <c r="AJ111" s="125">
        <f>AD111/'סכום נכסים'!$B$30</f>
        <v>3.6216368710560422E-4</v>
      </c>
    </row>
    <row r="112" spans="1:36" x14ac:dyDescent="0.3">
      <c r="A112">
        <v>13908</v>
      </c>
      <c r="B112">
        <v>13908</v>
      </c>
      <c r="C112" t="s">
        <v>1650</v>
      </c>
      <c r="D112">
        <v>516581741</v>
      </c>
      <c r="E112" t="s">
        <v>420</v>
      </c>
      <c r="F112" t="s">
        <v>1651</v>
      </c>
      <c r="G112" t="s">
        <v>1652</v>
      </c>
      <c r="H112" t="s">
        <v>75</v>
      </c>
      <c r="I112" t="s">
        <v>225</v>
      </c>
      <c r="J112" t="s">
        <v>52</v>
      </c>
      <c r="K112" t="s">
        <v>52</v>
      </c>
      <c r="L112" t="s">
        <v>775</v>
      </c>
      <c r="M112" t="s">
        <v>303</v>
      </c>
      <c r="N112" t="s">
        <v>620</v>
      </c>
      <c r="O112" t="s">
        <v>61</v>
      </c>
      <c r="P112" t="s">
        <v>290</v>
      </c>
      <c r="Q112" t="s">
        <v>290</v>
      </c>
      <c r="R112" t="s">
        <v>290</v>
      </c>
      <c r="S112" t="s">
        <v>1258</v>
      </c>
      <c r="T112" s="126">
        <v>0.98699999999999999</v>
      </c>
      <c r="U112" s="127">
        <v>46568</v>
      </c>
      <c r="V112" s="125">
        <v>4.2000000000000003E-2</v>
      </c>
      <c r="W112" s="125">
        <v>3.7699999999999997E-2</v>
      </c>
      <c r="X112" t="s">
        <v>607</v>
      </c>
      <c r="Z112" s="124">
        <v>487000</v>
      </c>
      <c r="AA112" s="124">
        <v>1</v>
      </c>
      <c r="AB112" s="124">
        <v>108.21</v>
      </c>
      <c r="AC112" s="124">
        <v>0</v>
      </c>
      <c r="AD112" s="124">
        <v>526.98270000000002</v>
      </c>
      <c r="AE112" s="124"/>
      <c r="AF112" s="124"/>
      <c r="AG112" t="s">
        <v>16</v>
      </c>
      <c r="AH112" s="125">
        <v>4.8700000000000002E-3</v>
      </c>
      <c r="AI112" s="125">
        <v>7.8640025999999997E-4</v>
      </c>
      <c r="AJ112" s="125">
        <f>AD112/'סכום נכסים'!$B$30</f>
        <v>9.4877602017355597E-5</v>
      </c>
    </row>
    <row r="113" spans="1:36" x14ac:dyDescent="0.3">
      <c r="A113">
        <v>13908</v>
      </c>
      <c r="B113">
        <v>13908</v>
      </c>
      <c r="C113" t="s">
        <v>1377</v>
      </c>
      <c r="D113">
        <v>510381601</v>
      </c>
      <c r="E113" t="s">
        <v>420</v>
      </c>
      <c r="F113" t="s">
        <v>1653</v>
      </c>
      <c r="G113" t="s">
        <v>1654</v>
      </c>
      <c r="H113" t="s">
        <v>75</v>
      </c>
      <c r="I113" t="s">
        <v>225</v>
      </c>
      <c r="J113" t="s">
        <v>52</v>
      </c>
      <c r="K113" t="s">
        <v>52</v>
      </c>
      <c r="L113" t="s">
        <v>775</v>
      </c>
      <c r="M113" t="s">
        <v>303</v>
      </c>
      <c r="N113" t="s">
        <v>138</v>
      </c>
      <c r="O113" t="s">
        <v>61</v>
      </c>
      <c r="P113" t="s">
        <v>1360</v>
      </c>
      <c r="Q113" t="s">
        <v>64</v>
      </c>
      <c r="R113" t="s">
        <v>56</v>
      </c>
      <c r="S113" t="s">
        <v>1258</v>
      </c>
      <c r="T113" s="126">
        <v>4.3769999999999998</v>
      </c>
      <c r="U113" s="127">
        <v>48579</v>
      </c>
      <c r="V113" s="125">
        <v>4.0800000000000003E-2</v>
      </c>
      <c r="W113" s="125">
        <v>2.7699999999999999E-2</v>
      </c>
      <c r="X113" t="s">
        <v>607</v>
      </c>
      <c r="Z113" s="124">
        <v>949050</v>
      </c>
      <c r="AA113" s="124">
        <v>1</v>
      </c>
      <c r="AB113" s="124">
        <v>114</v>
      </c>
      <c r="AC113" s="124">
        <v>0</v>
      </c>
      <c r="AD113" s="124">
        <v>1081.9169999999999</v>
      </c>
      <c r="AE113" s="124"/>
      <c r="AF113" s="124"/>
      <c r="AG113" t="s">
        <v>16</v>
      </c>
      <c r="AH113" s="125">
        <v>1.1502696619999999E-3</v>
      </c>
      <c r="AI113" s="125">
        <v>1.614511844E-3</v>
      </c>
      <c r="AJ113" s="125">
        <f>AD113/'סכום נכסים'!$B$30</f>
        <v>1.9478759082947373E-4</v>
      </c>
    </row>
    <row r="114" spans="1:36" x14ac:dyDescent="0.3">
      <c r="A114">
        <v>13908</v>
      </c>
      <c r="B114">
        <v>13908</v>
      </c>
      <c r="C114" t="s">
        <v>1392</v>
      </c>
      <c r="D114">
        <v>510560188</v>
      </c>
      <c r="E114" t="s">
        <v>420</v>
      </c>
      <c r="F114" t="s">
        <v>1655</v>
      </c>
      <c r="G114" t="s">
        <v>1656</v>
      </c>
      <c r="H114" t="s">
        <v>75</v>
      </c>
      <c r="I114" t="s">
        <v>225</v>
      </c>
      <c r="J114" t="s">
        <v>52</v>
      </c>
      <c r="K114" t="s">
        <v>52</v>
      </c>
      <c r="L114" t="s">
        <v>775</v>
      </c>
      <c r="M114" t="s">
        <v>303</v>
      </c>
      <c r="N114" t="s">
        <v>621</v>
      </c>
      <c r="O114" t="s">
        <v>61</v>
      </c>
      <c r="P114" t="s">
        <v>1395</v>
      </c>
      <c r="Q114" t="s">
        <v>64</v>
      </c>
      <c r="R114" t="s">
        <v>56</v>
      </c>
      <c r="S114" t="s">
        <v>1258</v>
      </c>
      <c r="T114" s="126">
        <v>1.825</v>
      </c>
      <c r="U114" s="127">
        <v>47406</v>
      </c>
      <c r="V114" s="125">
        <v>0.04</v>
      </c>
      <c r="W114" s="125">
        <v>2.4299999999999999E-2</v>
      </c>
      <c r="X114" t="s">
        <v>607</v>
      </c>
      <c r="Z114" s="124">
        <v>661000</v>
      </c>
      <c r="AA114" s="124">
        <v>1</v>
      </c>
      <c r="AB114" s="124">
        <v>111.72</v>
      </c>
      <c r="AC114" s="124">
        <v>0</v>
      </c>
      <c r="AD114" s="124">
        <v>738.4692</v>
      </c>
      <c r="AE114" s="124"/>
      <c r="AF114" s="124"/>
      <c r="AG114" t="s">
        <v>16</v>
      </c>
      <c r="AH114" s="125">
        <v>2.0884082279999999E-3</v>
      </c>
      <c r="AI114" s="125">
        <v>1.101995134E-3</v>
      </c>
      <c r="AJ114" s="125">
        <f>AD114/'סכום נכסים'!$B$30</f>
        <v>1.3295348568306885E-4</v>
      </c>
    </row>
    <row r="115" spans="1:36" x14ac:dyDescent="0.3">
      <c r="A115">
        <v>13908</v>
      </c>
      <c r="B115">
        <v>13908</v>
      </c>
      <c r="C115" t="s">
        <v>1657</v>
      </c>
      <c r="D115">
        <v>512781386</v>
      </c>
      <c r="E115" t="s">
        <v>420</v>
      </c>
      <c r="F115" t="s">
        <v>1658</v>
      </c>
      <c r="G115" t="s">
        <v>1659</v>
      </c>
      <c r="H115" t="s">
        <v>75</v>
      </c>
      <c r="I115" t="s">
        <v>594</v>
      </c>
      <c r="J115" t="s">
        <v>52</v>
      </c>
      <c r="K115" t="s">
        <v>52</v>
      </c>
      <c r="L115" t="s">
        <v>775</v>
      </c>
      <c r="M115" t="s">
        <v>303</v>
      </c>
      <c r="N115" t="s">
        <v>138</v>
      </c>
      <c r="O115" t="s">
        <v>61</v>
      </c>
      <c r="P115" t="s">
        <v>290</v>
      </c>
      <c r="Q115" t="s">
        <v>290</v>
      </c>
      <c r="R115" t="s">
        <v>290</v>
      </c>
      <c r="S115" t="s">
        <v>1258</v>
      </c>
      <c r="T115" s="126">
        <v>2.125</v>
      </c>
      <c r="U115" s="127">
        <v>47027</v>
      </c>
      <c r="V115" s="125">
        <v>7.0000000000000007E-2</v>
      </c>
      <c r="W115" s="125">
        <v>-0.1105</v>
      </c>
      <c r="X115" t="s">
        <v>607</v>
      </c>
      <c r="Z115" s="124">
        <v>607000</v>
      </c>
      <c r="AA115" s="124">
        <v>1</v>
      </c>
      <c r="AB115" s="124">
        <v>150.5</v>
      </c>
      <c r="AC115" s="124">
        <v>0</v>
      </c>
      <c r="AD115" s="124">
        <v>913.53499999999997</v>
      </c>
      <c r="AE115" s="124"/>
      <c r="AF115" s="124"/>
      <c r="AG115" t="s">
        <v>16</v>
      </c>
      <c r="AH115" s="125">
        <v>1.2161304903000001E-2</v>
      </c>
      <c r="AI115" s="125">
        <v>1.3632405050000001E-3</v>
      </c>
      <c r="AJ115" s="125">
        <f>AD115/'סכום נכסים'!$B$30</f>
        <v>1.6447221162843662E-4</v>
      </c>
    </row>
    <row r="116" spans="1:36" x14ac:dyDescent="0.3">
      <c r="A116">
        <v>13908</v>
      </c>
      <c r="B116">
        <v>13908</v>
      </c>
      <c r="C116" t="s">
        <v>1553</v>
      </c>
      <c r="D116">
        <v>520000118</v>
      </c>
      <c r="E116" t="s">
        <v>420</v>
      </c>
      <c r="F116" t="s">
        <v>1660</v>
      </c>
      <c r="G116" t="s">
        <v>1661</v>
      </c>
      <c r="H116" t="s">
        <v>75</v>
      </c>
      <c r="I116" t="s">
        <v>225</v>
      </c>
      <c r="J116" t="s">
        <v>52</v>
      </c>
      <c r="K116" t="s">
        <v>52</v>
      </c>
      <c r="L116" t="s">
        <v>775</v>
      </c>
      <c r="M116" t="s">
        <v>303</v>
      </c>
      <c r="N116" t="s">
        <v>251</v>
      </c>
      <c r="O116" t="s">
        <v>61</v>
      </c>
      <c r="P116" t="s">
        <v>1257</v>
      </c>
      <c r="Q116" t="s">
        <v>64</v>
      </c>
      <c r="R116" t="s">
        <v>56</v>
      </c>
      <c r="S116" t="s">
        <v>1258</v>
      </c>
      <c r="T116" s="126">
        <v>1.3220000000000001</v>
      </c>
      <c r="U116" s="127">
        <v>46873</v>
      </c>
      <c r="V116" s="125">
        <v>6.0000000000000001E-3</v>
      </c>
      <c r="W116" s="125">
        <v>2.2100000000000002E-2</v>
      </c>
      <c r="X116" t="s">
        <v>607</v>
      </c>
      <c r="Z116" s="124">
        <v>2036165.44</v>
      </c>
      <c r="AA116" s="124">
        <v>1</v>
      </c>
      <c r="AB116" s="124">
        <v>118</v>
      </c>
      <c r="AC116" s="124">
        <v>0</v>
      </c>
      <c r="AD116" s="124">
        <v>2402.6752200000001</v>
      </c>
      <c r="AE116" s="124"/>
      <c r="AF116" s="124"/>
      <c r="AG116" t="s">
        <v>16</v>
      </c>
      <c r="AH116" s="125">
        <v>4.577411634E-3</v>
      </c>
      <c r="AI116" s="125">
        <v>3.5854391789999999E-3</v>
      </c>
      <c r="AJ116" s="125">
        <f>AD116/'סכום נכסים'!$B$30</f>
        <v>4.3257599025569964E-4</v>
      </c>
    </row>
    <row r="117" spans="1:36" x14ac:dyDescent="0.3">
      <c r="A117">
        <v>13908</v>
      </c>
      <c r="B117">
        <v>13908</v>
      </c>
      <c r="C117" t="s">
        <v>1553</v>
      </c>
      <c r="D117">
        <v>520000118</v>
      </c>
      <c r="E117" t="s">
        <v>420</v>
      </c>
      <c r="F117" t="s">
        <v>1662</v>
      </c>
      <c r="G117" t="s">
        <v>1663</v>
      </c>
      <c r="H117" t="s">
        <v>75</v>
      </c>
      <c r="I117" t="s">
        <v>225</v>
      </c>
      <c r="J117" t="s">
        <v>52</v>
      </c>
      <c r="K117" t="s">
        <v>52</v>
      </c>
      <c r="L117" t="s">
        <v>775</v>
      </c>
      <c r="M117" t="s">
        <v>303</v>
      </c>
      <c r="N117" t="s">
        <v>251</v>
      </c>
      <c r="O117" t="s">
        <v>61</v>
      </c>
      <c r="P117" t="s">
        <v>1257</v>
      </c>
      <c r="Q117" t="s">
        <v>64</v>
      </c>
      <c r="R117" t="s">
        <v>56</v>
      </c>
      <c r="S117" t="s">
        <v>1258</v>
      </c>
      <c r="T117" s="126">
        <v>2.3490000000000002</v>
      </c>
      <c r="U117" s="127">
        <v>47819</v>
      </c>
      <c r="V117" s="125">
        <v>1.7500000000000002E-2</v>
      </c>
      <c r="W117" s="125">
        <v>2.18E-2</v>
      </c>
      <c r="X117" t="s">
        <v>607</v>
      </c>
      <c r="Z117" s="124">
        <v>306907.59000000003</v>
      </c>
      <c r="AA117" s="124">
        <v>1</v>
      </c>
      <c r="AB117" s="124">
        <v>118.62</v>
      </c>
      <c r="AC117" s="124">
        <v>0</v>
      </c>
      <c r="AD117" s="124">
        <v>364.05378000000002</v>
      </c>
      <c r="AE117" s="124"/>
      <c r="AF117" s="124"/>
      <c r="AG117" t="s">
        <v>16</v>
      </c>
      <c r="AH117" s="125">
        <v>1.6518786099999999E-4</v>
      </c>
      <c r="AI117" s="125">
        <v>5.4326638700000001E-4</v>
      </c>
      <c r="AJ117" s="125">
        <f>AD117/'סכום נכסים'!$B$30</f>
        <v>6.554399158028135E-5</v>
      </c>
    </row>
    <row r="118" spans="1:36" x14ac:dyDescent="0.3">
      <c r="A118">
        <v>13908</v>
      </c>
      <c r="B118">
        <v>13908</v>
      </c>
      <c r="C118" t="s">
        <v>1664</v>
      </c>
      <c r="D118">
        <v>520036120</v>
      </c>
      <c r="E118" t="s">
        <v>420</v>
      </c>
      <c r="F118" t="s">
        <v>1665</v>
      </c>
      <c r="G118" t="s">
        <v>1666</v>
      </c>
      <c r="H118" t="s">
        <v>75</v>
      </c>
      <c r="I118" t="s">
        <v>224</v>
      </c>
      <c r="J118" t="s">
        <v>52</v>
      </c>
      <c r="K118" t="s">
        <v>52</v>
      </c>
      <c r="L118" t="s">
        <v>775</v>
      </c>
      <c r="M118" t="s">
        <v>303</v>
      </c>
      <c r="N118" t="s">
        <v>262</v>
      </c>
      <c r="O118" t="s">
        <v>61</v>
      </c>
      <c r="P118" t="s">
        <v>1349</v>
      </c>
      <c r="Q118" t="s">
        <v>64</v>
      </c>
      <c r="R118" t="s">
        <v>56</v>
      </c>
      <c r="S118" t="s">
        <v>1258</v>
      </c>
      <c r="T118" s="126">
        <v>3.9220000000000002</v>
      </c>
      <c r="U118" s="127">
        <v>48154</v>
      </c>
      <c r="V118" s="125">
        <v>5.2499999999999998E-2</v>
      </c>
      <c r="W118" s="125">
        <v>3.8399999999999997E-2</v>
      </c>
      <c r="X118" t="s">
        <v>607</v>
      </c>
      <c r="Z118" s="124">
        <v>1087000</v>
      </c>
      <c r="AA118" s="124">
        <v>1</v>
      </c>
      <c r="AB118" s="124">
        <v>106.55</v>
      </c>
      <c r="AC118" s="124">
        <v>0</v>
      </c>
      <c r="AD118" s="124">
        <v>1158.1985</v>
      </c>
      <c r="AE118" s="124"/>
      <c r="AF118" s="124"/>
      <c r="AG118" t="s">
        <v>16</v>
      </c>
      <c r="AH118" s="125">
        <v>1.278823529E-3</v>
      </c>
      <c r="AI118" s="125">
        <v>1.728344407E-3</v>
      </c>
      <c r="AJ118" s="125">
        <f>AD118/'סכום נכסים'!$B$30</f>
        <v>2.0852125950263304E-4</v>
      </c>
    </row>
    <row r="119" spans="1:36" x14ac:dyDescent="0.3">
      <c r="A119">
        <v>13908</v>
      </c>
      <c r="B119">
        <v>13908</v>
      </c>
      <c r="C119" t="s">
        <v>1667</v>
      </c>
      <c r="D119">
        <v>520018078</v>
      </c>
      <c r="E119" t="s">
        <v>420</v>
      </c>
      <c r="F119" t="s">
        <v>1668</v>
      </c>
      <c r="G119" t="s">
        <v>1669</v>
      </c>
      <c r="H119" t="s">
        <v>75</v>
      </c>
      <c r="I119" t="s">
        <v>225</v>
      </c>
      <c r="J119" t="s">
        <v>52</v>
      </c>
      <c r="K119" t="s">
        <v>52</v>
      </c>
      <c r="L119" t="s">
        <v>775</v>
      </c>
      <c r="M119" t="s">
        <v>303</v>
      </c>
      <c r="N119" t="s">
        <v>251</v>
      </c>
      <c r="O119" t="s">
        <v>61</v>
      </c>
      <c r="P119" t="s">
        <v>1257</v>
      </c>
      <c r="Q119" t="s">
        <v>64</v>
      </c>
      <c r="R119" t="s">
        <v>56</v>
      </c>
      <c r="S119" t="s">
        <v>1258</v>
      </c>
      <c r="T119" s="126">
        <v>1.627</v>
      </c>
      <c r="U119" s="127">
        <v>47361</v>
      </c>
      <c r="V119" s="125">
        <v>1.8599999999999998E-2</v>
      </c>
      <c r="W119" s="125">
        <v>2.2100000000000002E-2</v>
      </c>
      <c r="X119" t="s">
        <v>607</v>
      </c>
      <c r="Z119" s="124">
        <v>10002108.4</v>
      </c>
      <c r="AA119" s="124">
        <v>1</v>
      </c>
      <c r="AB119" s="124">
        <v>107.17</v>
      </c>
      <c r="AC119" s="124">
        <v>0</v>
      </c>
      <c r="AD119" s="124">
        <v>10719.25957</v>
      </c>
      <c r="AE119" s="124"/>
      <c r="AF119" s="124"/>
      <c r="AG119" t="s">
        <v>16</v>
      </c>
      <c r="AH119" s="125">
        <v>4.4749922359999996E-3</v>
      </c>
      <c r="AI119" s="125">
        <v>1.5996025144E-2</v>
      </c>
      <c r="AJ119" s="125">
        <f>AD119/'סכום נכסים'!$B$30</f>
        <v>1.9298881033536588E-3</v>
      </c>
    </row>
    <row r="120" spans="1:36" x14ac:dyDescent="0.3">
      <c r="A120">
        <v>13908</v>
      </c>
      <c r="B120">
        <v>13908</v>
      </c>
      <c r="C120" t="s">
        <v>1667</v>
      </c>
      <c r="D120">
        <v>520018078</v>
      </c>
      <c r="E120" t="s">
        <v>420</v>
      </c>
      <c r="F120" t="s">
        <v>1670</v>
      </c>
      <c r="G120" t="s">
        <v>1671</v>
      </c>
      <c r="H120" t="s">
        <v>75</v>
      </c>
      <c r="I120" t="s">
        <v>225</v>
      </c>
      <c r="J120" t="s">
        <v>52</v>
      </c>
      <c r="K120" t="s">
        <v>52</v>
      </c>
      <c r="L120" t="s">
        <v>775</v>
      </c>
      <c r="M120" t="s">
        <v>303</v>
      </c>
      <c r="N120" t="s">
        <v>251</v>
      </c>
      <c r="O120" t="s">
        <v>61</v>
      </c>
      <c r="P120" t="s">
        <v>1257</v>
      </c>
      <c r="Q120" t="s">
        <v>64</v>
      </c>
      <c r="R120" t="s">
        <v>56</v>
      </c>
      <c r="S120" t="s">
        <v>1258</v>
      </c>
      <c r="T120" s="126">
        <v>3.7290000000000001</v>
      </c>
      <c r="U120" s="127">
        <v>48913</v>
      </c>
      <c r="V120" s="125">
        <v>2.0199999999999999E-2</v>
      </c>
      <c r="W120" s="125">
        <v>2.2200000000000001E-2</v>
      </c>
      <c r="X120" t="s">
        <v>607</v>
      </c>
      <c r="Z120" s="124">
        <v>18451296.559999999</v>
      </c>
      <c r="AA120" s="124">
        <v>1</v>
      </c>
      <c r="AB120" s="124">
        <v>106.52</v>
      </c>
      <c r="AC120" s="124">
        <v>0</v>
      </c>
      <c r="AD120" s="124">
        <v>19654.321100000001</v>
      </c>
      <c r="AE120" s="124"/>
      <c r="AF120" s="124"/>
      <c r="AG120" t="s">
        <v>16</v>
      </c>
      <c r="AH120" s="125">
        <v>3.665025155E-3</v>
      </c>
      <c r="AI120" s="125">
        <v>2.9329545802E-2</v>
      </c>
      <c r="AJ120" s="125">
        <f>AD120/'סכום נכסים'!$B$30</f>
        <v>3.5385504215738289E-3</v>
      </c>
    </row>
    <row r="121" spans="1:36" x14ac:dyDescent="0.3">
      <c r="A121">
        <v>13908</v>
      </c>
      <c r="B121">
        <v>13908</v>
      </c>
      <c r="C121" t="s">
        <v>1561</v>
      </c>
      <c r="D121">
        <v>520032046</v>
      </c>
      <c r="E121" t="s">
        <v>420</v>
      </c>
      <c r="F121" t="s">
        <v>1672</v>
      </c>
      <c r="G121" t="s">
        <v>1673</v>
      </c>
      <c r="H121" t="s">
        <v>75</v>
      </c>
      <c r="I121" t="s">
        <v>225</v>
      </c>
      <c r="J121" t="s">
        <v>52</v>
      </c>
      <c r="K121" t="s">
        <v>52</v>
      </c>
      <c r="L121" t="s">
        <v>775</v>
      </c>
      <c r="M121" t="s">
        <v>303</v>
      </c>
      <c r="N121" t="s">
        <v>251</v>
      </c>
      <c r="O121" t="s">
        <v>61</v>
      </c>
      <c r="P121" t="s">
        <v>1257</v>
      </c>
      <c r="Q121" t="s">
        <v>64</v>
      </c>
      <c r="R121" t="s">
        <v>56</v>
      </c>
      <c r="S121" t="s">
        <v>1258</v>
      </c>
      <c r="T121" s="126">
        <v>3.778</v>
      </c>
      <c r="U121" s="127">
        <v>48938</v>
      </c>
      <c r="V121" s="125">
        <v>1.9900000000000001E-2</v>
      </c>
      <c r="W121" s="125">
        <v>2.1899999999999999E-2</v>
      </c>
      <c r="X121" t="s">
        <v>607</v>
      </c>
      <c r="Z121" s="124">
        <v>4084279.16</v>
      </c>
      <c r="AA121" s="124">
        <v>1</v>
      </c>
      <c r="AB121" s="124">
        <v>107.39</v>
      </c>
      <c r="AC121" s="124">
        <v>0</v>
      </c>
      <c r="AD121" s="124">
        <v>4386.1073900000001</v>
      </c>
      <c r="AE121" s="124"/>
      <c r="AF121" s="124"/>
      <c r="AG121" t="s">
        <v>16</v>
      </c>
      <c r="AH121" s="125">
        <v>1.8908699810000001E-3</v>
      </c>
      <c r="AI121" s="125">
        <v>6.5452547009999997E-3</v>
      </c>
      <c r="AJ121" s="125">
        <f>AD121/'סכום נכסים'!$B$30</f>
        <v>7.896717508066247E-4</v>
      </c>
    </row>
    <row r="122" spans="1:36" x14ac:dyDescent="0.3">
      <c r="A122">
        <v>13908</v>
      </c>
      <c r="B122">
        <v>13908</v>
      </c>
      <c r="C122" t="s">
        <v>1674</v>
      </c>
      <c r="D122">
        <v>516291754</v>
      </c>
      <c r="E122" t="s">
        <v>420</v>
      </c>
      <c r="F122" t="s">
        <v>1675</v>
      </c>
      <c r="G122" t="s">
        <v>1676</v>
      </c>
      <c r="H122" t="s">
        <v>75</v>
      </c>
      <c r="I122" t="s">
        <v>225</v>
      </c>
      <c r="J122" t="s">
        <v>52</v>
      </c>
      <c r="K122" t="s">
        <v>52</v>
      </c>
      <c r="L122" t="s">
        <v>775</v>
      </c>
      <c r="M122" t="s">
        <v>303</v>
      </c>
      <c r="N122" t="s">
        <v>620</v>
      </c>
      <c r="O122" t="s">
        <v>61</v>
      </c>
      <c r="P122" t="s">
        <v>290</v>
      </c>
      <c r="Q122" t="s">
        <v>290</v>
      </c>
      <c r="R122" t="s">
        <v>290</v>
      </c>
      <c r="S122" t="s">
        <v>1258</v>
      </c>
      <c r="T122" s="126">
        <v>1.4490000000000001</v>
      </c>
      <c r="U122" s="127">
        <v>46752</v>
      </c>
      <c r="V122" s="125">
        <v>4.6098E-2</v>
      </c>
      <c r="W122" s="125">
        <v>3.1699999999999999E-2</v>
      </c>
      <c r="X122" t="s">
        <v>607</v>
      </c>
      <c r="Z122" s="124">
        <v>14327462</v>
      </c>
      <c r="AA122" s="124">
        <v>1</v>
      </c>
      <c r="AB122" s="124">
        <v>109.34</v>
      </c>
      <c r="AC122" s="124">
        <v>0</v>
      </c>
      <c r="AD122" s="124">
        <v>15665.64695</v>
      </c>
      <c r="AE122" s="124"/>
      <c r="AF122" s="124"/>
      <c r="AG122" t="s">
        <v>16</v>
      </c>
      <c r="AH122" s="125">
        <v>1.4624948068E-2</v>
      </c>
      <c r="AI122" s="125">
        <v>2.337736864E-2</v>
      </c>
      <c r="AJ122" s="125">
        <f>AD122/'סכום נכסים'!$B$30</f>
        <v>2.8204322773147969E-3</v>
      </c>
    </row>
    <row r="123" spans="1:36" x14ac:dyDescent="0.3">
      <c r="A123">
        <v>13908</v>
      </c>
      <c r="B123">
        <v>13908</v>
      </c>
      <c r="C123" t="s">
        <v>1677</v>
      </c>
      <c r="D123">
        <v>2429</v>
      </c>
      <c r="E123" t="s">
        <v>2</v>
      </c>
      <c r="F123" t="s">
        <v>1678</v>
      </c>
      <c r="G123" t="s">
        <v>1679</v>
      </c>
      <c r="H123" t="s">
        <v>75</v>
      </c>
      <c r="I123" t="s">
        <v>224</v>
      </c>
      <c r="J123" t="s">
        <v>52</v>
      </c>
      <c r="K123" t="s">
        <v>306</v>
      </c>
      <c r="L123" t="s">
        <v>775</v>
      </c>
      <c r="M123" t="s">
        <v>303</v>
      </c>
      <c r="N123" t="s">
        <v>138</v>
      </c>
      <c r="O123" t="s">
        <v>61</v>
      </c>
      <c r="P123" t="s">
        <v>290</v>
      </c>
      <c r="Q123" t="s">
        <v>290</v>
      </c>
      <c r="R123" t="s">
        <v>290</v>
      </c>
      <c r="S123" t="s">
        <v>1258</v>
      </c>
      <c r="T123" s="126">
        <v>2.0510000000000002</v>
      </c>
      <c r="U123" s="127">
        <v>47751</v>
      </c>
      <c r="V123" s="125">
        <v>8.1500000000000003E-2</v>
      </c>
      <c r="W123" s="125">
        <v>4.4299999999999999E-2</v>
      </c>
      <c r="X123" t="s">
        <v>607</v>
      </c>
      <c r="Z123" s="124">
        <v>1367000</v>
      </c>
      <c r="AA123" s="124">
        <v>1</v>
      </c>
      <c r="AB123" s="124">
        <v>109.93</v>
      </c>
      <c r="AC123" s="124">
        <v>0</v>
      </c>
      <c r="AD123" s="124">
        <v>1502.7430999999999</v>
      </c>
      <c r="AE123" s="124"/>
      <c r="AF123" s="124"/>
      <c r="AG123" t="s">
        <v>16</v>
      </c>
      <c r="AH123" s="125">
        <v>4.9709090900000004E-3</v>
      </c>
      <c r="AI123" s="125">
        <v>2.2424978380000001E-3</v>
      </c>
      <c r="AJ123" s="125">
        <f>AD123/'סכום נכסים'!$B$30</f>
        <v>2.7055283176492735E-4</v>
      </c>
    </row>
    <row r="124" spans="1:36" x14ac:dyDescent="0.3">
      <c r="A124">
        <v>13908</v>
      </c>
      <c r="B124">
        <v>13908</v>
      </c>
      <c r="C124" t="s">
        <v>1361</v>
      </c>
      <c r="D124">
        <v>514065283</v>
      </c>
      <c r="E124" t="s">
        <v>420</v>
      </c>
      <c r="F124" t="s">
        <v>1680</v>
      </c>
      <c r="G124" t="s">
        <v>1681</v>
      </c>
      <c r="H124" t="s">
        <v>75</v>
      </c>
      <c r="I124" t="s">
        <v>224</v>
      </c>
      <c r="J124" t="s">
        <v>52</v>
      </c>
      <c r="K124" t="s">
        <v>52</v>
      </c>
      <c r="L124" t="s">
        <v>775</v>
      </c>
      <c r="M124" t="s">
        <v>303</v>
      </c>
      <c r="N124" t="s">
        <v>74</v>
      </c>
      <c r="O124" t="s">
        <v>61</v>
      </c>
      <c r="P124" t="s">
        <v>1349</v>
      </c>
      <c r="Q124" t="s">
        <v>64</v>
      </c>
      <c r="R124" t="s">
        <v>56</v>
      </c>
      <c r="S124" t="s">
        <v>1258</v>
      </c>
      <c r="T124" s="126">
        <v>2.5739999999999998</v>
      </c>
      <c r="U124" s="127">
        <v>48026</v>
      </c>
      <c r="V124" s="125">
        <v>5.0500000000000003E-2</v>
      </c>
      <c r="W124" s="125">
        <v>3.9199999999999999E-2</v>
      </c>
      <c r="X124" t="s">
        <v>607</v>
      </c>
      <c r="Z124" s="124">
        <v>153410</v>
      </c>
      <c r="AA124" s="124">
        <v>1</v>
      </c>
      <c r="AB124" s="124">
        <v>103.02</v>
      </c>
      <c r="AC124" s="124">
        <v>0</v>
      </c>
      <c r="AD124" s="124">
        <v>158.04298</v>
      </c>
      <c r="AE124" s="124"/>
      <c r="AF124" s="124"/>
      <c r="AG124" t="s">
        <v>16</v>
      </c>
      <c r="AH124" s="125">
        <v>8.9812527600000003E-4</v>
      </c>
      <c r="AI124" s="125">
        <v>2.3584273299999999E-4</v>
      </c>
      <c r="AJ124" s="125">
        <f>AD124/'סכום נכסים'!$B$30</f>
        <v>2.8453949167737175E-5</v>
      </c>
    </row>
    <row r="125" spans="1:36" x14ac:dyDescent="0.3">
      <c r="A125">
        <v>13908</v>
      </c>
      <c r="B125">
        <v>13908</v>
      </c>
      <c r="C125" t="s">
        <v>1682</v>
      </c>
      <c r="D125">
        <v>520039868</v>
      </c>
      <c r="E125" t="s">
        <v>420</v>
      </c>
      <c r="F125" t="s">
        <v>1683</v>
      </c>
      <c r="G125" t="s">
        <v>1684</v>
      </c>
      <c r="H125" t="s">
        <v>75</v>
      </c>
      <c r="I125" t="s">
        <v>224</v>
      </c>
      <c r="J125" t="s">
        <v>52</v>
      </c>
      <c r="K125" t="s">
        <v>52</v>
      </c>
      <c r="L125" t="s">
        <v>775</v>
      </c>
      <c r="M125" t="s">
        <v>303</v>
      </c>
      <c r="N125" t="s">
        <v>616</v>
      </c>
      <c r="O125" t="s">
        <v>61</v>
      </c>
      <c r="P125" t="s">
        <v>290</v>
      </c>
      <c r="Q125" t="s">
        <v>290</v>
      </c>
      <c r="R125" t="s">
        <v>290</v>
      </c>
      <c r="S125" t="s">
        <v>1258</v>
      </c>
      <c r="T125" s="126">
        <v>1.8720000000000001</v>
      </c>
      <c r="U125" s="127">
        <v>47573</v>
      </c>
      <c r="V125" s="125">
        <v>5.7500000000000002E-2</v>
      </c>
      <c r="W125" s="125">
        <v>5.1499999999999997E-2</v>
      </c>
      <c r="X125" t="s">
        <v>607</v>
      </c>
      <c r="Z125" s="124">
        <v>384000</v>
      </c>
      <c r="AA125" s="124">
        <v>1</v>
      </c>
      <c r="AB125" s="124">
        <v>102.63</v>
      </c>
      <c r="AC125" s="124">
        <v>0</v>
      </c>
      <c r="AD125" s="124">
        <v>394.0992</v>
      </c>
      <c r="AE125" s="124"/>
      <c r="AF125" s="124"/>
      <c r="AG125" t="s">
        <v>16</v>
      </c>
      <c r="AH125" s="125">
        <v>1.170407932E-3</v>
      </c>
      <c r="AI125" s="125">
        <v>5.8810225300000003E-4</v>
      </c>
      <c r="AJ125" s="125">
        <f>AD125/'סכום נכסים'!$B$30</f>
        <v>7.0953348284409E-5</v>
      </c>
    </row>
    <row r="126" spans="1:36" x14ac:dyDescent="0.3">
      <c r="A126">
        <v>13908</v>
      </c>
      <c r="B126">
        <v>13908</v>
      </c>
      <c r="C126" t="s">
        <v>1550</v>
      </c>
      <c r="D126">
        <v>520029935</v>
      </c>
      <c r="E126" t="s">
        <v>420</v>
      </c>
      <c r="F126" t="s">
        <v>1685</v>
      </c>
      <c r="G126" t="s">
        <v>1686</v>
      </c>
      <c r="H126" t="s">
        <v>75</v>
      </c>
      <c r="I126" t="s">
        <v>225</v>
      </c>
      <c r="J126" t="s">
        <v>52</v>
      </c>
      <c r="K126" t="s">
        <v>52</v>
      </c>
      <c r="L126" t="s">
        <v>775</v>
      </c>
      <c r="M126" t="s">
        <v>303</v>
      </c>
      <c r="N126" t="s">
        <v>251</v>
      </c>
      <c r="O126" t="s">
        <v>61</v>
      </c>
      <c r="P126" t="s">
        <v>1257</v>
      </c>
      <c r="Q126" t="s">
        <v>64</v>
      </c>
      <c r="R126" t="s">
        <v>56</v>
      </c>
      <c r="S126" t="s">
        <v>1258</v>
      </c>
      <c r="T126" s="126">
        <v>4.4880000000000004</v>
      </c>
      <c r="U126" s="127">
        <v>49388</v>
      </c>
      <c r="V126" s="125">
        <v>2.1100000000000001E-2</v>
      </c>
      <c r="W126" s="125">
        <v>2.2800000000000001E-2</v>
      </c>
      <c r="X126" t="s">
        <v>607</v>
      </c>
      <c r="Z126" s="124">
        <v>1670340</v>
      </c>
      <c r="AA126" s="124">
        <v>1</v>
      </c>
      <c r="AB126" s="124">
        <v>107</v>
      </c>
      <c r="AC126" s="124">
        <v>0</v>
      </c>
      <c r="AD126" s="124">
        <v>1787.2637999999999</v>
      </c>
      <c r="AE126" s="124"/>
      <c r="AF126" s="124"/>
      <c r="AG126" t="s">
        <v>16</v>
      </c>
      <c r="AH126" s="125">
        <v>7.1250358000000003E-4</v>
      </c>
      <c r="AI126" s="125">
        <v>2.6670794280000002E-3</v>
      </c>
      <c r="AJ126" s="125">
        <f>AD126/'סכום נכסים'!$B$30</f>
        <v>3.2177774245041937E-4</v>
      </c>
    </row>
    <row r="127" spans="1:36" x14ac:dyDescent="0.3">
      <c r="A127">
        <v>13908</v>
      </c>
      <c r="B127">
        <v>13908</v>
      </c>
      <c r="C127" t="s">
        <v>1687</v>
      </c>
      <c r="D127">
        <v>514401702</v>
      </c>
      <c r="E127" t="s">
        <v>420</v>
      </c>
      <c r="F127" t="s">
        <v>1688</v>
      </c>
      <c r="G127" t="s">
        <v>1689</v>
      </c>
      <c r="H127" t="s">
        <v>75</v>
      </c>
      <c r="I127" t="s">
        <v>224</v>
      </c>
      <c r="J127" t="s">
        <v>52</v>
      </c>
      <c r="K127" t="s">
        <v>52</v>
      </c>
      <c r="L127" t="s">
        <v>775</v>
      </c>
      <c r="M127" t="s">
        <v>303</v>
      </c>
      <c r="N127" t="s">
        <v>154</v>
      </c>
      <c r="O127" t="s">
        <v>61</v>
      </c>
      <c r="P127" t="s">
        <v>1395</v>
      </c>
      <c r="Q127" t="s">
        <v>64</v>
      </c>
      <c r="R127" t="s">
        <v>56</v>
      </c>
      <c r="S127" t="s">
        <v>1258</v>
      </c>
      <c r="T127" s="126">
        <v>4.907</v>
      </c>
      <c r="U127" s="127">
        <v>49212</v>
      </c>
      <c r="V127" s="125">
        <v>6.2E-2</v>
      </c>
      <c r="W127" s="125">
        <v>4.1799999999999997E-2</v>
      </c>
      <c r="X127" t="s">
        <v>607</v>
      </c>
      <c r="Z127" s="124">
        <v>632775</v>
      </c>
      <c r="AA127" s="124">
        <v>1</v>
      </c>
      <c r="AB127" s="124">
        <v>111.98</v>
      </c>
      <c r="AC127" s="124">
        <v>0</v>
      </c>
      <c r="AD127" s="124">
        <v>708.58144000000004</v>
      </c>
      <c r="AE127" s="124"/>
      <c r="AF127" s="124"/>
      <c r="AG127" t="s">
        <v>16</v>
      </c>
      <c r="AH127" s="125">
        <v>9.8587869199999998E-4</v>
      </c>
      <c r="AI127" s="125">
        <v>1.0573945389999999E-3</v>
      </c>
      <c r="AJ127" s="125">
        <f>AD127/'סכום נכסים'!$B$30</f>
        <v>1.2757251397665375E-4</v>
      </c>
    </row>
    <row r="128" spans="1:36" x14ac:dyDescent="0.3">
      <c r="A128">
        <v>13908</v>
      </c>
      <c r="B128">
        <v>13908</v>
      </c>
      <c r="C128" t="s">
        <v>1690</v>
      </c>
      <c r="D128">
        <v>520033234</v>
      </c>
      <c r="E128" t="s">
        <v>420</v>
      </c>
      <c r="F128" t="s">
        <v>1691</v>
      </c>
      <c r="G128" t="s">
        <v>1692</v>
      </c>
      <c r="H128" t="s">
        <v>75</v>
      </c>
      <c r="I128" t="s">
        <v>225</v>
      </c>
      <c r="J128" t="s">
        <v>52</v>
      </c>
      <c r="K128" t="s">
        <v>52</v>
      </c>
      <c r="L128" t="s">
        <v>775</v>
      </c>
      <c r="M128" t="s">
        <v>303</v>
      </c>
      <c r="N128" t="s">
        <v>621</v>
      </c>
      <c r="O128" t="s">
        <v>61</v>
      </c>
      <c r="P128" t="s">
        <v>1360</v>
      </c>
      <c r="Q128" t="s">
        <v>64</v>
      </c>
      <c r="R128" t="s">
        <v>56</v>
      </c>
      <c r="S128" t="s">
        <v>1258</v>
      </c>
      <c r="T128" s="126">
        <v>3.2719999999999998</v>
      </c>
      <c r="U128" s="127">
        <v>48121</v>
      </c>
      <c r="V128" s="125">
        <v>4.8300000000000003E-2</v>
      </c>
      <c r="W128" s="125">
        <v>4.0800000000000003E-2</v>
      </c>
      <c r="X128" t="s">
        <v>607</v>
      </c>
      <c r="Z128" s="124">
        <v>62000</v>
      </c>
      <c r="AA128" s="124">
        <v>1</v>
      </c>
      <c r="AB128" s="124">
        <v>111.26</v>
      </c>
      <c r="AC128" s="124">
        <v>0</v>
      </c>
      <c r="AD128" s="124">
        <v>68.981200000000001</v>
      </c>
      <c r="AE128" s="124"/>
      <c r="AF128" s="124"/>
      <c r="AG128" t="s">
        <v>16</v>
      </c>
      <c r="AH128" s="125">
        <v>1.58372908E-4</v>
      </c>
      <c r="AI128" s="125">
        <v>1.0293854700000001E-4</v>
      </c>
      <c r="AJ128" s="125">
        <f>AD128/'סכום נכסים'!$B$30</f>
        <v>1.2419327693830574E-5</v>
      </c>
    </row>
    <row r="129" spans="1:36" x14ac:dyDescent="0.3">
      <c r="A129">
        <v>13908</v>
      </c>
      <c r="B129">
        <v>13908</v>
      </c>
      <c r="C129" t="s">
        <v>1693</v>
      </c>
      <c r="D129">
        <v>514625094</v>
      </c>
      <c r="E129" t="s">
        <v>420</v>
      </c>
      <c r="F129" t="s">
        <v>1694</v>
      </c>
      <c r="G129" t="s">
        <v>1695</v>
      </c>
      <c r="H129" t="s">
        <v>75</v>
      </c>
      <c r="I129" t="s">
        <v>224</v>
      </c>
      <c r="J129" t="s">
        <v>52</v>
      </c>
      <c r="K129" t="s">
        <v>52</v>
      </c>
      <c r="L129" t="s">
        <v>775</v>
      </c>
      <c r="M129" t="s">
        <v>303</v>
      </c>
      <c r="N129" t="s">
        <v>138</v>
      </c>
      <c r="O129" t="s">
        <v>61</v>
      </c>
      <c r="P129" t="s">
        <v>290</v>
      </c>
      <c r="Q129" t="s">
        <v>290</v>
      </c>
      <c r="R129" t="s">
        <v>290</v>
      </c>
      <c r="S129" t="s">
        <v>1258</v>
      </c>
      <c r="T129" s="126">
        <v>1.321</v>
      </c>
      <c r="U129" s="127">
        <v>46757</v>
      </c>
      <c r="V129" s="125">
        <v>7.5999999999999998E-2</v>
      </c>
      <c r="W129" s="125">
        <v>6.3200000000000006E-2</v>
      </c>
      <c r="X129" t="s">
        <v>607</v>
      </c>
      <c r="Z129" s="124">
        <v>171000</v>
      </c>
      <c r="AA129" s="124">
        <v>1</v>
      </c>
      <c r="AB129" s="124">
        <v>101.66</v>
      </c>
      <c r="AC129" s="124">
        <v>6.4980000000000002</v>
      </c>
      <c r="AD129" s="124">
        <v>180.3366</v>
      </c>
      <c r="AE129" s="124"/>
      <c r="AF129" s="124"/>
      <c r="AG129" t="s">
        <v>16</v>
      </c>
      <c r="AH129" s="125">
        <v>1.1126510369999999E-3</v>
      </c>
      <c r="AI129" s="125">
        <v>2.6911082499999999E-4</v>
      </c>
      <c r="AJ129" s="125">
        <f>AD129/'סכום נכסים'!$B$30</f>
        <v>3.2467677143790583E-5</v>
      </c>
    </row>
    <row r="130" spans="1:36" x14ac:dyDescent="0.3">
      <c r="A130">
        <v>13908</v>
      </c>
      <c r="B130">
        <v>13908</v>
      </c>
      <c r="C130" t="s">
        <v>1541</v>
      </c>
      <c r="D130">
        <v>1630</v>
      </c>
      <c r="E130" t="s">
        <v>2</v>
      </c>
      <c r="F130" t="s">
        <v>1696</v>
      </c>
      <c r="G130" t="s">
        <v>1697</v>
      </c>
      <c r="H130" t="s">
        <v>75</v>
      </c>
      <c r="I130" t="s">
        <v>224</v>
      </c>
      <c r="J130" t="s">
        <v>52</v>
      </c>
      <c r="K130" t="s">
        <v>306</v>
      </c>
      <c r="L130" t="s">
        <v>775</v>
      </c>
      <c r="M130" t="s">
        <v>303</v>
      </c>
      <c r="N130" t="s">
        <v>621</v>
      </c>
      <c r="O130" t="s">
        <v>61</v>
      </c>
      <c r="P130" t="s">
        <v>1353</v>
      </c>
      <c r="Q130" t="s">
        <v>64</v>
      </c>
      <c r="R130" t="s">
        <v>56</v>
      </c>
      <c r="S130" t="s">
        <v>1258</v>
      </c>
      <c r="T130" s="126">
        <v>1.5089999999999999</v>
      </c>
      <c r="U130" s="127">
        <v>46798</v>
      </c>
      <c r="V130" s="125">
        <v>5.8999999999999997E-2</v>
      </c>
      <c r="W130" s="125">
        <v>4.8800000000000003E-2</v>
      </c>
      <c r="X130" t="s">
        <v>607</v>
      </c>
      <c r="Z130" s="124">
        <v>350562.5</v>
      </c>
      <c r="AA130" s="124">
        <v>1</v>
      </c>
      <c r="AB130" s="124">
        <v>103.83</v>
      </c>
      <c r="AC130" s="124">
        <v>0</v>
      </c>
      <c r="AD130" s="124">
        <v>363.98903999999999</v>
      </c>
      <c r="AE130" s="124"/>
      <c r="AF130" s="124"/>
      <c r="AG130" t="s">
        <v>16</v>
      </c>
      <c r="AH130" s="125">
        <v>5.4615384600000005E-4</v>
      </c>
      <c r="AI130" s="125">
        <v>5.4316977699999996E-4</v>
      </c>
      <c r="AJ130" s="125">
        <f>AD130/'סכום נכסים'!$B$30</f>
        <v>6.5532335835311717E-5</v>
      </c>
    </row>
    <row r="131" spans="1:36" x14ac:dyDescent="0.3">
      <c r="A131">
        <v>13908</v>
      </c>
      <c r="B131">
        <v>13908</v>
      </c>
      <c r="C131" t="s">
        <v>1874</v>
      </c>
      <c r="D131">
        <v>550263107</v>
      </c>
      <c r="E131" t="s">
        <v>420</v>
      </c>
      <c r="F131" t="s">
        <v>1699</v>
      </c>
      <c r="G131" t="s">
        <v>1700</v>
      </c>
      <c r="H131" t="s">
        <v>75</v>
      </c>
      <c r="I131" t="s">
        <v>224</v>
      </c>
      <c r="J131" t="s">
        <v>52</v>
      </c>
      <c r="K131" t="s">
        <v>52</v>
      </c>
      <c r="L131" t="s">
        <v>775</v>
      </c>
      <c r="M131" t="s">
        <v>303</v>
      </c>
      <c r="N131" t="s">
        <v>260</v>
      </c>
      <c r="O131" t="s">
        <v>61</v>
      </c>
      <c r="P131" t="s">
        <v>1472</v>
      </c>
      <c r="Q131" t="s">
        <v>64</v>
      </c>
      <c r="R131" t="s">
        <v>56</v>
      </c>
      <c r="S131" t="s">
        <v>1258</v>
      </c>
      <c r="T131" s="126">
        <v>2.31</v>
      </c>
      <c r="U131" s="127">
        <v>47391</v>
      </c>
      <c r="V131" s="125">
        <v>6.7000000000000004E-2</v>
      </c>
      <c r="W131" s="125">
        <v>4.1799999999999997E-2</v>
      </c>
      <c r="X131" t="s">
        <v>607</v>
      </c>
      <c r="Z131" s="124">
        <v>2623555.41</v>
      </c>
      <c r="AA131" s="124">
        <v>1</v>
      </c>
      <c r="AB131" s="124">
        <v>107.65</v>
      </c>
      <c r="AC131" s="124">
        <v>0</v>
      </c>
      <c r="AD131" s="124">
        <v>2824.2574</v>
      </c>
      <c r="AE131" s="124"/>
      <c r="AF131" s="124"/>
      <c r="AG131" t="s">
        <v>16</v>
      </c>
      <c r="AH131" s="125">
        <v>5.5820329649999998E-3</v>
      </c>
      <c r="AI131" s="125">
        <v>4.2145534480000002E-3</v>
      </c>
      <c r="AJ131" s="125">
        <f>AD131/'סכום נכסים'!$B$30</f>
        <v>5.0847735531312779E-4</v>
      </c>
    </row>
    <row r="132" spans="1:36" x14ac:dyDescent="0.3">
      <c r="A132">
        <v>13908</v>
      </c>
      <c r="B132">
        <v>13908</v>
      </c>
      <c r="C132" t="s">
        <v>1350</v>
      </c>
      <c r="D132">
        <v>520026683</v>
      </c>
      <c r="E132" t="s">
        <v>420</v>
      </c>
      <c r="F132" t="s">
        <v>1701</v>
      </c>
      <c r="G132" t="s">
        <v>1702</v>
      </c>
      <c r="H132" t="s">
        <v>75</v>
      </c>
      <c r="I132" t="s">
        <v>225</v>
      </c>
      <c r="J132" t="s">
        <v>52</v>
      </c>
      <c r="K132" t="s">
        <v>52</v>
      </c>
      <c r="L132" t="s">
        <v>775</v>
      </c>
      <c r="M132" t="s">
        <v>303</v>
      </c>
      <c r="N132" t="s">
        <v>620</v>
      </c>
      <c r="O132" t="s">
        <v>61</v>
      </c>
      <c r="P132" t="s">
        <v>1353</v>
      </c>
      <c r="Q132" t="s">
        <v>64</v>
      </c>
      <c r="R132" t="s">
        <v>56</v>
      </c>
      <c r="S132" t="s">
        <v>1258</v>
      </c>
      <c r="T132" s="126">
        <v>7.4889999999999999</v>
      </c>
      <c r="U132" s="127">
        <v>50045</v>
      </c>
      <c r="V132" s="125">
        <v>3.2000000000000001E-2</v>
      </c>
      <c r="W132" s="125">
        <v>2.6800000000000001E-2</v>
      </c>
      <c r="X132" t="s">
        <v>607</v>
      </c>
      <c r="Z132" s="124">
        <v>497000</v>
      </c>
      <c r="AA132" s="124">
        <v>1</v>
      </c>
      <c r="AB132" s="124">
        <v>112.59</v>
      </c>
      <c r="AC132" s="124">
        <v>0</v>
      </c>
      <c r="AD132" s="124">
        <v>559.57230000000004</v>
      </c>
      <c r="AE132" s="124"/>
      <c r="AF132" s="124"/>
      <c r="AG132" t="s">
        <v>16</v>
      </c>
      <c r="AH132" s="125">
        <v>3.8510652800000003E-4</v>
      </c>
      <c r="AI132" s="125">
        <v>8.35032729E-4</v>
      </c>
      <c r="AJ132" s="125">
        <f>AD132/'סכום נכסים'!$B$30</f>
        <v>1.0074501113477978E-4</v>
      </c>
    </row>
    <row r="133" spans="1:36" x14ac:dyDescent="0.3">
      <c r="A133">
        <v>13908</v>
      </c>
      <c r="B133">
        <v>13908</v>
      </c>
      <c r="C133" t="s">
        <v>1350</v>
      </c>
      <c r="D133">
        <v>520026683</v>
      </c>
      <c r="E133" t="s">
        <v>420</v>
      </c>
      <c r="F133" t="s">
        <v>1703</v>
      </c>
      <c r="G133" t="s">
        <v>1704</v>
      </c>
      <c r="H133" t="s">
        <v>75</v>
      </c>
      <c r="I133" t="s">
        <v>224</v>
      </c>
      <c r="J133" t="s">
        <v>52</v>
      </c>
      <c r="K133" t="s">
        <v>52</v>
      </c>
      <c r="L133" t="s">
        <v>775</v>
      </c>
      <c r="M133" t="s">
        <v>303</v>
      </c>
      <c r="N133" t="s">
        <v>620</v>
      </c>
      <c r="O133" t="s">
        <v>61</v>
      </c>
      <c r="P133" t="s">
        <v>1353</v>
      </c>
      <c r="Q133" t="s">
        <v>64</v>
      </c>
      <c r="R133" t="s">
        <v>56</v>
      </c>
      <c r="S133" t="s">
        <v>1258</v>
      </c>
      <c r="T133" s="126">
        <v>6.867</v>
      </c>
      <c r="U133" s="127">
        <v>50045</v>
      </c>
      <c r="V133" s="125">
        <v>5.79E-2</v>
      </c>
      <c r="W133" s="125">
        <v>4.2500000000000003E-2</v>
      </c>
      <c r="X133" t="s">
        <v>607</v>
      </c>
      <c r="Z133" s="124">
        <v>1200000</v>
      </c>
      <c r="AA133" s="124">
        <v>1</v>
      </c>
      <c r="AB133" s="124">
        <v>113.52</v>
      </c>
      <c r="AC133" s="124">
        <v>0</v>
      </c>
      <c r="AD133" s="124">
        <v>1362.24</v>
      </c>
      <c r="AE133" s="124"/>
      <c r="AF133" s="124"/>
      <c r="AG133" t="s">
        <v>16</v>
      </c>
      <c r="AH133" s="125">
        <v>1.052816872E-3</v>
      </c>
      <c r="AI133" s="125">
        <v>2.0328293339999999E-3</v>
      </c>
      <c r="AJ133" s="125">
        <f>AD133/'סכום נכסים'!$B$30</f>
        <v>2.4525675050077064E-4</v>
      </c>
    </row>
    <row r="134" spans="1:36" x14ac:dyDescent="0.3">
      <c r="A134">
        <v>13908</v>
      </c>
      <c r="B134">
        <v>13908</v>
      </c>
      <c r="C134" t="s">
        <v>1373</v>
      </c>
      <c r="D134">
        <v>513992529</v>
      </c>
      <c r="E134" t="s">
        <v>420</v>
      </c>
      <c r="F134" t="s">
        <v>1705</v>
      </c>
      <c r="G134" t="s">
        <v>1706</v>
      </c>
      <c r="H134" t="s">
        <v>75</v>
      </c>
      <c r="I134" t="s">
        <v>225</v>
      </c>
      <c r="J134" t="s">
        <v>52</v>
      </c>
      <c r="K134" t="s">
        <v>52</v>
      </c>
      <c r="L134" t="s">
        <v>775</v>
      </c>
      <c r="M134" t="s">
        <v>303</v>
      </c>
      <c r="N134" t="s">
        <v>620</v>
      </c>
      <c r="O134" t="s">
        <v>61</v>
      </c>
      <c r="P134" t="s">
        <v>1353</v>
      </c>
      <c r="Q134" t="s">
        <v>64</v>
      </c>
      <c r="R134" t="s">
        <v>56</v>
      </c>
      <c r="S134" t="s">
        <v>1258</v>
      </c>
      <c r="T134" s="126">
        <v>6.7439999999999998</v>
      </c>
      <c r="U134" s="127">
        <v>50140</v>
      </c>
      <c r="V134" s="125">
        <v>0.03</v>
      </c>
      <c r="W134" s="125">
        <v>2.6800000000000001E-2</v>
      </c>
      <c r="X134" t="s">
        <v>607</v>
      </c>
      <c r="Z134" s="124">
        <v>609959.98</v>
      </c>
      <c r="AA134" s="124">
        <v>1</v>
      </c>
      <c r="AB134" s="124">
        <v>109.89</v>
      </c>
      <c r="AC134" s="124">
        <v>0</v>
      </c>
      <c r="AD134" s="124">
        <v>670.28502000000003</v>
      </c>
      <c r="AE134" s="124"/>
      <c r="AF134" s="124"/>
      <c r="AG134" t="s">
        <v>16</v>
      </c>
      <c r="AH134" s="125">
        <v>5.7138414700000004E-4</v>
      </c>
      <c r="AI134" s="125">
        <v>1.000245955E-3</v>
      </c>
      <c r="AJ134" s="125">
        <f>AD134/'סכום נכסים'!$B$30</f>
        <v>1.2067765292058967E-4</v>
      </c>
    </row>
    <row r="135" spans="1:36" x14ac:dyDescent="0.3">
      <c r="A135">
        <v>13908</v>
      </c>
      <c r="B135">
        <v>13908</v>
      </c>
      <c r="C135" t="s">
        <v>1490</v>
      </c>
      <c r="D135">
        <v>515364891</v>
      </c>
      <c r="E135" t="s">
        <v>420</v>
      </c>
      <c r="F135" t="s">
        <v>1707</v>
      </c>
      <c r="G135" t="s">
        <v>1708</v>
      </c>
      <c r="H135" t="s">
        <v>75</v>
      </c>
      <c r="I135" t="s">
        <v>225</v>
      </c>
      <c r="J135" t="s">
        <v>52</v>
      </c>
      <c r="K135" t="s">
        <v>52</v>
      </c>
      <c r="L135" t="s">
        <v>775</v>
      </c>
      <c r="M135" t="s">
        <v>303</v>
      </c>
      <c r="N135" t="s">
        <v>616</v>
      </c>
      <c r="O135" t="s">
        <v>61</v>
      </c>
      <c r="P135" t="s">
        <v>290</v>
      </c>
      <c r="Q135" t="s">
        <v>290</v>
      </c>
      <c r="R135" t="s">
        <v>290</v>
      </c>
      <c r="S135" t="s">
        <v>1258</v>
      </c>
      <c r="T135" s="126">
        <v>3.0150000000000001</v>
      </c>
      <c r="U135" s="127">
        <v>48060</v>
      </c>
      <c r="V135" s="125">
        <v>4.7E-2</v>
      </c>
      <c r="W135" s="125">
        <v>3.0200000000000001E-2</v>
      </c>
      <c r="X135" t="s">
        <v>607</v>
      </c>
      <c r="Z135" s="124">
        <v>1300000</v>
      </c>
      <c r="AA135" s="124">
        <v>1</v>
      </c>
      <c r="AB135" s="124">
        <v>114.44</v>
      </c>
      <c r="AC135" s="124">
        <v>0</v>
      </c>
      <c r="AD135" s="124">
        <v>1487.72</v>
      </c>
      <c r="AE135" s="124"/>
      <c r="AF135" s="124"/>
      <c r="AG135" t="s">
        <v>16</v>
      </c>
      <c r="AH135" s="125">
        <v>2.3696645400000001E-3</v>
      </c>
      <c r="AI135" s="125">
        <v>2.2200793219999998E-3</v>
      </c>
      <c r="AJ135" s="125">
        <f>AD135/'סכום נכסים'!$B$30</f>
        <v>2.6784808319753241E-4</v>
      </c>
    </row>
    <row r="136" spans="1:36" x14ac:dyDescent="0.3">
      <c r="A136">
        <v>13908</v>
      </c>
      <c r="B136">
        <v>13908</v>
      </c>
      <c r="C136" t="s">
        <v>1597</v>
      </c>
      <c r="D136">
        <v>520025438</v>
      </c>
      <c r="E136" t="s">
        <v>420</v>
      </c>
      <c r="F136" t="s">
        <v>1709</v>
      </c>
      <c r="G136" t="s">
        <v>1710</v>
      </c>
      <c r="H136" t="s">
        <v>75</v>
      </c>
      <c r="I136" t="s">
        <v>224</v>
      </c>
      <c r="J136" t="s">
        <v>52</v>
      </c>
      <c r="K136" t="s">
        <v>52</v>
      </c>
      <c r="L136" t="s">
        <v>775</v>
      </c>
      <c r="M136" t="s">
        <v>303</v>
      </c>
      <c r="N136" t="s">
        <v>620</v>
      </c>
      <c r="O136" t="s">
        <v>61</v>
      </c>
      <c r="P136" t="s">
        <v>1395</v>
      </c>
      <c r="Q136" t="s">
        <v>64</v>
      </c>
      <c r="R136" t="s">
        <v>56</v>
      </c>
      <c r="S136" t="s">
        <v>1258</v>
      </c>
      <c r="T136" s="126">
        <v>1.4350000000000001</v>
      </c>
      <c r="U136" s="127">
        <v>46745</v>
      </c>
      <c r="V136" s="125">
        <v>6.6299999999999998E-2</v>
      </c>
      <c r="W136" s="125">
        <v>4.1099999999999998E-2</v>
      </c>
      <c r="X136" t="s">
        <v>607</v>
      </c>
      <c r="Z136" s="124">
        <v>2415100</v>
      </c>
      <c r="AA136" s="124">
        <v>1</v>
      </c>
      <c r="AB136" s="124">
        <v>103.76</v>
      </c>
      <c r="AC136" s="124">
        <v>0</v>
      </c>
      <c r="AD136" s="124">
        <v>2505.9077600000001</v>
      </c>
      <c r="AE136" s="124"/>
      <c r="AF136" s="124"/>
      <c r="AG136" t="s">
        <v>16</v>
      </c>
      <c r="AH136" s="125">
        <v>1.8243375430000001E-3</v>
      </c>
      <c r="AI136" s="125">
        <v>3.739489959E-3</v>
      </c>
      <c r="AJ136" s="125">
        <f>AD136/'סכום נכסים'!$B$30</f>
        <v>4.5116190559098626E-4</v>
      </c>
    </row>
    <row r="137" spans="1:36" x14ac:dyDescent="0.3">
      <c r="A137">
        <v>13908</v>
      </c>
      <c r="B137">
        <v>13908</v>
      </c>
      <c r="C137" t="s">
        <v>1556</v>
      </c>
      <c r="D137">
        <v>520020116</v>
      </c>
      <c r="E137" t="s">
        <v>420</v>
      </c>
      <c r="F137" t="s">
        <v>1711</v>
      </c>
      <c r="G137" t="s">
        <v>1712</v>
      </c>
      <c r="H137" t="s">
        <v>75</v>
      </c>
      <c r="I137" t="s">
        <v>225</v>
      </c>
      <c r="J137" t="s">
        <v>52</v>
      </c>
      <c r="K137" t="s">
        <v>52</v>
      </c>
      <c r="L137" t="s">
        <v>775</v>
      </c>
      <c r="M137" t="s">
        <v>303</v>
      </c>
      <c r="N137" t="s">
        <v>620</v>
      </c>
      <c r="O137" t="s">
        <v>61</v>
      </c>
      <c r="P137" t="s">
        <v>1472</v>
      </c>
      <c r="Q137" t="s">
        <v>64</v>
      </c>
      <c r="R137" t="s">
        <v>56</v>
      </c>
      <c r="S137" t="s">
        <v>1258</v>
      </c>
      <c r="T137" s="126">
        <v>3.39</v>
      </c>
      <c r="U137" s="127">
        <v>48029</v>
      </c>
      <c r="V137" s="125">
        <v>4.4499999999999998E-2</v>
      </c>
      <c r="W137" s="125">
        <v>2.8199999999999999E-2</v>
      </c>
      <c r="X137" t="s">
        <v>607</v>
      </c>
      <c r="Z137" s="124">
        <v>1796000</v>
      </c>
      <c r="AA137" s="124">
        <v>1</v>
      </c>
      <c r="AB137" s="124">
        <v>112.81</v>
      </c>
      <c r="AC137" s="124">
        <v>0</v>
      </c>
      <c r="AD137" s="124">
        <v>2026.0676000000001</v>
      </c>
      <c r="AE137" s="124"/>
      <c r="AF137" s="124"/>
      <c r="AG137" t="s">
        <v>16</v>
      </c>
      <c r="AH137" s="125">
        <v>3.3320964739999999E-3</v>
      </c>
      <c r="AI137" s="125">
        <v>3.0234390779999998E-3</v>
      </c>
      <c r="AJ137" s="125">
        <f>AD137/'סכום נכסים'!$B$30</f>
        <v>3.6477181397616811E-4</v>
      </c>
    </row>
    <row r="138" spans="1:36" x14ac:dyDescent="0.3">
      <c r="A138">
        <v>13908</v>
      </c>
      <c r="B138">
        <v>13908</v>
      </c>
      <c r="C138" t="s">
        <v>1431</v>
      </c>
      <c r="D138">
        <v>1665</v>
      </c>
      <c r="E138" t="s">
        <v>2</v>
      </c>
      <c r="F138" t="s">
        <v>1713</v>
      </c>
      <c r="G138" t="s">
        <v>1714</v>
      </c>
      <c r="H138" t="s">
        <v>75</v>
      </c>
      <c r="I138" t="s">
        <v>224</v>
      </c>
      <c r="J138" t="s">
        <v>52</v>
      </c>
      <c r="K138" t="s">
        <v>306</v>
      </c>
      <c r="L138" t="s">
        <v>775</v>
      </c>
      <c r="M138" t="s">
        <v>303</v>
      </c>
      <c r="N138" t="s">
        <v>621</v>
      </c>
      <c r="O138" t="s">
        <v>61</v>
      </c>
      <c r="P138" t="s">
        <v>1353</v>
      </c>
      <c r="Q138" t="s">
        <v>64</v>
      </c>
      <c r="R138" t="s">
        <v>56</v>
      </c>
      <c r="S138" t="s">
        <v>1258</v>
      </c>
      <c r="T138" s="126">
        <v>2.5790000000000002</v>
      </c>
      <c r="U138" s="127">
        <v>47223</v>
      </c>
      <c r="V138" s="125">
        <v>6.25E-2</v>
      </c>
      <c r="W138" s="125">
        <v>4.8000000000000001E-2</v>
      </c>
      <c r="X138" t="s">
        <v>607</v>
      </c>
      <c r="Z138" s="124">
        <v>476000</v>
      </c>
      <c r="AA138" s="124">
        <v>1</v>
      </c>
      <c r="AB138" s="124">
        <v>105.18</v>
      </c>
      <c r="AC138" s="124">
        <v>0</v>
      </c>
      <c r="AD138" s="124">
        <v>500.65679999999998</v>
      </c>
      <c r="AE138" s="124"/>
      <c r="AF138" s="124"/>
      <c r="AG138" t="s">
        <v>16</v>
      </c>
      <c r="AH138" s="125">
        <v>8.6545454499999998E-4</v>
      </c>
      <c r="AI138" s="125">
        <v>7.4711492000000001E-4</v>
      </c>
      <c r="AJ138" s="125">
        <f>AD138/'סכום נכסים'!$B$30</f>
        <v>9.0137905129870097E-5</v>
      </c>
    </row>
    <row r="139" spans="1:36" x14ac:dyDescent="0.3">
      <c r="A139">
        <v>13908</v>
      </c>
      <c r="B139">
        <v>13908</v>
      </c>
      <c r="C139" t="s">
        <v>1715</v>
      </c>
      <c r="D139">
        <v>2352</v>
      </c>
      <c r="E139" t="s">
        <v>2</v>
      </c>
      <c r="F139" t="s">
        <v>1716</v>
      </c>
      <c r="G139" t="s">
        <v>1717</v>
      </c>
      <c r="H139" t="s">
        <v>75</v>
      </c>
      <c r="I139" t="s">
        <v>224</v>
      </c>
      <c r="J139" t="s">
        <v>52</v>
      </c>
      <c r="K139" t="s">
        <v>306</v>
      </c>
      <c r="L139" t="s">
        <v>775</v>
      </c>
      <c r="M139" t="s">
        <v>303</v>
      </c>
      <c r="N139" t="s">
        <v>1211</v>
      </c>
      <c r="O139" t="s">
        <v>61</v>
      </c>
      <c r="P139" t="s">
        <v>1649</v>
      </c>
      <c r="Q139" t="s">
        <v>69</v>
      </c>
      <c r="R139" t="s">
        <v>56</v>
      </c>
      <c r="S139" t="s">
        <v>1258</v>
      </c>
      <c r="T139" s="126">
        <v>2.2010000000000001</v>
      </c>
      <c r="U139" s="127">
        <v>47119</v>
      </c>
      <c r="V139" s="125">
        <v>9.4E-2</v>
      </c>
      <c r="W139" s="125">
        <v>7.7799999999999994E-2</v>
      </c>
      <c r="X139" t="s">
        <v>607</v>
      </c>
      <c r="Z139" s="124">
        <v>1861050</v>
      </c>
      <c r="AA139" s="124">
        <v>1</v>
      </c>
      <c r="AB139" s="124">
        <v>103.75</v>
      </c>
      <c r="AC139" s="124">
        <v>83.796229999999994</v>
      </c>
      <c r="AD139" s="124">
        <v>2014.63561</v>
      </c>
      <c r="AE139" s="124"/>
      <c r="AF139" s="124"/>
      <c r="AG139" t="s">
        <v>16</v>
      </c>
      <c r="AH139" s="125">
        <v>6.7797814200000004E-3</v>
      </c>
      <c r="AI139" s="125">
        <v>3.0063794669999999E-3</v>
      </c>
      <c r="AJ139" s="125">
        <f>AD139/'סכום נכסים'!$B$30</f>
        <v>3.6271360637753843E-4</v>
      </c>
    </row>
    <row r="140" spans="1:36" x14ac:dyDescent="0.3">
      <c r="A140">
        <v>13908</v>
      </c>
      <c r="B140">
        <v>13908</v>
      </c>
      <c r="C140" t="s">
        <v>1718</v>
      </c>
      <c r="D140">
        <v>520039660</v>
      </c>
      <c r="E140" t="s">
        <v>420</v>
      </c>
      <c r="F140" t="s">
        <v>1719</v>
      </c>
      <c r="G140" t="s">
        <v>1720</v>
      </c>
      <c r="H140" t="s">
        <v>75</v>
      </c>
      <c r="I140" t="s">
        <v>224</v>
      </c>
      <c r="J140" t="s">
        <v>52</v>
      </c>
      <c r="K140" t="s">
        <v>52</v>
      </c>
      <c r="L140" t="s">
        <v>775</v>
      </c>
      <c r="M140" t="s">
        <v>303</v>
      </c>
      <c r="N140" t="s">
        <v>138</v>
      </c>
      <c r="O140" t="s">
        <v>61</v>
      </c>
      <c r="P140" t="s">
        <v>290</v>
      </c>
      <c r="Q140" t="s">
        <v>290</v>
      </c>
      <c r="R140" t="s">
        <v>290</v>
      </c>
      <c r="S140" t="s">
        <v>1258</v>
      </c>
      <c r="T140" s="126">
        <v>3.47</v>
      </c>
      <c r="U140" s="127">
        <v>48914</v>
      </c>
      <c r="V140" s="125">
        <v>6.7299999999999999E-2</v>
      </c>
      <c r="W140" s="125">
        <v>4.6300000000000001E-2</v>
      </c>
      <c r="X140" t="s">
        <v>607</v>
      </c>
      <c r="Z140" s="124">
        <v>157531.51</v>
      </c>
      <c r="AA140" s="124">
        <v>1</v>
      </c>
      <c r="AB140" s="124">
        <v>108</v>
      </c>
      <c r="AC140" s="124">
        <v>0</v>
      </c>
      <c r="AD140" s="124">
        <v>170.13403</v>
      </c>
      <c r="AE140" s="124"/>
      <c r="AF140" s="124"/>
      <c r="AG140" t="s">
        <v>16</v>
      </c>
      <c r="AH140" s="125">
        <v>6.4912913400000003E-4</v>
      </c>
      <c r="AI140" s="125">
        <v>2.5388583999999998E-4</v>
      </c>
      <c r="AJ140" s="125">
        <f>AD140/'סכום נכסים'!$B$30</f>
        <v>3.0630813474424943E-5</v>
      </c>
    </row>
    <row r="141" spans="1:36" x14ac:dyDescent="0.3">
      <c r="A141">
        <v>13908</v>
      </c>
      <c r="B141">
        <v>13908</v>
      </c>
      <c r="C141" t="s">
        <v>1721</v>
      </c>
      <c r="D141">
        <v>1729</v>
      </c>
      <c r="E141" t="s">
        <v>2</v>
      </c>
      <c r="F141" t="s">
        <v>1722</v>
      </c>
      <c r="G141" t="s">
        <v>1723</v>
      </c>
      <c r="H141" t="s">
        <v>75</v>
      </c>
      <c r="I141" t="s">
        <v>224</v>
      </c>
      <c r="J141" t="s">
        <v>52</v>
      </c>
      <c r="K141" t="s">
        <v>306</v>
      </c>
      <c r="L141" t="s">
        <v>775</v>
      </c>
      <c r="M141" t="s">
        <v>303</v>
      </c>
      <c r="N141" t="s">
        <v>621</v>
      </c>
      <c r="O141" t="s">
        <v>61</v>
      </c>
      <c r="P141" t="s">
        <v>1360</v>
      </c>
      <c r="Q141" t="s">
        <v>64</v>
      </c>
      <c r="R141" t="s">
        <v>56</v>
      </c>
      <c r="S141" t="s">
        <v>1258</v>
      </c>
      <c r="T141" s="126">
        <v>2.1920000000000002</v>
      </c>
      <c r="U141" s="127">
        <v>47118</v>
      </c>
      <c r="V141" s="125">
        <v>7.8799999999999995E-2</v>
      </c>
      <c r="W141" s="125">
        <v>8.1100000000000005E-2</v>
      </c>
      <c r="X141" t="s">
        <v>607</v>
      </c>
      <c r="Z141" s="124">
        <v>2346383.7400000002</v>
      </c>
      <c r="AA141" s="124">
        <v>1</v>
      </c>
      <c r="AB141" s="124">
        <v>99.98</v>
      </c>
      <c r="AC141" s="124">
        <v>0</v>
      </c>
      <c r="AD141" s="124">
        <v>2345.91446</v>
      </c>
      <c r="AE141" s="124"/>
      <c r="AF141" s="124"/>
      <c r="AG141" t="s">
        <v>16</v>
      </c>
      <c r="AH141" s="125">
        <v>6.5780511839999998E-3</v>
      </c>
      <c r="AI141" s="125">
        <v>3.5007368220000001E-3</v>
      </c>
      <c r="AJ141" s="125">
        <f>AD141/'סכום נכסים'!$B$30</f>
        <v>4.2235682215495813E-4</v>
      </c>
    </row>
    <row r="142" spans="1:36" x14ac:dyDescent="0.3">
      <c r="A142">
        <v>13908</v>
      </c>
      <c r="B142">
        <v>13908</v>
      </c>
      <c r="C142" t="s">
        <v>1724</v>
      </c>
      <c r="D142">
        <v>520025370</v>
      </c>
      <c r="E142" t="s">
        <v>420</v>
      </c>
      <c r="F142" t="s">
        <v>1725</v>
      </c>
      <c r="G142" t="s">
        <v>1726</v>
      </c>
      <c r="H142" t="s">
        <v>75</v>
      </c>
      <c r="I142" t="s">
        <v>224</v>
      </c>
      <c r="J142" t="s">
        <v>52</v>
      </c>
      <c r="K142" t="s">
        <v>52</v>
      </c>
      <c r="L142" t="s">
        <v>775</v>
      </c>
      <c r="M142" t="s">
        <v>303</v>
      </c>
      <c r="N142" t="s">
        <v>675</v>
      </c>
      <c r="O142" t="s">
        <v>61</v>
      </c>
      <c r="P142" t="s">
        <v>1349</v>
      </c>
      <c r="Q142" t="s">
        <v>64</v>
      </c>
      <c r="R142" t="s">
        <v>56</v>
      </c>
      <c r="S142" t="s">
        <v>1258</v>
      </c>
      <c r="T142" s="126">
        <v>3.1819999999999999</v>
      </c>
      <c r="U142" s="127">
        <v>48364</v>
      </c>
      <c r="V142" s="125">
        <v>5.9799999999999999E-2</v>
      </c>
      <c r="W142" s="125">
        <v>4.0099999999999997E-2</v>
      </c>
      <c r="X142" t="s">
        <v>607</v>
      </c>
      <c r="Z142" s="124">
        <v>1280600</v>
      </c>
      <c r="AA142" s="124">
        <v>1</v>
      </c>
      <c r="AB142" s="124">
        <v>106.89</v>
      </c>
      <c r="AC142" s="124">
        <v>0</v>
      </c>
      <c r="AD142" s="124">
        <v>1368.8333399999999</v>
      </c>
      <c r="AE142" s="124"/>
      <c r="AF142" s="124"/>
      <c r="AG142" t="s">
        <v>16</v>
      </c>
      <c r="AH142" s="125">
        <v>3.0857831319999998E-3</v>
      </c>
      <c r="AI142" s="125">
        <v>2.0426683739999999E-3</v>
      </c>
      <c r="AJ142" s="125">
        <f>AD142/'סכום נכסים'!$B$30</f>
        <v>2.4644381088906255E-4</v>
      </c>
    </row>
    <row r="143" spans="1:36" x14ac:dyDescent="0.3">
      <c r="A143">
        <v>13908</v>
      </c>
      <c r="B143">
        <v>13908</v>
      </c>
      <c r="C143" t="s">
        <v>1727</v>
      </c>
      <c r="D143">
        <v>520001736</v>
      </c>
      <c r="E143" t="s">
        <v>420</v>
      </c>
      <c r="F143" t="s">
        <v>1728</v>
      </c>
      <c r="G143" t="s">
        <v>1729</v>
      </c>
      <c r="H143" t="s">
        <v>75</v>
      </c>
      <c r="I143" t="s">
        <v>225</v>
      </c>
      <c r="J143" t="s">
        <v>52</v>
      </c>
      <c r="K143" t="s">
        <v>52</v>
      </c>
      <c r="L143" t="s">
        <v>775</v>
      </c>
      <c r="M143" t="s">
        <v>303</v>
      </c>
      <c r="N143" t="s">
        <v>620</v>
      </c>
      <c r="O143" t="s">
        <v>61</v>
      </c>
      <c r="P143" t="s">
        <v>1353</v>
      </c>
      <c r="Q143" t="s">
        <v>64</v>
      </c>
      <c r="R143" t="s">
        <v>56</v>
      </c>
      <c r="S143" t="s">
        <v>1258</v>
      </c>
      <c r="T143" s="126">
        <v>2.161</v>
      </c>
      <c r="U143" s="127">
        <v>47573</v>
      </c>
      <c r="V143" s="125">
        <v>3.3399999999999999E-2</v>
      </c>
      <c r="W143" s="125">
        <v>2.5000000000000001E-2</v>
      </c>
      <c r="X143" t="s">
        <v>607</v>
      </c>
      <c r="Z143" s="124">
        <v>1849000</v>
      </c>
      <c r="AA143" s="124">
        <v>1</v>
      </c>
      <c r="AB143" s="124">
        <v>107.91</v>
      </c>
      <c r="AC143" s="124">
        <v>0</v>
      </c>
      <c r="AD143" s="124">
        <v>1995.2559000000001</v>
      </c>
      <c r="AE143" s="124"/>
      <c r="AF143" s="124"/>
      <c r="AG143" t="s">
        <v>16</v>
      </c>
      <c r="AH143" s="125">
        <v>1.7183966949999999E-3</v>
      </c>
      <c r="AI143" s="125">
        <v>2.9774597150000002E-3</v>
      </c>
      <c r="AJ143" s="125">
        <f>AD143/'סכום נכסים'!$B$30</f>
        <v>3.5922449674909753E-4</v>
      </c>
    </row>
    <row r="144" spans="1:36" x14ac:dyDescent="0.3">
      <c r="A144">
        <v>13908</v>
      </c>
      <c r="B144">
        <v>13908</v>
      </c>
      <c r="C144" t="s">
        <v>1512</v>
      </c>
      <c r="D144">
        <v>520043720</v>
      </c>
      <c r="E144" t="s">
        <v>420</v>
      </c>
      <c r="F144" t="s">
        <v>1730</v>
      </c>
      <c r="G144" t="s">
        <v>1731</v>
      </c>
      <c r="H144" t="s">
        <v>75</v>
      </c>
      <c r="I144" t="s">
        <v>226</v>
      </c>
      <c r="J144" t="s">
        <v>52</v>
      </c>
      <c r="K144" t="s">
        <v>52</v>
      </c>
      <c r="L144" t="s">
        <v>775</v>
      </c>
      <c r="M144" t="s">
        <v>303</v>
      </c>
      <c r="N144" t="s">
        <v>621</v>
      </c>
      <c r="O144" t="s">
        <v>61</v>
      </c>
      <c r="P144" t="s">
        <v>1515</v>
      </c>
      <c r="Q144" t="s">
        <v>69</v>
      </c>
      <c r="R144" t="s">
        <v>56</v>
      </c>
      <c r="S144" t="s">
        <v>1258</v>
      </c>
      <c r="T144" s="126">
        <v>3.722</v>
      </c>
      <c r="U144" s="127">
        <v>47818</v>
      </c>
      <c r="V144" s="125">
        <v>6.0199999999999997E-2</v>
      </c>
      <c r="W144" s="125">
        <v>5.4199999999999998E-2</v>
      </c>
      <c r="X144" t="s">
        <v>607</v>
      </c>
      <c r="Z144" s="124">
        <v>779025</v>
      </c>
      <c r="AA144" s="124">
        <v>1</v>
      </c>
      <c r="AB144" s="124">
        <v>81.41</v>
      </c>
      <c r="AC144" s="124">
        <v>0</v>
      </c>
      <c r="AD144" s="124">
        <v>634.20425</v>
      </c>
      <c r="AE144" s="124"/>
      <c r="AF144" s="124"/>
      <c r="AG144" t="s">
        <v>16</v>
      </c>
      <c r="AH144" s="125">
        <v>5.7291591969999998E-3</v>
      </c>
      <c r="AI144" s="125">
        <v>9.4640371900000001E-4</v>
      </c>
      <c r="AJ144" s="125">
        <f>AD144/'סכום נכסים'!$B$30</f>
        <v>1.141816959631037E-4</v>
      </c>
    </row>
    <row r="145" spans="1:36" x14ac:dyDescent="0.3">
      <c r="A145">
        <v>13908</v>
      </c>
      <c r="B145">
        <v>13908</v>
      </c>
      <c r="C145" t="s">
        <v>1439</v>
      </c>
      <c r="D145">
        <v>1772</v>
      </c>
      <c r="E145" t="s">
        <v>2</v>
      </c>
      <c r="F145" t="s">
        <v>1732</v>
      </c>
      <c r="G145" t="s">
        <v>1733</v>
      </c>
      <c r="H145" t="s">
        <v>75</v>
      </c>
      <c r="I145" t="s">
        <v>224</v>
      </c>
      <c r="J145" t="s">
        <v>52</v>
      </c>
      <c r="K145" t="s">
        <v>306</v>
      </c>
      <c r="L145" t="s">
        <v>775</v>
      </c>
      <c r="M145" t="s">
        <v>303</v>
      </c>
      <c r="N145" t="s">
        <v>621</v>
      </c>
      <c r="O145" t="s">
        <v>61</v>
      </c>
      <c r="P145" t="s">
        <v>1349</v>
      </c>
      <c r="Q145" t="s">
        <v>64</v>
      </c>
      <c r="R145" t="s">
        <v>56</v>
      </c>
      <c r="S145" t="s">
        <v>1258</v>
      </c>
      <c r="T145" s="126">
        <v>3.004</v>
      </c>
      <c r="U145" s="127">
        <v>47421</v>
      </c>
      <c r="V145" s="125">
        <v>7.1099999999999997E-2</v>
      </c>
      <c r="W145" s="125">
        <v>5.3699999999999998E-2</v>
      </c>
      <c r="X145" t="s">
        <v>607</v>
      </c>
      <c r="Z145" s="124">
        <v>568000</v>
      </c>
      <c r="AA145" s="124">
        <v>1</v>
      </c>
      <c r="AB145" s="124">
        <v>106.65</v>
      </c>
      <c r="AC145" s="124">
        <v>0</v>
      </c>
      <c r="AD145" s="124">
        <v>605.77200000000005</v>
      </c>
      <c r="AE145" s="124"/>
      <c r="AF145" s="124"/>
      <c r="AG145" t="s">
        <v>16</v>
      </c>
      <c r="AH145" s="125">
        <v>1.362110311E-3</v>
      </c>
      <c r="AI145" s="125">
        <v>9.03975137E-4</v>
      </c>
      <c r="AJ145" s="125">
        <f>AD145/'סכום נכסים'!$B$30</f>
        <v>1.0906277327369102E-4</v>
      </c>
    </row>
    <row r="146" spans="1:36" x14ac:dyDescent="0.3">
      <c r="A146">
        <v>13908</v>
      </c>
      <c r="B146">
        <v>13908</v>
      </c>
      <c r="C146" t="s">
        <v>1734</v>
      </c>
      <c r="D146">
        <v>520036732</v>
      </c>
      <c r="E146" t="s">
        <v>420</v>
      </c>
      <c r="F146" t="s">
        <v>1735</v>
      </c>
      <c r="G146" t="s">
        <v>1736</v>
      </c>
      <c r="H146" t="s">
        <v>75</v>
      </c>
      <c r="I146" t="s">
        <v>224</v>
      </c>
      <c r="J146" t="s">
        <v>52</v>
      </c>
      <c r="K146" t="s">
        <v>52</v>
      </c>
      <c r="L146" t="s">
        <v>775</v>
      </c>
      <c r="M146" t="s">
        <v>303</v>
      </c>
      <c r="N146" t="s">
        <v>74</v>
      </c>
      <c r="O146" t="s">
        <v>61</v>
      </c>
      <c r="P146" t="s">
        <v>1395</v>
      </c>
      <c r="Q146" t="s">
        <v>64</v>
      </c>
      <c r="R146" t="s">
        <v>56</v>
      </c>
      <c r="S146" t="s">
        <v>1258</v>
      </c>
      <c r="T146" s="126">
        <v>4.048</v>
      </c>
      <c r="U146" s="127">
        <v>49125</v>
      </c>
      <c r="V146" s="125">
        <v>5.8500000000000003E-2</v>
      </c>
      <c r="W146" s="125">
        <v>4.1399999999999999E-2</v>
      </c>
      <c r="X146" t="s">
        <v>607</v>
      </c>
      <c r="Z146" s="124">
        <v>590000</v>
      </c>
      <c r="AA146" s="124">
        <v>1</v>
      </c>
      <c r="AB146" s="124">
        <v>106.74</v>
      </c>
      <c r="AC146" s="124">
        <v>0</v>
      </c>
      <c r="AD146" s="124">
        <v>629.76599999999996</v>
      </c>
      <c r="AE146" s="124"/>
      <c r="AF146" s="124"/>
      <c r="AG146" t="s">
        <v>16</v>
      </c>
      <c r="AH146" s="125">
        <v>3.8064516119999999E-3</v>
      </c>
      <c r="AI146" s="125">
        <v>9.3978065399999997E-4</v>
      </c>
      <c r="AJ146" s="125">
        <f>AD146/'סכום נכסים'!$B$30</f>
        <v>1.1338263649273868E-4</v>
      </c>
    </row>
    <row r="147" spans="1:36" x14ac:dyDescent="0.3">
      <c r="A147">
        <v>13908</v>
      </c>
      <c r="B147">
        <v>13908</v>
      </c>
      <c r="C147" t="s">
        <v>1690</v>
      </c>
      <c r="D147">
        <v>520033234</v>
      </c>
      <c r="E147" t="s">
        <v>420</v>
      </c>
      <c r="F147" t="s">
        <v>1737</v>
      </c>
      <c r="G147" t="s">
        <v>1738</v>
      </c>
      <c r="H147" t="s">
        <v>75</v>
      </c>
      <c r="I147" t="s">
        <v>225</v>
      </c>
      <c r="J147" t="s">
        <v>52</v>
      </c>
      <c r="K147" t="s">
        <v>52</v>
      </c>
      <c r="L147" t="s">
        <v>775</v>
      </c>
      <c r="M147" t="s">
        <v>303</v>
      </c>
      <c r="N147" t="s">
        <v>621</v>
      </c>
      <c r="O147" t="s">
        <v>61</v>
      </c>
      <c r="P147" t="s">
        <v>1360</v>
      </c>
      <c r="Q147" t="s">
        <v>64</v>
      </c>
      <c r="R147" t="s">
        <v>56</v>
      </c>
      <c r="S147" t="s">
        <v>1258</v>
      </c>
      <c r="T147" s="126">
        <v>3.5870000000000002</v>
      </c>
      <c r="U147" s="127">
        <v>47756</v>
      </c>
      <c r="V147" s="125">
        <v>4.24E-2</v>
      </c>
      <c r="W147" s="125">
        <v>3.0300000000000001E-2</v>
      </c>
      <c r="X147" t="s">
        <v>607</v>
      </c>
      <c r="Z147" s="124">
        <v>1339660</v>
      </c>
      <c r="AA147" s="124">
        <v>1</v>
      </c>
      <c r="AB147" s="124">
        <v>110.91</v>
      </c>
      <c r="AC147" s="124">
        <v>0</v>
      </c>
      <c r="AD147" s="124">
        <v>1485.81691</v>
      </c>
      <c r="AE147" s="124"/>
      <c r="AF147" s="124"/>
      <c r="AG147" t="s">
        <v>16</v>
      </c>
      <c r="AH147" s="125">
        <v>2.1193798439999999E-3</v>
      </c>
      <c r="AI147" s="125">
        <v>2.2172393989999999E-3</v>
      </c>
      <c r="AJ147" s="125">
        <f>AD147/'סכום נכסים'!$B$30</f>
        <v>2.6750545218588208E-4</v>
      </c>
    </row>
    <row r="148" spans="1:36" x14ac:dyDescent="0.3">
      <c r="A148">
        <v>13908</v>
      </c>
      <c r="B148">
        <v>13908</v>
      </c>
      <c r="C148" t="s">
        <v>1369</v>
      </c>
      <c r="D148">
        <v>510960719</v>
      </c>
      <c r="E148" t="s">
        <v>420</v>
      </c>
      <c r="F148" t="s">
        <v>1739</v>
      </c>
      <c r="G148" t="s">
        <v>1740</v>
      </c>
      <c r="H148" t="s">
        <v>75</v>
      </c>
      <c r="I148" t="s">
        <v>225</v>
      </c>
      <c r="J148" t="s">
        <v>52</v>
      </c>
      <c r="K148" t="s">
        <v>52</v>
      </c>
      <c r="L148" t="s">
        <v>775</v>
      </c>
      <c r="M148" t="s">
        <v>303</v>
      </c>
      <c r="N148" t="s">
        <v>620</v>
      </c>
      <c r="O148" t="s">
        <v>61</v>
      </c>
      <c r="P148" t="s">
        <v>1372</v>
      </c>
      <c r="Q148" t="s">
        <v>69</v>
      </c>
      <c r="R148" t="s">
        <v>56</v>
      </c>
      <c r="S148" t="s">
        <v>1258</v>
      </c>
      <c r="T148" s="126">
        <v>11.41</v>
      </c>
      <c r="U148" s="127">
        <v>53329</v>
      </c>
      <c r="V148" s="125">
        <v>3.6700000000000003E-2</v>
      </c>
      <c r="W148" s="125">
        <v>2.8400000000000002E-2</v>
      </c>
      <c r="X148" t="s">
        <v>607</v>
      </c>
      <c r="Z148" s="124">
        <v>5386000</v>
      </c>
      <c r="AA148" s="124">
        <v>1</v>
      </c>
      <c r="AB148" s="124">
        <v>115.31</v>
      </c>
      <c r="AC148" s="124">
        <v>103.77028</v>
      </c>
      <c r="AD148" s="124">
        <v>6314.3668799999996</v>
      </c>
      <c r="AE148" s="124"/>
      <c r="AF148" s="124"/>
      <c r="AG148" t="s">
        <v>16</v>
      </c>
      <c r="AH148" s="125">
        <v>1.0562994249999999E-3</v>
      </c>
      <c r="AI148" s="125">
        <v>9.4227377110000007E-3</v>
      </c>
      <c r="AJ148" s="125">
        <f>AD148/'סכום נכסים'!$B$30</f>
        <v>1.1368342600852196E-3</v>
      </c>
    </row>
    <row r="149" spans="1:36" x14ac:dyDescent="0.3">
      <c r="A149">
        <v>13908</v>
      </c>
      <c r="B149">
        <v>13908</v>
      </c>
      <c r="C149" t="s">
        <v>1741</v>
      </c>
      <c r="D149">
        <v>512947185</v>
      </c>
      <c r="E149" t="s">
        <v>420</v>
      </c>
      <c r="F149" t="s">
        <v>1742</v>
      </c>
      <c r="G149" t="s">
        <v>1743</v>
      </c>
      <c r="H149" t="s">
        <v>75</v>
      </c>
      <c r="I149" t="s">
        <v>224</v>
      </c>
      <c r="J149" t="s">
        <v>52</v>
      </c>
      <c r="K149" t="s">
        <v>52</v>
      </c>
      <c r="L149" t="s">
        <v>775</v>
      </c>
      <c r="M149" t="s">
        <v>303</v>
      </c>
      <c r="N149" t="s">
        <v>138</v>
      </c>
      <c r="O149" t="s">
        <v>61</v>
      </c>
      <c r="P149" t="s">
        <v>290</v>
      </c>
      <c r="Q149" t="s">
        <v>290</v>
      </c>
      <c r="R149" t="s">
        <v>290</v>
      </c>
      <c r="S149" t="s">
        <v>1258</v>
      </c>
      <c r="T149" s="126">
        <v>1.4370000000000001</v>
      </c>
      <c r="U149" s="127">
        <v>46934</v>
      </c>
      <c r="V149" s="125">
        <v>7.4399999999999994E-2</v>
      </c>
      <c r="W149" s="125">
        <v>8.2799999999999999E-2</v>
      </c>
      <c r="X149" t="s">
        <v>607</v>
      </c>
      <c r="Z149" s="124">
        <v>100000</v>
      </c>
      <c r="AA149" s="124">
        <v>1</v>
      </c>
      <c r="AB149" s="124">
        <v>99.07</v>
      </c>
      <c r="AC149" s="124">
        <v>0</v>
      </c>
      <c r="AD149" s="124">
        <v>99.07</v>
      </c>
      <c r="AE149" s="124"/>
      <c r="AF149" s="124"/>
      <c r="AG149" t="s">
        <v>16</v>
      </c>
      <c r="AH149" s="125">
        <v>1.672240802E-3</v>
      </c>
      <c r="AI149" s="125">
        <v>1.4783914800000001E-4</v>
      </c>
      <c r="AJ149" s="125">
        <f>AD149/'סכום נכסים'!$B$30</f>
        <v>1.7836494503252985E-5</v>
      </c>
    </row>
    <row r="150" spans="1:36" x14ac:dyDescent="0.3">
      <c r="A150">
        <v>13908</v>
      </c>
      <c r="B150">
        <v>13908</v>
      </c>
      <c r="C150" t="s">
        <v>1744</v>
      </c>
      <c r="D150">
        <v>515361442</v>
      </c>
      <c r="E150" t="s">
        <v>420</v>
      </c>
      <c r="F150" t="s">
        <v>1745</v>
      </c>
      <c r="G150" t="s">
        <v>1746</v>
      </c>
      <c r="H150" t="s">
        <v>75</v>
      </c>
      <c r="I150" t="s">
        <v>224</v>
      </c>
      <c r="J150" t="s">
        <v>52</v>
      </c>
      <c r="K150" t="s">
        <v>52</v>
      </c>
      <c r="L150" t="s">
        <v>775</v>
      </c>
      <c r="M150" t="s">
        <v>303</v>
      </c>
      <c r="N150" t="s">
        <v>138</v>
      </c>
      <c r="O150" t="s">
        <v>61</v>
      </c>
      <c r="P150" t="s">
        <v>290</v>
      </c>
      <c r="Q150" t="s">
        <v>290</v>
      </c>
      <c r="R150" t="s">
        <v>290</v>
      </c>
      <c r="S150" t="s">
        <v>1258</v>
      </c>
      <c r="T150" s="126">
        <v>2.4900000000000002</v>
      </c>
      <c r="U150" s="127">
        <v>47848</v>
      </c>
      <c r="V150" s="125">
        <v>8.3500000000000005E-2</v>
      </c>
      <c r="W150" s="125">
        <v>7.3800000000000004E-2</v>
      </c>
      <c r="X150" t="s">
        <v>607</v>
      </c>
      <c r="Z150" s="124">
        <v>6030000</v>
      </c>
      <c r="AA150" s="124">
        <v>1</v>
      </c>
      <c r="AB150" s="124">
        <v>102.65</v>
      </c>
      <c r="AC150" s="124">
        <v>0</v>
      </c>
      <c r="AD150" s="124">
        <v>6189.7950000000001</v>
      </c>
      <c r="AE150" s="124"/>
      <c r="AF150" s="124"/>
      <c r="AG150" t="s">
        <v>16</v>
      </c>
      <c r="AH150" s="125">
        <v>3.5470588235000003E-2</v>
      </c>
      <c r="AI150" s="125">
        <v>9.2368428819999994E-3</v>
      </c>
      <c r="AJ150" s="125">
        <f>AD150/'סכום נכסים'!$B$30</f>
        <v>1.1144064246872195E-3</v>
      </c>
    </row>
    <row r="151" spans="1:36" x14ac:dyDescent="0.3">
      <c r="A151">
        <v>13908</v>
      </c>
      <c r="B151">
        <v>13908</v>
      </c>
      <c r="C151" t="s">
        <v>1392</v>
      </c>
      <c r="D151">
        <v>510560188</v>
      </c>
      <c r="E151" t="s">
        <v>420</v>
      </c>
      <c r="F151" t="s">
        <v>1747</v>
      </c>
      <c r="G151" t="s">
        <v>1748</v>
      </c>
      <c r="H151" t="s">
        <v>75</v>
      </c>
      <c r="I151" t="s">
        <v>225</v>
      </c>
      <c r="J151" t="s">
        <v>52</v>
      </c>
      <c r="K151" t="s">
        <v>52</v>
      </c>
      <c r="L151" t="s">
        <v>775</v>
      </c>
      <c r="M151" t="s">
        <v>303</v>
      </c>
      <c r="N151" t="s">
        <v>621</v>
      </c>
      <c r="O151" t="s">
        <v>61</v>
      </c>
      <c r="P151" t="s">
        <v>1395</v>
      </c>
      <c r="Q151" t="s">
        <v>64</v>
      </c>
      <c r="R151" t="s">
        <v>56</v>
      </c>
      <c r="S151" t="s">
        <v>1258</v>
      </c>
      <c r="T151" s="126">
        <v>5.86</v>
      </c>
      <c r="U151" s="127">
        <v>49218</v>
      </c>
      <c r="V151" s="125">
        <v>4.02E-2</v>
      </c>
      <c r="W151" s="125">
        <v>2.6100000000000002E-2</v>
      </c>
      <c r="X151" t="s">
        <v>607</v>
      </c>
      <c r="Z151" s="124">
        <v>160000</v>
      </c>
      <c r="AA151" s="124">
        <v>1</v>
      </c>
      <c r="AB151" s="124">
        <v>114.45</v>
      </c>
      <c r="AC151" s="124">
        <v>0</v>
      </c>
      <c r="AD151" s="124">
        <v>183.12</v>
      </c>
      <c r="AE151" s="124"/>
      <c r="AF151" s="124"/>
      <c r="AG151" t="s">
        <v>16</v>
      </c>
      <c r="AH151" s="125">
        <v>1.9834382899999999E-4</v>
      </c>
      <c r="AI151" s="125">
        <v>2.73264408E-4</v>
      </c>
      <c r="AJ151" s="125">
        <f>AD151/'סכום נכסים'!$B$30</f>
        <v>3.2968798560973932E-5</v>
      </c>
    </row>
    <row r="152" spans="1:36" x14ac:dyDescent="0.3">
      <c r="A152">
        <v>13908</v>
      </c>
      <c r="B152">
        <v>13908</v>
      </c>
      <c r="C152" t="s">
        <v>1749</v>
      </c>
      <c r="D152">
        <v>520018482</v>
      </c>
      <c r="E152" t="s">
        <v>420</v>
      </c>
      <c r="F152" t="s">
        <v>1750</v>
      </c>
      <c r="G152" t="s">
        <v>1751</v>
      </c>
      <c r="H152" t="s">
        <v>75</v>
      </c>
      <c r="I152" t="s">
        <v>225</v>
      </c>
      <c r="J152" t="s">
        <v>52</v>
      </c>
      <c r="K152" t="s">
        <v>52</v>
      </c>
      <c r="L152" t="s">
        <v>775</v>
      </c>
      <c r="M152" t="s">
        <v>303</v>
      </c>
      <c r="N152" t="s">
        <v>254</v>
      </c>
      <c r="O152" t="s">
        <v>61</v>
      </c>
      <c r="P152" t="s">
        <v>290</v>
      </c>
      <c r="Q152" t="s">
        <v>290</v>
      </c>
      <c r="R152" t="s">
        <v>290</v>
      </c>
      <c r="S152" t="s">
        <v>1258</v>
      </c>
      <c r="T152" s="126">
        <v>3.0990000000000002</v>
      </c>
      <c r="U152" s="127">
        <v>47664</v>
      </c>
      <c r="V152" s="125">
        <v>4.0899999999999999E-2</v>
      </c>
      <c r="W152" s="125">
        <v>2.7699999999999999E-2</v>
      </c>
      <c r="X152" t="s">
        <v>607</v>
      </c>
      <c r="Z152" s="124">
        <v>472000</v>
      </c>
      <c r="AA152" s="124">
        <v>1</v>
      </c>
      <c r="AB152" s="124">
        <v>107.74</v>
      </c>
      <c r="AC152" s="124">
        <v>0</v>
      </c>
      <c r="AD152" s="124">
        <v>508.53280000000001</v>
      </c>
      <c r="AE152" s="124"/>
      <c r="AF152" s="124"/>
      <c r="AG152" t="s">
        <v>16</v>
      </c>
      <c r="AH152" s="125">
        <v>1.3964497039999999E-3</v>
      </c>
      <c r="AI152" s="125">
        <v>7.5886803499999997E-4</v>
      </c>
      <c r="AJ152" s="125">
        <f>AD152/'סכום נכסים'!$B$30</f>
        <v>9.1555894740323525E-5</v>
      </c>
    </row>
    <row r="153" spans="1:36" x14ac:dyDescent="0.3">
      <c r="A153">
        <v>13908</v>
      </c>
      <c r="B153">
        <v>13908</v>
      </c>
      <c r="C153" t="s">
        <v>1752</v>
      </c>
      <c r="D153">
        <v>520027293</v>
      </c>
      <c r="E153" t="s">
        <v>420</v>
      </c>
      <c r="F153" t="s">
        <v>1753</v>
      </c>
      <c r="G153" t="s">
        <v>1754</v>
      </c>
      <c r="H153" t="s">
        <v>75</v>
      </c>
      <c r="I153" t="s">
        <v>225</v>
      </c>
      <c r="J153" t="s">
        <v>52</v>
      </c>
      <c r="K153" t="s">
        <v>52</v>
      </c>
      <c r="L153" t="s">
        <v>775</v>
      </c>
      <c r="M153" t="s">
        <v>303</v>
      </c>
      <c r="N153" t="s">
        <v>154</v>
      </c>
      <c r="O153" t="s">
        <v>61</v>
      </c>
      <c r="P153" t="s">
        <v>1755</v>
      </c>
      <c r="Q153" t="s">
        <v>69</v>
      </c>
      <c r="R153" t="s">
        <v>56</v>
      </c>
      <c r="S153" t="s">
        <v>1258</v>
      </c>
      <c r="T153" s="126">
        <v>11.137</v>
      </c>
      <c r="U153" s="127">
        <v>55154</v>
      </c>
      <c r="V153" s="125">
        <v>3.2899999999999999E-2</v>
      </c>
      <c r="W153" s="125">
        <v>2.58E-2</v>
      </c>
      <c r="X153" t="s">
        <v>607</v>
      </c>
      <c r="Z153" s="124">
        <v>196800</v>
      </c>
      <c r="AA153" s="124">
        <v>1</v>
      </c>
      <c r="AB153" s="124">
        <v>111.9</v>
      </c>
      <c r="AC153" s="124">
        <v>0</v>
      </c>
      <c r="AD153" s="124">
        <v>220.2192</v>
      </c>
      <c r="AE153" s="124"/>
      <c r="AF153" s="124"/>
      <c r="AG153" t="s">
        <v>16</v>
      </c>
      <c r="AH153" s="125">
        <v>4.0000000000000002E-4</v>
      </c>
      <c r="AI153" s="125">
        <v>3.2862641600000001E-4</v>
      </c>
      <c r="AJ153" s="125">
        <f>AD153/'סכום נכסים'!$B$30</f>
        <v>3.964811295357596E-5</v>
      </c>
    </row>
    <row r="154" spans="1:36" x14ac:dyDescent="0.3">
      <c r="A154">
        <v>13908</v>
      </c>
      <c r="B154">
        <v>13908</v>
      </c>
      <c r="C154" t="s">
        <v>1756</v>
      </c>
      <c r="D154">
        <v>520036690</v>
      </c>
      <c r="E154" t="s">
        <v>420</v>
      </c>
      <c r="F154" t="s">
        <v>1757</v>
      </c>
      <c r="G154" t="s">
        <v>1758</v>
      </c>
      <c r="H154" t="s">
        <v>75</v>
      </c>
      <c r="I154" t="s">
        <v>224</v>
      </c>
      <c r="J154" t="s">
        <v>52</v>
      </c>
      <c r="K154" t="s">
        <v>52</v>
      </c>
      <c r="L154" t="s">
        <v>775</v>
      </c>
      <c r="M154" t="s">
        <v>303</v>
      </c>
      <c r="N154" t="s">
        <v>1210</v>
      </c>
      <c r="O154" t="s">
        <v>61</v>
      </c>
      <c r="P154" t="s">
        <v>1349</v>
      </c>
      <c r="Q154" t="s">
        <v>64</v>
      </c>
      <c r="R154" t="s">
        <v>56</v>
      </c>
      <c r="S154" t="s">
        <v>1258</v>
      </c>
      <c r="T154" s="126">
        <v>4.4370000000000003</v>
      </c>
      <c r="U154" s="127">
        <v>49279</v>
      </c>
      <c r="V154" s="125">
        <v>5.6800000000000003E-2</v>
      </c>
      <c r="W154" s="125">
        <v>3.8800000000000001E-2</v>
      </c>
      <c r="X154" t="s">
        <v>607</v>
      </c>
      <c r="Z154" s="124">
        <v>249000</v>
      </c>
      <c r="AA154" s="124">
        <v>1</v>
      </c>
      <c r="AB154" s="124">
        <v>108.65</v>
      </c>
      <c r="AC154" s="124">
        <v>0</v>
      </c>
      <c r="AD154" s="124">
        <v>270.5385</v>
      </c>
      <c r="AE154" s="124"/>
      <c r="AF154" s="124"/>
      <c r="AG154" t="s">
        <v>16</v>
      </c>
      <c r="AH154" s="125">
        <v>1.66E-3</v>
      </c>
      <c r="AI154" s="125">
        <v>4.0371637799999999E-4</v>
      </c>
      <c r="AJ154" s="125">
        <f>AD154/'סכום נכסים'!$B$30</f>
        <v>4.8707565036522745E-5</v>
      </c>
    </row>
    <row r="155" spans="1:36" x14ac:dyDescent="0.3">
      <c r="A155">
        <v>13908</v>
      </c>
      <c r="B155">
        <v>13908</v>
      </c>
      <c r="C155" t="s">
        <v>1354</v>
      </c>
      <c r="D155">
        <v>511659401</v>
      </c>
      <c r="E155" t="s">
        <v>420</v>
      </c>
      <c r="F155" t="s">
        <v>1759</v>
      </c>
      <c r="G155" t="s">
        <v>1760</v>
      </c>
      <c r="H155" t="s">
        <v>75</v>
      </c>
      <c r="I155" t="s">
        <v>225</v>
      </c>
      <c r="J155" t="s">
        <v>52</v>
      </c>
      <c r="K155" t="s">
        <v>52</v>
      </c>
      <c r="L155" t="s">
        <v>775</v>
      </c>
      <c r="M155" t="s">
        <v>303</v>
      </c>
      <c r="N155" t="s">
        <v>620</v>
      </c>
      <c r="O155" t="s">
        <v>61</v>
      </c>
      <c r="P155" t="s">
        <v>1353</v>
      </c>
      <c r="Q155" t="s">
        <v>64</v>
      </c>
      <c r="R155" t="s">
        <v>56</v>
      </c>
      <c r="S155" t="s">
        <v>1258</v>
      </c>
      <c r="T155" s="126">
        <v>6.484</v>
      </c>
      <c r="U155" s="127">
        <v>50160</v>
      </c>
      <c r="V155" s="125">
        <v>3.5999999999999997E-2</v>
      </c>
      <c r="W155" s="125">
        <v>2.5000000000000001E-2</v>
      </c>
      <c r="X155" t="s">
        <v>607</v>
      </c>
      <c r="Z155" s="124">
        <v>133000</v>
      </c>
      <c r="AA155" s="124">
        <v>1</v>
      </c>
      <c r="AB155" s="124">
        <v>111.67</v>
      </c>
      <c r="AC155" s="124">
        <v>0</v>
      </c>
      <c r="AD155" s="124">
        <v>148.52109999999999</v>
      </c>
      <c r="AE155" s="124"/>
      <c r="AF155" s="124"/>
      <c r="AG155" t="s">
        <v>16</v>
      </c>
      <c r="AH155" s="125">
        <v>1.5198280400000001E-4</v>
      </c>
      <c r="AI155" s="125">
        <v>2.21633521E-4</v>
      </c>
      <c r="AJ155" s="125">
        <f>AD155/'סכום נכסים'!$B$30</f>
        <v>2.6739636456718352E-5</v>
      </c>
    </row>
    <row r="156" spans="1:36" x14ac:dyDescent="0.3">
      <c r="A156">
        <v>13908</v>
      </c>
      <c r="B156">
        <v>13908</v>
      </c>
      <c r="C156" t="s">
        <v>1434</v>
      </c>
      <c r="D156">
        <v>1737</v>
      </c>
      <c r="E156" t="s">
        <v>2</v>
      </c>
      <c r="F156" t="s">
        <v>1761</v>
      </c>
      <c r="G156" t="s">
        <v>1762</v>
      </c>
      <c r="H156" t="s">
        <v>75</v>
      </c>
      <c r="I156" t="s">
        <v>224</v>
      </c>
      <c r="J156" t="s">
        <v>52</v>
      </c>
      <c r="K156" t="s">
        <v>52</v>
      </c>
      <c r="L156" t="s">
        <v>775</v>
      </c>
      <c r="M156" t="s">
        <v>303</v>
      </c>
      <c r="N156" t="s">
        <v>621</v>
      </c>
      <c r="O156" t="s">
        <v>61</v>
      </c>
      <c r="P156" t="s">
        <v>1353</v>
      </c>
      <c r="Q156" t="s">
        <v>64</v>
      </c>
      <c r="R156" t="s">
        <v>56</v>
      </c>
      <c r="S156" t="s">
        <v>1258</v>
      </c>
      <c r="T156" s="126">
        <v>3.177</v>
      </c>
      <c r="U156" s="127">
        <v>47848</v>
      </c>
      <c r="V156" s="125">
        <v>6.7400000000000002E-2</v>
      </c>
      <c r="W156" s="125">
        <v>5.4199999999999998E-2</v>
      </c>
      <c r="X156" t="s">
        <v>607</v>
      </c>
      <c r="Z156" s="124">
        <v>914000</v>
      </c>
      <c r="AA156" s="124">
        <v>1</v>
      </c>
      <c r="AB156" s="124">
        <v>104.36</v>
      </c>
      <c r="AC156" s="124">
        <v>0</v>
      </c>
      <c r="AD156" s="124">
        <v>953.85040000000004</v>
      </c>
      <c r="AE156" s="124"/>
      <c r="AF156" s="124"/>
      <c r="AG156" t="s">
        <v>16</v>
      </c>
      <c r="AH156" s="125">
        <v>1.617699115E-3</v>
      </c>
      <c r="AI156" s="125">
        <v>1.42340195E-3</v>
      </c>
      <c r="AJ156" s="125">
        <f>AD156/'סכום נכסים'!$B$30</f>
        <v>1.7173056845185892E-4</v>
      </c>
    </row>
    <row r="157" spans="1:36" x14ac:dyDescent="0.3">
      <c r="A157">
        <v>13908</v>
      </c>
      <c r="B157">
        <v>13908</v>
      </c>
      <c r="C157" t="s">
        <v>1763</v>
      </c>
      <c r="D157">
        <v>1632</v>
      </c>
      <c r="E157" t="s">
        <v>2</v>
      </c>
      <c r="F157" t="s">
        <v>1764</v>
      </c>
      <c r="G157" t="s">
        <v>1765</v>
      </c>
      <c r="H157" t="s">
        <v>75</v>
      </c>
      <c r="I157" t="s">
        <v>224</v>
      </c>
      <c r="J157" t="s">
        <v>52</v>
      </c>
      <c r="K157" t="s">
        <v>306</v>
      </c>
      <c r="L157" t="s">
        <v>775</v>
      </c>
      <c r="M157" t="s">
        <v>303</v>
      </c>
      <c r="N157" t="s">
        <v>621</v>
      </c>
      <c r="O157" t="s">
        <v>61</v>
      </c>
      <c r="P157" t="s">
        <v>1649</v>
      </c>
      <c r="Q157" t="s">
        <v>69</v>
      </c>
      <c r="R157" t="s">
        <v>56</v>
      </c>
      <c r="S157" t="s">
        <v>1258</v>
      </c>
      <c r="T157" s="126">
        <v>1.1839999999999999</v>
      </c>
      <c r="U157" s="127">
        <v>46660</v>
      </c>
      <c r="V157" s="125">
        <v>9.2999999999999999E-2</v>
      </c>
      <c r="W157" s="125">
        <v>8.0299999999999996E-2</v>
      </c>
      <c r="X157" t="s">
        <v>607</v>
      </c>
      <c r="Z157" s="124">
        <v>896000</v>
      </c>
      <c r="AA157" s="124">
        <v>1</v>
      </c>
      <c r="AB157" s="124">
        <v>103.97</v>
      </c>
      <c r="AC157" s="124">
        <v>0</v>
      </c>
      <c r="AD157" s="124">
        <v>931.57119999999998</v>
      </c>
      <c r="AE157" s="124"/>
      <c r="AF157" s="124"/>
      <c r="AG157" t="s">
        <v>16</v>
      </c>
      <c r="AH157" s="125">
        <v>6.6370370370000004E-3</v>
      </c>
      <c r="AI157" s="125">
        <v>1.3901553779999999E-3</v>
      </c>
      <c r="AJ157" s="125">
        <f>AD157/'סכום נכסים'!$B$30</f>
        <v>1.6771943664266466E-4</v>
      </c>
    </row>
    <row r="158" spans="1:36" x14ac:dyDescent="0.3">
      <c r="A158">
        <v>13908</v>
      </c>
      <c r="B158">
        <v>13908</v>
      </c>
      <c r="C158" t="s">
        <v>1766</v>
      </c>
      <c r="D158">
        <v>511491839</v>
      </c>
      <c r="E158" t="s">
        <v>420</v>
      </c>
      <c r="F158" t="s">
        <v>1767</v>
      </c>
      <c r="G158" t="s">
        <v>1768</v>
      </c>
      <c r="H158" t="s">
        <v>75</v>
      </c>
      <c r="I158" t="s">
        <v>225</v>
      </c>
      <c r="J158" t="s">
        <v>52</v>
      </c>
      <c r="K158" t="s">
        <v>52</v>
      </c>
      <c r="L158" t="s">
        <v>775</v>
      </c>
      <c r="M158" t="s">
        <v>303</v>
      </c>
      <c r="N158" t="s">
        <v>621</v>
      </c>
      <c r="O158" t="s">
        <v>61</v>
      </c>
      <c r="P158" t="s">
        <v>1649</v>
      </c>
      <c r="Q158" t="s">
        <v>69</v>
      </c>
      <c r="R158" t="s">
        <v>56</v>
      </c>
      <c r="S158" t="s">
        <v>1258</v>
      </c>
      <c r="T158" s="126">
        <v>3.36</v>
      </c>
      <c r="U158" s="127">
        <v>47848</v>
      </c>
      <c r="V158" s="125">
        <v>5.0999999999999997E-2</v>
      </c>
      <c r="W158" s="125">
        <v>4.8300000000000003E-2</v>
      </c>
      <c r="X158" t="s">
        <v>607</v>
      </c>
      <c r="Z158" s="124">
        <v>215800</v>
      </c>
      <c r="AA158" s="124">
        <v>1</v>
      </c>
      <c r="AB158" s="124">
        <v>104.54</v>
      </c>
      <c r="AC158" s="124">
        <v>0</v>
      </c>
      <c r="AD158" s="124">
        <v>225.59732</v>
      </c>
      <c r="AE158" s="124"/>
      <c r="AF158" s="124"/>
      <c r="AG158" t="s">
        <v>16</v>
      </c>
      <c r="AH158" s="125">
        <v>9.7382231999999997E-4</v>
      </c>
      <c r="AI158" s="125">
        <v>3.3665202100000003E-4</v>
      </c>
      <c r="AJ158" s="125">
        <f>AD158/'סכום נכסים'!$B$30</f>
        <v>4.0616385970814627E-5</v>
      </c>
    </row>
    <row r="159" spans="1:36" x14ac:dyDescent="0.3">
      <c r="A159">
        <v>13908</v>
      </c>
      <c r="B159">
        <v>13908</v>
      </c>
      <c r="C159" t="s">
        <v>1690</v>
      </c>
      <c r="D159">
        <v>520033234</v>
      </c>
      <c r="E159" t="s">
        <v>420</v>
      </c>
      <c r="F159" t="s">
        <v>1769</v>
      </c>
      <c r="G159" t="s">
        <v>1770</v>
      </c>
      <c r="H159" t="s">
        <v>75</v>
      </c>
      <c r="I159" t="s">
        <v>225</v>
      </c>
      <c r="J159" t="s">
        <v>52</v>
      </c>
      <c r="K159" t="s">
        <v>52</v>
      </c>
      <c r="L159" t="s">
        <v>775</v>
      </c>
      <c r="M159" t="s">
        <v>303</v>
      </c>
      <c r="N159" t="s">
        <v>621</v>
      </c>
      <c r="O159" t="s">
        <v>61</v>
      </c>
      <c r="P159" t="s">
        <v>1472</v>
      </c>
      <c r="Q159" t="s">
        <v>64</v>
      </c>
      <c r="R159" t="s">
        <v>56</v>
      </c>
      <c r="S159" t="s">
        <v>1258</v>
      </c>
      <c r="T159" s="126">
        <v>3.1379999999999999</v>
      </c>
      <c r="U159" s="127">
        <v>47938</v>
      </c>
      <c r="V159" s="125">
        <v>0.04</v>
      </c>
      <c r="W159" s="125">
        <v>4.5600000000000002E-2</v>
      </c>
      <c r="X159" t="s">
        <v>607</v>
      </c>
      <c r="Z159" s="124">
        <v>388000</v>
      </c>
      <c r="AA159" s="124">
        <v>1</v>
      </c>
      <c r="AB159" s="124">
        <v>103.04</v>
      </c>
      <c r="AC159" s="124">
        <v>0</v>
      </c>
      <c r="AD159" s="124">
        <v>399.79520000000002</v>
      </c>
      <c r="AE159" s="124"/>
      <c r="AF159" s="124"/>
      <c r="AG159" t="s">
        <v>16</v>
      </c>
      <c r="AH159" s="125">
        <v>6.8701603500000001E-4</v>
      </c>
      <c r="AI159" s="125">
        <v>5.9660222099999999E-4</v>
      </c>
      <c r="AJ159" s="125">
        <f>AD159/'סכום נכסים'!$B$30</f>
        <v>7.1978852197707971E-5</v>
      </c>
    </row>
    <row r="160" spans="1:36" x14ac:dyDescent="0.3">
      <c r="A160">
        <v>13908</v>
      </c>
      <c r="B160">
        <v>13908</v>
      </c>
      <c r="C160" t="s">
        <v>1771</v>
      </c>
      <c r="D160">
        <v>515666881</v>
      </c>
      <c r="E160" t="s">
        <v>420</v>
      </c>
      <c r="F160" t="s">
        <v>1772</v>
      </c>
      <c r="G160" t="s">
        <v>1773</v>
      </c>
      <c r="H160" t="s">
        <v>75</v>
      </c>
      <c r="I160" t="s">
        <v>224</v>
      </c>
      <c r="J160" t="s">
        <v>52</v>
      </c>
      <c r="K160" t="s">
        <v>52</v>
      </c>
      <c r="L160" t="s">
        <v>775</v>
      </c>
      <c r="M160" t="s">
        <v>303</v>
      </c>
      <c r="N160" t="s">
        <v>405</v>
      </c>
      <c r="O160" t="s">
        <v>61</v>
      </c>
      <c r="P160" t="s">
        <v>1774</v>
      </c>
      <c r="Q160" t="s">
        <v>64</v>
      </c>
      <c r="R160" t="s">
        <v>56</v>
      </c>
      <c r="S160" t="s">
        <v>1258</v>
      </c>
      <c r="T160" s="126">
        <v>9.0050000000000008</v>
      </c>
      <c r="U160" s="127">
        <v>49491</v>
      </c>
      <c r="V160" s="125">
        <v>3.9E-2</v>
      </c>
      <c r="W160" s="125">
        <v>3.7600000000000001E-2</v>
      </c>
      <c r="X160" t="s">
        <v>607</v>
      </c>
      <c r="Z160" s="124">
        <v>5000000</v>
      </c>
      <c r="AA160" s="124">
        <v>1</v>
      </c>
      <c r="AB160" s="124">
        <v>108.63</v>
      </c>
      <c r="AC160" s="124">
        <v>0</v>
      </c>
      <c r="AD160" s="124">
        <v>5431.5</v>
      </c>
      <c r="AE160" s="124"/>
      <c r="AF160" s="124"/>
      <c r="AG160" t="s">
        <v>16</v>
      </c>
      <c r="AH160" s="125">
        <v>2.8348094179999998E-3</v>
      </c>
      <c r="AI160" s="125">
        <v>8.1052623089999994E-3</v>
      </c>
      <c r="AJ160" s="125">
        <f>AD160/'סכום נכסים'!$B$30</f>
        <v>9.7788351563963464E-4</v>
      </c>
    </row>
    <row r="161" spans="1:36" x14ac:dyDescent="0.3">
      <c r="A161">
        <v>13908</v>
      </c>
      <c r="B161">
        <v>13908</v>
      </c>
      <c r="C161" t="s">
        <v>1775</v>
      </c>
      <c r="D161">
        <v>2453</v>
      </c>
      <c r="E161" t="s">
        <v>2</v>
      </c>
      <c r="F161" t="s">
        <v>1776</v>
      </c>
      <c r="G161" t="s">
        <v>1777</v>
      </c>
      <c r="H161" t="s">
        <v>75</v>
      </c>
      <c r="I161" t="s">
        <v>224</v>
      </c>
      <c r="J161" t="s">
        <v>52</v>
      </c>
      <c r="K161" t="s">
        <v>306</v>
      </c>
      <c r="L161" t="s">
        <v>775</v>
      </c>
      <c r="M161" t="s">
        <v>303</v>
      </c>
      <c r="N161" t="s">
        <v>618</v>
      </c>
      <c r="O161" t="s">
        <v>61</v>
      </c>
      <c r="P161" t="s">
        <v>1376</v>
      </c>
      <c r="Q161" t="s">
        <v>69</v>
      </c>
      <c r="R161" t="s">
        <v>56</v>
      </c>
      <c r="S161" t="s">
        <v>1258</v>
      </c>
      <c r="T161" s="126">
        <v>2.9620000000000002</v>
      </c>
      <c r="U161" s="127">
        <v>47483</v>
      </c>
      <c r="V161" s="125">
        <v>6.3500000000000001E-2</v>
      </c>
      <c r="W161" s="125">
        <v>6.3299999999999995E-2</v>
      </c>
      <c r="X161" t="s">
        <v>607</v>
      </c>
      <c r="Z161" s="124">
        <v>940000</v>
      </c>
      <c r="AA161" s="124">
        <v>1</v>
      </c>
      <c r="AB161" s="124">
        <v>100.45</v>
      </c>
      <c r="AC161" s="124">
        <v>0</v>
      </c>
      <c r="AD161" s="124">
        <v>944.23</v>
      </c>
      <c r="AE161" s="124"/>
      <c r="AF161" s="124"/>
      <c r="AG161" t="s">
        <v>16</v>
      </c>
      <c r="AH161" s="125">
        <v>8.0530404000000002E-4</v>
      </c>
      <c r="AI161" s="125">
        <v>1.40904572E-3</v>
      </c>
      <c r="AJ161" s="125">
        <f>AD161/'סכום נכסים'!$B$30</f>
        <v>1.6999851826795769E-4</v>
      </c>
    </row>
    <row r="162" spans="1:36" x14ac:dyDescent="0.3">
      <c r="A162">
        <v>13908</v>
      </c>
      <c r="B162">
        <v>13908</v>
      </c>
      <c r="C162" t="s">
        <v>1561</v>
      </c>
      <c r="D162">
        <v>520032046</v>
      </c>
      <c r="E162" t="s">
        <v>420</v>
      </c>
      <c r="F162" t="s">
        <v>1778</v>
      </c>
      <c r="G162" t="s">
        <v>1779</v>
      </c>
      <c r="H162" t="s">
        <v>75</v>
      </c>
      <c r="I162" t="s">
        <v>225</v>
      </c>
      <c r="J162" t="s">
        <v>52</v>
      </c>
      <c r="K162" t="s">
        <v>52</v>
      </c>
      <c r="L162" t="s">
        <v>775</v>
      </c>
      <c r="M162" t="s">
        <v>303</v>
      </c>
      <c r="N162" t="s">
        <v>251</v>
      </c>
      <c r="O162" t="s">
        <v>61</v>
      </c>
      <c r="P162" t="s">
        <v>1257</v>
      </c>
      <c r="Q162" t="s">
        <v>64</v>
      </c>
      <c r="R162" t="s">
        <v>56</v>
      </c>
      <c r="S162" t="s">
        <v>1258</v>
      </c>
      <c r="T162" s="126">
        <v>4.9710000000000001</v>
      </c>
      <c r="U162" s="127">
        <v>50007</v>
      </c>
      <c r="V162" s="125">
        <v>2.6800000000000001E-2</v>
      </c>
      <c r="W162" s="125">
        <v>2.1899999999999999E-2</v>
      </c>
      <c r="X162" t="s">
        <v>607</v>
      </c>
      <c r="Z162" s="124">
        <v>6875250</v>
      </c>
      <c r="AA162" s="124">
        <v>1</v>
      </c>
      <c r="AB162" s="124">
        <v>107.27</v>
      </c>
      <c r="AC162" s="124">
        <v>0</v>
      </c>
      <c r="AD162" s="124">
        <v>7375.0806700000003</v>
      </c>
      <c r="AE162" s="124"/>
      <c r="AF162" s="124"/>
      <c r="AG162" t="s">
        <v>16</v>
      </c>
      <c r="AH162" s="125">
        <v>2.6785714279999998E-3</v>
      </c>
      <c r="AI162" s="125">
        <v>1.1005608649E-2</v>
      </c>
      <c r="AJ162" s="125">
        <f>AD162/'סכום נכסים'!$B$30</f>
        <v>1.3278044396033348E-3</v>
      </c>
    </row>
    <row r="163" spans="1:36" x14ac:dyDescent="0.3">
      <c r="A163">
        <v>13908</v>
      </c>
      <c r="B163">
        <v>13908</v>
      </c>
      <c r="C163" t="s">
        <v>1509</v>
      </c>
      <c r="D163">
        <v>516046307</v>
      </c>
      <c r="E163" t="s">
        <v>420</v>
      </c>
      <c r="F163" t="s">
        <v>1780</v>
      </c>
      <c r="G163" t="s">
        <v>1781</v>
      </c>
      <c r="H163" t="s">
        <v>75</v>
      </c>
      <c r="I163" t="s">
        <v>225</v>
      </c>
      <c r="J163" t="s">
        <v>52</v>
      </c>
      <c r="K163" t="s">
        <v>52</v>
      </c>
      <c r="L163" t="s">
        <v>775</v>
      </c>
      <c r="M163" t="s">
        <v>303</v>
      </c>
      <c r="N163" t="s">
        <v>616</v>
      </c>
      <c r="O163" t="s">
        <v>61</v>
      </c>
      <c r="P163" t="s">
        <v>290</v>
      </c>
      <c r="Q163" t="s">
        <v>290</v>
      </c>
      <c r="R163" t="s">
        <v>290</v>
      </c>
      <c r="S163" t="s">
        <v>1258</v>
      </c>
      <c r="T163" s="126">
        <v>3.1640000000000001</v>
      </c>
      <c r="U163" s="127">
        <v>47664</v>
      </c>
      <c r="V163" s="125">
        <v>4.9000000000000002E-2</v>
      </c>
      <c r="W163" s="125">
        <v>3.9399999999999998E-2</v>
      </c>
      <c r="X163" t="s">
        <v>607</v>
      </c>
      <c r="Z163" s="124">
        <v>915043</v>
      </c>
      <c r="AA163" s="124">
        <v>1</v>
      </c>
      <c r="AB163" s="124">
        <v>106.79</v>
      </c>
      <c r="AC163" s="124">
        <v>0</v>
      </c>
      <c r="AD163" s="124">
        <v>977.17442000000005</v>
      </c>
      <c r="AE163" s="124"/>
      <c r="AF163" s="124"/>
      <c r="AG163" t="s">
        <v>16</v>
      </c>
      <c r="AH163" s="125">
        <v>1.3072042849999999E-3</v>
      </c>
      <c r="AI163" s="125">
        <v>1.4582076759999999E-3</v>
      </c>
      <c r="AJ163" s="125">
        <f>AD163/'סכום נכסים'!$B$30</f>
        <v>1.7592980893357653E-4</v>
      </c>
    </row>
    <row r="164" spans="1:36" x14ac:dyDescent="0.3">
      <c r="A164">
        <v>13908</v>
      </c>
      <c r="B164">
        <v>13908</v>
      </c>
      <c r="C164" t="s">
        <v>1509</v>
      </c>
      <c r="D164">
        <v>516046307</v>
      </c>
      <c r="E164" t="s">
        <v>420</v>
      </c>
      <c r="F164" t="s">
        <v>1782</v>
      </c>
      <c r="G164" t="s">
        <v>1781</v>
      </c>
      <c r="H164" t="s">
        <v>75</v>
      </c>
      <c r="I164" t="s">
        <v>225</v>
      </c>
      <c r="J164" t="s">
        <v>52</v>
      </c>
      <c r="K164" t="s">
        <v>52</v>
      </c>
      <c r="L164" t="s">
        <v>53</v>
      </c>
      <c r="M164" t="s">
        <v>303</v>
      </c>
      <c r="N164" t="s">
        <v>616</v>
      </c>
      <c r="O164" t="s">
        <v>61</v>
      </c>
      <c r="P164" t="s">
        <v>290</v>
      </c>
      <c r="Q164" t="s">
        <v>290</v>
      </c>
      <c r="R164" t="s">
        <v>290</v>
      </c>
      <c r="S164" t="s">
        <v>1258</v>
      </c>
      <c r="T164" s="126">
        <v>3.1640000000000001</v>
      </c>
      <c r="U164" s="127">
        <v>47664</v>
      </c>
      <c r="V164" s="125">
        <v>4.9000000000000002E-2</v>
      </c>
      <c r="W164" s="125">
        <v>3.9399999999999998E-2</v>
      </c>
      <c r="X164" t="s">
        <v>607</v>
      </c>
      <c r="Z164" s="124">
        <v>2000000</v>
      </c>
      <c r="AA164" s="124">
        <v>1</v>
      </c>
      <c r="AB164" s="124">
        <v>106.629</v>
      </c>
      <c r="AC164" s="124">
        <v>0</v>
      </c>
      <c r="AD164" s="124">
        <v>2132.58</v>
      </c>
      <c r="AE164" s="124"/>
      <c r="AF164" s="124"/>
      <c r="AG164" t="s">
        <v>16</v>
      </c>
      <c r="AH164" s="125">
        <v>2.8571428570000001E-3</v>
      </c>
      <c r="AI164" s="125">
        <v>3.182384294E-3</v>
      </c>
      <c r="AJ164" s="125">
        <f>AD164/'סכום נכסים'!$B$30</f>
        <v>3.8394823304478909E-4</v>
      </c>
    </row>
    <row r="165" spans="1:36" x14ac:dyDescent="0.3">
      <c r="A165">
        <v>13908</v>
      </c>
      <c r="B165">
        <v>13908</v>
      </c>
      <c r="C165" t="s">
        <v>1550</v>
      </c>
      <c r="D165">
        <v>520029935</v>
      </c>
      <c r="E165" t="s">
        <v>420</v>
      </c>
      <c r="F165" t="s">
        <v>1783</v>
      </c>
      <c r="G165" t="s">
        <v>1784</v>
      </c>
      <c r="H165" t="s">
        <v>75</v>
      </c>
      <c r="I165" t="s">
        <v>225</v>
      </c>
      <c r="J165" t="s">
        <v>52</v>
      </c>
      <c r="K165" t="s">
        <v>52</v>
      </c>
      <c r="L165" t="s">
        <v>775</v>
      </c>
      <c r="M165" t="s">
        <v>303</v>
      </c>
      <c r="N165" t="s">
        <v>251</v>
      </c>
      <c r="O165" t="s">
        <v>61</v>
      </c>
      <c r="P165" t="s">
        <v>1257</v>
      </c>
      <c r="Q165" t="s">
        <v>64</v>
      </c>
      <c r="R165" t="s">
        <v>56</v>
      </c>
      <c r="S165" t="s">
        <v>1258</v>
      </c>
      <c r="T165" s="126">
        <v>4.4279999999999999</v>
      </c>
      <c r="U165" s="127">
        <v>49388</v>
      </c>
      <c r="V165" s="125">
        <v>2.4E-2</v>
      </c>
      <c r="W165" s="125">
        <v>2.3E-2</v>
      </c>
      <c r="X165" t="s">
        <v>607</v>
      </c>
      <c r="Z165" s="124">
        <v>11358000</v>
      </c>
      <c r="AA165" s="124">
        <v>1</v>
      </c>
      <c r="AB165" s="124">
        <v>104.68</v>
      </c>
      <c r="AC165" s="124">
        <v>0</v>
      </c>
      <c r="AD165" s="124">
        <v>11889.554400000001</v>
      </c>
      <c r="AE165" s="124"/>
      <c r="AF165" s="124"/>
      <c r="AG165" t="s">
        <v>16</v>
      </c>
      <c r="AH165" s="125">
        <v>3.0155900260000002E-3</v>
      </c>
      <c r="AI165" s="125">
        <v>1.7742420536999998E-2</v>
      </c>
      <c r="AJ165" s="125">
        <f>AD165/'סכום נכסים'!$B$30</f>
        <v>2.1405871777705398E-3</v>
      </c>
    </row>
    <row r="166" spans="1:36" x14ac:dyDescent="0.3">
      <c r="A166">
        <v>13908</v>
      </c>
      <c r="B166">
        <v>13908</v>
      </c>
      <c r="C166" t="s">
        <v>1541</v>
      </c>
      <c r="D166">
        <v>1630</v>
      </c>
      <c r="E166" t="s">
        <v>2</v>
      </c>
      <c r="F166" t="s">
        <v>1785</v>
      </c>
      <c r="G166" t="s">
        <v>1786</v>
      </c>
      <c r="H166" t="s">
        <v>75</v>
      </c>
      <c r="I166" t="s">
        <v>224</v>
      </c>
      <c r="J166" t="s">
        <v>52</v>
      </c>
      <c r="K166" t="s">
        <v>52</v>
      </c>
      <c r="L166" t="s">
        <v>775</v>
      </c>
      <c r="M166" t="s">
        <v>303</v>
      </c>
      <c r="N166" t="s">
        <v>621</v>
      </c>
      <c r="O166" t="s">
        <v>61</v>
      </c>
      <c r="P166" t="s">
        <v>1353</v>
      </c>
      <c r="Q166" t="s">
        <v>64</v>
      </c>
      <c r="R166" t="s">
        <v>56</v>
      </c>
      <c r="S166" t="s">
        <v>1258</v>
      </c>
      <c r="T166" s="126">
        <v>2.8079999999999998</v>
      </c>
      <c r="U166" s="127">
        <v>47345</v>
      </c>
      <c r="V166" s="125">
        <v>5.5300000000000002E-2</v>
      </c>
      <c r="W166" s="125">
        <v>5.2299999999999999E-2</v>
      </c>
      <c r="X166" t="s">
        <v>607</v>
      </c>
      <c r="Z166" s="124">
        <v>2000000</v>
      </c>
      <c r="AA166" s="124">
        <v>1</v>
      </c>
      <c r="AB166" s="124">
        <v>103.08</v>
      </c>
      <c r="AC166" s="124">
        <v>0</v>
      </c>
      <c r="AD166" s="124">
        <v>2061.6</v>
      </c>
      <c r="AE166" s="124"/>
      <c r="AF166" s="124"/>
      <c r="AG166" t="s">
        <v>16</v>
      </c>
      <c r="AH166" s="125">
        <v>1.9238168519999999E-3</v>
      </c>
      <c r="AI166" s="125">
        <v>3.0764629980000002E-3</v>
      </c>
      <c r="AJ166" s="125">
        <f>AD166/'סכום נכסים'!$B$30</f>
        <v>3.7116904277688866E-4</v>
      </c>
    </row>
    <row r="167" spans="1:36" x14ac:dyDescent="0.3">
      <c r="A167">
        <v>13908</v>
      </c>
      <c r="B167">
        <v>13908</v>
      </c>
      <c r="C167" t="s">
        <v>1787</v>
      </c>
      <c r="D167">
        <v>520033309</v>
      </c>
      <c r="E167" t="s">
        <v>420</v>
      </c>
      <c r="F167" t="s">
        <v>1788</v>
      </c>
      <c r="G167" t="s">
        <v>1789</v>
      </c>
      <c r="H167" t="s">
        <v>75</v>
      </c>
      <c r="I167" t="s">
        <v>224</v>
      </c>
      <c r="J167" t="s">
        <v>52</v>
      </c>
      <c r="K167" t="s">
        <v>52</v>
      </c>
      <c r="L167" t="s">
        <v>775</v>
      </c>
      <c r="M167" t="s">
        <v>303</v>
      </c>
      <c r="N167" t="s">
        <v>138</v>
      </c>
      <c r="O167" t="s">
        <v>61</v>
      </c>
      <c r="P167" t="s">
        <v>290</v>
      </c>
      <c r="Q167" t="s">
        <v>290</v>
      </c>
      <c r="R167" t="s">
        <v>290</v>
      </c>
      <c r="S167" t="s">
        <v>1258</v>
      </c>
      <c r="T167" s="126">
        <v>2.6949999999999998</v>
      </c>
      <c r="U167" s="127">
        <v>47484</v>
      </c>
      <c r="V167" s="125">
        <v>4.4999999999999998E-2</v>
      </c>
      <c r="W167" s="125">
        <v>6.6600000000000006E-2</v>
      </c>
      <c r="X167" t="s">
        <v>607</v>
      </c>
      <c r="Z167" s="124">
        <v>991000</v>
      </c>
      <c r="AA167" s="124">
        <v>1</v>
      </c>
      <c r="AB167" s="124">
        <v>94.69</v>
      </c>
      <c r="AC167" s="124">
        <v>22.297499999999999</v>
      </c>
      <c r="AD167" s="124">
        <v>960.67539999999997</v>
      </c>
      <c r="AE167" s="124"/>
      <c r="AF167" s="124"/>
      <c r="AG167" t="s">
        <v>16</v>
      </c>
      <c r="AH167" s="125">
        <v>1.9847707389999999E-3</v>
      </c>
      <c r="AI167" s="125">
        <v>1.43358669E-3</v>
      </c>
      <c r="AJ167" s="125">
        <f>AD167/'סכום נכסים'!$B$30</f>
        <v>1.7295933674684935E-4</v>
      </c>
    </row>
    <row r="168" spans="1:36" x14ac:dyDescent="0.3">
      <c r="A168">
        <v>13908</v>
      </c>
      <c r="B168">
        <v>13908</v>
      </c>
      <c r="C168" t="s">
        <v>1790</v>
      </c>
      <c r="D168">
        <v>512719485</v>
      </c>
      <c r="E168" t="s">
        <v>420</v>
      </c>
      <c r="F168" t="s">
        <v>1791</v>
      </c>
      <c r="G168" t="s">
        <v>1792</v>
      </c>
      <c r="H168" t="s">
        <v>75</v>
      </c>
      <c r="I168" t="s">
        <v>224</v>
      </c>
      <c r="J168" t="s">
        <v>52</v>
      </c>
      <c r="K168" t="s">
        <v>52</v>
      </c>
      <c r="L168" t="s">
        <v>775</v>
      </c>
      <c r="M168" t="s">
        <v>303</v>
      </c>
      <c r="N168" t="s">
        <v>620</v>
      </c>
      <c r="O168" t="s">
        <v>61</v>
      </c>
      <c r="P168" t="s">
        <v>1422</v>
      </c>
      <c r="Q168" t="s">
        <v>69</v>
      </c>
      <c r="R168" t="s">
        <v>56</v>
      </c>
      <c r="S168" t="s">
        <v>1258</v>
      </c>
      <c r="T168" s="126">
        <v>5.92</v>
      </c>
      <c r="U168" s="127">
        <v>49491</v>
      </c>
      <c r="V168" s="125">
        <v>5.2900000000000003E-2</v>
      </c>
      <c r="W168" s="125">
        <v>4.1200000000000001E-2</v>
      </c>
      <c r="X168" t="s">
        <v>607</v>
      </c>
      <c r="Z168" s="124">
        <v>392000</v>
      </c>
      <c r="AA168" s="124">
        <v>1</v>
      </c>
      <c r="AB168" s="124">
        <v>107.19</v>
      </c>
      <c r="AC168" s="124">
        <v>0</v>
      </c>
      <c r="AD168" s="124">
        <v>420.1848</v>
      </c>
      <c r="AE168" s="124"/>
      <c r="AF168" s="124"/>
      <c r="AG168" t="s">
        <v>16</v>
      </c>
      <c r="AH168" s="125">
        <v>7.1334464000000002E-4</v>
      </c>
      <c r="AI168" s="125">
        <v>6.2702900099999997E-4</v>
      </c>
      <c r="AJ168" s="125">
        <f>AD168/'סכום נכסים'!$B$30</f>
        <v>7.564978172555219E-5</v>
      </c>
    </row>
    <row r="169" spans="1:36" x14ac:dyDescent="0.3">
      <c r="A169">
        <v>13908</v>
      </c>
      <c r="B169">
        <v>13908</v>
      </c>
      <c r="C169" t="s">
        <v>1793</v>
      </c>
      <c r="D169">
        <v>514902147</v>
      </c>
      <c r="E169" t="s">
        <v>420</v>
      </c>
      <c r="F169" t="s">
        <v>1794</v>
      </c>
      <c r="G169" t="s">
        <v>1795</v>
      </c>
      <c r="H169" t="s">
        <v>75</v>
      </c>
      <c r="I169" t="s">
        <v>224</v>
      </c>
      <c r="J169" t="s">
        <v>52</v>
      </c>
      <c r="K169" t="s">
        <v>52</v>
      </c>
      <c r="L169" t="s">
        <v>775</v>
      </c>
      <c r="M169" t="s">
        <v>303</v>
      </c>
      <c r="N169" t="s">
        <v>616</v>
      </c>
      <c r="O169" t="s">
        <v>61</v>
      </c>
      <c r="P169" t="s">
        <v>290</v>
      </c>
      <c r="Q169" t="s">
        <v>290</v>
      </c>
      <c r="R169" t="s">
        <v>290</v>
      </c>
      <c r="S169" t="s">
        <v>1258</v>
      </c>
      <c r="T169" s="126">
        <v>2.633</v>
      </c>
      <c r="U169" s="127">
        <v>47848</v>
      </c>
      <c r="V169" s="125">
        <v>7.3499999999999996E-2</v>
      </c>
      <c r="W169" s="125">
        <v>6.25E-2</v>
      </c>
      <c r="X169" t="s">
        <v>607</v>
      </c>
      <c r="Z169" s="124">
        <v>526411</v>
      </c>
      <c r="AA169" s="124">
        <v>1</v>
      </c>
      <c r="AB169" s="124">
        <v>103.05</v>
      </c>
      <c r="AC169" s="124">
        <v>0</v>
      </c>
      <c r="AD169" s="124">
        <v>542.46654000000001</v>
      </c>
      <c r="AE169" s="124"/>
      <c r="AF169" s="124"/>
      <c r="AG169" t="s">
        <v>16</v>
      </c>
      <c r="AH169" s="125">
        <v>1.754703333E-3</v>
      </c>
      <c r="AI169" s="125">
        <v>8.0950632399999999E-4</v>
      </c>
      <c r="AJ169" s="125">
        <f>AD169/'סכום נכסים'!$B$30</f>
        <v>9.7665301896726227E-5</v>
      </c>
    </row>
    <row r="170" spans="1:36" x14ac:dyDescent="0.3">
      <c r="A170">
        <v>13908</v>
      </c>
      <c r="B170">
        <v>13908</v>
      </c>
      <c r="C170" t="s">
        <v>1796</v>
      </c>
      <c r="D170">
        <v>1622</v>
      </c>
      <c r="E170" t="s">
        <v>2</v>
      </c>
      <c r="F170" t="s">
        <v>1797</v>
      </c>
      <c r="G170" t="s">
        <v>1798</v>
      </c>
      <c r="H170" t="s">
        <v>75</v>
      </c>
      <c r="I170" t="s">
        <v>224</v>
      </c>
      <c r="J170" t="s">
        <v>52</v>
      </c>
      <c r="K170" t="s">
        <v>52</v>
      </c>
      <c r="L170" t="s">
        <v>775</v>
      </c>
      <c r="M170" t="s">
        <v>303</v>
      </c>
      <c r="N170" t="s">
        <v>138</v>
      </c>
      <c r="O170" t="s">
        <v>61</v>
      </c>
      <c r="P170" t="s">
        <v>1422</v>
      </c>
      <c r="Q170" t="s">
        <v>69</v>
      </c>
      <c r="R170" t="s">
        <v>56</v>
      </c>
      <c r="S170" t="s">
        <v>1258</v>
      </c>
      <c r="T170" s="126">
        <v>1.6639999999999999</v>
      </c>
      <c r="U170" s="127">
        <v>46843</v>
      </c>
      <c r="V170" s="125">
        <v>6.0199999999999997E-2</v>
      </c>
      <c r="W170" s="125">
        <v>6.3200000000000006E-2</v>
      </c>
      <c r="X170" t="s">
        <v>607</v>
      </c>
      <c r="Z170" s="124">
        <v>793908.8</v>
      </c>
      <c r="AA170" s="124">
        <v>1</v>
      </c>
      <c r="AB170" s="124">
        <v>101.16</v>
      </c>
      <c r="AC170" s="124">
        <v>0</v>
      </c>
      <c r="AD170" s="124">
        <v>803.11814000000004</v>
      </c>
      <c r="AE170" s="124"/>
      <c r="AF170" s="124"/>
      <c r="AG170" t="s">
        <v>16</v>
      </c>
      <c r="AH170" s="125">
        <v>1.0140064720000001E-3</v>
      </c>
      <c r="AI170" s="125">
        <v>1.198468782E-3</v>
      </c>
      <c r="AJ170" s="125">
        <f>AD170/'סכום נכסים'!$B$30</f>
        <v>1.4459283627306715E-4</v>
      </c>
    </row>
    <row r="171" spans="1:36" x14ac:dyDescent="0.3">
      <c r="A171">
        <v>13908</v>
      </c>
      <c r="B171">
        <v>13908</v>
      </c>
      <c r="C171" t="s">
        <v>1643</v>
      </c>
      <c r="D171">
        <v>515328250</v>
      </c>
      <c r="E171" t="s">
        <v>420</v>
      </c>
      <c r="F171" t="s">
        <v>1799</v>
      </c>
      <c r="G171" t="s">
        <v>1800</v>
      </c>
      <c r="H171" t="s">
        <v>75</v>
      </c>
      <c r="I171" t="s">
        <v>224</v>
      </c>
      <c r="J171" t="s">
        <v>52</v>
      </c>
      <c r="K171" t="s">
        <v>52</v>
      </c>
      <c r="L171" t="s">
        <v>775</v>
      </c>
      <c r="M171" t="s">
        <v>303</v>
      </c>
      <c r="N171" t="s">
        <v>621</v>
      </c>
      <c r="O171" t="s">
        <v>61</v>
      </c>
      <c r="P171" t="s">
        <v>1422</v>
      </c>
      <c r="Q171" t="s">
        <v>69</v>
      </c>
      <c r="R171" t="s">
        <v>56</v>
      </c>
      <c r="S171" t="s">
        <v>1258</v>
      </c>
      <c r="T171" s="126">
        <v>4.9989999999999997</v>
      </c>
      <c r="U171" s="127">
        <v>49218</v>
      </c>
      <c r="V171" s="125">
        <v>5.5899999999999998E-2</v>
      </c>
      <c r="W171" s="125">
        <v>4.2700000000000002E-2</v>
      </c>
      <c r="X171" t="s">
        <v>607</v>
      </c>
      <c r="Z171" s="124">
        <v>1663000</v>
      </c>
      <c r="AA171" s="124">
        <v>1</v>
      </c>
      <c r="AB171" s="124">
        <v>108.32</v>
      </c>
      <c r="AC171" s="124">
        <v>0</v>
      </c>
      <c r="AD171" s="124">
        <v>1801.3616</v>
      </c>
      <c r="AE171" s="124"/>
      <c r="AF171" s="124"/>
      <c r="AG171" t="s">
        <v>16</v>
      </c>
      <c r="AH171" s="125">
        <v>2.3787965259999999E-3</v>
      </c>
      <c r="AI171" s="125">
        <v>2.6881171460000001E-3</v>
      </c>
      <c r="AJ171" s="125">
        <f>AD171/'סכום נכסים'!$B$30</f>
        <v>3.2431590064369644E-4</v>
      </c>
    </row>
    <row r="172" spans="1:36" x14ac:dyDescent="0.3">
      <c r="A172">
        <v>13908</v>
      </c>
      <c r="B172">
        <v>13908</v>
      </c>
      <c r="C172" t="s">
        <v>1490</v>
      </c>
      <c r="D172">
        <v>515364891</v>
      </c>
      <c r="E172" t="s">
        <v>420</v>
      </c>
      <c r="F172" t="s">
        <v>1801</v>
      </c>
      <c r="G172" t="s">
        <v>1802</v>
      </c>
      <c r="H172" t="s">
        <v>75</v>
      </c>
      <c r="I172" t="s">
        <v>225</v>
      </c>
      <c r="J172" t="s">
        <v>52</v>
      </c>
      <c r="K172" t="s">
        <v>52</v>
      </c>
      <c r="L172" t="s">
        <v>775</v>
      </c>
      <c r="M172" t="s">
        <v>303</v>
      </c>
      <c r="N172" t="s">
        <v>616</v>
      </c>
      <c r="O172" t="s">
        <v>61</v>
      </c>
      <c r="P172" t="s">
        <v>290</v>
      </c>
      <c r="Q172" t="s">
        <v>290</v>
      </c>
      <c r="R172" t="s">
        <v>290</v>
      </c>
      <c r="S172" t="s">
        <v>1258</v>
      </c>
      <c r="T172" s="126">
        <v>4.8760000000000003</v>
      </c>
      <c r="U172" s="127">
        <v>48395</v>
      </c>
      <c r="V172" s="125">
        <v>4.4400000000000002E-2</v>
      </c>
      <c r="W172" s="125">
        <v>3.2300000000000002E-2</v>
      </c>
      <c r="X172" t="s">
        <v>607</v>
      </c>
      <c r="Z172" s="124">
        <v>1000000</v>
      </c>
      <c r="AA172" s="124">
        <v>1</v>
      </c>
      <c r="AB172" s="124">
        <v>109.52</v>
      </c>
      <c r="AC172" s="124">
        <v>0</v>
      </c>
      <c r="AD172" s="124">
        <v>1095.2</v>
      </c>
      <c r="AE172" s="124"/>
      <c r="AF172" s="124"/>
      <c r="AG172" t="s">
        <v>16</v>
      </c>
      <c r="AH172" s="125">
        <v>1.3093598269999999E-3</v>
      </c>
      <c r="AI172" s="125">
        <v>1.6343336609999999E-3</v>
      </c>
      <c r="AJ172" s="125">
        <f>AD172/'סכום נכסים'!$B$30</f>
        <v>1.9717905299245658E-4</v>
      </c>
    </row>
    <row r="173" spans="1:36" x14ac:dyDescent="0.3">
      <c r="A173">
        <v>13908</v>
      </c>
      <c r="B173">
        <v>13908</v>
      </c>
      <c r="C173" t="s">
        <v>1392</v>
      </c>
      <c r="D173">
        <v>510560188</v>
      </c>
      <c r="E173" t="s">
        <v>420</v>
      </c>
      <c r="F173" t="s">
        <v>1803</v>
      </c>
      <c r="G173" t="s">
        <v>1804</v>
      </c>
      <c r="H173" t="s">
        <v>75</v>
      </c>
      <c r="I173" t="s">
        <v>224</v>
      </c>
      <c r="J173" t="s">
        <v>52</v>
      </c>
      <c r="K173" t="s">
        <v>52</v>
      </c>
      <c r="L173" t="s">
        <v>775</v>
      </c>
      <c r="M173" t="s">
        <v>303</v>
      </c>
      <c r="N173" t="s">
        <v>621</v>
      </c>
      <c r="O173" t="s">
        <v>61</v>
      </c>
      <c r="P173" t="s">
        <v>1389</v>
      </c>
      <c r="Q173" t="s">
        <v>69</v>
      </c>
      <c r="R173" t="s">
        <v>56</v>
      </c>
      <c r="S173" t="s">
        <v>1258</v>
      </c>
      <c r="T173" s="126">
        <v>4.0060000000000002</v>
      </c>
      <c r="U173" s="127">
        <v>48668</v>
      </c>
      <c r="V173" s="125">
        <v>5.5E-2</v>
      </c>
      <c r="W173" s="125">
        <v>4.2000000000000003E-2</v>
      </c>
      <c r="X173" t="s">
        <v>607</v>
      </c>
      <c r="Z173" s="124">
        <v>598000</v>
      </c>
      <c r="AA173" s="124">
        <v>1</v>
      </c>
      <c r="AB173" s="124">
        <v>106.82</v>
      </c>
      <c r="AC173" s="124">
        <v>0</v>
      </c>
      <c r="AD173" s="124">
        <v>638.78359999999998</v>
      </c>
      <c r="AE173" s="124"/>
      <c r="AF173" s="124"/>
      <c r="AG173" t="s">
        <v>16</v>
      </c>
      <c r="AH173" s="125">
        <v>5.9800000000000001E-4</v>
      </c>
      <c r="AI173" s="125">
        <v>9.5323734400000004E-4</v>
      </c>
      <c r="AJ173" s="125">
        <f>AD173/'סכום נכסים'!$B$30</f>
        <v>1.1500615898019738E-4</v>
      </c>
    </row>
    <row r="174" spans="1:36" x14ac:dyDescent="0.3">
      <c r="A174">
        <v>13908</v>
      </c>
      <c r="B174">
        <v>13908</v>
      </c>
      <c r="C174" t="s">
        <v>1715</v>
      </c>
      <c r="D174">
        <v>2352</v>
      </c>
      <c r="E174" t="s">
        <v>2</v>
      </c>
      <c r="F174" t="s">
        <v>1805</v>
      </c>
      <c r="G174" t="s">
        <v>1806</v>
      </c>
      <c r="H174" t="s">
        <v>75</v>
      </c>
      <c r="I174" t="s">
        <v>224</v>
      </c>
      <c r="J174" t="s">
        <v>52</v>
      </c>
      <c r="K174" t="s">
        <v>52</v>
      </c>
      <c r="L174" t="s">
        <v>775</v>
      </c>
      <c r="M174" t="s">
        <v>303</v>
      </c>
      <c r="N174" t="s">
        <v>1211</v>
      </c>
      <c r="O174" t="s">
        <v>61</v>
      </c>
      <c r="P174" t="s">
        <v>1649</v>
      </c>
      <c r="Q174" t="s">
        <v>69</v>
      </c>
      <c r="R174" t="s">
        <v>56</v>
      </c>
      <c r="S174" t="s">
        <v>1258</v>
      </c>
      <c r="T174" s="126">
        <v>2.94</v>
      </c>
      <c r="U174" s="127">
        <v>47863</v>
      </c>
      <c r="V174" s="125">
        <v>7.6999999999999999E-2</v>
      </c>
      <c r="W174" s="125">
        <v>8.5900000000000004E-2</v>
      </c>
      <c r="X174" t="s">
        <v>607</v>
      </c>
      <c r="Z174" s="124">
        <v>950000</v>
      </c>
      <c r="AA174" s="124">
        <v>1</v>
      </c>
      <c r="AB174" s="124">
        <v>101.45</v>
      </c>
      <c r="AC174" s="124">
        <v>0</v>
      </c>
      <c r="AD174" s="124">
        <v>963.77499999999998</v>
      </c>
      <c r="AE174" s="124"/>
      <c r="AF174" s="124"/>
      <c r="AG174" t="s">
        <v>16</v>
      </c>
      <c r="AH174" s="125">
        <v>1.8457552820000001E-3</v>
      </c>
      <c r="AI174" s="125">
        <v>1.438212129E-3</v>
      </c>
      <c r="AJ174" s="125">
        <f>AD174/'סכום נכסים'!$B$30</f>
        <v>1.7351738659405116E-4</v>
      </c>
    </row>
    <row r="175" spans="1:36" x14ac:dyDescent="0.3">
      <c r="A175">
        <v>13908</v>
      </c>
      <c r="B175">
        <v>13908</v>
      </c>
      <c r="C175" t="s">
        <v>1807</v>
      </c>
      <c r="D175">
        <v>520024126</v>
      </c>
      <c r="E175" t="s">
        <v>420</v>
      </c>
      <c r="F175" t="s">
        <v>1808</v>
      </c>
      <c r="G175" t="s">
        <v>1809</v>
      </c>
      <c r="H175" t="s">
        <v>75</v>
      </c>
      <c r="I175" t="s">
        <v>225</v>
      </c>
      <c r="J175" t="s">
        <v>52</v>
      </c>
      <c r="K175" t="s">
        <v>52</v>
      </c>
      <c r="L175" t="s">
        <v>775</v>
      </c>
      <c r="M175" t="s">
        <v>303</v>
      </c>
      <c r="N175" t="s">
        <v>620</v>
      </c>
      <c r="O175" t="s">
        <v>61</v>
      </c>
      <c r="P175" t="s">
        <v>1353</v>
      </c>
      <c r="Q175" t="s">
        <v>64</v>
      </c>
      <c r="R175" t="s">
        <v>56</v>
      </c>
      <c r="S175" t="s">
        <v>1258</v>
      </c>
      <c r="T175" s="126">
        <v>6.3170000000000002</v>
      </c>
      <c r="U175" s="127">
        <v>49034</v>
      </c>
      <c r="V175" s="125">
        <v>3.2399999999999998E-2</v>
      </c>
      <c r="W175" s="125">
        <v>2.5700000000000001E-2</v>
      </c>
      <c r="X175" t="s">
        <v>607</v>
      </c>
      <c r="Z175" s="124">
        <v>4000000</v>
      </c>
      <c r="AA175" s="124">
        <v>1</v>
      </c>
      <c r="AB175" s="124">
        <v>108.09</v>
      </c>
      <c r="AC175" s="124">
        <v>0</v>
      </c>
      <c r="AD175" s="124">
        <v>4323.6000000000004</v>
      </c>
      <c r="AE175" s="124"/>
      <c r="AF175" s="124"/>
      <c r="AG175" t="s">
        <v>16</v>
      </c>
      <c r="AH175" s="125">
        <v>3.0875632949999999E-3</v>
      </c>
      <c r="AI175" s="125">
        <v>6.4519768240000001E-3</v>
      </c>
      <c r="AJ175" s="125">
        <f>AD175/'סכום נכסים'!$B$30</f>
        <v>7.7841796340228752E-4</v>
      </c>
    </row>
    <row r="176" spans="1:36" x14ac:dyDescent="0.3">
      <c r="A176">
        <v>13908</v>
      </c>
      <c r="B176">
        <v>13908</v>
      </c>
      <c r="C176" t="s">
        <v>1810</v>
      </c>
      <c r="D176">
        <v>511605719</v>
      </c>
      <c r="E176" t="s">
        <v>420</v>
      </c>
      <c r="F176" t="s">
        <v>1811</v>
      </c>
      <c r="G176" t="s">
        <v>1812</v>
      </c>
      <c r="H176" t="s">
        <v>75</v>
      </c>
      <c r="I176" t="s">
        <v>224</v>
      </c>
      <c r="J176" t="s">
        <v>52</v>
      </c>
      <c r="K176" t="s">
        <v>52</v>
      </c>
      <c r="L176" t="s">
        <v>775</v>
      </c>
      <c r="M176" t="s">
        <v>303</v>
      </c>
      <c r="N176" t="s">
        <v>620</v>
      </c>
      <c r="O176" t="s">
        <v>61</v>
      </c>
      <c r="P176" t="s">
        <v>1395</v>
      </c>
      <c r="Q176" t="s">
        <v>64</v>
      </c>
      <c r="R176" t="s">
        <v>56</v>
      </c>
      <c r="S176" t="s">
        <v>1258</v>
      </c>
      <c r="T176" s="126">
        <v>3.855</v>
      </c>
      <c r="U176" s="127">
        <v>48304</v>
      </c>
      <c r="V176" s="125">
        <v>4.4999999999999998E-2</v>
      </c>
      <c r="W176" s="125">
        <v>4.36E-2</v>
      </c>
      <c r="X176" t="s">
        <v>607</v>
      </c>
      <c r="Z176" s="124">
        <v>1032333</v>
      </c>
      <c r="AA176" s="124">
        <v>1</v>
      </c>
      <c r="AB176" s="124">
        <v>101.83</v>
      </c>
      <c r="AC176" s="124">
        <v>0</v>
      </c>
      <c r="AD176" s="124">
        <v>1051.22469</v>
      </c>
      <c r="AE176" s="124"/>
      <c r="AF176" s="124"/>
      <c r="AG176" t="s">
        <v>16</v>
      </c>
      <c r="AH176" s="125">
        <v>1.0372599849E-2</v>
      </c>
      <c r="AI176" s="125">
        <v>1.5687106430000001E-3</v>
      </c>
      <c r="AJ176" s="125">
        <f>AD176/'סכום נכסים'!$B$30</f>
        <v>1.8926176849569826E-4</v>
      </c>
    </row>
    <row r="177" spans="1:36" x14ac:dyDescent="0.3">
      <c r="A177">
        <v>13908</v>
      </c>
      <c r="B177">
        <v>13908</v>
      </c>
      <c r="C177" t="s">
        <v>1727</v>
      </c>
      <c r="D177">
        <v>520001736</v>
      </c>
      <c r="E177" t="s">
        <v>420</v>
      </c>
      <c r="F177" t="s">
        <v>1813</v>
      </c>
      <c r="G177" t="s">
        <v>1814</v>
      </c>
      <c r="H177" t="s">
        <v>75</v>
      </c>
      <c r="I177" t="s">
        <v>225</v>
      </c>
      <c r="J177" t="s">
        <v>52</v>
      </c>
      <c r="K177" t="s">
        <v>52</v>
      </c>
      <c r="L177" t="s">
        <v>775</v>
      </c>
      <c r="M177" t="s">
        <v>303</v>
      </c>
      <c r="N177" t="s">
        <v>620</v>
      </c>
      <c r="O177" t="s">
        <v>61</v>
      </c>
      <c r="P177" t="s">
        <v>1353</v>
      </c>
      <c r="Q177" t="s">
        <v>64</v>
      </c>
      <c r="R177" t="s">
        <v>56</v>
      </c>
      <c r="S177" t="s">
        <v>1258</v>
      </c>
      <c r="T177" s="126">
        <v>5.944</v>
      </c>
      <c r="U177" s="127">
        <v>49765</v>
      </c>
      <c r="V177" s="125">
        <v>3.2800000000000003E-2</v>
      </c>
      <c r="W177" s="125">
        <v>2.58E-2</v>
      </c>
      <c r="X177" t="s">
        <v>607</v>
      </c>
      <c r="Z177" s="124">
        <v>3000000</v>
      </c>
      <c r="AA177" s="124">
        <v>1</v>
      </c>
      <c r="AB177" s="124">
        <v>106.83</v>
      </c>
      <c r="AC177" s="124">
        <v>0</v>
      </c>
      <c r="AD177" s="124">
        <v>3204.9</v>
      </c>
      <c r="AE177" s="124"/>
      <c r="AF177" s="124"/>
      <c r="AG177" t="s">
        <v>16</v>
      </c>
      <c r="AH177" s="125">
        <v>2.2687294959999999E-3</v>
      </c>
      <c r="AI177" s="125">
        <v>4.7825748270000001E-3</v>
      </c>
      <c r="AJ177" s="125">
        <f>AD177/'סכום נכסים'!$B$30</f>
        <v>5.7700798661023019E-4</v>
      </c>
    </row>
    <row r="178" spans="1:36" x14ac:dyDescent="0.3">
      <c r="A178">
        <v>13908</v>
      </c>
      <c r="B178">
        <v>13908</v>
      </c>
      <c r="C178" t="s">
        <v>1431</v>
      </c>
      <c r="D178">
        <v>1665</v>
      </c>
      <c r="E178" t="s">
        <v>2</v>
      </c>
      <c r="F178" t="s">
        <v>1815</v>
      </c>
      <c r="G178" t="s">
        <v>1816</v>
      </c>
      <c r="H178" t="s">
        <v>75</v>
      </c>
      <c r="I178" t="s">
        <v>224</v>
      </c>
      <c r="J178" t="s">
        <v>52</v>
      </c>
      <c r="K178" t="s">
        <v>52</v>
      </c>
      <c r="L178" t="s">
        <v>775</v>
      </c>
      <c r="M178" t="s">
        <v>303</v>
      </c>
      <c r="N178" t="s">
        <v>621</v>
      </c>
      <c r="O178" t="s">
        <v>61</v>
      </c>
      <c r="P178" t="s">
        <v>1349</v>
      </c>
      <c r="Q178" t="s">
        <v>64</v>
      </c>
      <c r="R178" t="s">
        <v>56</v>
      </c>
      <c r="S178" t="s">
        <v>1258</v>
      </c>
      <c r="T178" s="126">
        <v>3.6320000000000001</v>
      </c>
      <c r="U178" s="127">
        <v>47664</v>
      </c>
      <c r="V178" s="125">
        <v>5.8000000000000003E-2</v>
      </c>
      <c r="W178" s="125">
        <v>5.1900000000000002E-2</v>
      </c>
      <c r="X178" t="s">
        <v>607</v>
      </c>
      <c r="Z178" s="124">
        <v>4109422</v>
      </c>
      <c r="AA178" s="124">
        <v>1</v>
      </c>
      <c r="AB178" s="124">
        <v>102.43</v>
      </c>
      <c r="AC178" s="124">
        <v>0</v>
      </c>
      <c r="AD178" s="124">
        <v>4209.2809500000003</v>
      </c>
      <c r="AE178" s="124"/>
      <c r="AF178" s="124"/>
      <c r="AG178" t="s">
        <v>16</v>
      </c>
      <c r="AH178" s="125">
        <v>1.1741205714000001E-2</v>
      </c>
      <c r="AI178" s="125">
        <v>6.2813819809999999E-3</v>
      </c>
      <c r="AJ178" s="125">
        <f>AD178/'סכום נכסים'!$B$30</f>
        <v>7.5783604044940469E-4</v>
      </c>
    </row>
    <row r="179" spans="1:36" x14ac:dyDescent="0.3">
      <c r="A179">
        <v>13908</v>
      </c>
      <c r="B179">
        <v>13908</v>
      </c>
      <c r="C179" t="s">
        <v>1506</v>
      </c>
      <c r="D179">
        <v>513817817</v>
      </c>
      <c r="E179" t="s">
        <v>420</v>
      </c>
      <c r="F179" t="s">
        <v>1817</v>
      </c>
      <c r="G179" t="s">
        <v>1818</v>
      </c>
      <c r="H179" t="s">
        <v>75</v>
      </c>
      <c r="I179" t="s">
        <v>224</v>
      </c>
      <c r="J179" t="s">
        <v>52</v>
      </c>
      <c r="K179" t="s">
        <v>52</v>
      </c>
      <c r="L179" t="s">
        <v>775</v>
      </c>
      <c r="M179" t="s">
        <v>303</v>
      </c>
      <c r="N179" t="s">
        <v>138</v>
      </c>
      <c r="O179" t="s">
        <v>61</v>
      </c>
      <c r="P179" t="s">
        <v>1422</v>
      </c>
      <c r="Q179" t="s">
        <v>69</v>
      </c>
      <c r="R179" t="s">
        <v>56</v>
      </c>
      <c r="S179" t="s">
        <v>1258</v>
      </c>
      <c r="T179" s="126">
        <v>4.0339999999999998</v>
      </c>
      <c r="U179" s="127">
        <v>48213</v>
      </c>
      <c r="V179" s="125">
        <v>5.8799999999999998E-2</v>
      </c>
      <c r="W179" s="125">
        <v>4.3099999999999999E-2</v>
      </c>
      <c r="X179" t="s">
        <v>607</v>
      </c>
      <c r="Z179" s="124">
        <v>198000</v>
      </c>
      <c r="AA179" s="124">
        <v>1</v>
      </c>
      <c r="AB179" s="124">
        <v>106.54</v>
      </c>
      <c r="AC179" s="124">
        <v>0</v>
      </c>
      <c r="AD179" s="124">
        <v>210.94919999999999</v>
      </c>
      <c r="AE179" s="124"/>
      <c r="AF179" s="124"/>
      <c r="AG179" t="s">
        <v>16</v>
      </c>
      <c r="AH179" s="125">
        <v>6.6E-4</v>
      </c>
      <c r="AI179" s="125">
        <v>3.1479307700000002E-4</v>
      </c>
      <c r="AJ179" s="125">
        <f>AD179/'סכום נכסים'!$B$30</f>
        <v>3.797914854411643E-5</v>
      </c>
    </row>
    <row r="180" spans="1:36" x14ac:dyDescent="0.3">
      <c r="A180">
        <v>13908</v>
      </c>
      <c r="B180">
        <v>13908</v>
      </c>
      <c r="C180" t="s">
        <v>1553</v>
      </c>
      <c r="D180">
        <v>520000118</v>
      </c>
      <c r="E180" t="s">
        <v>420</v>
      </c>
      <c r="F180" t="s">
        <v>1819</v>
      </c>
      <c r="G180" t="s">
        <v>1820</v>
      </c>
      <c r="H180" t="s">
        <v>75</v>
      </c>
      <c r="I180" t="s">
        <v>224</v>
      </c>
      <c r="J180" t="s">
        <v>52</v>
      </c>
      <c r="K180" t="s">
        <v>52</v>
      </c>
      <c r="L180" t="s">
        <v>775</v>
      </c>
      <c r="M180" t="s">
        <v>303</v>
      </c>
      <c r="N180" t="s">
        <v>251</v>
      </c>
      <c r="O180" t="s">
        <v>61</v>
      </c>
      <c r="P180" t="s">
        <v>1257</v>
      </c>
      <c r="Q180" t="s">
        <v>64</v>
      </c>
      <c r="R180" t="s">
        <v>56</v>
      </c>
      <c r="S180" t="s">
        <v>1258</v>
      </c>
      <c r="T180" s="126">
        <v>4.4539999999999997</v>
      </c>
      <c r="U180" s="127">
        <v>49477</v>
      </c>
      <c r="V180" s="125">
        <v>4.8800000000000003E-2</v>
      </c>
      <c r="W180" s="125">
        <v>3.8800000000000001E-2</v>
      </c>
      <c r="X180" t="s">
        <v>607</v>
      </c>
      <c r="Z180" s="124">
        <v>7200000</v>
      </c>
      <c r="AA180" s="124">
        <v>1</v>
      </c>
      <c r="AB180" s="124">
        <v>104.48</v>
      </c>
      <c r="AC180" s="124">
        <v>0</v>
      </c>
      <c r="AD180" s="124">
        <v>7522.56</v>
      </c>
      <c r="AE180" s="124"/>
      <c r="AF180" s="124"/>
      <c r="AG180" t="s">
        <v>16</v>
      </c>
      <c r="AH180" s="125">
        <v>1.503558452E-3</v>
      </c>
      <c r="AI180" s="125">
        <v>1.122568757E-2</v>
      </c>
      <c r="AJ180" s="125">
        <f>AD180/'סכום נכסים'!$B$30</f>
        <v>1.354356516507427E-3</v>
      </c>
    </row>
    <row r="181" spans="1:36" x14ac:dyDescent="0.3">
      <c r="A181">
        <v>13908</v>
      </c>
      <c r="B181">
        <v>13908</v>
      </c>
      <c r="C181" t="s">
        <v>1553</v>
      </c>
      <c r="D181">
        <v>520000118</v>
      </c>
      <c r="E181" t="s">
        <v>420</v>
      </c>
      <c r="F181" t="s">
        <v>1821</v>
      </c>
      <c r="G181" t="s">
        <v>1820</v>
      </c>
      <c r="H181" t="s">
        <v>75</v>
      </c>
      <c r="I181" t="s">
        <v>224</v>
      </c>
      <c r="J181" t="s">
        <v>52</v>
      </c>
      <c r="K181" t="s">
        <v>52</v>
      </c>
      <c r="L181" t="s">
        <v>53</v>
      </c>
      <c r="M181" t="s">
        <v>303</v>
      </c>
      <c r="N181" t="s">
        <v>251</v>
      </c>
      <c r="O181" t="s">
        <v>61</v>
      </c>
      <c r="P181" t="s">
        <v>290</v>
      </c>
      <c r="Q181" t="s">
        <v>290</v>
      </c>
      <c r="R181" t="s">
        <v>290</v>
      </c>
      <c r="S181" t="s">
        <v>1258</v>
      </c>
      <c r="T181" s="126">
        <v>4.4539999999999997</v>
      </c>
      <c r="U181" s="127">
        <v>49477</v>
      </c>
      <c r="V181" s="125">
        <v>4.8800000000000003E-2</v>
      </c>
      <c r="W181" s="125">
        <v>3.8800000000000001E-2</v>
      </c>
      <c r="X181" t="s">
        <v>607</v>
      </c>
      <c r="Z181" s="124">
        <v>18000000</v>
      </c>
      <c r="AA181" s="124">
        <v>1</v>
      </c>
      <c r="AB181" s="124">
        <v>103.9438</v>
      </c>
      <c r="AC181" s="124">
        <v>0</v>
      </c>
      <c r="AD181" s="124">
        <v>18709.883999999998</v>
      </c>
      <c r="AE181" s="124"/>
      <c r="AF181" s="124"/>
      <c r="AG181" t="s">
        <v>16</v>
      </c>
      <c r="AH181" s="125">
        <v>3.7588961320000002E-3</v>
      </c>
      <c r="AI181" s="125">
        <v>2.7920191032E-2</v>
      </c>
      <c r="AJ181" s="125">
        <f>AD181/'סכום נכסים'!$B$30</f>
        <v>3.368514617164641E-3</v>
      </c>
    </row>
    <row r="182" spans="1:36" x14ac:dyDescent="0.3">
      <c r="A182">
        <v>13908</v>
      </c>
      <c r="B182">
        <v>13908</v>
      </c>
      <c r="C182" t="s">
        <v>1822</v>
      </c>
      <c r="D182">
        <v>516167343</v>
      </c>
      <c r="E182" t="s">
        <v>420</v>
      </c>
      <c r="F182" t="s">
        <v>1823</v>
      </c>
      <c r="G182" t="s">
        <v>1824</v>
      </c>
      <c r="H182" t="s">
        <v>75</v>
      </c>
      <c r="I182" t="s">
        <v>225</v>
      </c>
      <c r="J182" t="s">
        <v>52</v>
      </c>
      <c r="K182" t="s">
        <v>52</v>
      </c>
      <c r="L182" t="s">
        <v>775</v>
      </c>
      <c r="M182" t="s">
        <v>303</v>
      </c>
      <c r="N182" t="s">
        <v>154</v>
      </c>
      <c r="O182" t="s">
        <v>61</v>
      </c>
      <c r="P182" t="s">
        <v>290</v>
      </c>
      <c r="Q182" t="s">
        <v>290</v>
      </c>
      <c r="R182" t="s">
        <v>290</v>
      </c>
      <c r="S182" t="s">
        <v>1258</v>
      </c>
      <c r="T182" s="126">
        <v>4.819</v>
      </c>
      <c r="U182" s="127">
        <v>48579</v>
      </c>
      <c r="V182" s="125">
        <v>4.7800000000000002E-2</v>
      </c>
      <c r="W182" s="125">
        <v>3.6700000000000003E-2</v>
      </c>
      <c r="X182" t="s">
        <v>607</v>
      </c>
      <c r="Z182" s="124">
        <v>1990000</v>
      </c>
      <c r="AA182" s="124">
        <v>1</v>
      </c>
      <c r="AB182" s="124">
        <v>107.54</v>
      </c>
      <c r="AC182" s="124">
        <v>0</v>
      </c>
      <c r="AD182" s="124">
        <v>2140.0459999999998</v>
      </c>
      <c r="AE182" s="124"/>
      <c r="AF182" s="124"/>
      <c r="AG182" t="s">
        <v>16</v>
      </c>
      <c r="AH182" s="125">
        <v>3.4191911119999998E-3</v>
      </c>
      <c r="AI182" s="125">
        <v>3.1935255789999999E-3</v>
      </c>
      <c r="AJ182" s="125">
        <f>AD182/'סכום נכסים'!$B$30</f>
        <v>3.8529240653788774E-4</v>
      </c>
    </row>
    <row r="183" spans="1:36" x14ac:dyDescent="0.3">
      <c r="A183">
        <v>13908</v>
      </c>
      <c r="B183">
        <v>13908</v>
      </c>
      <c r="C183" t="s">
        <v>1825</v>
      </c>
      <c r="D183">
        <v>512711789</v>
      </c>
      <c r="E183" t="s">
        <v>420</v>
      </c>
      <c r="F183" t="s">
        <v>1826</v>
      </c>
      <c r="G183" t="s">
        <v>1827</v>
      </c>
      <c r="H183" t="s">
        <v>75</v>
      </c>
      <c r="I183" t="s">
        <v>224</v>
      </c>
      <c r="J183" t="s">
        <v>52</v>
      </c>
      <c r="K183" t="s">
        <v>52</v>
      </c>
      <c r="L183" t="s">
        <v>775</v>
      </c>
      <c r="M183" t="s">
        <v>303</v>
      </c>
      <c r="N183" t="s">
        <v>1212</v>
      </c>
      <c r="O183" t="s">
        <v>61</v>
      </c>
      <c r="P183" t="s">
        <v>1353</v>
      </c>
      <c r="Q183" t="s">
        <v>64</v>
      </c>
      <c r="R183" t="s">
        <v>56</v>
      </c>
      <c r="S183" t="s">
        <v>1258</v>
      </c>
      <c r="T183" s="126">
        <v>2.3540000000000001</v>
      </c>
      <c r="U183" s="127">
        <v>47493</v>
      </c>
      <c r="V183" s="125">
        <v>4.7100000000000003E-2</v>
      </c>
      <c r="W183" s="125">
        <v>4.2500000000000003E-2</v>
      </c>
      <c r="X183" t="s">
        <v>607</v>
      </c>
      <c r="Z183" s="124">
        <v>3013800</v>
      </c>
      <c r="AA183" s="124">
        <v>1</v>
      </c>
      <c r="AB183" s="124">
        <v>103.47</v>
      </c>
      <c r="AC183" s="124">
        <v>0</v>
      </c>
      <c r="AD183" s="124">
        <v>3118.3788599999998</v>
      </c>
      <c r="AE183" s="124"/>
      <c r="AF183" s="124"/>
      <c r="AG183" t="s">
        <v>16</v>
      </c>
      <c r="AH183" s="125">
        <v>7.8746453029999997E-3</v>
      </c>
      <c r="AI183" s="125">
        <v>4.6534619599999999E-3</v>
      </c>
      <c r="AJ183" s="125">
        <f>AD183/'סכום נכסים'!$B$30</f>
        <v>5.6143078021046039E-4</v>
      </c>
    </row>
    <row r="184" spans="1:36" x14ac:dyDescent="0.3">
      <c r="A184">
        <v>13908</v>
      </c>
      <c r="B184">
        <v>13908</v>
      </c>
      <c r="C184" t="s">
        <v>1828</v>
      </c>
      <c r="D184">
        <v>520037797</v>
      </c>
      <c r="E184" t="s">
        <v>420</v>
      </c>
      <c r="F184" t="s">
        <v>1829</v>
      </c>
      <c r="G184" t="s">
        <v>1830</v>
      </c>
      <c r="H184" t="s">
        <v>75</v>
      </c>
      <c r="I184" t="s">
        <v>224</v>
      </c>
      <c r="J184" t="s">
        <v>52</v>
      </c>
      <c r="K184" t="s">
        <v>52</v>
      </c>
      <c r="L184" t="s">
        <v>775</v>
      </c>
      <c r="M184" t="s">
        <v>303</v>
      </c>
      <c r="N184" t="s">
        <v>249</v>
      </c>
      <c r="O184" t="s">
        <v>61</v>
      </c>
      <c r="P184" t="s">
        <v>290</v>
      </c>
      <c r="Q184" t="s">
        <v>290</v>
      </c>
      <c r="R184" t="s">
        <v>290</v>
      </c>
      <c r="S184" t="s">
        <v>1258</v>
      </c>
      <c r="T184" s="126">
        <v>3.6850000000000001</v>
      </c>
      <c r="U184" s="127">
        <v>47664</v>
      </c>
      <c r="V184" s="125">
        <v>4.9200000000000001E-2</v>
      </c>
      <c r="W184" s="125">
        <v>4.1300000000000003E-2</v>
      </c>
      <c r="X184" t="s">
        <v>607</v>
      </c>
      <c r="Z184" s="124">
        <v>466000</v>
      </c>
      <c r="AA184" s="124">
        <v>1</v>
      </c>
      <c r="AB184" s="124">
        <v>103.04</v>
      </c>
      <c r="AC184" s="124">
        <v>0</v>
      </c>
      <c r="AD184" s="124">
        <v>480.16640000000001</v>
      </c>
      <c r="AE184" s="124"/>
      <c r="AF184" s="124"/>
      <c r="AG184" t="s">
        <v>16</v>
      </c>
      <c r="AH184" s="125">
        <v>1.548172757E-3</v>
      </c>
      <c r="AI184" s="125">
        <v>7.16537719E-4</v>
      </c>
      <c r="AJ184" s="125">
        <f>AD184/'סכום נכסים'!$B$30</f>
        <v>8.6448827639515241E-5</v>
      </c>
    </row>
    <row r="185" spans="1:36" x14ac:dyDescent="0.3">
      <c r="A185">
        <v>13908</v>
      </c>
      <c r="B185">
        <v>13908</v>
      </c>
      <c r="C185" t="s">
        <v>1831</v>
      </c>
      <c r="D185">
        <v>1648</v>
      </c>
      <c r="E185" t="s">
        <v>2</v>
      </c>
      <c r="F185" t="s">
        <v>1832</v>
      </c>
      <c r="G185" t="s">
        <v>1833</v>
      </c>
      <c r="H185" t="s">
        <v>75</v>
      </c>
      <c r="I185" t="s">
        <v>224</v>
      </c>
      <c r="J185" t="s">
        <v>52</v>
      </c>
      <c r="K185" t="s">
        <v>52</v>
      </c>
      <c r="L185" t="s">
        <v>775</v>
      </c>
      <c r="M185" t="s">
        <v>303</v>
      </c>
      <c r="N185" t="s">
        <v>621</v>
      </c>
      <c r="O185" t="s">
        <v>61</v>
      </c>
      <c r="P185" t="s">
        <v>1395</v>
      </c>
      <c r="Q185" t="s">
        <v>64</v>
      </c>
      <c r="R185" t="s">
        <v>56</v>
      </c>
      <c r="S185" t="s">
        <v>1258</v>
      </c>
      <c r="T185" s="126">
        <v>1.9159999999999999</v>
      </c>
      <c r="U185" s="127">
        <v>46934</v>
      </c>
      <c r="V185" s="125">
        <v>5.8000000000000003E-2</v>
      </c>
      <c r="W185" s="125">
        <v>6.9800000000000001E-2</v>
      </c>
      <c r="X185" t="s">
        <v>607</v>
      </c>
      <c r="Z185" s="124">
        <v>279000</v>
      </c>
      <c r="AA185" s="124">
        <v>1</v>
      </c>
      <c r="AB185" s="124">
        <v>98.04</v>
      </c>
      <c r="AC185" s="124">
        <v>0</v>
      </c>
      <c r="AD185" s="124">
        <v>273.53160000000003</v>
      </c>
      <c r="AE185" s="124"/>
      <c r="AF185" s="124"/>
      <c r="AG185" t="s">
        <v>16</v>
      </c>
      <c r="AH185" s="125">
        <v>1.696048632E-3</v>
      </c>
      <c r="AI185" s="125">
        <v>4.0818289000000001E-4</v>
      </c>
      <c r="AJ185" s="125">
        <f>AD185/'סכום נכסים'!$B$30</f>
        <v>4.9246440697143385E-5</v>
      </c>
    </row>
    <row r="186" spans="1:36" x14ac:dyDescent="0.3">
      <c r="A186">
        <v>13908</v>
      </c>
      <c r="B186">
        <v>13908</v>
      </c>
      <c r="C186" t="s">
        <v>1834</v>
      </c>
      <c r="D186">
        <v>2484</v>
      </c>
      <c r="E186" t="s">
        <v>2</v>
      </c>
      <c r="F186" t="s">
        <v>1835</v>
      </c>
      <c r="G186" t="s">
        <v>1836</v>
      </c>
      <c r="H186" t="s">
        <v>75</v>
      </c>
      <c r="I186" t="s">
        <v>224</v>
      </c>
      <c r="J186" t="s">
        <v>52</v>
      </c>
      <c r="K186" t="s">
        <v>52</v>
      </c>
      <c r="L186" t="s">
        <v>775</v>
      </c>
      <c r="M186" t="s">
        <v>303</v>
      </c>
      <c r="N186" t="s">
        <v>618</v>
      </c>
      <c r="O186" t="s">
        <v>61</v>
      </c>
      <c r="P186" t="s">
        <v>1389</v>
      </c>
      <c r="Q186" t="s">
        <v>69</v>
      </c>
      <c r="R186" t="s">
        <v>56</v>
      </c>
      <c r="S186" t="s">
        <v>1258</v>
      </c>
      <c r="T186" s="126">
        <v>3.4260000000000002</v>
      </c>
      <c r="U186" s="127">
        <v>47665</v>
      </c>
      <c r="V186" s="125">
        <v>5.8500000000000003E-2</v>
      </c>
      <c r="W186" s="125">
        <v>6.2300000000000001E-2</v>
      </c>
      <c r="X186" t="s">
        <v>607</v>
      </c>
      <c r="Z186" s="124">
        <v>734000</v>
      </c>
      <c r="AA186" s="124">
        <v>1</v>
      </c>
      <c r="AB186" s="124">
        <v>99.03</v>
      </c>
      <c r="AC186" s="124">
        <v>21.647500000000001</v>
      </c>
      <c r="AD186" s="124">
        <v>748.52769999999998</v>
      </c>
      <c r="AE186" s="124"/>
      <c r="AF186" s="124"/>
      <c r="AG186" t="s">
        <v>16</v>
      </c>
      <c r="AH186" s="125">
        <v>1.882051282E-3</v>
      </c>
      <c r="AI186" s="125">
        <v>1.117005128E-3</v>
      </c>
      <c r="AJ186" s="125">
        <f>AD186/'סכום נכסים'!$B$30</f>
        <v>1.3476441108895327E-4</v>
      </c>
    </row>
    <row r="187" spans="1:36" x14ac:dyDescent="0.3">
      <c r="A187">
        <v>13908</v>
      </c>
      <c r="B187">
        <v>13908</v>
      </c>
      <c r="C187" t="s">
        <v>1383</v>
      </c>
      <c r="D187">
        <v>513623314</v>
      </c>
      <c r="E187" t="s">
        <v>420</v>
      </c>
      <c r="F187" t="s">
        <v>1837</v>
      </c>
      <c r="G187" t="s">
        <v>1838</v>
      </c>
      <c r="H187" t="s">
        <v>75</v>
      </c>
      <c r="I187" t="s">
        <v>225</v>
      </c>
      <c r="J187" t="s">
        <v>52</v>
      </c>
      <c r="K187" t="s">
        <v>52</v>
      </c>
      <c r="L187" t="s">
        <v>775</v>
      </c>
      <c r="M187" t="s">
        <v>303</v>
      </c>
      <c r="N187" t="s">
        <v>620</v>
      </c>
      <c r="O187" t="s">
        <v>61</v>
      </c>
      <c r="P187" t="s">
        <v>1515</v>
      </c>
      <c r="Q187" t="s">
        <v>69</v>
      </c>
      <c r="R187" t="s">
        <v>56</v>
      </c>
      <c r="S187" t="s">
        <v>1258</v>
      </c>
      <c r="T187" s="126">
        <v>4.2370000000000001</v>
      </c>
      <c r="U187" s="127">
        <v>47858</v>
      </c>
      <c r="V187" s="125">
        <v>2.7799999999999998E-2</v>
      </c>
      <c r="W187" s="125">
        <v>2.4299999999999999E-2</v>
      </c>
      <c r="X187" t="s">
        <v>607</v>
      </c>
      <c r="Z187" s="124">
        <v>1104000</v>
      </c>
      <c r="AA187" s="124">
        <v>1</v>
      </c>
      <c r="AB187" s="124">
        <v>104.87</v>
      </c>
      <c r="AC187" s="124">
        <v>0</v>
      </c>
      <c r="AD187" s="124">
        <v>1157.7647999999999</v>
      </c>
      <c r="AE187" s="124"/>
      <c r="AF187" s="124"/>
      <c r="AG187" t="s">
        <v>16</v>
      </c>
      <c r="AH187" s="125">
        <v>3.218658892E-3</v>
      </c>
      <c r="AI187" s="125">
        <v>1.7276972100000001E-3</v>
      </c>
      <c r="AJ187" s="125">
        <f>AD187/'סכום נכסים'!$B$30</f>
        <v>2.0844317645361655E-4</v>
      </c>
    </row>
    <row r="188" spans="1:36" x14ac:dyDescent="0.3">
      <c r="A188">
        <v>13908</v>
      </c>
      <c r="B188">
        <v>13908</v>
      </c>
      <c r="C188" t="s">
        <v>1839</v>
      </c>
      <c r="D188">
        <v>1683</v>
      </c>
      <c r="E188" t="s">
        <v>2</v>
      </c>
      <c r="F188" t="s">
        <v>1840</v>
      </c>
      <c r="G188" t="s">
        <v>1841</v>
      </c>
      <c r="H188" t="s">
        <v>75</v>
      </c>
      <c r="I188" t="s">
        <v>224</v>
      </c>
      <c r="J188" t="s">
        <v>52</v>
      </c>
      <c r="K188" t="s">
        <v>52</v>
      </c>
      <c r="L188" t="s">
        <v>775</v>
      </c>
      <c r="M188" t="s">
        <v>303</v>
      </c>
      <c r="N188" t="s">
        <v>621</v>
      </c>
      <c r="O188" t="s">
        <v>61</v>
      </c>
      <c r="P188" t="s">
        <v>1842</v>
      </c>
      <c r="Q188" t="s">
        <v>64</v>
      </c>
      <c r="R188" t="s">
        <v>56</v>
      </c>
      <c r="S188" t="s">
        <v>1258</v>
      </c>
      <c r="T188" s="126">
        <v>2.9180000000000001</v>
      </c>
      <c r="U188" s="127">
        <v>47679</v>
      </c>
      <c r="V188" s="125">
        <v>8.3000000000000004E-2</v>
      </c>
      <c r="W188" s="125">
        <v>0.1172</v>
      </c>
      <c r="X188" t="s">
        <v>607</v>
      </c>
      <c r="Z188" s="124">
        <v>1000000</v>
      </c>
      <c r="AA188" s="124">
        <v>1</v>
      </c>
      <c r="AB188" s="124">
        <v>95.18</v>
      </c>
      <c r="AC188" s="124">
        <v>0</v>
      </c>
      <c r="AD188" s="124">
        <v>951.8</v>
      </c>
      <c r="AE188" s="124"/>
      <c r="AF188" s="124"/>
      <c r="AG188" t="s">
        <v>16</v>
      </c>
      <c r="AH188" s="125">
        <v>2.5974025970000002E-3</v>
      </c>
      <c r="AI188" s="125">
        <v>1.4203422010000001E-3</v>
      </c>
      <c r="AJ188" s="125">
        <f>AD188/'סכום נכסים'!$B$30</f>
        <v>1.71361415849361E-4</v>
      </c>
    </row>
    <row r="189" spans="1:36" x14ac:dyDescent="0.3">
      <c r="A189">
        <v>13908</v>
      </c>
      <c r="B189">
        <v>13908</v>
      </c>
      <c r="C189" t="s">
        <v>1553</v>
      </c>
      <c r="D189">
        <v>520000118</v>
      </c>
      <c r="E189" t="s">
        <v>420</v>
      </c>
      <c r="F189" t="s">
        <v>1843</v>
      </c>
      <c r="G189" t="s">
        <v>1844</v>
      </c>
      <c r="H189" t="s">
        <v>75</v>
      </c>
      <c r="I189" t="s">
        <v>225</v>
      </c>
      <c r="J189" t="s">
        <v>52</v>
      </c>
      <c r="K189" t="s">
        <v>52</v>
      </c>
      <c r="L189" t="s">
        <v>775</v>
      </c>
      <c r="M189" t="s">
        <v>303</v>
      </c>
      <c r="N189" t="s">
        <v>251</v>
      </c>
      <c r="O189" t="s">
        <v>61</v>
      </c>
      <c r="P189" t="s">
        <v>1257</v>
      </c>
      <c r="Q189" t="s">
        <v>64</v>
      </c>
      <c r="R189" t="s">
        <v>56</v>
      </c>
      <c r="S189" t="s">
        <v>1258</v>
      </c>
      <c r="T189" s="126">
        <v>4.274</v>
      </c>
      <c r="U189" s="127">
        <v>49542</v>
      </c>
      <c r="V189" s="125">
        <v>2.6100000000000002E-2</v>
      </c>
      <c r="W189" s="125">
        <v>2.23E-2</v>
      </c>
      <c r="X189" t="s">
        <v>607</v>
      </c>
      <c r="Z189" s="124">
        <v>5000000</v>
      </c>
      <c r="AA189" s="124">
        <v>1</v>
      </c>
      <c r="AB189" s="124">
        <v>105.16</v>
      </c>
      <c r="AC189" s="124">
        <v>0</v>
      </c>
      <c r="AD189" s="124">
        <v>5258</v>
      </c>
      <c r="AE189" s="124"/>
      <c r="AF189" s="124"/>
      <c r="AG189" t="s">
        <v>16</v>
      </c>
      <c r="AH189" s="125">
        <v>1.4622858919999999E-3</v>
      </c>
      <c r="AI189" s="125">
        <v>7.8463535340000008E-3</v>
      </c>
      <c r="AJ189" s="125">
        <f>AD189/'סכום נכסים'!$B$30</f>
        <v>9.4664669524683763E-4</v>
      </c>
    </row>
    <row r="190" spans="1:36" x14ac:dyDescent="0.3">
      <c r="A190">
        <v>13908</v>
      </c>
      <c r="B190">
        <v>13908</v>
      </c>
      <c r="C190" t="s">
        <v>1550</v>
      </c>
      <c r="D190">
        <v>520029935</v>
      </c>
      <c r="E190" t="s">
        <v>420</v>
      </c>
      <c r="F190" t="s">
        <v>1845</v>
      </c>
      <c r="G190" t="s">
        <v>1846</v>
      </c>
      <c r="H190" t="s">
        <v>75</v>
      </c>
      <c r="I190" t="s">
        <v>225</v>
      </c>
      <c r="J190" t="s">
        <v>52</v>
      </c>
      <c r="K190" t="s">
        <v>52</v>
      </c>
      <c r="L190" t="s">
        <v>775</v>
      </c>
      <c r="M190" t="s">
        <v>303</v>
      </c>
      <c r="N190" t="s">
        <v>251</v>
      </c>
      <c r="O190" t="s">
        <v>61</v>
      </c>
      <c r="P190" t="s">
        <v>1349</v>
      </c>
      <c r="Q190" t="s">
        <v>64</v>
      </c>
      <c r="R190" t="s">
        <v>56</v>
      </c>
      <c r="S190" t="s">
        <v>1258</v>
      </c>
      <c r="T190" s="126">
        <v>4.7750000000000004</v>
      </c>
      <c r="U190" s="127">
        <v>49925</v>
      </c>
      <c r="V190" s="125">
        <v>0.03</v>
      </c>
      <c r="W190" s="125">
        <v>2.5000000000000001E-2</v>
      </c>
      <c r="X190" t="s">
        <v>607</v>
      </c>
      <c r="Z190" s="124">
        <v>3385834.13</v>
      </c>
      <c r="AA190" s="124">
        <v>1</v>
      </c>
      <c r="AB190" s="124">
        <v>106.16</v>
      </c>
      <c r="AC190" s="124">
        <v>0</v>
      </c>
      <c r="AD190" s="124">
        <v>3594.4015100000001</v>
      </c>
      <c r="AE190" s="124"/>
      <c r="AF190" s="124"/>
      <c r="AG190" t="s">
        <v>16</v>
      </c>
      <c r="AH190" s="125">
        <v>2.7990894329999998E-3</v>
      </c>
      <c r="AI190" s="125">
        <v>5.3638160880000001E-3</v>
      </c>
      <c r="AJ190" s="125">
        <f>AD190/'סכום נכסים'!$B$30</f>
        <v>6.4713356995658869E-4</v>
      </c>
    </row>
    <row r="191" spans="1:36" x14ac:dyDescent="0.3">
      <c r="A191">
        <v>13908</v>
      </c>
      <c r="B191">
        <v>13908</v>
      </c>
      <c r="C191" t="s">
        <v>1847</v>
      </c>
      <c r="D191">
        <v>513141879</v>
      </c>
      <c r="E191" t="s">
        <v>420</v>
      </c>
      <c r="F191" t="s">
        <v>1848</v>
      </c>
      <c r="G191" t="s">
        <v>1849</v>
      </c>
      <c r="H191" t="s">
        <v>75</v>
      </c>
      <c r="I191" t="s">
        <v>225</v>
      </c>
      <c r="J191" t="s">
        <v>52</v>
      </c>
      <c r="K191" t="s">
        <v>52</v>
      </c>
      <c r="L191" t="s">
        <v>775</v>
      </c>
      <c r="M191" t="s">
        <v>303</v>
      </c>
      <c r="N191" t="s">
        <v>251</v>
      </c>
      <c r="O191" t="s">
        <v>61</v>
      </c>
      <c r="P191" t="s">
        <v>1257</v>
      </c>
      <c r="Q191" t="s">
        <v>64</v>
      </c>
      <c r="R191" t="s">
        <v>56</v>
      </c>
      <c r="S191" t="s">
        <v>1258</v>
      </c>
      <c r="T191" s="126">
        <v>2.1080000000000001</v>
      </c>
      <c r="U191" s="127">
        <v>47000</v>
      </c>
      <c r="V191" s="125">
        <v>2.52E-2</v>
      </c>
      <c r="W191" s="125">
        <v>2.1399999999999999E-2</v>
      </c>
      <c r="X191" t="s">
        <v>607</v>
      </c>
      <c r="Z191" s="124">
        <v>12246000</v>
      </c>
      <c r="AA191" s="124">
        <v>1</v>
      </c>
      <c r="AB191" s="124">
        <v>104.15</v>
      </c>
      <c r="AC191" s="124">
        <v>0</v>
      </c>
      <c r="AD191" s="124">
        <v>12754.209000000001</v>
      </c>
      <c r="AE191" s="124"/>
      <c r="AF191" s="124"/>
      <c r="AG191" t="s">
        <v>16</v>
      </c>
      <c r="AH191" s="125">
        <v>7.2035294109999998E-3</v>
      </c>
      <c r="AI191" s="125">
        <v>1.9032718308000001E-2</v>
      </c>
      <c r="AJ191" s="125">
        <f>AD191/'סכום נכסים'!$B$30</f>
        <v>2.2962589958800826E-3</v>
      </c>
    </row>
    <row r="192" spans="1:36" x14ac:dyDescent="0.3">
      <c r="A192">
        <v>13908</v>
      </c>
      <c r="B192">
        <v>13908</v>
      </c>
      <c r="C192" t="s">
        <v>1850</v>
      </c>
      <c r="D192">
        <v>2505</v>
      </c>
      <c r="E192" t="s">
        <v>2</v>
      </c>
      <c r="F192" t="s">
        <v>1851</v>
      </c>
      <c r="G192" t="s">
        <v>1852</v>
      </c>
      <c r="H192" t="s">
        <v>75</v>
      </c>
      <c r="I192" t="s">
        <v>224</v>
      </c>
      <c r="J192" t="s">
        <v>52</v>
      </c>
      <c r="K192" t="s">
        <v>52</v>
      </c>
      <c r="L192" t="s">
        <v>775</v>
      </c>
      <c r="M192" t="s">
        <v>303</v>
      </c>
      <c r="N192" t="s">
        <v>618</v>
      </c>
      <c r="O192" t="s">
        <v>61</v>
      </c>
      <c r="P192" t="s">
        <v>1422</v>
      </c>
      <c r="Q192" t="s">
        <v>69</v>
      </c>
      <c r="R192" t="s">
        <v>56</v>
      </c>
      <c r="S192" t="s">
        <v>1258</v>
      </c>
      <c r="T192" s="126">
        <v>3.5150000000000001</v>
      </c>
      <c r="U192" s="127">
        <v>47938</v>
      </c>
      <c r="V192" s="125">
        <v>6.3399999999999998E-2</v>
      </c>
      <c r="W192" s="125">
        <v>7.1099999999999997E-2</v>
      </c>
      <c r="X192" t="s">
        <v>607</v>
      </c>
      <c r="Z192" s="124">
        <v>2500000</v>
      </c>
      <c r="AA192" s="124">
        <v>1</v>
      </c>
      <c r="AB192" s="124">
        <v>99.36</v>
      </c>
      <c r="AC192" s="124">
        <v>0</v>
      </c>
      <c r="AD192" s="124">
        <v>2484</v>
      </c>
      <c r="AE192" s="124"/>
      <c r="AF192" s="124"/>
      <c r="AG192" t="s">
        <v>16</v>
      </c>
      <c r="AH192" s="125">
        <v>2.895358277E-3</v>
      </c>
      <c r="AI192" s="125">
        <v>3.7067976749999999E-3</v>
      </c>
      <c r="AJ192" s="125">
        <f>AD192/'סכום נכסים'!$B$30</f>
        <v>4.4721764758332916E-4</v>
      </c>
    </row>
    <row r="193" spans="1:36" x14ac:dyDescent="0.3">
      <c r="A193">
        <v>13908</v>
      </c>
      <c r="B193">
        <v>13908</v>
      </c>
      <c r="C193" t="s">
        <v>1667</v>
      </c>
      <c r="D193">
        <v>520018078</v>
      </c>
      <c r="E193" t="s">
        <v>420</v>
      </c>
      <c r="F193" t="s">
        <v>1853</v>
      </c>
      <c r="G193" t="s">
        <v>1854</v>
      </c>
      <c r="H193" t="s">
        <v>75</v>
      </c>
      <c r="I193" t="s">
        <v>224</v>
      </c>
      <c r="J193" t="s">
        <v>52</v>
      </c>
      <c r="K193" t="s">
        <v>52</v>
      </c>
      <c r="L193" t="s">
        <v>775</v>
      </c>
      <c r="M193" t="s">
        <v>303</v>
      </c>
      <c r="N193" t="s">
        <v>251</v>
      </c>
      <c r="O193" t="s">
        <v>61</v>
      </c>
      <c r="P193" t="s">
        <v>1755</v>
      </c>
      <c r="Q193" t="s">
        <v>69</v>
      </c>
      <c r="R193" t="s">
        <v>56</v>
      </c>
      <c r="S193" t="s">
        <v>1258</v>
      </c>
      <c r="T193" s="126">
        <v>5.2009999999999996</v>
      </c>
      <c r="U193" s="127">
        <v>49065</v>
      </c>
      <c r="V193" s="125">
        <v>4.5900000000000003E-2</v>
      </c>
      <c r="W193" s="125">
        <v>3.9699999999999999E-2</v>
      </c>
      <c r="X193" t="s">
        <v>607</v>
      </c>
      <c r="Z193" s="124">
        <v>27000000</v>
      </c>
      <c r="AA193" s="124">
        <v>1</v>
      </c>
      <c r="AB193" s="124">
        <v>103.9</v>
      </c>
      <c r="AC193" s="124">
        <v>0</v>
      </c>
      <c r="AD193" s="124">
        <v>28053</v>
      </c>
      <c r="AE193" s="124"/>
      <c r="AF193" s="124"/>
      <c r="AG193" t="s">
        <v>16</v>
      </c>
      <c r="AH193" s="125">
        <v>3.7984802129999999E-3</v>
      </c>
      <c r="AI193" s="125">
        <v>4.1862638968E-2</v>
      </c>
      <c r="AJ193" s="125">
        <f>AD193/'סכום נכסים'!$B$30</f>
        <v>5.0506427808595543E-3</v>
      </c>
    </row>
    <row r="194" spans="1:36" x14ac:dyDescent="0.3">
      <c r="A194">
        <v>13908</v>
      </c>
      <c r="B194">
        <v>13908</v>
      </c>
      <c r="C194" t="s">
        <v>1667</v>
      </c>
      <c r="D194">
        <v>520018078</v>
      </c>
      <c r="E194" t="s">
        <v>420</v>
      </c>
      <c r="F194" t="s">
        <v>1855</v>
      </c>
      <c r="G194" t="s">
        <v>1856</v>
      </c>
      <c r="H194" t="s">
        <v>75</v>
      </c>
      <c r="I194" t="s">
        <v>225</v>
      </c>
      <c r="J194" t="s">
        <v>52</v>
      </c>
      <c r="K194" t="s">
        <v>52</v>
      </c>
      <c r="L194" t="s">
        <v>775</v>
      </c>
      <c r="M194" t="s">
        <v>303</v>
      </c>
      <c r="N194" t="s">
        <v>251</v>
      </c>
      <c r="O194" t="s">
        <v>61</v>
      </c>
      <c r="P194" t="s">
        <v>1755</v>
      </c>
      <c r="Q194" t="s">
        <v>69</v>
      </c>
      <c r="R194" t="s">
        <v>56</v>
      </c>
      <c r="S194" t="s">
        <v>1258</v>
      </c>
      <c r="T194" s="126">
        <v>5.984</v>
      </c>
      <c r="U194" s="127">
        <v>49888</v>
      </c>
      <c r="V194" s="125">
        <v>2.5999999999999999E-2</v>
      </c>
      <c r="W194" s="125">
        <v>2.2100000000000002E-2</v>
      </c>
      <c r="X194" t="s">
        <v>607</v>
      </c>
      <c r="Z194" s="124">
        <v>6400000</v>
      </c>
      <c r="AA194" s="124">
        <v>1</v>
      </c>
      <c r="AB194" s="124">
        <v>105.78</v>
      </c>
      <c r="AC194" s="124">
        <v>0</v>
      </c>
      <c r="AD194" s="124">
        <v>6769.92</v>
      </c>
      <c r="AE194" s="124"/>
      <c r="AF194" s="124"/>
      <c r="AG194" t="s">
        <v>16</v>
      </c>
      <c r="AH194" s="125">
        <v>3.4852294339999998E-3</v>
      </c>
      <c r="AI194" s="125">
        <v>1.0102545781E-2</v>
      </c>
      <c r="AJ194" s="125">
        <f>AD194/'סכום נכסים'!$B$30</f>
        <v>1.2188517297614058E-3</v>
      </c>
    </row>
    <row r="195" spans="1:36" x14ac:dyDescent="0.3">
      <c r="A195">
        <v>13908</v>
      </c>
      <c r="B195">
        <v>13908</v>
      </c>
      <c r="C195" t="s">
        <v>1857</v>
      </c>
      <c r="D195">
        <v>2507</v>
      </c>
      <c r="E195" t="s">
        <v>2</v>
      </c>
      <c r="F195" t="s">
        <v>1858</v>
      </c>
      <c r="G195" t="s">
        <v>1859</v>
      </c>
      <c r="H195" t="s">
        <v>75</v>
      </c>
      <c r="I195" t="s">
        <v>224</v>
      </c>
      <c r="J195" t="s">
        <v>52</v>
      </c>
      <c r="K195" t="s">
        <v>52</v>
      </c>
      <c r="L195" t="s">
        <v>53</v>
      </c>
      <c r="M195" t="s">
        <v>303</v>
      </c>
      <c r="N195" t="s">
        <v>621</v>
      </c>
      <c r="O195" t="s">
        <v>61</v>
      </c>
      <c r="P195" t="s">
        <v>290</v>
      </c>
      <c r="Q195" t="s">
        <v>290</v>
      </c>
      <c r="R195" t="s">
        <v>290</v>
      </c>
      <c r="S195" t="s">
        <v>1258</v>
      </c>
      <c r="T195" s="126">
        <v>5.5659999999999998</v>
      </c>
      <c r="U195" s="127">
        <v>48852</v>
      </c>
      <c r="V195" s="125">
        <v>5.6599999999999998E-2</v>
      </c>
      <c r="W195" s="125">
        <v>4.65E-2</v>
      </c>
      <c r="X195" t="s">
        <v>607</v>
      </c>
      <c r="Z195" s="124">
        <v>1000000</v>
      </c>
      <c r="AA195" s="124">
        <v>1</v>
      </c>
      <c r="AB195" s="124">
        <v>96.142300000000006</v>
      </c>
      <c r="AC195" s="124">
        <v>0</v>
      </c>
      <c r="AD195" s="124">
        <v>961.423</v>
      </c>
      <c r="AE195" s="124"/>
      <c r="AF195" s="124"/>
      <c r="AG195" t="s">
        <v>16</v>
      </c>
      <c r="AH195" s="125">
        <v>1E-3</v>
      </c>
      <c r="AI195" s="125">
        <v>1.434702311E-3</v>
      </c>
      <c r="AJ195" s="125">
        <f>AD195/'סכום נכסים'!$B$30</f>
        <v>1.7309393413546985E-4</v>
      </c>
    </row>
    <row r="196" spans="1:36" x14ac:dyDescent="0.3">
      <c r="A196">
        <v>13908</v>
      </c>
      <c r="B196">
        <v>13908</v>
      </c>
      <c r="C196" t="s">
        <v>1857</v>
      </c>
      <c r="D196">
        <v>2507</v>
      </c>
      <c r="E196" t="s">
        <v>2</v>
      </c>
      <c r="F196" t="s">
        <v>1860</v>
      </c>
      <c r="G196" t="s">
        <v>1859</v>
      </c>
      <c r="H196" t="s">
        <v>75</v>
      </c>
      <c r="I196" t="s">
        <v>224</v>
      </c>
      <c r="J196" t="s">
        <v>52</v>
      </c>
      <c r="K196" t="s">
        <v>52</v>
      </c>
      <c r="L196" t="s">
        <v>775</v>
      </c>
      <c r="M196" t="s">
        <v>303</v>
      </c>
      <c r="N196" t="s">
        <v>621</v>
      </c>
      <c r="O196" t="s">
        <v>61</v>
      </c>
      <c r="P196" t="s">
        <v>1395</v>
      </c>
      <c r="Q196" t="s">
        <v>64</v>
      </c>
      <c r="R196" t="s">
        <v>56</v>
      </c>
      <c r="S196" t="s">
        <v>1258</v>
      </c>
      <c r="T196" s="126">
        <v>3.9729999999999999</v>
      </c>
      <c r="U196" s="127">
        <v>48852</v>
      </c>
      <c r="V196" s="125">
        <v>6.6000000000000003E-2</v>
      </c>
      <c r="W196" s="125">
        <v>8.0799999999999997E-2</v>
      </c>
      <c r="X196" t="s">
        <v>607</v>
      </c>
      <c r="Z196" s="124">
        <v>1680000</v>
      </c>
      <c r="AA196" s="124">
        <v>1</v>
      </c>
      <c r="AB196" s="124">
        <v>96.56</v>
      </c>
      <c r="AC196" s="124">
        <v>0</v>
      </c>
      <c r="AD196" s="124">
        <v>1622.2080000000001</v>
      </c>
      <c r="AE196" s="124"/>
      <c r="AF196" s="124"/>
      <c r="AG196" t="s">
        <v>16</v>
      </c>
      <c r="AH196" s="125">
        <v>1.6800000000000001E-3</v>
      </c>
      <c r="AI196" s="125">
        <v>2.4207716759999998E-3</v>
      </c>
      <c r="AJ196" s="125">
        <f>AD196/'סכום נכסים'!$B$30</f>
        <v>2.9206121000437092E-4</v>
      </c>
    </row>
    <row r="197" spans="1:36" x14ac:dyDescent="0.3">
      <c r="A197">
        <v>13908</v>
      </c>
      <c r="B197">
        <v>13908</v>
      </c>
      <c r="C197" t="s">
        <v>1861</v>
      </c>
      <c r="D197">
        <v>511396046</v>
      </c>
      <c r="E197" t="s">
        <v>420</v>
      </c>
      <c r="F197" t="s">
        <v>1862</v>
      </c>
      <c r="G197" t="s">
        <v>1863</v>
      </c>
      <c r="H197" t="s">
        <v>75</v>
      </c>
      <c r="I197" t="s">
        <v>226</v>
      </c>
      <c r="J197" t="s">
        <v>52</v>
      </c>
      <c r="K197" t="s">
        <v>52</v>
      </c>
      <c r="L197" t="s">
        <v>775</v>
      </c>
      <c r="M197" t="s">
        <v>303</v>
      </c>
      <c r="N197" t="s">
        <v>253</v>
      </c>
      <c r="O197" t="s">
        <v>61</v>
      </c>
      <c r="P197" t="s">
        <v>290</v>
      </c>
      <c r="Q197" t="s">
        <v>290</v>
      </c>
      <c r="R197" t="s">
        <v>290</v>
      </c>
      <c r="S197" t="s">
        <v>1258</v>
      </c>
      <c r="T197" s="126">
        <v>4.08</v>
      </c>
      <c r="U197" s="127">
        <v>48945</v>
      </c>
      <c r="V197" s="125">
        <v>8.7499999999999994E-2</v>
      </c>
      <c r="W197" s="125">
        <v>7.5200000000000003E-2</v>
      </c>
      <c r="X197" t="s">
        <v>607</v>
      </c>
      <c r="Z197" s="124">
        <v>872870</v>
      </c>
      <c r="AA197" s="124">
        <v>1</v>
      </c>
      <c r="AB197" s="124">
        <v>93.99</v>
      </c>
      <c r="AC197" s="124">
        <v>0</v>
      </c>
      <c r="AD197" s="124">
        <v>820.41051000000004</v>
      </c>
      <c r="AE197" s="124"/>
      <c r="AF197" s="124"/>
      <c r="AG197" t="s">
        <v>16</v>
      </c>
      <c r="AH197" s="125">
        <v>2.8174745070000001E-3</v>
      </c>
      <c r="AI197" s="125">
        <v>1.2242736600000001E-3</v>
      </c>
      <c r="AJ197" s="125">
        <f>AD197/'סכום נכסים'!$B$30</f>
        <v>1.4770614264687576E-4</v>
      </c>
    </row>
    <row r="198" spans="1:36" x14ac:dyDescent="0.3">
      <c r="A198">
        <v>13908</v>
      </c>
      <c r="B198">
        <v>13908</v>
      </c>
      <c r="C198" t="s">
        <v>1864</v>
      </c>
      <c r="D198">
        <v>2514</v>
      </c>
      <c r="E198" t="s">
        <v>2</v>
      </c>
      <c r="F198" t="s">
        <v>1865</v>
      </c>
      <c r="G198" t="s">
        <v>1866</v>
      </c>
      <c r="H198" t="s">
        <v>75</v>
      </c>
      <c r="I198" t="s">
        <v>224</v>
      </c>
      <c r="J198" t="s">
        <v>52</v>
      </c>
      <c r="K198" t="s">
        <v>52</v>
      </c>
      <c r="L198" t="s">
        <v>775</v>
      </c>
      <c r="M198" t="s">
        <v>303</v>
      </c>
      <c r="N198" t="s">
        <v>618</v>
      </c>
      <c r="O198" t="s">
        <v>61</v>
      </c>
      <c r="P198" t="s">
        <v>1349</v>
      </c>
      <c r="Q198" t="s">
        <v>64</v>
      </c>
      <c r="R198" t="s">
        <v>56</v>
      </c>
      <c r="S198" t="s">
        <v>1258</v>
      </c>
      <c r="T198" s="126">
        <v>3.9910000000000001</v>
      </c>
      <c r="U198" s="127">
        <v>47848</v>
      </c>
      <c r="V198" s="125">
        <v>5.5E-2</v>
      </c>
      <c r="W198" s="125">
        <v>8.14E-2</v>
      </c>
      <c r="X198" t="s">
        <v>607</v>
      </c>
      <c r="Z198" s="124">
        <v>2000000</v>
      </c>
      <c r="AA198" s="124">
        <v>1</v>
      </c>
      <c r="AB198" s="124">
        <v>90.94</v>
      </c>
      <c r="AC198" s="124">
        <v>0</v>
      </c>
      <c r="AD198" s="124">
        <v>1818.8</v>
      </c>
      <c r="AE198" s="124"/>
      <c r="AF198" s="124"/>
      <c r="AG198" t="s">
        <v>16</v>
      </c>
      <c r="AH198" s="125">
        <v>3.664950248E-3</v>
      </c>
      <c r="AI198" s="125">
        <v>2.7141399400000001E-3</v>
      </c>
      <c r="AJ198" s="125">
        <f>AD198/'סכום נכסים'!$B$30</f>
        <v>3.2745549815803505E-4</v>
      </c>
    </row>
    <row r="199" spans="1:36" x14ac:dyDescent="0.3">
      <c r="A199">
        <v>13908</v>
      </c>
      <c r="B199">
        <v>13908</v>
      </c>
      <c r="C199" t="s">
        <v>1473</v>
      </c>
      <c r="D199">
        <v>515434074</v>
      </c>
      <c r="E199" t="s">
        <v>420</v>
      </c>
      <c r="F199" t="s">
        <v>1867</v>
      </c>
      <c r="G199" t="s">
        <v>1868</v>
      </c>
      <c r="H199" t="s">
        <v>75</v>
      </c>
      <c r="I199" t="s">
        <v>225</v>
      </c>
      <c r="J199" t="s">
        <v>52</v>
      </c>
      <c r="K199" t="s">
        <v>52</v>
      </c>
      <c r="L199" t="s">
        <v>53</v>
      </c>
      <c r="M199" t="s">
        <v>303</v>
      </c>
      <c r="N199" t="s">
        <v>620</v>
      </c>
      <c r="O199" t="s">
        <v>61</v>
      </c>
      <c r="P199" t="s">
        <v>290</v>
      </c>
      <c r="Q199" t="s">
        <v>290</v>
      </c>
      <c r="R199" t="s">
        <v>290</v>
      </c>
      <c r="S199" t="s">
        <v>1258</v>
      </c>
      <c r="T199" s="126">
        <v>2.4910000000000001</v>
      </c>
      <c r="U199" s="127">
        <v>47118</v>
      </c>
      <c r="V199" s="125">
        <v>5.0000000000000001E-3</v>
      </c>
      <c r="W199" s="125">
        <v>2.4799999999999999E-2</v>
      </c>
      <c r="X199" t="s">
        <v>607</v>
      </c>
      <c r="Z199" s="124">
        <v>1000000</v>
      </c>
      <c r="AA199" s="124">
        <v>1</v>
      </c>
      <c r="AB199" s="124">
        <v>96.298100000000005</v>
      </c>
      <c r="AC199" s="124">
        <v>0</v>
      </c>
      <c r="AD199" s="124">
        <v>962.98099999999999</v>
      </c>
      <c r="AE199" s="124"/>
      <c r="AF199" s="124"/>
      <c r="AG199" t="s">
        <v>16</v>
      </c>
      <c r="AH199" s="125">
        <v>1.8903591680000001E-3</v>
      </c>
      <c r="AI199" s="125">
        <v>1.437027267E-3</v>
      </c>
      <c r="AJ199" s="125">
        <f>AD199/'סכום נכסים'!$B$30</f>
        <v>1.7337443538141783E-4</v>
      </c>
    </row>
    <row r="200" spans="1:36" x14ac:dyDescent="0.3">
      <c r="A200">
        <v>13908</v>
      </c>
      <c r="B200">
        <v>13908</v>
      </c>
      <c r="C200" t="s">
        <v>1526</v>
      </c>
      <c r="D200">
        <v>512882747</v>
      </c>
      <c r="E200" t="s">
        <v>420</v>
      </c>
      <c r="F200" t="s">
        <v>1869</v>
      </c>
      <c r="G200" t="s">
        <v>1870</v>
      </c>
      <c r="H200" t="s">
        <v>75</v>
      </c>
      <c r="I200" t="s">
        <v>225</v>
      </c>
      <c r="J200" t="s">
        <v>52</v>
      </c>
      <c r="K200" t="s">
        <v>52</v>
      </c>
      <c r="L200" t="s">
        <v>53</v>
      </c>
      <c r="M200" t="s">
        <v>303</v>
      </c>
      <c r="N200" t="s">
        <v>616</v>
      </c>
      <c r="O200" t="s">
        <v>61</v>
      </c>
      <c r="P200" t="s">
        <v>290</v>
      </c>
      <c r="Q200" t="s">
        <v>290</v>
      </c>
      <c r="R200" t="s">
        <v>290</v>
      </c>
      <c r="S200" t="s">
        <v>1258</v>
      </c>
      <c r="T200" s="126">
        <v>3.8170000000000002</v>
      </c>
      <c r="U200" s="127">
        <v>47848</v>
      </c>
      <c r="V200" s="125">
        <v>3.4200000000000001E-2</v>
      </c>
      <c r="W200" s="125">
        <v>2.9600000000000001E-2</v>
      </c>
      <c r="X200" t="s">
        <v>607</v>
      </c>
      <c r="Z200" s="124">
        <v>1000000</v>
      </c>
      <c r="AA200" s="124">
        <v>1</v>
      </c>
      <c r="AB200" s="124">
        <v>102.5783</v>
      </c>
      <c r="AC200" s="124">
        <v>0</v>
      </c>
      <c r="AD200" s="124">
        <v>1025.7829999999999</v>
      </c>
      <c r="AE200" s="124"/>
      <c r="AF200" s="124"/>
      <c r="AG200" t="s">
        <v>16</v>
      </c>
      <c r="AH200" s="125">
        <v>3.6900369000000001E-3</v>
      </c>
      <c r="AI200" s="125">
        <v>1.530744782E-3</v>
      </c>
      <c r="AJ200" s="125">
        <f>AD200/'סכום נכסים'!$B$30</f>
        <v>1.846812641670572E-4</v>
      </c>
    </row>
    <row r="201" spans="1:36" x14ac:dyDescent="0.3">
      <c r="A201">
        <v>13908</v>
      </c>
      <c r="B201">
        <v>13908</v>
      </c>
      <c r="C201" t="s">
        <v>1871</v>
      </c>
      <c r="D201">
        <v>515724706</v>
      </c>
      <c r="E201" t="s">
        <v>420</v>
      </c>
      <c r="F201" t="s">
        <v>1872</v>
      </c>
      <c r="G201" t="s">
        <v>1873</v>
      </c>
      <c r="H201" t="s">
        <v>75</v>
      </c>
      <c r="I201" t="s">
        <v>225</v>
      </c>
      <c r="J201" t="s">
        <v>52</v>
      </c>
      <c r="K201" t="s">
        <v>52</v>
      </c>
      <c r="L201" t="s">
        <v>775</v>
      </c>
      <c r="M201" t="s">
        <v>303</v>
      </c>
      <c r="N201" t="s">
        <v>620</v>
      </c>
      <c r="O201" t="s">
        <v>61</v>
      </c>
      <c r="P201" t="s">
        <v>290</v>
      </c>
      <c r="Q201" t="s">
        <v>290</v>
      </c>
      <c r="R201" t="s">
        <v>290</v>
      </c>
      <c r="S201" t="s">
        <v>1258</v>
      </c>
      <c r="T201" s="126">
        <v>2.0129999999999999</v>
      </c>
      <c r="U201" s="127">
        <v>46997</v>
      </c>
      <c r="V201" s="125">
        <v>3.7400000000000003E-2</v>
      </c>
      <c r="W201" s="125">
        <v>3.1E-2</v>
      </c>
      <c r="X201" t="s">
        <v>607</v>
      </c>
      <c r="Z201" s="124">
        <v>599000</v>
      </c>
      <c r="AA201" s="124">
        <v>1</v>
      </c>
      <c r="AB201" s="124">
        <v>107.68</v>
      </c>
      <c r="AC201" s="124">
        <v>0</v>
      </c>
      <c r="AD201" s="124">
        <v>645.00319999999999</v>
      </c>
      <c r="AE201" s="124"/>
      <c r="AF201" s="124"/>
      <c r="AG201" t="s">
        <v>16</v>
      </c>
      <c r="AH201" s="125">
        <v>1.781988106E-3</v>
      </c>
      <c r="AI201" s="125">
        <v>9.6251866400000005E-4</v>
      </c>
      <c r="AJ201" s="125">
        <f>AD201/'סכום נכסים'!$B$30</f>
        <v>1.1612593147653767E-4</v>
      </c>
    </row>
    <row r="202" spans="1:36" x14ac:dyDescent="0.3">
      <c r="A202">
        <v>13908</v>
      </c>
      <c r="B202">
        <v>13908</v>
      </c>
      <c r="C202" t="s">
        <v>1874</v>
      </c>
      <c r="D202">
        <v>550263107</v>
      </c>
      <c r="E202" t="s">
        <v>420</v>
      </c>
      <c r="F202" t="s">
        <v>1875</v>
      </c>
      <c r="G202" t="s">
        <v>1876</v>
      </c>
      <c r="H202" t="s">
        <v>75</v>
      </c>
      <c r="I202" t="s">
        <v>226</v>
      </c>
      <c r="J202" t="s">
        <v>52</v>
      </c>
      <c r="K202" t="s">
        <v>52</v>
      </c>
      <c r="L202" t="s">
        <v>53</v>
      </c>
      <c r="M202" t="s">
        <v>303</v>
      </c>
      <c r="N202" t="s">
        <v>260</v>
      </c>
      <c r="O202" t="s">
        <v>61</v>
      </c>
      <c r="P202" t="s">
        <v>290</v>
      </c>
      <c r="Q202" t="s">
        <v>290</v>
      </c>
      <c r="R202" t="s">
        <v>290</v>
      </c>
      <c r="S202" t="s">
        <v>1258</v>
      </c>
      <c r="T202" s="126">
        <v>4.2489999999999997</v>
      </c>
      <c r="U202" s="127">
        <v>48213</v>
      </c>
      <c r="V202" s="125">
        <v>7.9500000000000001E-2</v>
      </c>
      <c r="W202" s="125">
        <v>6.5299999999999997E-2</v>
      </c>
      <c r="X202" t="s">
        <v>607</v>
      </c>
      <c r="Z202" s="124">
        <v>1500000</v>
      </c>
      <c r="AA202" s="124">
        <v>1</v>
      </c>
      <c r="AB202" s="124">
        <v>96.679400000000001</v>
      </c>
      <c r="AC202" s="124">
        <v>0</v>
      </c>
      <c r="AD202" s="124">
        <v>1450.191</v>
      </c>
      <c r="AE202" s="124"/>
      <c r="AF202" s="124"/>
      <c r="AG202" t="s">
        <v>16</v>
      </c>
      <c r="AH202" s="125">
        <v>1.5E-3</v>
      </c>
      <c r="AI202" s="125">
        <v>2.1640759369999998E-3</v>
      </c>
      <c r="AJ202" s="125">
        <f>AD202/'סכום נכסים'!$B$30</f>
        <v>2.6109138790922533E-4</v>
      </c>
    </row>
    <row r="203" spans="1:36" x14ac:dyDescent="0.3">
      <c r="A203">
        <v>13908</v>
      </c>
      <c r="B203">
        <v>13908</v>
      </c>
      <c r="C203" t="s">
        <v>1877</v>
      </c>
      <c r="D203">
        <v>517199469</v>
      </c>
      <c r="E203" t="s">
        <v>420</v>
      </c>
      <c r="F203" t="s">
        <v>1878</v>
      </c>
      <c r="G203" t="s">
        <v>1879</v>
      </c>
      <c r="H203" t="s">
        <v>75</v>
      </c>
      <c r="I203" t="s">
        <v>225</v>
      </c>
      <c r="J203" t="s">
        <v>52</v>
      </c>
      <c r="K203" t="s">
        <v>52</v>
      </c>
      <c r="L203" t="s">
        <v>775</v>
      </c>
      <c r="M203" t="s">
        <v>303</v>
      </c>
      <c r="N203" t="s">
        <v>621</v>
      </c>
      <c r="O203" t="s">
        <v>61</v>
      </c>
      <c r="P203" t="s">
        <v>290</v>
      </c>
      <c r="Q203" t="s">
        <v>290</v>
      </c>
      <c r="R203" t="s">
        <v>290</v>
      </c>
      <c r="S203" t="s">
        <v>1258</v>
      </c>
      <c r="T203" s="126">
        <v>3.0369999999999999</v>
      </c>
      <c r="U203" s="127">
        <v>47391</v>
      </c>
      <c r="V203" s="125">
        <v>4.3799999999999999E-2</v>
      </c>
      <c r="W203" s="125">
        <v>3.9300000000000002E-2</v>
      </c>
      <c r="X203" t="s">
        <v>607</v>
      </c>
      <c r="Z203" s="124">
        <v>2144134</v>
      </c>
      <c r="AA203" s="124">
        <v>1</v>
      </c>
      <c r="AB203" s="124">
        <v>103.26</v>
      </c>
      <c r="AC203" s="124">
        <v>0</v>
      </c>
      <c r="AD203" s="124">
        <v>2214.0327699999998</v>
      </c>
      <c r="AE203" s="124"/>
      <c r="AF203" s="124"/>
      <c r="AG203" t="s">
        <v>16</v>
      </c>
      <c r="AH203" s="125">
        <v>1.8170627109999999E-3</v>
      </c>
      <c r="AI203" s="125">
        <v>3.3039337860000001E-3</v>
      </c>
      <c r="AJ203" s="125">
        <f>AD203/'סכום נכסים'!$B$30</f>
        <v>3.98612933603785E-4</v>
      </c>
    </row>
    <row r="204" spans="1:36" x14ac:dyDescent="0.3">
      <c r="A204">
        <v>13908</v>
      </c>
      <c r="B204">
        <v>13908</v>
      </c>
      <c r="C204" t="s">
        <v>1354</v>
      </c>
      <c r="D204">
        <v>511659401</v>
      </c>
      <c r="E204" t="s">
        <v>420</v>
      </c>
      <c r="F204" t="s">
        <v>1880</v>
      </c>
      <c r="G204" t="s">
        <v>1881</v>
      </c>
      <c r="H204" t="s">
        <v>75</v>
      </c>
      <c r="I204" t="s">
        <v>225</v>
      </c>
      <c r="J204" t="s">
        <v>52</v>
      </c>
      <c r="K204" t="s">
        <v>52</v>
      </c>
      <c r="L204" t="s">
        <v>775</v>
      </c>
      <c r="M204" t="s">
        <v>303</v>
      </c>
      <c r="N204" t="s">
        <v>620</v>
      </c>
      <c r="O204" t="s">
        <v>61</v>
      </c>
      <c r="P204" t="s">
        <v>1353</v>
      </c>
      <c r="Q204" t="s">
        <v>64</v>
      </c>
      <c r="R204" t="s">
        <v>56</v>
      </c>
      <c r="S204" t="s">
        <v>1258</v>
      </c>
      <c r="T204" s="126">
        <v>8.7550000000000008</v>
      </c>
      <c r="U204" s="127">
        <v>51256</v>
      </c>
      <c r="V204" s="125">
        <v>2.8000000000000001E-2</v>
      </c>
      <c r="W204" s="125">
        <v>2.76E-2</v>
      </c>
      <c r="X204" t="s">
        <v>607</v>
      </c>
      <c r="Z204" s="124">
        <v>1000000</v>
      </c>
      <c r="AA204" s="124">
        <v>1</v>
      </c>
      <c r="AB204" s="124">
        <v>101.61</v>
      </c>
      <c r="AC204" s="124">
        <v>0</v>
      </c>
      <c r="AD204" s="124">
        <v>1016.1</v>
      </c>
      <c r="AE204" s="124"/>
      <c r="AF204" s="124"/>
      <c r="AG204" t="s">
        <v>16</v>
      </c>
      <c r="AH204" s="125">
        <v>1.6829350380000001E-3</v>
      </c>
      <c r="AI204" s="125">
        <v>1.5162951360000001E-3</v>
      </c>
      <c r="AJ204" s="125">
        <f>AD204/'סכום נכסים'!$B$30</f>
        <v>1.829379435223111E-4</v>
      </c>
    </row>
    <row r="205" spans="1:36" x14ac:dyDescent="0.3">
      <c r="A205">
        <v>13908</v>
      </c>
      <c r="B205">
        <v>13908</v>
      </c>
      <c r="C205" t="s">
        <v>1882</v>
      </c>
      <c r="D205">
        <v>2515</v>
      </c>
      <c r="E205" t="s">
        <v>2</v>
      </c>
      <c r="F205" t="s">
        <v>1883</v>
      </c>
      <c r="G205" t="s">
        <v>1884</v>
      </c>
      <c r="H205" t="s">
        <v>75</v>
      </c>
      <c r="I205" t="s">
        <v>224</v>
      </c>
      <c r="J205" t="s">
        <v>52</v>
      </c>
      <c r="K205" t="s">
        <v>52</v>
      </c>
      <c r="L205" t="s">
        <v>775</v>
      </c>
      <c r="M205" t="s">
        <v>303</v>
      </c>
      <c r="N205" t="s">
        <v>252</v>
      </c>
      <c r="O205" t="s">
        <v>61</v>
      </c>
      <c r="P205" t="s">
        <v>290</v>
      </c>
      <c r="Q205" t="s">
        <v>290</v>
      </c>
      <c r="R205" t="s">
        <v>290</v>
      </c>
      <c r="S205" t="s">
        <v>1258</v>
      </c>
      <c r="T205" s="126">
        <v>2.609</v>
      </c>
      <c r="U205" s="127">
        <v>47818</v>
      </c>
      <c r="V205" s="125">
        <v>8.5000000000000006E-2</v>
      </c>
      <c r="W205" s="125">
        <v>0.62170000000000003</v>
      </c>
      <c r="X205" t="s">
        <v>607</v>
      </c>
      <c r="Z205" s="124">
        <v>1000000</v>
      </c>
      <c r="AA205" s="124">
        <v>1</v>
      </c>
      <c r="AB205" s="124">
        <v>38.5</v>
      </c>
      <c r="AC205" s="124">
        <v>0</v>
      </c>
      <c r="AD205" s="124">
        <v>385</v>
      </c>
      <c r="AE205" s="124"/>
      <c r="AF205" s="124"/>
      <c r="AG205" t="s">
        <v>16</v>
      </c>
      <c r="AH205" s="125">
        <v>1.6129032249999999E-3</v>
      </c>
      <c r="AI205" s="125">
        <v>5.7452379400000004E-4</v>
      </c>
      <c r="AJ205" s="125">
        <f>AD205/'סכום נכסים'!$B$30</f>
        <v>6.9315134589203602E-5</v>
      </c>
    </row>
    <row r="206" spans="1:36" x14ac:dyDescent="0.3">
      <c r="A206">
        <v>13908</v>
      </c>
      <c r="B206">
        <v>13908</v>
      </c>
      <c r="C206" t="s">
        <v>1674</v>
      </c>
      <c r="D206">
        <v>516291754</v>
      </c>
      <c r="E206" t="s">
        <v>420</v>
      </c>
      <c r="F206" t="s">
        <v>1885</v>
      </c>
      <c r="G206" t="s">
        <v>1886</v>
      </c>
      <c r="H206" t="s">
        <v>75</v>
      </c>
      <c r="I206" t="s">
        <v>225</v>
      </c>
      <c r="J206" t="s">
        <v>52</v>
      </c>
      <c r="K206" t="s">
        <v>52</v>
      </c>
      <c r="L206" t="s">
        <v>775</v>
      </c>
      <c r="M206" t="s">
        <v>303</v>
      </c>
      <c r="N206" t="s">
        <v>620</v>
      </c>
      <c r="O206" t="s">
        <v>61</v>
      </c>
      <c r="P206" t="s">
        <v>290</v>
      </c>
      <c r="Q206" t="s">
        <v>290</v>
      </c>
      <c r="R206" t="s">
        <v>290</v>
      </c>
      <c r="S206" t="s">
        <v>1258</v>
      </c>
      <c r="T206" s="126">
        <v>5.0140000000000002</v>
      </c>
      <c r="U206" s="127">
        <v>48304</v>
      </c>
      <c r="V206" s="125">
        <v>3.5799999999999998E-2</v>
      </c>
      <c r="W206" s="125">
        <v>3.5799999999999998E-2</v>
      </c>
      <c r="X206" t="s">
        <v>607</v>
      </c>
      <c r="Z206" s="124">
        <v>1000000</v>
      </c>
      <c r="AA206" s="124">
        <v>1</v>
      </c>
      <c r="AB206" s="124">
        <v>101.7</v>
      </c>
      <c r="AC206" s="124">
        <v>0</v>
      </c>
      <c r="AD206" s="124">
        <v>1017</v>
      </c>
      <c r="AE206" s="124"/>
      <c r="AF206" s="124"/>
      <c r="AG206" t="s">
        <v>16</v>
      </c>
      <c r="AH206" s="125">
        <v>1.3139861999999999E-3</v>
      </c>
      <c r="AI206" s="125">
        <v>1.5176381779999999E-3</v>
      </c>
      <c r="AJ206" s="125">
        <f>AD206/'סכום נכסים'!$B$30</f>
        <v>1.8309997890187028E-4</v>
      </c>
    </row>
    <row r="207" spans="1:36" x14ac:dyDescent="0.3">
      <c r="A207">
        <v>13908</v>
      </c>
      <c r="B207">
        <v>13908</v>
      </c>
      <c r="C207" t="s">
        <v>1887</v>
      </c>
      <c r="D207">
        <v>513609131</v>
      </c>
      <c r="E207" t="s">
        <v>420</v>
      </c>
      <c r="F207" t="s">
        <v>1888</v>
      </c>
      <c r="G207" t="s">
        <v>1889</v>
      </c>
      <c r="H207" t="s">
        <v>75</v>
      </c>
      <c r="I207" t="s">
        <v>224</v>
      </c>
      <c r="J207" t="s">
        <v>52</v>
      </c>
      <c r="K207" t="s">
        <v>52</v>
      </c>
      <c r="L207" t="s">
        <v>775</v>
      </c>
      <c r="M207" t="s">
        <v>303</v>
      </c>
      <c r="N207" t="s">
        <v>138</v>
      </c>
      <c r="O207" t="s">
        <v>61</v>
      </c>
      <c r="P207" t="s">
        <v>290</v>
      </c>
      <c r="Q207" t="s">
        <v>290</v>
      </c>
      <c r="R207" t="s">
        <v>290</v>
      </c>
      <c r="S207" t="s">
        <v>1258</v>
      </c>
      <c r="T207" s="126">
        <v>3.0790000000000002</v>
      </c>
      <c r="U207" s="127">
        <v>47483</v>
      </c>
      <c r="V207" s="125">
        <v>5.4300000000000001E-2</v>
      </c>
      <c r="W207" s="125">
        <v>5.16E-2</v>
      </c>
      <c r="X207" t="s">
        <v>607</v>
      </c>
      <c r="Z207" s="124">
        <v>468000</v>
      </c>
      <c r="AA207" s="124">
        <v>1</v>
      </c>
      <c r="AB207" s="124">
        <v>101</v>
      </c>
      <c r="AC207" s="124">
        <v>0</v>
      </c>
      <c r="AD207" s="124">
        <v>472.68</v>
      </c>
      <c r="AE207" s="124"/>
      <c r="AF207" s="124"/>
      <c r="AG207" t="s">
        <v>16</v>
      </c>
      <c r="AH207" s="125">
        <v>1.183312262E-3</v>
      </c>
      <c r="AI207" s="125">
        <v>7.0536599199999995E-4</v>
      </c>
      <c r="AJ207" s="125">
        <f>AD207/'סכום נכסים'!$B$30</f>
        <v>8.5100981344479889E-5</v>
      </c>
    </row>
    <row r="208" spans="1:36" x14ac:dyDescent="0.3">
      <c r="A208">
        <v>13908</v>
      </c>
      <c r="B208">
        <v>13908</v>
      </c>
      <c r="C208" t="s">
        <v>1763</v>
      </c>
      <c r="D208">
        <v>1632</v>
      </c>
      <c r="E208" t="s">
        <v>2</v>
      </c>
      <c r="F208" t="s">
        <v>1890</v>
      </c>
      <c r="G208" t="s">
        <v>1891</v>
      </c>
      <c r="H208" t="s">
        <v>75</v>
      </c>
      <c r="I208" t="s">
        <v>224</v>
      </c>
      <c r="J208" t="s">
        <v>52</v>
      </c>
      <c r="K208" t="s">
        <v>52</v>
      </c>
      <c r="L208" t="s">
        <v>775</v>
      </c>
      <c r="M208" t="s">
        <v>303</v>
      </c>
      <c r="N208" t="s">
        <v>621</v>
      </c>
      <c r="O208" t="s">
        <v>61</v>
      </c>
      <c r="P208" t="s">
        <v>1496</v>
      </c>
      <c r="Q208" t="s">
        <v>69</v>
      </c>
      <c r="R208" t="s">
        <v>56</v>
      </c>
      <c r="S208" t="s">
        <v>1258</v>
      </c>
      <c r="T208" s="126">
        <v>2.7440000000000002</v>
      </c>
      <c r="U208" s="127">
        <v>47300</v>
      </c>
      <c r="V208" s="125">
        <v>7.3999999999999996E-2</v>
      </c>
      <c r="W208" s="125">
        <v>7.8100000000000003E-2</v>
      </c>
      <c r="X208" t="s">
        <v>607</v>
      </c>
      <c r="Z208" s="124">
        <v>1500000</v>
      </c>
      <c r="AA208" s="124">
        <v>1</v>
      </c>
      <c r="AB208" s="124">
        <v>99.31</v>
      </c>
      <c r="AC208" s="124">
        <v>0</v>
      </c>
      <c r="AD208" s="124">
        <v>1489.65</v>
      </c>
      <c r="AE208" s="124"/>
      <c r="AF208" s="124"/>
      <c r="AG208" t="s">
        <v>16</v>
      </c>
      <c r="AH208" s="125">
        <v>4.545454545E-3</v>
      </c>
      <c r="AI208" s="125">
        <v>2.2229594030000002E-3</v>
      </c>
      <c r="AJ208" s="125">
        <f>AD208/'סכום נכסים'!$B$30</f>
        <v>2.6819555906703154E-4</v>
      </c>
    </row>
    <row r="209" spans="1:36" x14ac:dyDescent="0.3">
      <c r="A209">
        <v>13908</v>
      </c>
      <c r="B209">
        <v>13908</v>
      </c>
      <c r="C209" t="s">
        <v>1550</v>
      </c>
      <c r="D209">
        <v>520029935</v>
      </c>
      <c r="E209" t="s">
        <v>420</v>
      </c>
      <c r="F209" t="s">
        <v>1892</v>
      </c>
      <c r="G209" t="s">
        <v>1893</v>
      </c>
      <c r="H209" t="s">
        <v>75</v>
      </c>
      <c r="I209" t="s">
        <v>225</v>
      </c>
      <c r="J209" t="s">
        <v>52</v>
      </c>
      <c r="K209" t="s">
        <v>52</v>
      </c>
      <c r="L209" t="s">
        <v>775</v>
      </c>
      <c r="M209" t="s">
        <v>303</v>
      </c>
      <c r="N209" t="s">
        <v>251</v>
      </c>
      <c r="O209" t="s">
        <v>61</v>
      </c>
      <c r="P209" t="s">
        <v>1349</v>
      </c>
      <c r="Q209" t="s">
        <v>64</v>
      </c>
      <c r="R209" t="s">
        <v>56</v>
      </c>
      <c r="S209" t="s">
        <v>1258</v>
      </c>
      <c r="T209" s="126">
        <v>5.2359999999999998</v>
      </c>
      <c r="U209" s="127">
        <v>50075</v>
      </c>
      <c r="V209" s="125">
        <v>2.5000000000000001E-2</v>
      </c>
      <c r="W209" s="125">
        <v>2.58E-2</v>
      </c>
      <c r="X209" t="s">
        <v>607</v>
      </c>
      <c r="Z209" s="124">
        <v>1000000</v>
      </c>
      <c r="AA209" s="124">
        <v>1</v>
      </c>
      <c r="AB209" s="124">
        <v>101.95</v>
      </c>
      <c r="AC209" s="124">
        <v>0</v>
      </c>
      <c r="AD209" s="124">
        <v>1019.5</v>
      </c>
      <c r="AE209" s="124"/>
      <c r="AF209" s="124"/>
      <c r="AG209" t="s">
        <v>16</v>
      </c>
      <c r="AH209" s="125">
        <v>9.8945831099999998E-4</v>
      </c>
      <c r="AI209" s="125">
        <v>1.521368852E-3</v>
      </c>
      <c r="AJ209" s="125">
        <f>AD209/'סכום נכסים'!$B$30</f>
        <v>1.8355007717842355E-4</v>
      </c>
    </row>
    <row r="210" spans="1:36" x14ac:dyDescent="0.3">
      <c r="A210">
        <v>13908</v>
      </c>
      <c r="B210">
        <v>13908</v>
      </c>
      <c r="C210" t="s">
        <v>1550</v>
      </c>
      <c r="D210">
        <v>520029935</v>
      </c>
      <c r="E210" t="s">
        <v>420</v>
      </c>
      <c r="F210" t="s">
        <v>1894</v>
      </c>
      <c r="G210" t="s">
        <v>1895</v>
      </c>
      <c r="H210" t="s">
        <v>75</v>
      </c>
      <c r="I210" t="s">
        <v>225</v>
      </c>
      <c r="J210" t="s">
        <v>52</v>
      </c>
      <c r="K210" t="s">
        <v>52</v>
      </c>
      <c r="L210" t="s">
        <v>775</v>
      </c>
      <c r="M210" t="s">
        <v>303</v>
      </c>
      <c r="N210" t="s">
        <v>251</v>
      </c>
      <c r="O210" t="s">
        <v>61</v>
      </c>
      <c r="P210" t="s">
        <v>1257</v>
      </c>
      <c r="Q210" t="s">
        <v>64</v>
      </c>
      <c r="R210" t="s">
        <v>56</v>
      </c>
      <c r="S210" t="s">
        <v>1258</v>
      </c>
      <c r="T210" s="126">
        <v>4.7060000000000004</v>
      </c>
      <c r="U210" s="127">
        <v>49694</v>
      </c>
      <c r="V210" s="125">
        <v>2.2200000000000001E-2</v>
      </c>
      <c r="W210" s="125">
        <v>2.3099999999999999E-2</v>
      </c>
      <c r="X210" t="s">
        <v>607</v>
      </c>
      <c r="Z210" s="124">
        <v>10000000</v>
      </c>
      <c r="AA210" s="124">
        <v>1</v>
      </c>
      <c r="AB210" s="124">
        <v>101.81</v>
      </c>
      <c r="AC210" s="124">
        <v>0</v>
      </c>
      <c r="AD210" s="124">
        <v>10181</v>
      </c>
      <c r="AE210" s="124"/>
      <c r="AF210" s="124"/>
      <c r="AG210" t="s">
        <v>16</v>
      </c>
      <c r="AH210" s="125">
        <v>4.0968142759999996E-3</v>
      </c>
      <c r="AI210" s="125">
        <v>1.5192796753999999E-2</v>
      </c>
      <c r="AJ210" s="125">
        <f>AD210/'סכום נכסים'!$B$30</f>
        <v>1.8329802214355371E-3</v>
      </c>
    </row>
    <row r="211" spans="1:36" x14ac:dyDescent="0.3">
      <c r="A211">
        <v>13908</v>
      </c>
      <c r="B211">
        <v>13908</v>
      </c>
      <c r="C211" t="s">
        <v>1896</v>
      </c>
      <c r="D211">
        <v>2527</v>
      </c>
      <c r="E211" t="s">
        <v>2</v>
      </c>
      <c r="F211" t="s">
        <v>1897</v>
      </c>
      <c r="G211" t="s">
        <v>1898</v>
      </c>
      <c r="H211" t="s">
        <v>75</v>
      </c>
      <c r="I211" t="s">
        <v>224</v>
      </c>
      <c r="J211" t="s">
        <v>52</v>
      </c>
      <c r="K211" t="s">
        <v>52</v>
      </c>
      <c r="L211" t="s">
        <v>775</v>
      </c>
      <c r="M211" t="s">
        <v>303</v>
      </c>
      <c r="N211" t="s">
        <v>621</v>
      </c>
      <c r="O211" t="s">
        <v>61</v>
      </c>
      <c r="P211" t="s">
        <v>290</v>
      </c>
      <c r="Q211" t="s">
        <v>290</v>
      </c>
      <c r="R211" t="s">
        <v>290</v>
      </c>
      <c r="S211" t="s">
        <v>1258</v>
      </c>
      <c r="T211" s="126">
        <v>3.0470000000000002</v>
      </c>
      <c r="U211" s="127">
        <v>47483</v>
      </c>
      <c r="V211" s="125">
        <v>7.6999999999999999E-2</v>
      </c>
      <c r="W211" s="125">
        <v>0.13780000000000001</v>
      </c>
      <c r="X211" t="s">
        <v>607</v>
      </c>
      <c r="Z211" s="124">
        <v>1000000</v>
      </c>
      <c r="AA211" s="124">
        <v>1</v>
      </c>
      <c r="AB211" s="124">
        <v>84.83</v>
      </c>
      <c r="AC211" s="124">
        <v>0</v>
      </c>
      <c r="AD211" s="124">
        <v>848.3</v>
      </c>
      <c r="AE211" s="124"/>
      <c r="AF211" s="124"/>
      <c r="AG211" t="s">
        <v>16</v>
      </c>
      <c r="AH211" s="125">
        <v>3.4242119170000002E-3</v>
      </c>
      <c r="AI211" s="125">
        <v>1.2658922979999999E-3</v>
      </c>
      <c r="AJ211" s="125">
        <f>AD211/'סכום נכסים'!$B$30</f>
        <v>1.5272734720005562E-4</v>
      </c>
    </row>
    <row r="212" spans="1:36" x14ac:dyDescent="0.3">
      <c r="A212">
        <v>13908</v>
      </c>
      <c r="B212">
        <v>13908</v>
      </c>
      <c r="C212" t="s">
        <v>1793</v>
      </c>
      <c r="D212">
        <v>514902147</v>
      </c>
      <c r="E212" t="s">
        <v>420</v>
      </c>
      <c r="F212" t="s">
        <v>1899</v>
      </c>
      <c r="G212" t="s">
        <v>1900</v>
      </c>
      <c r="H212" t="s">
        <v>75</v>
      </c>
      <c r="I212" t="s">
        <v>224</v>
      </c>
      <c r="J212" t="s">
        <v>52</v>
      </c>
      <c r="K212" t="s">
        <v>52</v>
      </c>
      <c r="L212" t="s">
        <v>775</v>
      </c>
      <c r="M212" t="s">
        <v>303</v>
      </c>
      <c r="N212" t="s">
        <v>616</v>
      </c>
      <c r="O212" t="s">
        <v>61</v>
      </c>
      <c r="P212" t="s">
        <v>290</v>
      </c>
      <c r="Q212" t="s">
        <v>290</v>
      </c>
      <c r="R212" t="s">
        <v>290</v>
      </c>
      <c r="S212" t="s">
        <v>1258</v>
      </c>
      <c r="T212" s="126">
        <v>4.0890000000000004</v>
      </c>
      <c r="U212" s="127">
        <v>48579</v>
      </c>
      <c r="V212" s="125">
        <v>6.3200000000000006E-2</v>
      </c>
      <c r="W212" s="125">
        <v>6.0199999999999997E-2</v>
      </c>
      <c r="X212" t="s">
        <v>607</v>
      </c>
      <c r="Z212" s="124">
        <v>994000</v>
      </c>
      <c r="AA212" s="124">
        <v>1</v>
      </c>
      <c r="AB212" s="124">
        <v>101.52</v>
      </c>
      <c r="AC212" s="124">
        <v>0</v>
      </c>
      <c r="AD212" s="124">
        <v>1009.1088</v>
      </c>
      <c r="AE212" s="124"/>
      <c r="AF212" s="124"/>
      <c r="AG212" t="s">
        <v>16</v>
      </c>
      <c r="AH212" s="125">
        <v>2.8645533140000002E-3</v>
      </c>
      <c r="AI212" s="125">
        <v>1.505862381E-3</v>
      </c>
      <c r="AJ212" s="125">
        <f>AD212/'סכום נכסים'!$B$30</f>
        <v>1.816792526938954E-4</v>
      </c>
    </row>
    <row r="213" spans="1:36" x14ac:dyDescent="0.3">
      <c r="A213">
        <v>13908</v>
      </c>
      <c r="B213">
        <v>13908</v>
      </c>
      <c r="C213" t="s">
        <v>1847</v>
      </c>
      <c r="D213">
        <v>513141879</v>
      </c>
      <c r="E213" t="s">
        <v>420</v>
      </c>
      <c r="F213" t="s">
        <v>1901</v>
      </c>
      <c r="G213" t="s">
        <v>1902</v>
      </c>
      <c r="H213" t="s">
        <v>75</v>
      </c>
      <c r="I213" t="s">
        <v>225</v>
      </c>
      <c r="J213" t="s">
        <v>52</v>
      </c>
      <c r="K213" t="s">
        <v>52</v>
      </c>
      <c r="L213" t="s">
        <v>775</v>
      </c>
      <c r="M213" t="s">
        <v>303</v>
      </c>
      <c r="N213" t="s">
        <v>251</v>
      </c>
      <c r="O213" t="s">
        <v>61</v>
      </c>
      <c r="P213" t="s">
        <v>1257</v>
      </c>
      <c r="Q213" t="s">
        <v>64</v>
      </c>
      <c r="R213" t="s">
        <v>56</v>
      </c>
      <c r="S213" t="s">
        <v>1258</v>
      </c>
      <c r="T213" s="126">
        <v>3.1389999999999998</v>
      </c>
      <c r="U213" s="127">
        <v>47384</v>
      </c>
      <c r="V213" s="125">
        <v>2.1399999999999999E-2</v>
      </c>
      <c r="W213" s="125">
        <v>2.1000000000000001E-2</v>
      </c>
      <c r="X213" t="s">
        <v>607</v>
      </c>
      <c r="Z213" s="124">
        <v>5000000</v>
      </c>
      <c r="AA213" s="124">
        <v>1</v>
      </c>
      <c r="AB213" s="124">
        <v>101.96</v>
      </c>
      <c r="AC213" s="124">
        <v>0</v>
      </c>
      <c r="AD213" s="124">
        <v>5098</v>
      </c>
      <c r="AE213" s="124"/>
      <c r="AF213" s="124"/>
      <c r="AG213" t="s">
        <v>16</v>
      </c>
      <c r="AH213" s="125">
        <v>2.7391076640000001E-3</v>
      </c>
      <c r="AI213" s="125">
        <v>7.6075903980000002E-3</v>
      </c>
      <c r="AJ213" s="125">
        <f>AD213/'סכום נכסים'!$B$30</f>
        <v>9.1784040554742838E-4</v>
      </c>
    </row>
    <row r="214" spans="1:36" x14ac:dyDescent="0.3">
      <c r="A214">
        <v>13908</v>
      </c>
      <c r="B214">
        <v>13908</v>
      </c>
      <c r="C214" t="s">
        <v>1473</v>
      </c>
      <c r="D214">
        <v>515434074</v>
      </c>
      <c r="E214" t="s">
        <v>420</v>
      </c>
      <c r="F214" t="s">
        <v>1903</v>
      </c>
      <c r="G214" t="s">
        <v>1904</v>
      </c>
      <c r="H214" t="s">
        <v>75</v>
      </c>
      <c r="I214" t="s">
        <v>225</v>
      </c>
      <c r="J214" t="s">
        <v>52</v>
      </c>
      <c r="K214" t="s">
        <v>52</v>
      </c>
      <c r="L214" t="s">
        <v>775</v>
      </c>
      <c r="M214" t="s">
        <v>303</v>
      </c>
      <c r="N214" t="s">
        <v>620</v>
      </c>
      <c r="O214" t="s">
        <v>61</v>
      </c>
      <c r="P214" t="s">
        <v>1842</v>
      </c>
      <c r="Q214" t="s">
        <v>64</v>
      </c>
      <c r="R214" t="s">
        <v>56</v>
      </c>
      <c r="S214" t="s">
        <v>1258</v>
      </c>
      <c r="T214" s="126">
        <v>4.6740000000000004</v>
      </c>
      <c r="U214" s="127">
        <v>49125</v>
      </c>
      <c r="V214" s="125">
        <v>5.0000000000000001E-3</v>
      </c>
      <c r="W214" s="125">
        <v>3.5099999999999999E-2</v>
      </c>
      <c r="X214" t="s">
        <v>607</v>
      </c>
      <c r="Z214" s="124">
        <v>881000</v>
      </c>
      <c r="AA214" s="124">
        <v>1</v>
      </c>
      <c r="AB214" s="124">
        <v>87.79</v>
      </c>
      <c r="AC214" s="124">
        <v>0</v>
      </c>
      <c r="AD214" s="124">
        <v>773.42989999999998</v>
      </c>
      <c r="AE214" s="124"/>
      <c r="AF214" s="124"/>
      <c r="AG214" t="s">
        <v>16</v>
      </c>
      <c r="AH214" s="125">
        <v>2.6653032569999998E-3</v>
      </c>
      <c r="AI214" s="125">
        <v>1.154165924E-3</v>
      </c>
      <c r="AJ214" s="125">
        <f>AD214/'סכום נכסים'!$B$30</f>
        <v>1.392477860099072E-4</v>
      </c>
    </row>
    <row r="215" spans="1:36" x14ac:dyDescent="0.3">
      <c r="A215">
        <v>13908</v>
      </c>
      <c r="B215">
        <v>13908</v>
      </c>
      <c r="C215" t="s">
        <v>1392</v>
      </c>
      <c r="D215">
        <v>510560188</v>
      </c>
      <c r="E215" t="s">
        <v>420</v>
      </c>
      <c r="F215" t="s">
        <v>1905</v>
      </c>
      <c r="G215" t="s">
        <v>1906</v>
      </c>
      <c r="H215" t="s">
        <v>75</v>
      </c>
      <c r="I215" t="s">
        <v>224</v>
      </c>
      <c r="J215" t="s">
        <v>52</v>
      </c>
      <c r="K215" t="s">
        <v>52</v>
      </c>
      <c r="L215" t="s">
        <v>775</v>
      </c>
      <c r="M215" t="s">
        <v>303</v>
      </c>
      <c r="N215" t="s">
        <v>621</v>
      </c>
      <c r="O215" t="s">
        <v>61</v>
      </c>
      <c r="P215" t="s">
        <v>1395</v>
      </c>
      <c r="Q215" t="s">
        <v>64</v>
      </c>
      <c r="R215" t="s">
        <v>56</v>
      </c>
      <c r="S215" t="s">
        <v>1258</v>
      </c>
      <c r="T215" s="126">
        <v>5.4770000000000003</v>
      </c>
      <c r="U215" s="127">
        <v>49278</v>
      </c>
      <c r="V215" s="125">
        <v>4.48E-2</v>
      </c>
      <c r="W215" s="125">
        <v>4.3999999999999997E-2</v>
      </c>
      <c r="X215" t="s">
        <v>607</v>
      </c>
      <c r="Z215" s="124">
        <v>835000</v>
      </c>
      <c r="AA215" s="124">
        <v>1</v>
      </c>
      <c r="AB215" s="124">
        <v>101.01</v>
      </c>
      <c r="AC215" s="124">
        <v>0</v>
      </c>
      <c r="AD215" s="124">
        <v>843.43349999999998</v>
      </c>
      <c r="AE215" s="124"/>
      <c r="AF215" s="124"/>
      <c r="AG215" t="s">
        <v>16</v>
      </c>
      <c r="AH215" s="125">
        <v>1.04375E-3</v>
      </c>
      <c r="AI215" s="125">
        <v>1.2586301679999999E-3</v>
      </c>
      <c r="AJ215" s="125">
        <f>AD215/'סכום נכסים'!$B$30</f>
        <v>1.5185118589491702E-4</v>
      </c>
    </row>
    <row r="216" spans="1:36" x14ac:dyDescent="0.3">
      <c r="A216">
        <v>13908</v>
      </c>
      <c r="B216">
        <v>13908</v>
      </c>
      <c r="C216" t="s">
        <v>1561</v>
      </c>
      <c r="D216">
        <v>520032046</v>
      </c>
      <c r="E216" t="s">
        <v>420</v>
      </c>
      <c r="F216" t="s">
        <v>1907</v>
      </c>
      <c r="G216" t="s">
        <v>1908</v>
      </c>
      <c r="H216" t="s">
        <v>75</v>
      </c>
      <c r="I216" t="s">
        <v>224</v>
      </c>
      <c r="J216" t="s">
        <v>52</v>
      </c>
      <c r="K216" t="s">
        <v>52</v>
      </c>
      <c r="L216" t="s">
        <v>775</v>
      </c>
      <c r="M216" t="s">
        <v>303</v>
      </c>
      <c r="N216" t="s">
        <v>251</v>
      </c>
      <c r="O216" t="s">
        <v>61</v>
      </c>
      <c r="P216" t="s">
        <v>1257</v>
      </c>
      <c r="Q216" t="s">
        <v>64</v>
      </c>
      <c r="R216" t="s">
        <v>56</v>
      </c>
      <c r="S216" t="s">
        <v>1258</v>
      </c>
      <c r="T216" s="126">
        <v>3.7029999999999998</v>
      </c>
      <c r="U216" s="127">
        <v>48738</v>
      </c>
      <c r="V216" s="125">
        <v>3.9600000000000003E-2</v>
      </c>
      <c r="W216" s="125">
        <v>3.8899999999999997E-2</v>
      </c>
      <c r="X216" t="s">
        <v>607</v>
      </c>
      <c r="Z216" s="124">
        <v>4825000</v>
      </c>
      <c r="AA216" s="124">
        <v>1</v>
      </c>
      <c r="AB216" s="124">
        <v>100.47</v>
      </c>
      <c r="AC216" s="124">
        <v>0</v>
      </c>
      <c r="AD216" s="124">
        <v>4847.6774999999998</v>
      </c>
      <c r="AE216" s="124"/>
      <c r="AF216" s="124"/>
      <c r="AG216" t="s">
        <v>16</v>
      </c>
      <c r="AH216" s="125">
        <v>1.608333333E-3</v>
      </c>
      <c r="AI216" s="125">
        <v>7.2340417430000001E-3</v>
      </c>
      <c r="AJ216" s="125">
        <f>AD216/'סכום נכסים'!$B$30</f>
        <v>8.7277251521442598E-4</v>
      </c>
    </row>
    <row r="217" spans="1:36" x14ac:dyDescent="0.3">
      <c r="A217">
        <v>13908</v>
      </c>
      <c r="B217">
        <v>13908</v>
      </c>
      <c r="C217" t="s">
        <v>1807</v>
      </c>
      <c r="D217">
        <v>520024126</v>
      </c>
      <c r="E217" t="s">
        <v>420</v>
      </c>
      <c r="F217" t="s">
        <v>1909</v>
      </c>
      <c r="G217" t="s">
        <v>1910</v>
      </c>
      <c r="H217" t="s">
        <v>75</v>
      </c>
      <c r="I217" t="s">
        <v>225</v>
      </c>
      <c r="J217" t="s">
        <v>52</v>
      </c>
      <c r="K217" t="s">
        <v>52</v>
      </c>
      <c r="L217" t="s">
        <v>775</v>
      </c>
      <c r="M217" t="s">
        <v>303</v>
      </c>
      <c r="N217" t="s">
        <v>620</v>
      </c>
      <c r="O217" t="s">
        <v>61</v>
      </c>
      <c r="P217" t="s">
        <v>1353</v>
      </c>
      <c r="Q217" t="s">
        <v>64</v>
      </c>
      <c r="R217" t="s">
        <v>56</v>
      </c>
      <c r="S217" t="s">
        <v>1258</v>
      </c>
      <c r="T217" s="126">
        <v>8.3469999999999995</v>
      </c>
      <c r="U217" s="127">
        <v>50495</v>
      </c>
      <c r="V217" s="125">
        <v>2.7300000000000001E-2</v>
      </c>
      <c r="W217" s="125">
        <v>2.7799999999999998E-2</v>
      </c>
      <c r="X217" t="s">
        <v>607</v>
      </c>
      <c r="Z217" s="124">
        <v>1200000</v>
      </c>
      <c r="AA217" s="124">
        <v>1</v>
      </c>
      <c r="AB217" s="124">
        <v>99.79</v>
      </c>
      <c r="AC217" s="124">
        <v>0</v>
      </c>
      <c r="AD217" s="124">
        <v>1197.48</v>
      </c>
      <c r="AE217" s="124"/>
      <c r="AF217" s="124"/>
      <c r="AG217" t="s">
        <v>16</v>
      </c>
      <c r="AH217" s="125">
        <v>1.560380888E-3</v>
      </c>
      <c r="AI217" s="125">
        <v>1.7869629949999999E-3</v>
      </c>
      <c r="AJ217" s="125">
        <f>AD217/'סכום נכסים'!$B$30</f>
        <v>2.1559347368280395E-4</v>
      </c>
    </row>
    <row r="218" spans="1:36" x14ac:dyDescent="0.3">
      <c r="A218">
        <v>13908</v>
      </c>
      <c r="B218">
        <v>13908</v>
      </c>
      <c r="C218" t="s">
        <v>1690</v>
      </c>
      <c r="D218">
        <v>520033234</v>
      </c>
      <c r="E218" t="s">
        <v>420</v>
      </c>
      <c r="F218" t="s">
        <v>1911</v>
      </c>
      <c r="G218" t="s">
        <v>1912</v>
      </c>
      <c r="H218" t="s">
        <v>75</v>
      </c>
      <c r="I218" t="s">
        <v>225</v>
      </c>
      <c r="J218" t="s">
        <v>52</v>
      </c>
      <c r="K218" t="s">
        <v>52</v>
      </c>
      <c r="L218" t="s">
        <v>775</v>
      </c>
      <c r="M218" t="s">
        <v>303</v>
      </c>
      <c r="N218" t="s">
        <v>621</v>
      </c>
      <c r="O218" t="s">
        <v>61</v>
      </c>
      <c r="P218" t="s">
        <v>1472</v>
      </c>
      <c r="Q218" t="s">
        <v>64</v>
      </c>
      <c r="R218" t="s">
        <v>56</v>
      </c>
      <c r="S218" t="s">
        <v>1258</v>
      </c>
      <c r="T218" s="126">
        <v>0.98799999999999999</v>
      </c>
      <c r="U218" s="127">
        <v>46568</v>
      </c>
      <c r="V218" s="125">
        <v>0.04</v>
      </c>
      <c r="W218" s="125">
        <v>3.44E-2</v>
      </c>
      <c r="X218" t="s">
        <v>607</v>
      </c>
      <c r="Z218" s="124">
        <v>0.33</v>
      </c>
      <c r="AA218" s="124">
        <v>1</v>
      </c>
      <c r="AB218" s="124">
        <v>119.76</v>
      </c>
      <c r="AC218" s="124">
        <v>0</v>
      </c>
      <c r="AD218" s="124">
        <v>4.0000000000000002E-4</v>
      </c>
      <c r="AE218" s="124"/>
      <c r="AF218" s="124"/>
      <c r="AG218" t="s">
        <v>16</v>
      </c>
      <c r="AH218" s="125">
        <v>5.5816810081786497E-10</v>
      </c>
      <c r="AI218" s="125">
        <v>5.9690783828949405E-10</v>
      </c>
      <c r="AJ218" s="125">
        <f>AD218/'סכום נכסים'!$B$30</f>
        <v>7.2015724248523223E-11</v>
      </c>
    </row>
    <row r="219" spans="1:36" x14ac:dyDescent="0.3">
      <c r="A219">
        <v>13908</v>
      </c>
      <c r="B219">
        <v>13908</v>
      </c>
      <c r="C219" t="s">
        <v>1690</v>
      </c>
      <c r="D219">
        <v>520033234</v>
      </c>
      <c r="E219" t="s">
        <v>420</v>
      </c>
      <c r="F219" t="s">
        <v>1913</v>
      </c>
      <c r="G219" t="s">
        <v>1914</v>
      </c>
      <c r="H219" t="s">
        <v>75</v>
      </c>
      <c r="I219" t="s">
        <v>225</v>
      </c>
      <c r="J219" t="s">
        <v>52</v>
      </c>
      <c r="K219" t="s">
        <v>52</v>
      </c>
      <c r="L219" t="s">
        <v>775</v>
      </c>
      <c r="M219" t="s">
        <v>303</v>
      </c>
      <c r="N219" t="s">
        <v>621</v>
      </c>
      <c r="O219" t="s">
        <v>61</v>
      </c>
      <c r="P219" t="s">
        <v>1360</v>
      </c>
      <c r="Q219" t="s">
        <v>64</v>
      </c>
      <c r="R219" t="s">
        <v>56</v>
      </c>
      <c r="S219" t="s">
        <v>1258</v>
      </c>
      <c r="T219" s="126">
        <v>1.3440000000000001</v>
      </c>
      <c r="U219" s="127">
        <v>46843</v>
      </c>
      <c r="V219" s="125">
        <v>1.3299999999999999E-2</v>
      </c>
      <c r="W219" s="125">
        <v>2.47E-2</v>
      </c>
      <c r="X219" t="s">
        <v>607</v>
      </c>
      <c r="Z219" s="124">
        <v>132640.87</v>
      </c>
      <c r="AA219" s="124">
        <v>1</v>
      </c>
      <c r="AB219" s="124">
        <v>118.05</v>
      </c>
      <c r="AC219" s="124">
        <v>0</v>
      </c>
      <c r="AD219" s="124">
        <v>156.58255</v>
      </c>
      <c r="AE219" s="124"/>
      <c r="AF219" s="124"/>
      <c r="AG219" t="s">
        <v>16</v>
      </c>
      <c r="AH219" s="125">
        <v>4.5891706100000001E-4</v>
      </c>
      <c r="AI219" s="125">
        <v>2.3366337800000001E-4</v>
      </c>
      <c r="AJ219" s="125">
        <f>AD219/'סכום נכסים'!$B$30</f>
        <v>2.8191014357326497E-5</v>
      </c>
    </row>
    <row r="220" spans="1:36" x14ac:dyDescent="0.3">
      <c r="A220">
        <v>13908</v>
      </c>
      <c r="B220">
        <v>13908</v>
      </c>
      <c r="C220" t="s">
        <v>1915</v>
      </c>
      <c r="D220">
        <v>520035171</v>
      </c>
      <c r="E220" t="s">
        <v>420</v>
      </c>
      <c r="F220" t="s">
        <v>1916</v>
      </c>
      <c r="G220" t="s">
        <v>1917</v>
      </c>
      <c r="H220" t="s">
        <v>75</v>
      </c>
      <c r="I220" t="s">
        <v>225</v>
      </c>
      <c r="J220" t="s">
        <v>52</v>
      </c>
      <c r="K220" t="s">
        <v>52</v>
      </c>
      <c r="L220" t="s">
        <v>775</v>
      </c>
      <c r="M220" t="s">
        <v>303</v>
      </c>
      <c r="N220" t="s">
        <v>621</v>
      </c>
      <c r="O220" t="s">
        <v>61</v>
      </c>
      <c r="P220" t="s">
        <v>1422</v>
      </c>
      <c r="Q220" t="s">
        <v>69</v>
      </c>
      <c r="R220" t="s">
        <v>56</v>
      </c>
      <c r="S220" t="s">
        <v>1258</v>
      </c>
      <c r="T220" s="126">
        <v>2.86</v>
      </c>
      <c r="U220" s="127">
        <v>47938</v>
      </c>
      <c r="V220" s="125">
        <v>4.3E-3</v>
      </c>
      <c r="W220" s="125">
        <v>2.58E-2</v>
      </c>
      <c r="X220" t="s">
        <v>607</v>
      </c>
      <c r="Z220" s="124">
        <v>731000</v>
      </c>
      <c r="AA220" s="124">
        <v>1</v>
      </c>
      <c r="AB220" s="124">
        <v>109.73</v>
      </c>
      <c r="AC220" s="124">
        <v>0</v>
      </c>
      <c r="AD220" s="124">
        <v>802.12630000000001</v>
      </c>
      <c r="AE220" s="124"/>
      <c r="AF220" s="124"/>
      <c r="AG220" t="s">
        <v>16</v>
      </c>
      <c r="AH220" s="125">
        <v>1.3760000000000001E-3</v>
      </c>
      <c r="AI220" s="125">
        <v>1.196988689E-3</v>
      </c>
      <c r="AJ220" s="125">
        <f>AD220/'סכום נכסים'!$B$30</f>
        <v>1.4441426608322052E-4</v>
      </c>
    </row>
    <row r="221" spans="1:36" x14ac:dyDescent="0.3">
      <c r="A221">
        <v>13908</v>
      </c>
      <c r="B221">
        <v>13908</v>
      </c>
      <c r="C221" t="s">
        <v>1807</v>
      </c>
      <c r="D221">
        <v>520024126</v>
      </c>
      <c r="E221" t="s">
        <v>420</v>
      </c>
      <c r="F221" t="s">
        <v>1918</v>
      </c>
      <c r="G221" t="s">
        <v>1919</v>
      </c>
      <c r="H221" t="s">
        <v>75</v>
      </c>
      <c r="I221" t="s">
        <v>225</v>
      </c>
      <c r="J221" t="s">
        <v>52</v>
      </c>
      <c r="K221" t="s">
        <v>52</v>
      </c>
      <c r="L221" t="s">
        <v>775</v>
      </c>
      <c r="M221" t="s">
        <v>303</v>
      </c>
      <c r="N221" t="s">
        <v>620</v>
      </c>
      <c r="O221" t="s">
        <v>61</v>
      </c>
      <c r="P221" t="s">
        <v>1353</v>
      </c>
      <c r="Q221" t="s">
        <v>64</v>
      </c>
      <c r="R221" t="s">
        <v>56</v>
      </c>
      <c r="S221" t="s">
        <v>1258</v>
      </c>
      <c r="T221" s="126">
        <v>2.2040000000000002</v>
      </c>
      <c r="U221" s="127">
        <v>47483</v>
      </c>
      <c r="V221" s="125">
        <v>2.81E-2</v>
      </c>
      <c r="W221" s="125">
        <v>2.3599999999999999E-2</v>
      </c>
      <c r="X221" t="s">
        <v>607</v>
      </c>
      <c r="Z221" s="124">
        <v>1136416.71</v>
      </c>
      <c r="AA221" s="124">
        <v>1</v>
      </c>
      <c r="AB221" s="124">
        <v>121.96</v>
      </c>
      <c r="AC221" s="124">
        <v>0</v>
      </c>
      <c r="AD221" s="124">
        <v>1385.9738199999999</v>
      </c>
      <c r="AE221" s="124"/>
      <c r="AF221" s="124"/>
      <c r="AG221" t="s">
        <v>16</v>
      </c>
      <c r="AH221" s="125">
        <v>9.5231951499999998E-4</v>
      </c>
      <c r="AI221" s="125">
        <v>2.0682465919999999E-3</v>
      </c>
      <c r="AJ221" s="125">
        <f>AD221/'סכום נכסים'!$B$30</f>
        <v>2.4952977109198086E-4</v>
      </c>
    </row>
    <row r="222" spans="1:36" x14ac:dyDescent="0.3">
      <c r="A222">
        <v>13908</v>
      </c>
      <c r="B222">
        <v>13908</v>
      </c>
      <c r="C222" t="s">
        <v>1807</v>
      </c>
      <c r="D222">
        <v>520024126</v>
      </c>
      <c r="E222" t="s">
        <v>420</v>
      </c>
      <c r="F222" t="s">
        <v>1920</v>
      </c>
      <c r="G222" t="s">
        <v>1921</v>
      </c>
      <c r="H222" t="s">
        <v>75</v>
      </c>
      <c r="I222" t="s">
        <v>225</v>
      </c>
      <c r="J222" t="s">
        <v>52</v>
      </c>
      <c r="K222" t="s">
        <v>52</v>
      </c>
      <c r="L222" t="s">
        <v>775</v>
      </c>
      <c r="M222" t="s">
        <v>303</v>
      </c>
      <c r="N222" t="s">
        <v>620</v>
      </c>
      <c r="O222" t="s">
        <v>61</v>
      </c>
      <c r="P222" t="s">
        <v>1353</v>
      </c>
      <c r="Q222" t="s">
        <v>64</v>
      </c>
      <c r="R222" t="s">
        <v>56</v>
      </c>
      <c r="S222" t="s">
        <v>1258</v>
      </c>
      <c r="T222" s="126">
        <v>0.249</v>
      </c>
      <c r="U222" s="127">
        <v>46295</v>
      </c>
      <c r="V222" s="125">
        <v>2.4E-2</v>
      </c>
      <c r="W222" s="125">
        <v>2.9600000000000001E-2</v>
      </c>
      <c r="X222" t="s">
        <v>607</v>
      </c>
      <c r="Z222" s="124">
        <v>2500000</v>
      </c>
      <c r="AA222" s="124">
        <v>1</v>
      </c>
      <c r="AB222" s="124">
        <v>120.58</v>
      </c>
      <c r="AC222" s="124">
        <v>0</v>
      </c>
      <c r="AD222" s="124">
        <v>3014.5</v>
      </c>
      <c r="AE222" s="124"/>
      <c r="AF222" s="124"/>
      <c r="AG222" t="s">
        <v>16</v>
      </c>
      <c r="AH222" s="125">
        <v>5.0204597990000004E-3</v>
      </c>
      <c r="AI222" s="125">
        <v>4.4984466960000004E-3</v>
      </c>
      <c r="AJ222" s="125">
        <f>AD222/'סכום נכסים'!$B$30</f>
        <v>5.4272850186793309E-4</v>
      </c>
    </row>
    <row r="223" spans="1:36" x14ac:dyDescent="0.3">
      <c r="A223">
        <v>13908</v>
      </c>
      <c r="B223">
        <v>13908</v>
      </c>
      <c r="C223" t="s">
        <v>1807</v>
      </c>
      <c r="D223">
        <v>520024126</v>
      </c>
      <c r="E223" t="s">
        <v>420</v>
      </c>
      <c r="F223" t="s">
        <v>1922</v>
      </c>
      <c r="G223" t="s">
        <v>1923</v>
      </c>
      <c r="H223" t="s">
        <v>75</v>
      </c>
      <c r="I223" t="s">
        <v>225</v>
      </c>
      <c r="J223" t="s">
        <v>52</v>
      </c>
      <c r="K223" t="s">
        <v>52</v>
      </c>
      <c r="L223" t="s">
        <v>775</v>
      </c>
      <c r="M223" t="s">
        <v>303</v>
      </c>
      <c r="N223" t="s">
        <v>620</v>
      </c>
      <c r="O223" t="s">
        <v>61</v>
      </c>
      <c r="P223" t="s">
        <v>1353</v>
      </c>
      <c r="Q223" t="s">
        <v>64</v>
      </c>
      <c r="R223" t="s">
        <v>56</v>
      </c>
      <c r="S223" t="s">
        <v>1258</v>
      </c>
      <c r="T223" s="126">
        <v>4.4619999999999997</v>
      </c>
      <c r="U223" s="127">
        <v>48852</v>
      </c>
      <c r="V223" s="125">
        <v>3.5000000000000001E-3</v>
      </c>
      <c r="W223" s="125">
        <v>2.4799999999999999E-2</v>
      </c>
      <c r="X223" t="s">
        <v>607</v>
      </c>
      <c r="Z223" s="124">
        <v>2327340.2599999998</v>
      </c>
      <c r="AA223" s="124">
        <v>1</v>
      </c>
      <c r="AB223" s="124">
        <v>106.09</v>
      </c>
      <c r="AC223" s="124">
        <v>0</v>
      </c>
      <c r="AD223" s="124">
        <v>2469.07528</v>
      </c>
      <c r="AE223" s="124"/>
      <c r="AF223" s="124"/>
      <c r="AG223" t="s">
        <v>16</v>
      </c>
      <c r="AH223" s="125">
        <v>7.0507114300000001E-4</v>
      </c>
      <c r="AI223" s="125">
        <v>3.6845259690000002E-3</v>
      </c>
      <c r="AJ223" s="125">
        <f>AD223/'סכום נכסים'!$B$30</f>
        <v>4.4453061128331314E-4</v>
      </c>
    </row>
    <row r="224" spans="1:36" x14ac:dyDescent="0.3">
      <c r="A224">
        <v>13908</v>
      </c>
      <c r="B224">
        <v>13908</v>
      </c>
      <c r="C224" t="s">
        <v>1924</v>
      </c>
      <c r="D224">
        <v>520031931</v>
      </c>
      <c r="E224" t="s">
        <v>420</v>
      </c>
      <c r="F224" t="s">
        <v>1925</v>
      </c>
      <c r="G224" t="s">
        <v>1926</v>
      </c>
      <c r="H224" t="s">
        <v>75</v>
      </c>
      <c r="I224" t="s">
        <v>224</v>
      </c>
      <c r="J224" t="s">
        <v>52</v>
      </c>
      <c r="K224" t="s">
        <v>52</v>
      </c>
      <c r="L224" t="s">
        <v>775</v>
      </c>
      <c r="M224" t="s">
        <v>303</v>
      </c>
      <c r="N224" t="s">
        <v>253</v>
      </c>
      <c r="O224" t="s">
        <v>61</v>
      </c>
      <c r="P224" t="s">
        <v>1353</v>
      </c>
      <c r="Q224" t="s">
        <v>64</v>
      </c>
      <c r="R224" t="s">
        <v>56</v>
      </c>
      <c r="S224" t="s">
        <v>1258</v>
      </c>
      <c r="T224" s="126">
        <v>2.319</v>
      </c>
      <c r="U224" s="127">
        <v>47636</v>
      </c>
      <c r="V224" s="125">
        <v>3.2000000000000001E-2</v>
      </c>
      <c r="W224" s="125">
        <v>3.6200000000000003E-2</v>
      </c>
      <c r="X224" t="s">
        <v>607</v>
      </c>
      <c r="Z224" s="124">
        <v>784000</v>
      </c>
      <c r="AA224" s="124">
        <v>1</v>
      </c>
      <c r="AB224" s="124">
        <v>99.38</v>
      </c>
      <c r="AC224" s="124">
        <v>0</v>
      </c>
      <c r="AD224" s="124">
        <v>779.13919999999996</v>
      </c>
      <c r="AE224" s="124"/>
      <c r="AF224" s="124"/>
      <c r="AG224" t="s">
        <v>16</v>
      </c>
      <c r="AH224" s="125">
        <v>6.9868098999999997E-4</v>
      </c>
      <c r="AI224" s="125">
        <v>1.162685738E-3</v>
      </c>
      <c r="AJ224" s="125">
        <f>AD224/'סכום נכסים'!$B$30</f>
        <v>1.4027568444603745E-4</v>
      </c>
    </row>
    <row r="225" spans="1:36" x14ac:dyDescent="0.3">
      <c r="A225">
        <v>13908</v>
      </c>
      <c r="B225">
        <v>13908</v>
      </c>
      <c r="C225" t="s">
        <v>1924</v>
      </c>
      <c r="D225">
        <v>520031931</v>
      </c>
      <c r="E225" t="s">
        <v>420</v>
      </c>
      <c r="F225" t="s">
        <v>1927</v>
      </c>
      <c r="G225" t="s">
        <v>1928</v>
      </c>
      <c r="H225" t="s">
        <v>75</v>
      </c>
      <c r="I225" t="s">
        <v>225</v>
      </c>
      <c r="J225" t="s">
        <v>52</v>
      </c>
      <c r="K225" t="s">
        <v>52</v>
      </c>
      <c r="L225" t="s">
        <v>775</v>
      </c>
      <c r="M225" t="s">
        <v>303</v>
      </c>
      <c r="N225" t="s">
        <v>253</v>
      </c>
      <c r="O225" t="s">
        <v>61</v>
      </c>
      <c r="P225" t="s">
        <v>1353</v>
      </c>
      <c r="Q225" t="s">
        <v>64</v>
      </c>
      <c r="R225" t="s">
        <v>56</v>
      </c>
      <c r="S225" t="s">
        <v>1258</v>
      </c>
      <c r="T225" s="126">
        <v>6.7430000000000003</v>
      </c>
      <c r="U225" s="127">
        <v>49461</v>
      </c>
      <c r="V225" s="125">
        <v>5.7999999999999996E-3</v>
      </c>
      <c r="W225" s="125">
        <v>2.3400000000000001E-2</v>
      </c>
      <c r="X225" t="s">
        <v>607</v>
      </c>
      <c r="Z225" s="124">
        <v>250000</v>
      </c>
      <c r="AA225" s="124">
        <v>1</v>
      </c>
      <c r="AB225" s="124">
        <v>103.67</v>
      </c>
      <c r="AC225" s="124">
        <v>0</v>
      </c>
      <c r="AD225" s="124">
        <v>259.17500000000001</v>
      </c>
      <c r="AE225" s="124"/>
      <c r="AF225" s="124"/>
      <c r="AG225" t="s">
        <v>16</v>
      </c>
      <c r="AH225" s="125">
        <v>3.1149775500000001E-4</v>
      </c>
      <c r="AI225" s="125">
        <v>3.8675897199999998E-4</v>
      </c>
      <c r="AJ225" s="125">
        <f>AD225/'סכום נכסים'!$B$30</f>
        <v>4.6661688330277514E-5</v>
      </c>
    </row>
    <row r="226" spans="1:36" x14ac:dyDescent="0.3">
      <c r="A226">
        <v>13908</v>
      </c>
      <c r="B226">
        <v>13908</v>
      </c>
      <c r="C226" t="s">
        <v>1561</v>
      </c>
      <c r="D226">
        <v>520032046</v>
      </c>
      <c r="E226" t="s">
        <v>420</v>
      </c>
      <c r="F226" t="s">
        <v>1929</v>
      </c>
      <c r="G226" t="s">
        <v>1930</v>
      </c>
      <c r="H226" t="s">
        <v>75</v>
      </c>
      <c r="I226" t="s">
        <v>225</v>
      </c>
      <c r="J226" t="s">
        <v>52</v>
      </c>
      <c r="K226" t="s">
        <v>52</v>
      </c>
      <c r="L226" t="s">
        <v>775</v>
      </c>
      <c r="M226" t="s">
        <v>303</v>
      </c>
      <c r="N226" t="s">
        <v>251</v>
      </c>
      <c r="O226" t="s">
        <v>61</v>
      </c>
      <c r="P226" t="s">
        <v>1257</v>
      </c>
      <c r="Q226" t="s">
        <v>64</v>
      </c>
      <c r="R226" t="s">
        <v>56</v>
      </c>
      <c r="S226" t="s">
        <v>1258</v>
      </c>
      <c r="T226" s="126">
        <v>3.7490000000000001</v>
      </c>
      <c r="U226" s="127">
        <v>47641</v>
      </c>
      <c r="V226" s="125">
        <v>3.4034000000000002E-2</v>
      </c>
      <c r="W226" s="125">
        <v>2.1999999999999999E-2</v>
      </c>
      <c r="X226" t="s">
        <v>607</v>
      </c>
      <c r="Z226" s="124">
        <v>3500000</v>
      </c>
      <c r="AA226" s="124">
        <v>1</v>
      </c>
      <c r="AB226" s="124">
        <v>125.77</v>
      </c>
      <c r="AC226" s="124">
        <v>0</v>
      </c>
      <c r="AD226" s="124">
        <v>4401.95</v>
      </c>
      <c r="AE226" s="124"/>
      <c r="AF226" s="124"/>
      <c r="AG226" t="s">
        <v>16</v>
      </c>
      <c r="AH226" s="125">
        <v>4.9862735009999996E-3</v>
      </c>
      <c r="AI226" s="125">
        <v>6.5688961459999997E-3</v>
      </c>
      <c r="AJ226" s="125">
        <f>AD226/'סכום נכסים'!$B$30</f>
        <v>7.925240433894669E-4</v>
      </c>
    </row>
    <row r="227" spans="1:36" x14ac:dyDescent="0.3">
      <c r="A227">
        <v>13908</v>
      </c>
      <c r="B227">
        <v>13908</v>
      </c>
      <c r="C227" t="s">
        <v>1561</v>
      </c>
      <c r="D227">
        <v>520032046</v>
      </c>
      <c r="E227" t="s">
        <v>420</v>
      </c>
      <c r="F227" t="s">
        <v>1931</v>
      </c>
      <c r="G227" t="s">
        <v>1932</v>
      </c>
      <c r="H227" t="s">
        <v>75</v>
      </c>
      <c r="I227" t="s">
        <v>225</v>
      </c>
      <c r="J227" t="s">
        <v>52</v>
      </c>
      <c r="K227" t="s">
        <v>52</v>
      </c>
      <c r="L227" t="s">
        <v>775</v>
      </c>
      <c r="M227" t="s">
        <v>303</v>
      </c>
      <c r="N227" t="s">
        <v>251</v>
      </c>
      <c r="O227" t="s">
        <v>61</v>
      </c>
      <c r="P227" t="s">
        <v>1257</v>
      </c>
      <c r="Q227" t="s">
        <v>64</v>
      </c>
      <c r="R227" t="s">
        <v>56</v>
      </c>
      <c r="S227" t="s">
        <v>1258</v>
      </c>
      <c r="T227" s="126">
        <v>3.99</v>
      </c>
      <c r="U227" s="127">
        <v>47665</v>
      </c>
      <c r="V227" s="125">
        <v>2E-3</v>
      </c>
      <c r="W227" s="125">
        <v>2.2200000000000001E-2</v>
      </c>
      <c r="X227" t="s">
        <v>607</v>
      </c>
      <c r="Z227" s="124">
        <v>3964100</v>
      </c>
      <c r="AA227" s="124">
        <v>1</v>
      </c>
      <c r="AB227" s="124">
        <v>110.28</v>
      </c>
      <c r="AC227" s="124">
        <v>9.4689700000000006</v>
      </c>
      <c r="AD227" s="124">
        <v>4381.07845</v>
      </c>
      <c r="AE227" s="124"/>
      <c r="AF227" s="124"/>
      <c r="AG227" t="s">
        <v>16</v>
      </c>
      <c r="AH227" s="125">
        <v>1.14621971E-3</v>
      </c>
      <c r="AI227" s="125">
        <v>6.5377501669999999E-3</v>
      </c>
      <c r="AJ227" s="125">
        <f>AD227/'סכום נכסים'!$B$30</f>
        <v>7.8876634391586875E-4</v>
      </c>
    </row>
    <row r="228" spans="1:36" x14ac:dyDescent="0.3">
      <c r="A228">
        <v>13908</v>
      </c>
      <c r="B228">
        <v>13908</v>
      </c>
      <c r="C228" t="s">
        <v>1561</v>
      </c>
      <c r="D228">
        <v>520032046</v>
      </c>
      <c r="E228" t="s">
        <v>420</v>
      </c>
      <c r="F228" t="s">
        <v>1933</v>
      </c>
      <c r="G228" t="s">
        <v>1934</v>
      </c>
      <c r="H228" t="s">
        <v>75</v>
      </c>
      <c r="I228" t="s">
        <v>225</v>
      </c>
      <c r="J228" t="s">
        <v>52</v>
      </c>
      <c r="K228" t="s">
        <v>52</v>
      </c>
      <c r="L228" t="s">
        <v>775</v>
      </c>
      <c r="M228" t="s">
        <v>303</v>
      </c>
      <c r="N228" t="s">
        <v>251</v>
      </c>
      <c r="O228" t="s">
        <v>61</v>
      </c>
      <c r="P228" t="s">
        <v>1257</v>
      </c>
      <c r="Q228" t="s">
        <v>64</v>
      </c>
      <c r="R228" t="s">
        <v>56</v>
      </c>
      <c r="S228" t="s">
        <v>1258</v>
      </c>
      <c r="T228" s="126">
        <v>2.306</v>
      </c>
      <c r="U228" s="127">
        <v>47048</v>
      </c>
      <c r="V228" s="125">
        <v>1E-3</v>
      </c>
      <c r="W228" s="125">
        <v>2.1399999999999999E-2</v>
      </c>
      <c r="X228" t="s">
        <v>607</v>
      </c>
      <c r="Z228" s="124">
        <v>11111218</v>
      </c>
      <c r="AA228" s="124">
        <v>1</v>
      </c>
      <c r="AB228" s="124">
        <v>111.29</v>
      </c>
      <c r="AC228" s="124">
        <v>0</v>
      </c>
      <c r="AD228" s="124">
        <v>12365.674510000001</v>
      </c>
      <c r="AE228" s="124"/>
      <c r="AF228" s="124"/>
      <c r="AG228" t="s">
        <v>16</v>
      </c>
      <c r="AH228" s="125">
        <v>3.2901557839999998E-3</v>
      </c>
      <c r="AI228" s="125">
        <v>1.8452920101000001E-2</v>
      </c>
      <c r="AJ228" s="125">
        <f>AD228/'סכום נכסים'!$B$30</f>
        <v>2.2263075141478812E-3</v>
      </c>
    </row>
    <row r="229" spans="1:36" x14ac:dyDescent="0.3">
      <c r="A229">
        <v>13908</v>
      </c>
      <c r="B229">
        <v>13908</v>
      </c>
      <c r="C229" t="s">
        <v>1561</v>
      </c>
      <c r="D229">
        <v>520032046</v>
      </c>
      <c r="E229" t="s">
        <v>420</v>
      </c>
      <c r="F229" t="s">
        <v>1935</v>
      </c>
      <c r="G229" t="s">
        <v>1936</v>
      </c>
      <c r="H229" t="s">
        <v>75</v>
      </c>
      <c r="I229" t="s">
        <v>224</v>
      </c>
      <c r="J229" t="s">
        <v>52</v>
      </c>
      <c r="K229" t="s">
        <v>52</v>
      </c>
      <c r="L229" t="s">
        <v>775</v>
      </c>
      <c r="M229" t="s">
        <v>303</v>
      </c>
      <c r="N229" t="s">
        <v>251</v>
      </c>
      <c r="O229" t="s">
        <v>61</v>
      </c>
      <c r="P229" t="s">
        <v>1257</v>
      </c>
      <c r="Q229" t="s">
        <v>64</v>
      </c>
      <c r="R229" t="s">
        <v>56</v>
      </c>
      <c r="S229" t="s">
        <v>1258</v>
      </c>
      <c r="T229" s="126">
        <v>2.66</v>
      </c>
      <c r="U229" s="127">
        <v>47951</v>
      </c>
      <c r="V229" s="125">
        <v>2.7400000000000001E-2</v>
      </c>
      <c r="W229" s="125">
        <v>3.6900000000000002E-2</v>
      </c>
      <c r="X229" t="s">
        <v>607</v>
      </c>
      <c r="Z229" s="124">
        <v>4473531.68</v>
      </c>
      <c r="AA229" s="124">
        <v>1</v>
      </c>
      <c r="AB229" s="124">
        <v>98.15</v>
      </c>
      <c r="AC229" s="124">
        <v>0</v>
      </c>
      <c r="AD229" s="124">
        <v>4390.7713400000002</v>
      </c>
      <c r="AE229" s="124"/>
      <c r="AF229" s="124"/>
      <c r="AG229" t="s">
        <v>16</v>
      </c>
      <c r="AH229" s="125">
        <v>1.697153115E-3</v>
      </c>
      <c r="AI229" s="125">
        <v>6.5522145720000001E-3</v>
      </c>
      <c r="AJ229" s="125">
        <f>AD229/'סכום נכסים'!$B$30</f>
        <v>7.9051144514939698E-4</v>
      </c>
    </row>
    <row r="230" spans="1:36" x14ac:dyDescent="0.3">
      <c r="A230">
        <v>13908</v>
      </c>
      <c r="B230">
        <v>13908</v>
      </c>
      <c r="C230" t="s">
        <v>1561</v>
      </c>
      <c r="D230">
        <v>520032046</v>
      </c>
      <c r="E230" t="s">
        <v>420</v>
      </c>
      <c r="F230" t="s">
        <v>1937</v>
      </c>
      <c r="G230" t="s">
        <v>1938</v>
      </c>
      <c r="H230" t="s">
        <v>75</v>
      </c>
      <c r="I230" t="s">
        <v>225</v>
      </c>
      <c r="J230" t="s">
        <v>52</v>
      </c>
      <c r="K230" t="s">
        <v>52</v>
      </c>
      <c r="L230" t="s">
        <v>775</v>
      </c>
      <c r="M230" t="s">
        <v>303</v>
      </c>
      <c r="N230" t="s">
        <v>251</v>
      </c>
      <c r="O230" t="s">
        <v>61</v>
      </c>
      <c r="P230" t="s">
        <v>1257</v>
      </c>
      <c r="Q230" t="s">
        <v>64</v>
      </c>
      <c r="R230" t="s">
        <v>56</v>
      </c>
      <c r="S230" t="s">
        <v>1258</v>
      </c>
      <c r="T230" s="126">
        <v>2.7389999999999999</v>
      </c>
      <c r="U230" s="127">
        <v>47951</v>
      </c>
      <c r="V230" s="125">
        <v>1E-3</v>
      </c>
      <c r="W230" s="125">
        <v>2.1399999999999999E-2</v>
      </c>
      <c r="X230" t="s">
        <v>607</v>
      </c>
      <c r="Z230" s="124">
        <v>5878863.8300000001</v>
      </c>
      <c r="AA230" s="124">
        <v>1</v>
      </c>
      <c r="AB230" s="124">
        <v>108.95</v>
      </c>
      <c r="AC230" s="124">
        <v>0</v>
      </c>
      <c r="AD230" s="124">
        <v>6405.02214</v>
      </c>
      <c r="AE230" s="124"/>
      <c r="AF230" s="124"/>
      <c r="AG230" t="s">
        <v>16</v>
      </c>
      <c r="AH230" s="125">
        <v>3.1618090090000002E-3</v>
      </c>
      <c r="AI230" s="125">
        <v>9.5580197990000008E-3</v>
      </c>
      <c r="AJ230" s="125">
        <f>AD230/'סכום נכסים'!$B$30</f>
        <v>1.1531557705998152E-3</v>
      </c>
    </row>
    <row r="231" spans="1:36" x14ac:dyDescent="0.3">
      <c r="A231">
        <v>13908</v>
      </c>
      <c r="B231">
        <v>13908</v>
      </c>
      <c r="C231" t="s">
        <v>1939</v>
      </c>
      <c r="D231">
        <v>520036617</v>
      </c>
      <c r="E231" t="s">
        <v>420</v>
      </c>
      <c r="F231" t="s">
        <v>1940</v>
      </c>
      <c r="G231" t="s">
        <v>1941</v>
      </c>
      <c r="H231" t="s">
        <v>75</v>
      </c>
      <c r="I231" t="s">
        <v>225</v>
      </c>
      <c r="J231" t="s">
        <v>52</v>
      </c>
      <c r="K231" t="s">
        <v>52</v>
      </c>
      <c r="L231" t="s">
        <v>775</v>
      </c>
      <c r="M231" t="s">
        <v>303</v>
      </c>
      <c r="N231" t="s">
        <v>620</v>
      </c>
      <c r="O231" t="s">
        <v>61</v>
      </c>
      <c r="P231" t="s">
        <v>1360</v>
      </c>
      <c r="Q231" t="s">
        <v>64</v>
      </c>
      <c r="R231" t="s">
        <v>56</v>
      </c>
      <c r="S231" t="s">
        <v>1258</v>
      </c>
      <c r="T231" s="126">
        <v>3.2909999999999999</v>
      </c>
      <c r="U231" s="127">
        <v>47848</v>
      </c>
      <c r="V231" s="125">
        <v>1.2999999999999999E-2</v>
      </c>
      <c r="W231" s="125">
        <v>2.4799999999999999E-2</v>
      </c>
      <c r="X231" t="s">
        <v>607</v>
      </c>
      <c r="Z231" s="124">
        <v>180000</v>
      </c>
      <c r="AA231" s="124">
        <v>1</v>
      </c>
      <c r="AB231" s="124">
        <v>112.06</v>
      </c>
      <c r="AC231" s="124">
        <v>0</v>
      </c>
      <c r="AD231" s="124">
        <v>201.708</v>
      </c>
      <c r="AE231" s="124"/>
      <c r="AF231" s="124"/>
      <c r="AG231" t="s">
        <v>16</v>
      </c>
      <c r="AH231" s="125">
        <v>4.8192770999999998E-4</v>
      </c>
      <c r="AI231" s="125">
        <v>3.0100271499999999E-4</v>
      </c>
      <c r="AJ231" s="125">
        <f>AD231/'סכום נכסים'!$B$30</f>
        <v>3.6315369266802805E-5</v>
      </c>
    </row>
    <row r="232" spans="1:36" x14ac:dyDescent="0.3">
      <c r="A232">
        <v>13908</v>
      </c>
      <c r="B232">
        <v>13908</v>
      </c>
      <c r="C232" t="s">
        <v>1608</v>
      </c>
      <c r="D232">
        <v>520037789</v>
      </c>
      <c r="E232" t="s">
        <v>420</v>
      </c>
      <c r="F232" t="s">
        <v>1942</v>
      </c>
      <c r="G232" t="s">
        <v>1943</v>
      </c>
      <c r="H232" t="s">
        <v>75</v>
      </c>
      <c r="I232" t="s">
        <v>225</v>
      </c>
      <c r="J232" t="s">
        <v>52</v>
      </c>
      <c r="K232" t="s">
        <v>52</v>
      </c>
      <c r="L232" t="s">
        <v>775</v>
      </c>
      <c r="M232" t="s">
        <v>303</v>
      </c>
      <c r="N232" t="s">
        <v>620</v>
      </c>
      <c r="O232" t="s">
        <v>61</v>
      </c>
      <c r="P232" t="s">
        <v>1353</v>
      </c>
      <c r="Q232" t="s">
        <v>64</v>
      </c>
      <c r="R232" t="s">
        <v>56</v>
      </c>
      <c r="S232" t="s">
        <v>1258</v>
      </c>
      <c r="T232" s="126">
        <v>0.73899999999999999</v>
      </c>
      <c r="U232" s="127">
        <v>46478</v>
      </c>
      <c r="V232" s="125">
        <v>2.35E-2</v>
      </c>
      <c r="W232" s="125">
        <v>3.3799999999999997E-2</v>
      </c>
      <c r="X232" t="s">
        <v>607</v>
      </c>
      <c r="Z232" s="124">
        <v>651724.12</v>
      </c>
      <c r="AA232" s="124">
        <v>1</v>
      </c>
      <c r="AB232" s="124">
        <v>120.57</v>
      </c>
      <c r="AC232" s="124">
        <v>0</v>
      </c>
      <c r="AD232" s="124">
        <v>785.78377</v>
      </c>
      <c r="AE232" s="124"/>
      <c r="AF232" s="124"/>
      <c r="AG232" t="s">
        <v>16</v>
      </c>
      <c r="AH232" s="125">
        <v>7.2824166399999997E-4</v>
      </c>
      <c r="AI232" s="125">
        <v>1.1726012280000001E-3</v>
      </c>
      <c r="AJ232" s="125">
        <f>AD232/'סכום נכסים'!$B$30</f>
        <v>1.4147196824821248E-4</v>
      </c>
    </row>
    <row r="233" spans="1:36" x14ac:dyDescent="0.3">
      <c r="A233">
        <v>13908</v>
      </c>
      <c r="B233">
        <v>13908</v>
      </c>
      <c r="C233" t="s">
        <v>1608</v>
      </c>
      <c r="D233">
        <v>520037789</v>
      </c>
      <c r="E233" t="s">
        <v>420</v>
      </c>
      <c r="F233" t="s">
        <v>1944</v>
      </c>
      <c r="G233" t="s">
        <v>1945</v>
      </c>
      <c r="H233" t="s">
        <v>75</v>
      </c>
      <c r="I233" t="s">
        <v>225</v>
      </c>
      <c r="J233" t="s">
        <v>52</v>
      </c>
      <c r="K233" t="s">
        <v>52</v>
      </c>
      <c r="L233" t="s">
        <v>775</v>
      </c>
      <c r="M233" t="s">
        <v>303</v>
      </c>
      <c r="N233" t="s">
        <v>620</v>
      </c>
      <c r="O233" t="s">
        <v>61</v>
      </c>
      <c r="P233" t="s">
        <v>1353</v>
      </c>
      <c r="Q233" t="s">
        <v>64</v>
      </c>
      <c r="R233" t="s">
        <v>56</v>
      </c>
      <c r="S233" t="s">
        <v>1258</v>
      </c>
      <c r="T233" s="126">
        <v>2.8919999999999999</v>
      </c>
      <c r="U233" s="127">
        <v>48214</v>
      </c>
      <c r="V233" s="125">
        <v>2.2499999999999999E-2</v>
      </c>
      <c r="W233" s="125">
        <v>2.4E-2</v>
      </c>
      <c r="X233" t="s">
        <v>607</v>
      </c>
      <c r="Z233" s="124">
        <v>4225341.51</v>
      </c>
      <c r="AA233" s="124">
        <v>1</v>
      </c>
      <c r="AB233" s="124">
        <v>120.4</v>
      </c>
      <c r="AC233" s="124">
        <v>59.110349999999997</v>
      </c>
      <c r="AD233" s="124">
        <v>5146.4215299999996</v>
      </c>
      <c r="AE233" s="124"/>
      <c r="AF233" s="124"/>
      <c r="AG233" t="s">
        <v>16</v>
      </c>
      <c r="AH233" s="125">
        <v>2.8744602679999999E-3</v>
      </c>
      <c r="AI233" s="125">
        <v>7.6798483750000002E-3</v>
      </c>
      <c r="AJ233" s="125">
        <f>AD233/'סכום נכסים'!$B$30</f>
        <v>9.2655818442785728E-4</v>
      </c>
    </row>
    <row r="234" spans="1:36" x14ac:dyDescent="0.3">
      <c r="A234">
        <v>13908</v>
      </c>
      <c r="B234">
        <v>13908</v>
      </c>
      <c r="C234" t="s">
        <v>1608</v>
      </c>
      <c r="D234">
        <v>520037789</v>
      </c>
      <c r="E234" t="s">
        <v>420</v>
      </c>
      <c r="F234" t="s">
        <v>1946</v>
      </c>
      <c r="G234" t="s">
        <v>1947</v>
      </c>
      <c r="H234" t="s">
        <v>75</v>
      </c>
      <c r="I234" t="s">
        <v>225</v>
      </c>
      <c r="J234" t="s">
        <v>52</v>
      </c>
      <c r="K234" t="s">
        <v>52</v>
      </c>
      <c r="L234" t="s">
        <v>775</v>
      </c>
      <c r="M234" t="s">
        <v>303</v>
      </c>
      <c r="N234" t="s">
        <v>620</v>
      </c>
      <c r="O234" t="s">
        <v>61</v>
      </c>
      <c r="P234" t="s">
        <v>1353</v>
      </c>
      <c r="Q234" t="s">
        <v>64</v>
      </c>
      <c r="R234" t="s">
        <v>56</v>
      </c>
      <c r="S234" t="s">
        <v>1258</v>
      </c>
      <c r="T234" s="126">
        <v>2.8650000000000002</v>
      </c>
      <c r="U234" s="127">
        <v>47300</v>
      </c>
      <c r="V234" s="125">
        <v>1.43E-2</v>
      </c>
      <c r="W234" s="125">
        <v>2.2700000000000001E-2</v>
      </c>
      <c r="X234" t="s">
        <v>607</v>
      </c>
      <c r="Z234" s="124">
        <v>1127495.3899999999</v>
      </c>
      <c r="AA234" s="124">
        <v>1</v>
      </c>
      <c r="AB234" s="124">
        <v>116.54</v>
      </c>
      <c r="AC234" s="124">
        <v>9.9702000000000002</v>
      </c>
      <c r="AD234" s="124">
        <v>1323.9533300000001</v>
      </c>
      <c r="AE234" s="124"/>
      <c r="AF234" s="124"/>
      <c r="AG234" t="s">
        <v>16</v>
      </c>
      <c r="AH234" s="125">
        <v>5.9805878099999997E-4</v>
      </c>
      <c r="AI234" s="125">
        <v>1.9756953000000001E-3</v>
      </c>
      <c r="AJ234" s="125">
        <f>AD234/'סכום נכסים'!$B$30</f>
        <v>2.3836364482798515E-4</v>
      </c>
    </row>
    <row r="235" spans="1:36" x14ac:dyDescent="0.3">
      <c r="A235">
        <v>13908</v>
      </c>
      <c r="B235">
        <v>13908</v>
      </c>
      <c r="C235" t="s">
        <v>1608</v>
      </c>
      <c r="D235">
        <v>520037789</v>
      </c>
      <c r="E235" t="s">
        <v>420</v>
      </c>
      <c r="F235" t="s">
        <v>1948</v>
      </c>
      <c r="G235" t="s">
        <v>1949</v>
      </c>
      <c r="H235" t="s">
        <v>75</v>
      </c>
      <c r="I235" t="s">
        <v>225</v>
      </c>
      <c r="J235" t="s">
        <v>52</v>
      </c>
      <c r="K235" t="s">
        <v>52</v>
      </c>
      <c r="L235" t="s">
        <v>775</v>
      </c>
      <c r="M235" t="s">
        <v>303</v>
      </c>
      <c r="N235" t="s">
        <v>620</v>
      </c>
      <c r="O235" t="s">
        <v>61</v>
      </c>
      <c r="P235" t="s">
        <v>1353</v>
      </c>
      <c r="Q235" t="s">
        <v>64</v>
      </c>
      <c r="R235" t="s">
        <v>56</v>
      </c>
      <c r="S235" t="s">
        <v>1258</v>
      </c>
      <c r="T235" s="126">
        <v>3.8109999999999999</v>
      </c>
      <c r="U235" s="127">
        <v>47665</v>
      </c>
      <c r="V235" s="125">
        <v>2.5000000000000001E-3</v>
      </c>
      <c r="W235" s="125">
        <v>2.3900000000000001E-2</v>
      </c>
      <c r="X235" t="s">
        <v>607</v>
      </c>
      <c r="Z235" s="124">
        <v>702672</v>
      </c>
      <c r="AA235" s="124">
        <v>1</v>
      </c>
      <c r="AB235" s="124">
        <v>108.03</v>
      </c>
      <c r="AC235" s="124">
        <v>1.77725</v>
      </c>
      <c r="AD235" s="124">
        <v>760.87381000000005</v>
      </c>
      <c r="AE235" s="124"/>
      <c r="AF235" s="124"/>
      <c r="AG235" t="s">
        <v>16</v>
      </c>
      <c r="AH235" s="125">
        <v>5.3822714000000005E-4</v>
      </c>
      <c r="AI235" s="125">
        <v>1.135428852E-3</v>
      </c>
      <c r="AJ235" s="125">
        <f>AD235/'סכום נכסים'!$B$30</f>
        <v>1.3698719622220811E-4</v>
      </c>
    </row>
    <row r="236" spans="1:36" x14ac:dyDescent="0.3">
      <c r="A236">
        <v>13908</v>
      </c>
      <c r="B236">
        <v>13908</v>
      </c>
      <c r="C236" t="s">
        <v>1950</v>
      </c>
      <c r="D236">
        <v>520038332</v>
      </c>
      <c r="E236" t="s">
        <v>420</v>
      </c>
      <c r="F236" t="s">
        <v>1951</v>
      </c>
      <c r="G236" t="s">
        <v>1952</v>
      </c>
      <c r="H236" t="s">
        <v>75</v>
      </c>
      <c r="I236" t="s">
        <v>225</v>
      </c>
      <c r="J236" t="s">
        <v>52</v>
      </c>
      <c r="K236" t="s">
        <v>52</v>
      </c>
      <c r="L236" t="s">
        <v>775</v>
      </c>
      <c r="M236" t="s">
        <v>303</v>
      </c>
      <c r="N236" t="s">
        <v>620</v>
      </c>
      <c r="O236" t="s">
        <v>61</v>
      </c>
      <c r="P236" t="s">
        <v>290</v>
      </c>
      <c r="Q236" t="s">
        <v>290</v>
      </c>
      <c r="R236" t="s">
        <v>290</v>
      </c>
      <c r="S236" t="s">
        <v>1258</v>
      </c>
      <c r="T236" s="126">
        <v>0.73799999999999999</v>
      </c>
      <c r="U236" s="127">
        <v>46478</v>
      </c>
      <c r="V236" s="125">
        <v>1.9E-2</v>
      </c>
      <c r="W236" s="125">
        <v>3.2599999999999997E-2</v>
      </c>
      <c r="X236" t="s">
        <v>607</v>
      </c>
      <c r="Z236" s="124">
        <v>95287.96</v>
      </c>
      <c r="AA236" s="124">
        <v>1</v>
      </c>
      <c r="AB236" s="124">
        <v>113.93</v>
      </c>
      <c r="AC236" s="124">
        <v>0</v>
      </c>
      <c r="AD236" s="124">
        <v>108.56157</v>
      </c>
      <c r="AE236" s="124"/>
      <c r="AF236" s="124"/>
      <c r="AG236" t="s">
        <v>16</v>
      </c>
      <c r="AH236" s="125">
        <v>1.4420450099999999E-4</v>
      </c>
      <c r="AI236" s="125">
        <v>1.6200313E-4</v>
      </c>
      <c r="AJ236" s="125">
        <f>AD236/'סכום נכסים'!$B$30</f>
        <v>1.9545350222766878E-5</v>
      </c>
    </row>
    <row r="237" spans="1:36" x14ac:dyDescent="0.3">
      <c r="A237">
        <v>13908</v>
      </c>
      <c r="B237">
        <v>13908</v>
      </c>
      <c r="C237" t="s">
        <v>1953</v>
      </c>
      <c r="D237">
        <v>520038506</v>
      </c>
      <c r="E237" t="s">
        <v>420</v>
      </c>
      <c r="F237" t="s">
        <v>1954</v>
      </c>
      <c r="G237" t="s">
        <v>1955</v>
      </c>
      <c r="H237" t="s">
        <v>75</v>
      </c>
      <c r="I237" t="s">
        <v>224</v>
      </c>
      <c r="J237" t="s">
        <v>52</v>
      </c>
      <c r="K237" t="s">
        <v>52</v>
      </c>
      <c r="L237" t="s">
        <v>775</v>
      </c>
      <c r="M237" t="s">
        <v>303</v>
      </c>
      <c r="N237" t="s">
        <v>620</v>
      </c>
      <c r="O237" t="s">
        <v>61</v>
      </c>
      <c r="P237" t="s">
        <v>1349</v>
      </c>
      <c r="Q237" t="s">
        <v>64</v>
      </c>
      <c r="R237" t="s">
        <v>56</v>
      </c>
      <c r="S237" t="s">
        <v>1258</v>
      </c>
      <c r="T237" s="126">
        <v>0.66300000000000003</v>
      </c>
      <c r="U237" s="127">
        <v>46446</v>
      </c>
      <c r="V237" s="125">
        <v>3.85E-2</v>
      </c>
      <c r="W237" s="125">
        <v>3.9100000000000003E-2</v>
      </c>
      <c r="X237" t="s">
        <v>607</v>
      </c>
      <c r="Z237" s="124">
        <v>13631.75</v>
      </c>
      <c r="AA237" s="124">
        <v>1</v>
      </c>
      <c r="AB237" s="124">
        <v>101.24</v>
      </c>
      <c r="AC237" s="124">
        <v>0</v>
      </c>
      <c r="AD237" s="124">
        <v>13.80078</v>
      </c>
      <c r="AE237" s="124"/>
      <c r="AF237" s="124"/>
      <c r="AG237" t="s">
        <v>16</v>
      </c>
      <c r="AH237" s="125">
        <v>8.7459106728448999E-5</v>
      </c>
      <c r="AI237" s="125">
        <v>2.05944843912722E-5</v>
      </c>
      <c r="AJ237" s="125">
        <f>AD237/'סכום נכסים'!$B$30</f>
        <v>2.4846829172363356E-6</v>
      </c>
    </row>
    <row r="238" spans="1:36" x14ac:dyDescent="0.3">
      <c r="A238">
        <v>13908</v>
      </c>
      <c r="B238">
        <v>13908</v>
      </c>
      <c r="C238" t="s">
        <v>1953</v>
      </c>
      <c r="D238">
        <v>520038506</v>
      </c>
      <c r="E238" t="s">
        <v>420</v>
      </c>
      <c r="F238" t="s">
        <v>1956</v>
      </c>
      <c r="G238" t="s">
        <v>1957</v>
      </c>
      <c r="H238" t="s">
        <v>75</v>
      </c>
      <c r="I238" t="s">
        <v>224</v>
      </c>
      <c r="J238" t="s">
        <v>52</v>
      </c>
      <c r="K238" t="s">
        <v>52</v>
      </c>
      <c r="L238" t="s">
        <v>775</v>
      </c>
      <c r="M238" t="s">
        <v>303</v>
      </c>
      <c r="N238" t="s">
        <v>620</v>
      </c>
      <c r="O238" t="s">
        <v>61</v>
      </c>
      <c r="P238" t="s">
        <v>1349</v>
      </c>
      <c r="Q238" t="s">
        <v>64</v>
      </c>
      <c r="R238" t="s">
        <v>56</v>
      </c>
      <c r="S238" t="s">
        <v>1258</v>
      </c>
      <c r="T238" s="126">
        <v>2.798</v>
      </c>
      <c r="U238" s="127">
        <v>47907</v>
      </c>
      <c r="V238" s="125">
        <v>2.41E-2</v>
      </c>
      <c r="W238" s="125">
        <v>3.9399999999999998E-2</v>
      </c>
      <c r="X238" t="s">
        <v>607</v>
      </c>
      <c r="Z238" s="124">
        <v>205000</v>
      </c>
      <c r="AA238" s="124">
        <v>1</v>
      </c>
      <c r="AB238" s="124">
        <v>96.69</v>
      </c>
      <c r="AC238" s="124">
        <v>0</v>
      </c>
      <c r="AD238" s="124">
        <v>198.21449999999999</v>
      </c>
      <c r="AE238" s="124"/>
      <c r="AF238" s="124"/>
      <c r="AG238" t="s">
        <v>16</v>
      </c>
      <c r="AH238" s="125">
        <v>9.9759469505107798E-5</v>
      </c>
      <c r="AI238" s="125">
        <v>2.9578947099999998E-4</v>
      </c>
      <c r="AJ238" s="125">
        <f>AD238/'סכום נכסים'!$B$30</f>
        <v>3.5686401935147258E-5</v>
      </c>
    </row>
    <row r="239" spans="1:36" x14ac:dyDescent="0.3">
      <c r="A239">
        <v>13908</v>
      </c>
      <c r="B239">
        <v>13908</v>
      </c>
      <c r="C239" t="s">
        <v>1958</v>
      </c>
      <c r="D239">
        <v>520039298</v>
      </c>
      <c r="E239" t="s">
        <v>420</v>
      </c>
      <c r="F239" t="s">
        <v>1959</v>
      </c>
      <c r="G239" t="s">
        <v>1960</v>
      </c>
      <c r="H239" t="s">
        <v>75</v>
      </c>
      <c r="I239" t="s">
        <v>224</v>
      </c>
      <c r="J239" t="s">
        <v>52</v>
      </c>
      <c r="K239" t="s">
        <v>52</v>
      </c>
      <c r="L239" t="s">
        <v>775</v>
      </c>
      <c r="M239" t="s">
        <v>303</v>
      </c>
      <c r="N239" t="s">
        <v>138</v>
      </c>
      <c r="O239" t="s">
        <v>61</v>
      </c>
      <c r="P239" t="s">
        <v>1472</v>
      </c>
      <c r="Q239" t="s">
        <v>64</v>
      </c>
      <c r="R239" t="s">
        <v>56</v>
      </c>
      <c r="S239" t="s">
        <v>1258</v>
      </c>
      <c r="T239" s="126">
        <v>0.98799999999999999</v>
      </c>
      <c r="U239" s="127">
        <v>46568</v>
      </c>
      <c r="V239" s="125">
        <v>3.95E-2</v>
      </c>
      <c r="W239" s="125">
        <v>4.4600000000000001E-2</v>
      </c>
      <c r="X239" t="s">
        <v>607</v>
      </c>
      <c r="Z239" s="124">
        <v>269018.75</v>
      </c>
      <c r="AA239" s="124">
        <v>1</v>
      </c>
      <c r="AB239" s="124">
        <v>99.56</v>
      </c>
      <c r="AC239" s="124">
        <v>0</v>
      </c>
      <c r="AD239" s="124">
        <v>267.83506999999997</v>
      </c>
      <c r="AE239" s="124"/>
      <c r="AF239" s="124"/>
      <c r="AG239" t="s">
        <v>16</v>
      </c>
      <c r="AH239" s="125">
        <v>9.1675631900000004E-4</v>
      </c>
      <c r="AI239" s="125">
        <v>3.9968213100000002E-4</v>
      </c>
      <c r="AJ239" s="125">
        <f>AD239/'סכום נכסים'!$B$30</f>
        <v>4.8220841363009776E-5</v>
      </c>
    </row>
    <row r="240" spans="1:36" x14ac:dyDescent="0.3">
      <c r="A240">
        <v>13908</v>
      </c>
      <c r="B240">
        <v>13908</v>
      </c>
      <c r="C240" t="s">
        <v>1961</v>
      </c>
      <c r="D240">
        <v>520039496</v>
      </c>
      <c r="E240" t="s">
        <v>420</v>
      </c>
      <c r="F240" t="s">
        <v>1962</v>
      </c>
      <c r="G240" t="s">
        <v>1963</v>
      </c>
      <c r="H240" t="s">
        <v>75</v>
      </c>
      <c r="I240" t="s">
        <v>225</v>
      </c>
      <c r="J240" t="s">
        <v>52</v>
      </c>
      <c r="K240" t="s">
        <v>52</v>
      </c>
      <c r="L240" t="s">
        <v>775</v>
      </c>
      <c r="M240" t="s">
        <v>303</v>
      </c>
      <c r="N240" t="s">
        <v>620</v>
      </c>
      <c r="O240" t="s">
        <v>61</v>
      </c>
      <c r="P240" t="s">
        <v>290</v>
      </c>
      <c r="Q240" t="s">
        <v>290</v>
      </c>
      <c r="R240" t="s">
        <v>290</v>
      </c>
      <c r="S240" t="s">
        <v>1258</v>
      </c>
      <c r="T240" s="126">
        <v>0.501</v>
      </c>
      <c r="U240" s="127">
        <v>46387</v>
      </c>
      <c r="V240" s="125">
        <v>1.9E-2</v>
      </c>
      <c r="W240" s="125">
        <v>0.48120000000000002</v>
      </c>
      <c r="X240" t="s">
        <v>607</v>
      </c>
      <c r="Z240" s="124">
        <v>262500</v>
      </c>
      <c r="AA240" s="124">
        <v>1</v>
      </c>
      <c r="AB240" s="124">
        <v>96.5</v>
      </c>
      <c r="AC240" s="124">
        <v>0</v>
      </c>
      <c r="AD240" s="124">
        <v>253.3125</v>
      </c>
      <c r="AE240" s="124"/>
      <c r="AF240" s="124"/>
      <c r="AG240" t="s">
        <v>16</v>
      </c>
      <c r="AH240" s="125">
        <v>7.5033872429999997E-3</v>
      </c>
      <c r="AI240" s="125">
        <v>3.7801054099999997E-4</v>
      </c>
      <c r="AJ240" s="125">
        <f>AD240/'סכום נכסים'!$B$30</f>
        <v>4.5606207871760092E-5</v>
      </c>
    </row>
    <row r="241" spans="1:36" x14ac:dyDescent="0.3">
      <c r="A241">
        <v>13908</v>
      </c>
      <c r="B241">
        <v>13908</v>
      </c>
      <c r="C241" t="s">
        <v>1964</v>
      </c>
      <c r="D241">
        <v>520028010</v>
      </c>
      <c r="E241" t="s">
        <v>420</v>
      </c>
      <c r="F241" t="s">
        <v>1965</v>
      </c>
      <c r="G241" t="s">
        <v>1966</v>
      </c>
      <c r="H241" t="s">
        <v>75</v>
      </c>
      <c r="I241" t="s">
        <v>224</v>
      </c>
      <c r="J241" t="s">
        <v>52</v>
      </c>
      <c r="K241" t="s">
        <v>52</v>
      </c>
      <c r="L241" t="s">
        <v>775</v>
      </c>
      <c r="M241" t="s">
        <v>303</v>
      </c>
      <c r="N241" t="s">
        <v>258</v>
      </c>
      <c r="O241" t="s">
        <v>61</v>
      </c>
      <c r="P241" t="s">
        <v>1395</v>
      </c>
      <c r="Q241" t="s">
        <v>64</v>
      </c>
      <c r="R241" t="s">
        <v>56</v>
      </c>
      <c r="S241" t="s">
        <v>1258</v>
      </c>
      <c r="T241" s="126">
        <v>1.4750000000000001</v>
      </c>
      <c r="U241" s="127">
        <v>46934</v>
      </c>
      <c r="V241" s="125">
        <v>2.1999999999999999E-2</v>
      </c>
      <c r="W241" s="125">
        <v>3.95E-2</v>
      </c>
      <c r="X241" t="s">
        <v>607</v>
      </c>
      <c r="Z241" s="124">
        <v>26896.99</v>
      </c>
      <c r="AA241" s="124">
        <v>1</v>
      </c>
      <c r="AB241" s="124">
        <v>97.54</v>
      </c>
      <c r="AC241" s="124">
        <v>0</v>
      </c>
      <c r="AD241" s="124">
        <v>26.235320000000002</v>
      </c>
      <c r="AE241" s="124"/>
      <c r="AF241" s="124"/>
      <c r="AG241" t="s">
        <v>16</v>
      </c>
      <c r="AH241" s="125">
        <v>4.13640753556325E-5</v>
      </c>
      <c r="AI241" s="125">
        <v>3.9150170370082899E-5</v>
      </c>
      <c r="AJ241" s="125">
        <f>AD241/'סכום נכסים'!$B$30</f>
        <v>4.7233889267294159E-6</v>
      </c>
    </row>
    <row r="242" spans="1:36" x14ac:dyDescent="0.3">
      <c r="A242">
        <v>13908</v>
      </c>
      <c r="B242">
        <v>13908</v>
      </c>
      <c r="C242" t="s">
        <v>1967</v>
      </c>
      <c r="D242">
        <v>520033986</v>
      </c>
      <c r="E242" t="s">
        <v>420</v>
      </c>
      <c r="F242" t="s">
        <v>1968</v>
      </c>
      <c r="G242" t="s">
        <v>1969</v>
      </c>
      <c r="H242" t="s">
        <v>75</v>
      </c>
      <c r="I242" t="s">
        <v>224</v>
      </c>
      <c r="J242" t="s">
        <v>52</v>
      </c>
      <c r="K242" t="s">
        <v>52</v>
      </c>
      <c r="L242" t="s">
        <v>775</v>
      </c>
      <c r="M242" t="s">
        <v>303</v>
      </c>
      <c r="N242" t="s">
        <v>262</v>
      </c>
      <c r="O242" t="s">
        <v>61</v>
      </c>
      <c r="P242" t="s">
        <v>1515</v>
      </c>
      <c r="Q242" t="s">
        <v>69</v>
      </c>
      <c r="R242" t="s">
        <v>56</v>
      </c>
      <c r="S242" t="s">
        <v>1258</v>
      </c>
      <c r="T242" s="126">
        <v>4.593</v>
      </c>
      <c r="U242" s="127">
        <v>49674</v>
      </c>
      <c r="V242" s="125">
        <v>1.95E-2</v>
      </c>
      <c r="W242" s="125">
        <v>3.8100000000000002E-2</v>
      </c>
      <c r="X242" t="s">
        <v>607</v>
      </c>
      <c r="Z242" s="124">
        <v>317204.15999999997</v>
      </c>
      <c r="AA242" s="124">
        <v>1</v>
      </c>
      <c r="AB242" s="124">
        <v>91.94</v>
      </c>
      <c r="AC242" s="124">
        <v>0</v>
      </c>
      <c r="AD242" s="124">
        <v>291.63749999999999</v>
      </c>
      <c r="AE242" s="124"/>
      <c r="AF242" s="124"/>
      <c r="AG242" t="s">
        <v>16</v>
      </c>
      <c r="AH242" s="125">
        <v>3.6603898E-4</v>
      </c>
      <c r="AI242" s="125">
        <v>4.3520177400000002E-4</v>
      </c>
      <c r="AJ242" s="125">
        <f>AD242/'סכום נכסים'!$B$30</f>
        <v>5.250621445132172E-5</v>
      </c>
    </row>
    <row r="243" spans="1:36" x14ac:dyDescent="0.3">
      <c r="A243">
        <v>13908</v>
      </c>
      <c r="B243">
        <v>13908</v>
      </c>
      <c r="C243" t="s">
        <v>1618</v>
      </c>
      <c r="D243">
        <v>520000472</v>
      </c>
      <c r="E243" t="s">
        <v>420</v>
      </c>
      <c r="F243" t="s">
        <v>1970</v>
      </c>
      <c r="G243" t="s">
        <v>1971</v>
      </c>
      <c r="H243" t="s">
        <v>75</v>
      </c>
      <c r="I243" t="s">
        <v>225</v>
      </c>
      <c r="J243" t="s">
        <v>52</v>
      </c>
      <c r="K243" t="s">
        <v>52</v>
      </c>
      <c r="L243" t="s">
        <v>775</v>
      </c>
      <c r="M243" t="s">
        <v>303</v>
      </c>
      <c r="N243" t="s">
        <v>154</v>
      </c>
      <c r="O243" t="s">
        <v>61</v>
      </c>
      <c r="P243" t="s">
        <v>1257</v>
      </c>
      <c r="Q243" t="s">
        <v>64</v>
      </c>
      <c r="R243" t="s">
        <v>56</v>
      </c>
      <c r="S243" t="s">
        <v>1258</v>
      </c>
      <c r="T243" s="126">
        <v>1.8819999999999999</v>
      </c>
      <c r="U243" s="127">
        <v>47220</v>
      </c>
      <c r="V243" s="125">
        <v>3.85E-2</v>
      </c>
      <c r="W243" s="125">
        <v>2.24E-2</v>
      </c>
      <c r="X243" t="s">
        <v>607</v>
      </c>
      <c r="Z243" s="124">
        <v>2865326.47</v>
      </c>
      <c r="AA243" s="124">
        <v>1</v>
      </c>
      <c r="AB243" s="124">
        <v>124.83</v>
      </c>
      <c r="AC243" s="124">
        <v>0</v>
      </c>
      <c r="AD243" s="124">
        <v>3576.78703</v>
      </c>
      <c r="AE243" s="124"/>
      <c r="AF243" s="124"/>
      <c r="AG243" t="s">
        <v>16</v>
      </c>
      <c r="AH243" s="125">
        <v>1.146442093E-3</v>
      </c>
      <c r="AI243" s="125">
        <v>5.3375305350000001E-3</v>
      </c>
      <c r="AJ243" s="125">
        <f>AD243/'סכום נכסים'!$B$30</f>
        <v>6.4396227112043587E-4</v>
      </c>
    </row>
    <row r="244" spans="1:36" x14ac:dyDescent="0.3">
      <c r="A244">
        <v>13908</v>
      </c>
      <c r="B244">
        <v>13908</v>
      </c>
      <c r="C244" t="s">
        <v>1618</v>
      </c>
      <c r="D244">
        <v>520000472</v>
      </c>
      <c r="E244" t="s">
        <v>420</v>
      </c>
      <c r="F244" t="s">
        <v>1972</v>
      </c>
      <c r="G244" t="s">
        <v>1973</v>
      </c>
      <c r="H244" t="s">
        <v>75</v>
      </c>
      <c r="I244" t="s">
        <v>225</v>
      </c>
      <c r="J244" t="s">
        <v>52</v>
      </c>
      <c r="K244" t="s">
        <v>52</v>
      </c>
      <c r="L244" t="s">
        <v>775</v>
      </c>
      <c r="M244" t="s">
        <v>303</v>
      </c>
      <c r="N244" t="s">
        <v>154</v>
      </c>
      <c r="O244" t="s">
        <v>61</v>
      </c>
      <c r="P244" t="s">
        <v>1257</v>
      </c>
      <c r="Q244" t="s">
        <v>64</v>
      </c>
      <c r="R244" t="s">
        <v>56</v>
      </c>
      <c r="S244" t="s">
        <v>1258</v>
      </c>
      <c r="T244" s="126">
        <v>4.2380000000000004</v>
      </c>
      <c r="U244" s="127">
        <v>48112</v>
      </c>
      <c r="V244" s="125">
        <v>2.3900000000000001E-2</v>
      </c>
      <c r="W244" s="125">
        <v>2.23E-2</v>
      </c>
      <c r="X244" t="s">
        <v>607</v>
      </c>
      <c r="Z244" s="124">
        <v>756482</v>
      </c>
      <c r="AA244" s="124">
        <v>1</v>
      </c>
      <c r="AB244" s="124">
        <v>120.6</v>
      </c>
      <c r="AC244" s="124">
        <v>0</v>
      </c>
      <c r="AD244" s="124">
        <v>912.31728999999996</v>
      </c>
      <c r="AE244" s="124"/>
      <c r="AF244" s="124"/>
      <c r="AG244" t="s">
        <v>16</v>
      </c>
      <c r="AH244" s="125">
        <v>1.9451098200000001E-4</v>
      </c>
      <c r="AI244" s="125">
        <v>1.361423353E-3</v>
      </c>
      <c r="AJ244" s="125">
        <f>AD244/'סכום נכסים'!$B$30</f>
        <v>1.6425297595949997E-4</v>
      </c>
    </row>
    <row r="245" spans="1:36" x14ac:dyDescent="0.3">
      <c r="A245">
        <v>13908</v>
      </c>
      <c r="B245">
        <v>13908</v>
      </c>
      <c r="C245" t="s">
        <v>1618</v>
      </c>
      <c r="D245">
        <v>520000472</v>
      </c>
      <c r="E245" t="s">
        <v>420</v>
      </c>
      <c r="F245" t="s">
        <v>1974</v>
      </c>
      <c r="G245" t="s">
        <v>1975</v>
      </c>
      <c r="H245" t="s">
        <v>75</v>
      </c>
      <c r="I245" t="s">
        <v>225</v>
      </c>
      <c r="J245" t="s">
        <v>52</v>
      </c>
      <c r="K245" t="s">
        <v>52</v>
      </c>
      <c r="L245" t="s">
        <v>775</v>
      </c>
      <c r="M245" t="s">
        <v>303</v>
      </c>
      <c r="N245" t="s">
        <v>154</v>
      </c>
      <c r="O245" t="s">
        <v>61</v>
      </c>
      <c r="P245" t="s">
        <v>1257</v>
      </c>
      <c r="Q245" t="s">
        <v>64</v>
      </c>
      <c r="R245" t="s">
        <v>56</v>
      </c>
      <c r="S245" t="s">
        <v>1258</v>
      </c>
      <c r="T245" s="126">
        <v>9.3420000000000005</v>
      </c>
      <c r="U245" s="127">
        <v>49825</v>
      </c>
      <c r="V245" s="125">
        <v>1.2500000000000001E-2</v>
      </c>
      <c r="W245" s="125">
        <v>2.52E-2</v>
      </c>
      <c r="X245" t="s">
        <v>607</v>
      </c>
      <c r="Z245" s="124">
        <v>95000</v>
      </c>
      <c r="AA245" s="124">
        <v>1</v>
      </c>
      <c r="AB245" s="124">
        <v>104.72</v>
      </c>
      <c r="AC245" s="124">
        <v>0</v>
      </c>
      <c r="AD245" s="124">
        <v>99.483999999999995</v>
      </c>
      <c r="AE245" s="124"/>
      <c r="AF245" s="124"/>
      <c r="AG245" t="s">
        <v>16</v>
      </c>
      <c r="AH245" s="125">
        <v>2.2134878767269E-5</v>
      </c>
      <c r="AI245" s="125">
        <v>1.48456948E-4</v>
      </c>
      <c r="AJ245" s="125">
        <f>AD245/'סכום נכסים'!$B$30</f>
        <v>1.7911030777850207E-5</v>
      </c>
    </row>
    <row r="246" spans="1:36" x14ac:dyDescent="0.3">
      <c r="A246">
        <v>13908</v>
      </c>
      <c r="B246">
        <v>13908</v>
      </c>
      <c r="C246" t="s">
        <v>1667</v>
      </c>
      <c r="D246">
        <v>520018078</v>
      </c>
      <c r="E246" t="s">
        <v>420</v>
      </c>
      <c r="F246" t="s">
        <v>1976</v>
      </c>
      <c r="G246" t="s">
        <v>1977</v>
      </c>
      <c r="H246" t="s">
        <v>75</v>
      </c>
      <c r="I246" t="s">
        <v>225</v>
      </c>
      <c r="J246" t="s">
        <v>52</v>
      </c>
      <c r="K246" t="s">
        <v>52</v>
      </c>
      <c r="L246" t="s">
        <v>775</v>
      </c>
      <c r="M246" t="s">
        <v>303</v>
      </c>
      <c r="N246" t="s">
        <v>251</v>
      </c>
      <c r="O246" t="s">
        <v>61</v>
      </c>
      <c r="P246" t="s">
        <v>1257</v>
      </c>
      <c r="Q246" t="s">
        <v>64</v>
      </c>
      <c r="R246" t="s">
        <v>56</v>
      </c>
      <c r="S246" t="s">
        <v>1258</v>
      </c>
      <c r="T246" s="126">
        <v>1.4019999999999999</v>
      </c>
      <c r="U246" s="127">
        <v>46716</v>
      </c>
      <c r="V246" s="125">
        <v>1E-3</v>
      </c>
      <c r="W246" s="125">
        <v>2.0799999999999999E-2</v>
      </c>
      <c r="X246" t="s">
        <v>607</v>
      </c>
      <c r="Z246" s="124">
        <v>450000</v>
      </c>
      <c r="AA246" s="124">
        <v>1</v>
      </c>
      <c r="AB246" s="124">
        <v>113.31</v>
      </c>
      <c r="AC246" s="124">
        <v>0</v>
      </c>
      <c r="AD246" s="124">
        <v>509.89499999999998</v>
      </c>
      <c r="AE246" s="124"/>
      <c r="AF246" s="124"/>
      <c r="AG246" t="s">
        <v>16</v>
      </c>
      <c r="AH246" s="125">
        <v>1.43437495E-4</v>
      </c>
      <c r="AI246" s="125">
        <v>7.6090080500000005E-4</v>
      </c>
      <c r="AJ246" s="125">
        <f>AD246/'סכום נכסים'!$B$30</f>
        <v>9.1801144289251863E-5</v>
      </c>
    </row>
    <row r="247" spans="1:36" x14ac:dyDescent="0.3">
      <c r="A247">
        <v>13908</v>
      </c>
      <c r="B247">
        <v>13908</v>
      </c>
      <c r="C247" t="s">
        <v>1667</v>
      </c>
      <c r="D247">
        <v>520018078</v>
      </c>
      <c r="E247" t="s">
        <v>420</v>
      </c>
      <c r="F247" t="s">
        <v>1978</v>
      </c>
      <c r="G247" t="s">
        <v>1979</v>
      </c>
      <c r="H247" t="s">
        <v>75</v>
      </c>
      <c r="I247" t="s">
        <v>225</v>
      </c>
      <c r="J247" t="s">
        <v>52</v>
      </c>
      <c r="K247" t="s">
        <v>52</v>
      </c>
      <c r="L247" t="s">
        <v>775</v>
      </c>
      <c r="M247" t="s">
        <v>303</v>
      </c>
      <c r="N247" t="s">
        <v>251</v>
      </c>
      <c r="O247" t="s">
        <v>61</v>
      </c>
      <c r="P247" t="s">
        <v>1257</v>
      </c>
      <c r="Q247" t="s">
        <v>64</v>
      </c>
      <c r="R247" t="s">
        <v>56</v>
      </c>
      <c r="S247" t="s">
        <v>1258</v>
      </c>
      <c r="T247" s="126">
        <v>3.399</v>
      </c>
      <c r="U247" s="127">
        <v>47447</v>
      </c>
      <c r="V247" s="125">
        <v>1E-3</v>
      </c>
      <c r="W247" s="125">
        <v>2.1399999999999999E-2</v>
      </c>
      <c r="X247" t="s">
        <v>607</v>
      </c>
      <c r="Z247" s="124">
        <v>5839970</v>
      </c>
      <c r="AA247" s="124">
        <v>1</v>
      </c>
      <c r="AB247" s="124">
        <v>108.74</v>
      </c>
      <c r="AC247" s="124">
        <v>0</v>
      </c>
      <c r="AD247" s="124">
        <v>6350.3833800000002</v>
      </c>
      <c r="AE247" s="124"/>
      <c r="AF247" s="124"/>
      <c r="AG247" t="s">
        <v>16</v>
      </c>
      <c r="AH247" s="125">
        <v>1.3619806279999999E-3</v>
      </c>
      <c r="AI247" s="125">
        <v>9.4764840389999997E-3</v>
      </c>
      <c r="AJ247" s="125">
        <f>AD247/'סכום נכסים'!$B$30</f>
        <v>1.1433186459162122E-3</v>
      </c>
    </row>
    <row r="248" spans="1:36" x14ac:dyDescent="0.3">
      <c r="A248">
        <v>13908</v>
      </c>
      <c r="B248">
        <v>13908</v>
      </c>
      <c r="C248" t="s">
        <v>1667</v>
      </c>
      <c r="D248">
        <v>520018078</v>
      </c>
      <c r="E248" t="s">
        <v>420</v>
      </c>
      <c r="F248" t="s">
        <v>1980</v>
      </c>
      <c r="G248" t="s">
        <v>1981</v>
      </c>
      <c r="H248" t="s">
        <v>75</v>
      </c>
      <c r="I248" t="s">
        <v>224</v>
      </c>
      <c r="J248" t="s">
        <v>52</v>
      </c>
      <c r="K248" t="s">
        <v>52</v>
      </c>
      <c r="L248" t="s">
        <v>775</v>
      </c>
      <c r="M248" t="s">
        <v>303</v>
      </c>
      <c r="N248" t="s">
        <v>251</v>
      </c>
      <c r="O248" t="s">
        <v>61</v>
      </c>
      <c r="P248" t="s">
        <v>1257</v>
      </c>
      <c r="Q248" t="s">
        <v>64</v>
      </c>
      <c r="R248" t="s">
        <v>56</v>
      </c>
      <c r="S248" t="s">
        <v>1258</v>
      </c>
      <c r="T248" s="126">
        <v>2.0169999999999999</v>
      </c>
      <c r="U248" s="127">
        <v>47608</v>
      </c>
      <c r="V248" s="125">
        <v>2.76E-2</v>
      </c>
      <c r="W248" s="125">
        <v>3.6200000000000003E-2</v>
      </c>
      <c r="X248" t="s">
        <v>607</v>
      </c>
      <c r="Z248" s="124">
        <v>18160000.23</v>
      </c>
      <c r="AA248" s="124">
        <v>1</v>
      </c>
      <c r="AB248" s="124">
        <v>98.78</v>
      </c>
      <c r="AC248" s="124">
        <v>0</v>
      </c>
      <c r="AD248" s="124">
        <v>17938.448230000002</v>
      </c>
      <c r="AE248" s="124"/>
      <c r="AF248" s="124"/>
      <c r="AG248" t="s">
        <v>16</v>
      </c>
      <c r="AH248" s="125">
        <v>1.0456410948000001E-2</v>
      </c>
      <c r="AI248" s="125">
        <v>2.6769000888000001E-2</v>
      </c>
      <c r="AJ248" s="125">
        <f>AD248/'סכום נכסים'!$B$30</f>
        <v>3.2296258529452239E-3</v>
      </c>
    </row>
    <row r="249" spans="1:36" x14ac:dyDescent="0.3">
      <c r="A249">
        <v>13908</v>
      </c>
      <c r="B249">
        <v>13908</v>
      </c>
      <c r="C249" t="s">
        <v>1556</v>
      </c>
      <c r="D249">
        <v>520020116</v>
      </c>
      <c r="E249" t="s">
        <v>420</v>
      </c>
      <c r="F249" t="s">
        <v>1982</v>
      </c>
      <c r="G249" t="s">
        <v>1983</v>
      </c>
      <c r="H249" t="s">
        <v>75</v>
      </c>
      <c r="I249" t="s">
        <v>225</v>
      </c>
      <c r="J249" t="s">
        <v>52</v>
      </c>
      <c r="K249" t="s">
        <v>52</v>
      </c>
      <c r="L249" t="s">
        <v>775</v>
      </c>
      <c r="M249" t="s">
        <v>303</v>
      </c>
      <c r="N249" t="s">
        <v>620</v>
      </c>
      <c r="O249" t="s">
        <v>61</v>
      </c>
      <c r="P249" t="s">
        <v>1360</v>
      </c>
      <c r="Q249" t="s">
        <v>64</v>
      </c>
      <c r="R249" t="s">
        <v>56</v>
      </c>
      <c r="S249" t="s">
        <v>1258</v>
      </c>
      <c r="T249" s="126">
        <v>1.4139999999999999</v>
      </c>
      <c r="U249" s="127">
        <v>46752</v>
      </c>
      <c r="V249" s="125">
        <v>1.7999999999999999E-2</v>
      </c>
      <c r="W249" s="125">
        <v>2.6499999999999999E-2</v>
      </c>
      <c r="X249" t="s">
        <v>607</v>
      </c>
      <c r="Z249" s="124">
        <v>999147.02</v>
      </c>
      <c r="AA249" s="124">
        <v>1</v>
      </c>
      <c r="AB249" s="124">
        <v>119</v>
      </c>
      <c r="AC249" s="124">
        <v>0</v>
      </c>
      <c r="AD249" s="124">
        <v>1188.98495</v>
      </c>
      <c r="AE249" s="124"/>
      <c r="AF249" s="124"/>
      <c r="AG249" t="s">
        <v>16</v>
      </c>
      <c r="AH249" s="125">
        <v>1.4477611489999999E-3</v>
      </c>
      <c r="AI249" s="125">
        <v>1.77428609E-3</v>
      </c>
      <c r="AJ249" s="125">
        <f>AD249/'סכום נכסים'!$B$30</f>
        <v>2.1406403073711042E-4</v>
      </c>
    </row>
    <row r="250" spans="1:36" x14ac:dyDescent="0.3">
      <c r="A250">
        <v>13908</v>
      </c>
      <c r="B250">
        <v>13908</v>
      </c>
      <c r="C250" t="s">
        <v>1556</v>
      </c>
      <c r="D250">
        <v>520020116</v>
      </c>
      <c r="E250" t="s">
        <v>420</v>
      </c>
      <c r="F250" t="s">
        <v>1984</v>
      </c>
      <c r="G250" t="s">
        <v>1985</v>
      </c>
      <c r="H250" t="s">
        <v>75</v>
      </c>
      <c r="I250" t="s">
        <v>225</v>
      </c>
      <c r="J250" t="s">
        <v>52</v>
      </c>
      <c r="K250" t="s">
        <v>52</v>
      </c>
      <c r="L250" t="s">
        <v>775</v>
      </c>
      <c r="M250" t="s">
        <v>303</v>
      </c>
      <c r="N250" t="s">
        <v>620</v>
      </c>
      <c r="O250" t="s">
        <v>61</v>
      </c>
      <c r="P250" t="s">
        <v>1472</v>
      </c>
      <c r="Q250" t="s">
        <v>64</v>
      </c>
      <c r="R250" t="s">
        <v>56</v>
      </c>
      <c r="S250" t="s">
        <v>1258</v>
      </c>
      <c r="T250" s="126">
        <v>0.98899999999999999</v>
      </c>
      <c r="U250" s="127">
        <v>46568</v>
      </c>
      <c r="V250" s="125">
        <v>2.2499999999999999E-2</v>
      </c>
      <c r="W250" s="125">
        <v>3.0599999999999999E-2</v>
      </c>
      <c r="X250" t="s">
        <v>607</v>
      </c>
      <c r="Z250" s="124">
        <v>18750.03</v>
      </c>
      <c r="AA250" s="124">
        <v>1</v>
      </c>
      <c r="AB250" s="124">
        <v>119.12</v>
      </c>
      <c r="AC250" s="124">
        <v>0</v>
      </c>
      <c r="AD250" s="124">
        <v>22.335039999999999</v>
      </c>
      <c r="AE250" s="124"/>
      <c r="AF250" s="124"/>
      <c r="AG250" t="s">
        <v>16</v>
      </c>
      <c r="AH250" s="125">
        <v>1.50217837E-4</v>
      </c>
      <c r="AI250" s="125">
        <v>3.3329901111273502E-5</v>
      </c>
      <c r="AJ250" s="125">
        <f>AD250/'סכום נכסים'!$B$30</f>
        <v>4.0211852042993396E-6</v>
      </c>
    </row>
    <row r="251" spans="1:36" x14ac:dyDescent="0.3">
      <c r="A251">
        <v>13908</v>
      </c>
      <c r="B251">
        <v>13908</v>
      </c>
      <c r="C251" t="s">
        <v>1556</v>
      </c>
      <c r="D251">
        <v>520020116</v>
      </c>
      <c r="E251" t="s">
        <v>420</v>
      </c>
      <c r="F251" t="s">
        <v>1986</v>
      </c>
      <c r="G251" t="s">
        <v>1987</v>
      </c>
      <c r="H251" t="s">
        <v>75</v>
      </c>
      <c r="I251" t="s">
        <v>225</v>
      </c>
      <c r="J251" t="s">
        <v>52</v>
      </c>
      <c r="K251" t="s">
        <v>52</v>
      </c>
      <c r="L251" t="s">
        <v>775</v>
      </c>
      <c r="M251" t="s">
        <v>303</v>
      </c>
      <c r="N251" t="s">
        <v>620</v>
      </c>
      <c r="O251" t="s">
        <v>61</v>
      </c>
      <c r="P251" t="s">
        <v>1472</v>
      </c>
      <c r="Q251" t="s">
        <v>64</v>
      </c>
      <c r="R251" t="s">
        <v>56</v>
      </c>
      <c r="S251" t="s">
        <v>1258</v>
      </c>
      <c r="T251" s="126">
        <v>1.5640000000000001</v>
      </c>
      <c r="U251" s="127">
        <v>47118</v>
      </c>
      <c r="V251" s="125">
        <v>3.3000000000000002E-2</v>
      </c>
      <c r="W251" s="125">
        <v>2.81E-2</v>
      </c>
      <c r="X251" t="s">
        <v>607</v>
      </c>
      <c r="Z251" s="124">
        <v>100000</v>
      </c>
      <c r="AA251" s="124">
        <v>1</v>
      </c>
      <c r="AB251" s="124">
        <v>120</v>
      </c>
      <c r="AC251" s="124">
        <v>0</v>
      </c>
      <c r="AD251" s="124">
        <v>120</v>
      </c>
      <c r="AE251" s="124"/>
      <c r="AF251" s="124"/>
      <c r="AG251" t="s">
        <v>16</v>
      </c>
      <c r="AH251" s="125">
        <v>2.9238672700000002E-4</v>
      </c>
      <c r="AI251" s="125">
        <v>1.7907235099999999E-4</v>
      </c>
      <c r="AJ251" s="125">
        <f>AD251/'סכום נכסים'!$B$30</f>
        <v>2.1604717274556965E-5</v>
      </c>
    </row>
    <row r="252" spans="1:36" x14ac:dyDescent="0.3">
      <c r="A252">
        <v>13908</v>
      </c>
      <c r="B252">
        <v>13908</v>
      </c>
      <c r="C252" t="s">
        <v>1988</v>
      </c>
      <c r="D252">
        <v>520017807</v>
      </c>
      <c r="E252" t="s">
        <v>420</v>
      </c>
      <c r="F252" t="s">
        <v>1989</v>
      </c>
      <c r="G252" t="s">
        <v>1990</v>
      </c>
      <c r="H252" t="s">
        <v>75</v>
      </c>
      <c r="I252" t="s">
        <v>225</v>
      </c>
      <c r="J252" t="s">
        <v>52</v>
      </c>
      <c r="K252" t="s">
        <v>52</v>
      </c>
      <c r="L252" t="s">
        <v>775</v>
      </c>
      <c r="M252" t="s">
        <v>303</v>
      </c>
      <c r="N252" t="s">
        <v>620</v>
      </c>
      <c r="O252" t="s">
        <v>61</v>
      </c>
      <c r="P252" t="s">
        <v>1376</v>
      </c>
      <c r="Q252" t="s">
        <v>69</v>
      </c>
      <c r="R252" t="s">
        <v>56</v>
      </c>
      <c r="S252" t="s">
        <v>1258</v>
      </c>
      <c r="T252" s="126">
        <v>2.528</v>
      </c>
      <c r="U252" s="127">
        <v>48059</v>
      </c>
      <c r="V252" s="125">
        <v>2.4E-2</v>
      </c>
      <c r="W252" s="125">
        <v>2.3599999999999999E-2</v>
      </c>
      <c r="X252" t="s">
        <v>607</v>
      </c>
      <c r="Z252" s="124">
        <v>186154.81</v>
      </c>
      <c r="AA252" s="124">
        <v>1</v>
      </c>
      <c r="AB252" s="124">
        <v>121.77</v>
      </c>
      <c r="AC252" s="124">
        <v>0</v>
      </c>
      <c r="AD252" s="124">
        <v>226.68071</v>
      </c>
      <c r="AE252" s="124"/>
      <c r="AF252" s="124"/>
      <c r="AG252" t="s">
        <v>16</v>
      </c>
      <c r="AH252" s="125">
        <v>1.8076610300000001E-4</v>
      </c>
      <c r="AI252" s="125">
        <v>3.3826873099999997E-4</v>
      </c>
      <c r="AJ252" s="125">
        <f>AD252/'סכום נכסים'!$B$30</f>
        <v>4.0811438759548651E-5</v>
      </c>
    </row>
    <row r="253" spans="1:36" x14ac:dyDescent="0.3">
      <c r="A253">
        <v>13908</v>
      </c>
      <c r="B253">
        <v>13908</v>
      </c>
      <c r="C253" t="s">
        <v>1988</v>
      </c>
      <c r="D253">
        <v>520017807</v>
      </c>
      <c r="E253" t="s">
        <v>420</v>
      </c>
      <c r="F253" t="s">
        <v>1991</v>
      </c>
      <c r="G253" t="s">
        <v>1992</v>
      </c>
      <c r="H253" t="s">
        <v>75</v>
      </c>
      <c r="I253" t="s">
        <v>225</v>
      </c>
      <c r="J253" t="s">
        <v>52</v>
      </c>
      <c r="K253" t="s">
        <v>52</v>
      </c>
      <c r="L253" t="s">
        <v>775</v>
      </c>
      <c r="M253" t="s">
        <v>303</v>
      </c>
      <c r="N253" t="s">
        <v>620</v>
      </c>
      <c r="O253" t="s">
        <v>61</v>
      </c>
      <c r="P253" t="s">
        <v>1353</v>
      </c>
      <c r="Q253" t="s">
        <v>64</v>
      </c>
      <c r="R253" t="s">
        <v>56</v>
      </c>
      <c r="S253" t="s">
        <v>1258</v>
      </c>
      <c r="T253" s="126">
        <v>3.4220000000000002</v>
      </c>
      <c r="U253" s="127">
        <v>47583</v>
      </c>
      <c r="V253" s="125">
        <v>8.3999999999999995E-3</v>
      </c>
      <c r="W253" s="125">
        <v>2.3300000000000001E-2</v>
      </c>
      <c r="X253" t="s">
        <v>607</v>
      </c>
      <c r="Z253" s="124">
        <v>284961.71999999997</v>
      </c>
      <c r="AA253" s="124">
        <v>1</v>
      </c>
      <c r="AB253" s="124">
        <v>112.77</v>
      </c>
      <c r="AC253" s="124">
        <v>0</v>
      </c>
      <c r="AD253" s="124">
        <v>321.35133000000002</v>
      </c>
      <c r="AE253" s="124"/>
      <c r="AF253" s="124"/>
      <c r="AG253" t="s">
        <v>16</v>
      </c>
      <c r="AH253" s="125">
        <v>3.85233288E-4</v>
      </c>
      <c r="AI253" s="125">
        <v>4.7954281899999999E-4</v>
      </c>
      <c r="AJ253" s="125">
        <f>AD253/'סכום נכסים'!$B$30</f>
        <v>5.7855871920440472E-5</v>
      </c>
    </row>
    <row r="254" spans="1:36" x14ac:dyDescent="0.3">
      <c r="A254">
        <v>13908</v>
      </c>
      <c r="B254">
        <v>13908</v>
      </c>
      <c r="C254" t="s">
        <v>1988</v>
      </c>
      <c r="D254">
        <v>520017807</v>
      </c>
      <c r="E254" t="s">
        <v>420</v>
      </c>
      <c r="F254" t="s">
        <v>1993</v>
      </c>
      <c r="G254" t="s">
        <v>1994</v>
      </c>
      <c r="H254" t="s">
        <v>75</v>
      </c>
      <c r="I254" t="s">
        <v>225</v>
      </c>
      <c r="J254" t="s">
        <v>52</v>
      </c>
      <c r="K254" t="s">
        <v>52</v>
      </c>
      <c r="L254" t="s">
        <v>775</v>
      </c>
      <c r="M254" t="s">
        <v>303</v>
      </c>
      <c r="N254" t="s">
        <v>620</v>
      </c>
      <c r="O254" t="s">
        <v>61</v>
      </c>
      <c r="P254" t="s">
        <v>1376</v>
      </c>
      <c r="Q254" t="s">
        <v>69</v>
      </c>
      <c r="R254" t="s">
        <v>56</v>
      </c>
      <c r="S254" t="s">
        <v>1258</v>
      </c>
      <c r="T254" s="126">
        <v>5.1159999999999997</v>
      </c>
      <c r="U254" s="127">
        <v>49765</v>
      </c>
      <c r="V254" s="125">
        <v>1.4999999999999999E-2</v>
      </c>
      <c r="W254" s="125">
        <v>2.4799999999999999E-2</v>
      </c>
      <c r="X254" t="s">
        <v>607</v>
      </c>
      <c r="Z254" s="124">
        <v>2304841.67</v>
      </c>
      <c r="AA254" s="124">
        <v>1</v>
      </c>
      <c r="AB254" s="124">
        <v>110.01</v>
      </c>
      <c r="AC254" s="124">
        <v>0</v>
      </c>
      <c r="AD254" s="124">
        <v>2535.5563200000001</v>
      </c>
      <c r="AE254" s="124"/>
      <c r="AF254" s="124"/>
      <c r="AG254" t="s">
        <v>16</v>
      </c>
      <c r="AH254" s="125">
        <v>2.375074863E-3</v>
      </c>
      <c r="AI254" s="125">
        <v>3.7837336039999998E-3</v>
      </c>
      <c r="AJ254" s="125">
        <f>AD254/'סכום נכסים'!$B$30</f>
        <v>4.5649981189430078E-4</v>
      </c>
    </row>
    <row r="255" spans="1:36" x14ac:dyDescent="0.3">
      <c r="A255">
        <v>13908</v>
      </c>
      <c r="B255">
        <v>13908</v>
      </c>
      <c r="C255" t="s">
        <v>1553</v>
      </c>
      <c r="D255">
        <v>520000118</v>
      </c>
      <c r="E255" t="s">
        <v>420</v>
      </c>
      <c r="F255" t="s">
        <v>1995</v>
      </c>
      <c r="G255" t="s">
        <v>1996</v>
      </c>
      <c r="H255" t="s">
        <v>75</v>
      </c>
      <c r="I255" t="s">
        <v>225</v>
      </c>
      <c r="J255" t="s">
        <v>52</v>
      </c>
      <c r="K255" t="s">
        <v>52</v>
      </c>
      <c r="L255" t="s">
        <v>775</v>
      </c>
      <c r="M255" t="s">
        <v>303</v>
      </c>
      <c r="N255" t="s">
        <v>251</v>
      </c>
      <c r="O255" t="s">
        <v>61</v>
      </c>
      <c r="P255" t="s">
        <v>1349</v>
      </c>
      <c r="Q255" t="s">
        <v>64</v>
      </c>
      <c r="R255" t="s">
        <v>56</v>
      </c>
      <c r="S255" t="s">
        <v>1258</v>
      </c>
      <c r="T255" s="126">
        <v>0.129</v>
      </c>
      <c r="U255" s="127">
        <v>48077</v>
      </c>
      <c r="V255" s="125">
        <v>2.9700000000000001E-2</v>
      </c>
      <c r="W255" s="125">
        <v>4.7300000000000002E-2</v>
      </c>
      <c r="X255" t="s">
        <v>607</v>
      </c>
      <c r="Z255" s="124">
        <v>939355</v>
      </c>
      <c r="AA255" s="124">
        <v>1</v>
      </c>
      <c r="AB255" s="124">
        <v>122.13</v>
      </c>
      <c r="AC255" s="124">
        <v>0</v>
      </c>
      <c r="AD255" s="124">
        <v>1147.2342599999999</v>
      </c>
      <c r="AE255" s="124"/>
      <c r="AF255" s="124"/>
      <c r="AG255" t="s">
        <v>16</v>
      </c>
      <c r="AH255" s="125">
        <v>1.341935714E-3</v>
      </c>
      <c r="AI255" s="125">
        <v>1.7119828049999999E-3</v>
      </c>
      <c r="AJ255" s="125">
        <f>AD255/'סכום נכסים'!$B$30</f>
        <v>2.0654726529154647E-4</v>
      </c>
    </row>
    <row r="256" spans="1:36" x14ac:dyDescent="0.3">
      <c r="A256">
        <v>13908</v>
      </c>
      <c r="B256">
        <v>13908</v>
      </c>
      <c r="C256" t="s">
        <v>1724</v>
      </c>
      <c r="D256">
        <v>520025370</v>
      </c>
      <c r="E256" t="s">
        <v>420</v>
      </c>
      <c r="F256" t="s">
        <v>1997</v>
      </c>
      <c r="G256" t="s">
        <v>1998</v>
      </c>
      <c r="H256" t="s">
        <v>75</v>
      </c>
      <c r="I256" t="s">
        <v>224</v>
      </c>
      <c r="J256" t="s">
        <v>52</v>
      </c>
      <c r="K256" t="s">
        <v>52</v>
      </c>
      <c r="L256" t="s">
        <v>775</v>
      </c>
      <c r="M256" t="s">
        <v>303</v>
      </c>
      <c r="N256" t="s">
        <v>675</v>
      </c>
      <c r="O256" t="s">
        <v>61</v>
      </c>
      <c r="P256" t="s">
        <v>1349</v>
      </c>
      <c r="Q256" t="s">
        <v>64</v>
      </c>
      <c r="R256" t="s">
        <v>56</v>
      </c>
      <c r="S256" t="s">
        <v>1258</v>
      </c>
      <c r="T256" s="126">
        <v>1.645</v>
      </c>
      <c r="U256" s="127">
        <v>47377</v>
      </c>
      <c r="V256" s="125">
        <v>2.0400000000000001E-2</v>
      </c>
      <c r="W256" s="125">
        <v>3.8899999999999997E-2</v>
      </c>
      <c r="X256" t="s">
        <v>607</v>
      </c>
      <c r="Z256" s="124">
        <v>1719999.68</v>
      </c>
      <c r="AA256" s="124">
        <v>1</v>
      </c>
      <c r="AB256" s="124">
        <v>97.66</v>
      </c>
      <c r="AC256" s="124">
        <v>0</v>
      </c>
      <c r="AD256" s="124">
        <v>1679.7516900000001</v>
      </c>
      <c r="AE256" s="124"/>
      <c r="AF256" s="124"/>
      <c r="AG256" t="s">
        <v>16</v>
      </c>
      <c r="AH256" s="125">
        <v>5.7318931789999998E-3</v>
      </c>
      <c r="AI256" s="125">
        <v>2.5066423750000001E-3</v>
      </c>
      <c r="AJ256" s="125">
        <f>AD256/'סכום נכסים'!$B$30</f>
        <v>3.0242133628257713E-4</v>
      </c>
    </row>
    <row r="257" spans="1:36" x14ac:dyDescent="0.3">
      <c r="A257">
        <v>13908</v>
      </c>
      <c r="B257">
        <v>13908</v>
      </c>
      <c r="C257" t="s">
        <v>1999</v>
      </c>
      <c r="D257">
        <v>520025990</v>
      </c>
      <c r="E257" t="s">
        <v>420</v>
      </c>
      <c r="F257" t="s">
        <v>2000</v>
      </c>
      <c r="G257" t="s">
        <v>2001</v>
      </c>
      <c r="H257" t="s">
        <v>75</v>
      </c>
      <c r="I257" t="s">
        <v>224</v>
      </c>
      <c r="J257" t="s">
        <v>52</v>
      </c>
      <c r="K257" t="s">
        <v>52</v>
      </c>
      <c r="L257" t="s">
        <v>775</v>
      </c>
      <c r="M257" t="s">
        <v>303</v>
      </c>
      <c r="N257" t="s">
        <v>138</v>
      </c>
      <c r="O257" t="s">
        <v>61</v>
      </c>
      <c r="P257" t="s">
        <v>1389</v>
      </c>
      <c r="Q257" t="s">
        <v>69</v>
      </c>
      <c r="R257" t="s">
        <v>56</v>
      </c>
      <c r="S257" t="s">
        <v>1258</v>
      </c>
      <c r="T257" s="126">
        <v>0.501</v>
      </c>
      <c r="U257" s="127">
        <v>46387</v>
      </c>
      <c r="V257" s="125">
        <v>2.9499999999999998E-2</v>
      </c>
      <c r="W257" s="125">
        <v>4.3900000000000002E-2</v>
      </c>
      <c r="X257" t="s">
        <v>607</v>
      </c>
      <c r="Z257" s="124">
        <v>52702.7</v>
      </c>
      <c r="AA257" s="124">
        <v>1</v>
      </c>
      <c r="AB257" s="124">
        <v>99.31</v>
      </c>
      <c r="AC257" s="124">
        <v>0</v>
      </c>
      <c r="AD257" s="124">
        <v>52.33905</v>
      </c>
      <c r="AE257" s="124"/>
      <c r="AF257" s="124"/>
      <c r="AG257" t="s">
        <v>16</v>
      </c>
      <c r="AH257" s="125">
        <v>3.7985894700000002E-4</v>
      </c>
      <c r="AI257" s="125">
        <v>7.8103972984064406E-5</v>
      </c>
      <c r="AJ257" s="125">
        <f>AD257/'סכום נכסים'!$B$30</f>
        <v>9.4230864805741728E-6</v>
      </c>
    </row>
    <row r="258" spans="1:36" x14ac:dyDescent="0.3">
      <c r="A258">
        <v>13908</v>
      </c>
      <c r="B258">
        <v>13908</v>
      </c>
      <c r="C258" t="s">
        <v>1999</v>
      </c>
      <c r="D258">
        <v>520025990</v>
      </c>
      <c r="E258" t="s">
        <v>420</v>
      </c>
      <c r="F258" t="s">
        <v>2002</v>
      </c>
      <c r="G258" t="s">
        <v>2003</v>
      </c>
      <c r="H258" t="s">
        <v>75</v>
      </c>
      <c r="I258" t="s">
        <v>224</v>
      </c>
      <c r="J258" t="s">
        <v>52</v>
      </c>
      <c r="K258" t="s">
        <v>52</v>
      </c>
      <c r="L258" t="s">
        <v>775</v>
      </c>
      <c r="M258" t="s">
        <v>303</v>
      </c>
      <c r="N258" t="s">
        <v>138</v>
      </c>
      <c r="O258" t="s">
        <v>61</v>
      </c>
      <c r="P258" t="s">
        <v>1389</v>
      </c>
      <c r="Q258" t="s">
        <v>69</v>
      </c>
      <c r="R258" t="s">
        <v>56</v>
      </c>
      <c r="S258" t="s">
        <v>1258</v>
      </c>
      <c r="T258" s="126">
        <v>1.3169999999999999</v>
      </c>
      <c r="U258" s="127">
        <v>47118</v>
      </c>
      <c r="V258" s="125">
        <v>2.5499999999999998E-2</v>
      </c>
      <c r="W258" s="125">
        <v>4.1399999999999999E-2</v>
      </c>
      <c r="X258" t="s">
        <v>607</v>
      </c>
      <c r="Z258" s="124">
        <v>419999.99</v>
      </c>
      <c r="AA258" s="124">
        <v>1</v>
      </c>
      <c r="AB258" s="124">
        <v>98.01</v>
      </c>
      <c r="AC258" s="124">
        <v>0</v>
      </c>
      <c r="AD258" s="124">
        <v>411.64199000000002</v>
      </c>
      <c r="AE258" s="124"/>
      <c r="AF258" s="124"/>
      <c r="AG258" t="s">
        <v>16</v>
      </c>
      <c r="AH258" s="125">
        <v>7.80432965E-4</v>
      </c>
      <c r="AI258" s="125">
        <v>6.1428082599999999E-4</v>
      </c>
      <c r="AJ258" s="125">
        <f>AD258/'סכום נכסים'!$B$30</f>
        <v>7.4111740102383386E-5</v>
      </c>
    </row>
    <row r="259" spans="1:36" x14ac:dyDescent="0.3">
      <c r="A259">
        <v>13908</v>
      </c>
      <c r="B259">
        <v>13908</v>
      </c>
      <c r="C259" t="s">
        <v>2004</v>
      </c>
      <c r="D259">
        <v>520041146</v>
      </c>
      <c r="E259" t="s">
        <v>420</v>
      </c>
      <c r="F259" t="s">
        <v>2005</v>
      </c>
      <c r="G259" t="s">
        <v>2006</v>
      </c>
      <c r="H259" t="s">
        <v>75</v>
      </c>
      <c r="I259" t="s">
        <v>224</v>
      </c>
      <c r="J259" t="s">
        <v>52</v>
      </c>
      <c r="K259" t="s">
        <v>52</v>
      </c>
      <c r="L259" t="s">
        <v>775</v>
      </c>
      <c r="M259" t="s">
        <v>303</v>
      </c>
      <c r="N259" t="s">
        <v>616</v>
      </c>
      <c r="O259" t="s">
        <v>61</v>
      </c>
      <c r="P259" t="s">
        <v>1360</v>
      </c>
      <c r="Q259" t="s">
        <v>64</v>
      </c>
      <c r="R259" t="s">
        <v>56</v>
      </c>
      <c r="S259" t="s">
        <v>1258</v>
      </c>
      <c r="T259" s="126">
        <v>0.17</v>
      </c>
      <c r="U259" s="127">
        <v>46266</v>
      </c>
      <c r="V259" s="125">
        <v>3.4500000000000003E-2</v>
      </c>
      <c r="W259" s="125">
        <v>5.0999999999999997E-2</v>
      </c>
      <c r="X259" t="s">
        <v>607</v>
      </c>
      <c r="Z259" s="124">
        <v>1309941.23</v>
      </c>
      <c r="AA259" s="124">
        <v>1</v>
      </c>
      <c r="AB259" s="124">
        <v>100.87</v>
      </c>
      <c r="AC259" s="124">
        <v>0</v>
      </c>
      <c r="AD259" s="124">
        <v>1321.33772</v>
      </c>
      <c r="AE259" s="124"/>
      <c r="AF259" s="124"/>
      <c r="AG259" t="s">
        <v>16</v>
      </c>
      <c r="AH259" s="125">
        <v>2.3516619700000001E-3</v>
      </c>
      <c r="AI259" s="125">
        <v>1.971792105E-3</v>
      </c>
      <c r="AJ259" s="125">
        <f>AD259/'סכום נכסים'!$B$30</f>
        <v>2.3789273220673095E-4</v>
      </c>
    </row>
    <row r="260" spans="1:36" x14ac:dyDescent="0.3">
      <c r="A260">
        <v>13908</v>
      </c>
      <c r="B260">
        <v>13908</v>
      </c>
      <c r="C260" t="s">
        <v>2004</v>
      </c>
      <c r="D260">
        <v>520041146</v>
      </c>
      <c r="E260" t="s">
        <v>420</v>
      </c>
      <c r="F260" t="s">
        <v>2007</v>
      </c>
      <c r="G260" t="s">
        <v>2008</v>
      </c>
      <c r="H260" t="s">
        <v>75</v>
      </c>
      <c r="I260" t="s">
        <v>594</v>
      </c>
      <c r="J260" t="s">
        <v>52</v>
      </c>
      <c r="K260" t="s">
        <v>52</v>
      </c>
      <c r="L260" t="s">
        <v>775</v>
      </c>
      <c r="M260" t="s">
        <v>303</v>
      </c>
      <c r="N260" t="s">
        <v>616</v>
      </c>
      <c r="O260" t="s">
        <v>61</v>
      </c>
      <c r="P260" t="s">
        <v>1360</v>
      </c>
      <c r="Q260" t="s">
        <v>64</v>
      </c>
      <c r="R260" t="s">
        <v>56</v>
      </c>
      <c r="S260" t="s">
        <v>1258</v>
      </c>
      <c r="T260" s="126">
        <v>2.157</v>
      </c>
      <c r="U260" s="127">
        <v>46997</v>
      </c>
      <c r="V260" s="125">
        <v>7.4999999999999997E-3</v>
      </c>
      <c r="W260" s="125">
        <v>-9.6199999999999994E-2</v>
      </c>
      <c r="X260" t="s">
        <v>607</v>
      </c>
      <c r="Z260" s="124">
        <v>5434900</v>
      </c>
      <c r="AA260" s="124">
        <v>1</v>
      </c>
      <c r="AB260" s="124">
        <v>126.7</v>
      </c>
      <c r="AC260" s="124">
        <v>0</v>
      </c>
      <c r="AD260" s="124">
        <v>6886.0182999999997</v>
      </c>
      <c r="AE260" s="124"/>
      <c r="AF260" s="124"/>
      <c r="AG260" t="s">
        <v>16</v>
      </c>
      <c r="AH260" s="125">
        <v>1.0419843022999999E-2</v>
      </c>
      <c r="AI260" s="125">
        <v>1.0275795744E-2</v>
      </c>
      <c r="AJ260" s="125">
        <f>AD260/'סכום נכסים'!$B$30</f>
        <v>1.2397539876577116E-3</v>
      </c>
    </row>
    <row r="261" spans="1:36" x14ac:dyDescent="0.3">
      <c r="A261">
        <v>13908</v>
      </c>
      <c r="B261">
        <v>13908</v>
      </c>
      <c r="C261" t="s">
        <v>2004</v>
      </c>
      <c r="D261">
        <v>520041146</v>
      </c>
      <c r="E261" t="s">
        <v>420</v>
      </c>
      <c r="F261" t="s">
        <v>2009</v>
      </c>
      <c r="G261" t="s">
        <v>2010</v>
      </c>
      <c r="H261" t="s">
        <v>75</v>
      </c>
      <c r="I261" t="s">
        <v>224</v>
      </c>
      <c r="J261" t="s">
        <v>52</v>
      </c>
      <c r="K261" t="s">
        <v>52</v>
      </c>
      <c r="L261" t="s">
        <v>775</v>
      </c>
      <c r="M261" t="s">
        <v>303</v>
      </c>
      <c r="N261" t="s">
        <v>616</v>
      </c>
      <c r="O261" t="s">
        <v>61</v>
      </c>
      <c r="P261" t="s">
        <v>1360</v>
      </c>
      <c r="Q261" t="s">
        <v>64</v>
      </c>
      <c r="R261" t="s">
        <v>56</v>
      </c>
      <c r="S261" t="s">
        <v>1258</v>
      </c>
      <c r="T261" s="126">
        <v>2.101</v>
      </c>
      <c r="U261" s="127">
        <v>47363</v>
      </c>
      <c r="V261" s="125">
        <v>1.4999999999999999E-2</v>
      </c>
      <c r="W261" s="125">
        <v>4.0800000000000003E-2</v>
      </c>
      <c r="X261" t="s">
        <v>607</v>
      </c>
      <c r="Z261" s="124">
        <v>2750000</v>
      </c>
      <c r="AA261" s="124">
        <v>1</v>
      </c>
      <c r="AB261" s="124">
        <v>95.32</v>
      </c>
      <c r="AC261" s="124">
        <v>0</v>
      </c>
      <c r="AD261" s="124">
        <v>2621.3000000000002</v>
      </c>
      <c r="AE261" s="124"/>
      <c r="AF261" s="124"/>
      <c r="AG261" t="s">
        <v>16</v>
      </c>
      <c r="AH261" s="125">
        <v>2.3364763889999998E-3</v>
      </c>
      <c r="AI261" s="125">
        <v>3.9116862910000003E-3</v>
      </c>
      <c r="AJ261" s="125">
        <f>AD261/'סכום נכסים'!$B$30</f>
        <v>4.7193704493163482E-4</v>
      </c>
    </row>
    <row r="262" spans="1:36" x14ac:dyDescent="0.3">
      <c r="A262">
        <v>13908</v>
      </c>
      <c r="B262">
        <v>13908</v>
      </c>
      <c r="C262" t="s">
        <v>2011</v>
      </c>
      <c r="D262">
        <v>520028911</v>
      </c>
      <c r="E262" t="s">
        <v>420</v>
      </c>
      <c r="F262" t="s">
        <v>2012</v>
      </c>
      <c r="G262" t="s">
        <v>2013</v>
      </c>
      <c r="H262" t="s">
        <v>75</v>
      </c>
      <c r="I262" t="s">
        <v>224</v>
      </c>
      <c r="J262" t="s">
        <v>52</v>
      </c>
      <c r="K262" t="s">
        <v>52</v>
      </c>
      <c r="L262" t="s">
        <v>775</v>
      </c>
      <c r="M262" t="s">
        <v>303</v>
      </c>
      <c r="N262" t="s">
        <v>675</v>
      </c>
      <c r="O262" t="s">
        <v>61</v>
      </c>
      <c r="P262" t="s">
        <v>290</v>
      </c>
      <c r="Q262" t="s">
        <v>290</v>
      </c>
      <c r="R262" t="s">
        <v>290</v>
      </c>
      <c r="S262" t="s">
        <v>1258</v>
      </c>
      <c r="T262" s="126">
        <v>4.6050000000000004</v>
      </c>
      <c r="U262" s="127">
        <v>49653</v>
      </c>
      <c r="V262" s="125">
        <v>2.07E-2</v>
      </c>
      <c r="W262" s="125">
        <v>4.6699999999999998E-2</v>
      </c>
      <c r="X262" t="s">
        <v>607</v>
      </c>
      <c r="Z262" s="124">
        <v>1000000</v>
      </c>
      <c r="AA262" s="124">
        <v>1</v>
      </c>
      <c r="AB262" s="124">
        <v>91.69</v>
      </c>
      <c r="AC262" s="124">
        <v>0</v>
      </c>
      <c r="AD262" s="124">
        <v>916.9</v>
      </c>
      <c r="AE262" s="124"/>
      <c r="AF262" s="124"/>
      <c r="AG262" t="s">
        <v>16</v>
      </c>
      <c r="AH262" s="125">
        <v>8.3333333329999992E-3</v>
      </c>
      <c r="AI262" s="125">
        <v>1.3682619919999999E-3</v>
      </c>
      <c r="AJ262" s="125">
        <f>AD262/'סכום נכסים'!$B$30</f>
        <v>1.6507804390867735E-4</v>
      </c>
    </row>
    <row r="263" spans="1:36" x14ac:dyDescent="0.3">
      <c r="A263">
        <v>13908</v>
      </c>
      <c r="B263">
        <v>13908</v>
      </c>
      <c r="C263" t="s">
        <v>1550</v>
      </c>
      <c r="D263">
        <v>520029935</v>
      </c>
      <c r="E263" t="s">
        <v>420</v>
      </c>
      <c r="F263" t="s">
        <v>2014</v>
      </c>
      <c r="G263" t="s">
        <v>2015</v>
      </c>
      <c r="H263" t="s">
        <v>75</v>
      </c>
      <c r="I263" t="s">
        <v>224</v>
      </c>
      <c r="J263" t="s">
        <v>52</v>
      </c>
      <c r="K263" t="s">
        <v>52</v>
      </c>
      <c r="L263" t="s">
        <v>775</v>
      </c>
      <c r="M263" t="s">
        <v>303</v>
      </c>
      <c r="N263" t="s">
        <v>251</v>
      </c>
      <c r="O263" t="s">
        <v>61</v>
      </c>
      <c r="P263" t="s">
        <v>1257</v>
      </c>
      <c r="Q263" t="s">
        <v>64</v>
      </c>
      <c r="R263" t="s">
        <v>56</v>
      </c>
      <c r="S263" t="s">
        <v>1258</v>
      </c>
      <c r="T263" s="126">
        <v>2.3130000000000002</v>
      </c>
      <c r="U263" s="127">
        <v>47822</v>
      </c>
      <c r="V263" s="125">
        <v>2.6800000000000001E-2</v>
      </c>
      <c r="W263" s="125">
        <v>3.6600000000000001E-2</v>
      </c>
      <c r="X263" t="s">
        <v>607</v>
      </c>
      <c r="Z263" s="124">
        <v>18794671.829999998</v>
      </c>
      <c r="AA263" s="124">
        <v>1</v>
      </c>
      <c r="AB263" s="124">
        <v>99.3</v>
      </c>
      <c r="AC263" s="124">
        <v>0</v>
      </c>
      <c r="AD263" s="124">
        <v>18663.109130000001</v>
      </c>
      <c r="AE263" s="124"/>
      <c r="AF263" s="124"/>
      <c r="AG263" t="s">
        <v>16</v>
      </c>
      <c r="AH263" s="125">
        <v>8.0255615160000002E-3</v>
      </c>
      <c r="AI263" s="125">
        <v>2.7850390316E-2</v>
      </c>
      <c r="AJ263" s="125">
        <f>AD263/'סכום נכסים'!$B$30</f>
        <v>3.36009330181544E-3</v>
      </c>
    </row>
    <row r="264" spans="1:36" x14ac:dyDescent="0.3">
      <c r="A264">
        <v>13908</v>
      </c>
      <c r="B264">
        <v>13908</v>
      </c>
      <c r="C264" t="s">
        <v>1550</v>
      </c>
      <c r="D264">
        <v>520029935</v>
      </c>
      <c r="E264" t="s">
        <v>420</v>
      </c>
      <c r="F264" t="s">
        <v>2016</v>
      </c>
      <c r="G264" t="s">
        <v>2017</v>
      </c>
      <c r="H264" t="s">
        <v>75</v>
      </c>
      <c r="I264" t="s">
        <v>225</v>
      </c>
      <c r="J264" t="s">
        <v>52</v>
      </c>
      <c r="K264" t="s">
        <v>52</v>
      </c>
      <c r="L264" t="s">
        <v>775</v>
      </c>
      <c r="M264" t="s">
        <v>303</v>
      </c>
      <c r="N264" t="s">
        <v>251</v>
      </c>
      <c r="O264" t="s">
        <v>61</v>
      </c>
      <c r="P264" t="s">
        <v>1349</v>
      </c>
      <c r="Q264" t="s">
        <v>64</v>
      </c>
      <c r="R264" t="s">
        <v>56</v>
      </c>
      <c r="S264" t="s">
        <v>1258</v>
      </c>
      <c r="T264" s="126">
        <v>4.5</v>
      </c>
      <c r="U264" s="127">
        <v>48030</v>
      </c>
      <c r="V264" s="125">
        <v>2.4199999999999999E-2</v>
      </c>
      <c r="W264" s="125">
        <v>6.6699999999999995E-2</v>
      </c>
      <c r="X264" t="s">
        <v>607</v>
      </c>
      <c r="Z264" s="124">
        <v>1416666</v>
      </c>
      <c r="AA264" s="124">
        <v>1</v>
      </c>
      <c r="AB264" s="124">
        <v>122.27</v>
      </c>
      <c r="AC264" s="124">
        <v>0.77088000000000001</v>
      </c>
      <c r="AD264" s="124">
        <v>1732.9284</v>
      </c>
      <c r="AE264" s="124"/>
      <c r="AF264" s="124"/>
      <c r="AG264" t="s">
        <v>16</v>
      </c>
      <c r="AH264" s="125">
        <v>2.8222359890000001E-3</v>
      </c>
      <c r="AI264" s="125">
        <v>2.585996362E-3</v>
      </c>
      <c r="AJ264" s="125">
        <f>AD264/'סכום נכסים'!$B$30</f>
        <v>3.1199523449208636E-4</v>
      </c>
    </row>
    <row r="265" spans="1:36" x14ac:dyDescent="0.3">
      <c r="A265">
        <v>13908</v>
      </c>
      <c r="B265">
        <v>13908</v>
      </c>
      <c r="C265" t="s">
        <v>1550</v>
      </c>
      <c r="D265">
        <v>520029935</v>
      </c>
      <c r="E265" t="s">
        <v>420</v>
      </c>
      <c r="F265" t="s">
        <v>2018</v>
      </c>
      <c r="G265" t="s">
        <v>2019</v>
      </c>
      <c r="H265" t="s">
        <v>75</v>
      </c>
      <c r="I265" t="s">
        <v>225</v>
      </c>
      <c r="J265" t="s">
        <v>52</v>
      </c>
      <c r="K265" t="s">
        <v>52</v>
      </c>
      <c r="L265" t="s">
        <v>775</v>
      </c>
      <c r="M265" t="s">
        <v>303</v>
      </c>
      <c r="N265" t="s">
        <v>251</v>
      </c>
      <c r="O265" t="s">
        <v>61</v>
      </c>
      <c r="P265" t="s">
        <v>1257</v>
      </c>
      <c r="Q265" t="s">
        <v>64</v>
      </c>
      <c r="R265" t="s">
        <v>56</v>
      </c>
      <c r="S265" t="s">
        <v>1258</v>
      </c>
      <c r="T265" s="126">
        <v>3.0459999999999998</v>
      </c>
      <c r="U265" s="127">
        <v>48441</v>
      </c>
      <c r="V265" s="125">
        <v>2E-3</v>
      </c>
      <c r="W265" s="125">
        <v>2.1499999999999998E-2</v>
      </c>
      <c r="X265" t="s">
        <v>607</v>
      </c>
      <c r="Z265" s="124">
        <v>7391574.46</v>
      </c>
      <c r="AA265" s="124">
        <v>1</v>
      </c>
      <c r="AB265" s="124">
        <v>109.76</v>
      </c>
      <c r="AC265" s="124">
        <v>0</v>
      </c>
      <c r="AD265" s="124">
        <v>8112.9921299999996</v>
      </c>
      <c r="AE265" s="124"/>
      <c r="AF265" s="124"/>
      <c r="AG265" t="s">
        <v>16</v>
      </c>
      <c r="AH265" s="125">
        <v>2.5020320219999999E-3</v>
      </c>
      <c r="AI265" s="125">
        <v>1.2106771485000001E-2</v>
      </c>
      <c r="AJ265" s="125">
        <f>AD265/'סכום נכסים'!$B$30</f>
        <v>1.4606575101612975E-3</v>
      </c>
    </row>
    <row r="266" spans="1:36" x14ac:dyDescent="0.3">
      <c r="A266">
        <v>13908</v>
      </c>
      <c r="B266">
        <v>13908</v>
      </c>
      <c r="C266" t="s">
        <v>1550</v>
      </c>
      <c r="D266">
        <v>520029935</v>
      </c>
      <c r="E266" t="s">
        <v>420</v>
      </c>
      <c r="F266" t="s">
        <v>2020</v>
      </c>
      <c r="G266" t="s">
        <v>2021</v>
      </c>
      <c r="H266" t="s">
        <v>75</v>
      </c>
      <c r="I266" t="s">
        <v>225</v>
      </c>
      <c r="J266" t="s">
        <v>52</v>
      </c>
      <c r="K266" t="s">
        <v>52</v>
      </c>
      <c r="L266" t="s">
        <v>775</v>
      </c>
      <c r="M266" t="s">
        <v>303</v>
      </c>
      <c r="N266" t="s">
        <v>251</v>
      </c>
      <c r="O266" t="s">
        <v>61</v>
      </c>
      <c r="P266" t="s">
        <v>1349</v>
      </c>
      <c r="Q266" t="s">
        <v>64</v>
      </c>
      <c r="R266" t="s">
        <v>56</v>
      </c>
      <c r="S266" t="s">
        <v>1258</v>
      </c>
      <c r="T266" s="126">
        <v>1.335</v>
      </c>
      <c r="U266" s="127">
        <v>48519</v>
      </c>
      <c r="V266" s="125">
        <v>2E-3</v>
      </c>
      <c r="W266" s="125">
        <v>2.6499999999999999E-2</v>
      </c>
      <c r="X266" t="s">
        <v>607</v>
      </c>
      <c r="Z266" s="124">
        <v>150000</v>
      </c>
      <c r="AA266" s="124">
        <v>1</v>
      </c>
      <c r="AB266" s="124">
        <v>112.86</v>
      </c>
      <c r="AC266" s="124">
        <v>0</v>
      </c>
      <c r="AD266" s="124">
        <v>169.29</v>
      </c>
      <c r="AE266" s="124"/>
      <c r="AF266" s="124"/>
      <c r="AG266" t="s">
        <v>16</v>
      </c>
      <c r="AH266" s="125">
        <v>2.6173442599999999E-4</v>
      </c>
      <c r="AI266" s="125">
        <v>2.5262631900000002E-4</v>
      </c>
      <c r="AJ266" s="125">
        <f>AD266/'סכום נכסים'!$B$30</f>
        <v>3.0478854895081238E-5</v>
      </c>
    </row>
    <row r="267" spans="1:36" x14ac:dyDescent="0.3">
      <c r="A267">
        <v>13908</v>
      </c>
      <c r="B267">
        <v>13908</v>
      </c>
      <c r="C267" t="s">
        <v>1727</v>
      </c>
      <c r="D267">
        <v>520001736</v>
      </c>
      <c r="E267" t="s">
        <v>420</v>
      </c>
      <c r="F267" t="s">
        <v>2022</v>
      </c>
      <c r="G267" t="s">
        <v>2023</v>
      </c>
      <c r="H267" t="s">
        <v>75</v>
      </c>
      <c r="I267" t="s">
        <v>224</v>
      </c>
      <c r="J267" t="s">
        <v>52</v>
      </c>
      <c r="K267" t="s">
        <v>52</v>
      </c>
      <c r="L267" t="s">
        <v>775</v>
      </c>
      <c r="M267" t="s">
        <v>303</v>
      </c>
      <c r="N267" t="s">
        <v>620</v>
      </c>
      <c r="O267" t="s">
        <v>61</v>
      </c>
      <c r="P267" t="s">
        <v>1353</v>
      </c>
      <c r="Q267" t="s">
        <v>64</v>
      </c>
      <c r="R267" t="s">
        <v>56</v>
      </c>
      <c r="S267" t="s">
        <v>1258</v>
      </c>
      <c r="T267" s="126">
        <v>4.1399999999999997</v>
      </c>
      <c r="U267" s="127">
        <v>49125</v>
      </c>
      <c r="V267" s="125">
        <v>2.5499999999999998E-2</v>
      </c>
      <c r="W267" s="125">
        <v>4.1500000000000002E-2</v>
      </c>
      <c r="X267" t="s">
        <v>607</v>
      </c>
      <c r="Z267" s="124">
        <v>4949230.21</v>
      </c>
      <c r="AA267" s="124">
        <v>1</v>
      </c>
      <c r="AB267" s="124">
        <v>93.81</v>
      </c>
      <c r="AC267" s="124">
        <v>0</v>
      </c>
      <c r="AD267" s="124">
        <v>4642.8728600000004</v>
      </c>
      <c r="AE267" s="124"/>
      <c r="AF267" s="124"/>
      <c r="AG267" t="s">
        <v>16</v>
      </c>
      <c r="AH267" s="125">
        <v>1.317163628E-3</v>
      </c>
      <c r="AI267" s="125">
        <v>6.928418005E-3</v>
      </c>
      <c r="AJ267" s="125">
        <f>AD267/'סכום נכסים'!$B$30</f>
        <v>8.3589962901678091E-4</v>
      </c>
    </row>
    <row r="268" spans="1:36" x14ac:dyDescent="0.3">
      <c r="A268">
        <v>13908</v>
      </c>
      <c r="B268">
        <v>13908</v>
      </c>
      <c r="C268" t="s">
        <v>2024</v>
      </c>
      <c r="D268">
        <v>520017450</v>
      </c>
      <c r="E268" t="s">
        <v>420</v>
      </c>
      <c r="F268" t="s">
        <v>2025</v>
      </c>
      <c r="G268" t="s">
        <v>2026</v>
      </c>
      <c r="H268" t="s">
        <v>75</v>
      </c>
      <c r="I268" t="s">
        <v>225</v>
      </c>
      <c r="J268" t="s">
        <v>52</v>
      </c>
      <c r="K268" t="s">
        <v>52</v>
      </c>
      <c r="L268" t="s">
        <v>775</v>
      </c>
      <c r="M268" t="s">
        <v>303</v>
      </c>
      <c r="N268" t="s">
        <v>262</v>
      </c>
      <c r="O268" t="s">
        <v>61</v>
      </c>
      <c r="P268" t="s">
        <v>1353</v>
      </c>
      <c r="Q268" t="s">
        <v>64</v>
      </c>
      <c r="R268" t="s">
        <v>56</v>
      </c>
      <c r="S268" t="s">
        <v>1258</v>
      </c>
      <c r="T268" s="126">
        <v>2.8279999999999998</v>
      </c>
      <c r="U268" s="127">
        <v>47604</v>
      </c>
      <c r="V268" s="125">
        <v>4.4000000000000003E-3</v>
      </c>
      <c r="W268" s="125">
        <v>2.3099999999999999E-2</v>
      </c>
      <c r="X268" t="s">
        <v>607</v>
      </c>
      <c r="Z268" s="124">
        <v>239130.43</v>
      </c>
      <c r="AA268" s="124">
        <v>1</v>
      </c>
      <c r="AB268" s="124">
        <v>113.09</v>
      </c>
      <c r="AC268" s="124">
        <v>0</v>
      </c>
      <c r="AD268" s="124">
        <v>270.43259999999998</v>
      </c>
      <c r="AE268" s="124"/>
      <c r="AF268" s="124"/>
      <c r="AG268" t="s">
        <v>16</v>
      </c>
      <c r="AH268" s="125">
        <v>1.78460982E-4</v>
      </c>
      <c r="AI268" s="125">
        <v>4.0355834600000001E-4</v>
      </c>
      <c r="AJ268" s="125">
        <f>AD268/'סכום נכסים'!$B$30</f>
        <v>4.8688498873527942E-5</v>
      </c>
    </row>
    <row r="269" spans="1:36" x14ac:dyDescent="0.3">
      <c r="A269">
        <v>13908</v>
      </c>
      <c r="B269">
        <v>13908</v>
      </c>
      <c r="C269" t="s">
        <v>2024</v>
      </c>
      <c r="D269">
        <v>520017450</v>
      </c>
      <c r="E269" t="s">
        <v>420</v>
      </c>
      <c r="F269" t="s">
        <v>2027</v>
      </c>
      <c r="G269" t="s">
        <v>2028</v>
      </c>
      <c r="H269" t="s">
        <v>75</v>
      </c>
      <c r="I269" t="s">
        <v>224</v>
      </c>
      <c r="J269" t="s">
        <v>52</v>
      </c>
      <c r="K269" t="s">
        <v>52</v>
      </c>
      <c r="L269" t="s">
        <v>775</v>
      </c>
      <c r="M269" t="s">
        <v>303</v>
      </c>
      <c r="N269" t="s">
        <v>262</v>
      </c>
      <c r="O269" t="s">
        <v>61</v>
      </c>
      <c r="P269" t="s">
        <v>1353</v>
      </c>
      <c r="Q269" t="s">
        <v>64</v>
      </c>
      <c r="R269" t="s">
        <v>56</v>
      </c>
      <c r="S269" t="s">
        <v>1258</v>
      </c>
      <c r="T269" s="126">
        <v>3.45</v>
      </c>
      <c r="U269" s="127">
        <v>48579</v>
      </c>
      <c r="V269" s="125">
        <v>1.9400000000000001E-2</v>
      </c>
      <c r="W269" s="125">
        <v>3.8899999999999997E-2</v>
      </c>
      <c r="X269" t="s">
        <v>607</v>
      </c>
      <c r="Z269" s="124">
        <v>534240</v>
      </c>
      <c r="AA269" s="124">
        <v>1</v>
      </c>
      <c r="AB269" s="124">
        <v>93.61</v>
      </c>
      <c r="AC269" s="124">
        <v>0</v>
      </c>
      <c r="AD269" s="124">
        <v>500.10205999999999</v>
      </c>
      <c r="AE269" s="124"/>
      <c r="AF269" s="124"/>
      <c r="AG269" t="s">
        <v>16</v>
      </c>
      <c r="AH269" s="125">
        <v>3.1402021299999999E-4</v>
      </c>
      <c r="AI269" s="125">
        <v>7.4628709800000003E-4</v>
      </c>
      <c r="AJ269" s="125">
        <f>AD269/'סכום נכסים'!$B$30</f>
        <v>9.0038030122696025E-5</v>
      </c>
    </row>
    <row r="270" spans="1:36" x14ac:dyDescent="0.3">
      <c r="A270">
        <v>13908</v>
      </c>
      <c r="B270">
        <v>13908</v>
      </c>
      <c r="C270" t="s">
        <v>2029</v>
      </c>
      <c r="D270">
        <v>520022732</v>
      </c>
      <c r="E270" t="s">
        <v>420</v>
      </c>
      <c r="F270" t="s">
        <v>2030</v>
      </c>
      <c r="G270" t="s">
        <v>2031</v>
      </c>
      <c r="H270" t="s">
        <v>75</v>
      </c>
      <c r="I270" t="s">
        <v>224</v>
      </c>
      <c r="J270" t="s">
        <v>52</v>
      </c>
      <c r="K270" t="s">
        <v>52</v>
      </c>
      <c r="L270" t="s">
        <v>775</v>
      </c>
      <c r="M270" t="s">
        <v>303</v>
      </c>
      <c r="N270" t="s">
        <v>619</v>
      </c>
      <c r="O270" t="s">
        <v>61</v>
      </c>
      <c r="P270" t="s">
        <v>1353</v>
      </c>
      <c r="Q270" t="s">
        <v>64</v>
      </c>
      <c r="R270" t="s">
        <v>56</v>
      </c>
      <c r="S270" t="s">
        <v>1258</v>
      </c>
      <c r="T270" s="126">
        <v>1.671</v>
      </c>
      <c r="U270" s="127">
        <v>47399</v>
      </c>
      <c r="V270" s="125">
        <v>5.0900000000000001E-2</v>
      </c>
      <c r="W270" s="125">
        <v>3.6999999999999998E-2</v>
      </c>
      <c r="X270" t="s">
        <v>607</v>
      </c>
      <c r="Z270" s="124">
        <v>1200000</v>
      </c>
      <c r="AA270" s="124">
        <v>1</v>
      </c>
      <c r="AB270" s="124">
        <v>106</v>
      </c>
      <c r="AC270" s="124">
        <v>0</v>
      </c>
      <c r="AD270" s="124">
        <v>1272</v>
      </c>
      <c r="AE270" s="124"/>
      <c r="AF270" s="124"/>
      <c r="AG270" t="s">
        <v>16</v>
      </c>
      <c r="AH270" s="125">
        <v>2.9057626450000001E-3</v>
      </c>
      <c r="AI270" s="125">
        <v>1.8981669249999999E-3</v>
      </c>
      <c r="AJ270" s="125">
        <f>AD270/'סכום נכסים'!$B$30</f>
        <v>2.2901000311030382E-4</v>
      </c>
    </row>
    <row r="271" spans="1:36" x14ac:dyDescent="0.3">
      <c r="A271">
        <v>13908</v>
      </c>
      <c r="B271">
        <v>13908</v>
      </c>
      <c r="C271" t="s">
        <v>2029</v>
      </c>
      <c r="D271">
        <v>520022732</v>
      </c>
      <c r="E271" t="s">
        <v>420</v>
      </c>
      <c r="F271" t="s">
        <v>2032</v>
      </c>
      <c r="G271" t="s">
        <v>2033</v>
      </c>
      <c r="H271" t="s">
        <v>75</v>
      </c>
      <c r="I271" t="s">
        <v>224</v>
      </c>
      <c r="J271" t="s">
        <v>52</v>
      </c>
      <c r="K271" t="s">
        <v>52</v>
      </c>
      <c r="L271" t="s">
        <v>775</v>
      </c>
      <c r="M271" t="s">
        <v>303</v>
      </c>
      <c r="N271" t="s">
        <v>619</v>
      </c>
      <c r="O271" t="s">
        <v>61</v>
      </c>
      <c r="P271" t="s">
        <v>1353</v>
      </c>
      <c r="Q271" t="s">
        <v>64</v>
      </c>
      <c r="R271" t="s">
        <v>56</v>
      </c>
      <c r="S271" t="s">
        <v>1258</v>
      </c>
      <c r="T271" s="126">
        <v>2.2029999999999998</v>
      </c>
      <c r="U271" s="127">
        <v>47715</v>
      </c>
      <c r="V271" s="125">
        <v>3.5200000000000002E-2</v>
      </c>
      <c r="W271" s="125">
        <v>3.7499999999999999E-2</v>
      </c>
      <c r="X271" t="s">
        <v>607</v>
      </c>
      <c r="Z271" s="124">
        <v>3707317.2</v>
      </c>
      <c r="AA271" s="124">
        <v>1</v>
      </c>
      <c r="AB271" s="124">
        <v>100.84</v>
      </c>
      <c r="AC271" s="124">
        <v>0</v>
      </c>
      <c r="AD271" s="124">
        <v>3738.4586599999998</v>
      </c>
      <c r="AE271" s="124"/>
      <c r="AF271" s="124"/>
      <c r="AG271" t="s">
        <v>16</v>
      </c>
      <c r="AH271" s="125">
        <v>5.7057208069999999E-3</v>
      </c>
      <c r="AI271" s="125">
        <v>5.578788193E-3</v>
      </c>
      <c r="AJ271" s="125">
        <f>AD271/'סכום נכסים'!$B$30</f>
        <v>6.7306951993265898E-4</v>
      </c>
    </row>
    <row r="272" spans="1:36" x14ac:dyDescent="0.3">
      <c r="A272">
        <v>13908</v>
      </c>
      <c r="B272">
        <v>13908</v>
      </c>
      <c r="C272" t="s">
        <v>1787</v>
      </c>
      <c r="D272">
        <v>520033309</v>
      </c>
      <c r="E272" t="s">
        <v>420</v>
      </c>
      <c r="F272" t="s">
        <v>2034</v>
      </c>
      <c r="G272" t="s">
        <v>2035</v>
      </c>
      <c r="H272" t="s">
        <v>75</v>
      </c>
      <c r="I272" t="s">
        <v>224</v>
      </c>
      <c r="J272" t="s">
        <v>52</v>
      </c>
      <c r="K272" t="s">
        <v>52</v>
      </c>
      <c r="L272" t="s">
        <v>775</v>
      </c>
      <c r="M272" t="s">
        <v>303</v>
      </c>
      <c r="N272" t="s">
        <v>138</v>
      </c>
      <c r="O272" t="s">
        <v>61</v>
      </c>
      <c r="P272" t="s">
        <v>290</v>
      </c>
      <c r="Q272" t="s">
        <v>290</v>
      </c>
      <c r="R272" t="s">
        <v>290</v>
      </c>
      <c r="S272" t="s">
        <v>1258</v>
      </c>
      <c r="T272" s="126">
        <v>0.99299999999999999</v>
      </c>
      <c r="U272" s="127">
        <v>46569</v>
      </c>
      <c r="V272" s="125">
        <v>2.9000000000000001E-2</v>
      </c>
      <c r="W272" s="125">
        <v>6.3799999999999996E-2</v>
      </c>
      <c r="X272" t="s">
        <v>607</v>
      </c>
      <c r="Z272" s="124">
        <v>666666.67000000004</v>
      </c>
      <c r="AA272" s="124">
        <v>1</v>
      </c>
      <c r="AB272" s="124">
        <v>96.77</v>
      </c>
      <c r="AC272" s="124">
        <v>20.433340000000001</v>
      </c>
      <c r="AD272" s="124">
        <v>665.56668000000002</v>
      </c>
      <c r="AE272" s="124"/>
      <c r="AF272" s="124"/>
      <c r="AG272" t="s">
        <v>16</v>
      </c>
      <c r="AH272" s="125">
        <v>5.4017556260000004E-3</v>
      </c>
      <c r="AI272" s="125">
        <v>9.9320491999999993E-4</v>
      </c>
      <c r="AJ272" s="125">
        <f>AD272/'סכום נכסים'!$B$30</f>
        <v>1.1982816623971273E-4</v>
      </c>
    </row>
    <row r="273" spans="1:36" x14ac:dyDescent="0.3">
      <c r="A273">
        <v>13908</v>
      </c>
      <c r="B273">
        <v>13908</v>
      </c>
      <c r="C273" t="s">
        <v>2036</v>
      </c>
      <c r="D273" t="s">
        <v>2037</v>
      </c>
      <c r="E273" t="s">
        <v>421</v>
      </c>
      <c r="F273" t="s">
        <v>2038</v>
      </c>
      <c r="G273" t="s">
        <v>2039</v>
      </c>
      <c r="H273" t="s">
        <v>75</v>
      </c>
      <c r="I273" t="s">
        <v>226</v>
      </c>
      <c r="J273" t="s">
        <v>60</v>
      </c>
      <c r="K273" t="s">
        <v>52</v>
      </c>
      <c r="L273" t="s">
        <v>775</v>
      </c>
      <c r="M273" t="s">
        <v>463</v>
      </c>
      <c r="N273" t="s">
        <v>821</v>
      </c>
      <c r="O273" t="s">
        <v>61</v>
      </c>
      <c r="P273" t="s">
        <v>2040</v>
      </c>
      <c r="Q273" t="s">
        <v>83</v>
      </c>
      <c r="R273" t="s">
        <v>56</v>
      </c>
      <c r="S273" t="s">
        <v>1260</v>
      </c>
      <c r="T273" s="126">
        <v>2.0030000000000001</v>
      </c>
      <c r="U273" s="127">
        <v>46979</v>
      </c>
      <c r="V273" s="125">
        <v>4.2500000000000003E-2</v>
      </c>
      <c r="W273" s="125">
        <v>5.015E-2</v>
      </c>
      <c r="X273" t="s">
        <v>607</v>
      </c>
      <c r="Z273" s="124">
        <v>3500000</v>
      </c>
      <c r="AA273" s="124">
        <v>2.9780000000000002</v>
      </c>
      <c r="AB273" s="124">
        <v>100.16240000000001</v>
      </c>
      <c r="AC273" s="124">
        <v>0</v>
      </c>
      <c r="AD273" s="124">
        <v>10439.926949999999</v>
      </c>
      <c r="AE273" s="124"/>
      <c r="AF273" s="124"/>
      <c r="AG273" t="s">
        <v>16</v>
      </c>
      <c r="AH273" s="125">
        <v>3.5000000000000001E-3</v>
      </c>
      <c r="AI273" s="125">
        <v>1.5579185569E-2</v>
      </c>
      <c r="AJ273" s="125">
        <f>AD273/'סכום נכסים'!$B$30</f>
        <v>1.8795972510148148E-3</v>
      </c>
    </row>
    <row r="274" spans="1:36" x14ac:dyDescent="0.3">
      <c r="A274">
        <v>13908</v>
      </c>
      <c r="B274">
        <v>13908</v>
      </c>
      <c r="C274" t="s">
        <v>2041</v>
      </c>
      <c r="D274" t="s">
        <v>2042</v>
      </c>
      <c r="E274" t="s">
        <v>421</v>
      </c>
      <c r="F274" t="s">
        <v>2043</v>
      </c>
      <c r="G274" t="s">
        <v>2044</v>
      </c>
      <c r="H274" t="s">
        <v>75</v>
      </c>
      <c r="I274" t="s">
        <v>224</v>
      </c>
      <c r="J274" t="s">
        <v>60</v>
      </c>
      <c r="K274" t="s">
        <v>52</v>
      </c>
      <c r="L274" t="s">
        <v>775</v>
      </c>
      <c r="M274" t="s">
        <v>475</v>
      </c>
      <c r="N274" t="s">
        <v>821</v>
      </c>
      <c r="O274" t="s">
        <v>61</v>
      </c>
      <c r="P274" t="s">
        <v>2045</v>
      </c>
      <c r="Q274" t="s">
        <v>83</v>
      </c>
      <c r="R274" t="s">
        <v>56</v>
      </c>
      <c r="S274" t="s">
        <v>1260</v>
      </c>
      <c r="T274" s="126">
        <v>0.48299999999999998</v>
      </c>
      <c r="U274" s="127">
        <v>46568</v>
      </c>
      <c r="V274" s="125">
        <v>6.5000000000000002E-2</v>
      </c>
      <c r="W274" s="125">
        <v>5.9810000000000002E-2</v>
      </c>
      <c r="X274" t="s">
        <v>607</v>
      </c>
      <c r="Z274" s="124">
        <v>100000</v>
      </c>
      <c r="AA274" s="124">
        <v>2.9780000000000002</v>
      </c>
      <c r="AB274" s="124">
        <v>100.5963</v>
      </c>
      <c r="AC274" s="124">
        <v>0</v>
      </c>
      <c r="AD274" s="124">
        <v>299.57578000000001</v>
      </c>
      <c r="AE274" s="124"/>
      <c r="AF274" s="124"/>
      <c r="AG274" t="s">
        <v>16</v>
      </c>
      <c r="AH274" s="125">
        <v>1.6666666599999999E-4</v>
      </c>
      <c r="AI274" s="125">
        <v>4.47047828E-4</v>
      </c>
      <c r="AJ274" s="125">
        <f>AD274/'סכום נכסים'!$B$30</f>
        <v>5.3935416910040641E-5</v>
      </c>
    </row>
    <row r="275" spans="1:36" x14ac:dyDescent="0.3">
      <c r="A275">
        <v>13908</v>
      </c>
      <c r="B275">
        <v>13908</v>
      </c>
      <c r="C275" t="s">
        <v>2041</v>
      </c>
      <c r="D275" t="s">
        <v>2042</v>
      </c>
      <c r="E275" t="s">
        <v>421</v>
      </c>
      <c r="F275" t="s">
        <v>2046</v>
      </c>
      <c r="G275" t="s">
        <v>2047</v>
      </c>
      <c r="H275" t="s">
        <v>75</v>
      </c>
      <c r="I275" t="s">
        <v>224</v>
      </c>
      <c r="J275" t="s">
        <v>60</v>
      </c>
      <c r="K275" t="s">
        <v>52</v>
      </c>
      <c r="L275" t="s">
        <v>775</v>
      </c>
      <c r="M275" t="s">
        <v>463</v>
      </c>
      <c r="N275" t="s">
        <v>822</v>
      </c>
      <c r="O275" t="s">
        <v>61</v>
      </c>
      <c r="P275" t="s">
        <v>2045</v>
      </c>
      <c r="Q275" t="s">
        <v>83</v>
      </c>
      <c r="R275" t="s">
        <v>56</v>
      </c>
      <c r="S275" t="s">
        <v>1260</v>
      </c>
      <c r="T275" s="126">
        <v>3.1640000000000001</v>
      </c>
      <c r="U275" s="127">
        <v>47664</v>
      </c>
      <c r="V275" s="125">
        <v>6.7500000000000004E-2</v>
      </c>
      <c r="W275" s="125">
        <v>5.876E-2</v>
      </c>
      <c r="X275" t="s">
        <v>607</v>
      </c>
      <c r="Z275" s="124">
        <v>840000</v>
      </c>
      <c r="AA275" s="124">
        <v>2.9780000000000002</v>
      </c>
      <c r="AB275" s="124">
        <v>103.17449999999999</v>
      </c>
      <c r="AC275" s="124">
        <v>0</v>
      </c>
      <c r="AD275" s="124">
        <v>2580.93075</v>
      </c>
      <c r="AE275" s="124"/>
      <c r="AF275" s="124"/>
      <c r="AG275" t="s">
        <v>16</v>
      </c>
      <c r="AH275" s="125">
        <v>1.527272727E-3</v>
      </c>
      <c r="AI275" s="125">
        <v>3.8514444860000001E-3</v>
      </c>
      <c r="AJ275" s="125">
        <f>AD275/'סכום נכסים'!$B$30</f>
        <v>4.6466899299133554E-4</v>
      </c>
    </row>
    <row r="276" spans="1:36" x14ac:dyDescent="0.3">
      <c r="A276">
        <v>13908</v>
      </c>
      <c r="B276">
        <v>13908</v>
      </c>
      <c r="C276" t="s">
        <v>2048</v>
      </c>
      <c r="D276" t="s">
        <v>2049</v>
      </c>
      <c r="E276" t="s">
        <v>421</v>
      </c>
      <c r="F276" t="s">
        <v>2050</v>
      </c>
      <c r="G276" t="s">
        <v>2051</v>
      </c>
      <c r="H276" t="s">
        <v>75</v>
      </c>
      <c r="I276" t="s">
        <v>226</v>
      </c>
      <c r="J276" t="s">
        <v>60</v>
      </c>
      <c r="K276" t="s">
        <v>52</v>
      </c>
      <c r="L276" t="s">
        <v>775</v>
      </c>
      <c r="M276" t="s">
        <v>463</v>
      </c>
      <c r="N276" t="s">
        <v>821</v>
      </c>
      <c r="O276" t="s">
        <v>61</v>
      </c>
      <c r="P276" t="s">
        <v>2045</v>
      </c>
      <c r="Q276" t="s">
        <v>83</v>
      </c>
      <c r="R276" t="s">
        <v>56</v>
      </c>
      <c r="S276" t="s">
        <v>1260</v>
      </c>
      <c r="T276" s="126">
        <v>4.1340000000000003</v>
      </c>
      <c r="U276" s="127">
        <v>47937</v>
      </c>
      <c r="V276" s="125">
        <v>5.8749999999999997E-2</v>
      </c>
      <c r="W276" s="125">
        <v>6.8650000000000003E-2</v>
      </c>
      <c r="X276" t="s">
        <v>607</v>
      </c>
      <c r="Z276" s="124">
        <v>440000</v>
      </c>
      <c r="AA276" s="124">
        <v>2.9780000000000002</v>
      </c>
      <c r="AB276" s="124">
        <v>97.5364</v>
      </c>
      <c r="AC276" s="124">
        <v>0</v>
      </c>
      <c r="AD276" s="124">
        <v>1278.0389600000001</v>
      </c>
      <c r="AE276" s="124"/>
      <c r="AF276" s="124"/>
      <c r="AG276" t="s">
        <v>16</v>
      </c>
      <c r="AH276" s="125">
        <v>7.0399999999999998E-4</v>
      </c>
      <c r="AI276" s="125">
        <v>1.9071786819999999E-3</v>
      </c>
      <c r="AJ276" s="125">
        <f>AD276/'סכום נכסים'!$B$30</f>
        <v>2.300972533055735E-4</v>
      </c>
    </row>
    <row r="277" spans="1:36" x14ac:dyDescent="0.3">
      <c r="A277">
        <v>13908</v>
      </c>
      <c r="B277">
        <v>13908</v>
      </c>
      <c r="C277" t="s">
        <v>2052</v>
      </c>
      <c r="D277" t="s">
        <v>2053</v>
      </c>
      <c r="E277" t="s">
        <v>421</v>
      </c>
      <c r="F277" t="s">
        <v>2054</v>
      </c>
      <c r="G277" t="s">
        <v>2055</v>
      </c>
      <c r="H277" t="s">
        <v>75</v>
      </c>
      <c r="I277" t="s">
        <v>226</v>
      </c>
      <c r="J277" t="s">
        <v>60</v>
      </c>
      <c r="K277" t="s">
        <v>52</v>
      </c>
      <c r="L277" t="s">
        <v>775</v>
      </c>
      <c r="M277" t="s">
        <v>463</v>
      </c>
      <c r="N277" t="s">
        <v>191</v>
      </c>
      <c r="O277" t="s">
        <v>61</v>
      </c>
      <c r="P277" t="s">
        <v>290</v>
      </c>
      <c r="Q277" t="s">
        <v>290</v>
      </c>
      <c r="R277" t="s">
        <v>290</v>
      </c>
      <c r="S277" t="s">
        <v>1260</v>
      </c>
      <c r="T277" s="126">
        <v>0.28499999999999998</v>
      </c>
      <c r="U277" s="127">
        <v>48234</v>
      </c>
      <c r="V277" s="125">
        <v>3.2550000000000003E-2</v>
      </c>
      <c r="W277" s="125">
        <v>6.166E-2</v>
      </c>
      <c r="X277" t="s">
        <v>607</v>
      </c>
      <c r="Z277" s="124">
        <v>680000</v>
      </c>
      <c r="AA277" s="124">
        <v>2.9780000000000002</v>
      </c>
      <c r="AB277" s="124">
        <v>100.7149</v>
      </c>
      <c r="AC277" s="124">
        <v>0</v>
      </c>
      <c r="AD277" s="124">
        <v>2039.51701</v>
      </c>
      <c r="AE277" s="124"/>
      <c r="AF277" s="124"/>
      <c r="AG277" t="s">
        <v>16</v>
      </c>
      <c r="AH277" s="125">
        <v>6.8000000000000005E-4</v>
      </c>
      <c r="AI277" s="125">
        <v>3.0435092230000002E-3</v>
      </c>
      <c r="AJ277" s="125">
        <f>AD277/'סכום נכסים'!$B$30</f>
        <v>3.6719323648083142E-4</v>
      </c>
    </row>
    <row r="278" spans="1:36" x14ac:dyDescent="0.3">
      <c r="A278">
        <v>13908</v>
      </c>
      <c r="B278">
        <v>13908</v>
      </c>
      <c r="C278" t="s">
        <v>2036</v>
      </c>
      <c r="D278" t="s">
        <v>2037</v>
      </c>
      <c r="E278" t="s">
        <v>421</v>
      </c>
      <c r="F278" t="s">
        <v>2056</v>
      </c>
      <c r="G278" t="s">
        <v>2057</v>
      </c>
      <c r="H278" t="s">
        <v>75</v>
      </c>
      <c r="I278" t="s">
        <v>226</v>
      </c>
      <c r="J278" t="s">
        <v>60</v>
      </c>
      <c r="K278" t="s">
        <v>52</v>
      </c>
      <c r="L278" t="s">
        <v>775</v>
      </c>
      <c r="M278" t="s">
        <v>463</v>
      </c>
      <c r="N278" t="s">
        <v>864</v>
      </c>
      <c r="O278" t="s">
        <v>61</v>
      </c>
      <c r="P278" t="s">
        <v>2040</v>
      </c>
      <c r="Q278" t="s">
        <v>83</v>
      </c>
      <c r="R278" t="s">
        <v>56</v>
      </c>
      <c r="S278" t="s">
        <v>1260</v>
      </c>
      <c r="T278" s="126">
        <v>5.0229999999999997</v>
      </c>
      <c r="U278" s="127">
        <v>48266</v>
      </c>
      <c r="V278" s="125">
        <v>3.7499999999999999E-2</v>
      </c>
      <c r="W278" s="125">
        <v>5.3289999999999997E-2</v>
      </c>
      <c r="X278" t="s">
        <v>607</v>
      </c>
      <c r="Z278" s="124">
        <v>2149000</v>
      </c>
      <c r="AA278" s="124">
        <v>2.9780000000000002</v>
      </c>
      <c r="AB278" s="124">
        <v>93.815299999999993</v>
      </c>
      <c r="AC278" s="124">
        <v>0</v>
      </c>
      <c r="AD278" s="124">
        <v>6003.9183899999998</v>
      </c>
      <c r="AE278" s="124"/>
      <c r="AF278" s="124"/>
      <c r="AG278" t="s">
        <v>16</v>
      </c>
      <c r="AH278" s="125">
        <v>4.2979999999999997E-3</v>
      </c>
      <c r="AI278" s="125">
        <v>8.9594648680000003E-3</v>
      </c>
      <c r="AJ278" s="125">
        <f>AD278/'סכום נכסים'!$B$30</f>
        <v>1.0809413279621936E-3</v>
      </c>
    </row>
    <row r="279" spans="1:36" x14ac:dyDescent="0.3">
      <c r="A279">
        <v>13908</v>
      </c>
      <c r="B279">
        <v>13908</v>
      </c>
      <c r="C279" t="s">
        <v>2058</v>
      </c>
      <c r="D279" t="s">
        <v>2059</v>
      </c>
      <c r="E279" t="s">
        <v>421</v>
      </c>
      <c r="F279" t="s">
        <v>2060</v>
      </c>
      <c r="G279" t="s">
        <v>2061</v>
      </c>
      <c r="H279" t="s">
        <v>75</v>
      </c>
      <c r="I279" t="s">
        <v>224</v>
      </c>
      <c r="J279" t="s">
        <v>60</v>
      </c>
      <c r="K279" t="s">
        <v>52</v>
      </c>
      <c r="L279" t="s">
        <v>775</v>
      </c>
      <c r="M279" t="s">
        <v>463</v>
      </c>
      <c r="N279" t="s">
        <v>191</v>
      </c>
      <c r="O279" t="s">
        <v>61</v>
      </c>
      <c r="P279" t="s">
        <v>1328</v>
      </c>
      <c r="Q279" t="s">
        <v>83</v>
      </c>
      <c r="R279" t="s">
        <v>56</v>
      </c>
      <c r="S279" t="s">
        <v>1260</v>
      </c>
      <c r="T279" s="126">
        <v>1.413</v>
      </c>
      <c r="U279" s="127">
        <v>46778</v>
      </c>
      <c r="V279" s="125">
        <v>5.3749999999999999E-2</v>
      </c>
      <c r="W279" s="125">
        <v>5.1159999999999997E-2</v>
      </c>
      <c r="X279" t="s">
        <v>607</v>
      </c>
      <c r="Z279" s="124">
        <v>433000</v>
      </c>
      <c r="AA279" s="124">
        <v>2.9780000000000002</v>
      </c>
      <c r="AB279" s="124">
        <v>102.71120000000001</v>
      </c>
      <c r="AC279" s="124">
        <v>0</v>
      </c>
      <c r="AD279" s="124">
        <v>1324.4342200000001</v>
      </c>
      <c r="AE279" s="124"/>
      <c r="AF279" s="124"/>
      <c r="AG279" t="s">
        <v>16</v>
      </c>
      <c r="AH279" s="125">
        <v>5.4124999999999996E-4</v>
      </c>
      <c r="AI279" s="125">
        <v>1.9764129180000001E-3</v>
      </c>
      <c r="AJ279" s="125">
        <f>AD279/'סכום נכסים'!$B$30</f>
        <v>2.3845022393206985E-4</v>
      </c>
    </row>
    <row r="280" spans="1:36" x14ac:dyDescent="0.3">
      <c r="A280">
        <v>13908</v>
      </c>
      <c r="B280">
        <v>13908</v>
      </c>
      <c r="C280" t="s">
        <v>2062</v>
      </c>
      <c r="D280" t="s">
        <v>2063</v>
      </c>
      <c r="E280" t="s">
        <v>421</v>
      </c>
      <c r="F280" t="s">
        <v>2064</v>
      </c>
      <c r="G280" t="s">
        <v>2065</v>
      </c>
      <c r="H280" t="s">
        <v>75</v>
      </c>
      <c r="I280" t="s">
        <v>226</v>
      </c>
      <c r="J280" t="s">
        <v>60</v>
      </c>
      <c r="K280" t="s">
        <v>52</v>
      </c>
      <c r="L280" t="s">
        <v>775</v>
      </c>
      <c r="M280" t="s">
        <v>473</v>
      </c>
      <c r="N280" t="s">
        <v>853</v>
      </c>
      <c r="O280" t="s">
        <v>61</v>
      </c>
      <c r="P280" t="s">
        <v>2066</v>
      </c>
      <c r="Q280" t="s">
        <v>83</v>
      </c>
      <c r="R280" t="s">
        <v>56</v>
      </c>
      <c r="S280" t="s">
        <v>1265</v>
      </c>
      <c r="T280" s="126">
        <v>4.1779999999999999</v>
      </c>
      <c r="U280" s="127">
        <v>48106</v>
      </c>
      <c r="V280" s="125">
        <v>7.8750000000000001E-2</v>
      </c>
      <c r="W280" s="125">
        <v>4.1480000000000003E-2</v>
      </c>
      <c r="X280" t="s">
        <v>607</v>
      </c>
      <c r="Z280" s="124">
        <v>8000</v>
      </c>
      <c r="AA280" s="124">
        <v>3.3944999999999999</v>
      </c>
      <c r="AB280" s="124">
        <v>119.62649999999999</v>
      </c>
      <c r="AC280" s="124">
        <v>0</v>
      </c>
      <c r="AD280" s="124">
        <v>32.485770000000002</v>
      </c>
      <c r="AE280" s="124"/>
      <c r="AF280" s="124"/>
      <c r="AG280" t="s">
        <v>16</v>
      </c>
      <c r="AH280" s="125">
        <v>1.5999999999999999E-5</v>
      </c>
      <c r="AI280" s="125">
        <v>4.8477526864674301E-5</v>
      </c>
      <c r="AJ280" s="125">
        <f>AD280/'סכום נכסים'!$B$30</f>
        <v>5.8487156358023702E-6</v>
      </c>
    </row>
    <row r="281" spans="1:36" x14ac:dyDescent="0.3">
      <c r="A281">
        <v>13908</v>
      </c>
      <c r="B281">
        <v>13908</v>
      </c>
      <c r="C281" t="s">
        <v>2062</v>
      </c>
      <c r="D281" t="s">
        <v>2063</v>
      </c>
      <c r="E281" t="s">
        <v>421</v>
      </c>
      <c r="F281" t="s">
        <v>2067</v>
      </c>
      <c r="G281" t="s">
        <v>2068</v>
      </c>
      <c r="H281" t="s">
        <v>75</v>
      </c>
      <c r="I281" t="s">
        <v>226</v>
      </c>
      <c r="J281" t="s">
        <v>60</v>
      </c>
      <c r="K281" t="s">
        <v>52</v>
      </c>
      <c r="L281" t="s">
        <v>775</v>
      </c>
      <c r="M281" t="s">
        <v>473</v>
      </c>
      <c r="N281" t="s">
        <v>853</v>
      </c>
      <c r="O281" t="s">
        <v>61</v>
      </c>
      <c r="P281" t="s">
        <v>2066</v>
      </c>
      <c r="Q281" t="s">
        <v>83</v>
      </c>
      <c r="R281" t="s">
        <v>56</v>
      </c>
      <c r="S281" t="s">
        <v>1265</v>
      </c>
      <c r="T281" s="126">
        <v>2.665</v>
      </c>
      <c r="U281" s="127">
        <v>47376</v>
      </c>
      <c r="V281" s="125">
        <v>7.3749999999999996E-2</v>
      </c>
      <c r="W281" s="125">
        <v>3.882E-2</v>
      </c>
      <c r="X281" t="s">
        <v>607</v>
      </c>
      <c r="Z281" s="124">
        <v>5067</v>
      </c>
      <c r="AA281" s="124">
        <v>3.3944999999999999</v>
      </c>
      <c r="AB281" s="124">
        <v>112.6215</v>
      </c>
      <c r="AC281" s="124">
        <v>0</v>
      </c>
      <c r="AD281" s="124">
        <v>19.370819999999998</v>
      </c>
      <c r="AE281" s="124"/>
      <c r="AF281" s="124"/>
      <c r="AG281" t="s">
        <v>16</v>
      </c>
      <c r="AH281" s="125">
        <v>6.3337500000000001E-6</v>
      </c>
      <c r="AI281" s="125">
        <v>2.8906485730237299E-5</v>
      </c>
      <c r="AJ281" s="125">
        <f>AD281/'סכום נכסים'!$B$30</f>
        <v>3.4875090789694459E-6</v>
      </c>
    </row>
    <row r="282" spans="1:36" x14ac:dyDescent="0.3">
      <c r="A282">
        <v>13908</v>
      </c>
      <c r="B282">
        <v>13908</v>
      </c>
      <c r="C282" t="s">
        <v>2048</v>
      </c>
      <c r="D282" t="s">
        <v>2049</v>
      </c>
      <c r="E282" t="s">
        <v>421</v>
      </c>
      <c r="F282" t="s">
        <v>2069</v>
      </c>
      <c r="G282" t="s">
        <v>2070</v>
      </c>
      <c r="H282" t="s">
        <v>75</v>
      </c>
      <c r="I282" t="s">
        <v>226</v>
      </c>
      <c r="J282" t="s">
        <v>60</v>
      </c>
      <c r="K282" t="s">
        <v>52</v>
      </c>
      <c r="L282" t="s">
        <v>775</v>
      </c>
      <c r="M282" t="s">
        <v>463</v>
      </c>
      <c r="N282" t="s">
        <v>821</v>
      </c>
      <c r="O282" t="s">
        <v>61</v>
      </c>
      <c r="P282" t="s">
        <v>2045</v>
      </c>
      <c r="Q282" t="s">
        <v>83</v>
      </c>
      <c r="R282" t="s">
        <v>56</v>
      </c>
      <c r="S282" t="s">
        <v>1260</v>
      </c>
      <c r="T282" s="126">
        <v>3.5990000000000002</v>
      </c>
      <c r="U282" s="127">
        <v>48852</v>
      </c>
      <c r="V282" s="125">
        <v>8.5000000000000006E-2</v>
      </c>
      <c r="W282" s="125">
        <v>7.4329999999999993E-2</v>
      </c>
      <c r="X282" t="s">
        <v>607</v>
      </c>
      <c r="Z282" s="124">
        <v>3280000</v>
      </c>
      <c r="AA282" s="124">
        <v>2.9780000000000002</v>
      </c>
      <c r="AB282" s="124">
        <v>108.04819999999999</v>
      </c>
      <c r="AC282" s="124">
        <v>0</v>
      </c>
      <c r="AD282" s="124">
        <v>10553.9753</v>
      </c>
      <c r="AE282" s="124"/>
      <c r="AF282" s="124"/>
      <c r="AG282" t="s">
        <v>16</v>
      </c>
      <c r="AH282" s="125">
        <v>4.3733333330000001E-3</v>
      </c>
      <c r="AI282" s="125">
        <v>1.5749376454E-2</v>
      </c>
      <c r="AJ282" s="125">
        <f>AD282/'סכום נכסים'!$B$30</f>
        <v>1.9001304373263126E-3</v>
      </c>
    </row>
    <row r="283" spans="1:36" x14ac:dyDescent="0.3">
      <c r="A283">
        <v>13908</v>
      </c>
      <c r="B283">
        <v>13908</v>
      </c>
      <c r="C283" t="s">
        <v>2071</v>
      </c>
      <c r="D283" t="s">
        <v>2072</v>
      </c>
      <c r="E283" t="s">
        <v>421</v>
      </c>
      <c r="F283" t="s">
        <v>2073</v>
      </c>
      <c r="G283" t="s">
        <v>2074</v>
      </c>
      <c r="H283" t="s">
        <v>75</v>
      </c>
      <c r="I283" t="s">
        <v>226</v>
      </c>
      <c r="J283" t="s">
        <v>60</v>
      </c>
      <c r="K283" t="s">
        <v>306</v>
      </c>
      <c r="L283" t="s">
        <v>775</v>
      </c>
      <c r="M283" t="s">
        <v>475</v>
      </c>
      <c r="N283" t="s">
        <v>864</v>
      </c>
      <c r="O283" t="s">
        <v>61</v>
      </c>
      <c r="P283" t="s">
        <v>290</v>
      </c>
      <c r="Q283" t="s">
        <v>290</v>
      </c>
      <c r="R283" t="s">
        <v>290</v>
      </c>
      <c r="S283" t="s">
        <v>1260</v>
      </c>
      <c r="T283" s="126">
        <v>1.94</v>
      </c>
      <c r="U283" s="127">
        <v>46583</v>
      </c>
      <c r="V283" s="125">
        <v>2.5000000000000001E-2</v>
      </c>
      <c r="W283" s="125">
        <v>-3.8600000000000002E-2</v>
      </c>
      <c r="X283" t="s">
        <v>607</v>
      </c>
      <c r="Z283" s="124">
        <v>700000</v>
      </c>
      <c r="AA283" s="124">
        <v>2.9780000000000002</v>
      </c>
      <c r="AB283" s="124">
        <v>139.49889999999999</v>
      </c>
      <c r="AC283" s="124">
        <v>0</v>
      </c>
      <c r="AD283" s="124">
        <v>2907.9940700000002</v>
      </c>
      <c r="AE283" s="124"/>
      <c r="AF283" s="124"/>
      <c r="AG283" t="s">
        <v>16</v>
      </c>
      <c r="AH283" s="125">
        <v>1.469239374E-3</v>
      </c>
      <c r="AI283" s="125">
        <v>4.3395111349999998E-3</v>
      </c>
      <c r="AJ283" s="125">
        <f>AD283/'סכום נכסים'!$B$30</f>
        <v>5.2355324765365188E-4</v>
      </c>
    </row>
    <row r="284" spans="1:36" x14ac:dyDescent="0.3">
      <c r="A284">
        <v>13908</v>
      </c>
      <c r="B284">
        <v>13908</v>
      </c>
      <c r="C284" t="s">
        <v>2075</v>
      </c>
      <c r="D284" t="s">
        <v>2042</v>
      </c>
      <c r="E284" t="s">
        <v>421</v>
      </c>
      <c r="F284" t="s">
        <v>2076</v>
      </c>
      <c r="G284" t="s">
        <v>2077</v>
      </c>
      <c r="H284" t="s">
        <v>75</v>
      </c>
      <c r="I284" t="s">
        <v>226</v>
      </c>
      <c r="J284" t="s">
        <v>60</v>
      </c>
      <c r="K284" t="s">
        <v>307</v>
      </c>
      <c r="L284" t="s">
        <v>775</v>
      </c>
      <c r="M284" t="s">
        <v>101</v>
      </c>
      <c r="N284" t="s">
        <v>862</v>
      </c>
      <c r="O284" t="s">
        <v>61</v>
      </c>
      <c r="P284" t="s">
        <v>2078</v>
      </c>
      <c r="Q284" t="s">
        <v>83</v>
      </c>
      <c r="R284" t="s">
        <v>56</v>
      </c>
      <c r="S284" t="s">
        <v>1260</v>
      </c>
      <c r="T284" s="126">
        <v>2.1030000000000002</v>
      </c>
      <c r="U284" s="127">
        <v>47406</v>
      </c>
      <c r="V284" s="125">
        <v>8.1250000000000003E-2</v>
      </c>
      <c r="W284" s="125">
        <v>6.8220000000000003E-2</v>
      </c>
      <c r="X284" t="s">
        <v>607</v>
      </c>
      <c r="Z284" s="124">
        <v>206000</v>
      </c>
      <c r="AA284" s="124">
        <v>2.9780000000000002</v>
      </c>
      <c r="AB284" s="124">
        <v>105.4988</v>
      </c>
      <c r="AC284" s="124">
        <v>0</v>
      </c>
      <c r="AD284" s="124">
        <v>647.20137999999997</v>
      </c>
      <c r="AE284" s="124"/>
      <c r="AF284" s="124"/>
      <c r="AG284" t="s">
        <v>16</v>
      </c>
      <c r="AH284" s="125">
        <v>2.7466666600000001E-4</v>
      </c>
      <c r="AI284" s="125">
        <v>9.6579894099999995E-4</v>
      </c>
      <c r="AJ284" s="125">
        <f>AD284/'סכום נכסים'!$B$30</f>
        <v>1.1652169028835922E-4</v>
      </c>
    </row>
    <row r="285" spans="1:36" x14ac:dyDescent="0.3">
      <c r="A285">
        <v>13908</v>
      </c>
      <c r="B285">
        <v>13908</v>
      </c>
      <c r="C285" t="s">
        <v>2079</v>
      </c>
      <c r="D285" t="s">
        <v>2080</v>
      </c>
      <c r="E285" t="s">
        <v>421</v>
      </c>
      <c r="F285" t="s">
        <v>2081</v>
      </c>
      <c r="G285" t="s">
        <v>2082</v>
      </c>
      <c r="H285" t="s">
        <v>75</v>
      </c>
      <c r="I285" t="s">
        <v>226</v>
      </c>
      <c r="J285" t="s">
        <v>60</v>
      </c>
      <c r="K285" t="s">
        <v>151</v>
      </c>
      <c r="L285" t="s">
        <v>775</v>
      </c>
      <c r="M285" t="s">
        <v>466</v>
      </c>
      <c r="N285" t="s">
        <v>1093</v>
      </c>
      <c r="O285" t="s">
        <v>61</v>
      </c>
      <c r="P285" t="s">
        <v>2083</v>
      </c>
      <c r="Q285" t="s">
        <v>83</v>
      </c>
      <c r="R285" t="s">
        <v>56</v>
      </c>
      <c r="S285" t="s">
        <v>1260</v>
      </c>
      <c r="T285" s="126">
        <v>5.9939999999999998</v>
      </c>
      <c r="U285" s="127">
        <v>48882</v>
      </c>
      <c r="V285" s="125">
        <v>6.5500000000000003E-2</v>
      </c>
      <c r="W285" s="125">
        <v>6.4240000000000005E-2</v>
      </c>
      <c r="X285" t="s">
        <v>607</v>
      </c>
      <c r="Z285" s="124">
        <v>600000</v>
      </c>
      <c r="AA285" s="124">
        <v>2.9780000000000002</v>
      </c>
      <c r="AB285" s="124">
        <v>102.64709999999999</v>
      </c>
      <c r="AC285" s="124">
        <v>0</v>
      </c>
      <c r="AD285" s="124">
        <v>1834.0983799999999</v>
      </c>
      <c r="AE285" s="124"/>
      <c r="AF285" s="124"/>
      <c r="AG285" t="s">
        <v>16</v>
      </c>
      <c r="AH285" s="125">
        <v>4.8000000000000001E-4</v>
      </c>
      <c r="AI285" s="125">
        <v>2.736969248E-3</v>
      </c>
      <c r="AJ285" s="125">
        <f>AD285/'סכום נכסים'!$B$30</f>
        <v>3.3020980794685784E-4</v>
      </c>
    </row>
    <row r="286" spans="1:36" x14ac:dyDescent="0.3">
      <c r="A286">
        <v>13908</v>
      </c>
      <c r="B286">
        <v>13908</v>
      </c>
      <c r="C286" t="s">
        <v>2084</v>
      </c>
      <c r="D286" t="s">
        <v>2085</v>
      </c>
      <c r="E286" t="s">
        <v>421</v>
      </c>
      <c r="F286" t="s">
        <v>2086</v>
      </c>
      <c r="G286" t="s">
        <v>2087</v>
      </c>
      <c r="H286" t="s">
        <v>75</v>
      </c>
      <c r="I286" t="s">
        <v>226</v>
      </c>
      <c r="J286" t="s">
        <v>60</v>
      </c>
      <c r="K286" t="s">
        <v>306</v>
      </c>
      <c r="L286" t="s">
        <v>775</v>
      </c>
      <c r="M286" t="s">
        <v>466</v>
      </c>
      <c r="N286" t="s">
        <v>838</v>
      </c>
      <c r="O286" t="s">
        <v>61</v>
      </c>
      <c r="P286" t="s">
        <v>2066</v>
      </c>
      <c r="Q286" t="s">
        <v>83</v>
      </c>
      <c r="R286" t="s">
        <v>56</v>
      </c>
      <c r="S286" t="s">
        <v>1262</v>
      </c>
      <c r="T286" s="126">
        <v>4.3579999999999997</v>
      </c>
      <c r="U286" s="127">
        <v>48089</v>
      </c>
      <c r="V286" s="125">
        <v>6.1839999999999999E-2</v>
      </c>
      <c r="W286" s="125">
        <v>5.7189999999999998E-2</v>
      </c>
      <c r="X286" t="s">
        <v>607</v>
      </c>
      <c r="Z286" s="124">
        <v>200000</v>
      </c>
      <c r="AA286" s="124">
        <v>3.9388999999999998</v>
      </c>
      <c r="AB286" s="124">
        <v>107.2243</v>
      </c>
      <c r="AC286" s="124">
        <v>0</v>
      </c>
      <c r="AD286" s="124">
        <v>844.69159000000002</v>
      </c>
      <c r="AE286" s="124"/>
      <c r="AF286" s="124"/>
      <c r="AG286" t="s">
        <v>16</v>
      </c>
      <c r="AH286" s="125">
        <v>5.0000000000000001E-4</v>
      </c>
      <c r="AI286" s="125">
        <v>1.260507577E-3</v>
      </c>
      <c r="AJ286" s="125">
        <f>AD286/'סכום נכסים'!$B$30</f>
        <v>1.5207769155121657E-4</v>
      </c>
    </row>
    <row r="287" spans="1:36" x14ac:dyDescent="0.3">
      <c r="A287">
        <v>13908</v>
      </c>
      <c r="B287">
        <v>13908</v>
      </c>
      <c r="C287" t="s">
        <v>2052</v>
      </c>
      <c r="D287" t="s">
        <v>2053</v>
      </c>
      <c r="E287" t="s">
        <v>421</v>
      </c>
      <c r="F287" t="s">
        <v>2088</v>
      </c>
      <c r="G287" t="s">
        <v>2089</v>
      </c>
      <c r="H287" t="s">
        <v>75</v>
      </c>
      <c r="I287" t="s">
        <v>226</v>
      </c>
      <c r="J287" t="s">
        <v>60</v>
      </c>
      <c r="K287" t="s">
        <v>52</v>
      </c>
      <c r="L287" t="s">
        <v>775</v>
      </c>
      <c r="M287" t="s">
        <v>475</v>
      </c>
      <c r="N287" t="s">
        <v>191</v>
      </c>
      <c r="O287" t="s">
        <v>61</v>
      </c>
      <c r="P287" t="s">
        <v>2090</v>
      </c>
      <c r="Q287" t="s">
        <v>95</v>
      </c>
      <c r="R287" t="s">
        <v>56</v>
      </c>
      <c r="S287" t="s">
        <v>1260</v>
      </c>
      <c r="T287" s="126">
        <v>5.46</v>
      </c>
      <c r="U287" s="127">
        <v>48593</v>
      </c>
      <c r="V287" s="125">
        <v>5.2519999999999997E-2</v>
      </c>
      <c r="W287" s="125">
        <v>5.416E-2</v>
      </c>
      <c r="X287" t="s">
        <v>607</v>
      </c>
      <c r="Z287" s="124">
        <v>1000000</v>
      </c>
      <c r="AA287" s="124">
        <v>2.9780000000000002</v>
      </c>
      <c r="AB287" s="124">
        <v>101.6349</v>
      </c>
      <c r="AC287" s="124">
        <v>0</v>
      </c>
      <c r="AD287" s="124">
        <v>3026.68732</v>
      </c>
      <c r="AE287" s="124"/>
      <c r="AF287" s="124"/>
      <c r="AG287" t="s">
        <v>16</v>
      </c>
      <c r="AH287" s="125">
        <v>1E-3</v>
      </c>
      <c r="AI287" s="125">
        <v>4.5166334630000003E-3</v>
      </c>
      <c r="AJ287" s="125">
        <f>AD287/'סכום נכסים'!$B$30</f>
        <v>5.4492269855905434E-4</v>
      </c>
    </row>
    <row r="288" spans="1:36" x14ac:dyDescent="0.3">
      <c r="A288">
        <v>13908</v>
      </c>
      <c r="B288">
        <v>13908</v>
      </c>
      <c r="C288" t="s">
        <v>2091</v>
      </c>
      <c r="D288" t="s">
        <v>2092</v>
      </c>
      <c r="E288" t="s">
        <v>421</v>
      </c>
      <c r="F288" t="s">
        <v>2093</v>
      </c>
      <c r="G288" t="s">
        <v>2094</v>
      </c>
      <c r="H288" t="s">
        <v>75</v>
      </c>
      <c r="I288" t="s">
        <v>226</v>
      </c>
      <c r="J288" t="s">
        <v>60</v>
      </c>
      <c r="K288" t="s">
        <v>188</v>
      </c>
      <c r="L288" t="s">
        <v>775</v>
      </c>
      <c r="M288" t="s">
        <v>475</v>
      </c>
      <c r="N288" t="s">
        <v>859</v>
      </c>
      <c r="O288" t="s">
        <v>61</v>
      </c>
      <c r="P288" t="s">
        <v>2095</v>
      </c>
      <c r="Q288" t="s">
        <v>83</v>
      </c>
      <c r="R288" t="s">
        <v>56</v>
      </c>
      <c r="S288" t="s">
        <v>1265</v>
      </c>
      <c r="T288" s="126">
        <v>6.36</v>
      </c>
      <c r="U288" s="127">
        <v>54788</v>
      </c>
      <c r="V288" s="125">
        <v>4.8809999999999999E-2</v>
      </c>
      <c r="W288" s="125">
        <v>5.296E-2</v>
      </c>
      <c r="X288" t="s">
        <v>607</v>
      </c>
      <c r="Z288" s="124">
        <v>88800</v>
      </c>
      <c r="AA288" s="124">
        <v>3.3944999999999999</v>
      </c>
      <c r="AB288" s="124">
        <v>101.3865</v>
      </c>
      <c r="AC288" s="124">
        <v>0</v>
      </c>
      <c r="AD288" s="124">
        <v>305.61095</v>
      </c>
      <c r="AE288" s="124"/>
      <c r="AF288" s="124"/>
      <c r="AG288" t="s">
        <v>16</v>
      </c>
      <c r="AH288" s="125">
        <v>1.04470588E-4</v>
      </c>
      <c r="AI288" s="125">
        <v>4.5605392800000002E-4</v>
      </c>
      <c r="AJ288" s="125">
        <f>AD288/'סכום נכסים'!$B$30</f>
        <v>5.5021984756323043E-5</v>
      </c>
    </row>
    <row r="289" spans="1:36" x14ac:dyDescent="0.3">
      <c r="A289">
        <v>13908</v>
      </c>
      <c r="B289">
        <v>13908</v>
      </c>
      <c r="C289" t="s">
        <v>2036</v>
      </c>
      <c r="D289" t="s">
        <v>2037</v>
      </c>
      <c r="E289" t="s">
        <v>421</v>
      </c>
      <c r="F289" t="s">
        <v>2096</v>
      </c>
      <c r="G289" t="s">
        <v>2097</v>
      </c>
      <c r="H289" t="s">
        <v>75</v>
      </c>
      <c r="I289" t="s">
        <v>226</v>
      </c>
      <c r="J289" t="s">
        <v>60</v>
      </c>
      <c r="K289" t="s">
        <v>52</v>
      </c>
      <c r="L289" t="s">
        <v>775</v>
      </c>
      <c r="M289" t="s">
        <v>475</v>
      </c>
      <c r="N289" t="s">
        <v>864</v>
      </c>
      <c r="O289" t="s">
        <v>61</v>
      </c>
      <c r="P289" t="s">
        <v>2040</v>
      </c>
      <c r="Q289" t="s">
        <v>83</v>
      </c>
      <c r="R289" t="s">
        <v>56</v>
      </c>
      <c r="S289" t="s">
        <v>1260</v>
      </c>
      <c r="T289" s="126">
        <v>8.4320000000000004</v>
      </c>
      <c r="U289" s="127">
        <v>50433</v>
      </c>
      <c r="V289" s="125">
        <v>5.6329999999999998E-2</v>
      </c>
      <c r="W289" s="125">
        <v>5.6829999999999999E-2</v>
      </c>
      <c r="X289" t="s">
        <v>607</v>
      </c>
      <c r="Z289" s="124">
        <v>1600000</v>
      </c>
      <c r="AA289" s="124">
        <v>2.9780000000000002</v>
      </c>
      <c r="AB289" s="124">
        <v>102.06789999999999</v>
      </c>
      <c r="AC289" s="124">
        <v>0</v>
      </c>
      <c r="AD289" s="124">
        <v>4863.3312999999998</v>
      </c>
      <c r="AE289" s="124"/>
      <c r="AF289" s="124"/>
      <c r="AG289" t="s">
        <v>16</v>
      </c>
      <c r="AH289" s="125">
        <v>3.2000000000000002E-3</v>
      </c>
      <c r="AI289" s="125">
        <v>7.2574014320000001E-3</v>
      </c>
      <c r="AJ289" s="125">
        <f>AD289/'סכום נכסים'!$B$30</f>
        <v>8.7559081457502981E-4</v>
      </c>
    </row>
    <row r="290" spans="1:36" x14ac:dyDescent="0.3">
      <c r="A290">
        <v>13908</v>
      </c>
      <c r="B290">
        <v>13908</v>
      </c>
      <c r="C290" t="s">
        <v>2098</v>
      </c>
      <c r="D290" t="s">
        <v>2099</v>
      </c>
      <c r="E290" t="s">
        <v>421</v>
      </c>
      <c r="F290" t="s">
        <v>2100</v>
      </c>
      <c r="G290" t="s">
        <v>2101</v>
      </c>
      <c r="H290" t="s">
        <v>75</v>
      </c>
      <c r="I290" t="s">
        <v>226</v>
      </c>
      <c r="J290" t="s">
        <v>60</v>
      </c>
      <c r="K290" t="s">
        <v>52</v>
      </c>
      <c r="L290" t="s">
        <v>775</v>
      </c>
      <c r="M290" t="s">
        <v>475</v>
      </c>
      <c r="N290" t="s">
        <v>191</v>
      </c>
      <c r="O290" t="s">
        <v>61</v>
      </c>
      <c r="P290" t="s">
        <v>2102</v>
      </c>
      <c r="Q290" t="s">
        <v>95</v>
      </c>
      <c r="R290" t="s">
        <v>56</v>
      </c>
      <c r="S290" t="s">
        <v>1260</v>
      </c>
      <c r="T290" s="126">
        <v>4.3339999999999996</v>
      </c>
      <c r="U290" s="127">
        <v>49927</v>
      </c>
      <c r="V290" s="125">
        <v>5.7397999999999998E-2</v>
      </c>
      <c r="W290" s="125">
        <v>5.8090000000000003E-2</v>
      </c>
      <c r="X290" t="s">
        <v>607</v>
      </c>
      <c r="Z290" s="124">
        <v>1500000</v>
      </c>
      <c r="AA290" s="124">
        <v>2.9780000000000002</v>
      </c>
      <c r="AB290" s="124">
        <v>99.926400000000001</v>
      </c>
      <c r="AC290" s="124">
        <v>0</v>
      </c>
      <c r="AD290" s="124">
        <v>4463.7122900000004</v>
      </c>
      <c r="AE290" s="124"/>
      <c r="AF290" s="124"/>
      <c r="AG290" t="s">
        <v>16</v>
      </c>
      <c r="AH290" s="125">
        <v>1.5E-3</v>
      </c>
      <c r="AI290" s="125">
        <v>6.661062134E-3</v>
      </c>
      <c r="AJ290" s="125">
        <f>AD290/'סכום נכסים'!$B$30</f>
        <v>8.0364368350346036E-4</v>
      </c>
    </row>
    <row r="291" spans="1:36" x14ac:dyDescent="0.3">
      <c r="A291">
        <v>13908</v>
      </c>
      <c r="B291">
        <v>13908</v>
      </c>
      <c r="C291" t="s">
        <v>2103</v>
      </c>
      <c r="D291" t="s">
        <v>2104</v>
      </c>
      <c r="E291" t="s">
        <v>421</v>
      </c>
      <c r="F291" t="s">
        <v>2105</v>
      </c>
      <c r="G291" t="s">
        <v>2106</v>
      </c>
      <c r="H291" t="s">
        <v>75</v>
      </c>
      <c r="I291" t="s">
        <v>226</v>
      </c>
      <c r="J291" t="s">
        <v>60</v>
      </c>
      <c r="K291" t="s">
        <v>169</v>
      </c>
      <c r="L291" t="s">
        <v>775</v>
      </c>
      <c r="M291" t="s">
        <v>473</v>
      </c>
      <c r="N291" t="s">
        <v>874</v>
      </c>
      <c r="O291" t="s">
        <v>61</v>
      </c>
      <c r="P291" t="s">
        <v>2107</v>
      </c>
      <c r="Q291" t="s">
        <v>95</v>
      </c>
      <c r="R291" t="s">
        <v>56</v>
      </c>
      <c r="S291" t="s">
        <v>1265</v>
      </c>
      <c r="T291" s="126">
        <v>2.0329999999999999</v>
      </c>
      <c r="U291" s="127">
        <v>46996</v>
      </c>
      <c r="V291" s="125">
        <v>7.9000000000000001E-2</v>
      </c>
      <c r="W291" s="125">
        <v>0</v>
      </c>
      <c r="X291" t="s">
        <v>607</v>
      </c>
      <c r="Z291" s="124">
        <v>0.39</v>
      </c>
      <c r="AA291" s="124">
        <v>3.3944999999999999</v>
      </c>
      <c r="AB291" s="124">
        <v>100.79900000000001</v>
      </c>
      <c r="AC291" s="124">
        <v>0</v>
      </c>
      <c r="AD291" s="124">
        <v>1.33E-3</v>
      </c>
      <c r="AE291" s="124"/>
      <c r="AF291" s="124"/>
      <c r="AG291" t="s">
        <v>16</v>
      </c>
      <c r="AH291" s="125">
        <v>4.4264387459004198E-10</v>
      </c>
      <c r="AI291" s="125">
        <v>1.9847185623125699E-9</v>
      </c>
      <c r="AJ291" s="125">
        <f>AD291/'סכום נכסים'!$B$30</f>
        <v>2.3945228312633968E-10</v>
      </c>
    </row>
    <row r="292" spans="1:36" x14ac:dyDescent="0.3">
      <c r="A292">
        <v>13908</v>
      </c>
      <c r="B292">
        <v>13908</v>
      </c>
      <c r="C292" t="s">
        <v>2075</v>
      </c>
      <c r="D292" t="s">
        <v>2042</v>
      </c>
      <c r="E292" t="s">
        <v>421</v>
      </c>
      <c r="F292" t="s">
        <v>2108</v>
      </c>
      <c r="G292" t="s">
        <v>2109</v>
      </c>
      <c r="H292" t="s">
        <v>75</v>
      </c>
      <c r="I292" t="s">
        <v>226</v>
      </c>
      <c r="J292" t="s">
        <v>60</v>
      </c>
      <c r="K292" t="s">
        <v>306</v>
      </c>
      <c r="L292" t="s">
        <v>775</v>
      </c>
      <c r="M292" t="s">
        <v>463</v>
      </c>
      <c r="N292" t="s">
        <v>821</v>
      </c>
      <c r="O292" t="s">
        <v>61</v>
      </c>
      <c r="P292" t="s">
        <v>2078</v>
      </c>
      <c r="Q292" t="s">
        <v>83</v>
      </c>
      <c r="R292" t="s">
        <v>56</v>
      </c>
      <c r="S292" t="s">
        <v>1265</v>
      </c>
      <c r="T292" s="126">
        <v>4.5640000000000001</v>
      </c>
      <c r="U292" s="127">
        <v>48122</v>
      </c>
      <c r="V292" s="125">
        <v>5.5E-2</v>
      </c>
      <c r="W292" s="125">
        <v>5.5329999999999997E-2</v>
      </c>
      <c r="X292" t="s">
        <v>607</v>
      </c>
      <c r="Z292" s="124">
        <v>1200000</v>
      </c>
      <c r="AA292" s="124">
        <v>3.3944999999999999</v>
      </c>
      <c r="AB292" s="124">
        <v>101.2456</v>
      </c>
      <c r="AC292" s="124">
        <v>0</v>
      </c>
      <c r="AD292" s="124">
        <v>4124.1382700000004</v>
      </c>
      <c r="AE292" s="124"/>
      <c r="AF292" s="124"/>
      <c r="AG292" t="s">
        <v>16</v>
      </c>
      <c r="AH292" s="125">
        <v>1.9834710739999998E-3</v>
      </c>
      <c r="AI292" s="125">
        <v>6.1543261480000002E-3</v>
      </c>
      <c r="AJ292" s="125">
        <f>AD292/'סכום נכסים'!$B$30</f>
        <v>7.4250701103775404E-4</v>
      </c>
    </row>
    <row r="293" spans="1:36" x14ac:dyDescent="0.3">
      <c r="A293">
        <v>13908</v>
      </c>
      <c r="B293">
        <v>13908</v>
      </c>
      <c r="C293" t="s">
        <v>2103</v>
      </c>
      <c r="D293" t="s">
        <v>2104</v>
      </c>
      <c r="E293" t="s">
        <v>421</v>
      </c>
      <c r="F293" t="s">
        <v>2110</v>
      </c>
      <c r="G293" t="s">
        <v>2111</v>
      </c>
      <c r="H293" t="s">
        <v>75</v>
      </c>
      <c r="I293" t="s">
        <v>226</v>
      </c>
      <c r="J293" t="s">
        <v>60</v>
      </c>
      <c r="K293" t="s">
        <v>169</v>
      </c>
      <c r="L293" t="s">
        <v>775</v>
      </c>
      <c r="M293" t="s">
        <v>463</v>
      </c>
      <c r="N293" t="s">
        <v>819</v>
      </c>
      <c r="O293" t="s">
        <v>61</v>
      </c>
      <c r="P293" t="s">
        <v>2107</v>
      </c>
      <c r="Q293" t="s">
        <v>95</v>
      </c>
      <c r="R293" t="s">
        <v>56</v>
      </c>
      <c r="S293" t="s">
        <v>1265</v>
      </c>
      <c r="T293" s="126">
        <v>3.6999999999999998E-2</v>
      </c>
      <c r="U293" s="127">
        <v>47177</v>
      </c>
      <c r="V293" s="125">
        <v>6.5000000000000002E-2</v>
      </c>
      <c r="W293" s="125">
        <v>8.6999999999999994E-2</v>
      </c>
      <c r="X293" t="s">
        <v>607</v>
      </c>
      <c r="Z293" s="124">
        <v>1412250</v>
      </c>
      <c r="AA293" s="124">
        <v>3.3944999999999999</v>
      </c>
      <c r="AB293" s="124">
        <v>103.5339</v>
      </c>
      <c r="AC293" s="124">
        <v>0</v>
      </c>
      <c r="AD293" s="124">
        <v>4963.2936399999999</v>
      </c>
      <c r="AE293" s="124"/>
      <c r="AF293" s="124"/>
      <c r="AG293" t="s">
        <v>16</v>
      </c>
      <c r="AH293" s="125">
        <v>2.5564779279999999E-3</v>
      </c>
      <c r="AI293" s="125">
        <v>7.4065721929999998E-3</v>
      </c>
      <c r="AJ293" s="125">
        <f>AD293/'סכום נכסים'!$B$30</f>
        <v>8.9358796535672267E-4</v>
      </c>
    </row>
    <row r="294" spans="1:36" x14ac:dyDescent="0.3">
      <c r="A294">
        <v>13908</v>
      </c>
      <c r="B294">
        <v>13908</v>
      </c>
      <c r="C294" t="s">
        <v>2112</v>
      </c>
      <c r="D294" t="s">
        <v>2053</v>
      </c>
      <c r="E294" t="s">
        <v>421</v>
      </c>
      <c r="F294" t="s">
        <v>2113</v>
      </c>
      <c r="G294" t="s">
        <v>2114</v>
      </c>
      <c r="H294" t="s">
        <v>75</v>
      </c>
      <c r="I294" t="s">
        <v>226</v>
      </c>
      <c r="J294" t="s">
        <v>60</v>
      </c>
      <c r="K294" t="s">
        <v>306</v>
      </c>
      <c r="L294" t="s">
        <v>775</v>
      </c>
      <c r="M294" t="s">
        <v>475</v>
      </c>
      <c r="N294" t="s">
        <v>1093</v>
      </c>
      <c r="O294" t="s">
        <v>61</v>
      </c>
      <c r="P294" t="s">
        <v>290</v>
      </c>
      <c r="Q294" t="s">
        <v>290</v>
      </c>
      <c r="R294" t="s">
        <v>290</v>
      </c>
      <c r="S294" t="s">
        <v>1260</v>
      </c>
      <c r="T294" s="126">
        <v>0</v>
      </c>
      <c r="U294" s="127">
        <v>49846</v>
      </c>
      <c r="V294" s="125">
        <v>0</v>
      </c>
      <c r="W294" s="125">
        <v>0</v>
      </c>
      <c r="X294" t="s">
        <v>607</v>
      </c>
      <c r="Z294" s="124">
        <v>1376000</v>
      </c>
      <c r="AA294" s="124">
        <v>2.9780000000000002</v>
      </c>
      <c r="AB294" s="124">
        <v>100</v>
      </c>
      <c r="AC294" s="124">
        <v>0</v>
      </c>
      <c r="AD294" s="124">
        <v>4097.7280000000001</v>
      </c>
      <c r="AE294" s="124"/>
      <c r="AF294" s="124"/>
      <c r="AG294" t="s">
        <v>16</v>
      </c>
      <c r="AH294" s="125">
        <v>0</v>
      </c>
      <c r="AI294" s="125">
        <v>6.1149149050000002E-3</v>
      </c>
      <c r="AJ294" s="125">
        <f>AD294/'סכום נכסים'!$B$30</f>
        <v>7.3775212423363135E-4</v>
      </c>
    </row>
    <row r="295" spans="1:36" x14ac:dyDescent="0.3">
      <c r="A295">
        <v>13908</v>
      </c>
      <c r="B295">
        <v>13908</v>
      </c>
      <c r="C295" t="s">
        <v>2115</v>
      </c>
      <c r="D295" t="s">
        <v>2116</v>
      </c>
      <c r="E295" t="s">
        <v>421</v>
      </c>
      <c r="F295" t="s">
        <v>2117</v>
      </c>
      <c r="G295" t="s">
        <v>2118</v>
      </c>
      <c r="H295" t="s">
        <v>75</v>
      </c>
      <c r="I295" t="s">
        <v>226</v>
      </c>
      <c r="J295" t="s">
        <v>60</v>
      </c>
      <c r="K295" t="s">
        <v>192</v>
      </c>
      <c r="L295" t="s">
        <v>775</v>
      </c>
      <c r="M295" t="s">
        <v>463</v>
      </c>
      <c r="N295" t="s">
        <v>874</v>
      </c>
      <c r="O295" t="s">
        <v>61</v>
      </c>
      <c r="P295" t="s">
        <v>290</v>
      </c>
      <c r="Q295" t="s">
        <v>290</v>
      </c>
      <c r="R295" t="s">
        <v>290</v>
      </c>
      <c r="S295" t="s">
        <v>1265</v>
      </c>
      <c r="T295" s="126">
        <v>2.464</v>
      </c>
      <c r="U295" s="127">
        <v>47208</v>
      </c>
      <c r="V295" s="125">
        <v>6.25E-2</v>
      </c>
      <c r="W295" s="125">
        <v>6.1600000000000002E-2</v>
      </c>
      <c r="X295" t="s">
        <v>607</v>
      </c>
      <c r="Z295" s="124">
        <v>837000</v>
      </c>
      <c r="AA295" s="124">
        <v>3.3944999999999999</v>
      </c>
      <c r="AB295" s="124">
        <v>40.611499999999999</v>
      </c>
      <c r="AC295" s="124">
        <v>0</v>
      </c>
      <c r="AD295" s="124">
        <v>1153.8525199999999</v>
      </c>
      <c r="AE295" s="124"/>
      <c r="AF295" s="124"/>
      <c r="AG295" t="s">
        <v>16</v>
      </c>
      <c r="AH295" s="125">
        <v>2.725414933E-3</v>
      </c>
      <c r="AI295" s="125">
        <v>1.7218590329999999E-3</v>
      </c>
      <c r="AJ295" s="125">
        <f>AD295/'סכום נכסים'!$B$30</f>
        <v>2.0773881225945903E-4</v>
      </c>
    </row>
    <row r="296" spans="1:36" x14ac:dyDescent="0.3">
      <c r="A296">
        <v>13908</v>
      </c>
      <c r="B296">
        <v>13908</v>
      </c>
      <c r="C296" t="s">
        <v>2119</v>
      </c>
      <c r="D296" t="s">
        <v>2120</v>
      </c>
      <c r="E296" t="s">
        <v>421</v>
      </c>
      <c r="F296" t="s">
        <v>2121</v>
      </c>
      <c r="G296" t="s">
        <v>2122</v>
      </c>
      <c r="H296" t="s">
        <v>75</v>
      </c>
      <c r="I296" t="s">
        <v>226</v>
      </c>
      <c r="J296" t="s">
        <v>60</v>
      </c>
      <c r="K296" t="s">
        <v>66</v>
      </c>
      <c r="L296" t="s">
        <v>775</v>
      </c>
      <c r="M296" t="s">
        <v>463</v>
      </c>
      <c r="N296" t="s">
        <v>1093</v>
      </c>
      <c r="O296" t="s">
        <v>61</v>
      </c>
      <c r="P296" t="s">
        <v>2066</v>
      </c>
      <c r="Q296" t="s">
        <v>83</v>
      </c>
      <c r="R296" t="s">
        <v>56</v>
      </c>
      <c r="S296" t="s">
        <v>1260</v>
      </c>
      <c r="T296" s="126">
        <v>3.0049999999999999</v>
      </c>
      <c r="U296" s="127">
        <v>47392</v>
      </c>
      <c r="V296" s="125">
        <v>5.0259999999999999E-2</v>
      </c>
      <c r="W296" s="125">
        <v>7.5990000000000002E-2</v>
      </c>
      <c r="X296" t="s">
        <v>607</v>
      </c>
      <c r="Z296" s="124">
        <v>22000</v>
      </c>
      <c r="AA296" s="124">
        <v>2.9780000000000002</v>
      </c>
      <c r="AB296" s="124">
        <v>107.1978</v>
      </c>
      <c r="AC296" s="124">
        <v>0</v>
      </c>
      <c r="AD296" s="124">
        <v>70.231710000000007</v>
      </c>
      <c r="AE296" s="124"/>
      <c r="AF296" s="124"/>
      <c r="AG296" t="s">
        <v>16</v>
      </c>
      <c r="AH296" s="125">
        <v>4.9285583070850303E-5</v>
      </c>
      <c r="AI296" s="125">
        <v>1.0480464500000001E-4</v>
      </c>
      <c r="AJ296" s="125">
        <f>AD296/'סכום נכסים'!$B$30</f>
        <v>1.2644468652155628E-5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36"/>
  <sheetViews>
    <sheetView rightToLeft="1" workbookViewId="0"/>
  </sheetViews>
  <sheetFormatPr defaultColWidth="0" defaultRowHeight="14" x14ac:dyDescent="0.3"/>
  <cols>
    <col min="1" max="2" width="10.58203125" bestFit="1" customWidth="1"/>
    <col min="3" max="3" width="30.1640625" bestFit="1" customWidth="1"/>
    <col min="4" max="4" width="23" bestFit="1" customWidth="1"/>
    <col min="5" max="5" width="10.83203125" bestFit="1" customWidth="1"/>
    <col min="6" max="6" width="29.25" bestFit="1" customWidth="1"/>
    <col min="7" max="7" width="14.1640625" bestFit="1" customWidth="1"/>
    <col min="8" max="8" width="9.1640625" bestFit="1" customWidth="1"/>
    <col min="9" max="9" width="14.58203125" bestFit="1" customWidth="1"/>
    <col min="10" max="10" width="10" bestFit="1" customWidth="1"/>
    <col min="11" max="11" width="9.25" bestFit="1" customWidth="1"/>
    <col min="12" max="12" width="7.83203125" bestFit="1" customWidth="1"/>
    <col min="13" max="13" width="10.4140625" bestFit="1" customWidth="1"/>
    <col min="14" max="14" width="41.83203125" bestFit="1" customWidth="1"/>
    <col min="15" max="15" width="11" bestFit="1" customWidth="1"/>
    <col min="16" max="16" width="11.25" bestFit="1" customWidth="1"/>
    <col min="17" max="17" width="12.75" bestFit="1" customWidth="1"/>
    <col min="18" max="18" width="9.83203125" bestFit="1" customWidth="1"/>
    <col min="19" max="19" width="11.1640625" bestFit="1" customWidth="1"/>
    <col min="20" max="20" width="9.75" bestFit="1" customWidth="1"/>
    <col min="21" max="22" width="10.83203125" bestFit="1" customWidth="1"/>
    <col min="23" max="23" width="11.1640625" bestFit="1" customWidth="1"/>
    <col min="24" max="24" width="10" bestFit="1" customWidth="1"/>
    <col min="25" max="26" width="11.58203125" hidden="1" customWidth="1"/>
    <col min="27" max="16384" width="9" hidden="1"/>
  </cols>
  <sheetData>
    <row r="1" spans="1:24" s="4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596</v>
      </c>
      <c r="M1" s="13" t="s">
        <v>4</v>
      </c>
      <c r="N1" s="13" t="s">
        <v>8</v>
      </c>
      <c r="O1" s="13" t="s">
        <v>593</v>
      </c>
      <c r="P1" s="13" t="s">
        <v>387</v>
      </c>
      <c r="Q1" s="13" t="s">
        <v>747</v>
      </c>
      <c r="R1" s="13" t="s">
        <v>10</v>
      </c>
      <c r="S1" s="13" t="s">
        <v>14</v>
      </c>
      <c r="T1" s="13" t="s">
        <v>895</v>
      </c>
      <c r="U1" s="13" t="s">
        <v>1105</v>
      </c>
      <c r="V1" s="13" t="s">
        <v>17</v>
      </c>
      <c r="W1" s="13" t="s">
        <v>18</v>
      </c>
      <c r="X1" s="13" t="s">
        <v>29</v>
      </c>
    </row>
    <row r="2" spans="1:24" x14ac:dyDescent="0.3">
      <c r="A2">
        <v>13908</v>
      </c>
      <c r="B2">
        <v>13908</v>
      </c>
      <c r="C2" t="s">
        <v>2123</v>
      </c>
      <c r="D2">
        <v>520034125</v>
      </c>
      <c r="E2" t="s">
        <v>420</v>
      </c>
      <c r="F2" t="s">
        <v>2124</v>
      </c>
      <c r="G2" t="s">
        <v>2125</v>
      </c>
      <c r="H2" t="s">
        <v>75</v>
      </c>
      <c r="I2" t="s">
        <v>72</v>
      </c>
      <c r="J2" t="s">
        <v>52</v>
      </c>
      <c r="K2" t="s">
        <v>52</v>
      </c>
      <c r="L2" t="s">
        <v>775</v>
      </c>
      <c r="M2" t="s">
        <v>303</v>
      </c>
      <c r="N2" t="s">
        <v>675</v>
      </c>
      <c r="O2" t="s">
        <v>61</v>
      </c>
      <c r="P2" t="s">
        <v>1258</v>
      </c>
      <c r="Q2" s="124">
        <v>1000</v>
      </c>
      <c r="R2" s="124">
        <v>1</v>
      </c>
      <c r="S2" s="124">
        <v>41980</v>
      </c>
      <c r="T2" s="124">
        <v>0</v>
      </c>
      <c r="U2" s="124">
        <v>419.8</v>
      </c>
      <c r="V2" s="125">
        <v>1.02804052E-4</v>
      </c>
      <c r="W2" s="125">
        <v>3.98619126E-4</v>
      </c>
      <c r="X2" s="125">
        <f>U2/'סכום נכסים'!$B$30</f>
        <v>7.5580502598825112E-5</v>
      </c>
    </row>
    <row r="3" spans="1:24" x14ac:dyDescent="0.3">
      <c r="A3">
        <v>13908</v>
      </c>
      <c r="B3">
        <v>13908</v>
      </c>
      <c r="C3" t="s">
        <v>1588</v>
      </c>
      <c r="D3">
        <v>520034257</v>
      </c>
      <c r="E3" t="s">
        <v>420</v>
      </c>
      <c r="F3" t="s">
        <v>2126</v>
      </c>
      <c r="G3" t="s">
        <v>2127</v>
      </c>
      <c r="H3" t="s">
        <v>75</v>
      </c>
      <c r="I3" t="s">
        <v>72</v>
      </c>
      <c r="J3" t="s">
        <v>52</v>
      </c>
      <c r="K3" t="s">
        <v>52</v>
      </c>
      <c r="L3" t="s">
        <v>775</v>
      </c>
      <c r="M3" t="s">
        <v>303</v>
      </c>
      <c r="N3" t="s">
        <v>675</v>
      </c>
      <c r="O3" t="s">
        <v>61</v>
      </c>
      <c r="P3" t="s">
        <v>1258</v>
      </c>
      <c r="Q3" s="124">
        <v>1600000</v>
      </c>
      <c r="R3" s="124">
        <v>1</v>
      </c>
      <c r="S3" s="124">
        <v>1110</v>
      </c>
      <c r="T3" s="124">
        <v>0</v>
      </c>
      <c r="U3" s="124">
        <v>17760</v>
      </c>
      <c r="V3" s="125">
        <v>5.4581421400000003E-3</v>
      </c>
      <c r="W3" s="125">
        <v>1.6863924913000001E-2</v>
      </c>
      <c r="X3" s="125">
        <f>U3/'סכום נכסים'!$B$30</f>
        <v>3.1974981566344307E-3</v>
      </c>
    </row>
    <row r="4" spans="1:24" x14ac:dyDescent="0.3">
      <c r="A4">
        <v>13908</v>
      </c>
      <c r="B4">
        <v>13908</v>
      </c>
      <c r="C4" t="s">
        <v>2128</v>
      </c>
      <c r="D4">
        <v>520034695</v>
      </c>
      <c r="E4" t="s">
        <v>420</v>
      </c>
      <c r="F4" t="s">
        <v>2129</v>
      </c>
      <c r="G4" t="s">
        <v>2130</v>
      </c>
      <c r="H4" t="s">
        <v>75</v>
      </c>
      <c r="I4" t="s">
        <v>72</v>
      </c>
      <c r="J4" t="s">
        <v>52</v>
      </c>
      <c r="K4" t="s">
        <v>52</v>
      </c>
      <c r="L4" t="s">
        <v>775</v>
      </c>
      <c r="M4" t="s">
        <v>303</v>
      </c>
      <c r="N4" t="s">
        <v>1210</v>
      </c>
      <c r="O4" t="s">
        <v>61</v>
      </c>
      <c r="P4" t="s">
        <v>1258</v>
      </c>
      <c r="Q4" s="124">
        <v>196974</v>
      </c>
      <c r="R4" s="124">
        <v>1</v>
      </c>
      <c r="S4" s="124">
        <v>5681</v>
      </c>
      <c r="T4" s="124">
        <v>0</v>
      </c>
      <c r="U4" s="124">
        <v>11190.09294</v>
      </c>
      <c r="V4" s="125">
        <v>2.6744802570000002E-3</v>
      </c>
      <c r="W4" s="125">
        <v>1.06255004E-2</v>
      </c>
      <c r="X4" s="125">
        <f>U4/'סכום נכסים'!$B$30</f>
        <v>2.0146566187059663E-3</v>
      </c>
    </row>
    <row r="5" spans="1:24" x14ac:dyDescent="0.3">
      <c r="A5">
        <v>13908</v>
      </c>
      <c r="B5">
        <v>13908</v>
      </c>
      <c r="C5" t="s">
        <v>1664</v>
      </c>
      <c r="D5">
        <v>520036120</v>
      </c>
      <c r="E5" t="s">
        <v>420</v>
      </c>
      <c r="F5" t="s">
        <v>2131</v>
      </c>
      <c r="G5" t="s">
        <v>2132</v>
      </c>
      <c r="H5" t="s">
        <v>75</v>
      </c>
      <c r="I5" t="s">
        <v>72</v>
      </c>
      <c r="J5" t="s">
        <v>52</v>
      </c>
      <c r="K5" t="s">
        <v>52</v>
      </c>
      <c r="L5" t="s">
        <v>775</v>
      </c>
      <c r="M5" t="s">
        <v>303</v>
      </c>
      <c r="N5" t="s">
        <v>262</v>
      </c>
      <c r="O5" t="s">
        <v>61</v>
      </c>
      <c r="P5" t="s">
        <v>1258</v>
      </c>
      <c r="Q5" s="124">
        <v>124630</v>
      </c>
      <c r="R5" s="124">
        <v>1</v>
      </c>
      <c r="S5" s="124">
        <v>22840</v>
      </c>
      <c r="T5" s="124">
        <v>0</v>
      </c>
      <c r="U5" s="124">
        <v>28465.491999999998</v>
      </c>
      <c r="V5" s="125">
        <v>1.5330094900000001E-3</v>
      </c>
      <c r="W5" s="125">
        <v>2.7029274757E-2</v>
      </c>
      <c r="X5" s="125">
        <f>U5/'סכום נכסים'!$B$30</f>
        <v>5.124907556176359E-3</v>
      </c>
    </row>
    <row r="6" spans="1:24" x14ac:dyDescent="0.3">
      <c r="A6">
        <v>13908</v>
      </c>
      <c r="B6">
        <v>13908</v>
      </c>
      <c r="C6" t="s">
        <v>1807</v>
      </c>
      <c r="D6">
        <v>520024126</v>
      </c>
      <c r="E6" t="s">
        <v>420</v>
      </c>
      <c r="F6" t="s">
        <v>2133</v>
      </c>
      <c r="G6" t="s">
        <v>2134</v>
      </c>
      <c r="H6" t="s">
        <v>75</v>
      </c>
      <c r="I6" t="s">
        <v>72</v>
      </c>
      <c r="J6" t="s">
        <v>52</v>
      </c>
      <c r="K6" t="s">
        <v>52</v>
      </c>
      <c r="L6" t="s">
        <v>775</v>
      </c>
      <c r="M6" t="s">
        <v>303</v>
      </c>
      <c r="N6" t="s">
        <v>620</v>
      </c>
      <c r="O6" t="s">
        <v>61</v>
      </c>
      <c r="P6" t="s">
        <v>1258</v>
      </c>
      <c r="Q6" s="124">
        <v>390542</v>
      </c>
      <c r="R6" s="124">
        <v>1</v>
      </c>
      <c r="S6" s="124">
        <v>1300</v>
      </c>
      <c r="T6" s="124">
        <v>0</v>
      </c>
      <c r="U6" s="124">
        <v>5077.0460000000003</v>
      </c>
      <c r="V6" s="125">
        <v>5.3951459700000005E-4</v>
      </c>
      <c r="W6" s="125">
        <v>4.8208852769999998E-3</v>
      </c>
      <c r="X6" s="125">
        <f>U6/'סכום נכסים'!$B$30</f>
        <v>9.1406786183266954E-4</v>
      </c>
    </row>
    <row r="7" spans="1:24" x14ac:dyDescent="0.3">
      <c r="A7">
        <v>13908</v>
      </c>
      <c r="B7">
        <v>13908</v>
      </c>
      <c r="C7" t="s">
        <v>1924</v>
      </c>
      <c r="D7">
        <v>520031931</v>
      </c>
      <c r="E7" t="s">
        <v>420</v>
      </c>
      <c r="F7" t="s">
        <v>2135</v>
      </c>
      <c r="G7" t="s">
        <v>2136</v>
      </c>
      <c r="H7" t="s">
        <v>75</v>
      </c>
      <c r="I7" t="s">
        <v>72</v>
      </c>
      <c r="J7" t="s">
        <v>52</v>
      </c>
      <c r="K7" t="s">
        <v>52</v>
      </c>
      <c r="L7" t="s">
        <v>775</v>
      </c>
      <c r="M7" t="s">
        <v>303</v>
      </c>
      <c r="N7" t="s">
        <v>253</v>
      </c>
      <c r="O7" t="s">
        <v>61</v>
      </c>
      <c r="P7" t="s">
        <v>1258</v>
      </c>
      <c r="Q7" s="124">
        <v>2948142</v>
      </c>
      <c r="R7" s="124">
        <v>1</v>
      </c>
      <c r="S7" s="124">
        <v>702.7</v>
      </c>
      <c r="T7" s="124">
        <v>0</v>
      </c>
      <c r="U7" s="124">
        <v>20716.593830000002</v>
      </c>
      <c r="V7" s="125">
        <v>1.068532664E-3</v>
      </c>
      <c r="W7" s="125">
        <v>1.9671344752000001E-2</v>
      </c>
      <c r="X7" s="125">
        <f>U7/'סכום נכסים'!$B$30</f>
        <v>3.7298012715748438E-3</v>
      </c>
    </row>
    <row r="8" spans="1:24" x14ac:dyDescent="0.3">
      <c r="A8">
        <v>13908</v>
      </c>
      <c r="B8">
        <v>13908</v>
      </c>
      <c r="C8" t="s">
        <v>2137</v>
      </c>
      <c r="D8">
        <v>550010003</v>
      </c>
      <c r="E8" t="s">
        <v>420</v>
      </c>
      <c r="F8" t="s">
        <v>2138</v>
      </c>
      <c r="G8" t="s">
        <v>2139</v>
      </c>
      <c r="H8" t="s">
        <v>75</v>
      </c>
      <c r="I8" t="s">
        <v>448</v>
      </c>
      <c r="J8" t="s">
        <v>52</v>
      </c>
      <c r="K8" t="s">
        <v>52</v>
      </c>
      <c r="L8" t="s">
        <v>775</v>
      </c>
      <c r="M8" t="s">
        <v>303</v>
      </c>
      <c r="N8" t="s">
        <v>260</v>
      </c>
      <c r="O8" t="s">
        <v>61</v>
      </c>
      <c r="P8" t="s">
        <v>1258</v>
      </c>
      <c r="Q8" s="124">
        <v>667292</v>
      </c>
      <c r="R8" s="124">
        <v>1</v>
      </c>
      <c r="S8" s="124">
        <v>187</v>
      </c>
      <c r="T8" s="124">
        <v>0</v>
      </c>
      <c r="U8" s="124">
        <v>1247.8360399999999</v>
      </c>
      <c r="V8" s="125">
        <v>2.56338923E-4</v>
      </c>
      <c r="W8" s="125">
        <v>1.184876874E-3</v>
      </c>
      <c r="X8" s="125">
        <f>U8/'סכום נכסים'!$B$30</f>
        <v>2.2465954041002296E-4</v>
      </c>
    </row>
    <row r="9" spans="1:24" x14ac:dyDescent="0.3">
      <c r="A9">
        <v>13908</v>
      </c>
      <c r="B9">
        <v>13908</v>
      </c>
      <c r="C9" t="s">
        <v>1756</v>
      </c>
      <c r="D9">
        <v>520036690</v>
      </c>
      <c r="E9" t="s">
        <v>420</v>
      </c>
      <c r="F9" t="s">
        <v>2140</v>
      </c>
      <c r="G9" t="s">
        <v>2141</v>
      </c>
      <c r="H9" t="s">
        <v>75</v>
      </c>
      <c r="I9" t="s">
        <v>72</v>
      </c>
      <c r="J9" t="s">
        <v>52</v>
      </c>
      <c r="K9" t="s">
        <v>52</v>
      </c>
      <c r="L9" t="s">
        <v>775</v>
      </c>
      <c r="M9" t="s">
        <v>303</v>
      </c>
      <c r="N9" t="s">
        <v>1210</v>
      </c>
      <c r="O9" t="s">
        <v>61</v>
      </c>
      <c r="P9" t="s">
        <v>1258</v>
      </c>
      <c r="Q9" s="124">
        <v>3100</v>
      </c>
      <c r="R9" s="124">
        <v>1</v>
      </c>
      <c r="S9" s="124">
        <v>30990</v>
      </c>
      <c r="T9" s="124">
        <v>0</v>
      </c>
      <c r="U9" s="124">
        <v>960.69</v>
      </c>
      <c r="V9" s="125">
        <v>2.0215632900000001E-4</v>
      </c>
      <c r="W9" s="125">
        <v>9.1221869499999995E-4</v>
      </c>
      <c r="X9" s="125">
        <f>U9/'סכום נכסים'!$B$30</f>
        <v>1.7296196532078442E-4</v>
      </c>
    </row>
    <row r="10" spans="1:24" x14ac:dyDescent="0.3">
      <c r="A10">
        <v>13908</v>
      </c>
      <c r="B10">
        <v>13908</v>
      </c>
      <c r="C10" t="s">
        <v>2142</v>
      </c>
      <c r="D10">
        <v>520036872</v>
      </c>
      <c r="E10" t="s">
        <v>420</v>
      </c>
      <c r="F10" t="s">
        <v>2143</v>
      </c>
      <c r="G10" t="s">
        <v>2144</v>
      </c>
      <c r="H10" t="s">
        <v>75</v>
      </c>
      <c r="I10" t="s">
        <v>72</v>
      </c>
      <c r="J10" t="s">
        <v>52</v>
      </c>
      <c r="K10" t="s">
        <v>52</v>
      </c>
      <c r="L10" t="s">
        <v>775</v>
      </c>
      <c r="M10" t="s">
        <v>303</v>
      </c>
      <c r="N10" t="s">
        <v>248</v>
      </c>
      <c r="O10" t="s">
        <v>61</v>
      </c>
      <c r="P10" t="s">
        <v>1258</v>
      </c>
      <c r="Q10" s="124">
        <v>16810</v>
      </c>
      <c r="R10" s="124">
        <v>1</v>
      </c>
      <c r="S10" s="124">
        <v>26760</v>
      </c>
      <c r="T10" s="124">
        <v>0</v>
      </c>
      <c r="U10" s="124">
        <v>4498.3559999999998</v>
      </c>
      <c r="V10" s="125">
        <v>2.8687383400000002E-4</v>
      </c>
      <c r="W10" s="125">
        <v>4.2713928950000001E-3</v>
      </c>
      <c r="X10" s="125">
        <f>U10/'סכום נכסים'!$B$30</f>
        <v>8.0988091316922472E-4</v>
      </c>
    </row>
    <row r="11" spans="1:24" x14ac:dyDescent="0.3">
      <c r="A11">
        <v>13908</v>
      </c>
      <c r="B11">
        <v>13908</v>
      </c>
      <c r="C11" t="s">
        <v>2145</v>
      </c>
      <c r="D11">
        <v>520027830</v>
      </c>
      <c r="E11" t="s">
        <v>420</v>
      </c>
      <c r="F11" t="s">
        <v>2146</v>
      </c>
      <c r="G11" t="s">
        <v>2147</v>
      </c>
      <c r="H11" t="s">
        <v>75</v>
      </c>
      <c r="I11" t="s">
        <v>72</v>
      </c>
      <c r="J11" t="s">
        <v>52</v>
      </c>
      <c r="K11" t="s">
        <v>52</v>
      </c>
      <c r="L11" t="s">
        <v>775</v>
      </c>
      <c r="M11" t="s">
        <v>303</v>
      </c>
      <c r="N11" t="s">
        <v>258</v>
      </c>
      <c r="O11" t="s">
        <v>61</v>
      </c>
      <c r="P11" t="s">
        <v>1258</v>
      </c>
      <c r="Q11" s="124">
        <v>501190</v>
      </c>
      <c r="R11" s="124">
        <v>1</v>
      </c>
      <c r="S11" s="124">
        <v>1494</v>
      </c>
      <c r="T11" s="124">
        <v>0</v>
      </c>
      <c r="U11" s="124">
        <v>7487.7785999999996</v>
      </c>
      <c r="V11" s="125">
        <v>3.8830314500000002E-4</v>
      </c>
      <c r="W11" s="125">
        <v>7.109985139E-3</v>
      </c>
      <c r="X11" s="125">
        <f>U11/'סכום נכסים'!$B$30</f>
        <v>1.348094497228983E-3</v>
      </c>
    </row>
    <row r="12" spans="1:24" x14ac:dyDescent="0.3">
      <c r="A12">
        <v>13908</v>
      </c>
      <c r="B12">
        <v>13908</v>
      </c>
      <c r="C12" t="s">
        <v>2148</v>
      </c>
      <c r="D12">
        <v>520037425</v>
      </c>
      <c r="E12" t="s">
        <v>420</v>
      </c>
      <c r="F12" t="s">
        <v>2149</v>
      </c>
      <c r="G12" t="s">
        <v>2150</v>
      </c>
      <c r="H12" t="s">
        <v>75</v>
      </c>
      <c r="I12" t="s">
        <v>72</v>
      </c>
      <c r="J12" t="s">
        <v>52</v>
      </c>
      <c r="K12" t="s">
        <v>52</v>
      </c>
      <c r="L12" t="s">
        <v>775</v>
      </c>
      <c r="M12" t="s">
        <v>303</v>
      </c>
      <c r="N12" t="s">
        <v>74</v>
      </c>
      <c r="O12" t="s">
        <v>61</v>
      </c>
      <c r="P12" t="s">
        <v>1258</v>
      </c>
      <c r="Q12" s="124">
        <v>20000</v>
      </c>
      <c r="R12" s="124">
        <v>1</v>
      </c>
      <c r="S12" s="124">
        <v>28200</v>
      </c>
      <c r="T12" s="124">
        <v>0</v>
      </c>
      <c r="U12" s="124">
        <v>5640</v>
      </c>
      <c r="V12" s="125">
        <v>1.511456919E-3</v>
      </c>
      <c r="W12" s="125">
        <v>5.3554356139999997E-3</v>
      </c>
      <c r="X12" s="125">
        <f>U12/'סכום נכסים'!$B$30</f>
        <v>1.0154217119041774E-3</v>
      </c>
    </row>
    <row r="13" spans="1:24" x14ac:dyDescent="0.3">
      <c r="A13">
        <v>13908</v>
      </c>
      <c r="B13">
        <v>13908</v>
      </c>
      <c r="C13" t="s">
        <v>2151</v>
      </c>
      <c r="D13">
        <v>520037581</v>
      </c>
      <c r="E13" t="s">
        <v>420</v>
      </c>
      <c r="F13" t="s">
        <v>2152</v>
      </c>
      <c r="G13" t="s">
        <v>2153</v>
      </c>
      <c r="H13" t="s">
        <v>75</v>
      </c>
      <c r="I13" t="s">
        <v>72</v>
      </c>
      <c r="J13" t="s">
        <v>52</v>
      </c>
      <c r="K13" t="s">
        <v>52</v>
      </c>
      <c r="L13" t="s">
        <v>775</v>
      </c>
      <c r="M13" t="s">
        <v>303</v>
      </c>
      <c r="N13" t="s">
        <v>256</v>
      </c>
      <c r="O13" t="s">
        <v>61</v>
      </c>
      <c r="P13" t="s">
        <v>1258</v>
      </c>
      <c r="Q13" s="124">
        <v>1047</v>
      </c>
      <c r="R13" s="124">
        <v>1</v>
      </c>
      <c r="S13" s="124">
        <v>8351</v>
      </c>
      <c r="T13" s="124">
        <v>0</v>
      </c>
      <c r="U13" s="124">
        <v>87.434970000000007</v>
      </c>
      <c r="V13" s="125">
        <v>4.1312265366949403E-5</v>
      </c>
      <c r="W13" s="125">
        <v>8.3023466714558799E-5</v>
      </c>
      <c r="X13" s="125">
        <f>U13/'סכום נכסים'!$B$30</f>
        <v>1.574173172299475E-5</v>
      </c>
    </row>
    <row r="14" spans="1:24" x14ac:dyDescent="0.3">
      <c r="A14">
        <v>13908</v>
      </c>
      <c r="B14">
        <v>13908</v>
      </c>
      <c r="C14" t="s">
        <v>2151</v>
      </c>
      <c r="D14">
        <v>520037581</v>
      </c>
      <c r="E14" t="s">
        <v>420</v>
      </c>
      <c r="F14" t="s">
        <v>2154</v>
      </c>
      <c r="G14" t="s">
        <v>2153</v>
      </c>
      <c r="H14" t="s">
        <v>75</v>
      </c>
      <c r="I14" t="s">
        <v>72</v>
      </c>
      <c r="J14" t="s">
        <v>52</v>
      </c>
      <c r="K14" t="s">
        <v>52</v>
      </c>
      <c r="L14" t="s">
        <v>53</v>
      </c>
      <c r="M14" t="s">
        <v>303</v>
      </c>
      <c r="N14" t="s">
        <v>256</v>
      </c>
      <c r="O14" t="s">
        <v>61</v>
      </c>
      <c r="P14" t="s">
        <v>1258</v>
      </c>
      <c r="Q14" s="124">
        <v>25000</v>
      </c>
      <c r="R14" s="124">
        <v>1</v>
      </c>
      <c r="S14" s="124">
        <v>8142.1049999999996</v>
      </c>
      <c r="T14" s="124">
        <v>0</v>
      </c>
      <c r="U14" s="124">
        <v>2035.5262499999999</v>
      </c>
      <c r="V14" s="125">
        <v>9.8644377599999998E-4</v>
      </c>
      <c r="W14" s="125">
        <v>1.9328244269999999E-3</v>
      </c>
      <c r="X14" s="125">
        <f>U14/'סכום נכסים'!$B$30</f>
        <v>3.6647474280157631E-4</v>
      </c>
    </row>
    <row r="15" spans="1:24" x14ac:dyDescent="0.3">
      <c r="A15">
        <v>13908</v>
      </c>
      <c r="B15">
        <v>13908</v>
      </c>
      <c r="C15" t="s">
        <v>1608</v>
      </c>
      <c r="D15">
        <v>520037789</v>
      </c>
      <c r="E15" t="s">
        <v>420</v>
      </c>
      <c r="F15" t="s">
        <v>2155</v>
      </c>
      <c r="G15" t="s">
        <v>2156</v>
      </c>
      <c r="H15" t="s">
        <v>75</v>
      </c>
      <c r="I15" t="s">
        <v>72</v>
      </c>
      <c r="J15" t="s">
        <v>52</v>
      </c>
      <c r="K15" t="s">
        <v>52</v>
      </c>
      <c r="L15" t="s">
        <v>775</v>
      </c>
      <c r="M15" t="s">
        <v>303</v>
      </c>
      <c r="N15" t="s">
        <v>620</v>
      </c>
      <c r="O15" t="s">
        <v>61</v>
      </c>
      <c r="P15" t="s">
        <v>1258</v>
      </c>
      <c r="Q15" s="124">
        <v>19576</v>
      </c>
      <c r="R15" s="124">
        <v>1</v>
      </c>
      <c r="S15" s="124">
        <v>41770</v>
      </c>
      <c r="T15" s="124">
        <v>0</v>
      </c>
      <c r="U15" s="124">
        <v>8176.8951999999999</v>
      </c>
      <c r="V15" s="125">
        <v>4.1038829900000003E-4</v>
      </c>
      <c r="W15" s="125">
        <v>7.7643325830000004E-3</v>
      </c>
      <c r="X15" s="125">
        <f>U15/'סכום נכסים'!$B$30</f>
        <v>1.4721625748306828E-3</v>
      </c>
    </row>
    <row r="16" spans="1:24" x14ac:dyDescent="0.3">
      <c r="A16">
        <v>13908</v>
      </c>
      <c r="B16">
        <v>13908</v>
      </c>
      <c r="C16" t="s">
        <v>1828</v>
      </c>
      <c r="D16">
        <v>520037797</v>
      </c>
      <c r="E16" t="s">
        <v>420</v>
      </c>
      <c r="F16" t="s">
        <v>2157</v>
      </c>
      <c r="G16" t="s">
        <v>2158</v>
      </c>
      <c r="H16" t="s">
        <v>75</v>
      </c>
      <c r="I16" t="s">
        <v>72</v>
      </c>
      <c r="J16" t="s">
        <v>52</v>
      </c>
      <c r="K16" t="s">
        <v>52</v>
      </c>
      <c r="L16" t="s">
        <v>775</v>
      </c>
      <c r="M16" t="s">
        <v>303</v>
      </c>
      <c r="N16" t="s">
        <v>249</v>
      </c>
      <c r="O16" t="s">
        <v>61</v>
      </c>
      <c r="P16" t="s">
        <v>1258</v>
      </c>
      <c r="Q16" s="124">
        <v>6900</v>
      </c>
      <c r="R16" s="124">
        <v>1</v>
      </c>
      <c r="S16" s="124">
        <v>31060</v>
      </c>
      <c r="T16" s="124">
        <v>0</v>
      </c>
      <c r="U16" s="124">
        <v>2143.14</v>
      </c>
      <c r="V16" s="125">
        <v>5.8189236900000002E-4</v>
      </c>
      <c r="W16" s="125">
        <v>2.03500856E-3</v>
      </c>
      <c r="X16" s="125">
        <f>U16/'סכום נכסים'!$B$30</f>
        <v>3.858494481649501E-4</v>
      </c>
    </row>
    <row r="17" spans="1:24" x14ac:dyDescent="0.3">
      <c r="A17">
        <v>13908</v>
      </c>
      <c r="B17">
        <v>13908</v>
      </c>
      <c r="C17" t="s">
        <v>1591</v>
      </c>
      <c r="D17">
        <v>520038274</v>
      </c>
      <c r="E17" t="s">
        <v>420</v>
      </c>
      <c r="F17" t="s">
        <v>2159</v>
      </c>
      <c r="G17" t="s">
        <v>2160</v>
      </c>
      <c r="H17" t="s">
        <v>75</v>
      </c>
      <c r="I17" t="s">
        <v>72</v>
      </c>
      <c r="J17" t="s">
        <v>52</v>
      </c>
      <c r="K17" t="s">
        <v>52</v>
      </c>
      <c r="L17" t="s">
        <v>775</v>
      </c>
      <c r="M17" t="s">
        <v>303</v>
      </c>
      <c r="N17" t="s">
        <v>138</v>
      </c>
      <c r="O17" t="s">
        <v>61</v>
      </c>
      <c r="P17" t="s">
        <v>1258</v>
      </c>
      <c r="Q17" s="124">
        <v>142359</v>
      </c>
      <c r="R17" s="124">
        <v>1</v>
      </c>
      <c r="S17" s="124">
        <v>1841</v>
      </c>
      <c r="T17" s="124">
        <v>0</v>
      </c>
      <c r="U17" s="124">
        <v>2620.8291899999999</v>
      </c>
      <c r="V17" s="125">
        <v>4.9949167800000002E-4</v>
      </c>
      <c r="W17" s="125">
        <v>2.4885960960000001E-3</v>
      </c>
      <c r="X17" s="125">
        <f>U17/'סכום נכסים'!$B$30</f>
        <v>4.7185228062380114E-4</v>
      </c>
    </row>
    <row r="18" spans="1:24" x14ac:dyDescent="0.3">
      <c r="A18">
        <v>13908</v>
      </c>
      <c r="B18">
        <v>13908</v>
      </c>
      <c r="C18" t="s">
        <v>2161</v>
      </c>
      <c r="D18">
        <v>520038530</v>
      </c>
      <c r="E18" t="s">
        <v>420</v>
      </c>
      <c r="F18" t="s">
        <v>2162</v>
      </c>
      <c r="G18" t="s">
        <v>2163</v>
      </c>
      <c r="H18" t="s">
        <v>75</v>
      </c>
      <c r="I18" t="s">
        <v>72</v>
      </c>
      <c r="J18" t="s">
        <v>52</v>
      </c>
      <c r="K18" t="s">
        <v>52</v>
      </c>
      <c r="L18" t="s">
        <v>775</v>
      </c>
      <c r="M18" t="s">
        <v>303</v>
      </c>
      <c r="N18" t="s">
        <v>256</v>
      </c>
      <c r="O18" t="s">
        <v>61</v>
      </c>
      <c r="P18" t="s">
        <v>1258</v>
      </c>
      <c r="Q18" s="124">
        <v>18268</v>
      </c>
      <c r="R18" s="124">
        <v>1</v>
      </c>
      <c r="S18" s="124">
        <v>1592</v>
      </c>
      <c r="T18" s="124">
        <v>0</v>
      </c>
      <c r="U18" s="124">
        <v>290.82655999999997</v>
      </c>
      <c r="V18" s="125">
        <v>4.9852856499999995E-4</v>
      </c>
      <c r="W18" s="125">
        <v>2.7615299900000001E-4</v>
      </c>
      <c r="X18" s="125">
        <f>U18/'סכום נכסים'!$B$30</f>
        <v>5.2360213372766477E-5</v>
      </c>
    </row>
    <row r="19" spans="1:24" x14ac:dyDescent="0.3">
      <c r="A19">
        <v>13908</v>
      </c>
      <c r="B19">
        <v>13908</v>
      </c>
      <c r="C19" t="s">
        <v>2164</v>
      </c>
      <c r="D19">
        <v>520038894</v>
      </c>
      <c r="E19" t="s">
        <v>420</v>
      </c>
      <c r="F19" t="s">
        <v>2165</v>
      </c>
      <c r="G19" t="s">
        <v>2166</v>
      </c>
      <c r="H19" t="s">
        <v>75</v>
      </c>
      <c r="I19" t="s">
        <v>72</v>
      </c>
      <c r="J19" t="s">
        <v>52</v>
      </c>
      <c r="K19" t="s">
        <v>52</v>
      </c>
      <c r="L19" t="s">
        <v>775</v>
      </c>
      <c r="M19" t="s">
        <v>303</v>
      </c>
      <c r="N19" t="s">
        <v>621</v>
      </c>
      <c r="O19" t="s">
        <v>61</v>
      </c>
      <c r="P19" t="s">
        <v>1258</v>
      </c>
      <c r="Q19" s="124">
        <v>10200</v>
      </c>
      <c r="R19" s="124">
        <v>1</v>
      </c>
      <c r="S19" s="124">
        <v>26960</v>
      </c>
      <c r="T19" s="124">
        <v>0</v>
      </c>
      <c r="U19" s="124">
        <v>2749.92</v>
      </c>
      <c r="V19" s="125">
        <v>4.9506132599999998E-4</v>
      </c>
      <c r="W19" s="125">
        <v>2.61117367E-3</v>
      </c>
      <c r="X19" s="125">
        <f>U19/'סכום נכסים'!$B$30</f>
        <v>4.9509370106374747E-4</v>
      </c>
    </row>
    <row r="20" spans="1:24" ht="15" x14ac:dyDescent="0.25">
      <c r="A20">
        <v>13908</v>
      </c>
      <c r="B20">
        <v>13908</v>
      </c>
      <c r="C20" t="s">
        <v>2167</v>
      </c>
      <c r="D20">
        <v>550012777</v>
      </c>
      <c r="E20" t="s">
        <v>420</v>
      </c>
      <c r="F20" t="s">
        <v>2168</v>
      </c>
      <c r="G20" t="s">
        <v>2169</v>
      </c>
      <c r="H20" t="s">
        <v>75</v>
      </c>
      <c r="I20" t="s">
        <v>448</v>
      </c>
      <c r="J20" t="s">
        <v>52</v>
      </c>
      <c r="K20" t="s">
        <v>52</v>
      </c>
      <c r="L20" t="s">
        <v>775</v>
      </c>
      <c r="M20" t="s">
        <v>303</v>
      </c>
      <c r="N20" t="s">
        <v>260</v>
      </c>
      <c r="O20" t="s">
        <v>61</v>
      </c>
      <c r="P20" t="s">
        <v>1258</v>
      </c>
      <c r="Q20" s="124">
        <v>338850</v>
      </c>
      <c r="R20" s="124">
        <v>1</v>
      </c>
      <c r="S20" s="124">
        <v>430</v>
      </c>
      <c r="T20" s="124">
        <v>0</v>
      </c>
      <c r="U20" s="124">
        <v>1457.0550000000001</v>
      </c>
      <c r="V20" s="125">
        <v>3.0150253500000002E-4</v>
      </c>
      <c r="W20" s="125">
        <v>1.383539758E-3</v>
      </c>
      <c r="X20" s="125">
        <f>U20/'סכום נכסים'!$B$30</f>
        <v>2.6232717773732998E-4</v>
      </c>
    </row>
    <row r="21" spans="1:24" ht="15" x14ac:dyDescent="0.25">
      <c r="A21">
        <v>13908</v>
      </c>
      <c r="B21">
        <v>13908</v>
      </c>
      <c r="C21" t="s">
        <v>1602</v>
      </c>
      <c r="D21">
        <v>520038910</v>
      </c>
      <c r="E21" t="s">
        <v>420</v>
      </c>
      <c r="F21" t="s">
        <v>2170</v>
      </c>
      <c r="G21" t="s">
        <v>2171</v>
      </c>
      <c r="H21" t="s">
        <v>75</v>
      </c>
      <c r="I21" t="s">
        <v>72</v>
      </c>
      <c r="J21" t="s">
        <v>52</v>
      </c>
      <c r="K21" t="s">
        <v>52</v>
      </c>
      <c r="L21" t="s">
        <v>775</v>
      </c>
      <c r="M21" t="s">
        <v>303</v>
      </c>
      <c r="N21" t="s">
        <v>620</v>
      </c>
      <c r="O21" t="s">
        <v>61</v>
      </c>
      <c r="P21" t="s">
        <v>1258</v>
      </c>
      <c r="Q21" s="124">
        <v>5700</v>
      </c>
      <c r="R21" s="124">
        <v>1</v>
      </c>
      <c r="S21" s="124">
        <v>17810</v>
      </c>
      <c r="T21" s="124">
        <v>0</v>
      </c>
      <c r="U21" s="124">
        <v>1015.17</v>
      </c>
      <c r="V21" s="125">
        <v>3.2358630800000002E-4</v>
      </c>
      <c r="W21" s="125">
        <v>9.6394992399999996E-4</v>
      </c>
      <c r="X21" s="125">
        <f>U21/'סכום נכסים'!$B$30</f>
        <v>1.8277050696343327E-4</v>
      </c>
    </row>
    <row r="22" spans="1:24" ht="15" x14ac:dyDescent="0.25">
      <c r="A22">
        <v>13908</v>
      </c>
      <c r="B22">
        <v>13908</v>
      </c>
      <c r="C22" t="s">
        <v>2172</v>
      </c>
      <c r="D22">
        <v>520039413</v>
      </c>
      <c r="E22" t="s">
        <v>420</v>
      </c>
      <c r="F22" t="s">
        <v>2173</v>
      </c>
      <c r="G22" t="s">
        <v>2174</v>
      </c>
      <c r="H22" t="s">
        <v>75</v>
      </c>
      <c r="I22" t="s">
        <v>72</v>
      </c>
      <c r="J22" t="s">
        <v>52</v>
      </c>
      <c r="K22" t="s">
        <v>52</v>
      </c>
      <c r="L22" t="s">
        <v>775</v>
      </c>
      <c r="M22" t="s">
        <v>303</v>
      </c>
      <c r="N22" t="s">
        <v>1210</v>
      </c>
      <c r="O22" t="s">
        <v>61</v>
      </c>
      <c r="P22" t="s">
        <v>1258</v>
      </c>
      <c r="Q22" s="124">
        <v>25672</v>
      </c>
      <c r="R22" s="124">
        <v>1</v>
      </c>
      <c r="S22" s="124">
        <v>7558</v>
      </c>
      <c r="T22" s="124">
        <v>24.90184</v>
      </c>
      <c r="U22" s="124">
        <v>1965.1916000000001</v>
      </c>
      <c r="V22" s="125">
        <v>2.7742056099999999E-4</v>
      </c>
      <c r="W22" s="125">
        <v>1.866038489E-3</v>
      </c>
      <c r="X22" s="125">
        <f>U22/'סכום נכסים'!$B$30</f>
        <v>3.5381174090278535E-4</v>
      </c>
    </row>
    <row r="23" spans="1:24" ht="15" x14ac:dyDescent="0.25">
      <c r="A23">
        <v>13908</v>
      </c>
      <c r="B23">
        <v>13908</v>
      </c>
      <c r="C23" t="s">
        <v>1718</v>
      </c>
      <c r="D23">
        <v>520039660</v>
      </c>
      <c r="E23" t="s">
        <v>420</v>
      </c>
      <c r="F23" t="s">
        <v>2175</v>
      </c>
      <c r="G23" t="s">
        <v>2176</v>
      </c>
      <c r="H23" t="s">
        <v>75</v>
      </c>
      <c r="I23" t="s">
        <v>72</v>
      </c>
      <c r="J23" t="s">
        <v>52</v>
      </c>
      <c r="K23" t="s">
        <v>52</v>
      </c>
      <c r="L23" t="s">
        <v>775</v>
      </c>
      <c r="M23" t="s">
        <v>303</v>
      </c>
      <c r="N23" t="s">
        <v>138</v>
      </c>
      <c r="O23" t="s">
        <v>61</v>
      </c>
      <c r="P23" t="s">
        <v>1258</v>
      </c>
      <c r="Q23" s="124">
        <v>105000</v>
      </c>
      <c r="R23" s="124">
        <v>1</v>
      </c>
      <c r="S23" s="124">
        <v>533.5</v>
      </c>
      <c r="T23" s="124">
        <v>0</v>
      </c>
      <c r="U23" s="124">
        <v>560.17499999999995</v>
      </c>
      <c r="V23" s="125">
        <v>2.39488982E-4</v>
      </c>
      <c r="W23" s="125">
        <v>5.3191155000000001E-4</v>
      </c>
      <c r="X23" s="125">
        <f>U23/'סכום נכסים'!$B$30</f>
        <v>1.0085352082729123E-4</v>
      </c>
    </row>
    <row r="24" spans="1:24" ht="15" x14ac:dyDescent="0.25">
      <c r="A24">
        <v>13908</v>
      </c>
      <c r="B24">
        <v>13908</v>
      </c>
      <c r="C24" t="s">
        <v>2177</v>
      </c>
      <c r="D24">
        <v>550013098</v>
      </c>
      <c r="E24" t="s">
        <v>420</v>
      </c>
      <c r="F24" t="s">
        <v>2178</v>
      </c>
      <c r="G24" t="s">
        <v>2179</v>
      </c>
      <c r="H24" t="s">
        <v>75</v>
      </c>
      <c r="I24" t="s">
        <v>448</v>
      </c>
      <c r="J24" t="s">
        <v>52</v>
      </c>
      <c r="K24" t="s">
        <v>52</v>
      </c>
      <c r="L24" t="s">
        <v>775</v>
      </c>
      <c r="M24" t="s">
        <v>303</v>
      </c>
      <c r="N24" t="s">
        <v>260</v>
      </c>
      <c r="O24" t="s">
        <v>61</v>
      </c>
      <c r="P24" t="s">
        <v>1258</v>
      </c>
      <c r="Q24" s="124">
        <v>351063</v>
      </c>
      <c r="R24" s="124">
        <v>1</v>
      </c>
      <c r="S24" s="124">
        <v>1560</v>
      </c>
      <c r="T24" s="124">
        <v>0</v>
      </c>
      <c r="U24" s="124">
        <v>5476.5828000000001</v>
      </c>
      <c r="V24" s="125">
        <v>2.9907872400000002E-4</v>
      </c>
      <c r="W24" s="125">
        <v>5.2002635760000004E-3</v>
      </c>
      <c r="X24" s="125">
        <f>U24/'סכום נכסים'!$B$30</f>
        <v>9.86000191872513E-4</v>
      </c>
    </row>
    <row r="25" spans="1:24" ht="15" x14ac:dyDescent="0.25">
      <c r="A25">
        <v>13908</v>
      </c>
      <c r="B25">
        <v>13908</v>
      </c>
      <c r="C25" t="s">
        <v>2180</v>
      </c>
      <c r="D25">
        <v>520040338</v>
      </c>
      <c r="E25" t="s">
        <v>420</v>
      </c>
      <c r="F25" t="s">
        <v>2181</v>
      </c>
      <c r="G25" t="s">
        <v>2182</v>
      </c>
      <c r="H25" t="s">
        <v>75</v>
      </c>
      <c r="I25" t="s">
        <v>72</v>
      </c>
      <c r="J25" t="s">
        <v>52</v>
      </c>
      <c r="K25" t="s">
        <v>52</v>
      </c>
      <c r="L25" t="s">
        <v>775</v>
      </c>
      <c r="M25" t="s">
        <v>303</v>
      </c>
      <c r="N25" t="s">
        <v>74</v>
      </c>
      <c r="O25" t="s">
        <v>61</v>
      </c>
      <c r="P25" t="s">
        <v>1258</v>
      </c>
      <c r="Q25" s="124">
        <v>845</v>
      </c>
      <c r="R25" s="124">
        <v>1</v>
      </c>
      <c r="S25" s="124">
        <v>4393</v>
      </c>
      <c r="T25" s="124">
        <v>0</v>
      </c>
      <c r="U25" s="124">
        <v>37.120849999999997</v>
      </c>
      <c r="V25" s="125">
        <v>1.7643150599999999E-4</v>
      </c>
      <c r="W25" s="125">
        <v>3.5247929454211902E-5</v>
      </c>
      <c r="X25" s="125">
        <f>U25/'סכום נכסים'!$B$30</f>
        <v>6.683212243676982E-6</v>
      </c>
    </row>
    <row r="26" spans="1:24" ht="15" x14ac:dyDescent="0.25">
      <c r="A26">
        <v>13908</v>
      </c>
      <c r="B26">
        <v>13908</v>
      </c>
      <c r="C26" t="s">
        <v>2183</v>
      </c>
      <c r="D26">
        <v>520007469</v>
      </c>
      <c r="E26" t="s">
        <v>420</v>
      </c>
      <c r="F26" t="s">
        <v>2184</v>
      </c>
      <c r="G26" t="s">
        <v>2185</v>
      </c>
      <c r="H26" t="s">
        <v>75</v>
      </c>
      <c r="I26" t="s">
        <v>72</v>
      </c>
      <c r="J26" t="s">
        <v>52</v>
      </c>
      <c r="K26" t="s">
        <v>52</v>
      </c>
      <c r="L26" t="s">
        <v>775</v>
      </c>
      <c r="M26" t="s">
        <v>303</v>
      </c>
      <c r="N26" t="s">
        <v>262</v>
      </c>
      <c r="O26" t="s">
        <v>61</v>
      </c>
      <c r="P26" t="s">
        <v>1258</v>
      </c>
      <c r="Q26" s="124">
        <v>12903</v>
      </c>
      <c r="R26" s="124">
        <v>1</v>
      </c>
      <c r="S26" s="124">
        <v>44680</v>
      </c>
      <c r="T26" s="124">
        <v>0</v>
      </c>
      <c r="U26" s="124">
        <v>5765.0604000000003</v>
      </c>
      <c r="V26" s="125">
        <v>2.0651156500000001E-4</v>
      </c>
      <c r="W26" s="125">
        <v>5.4741861320000001E-3</v>
      </c>
      <c r="X26" s="125">
        <f>U26/'סכום נכסים'!$B$30</f>
        <v>1.0379375001062024E-3</v>
      </c>
    </row>
    <row r="27" spans="1:24" ht="15" x14ac:dyDescent="0.25">
      <c r="A27">
        <v>13908</v>
      </c>
      <c r="B27">
        <v>13908</v>
      </c>
      <c r="C27" t="s">
        <v>1547</v>
      </c>
      <c r="D27">
        <v>520033424</v>
      </c>
      <c r="E27" t="s">
        <v>420</v>
      </c>
      <c r="F27" t="s">
        <v>2186</v>
      </c>
      <c r="G27" t="s">
        <v>2187</v>
      </c>
      <c r="H27" t="s">
        <v>75</v>
      </c>
      <c r="I27" t="s">
        <v>72</v>
      </c>
      <c r="J27" t="s">
        <v>52</v>
      </c>
      <c r="K27" t="s">
        <v>52</v>
      </c>
      <c r="L27" t="s">
        <v>775</v>
      </c>
      <c r="M27" t="s">
        <v>303</v>
      </c>
      <c r="N27" t="s">
        <v>138</v>
      </c>
      <c r="O27" t="s">
        <v>61</v>
      </c>
      <c r="P27" t="s">
        <v>1258</v>
      </c>
      <c r="Q27" s="124">
        <v>8000</v>
      </c>
      <c r="R27" s="124">
        <v>1</v>
      </c>
      <c r="S27" s="124">
        <v>44450</v>
      </c>
      <c r="T27" s="124">
        <v>0</v>
      </c>
      <c r="U27" s="124">
        <v>3556</v>
      </c>
      <c r="V27" s="125">
        <v>1.74737615E-3</v>
      </c>
      <c r="W27" s="125">
        <v>3.3765831630000001E-3</v>
      </c>
      <c r="X27" s="125">
        <f>U27/'סכום נכסים'!$B$30</f>
        <v>6.402197885693714E-4</v>
      </c>
    </row>
    <row r="28" spans="1:24" ht="15" x14ac:dyDescent="0.25">
      <c r="A28">
        <v>13908</v>
      </c>
      <c r="B28">
        <v>13908</v>
      </c>
      <c r="C28" t="s">
        <v>1967</v>
      </c>
      <c r="D28">
        <v>520033986</v>
      </c>
      <c r="E28" t="s">
        <v>420</v>
      </c>
      <c r="F28" t="s">
        <v>2188</v>
      </c>
      <c r="G28" t="s">
        <v>2189</v>
      </c>
      <c r="H28" t="s">
        <v>75</v>
      </c>
      <c r="I28" t="s">
        <v>72</v>
      </c>
      <c r="J28" t="s">
        <v>52</v>
      </c>
      <c r="K28" t="s">
        <v>52</v>
      </c>
      <c r="L28" t="s">
        <v>775</v>
      </c>
      <c r="M28" t="s">
        <v>303</v>
      </c>
      <c r="N28" t="s">
        <v>262</v>
      </c>
      <c r="O28" t="s">
        <v>61</v>
      </c>
      <c r="P28" t="s">
        <v>1258</v>
      </c>
      <c r="Q28" s="124">
        <v>99937</v>
      </c>
      <c r="R28" s="124">
        <v>1</v>
      </c>
      <c r="S28" s="124">
        <v>15660</v>
      </c>
      <c r="T28" s="124">
        <v>242.84691000000001</v>
      </c>
      <c r="U28" s="124">
        <v>15892.981110000001</v>
      </c>
      <c r="V28" s="125">
        <v>4.8604898700000001E-4</v>
      </c>
      <c r="W28" s="125">
        <v>1.5091105860000001E-2</v>
      </c>
      <c r="X28" s="125">
        <f>U28/'סכום נכסים'!$B$30</f>
        <v>2.8613613627618711E-3</v>
      </c>
    </row>
    <row r="29" spans="1:24" ht="15" x14ac:dyDescent="0.25">
      <c r="A29">
        <v>13908</v>
      </c>
      <c r="B29">
        <v>13908</v>
      </c>
      <c r="C29" t="s">
        <v>2190</v>
      </c>
      <c r="D29">
        <v>520033358</v>
      </c>
      <c r="E29" t="s">
        <v>420</v>
      </c>
      <c r="F29" t="s">
        <v>2191</v>
      </c>
      <c r="G29" t="s">
        <v>2192</v>
      </c>
      <c r="H29" t="s">
        <v>75</v>
      </c>
      <c r="I29" t="s">
        <v>72</v>
      </c>
      <c r="J29" t="s">
        <v>52</v>
      </c>
      <c r="K29" t="s">
        <v>52</v>
      </c>
      <c r="L29" t="s">
        <v>775</v>
      </c>
      <c r="M29" t="s">
        <v>303</v>
      </c>
      <c r="N29" t="s">
        <v>623</v>
      </c>
      <c r="O29" t="s">
        <v>61</v>
      </c>
      <c r="P29" t="s">
        <v>1258</v>
      </c>
      <c r="Q29" s="124">
        <v>101927</v>
      </c>
      <c r="R29" s="124">
        <v>1</v>
      </c>
      <c r="S29" s="124">
        <v>2750</v>
      </c>
      <c r="T29" s="124">
        <v>0</v>
      </c>
      <c r="U29" s="124">
        <v>2802.9924999999998</v>
      </c>
      <c r="V29" s="125">
        <v>1.001980653E-3</v>
      </c>
      <c r="W29" s="125">
        <v>2.6615684150000001E-3</v>
      </c>
      <c r="X29" s="125">
        <f>U29/'סכום נכסים'!$B$30</f>
        <v>5.0464883737669675E-4</v>
      </c>
    </row>
    <row r="30" spans="1:24" ht="15" x14ac:dyDescent="0.25">
      <c r="A30">
        <v>13908</v>
      </c>
      <c r="B30">
        <v>13908</v>
      </c>
      <c r="C30" t="s">
        <v>2193</v>
      </c>
      <c r="D30">
        <v>520029083</v>
      </c>
      <c r="E30" t="s">
        <v>420</v>
      </c>
      <c r="F30" t="s">
        <v>2194</v>
      </c>
      <c r="G30" t="s">
        <v>2195</v>
      </c>
      <c r="H30" t="s">
        <v>75</v>
      </c>
      <c r="I30" t="s">
        <v>72</v>
      </c>
      <c r="J30" t="s">
        <v>52</v>
      </c>
      <c r="K30" t="s">
        <v>52</v>
      </c>
      <c r="L30" t="s">
        <v>775</v>
      </c>
      <c r="M30" t="s">
        <v>303</v>
      </c>
      <c r="N30" t="s">
        <v>251</v>
      </c>
      <c r="O30" t="s">
        <v>61</v>
      </c>
      <c r="P30" t="s">
        <v>1258</v>
      </c>
      <c r="Q30" s="124">
        <v>62190</v>
      </c>
      <c r="R30" s="124">
        <v>1</v>
      </c>
      <c r="S30" s="124">
        <v>21090</v>
      </c>
      <c r="T30" s="124">
        <v>0</v>
      </c>
      <c r="U30" s="124">
        <v>13115.870999999999</v>
      </c>
      <c r="V30" s="125">
        <v>6.20057035E-4</v>
      </c>
      <c r="W30" s="125">
        <v>1.2454113947E-2</v>
      </c>
      <c r="X30" s="125">
        <f>U30/'סכום נכסים'!$B$30</f>
        <v>2.3613723730380059E-3</v>
      </c>
    </row>
    <row r="31" spans="1:24" ht="15" x14ac:dyDescent="0.25">
      <c r="A31">
        <v>13908</v>
      </c>
      <c r="B31">
        <v>13908</v>
      </c>
      <c r="C31" t="s">
        <v>1667</v>
      </c>
      <c r="D31">
        <v>520018078</v>
      </c>
      <c r="E31" t="s">
        <v>420</v>
      </c>
      <c r="F31" t="s">
        <v>2196</v>
      </c>
      <c r="G31" t="s">
        <v>2197</v>
      </c>
      <c r="H31" t="s">
        <v>75</v>
      </c>
      <c r="I31" t="s">
        <v>72</v>
      </c>
      <c r="J31" t="s">
        <v>52</v>
      </c>
      <c r="K31" t="s">
        <v>52</v>
      </c>
      <c r="L31" t="s">
        <v>775</v>
      </c>
      <c r="M31" t="s">
        <v>303</v>
      </c>
      <c r="N31" t="s">
        <v>251</v>
      </c>
      <c r="O31" t="s">
        <v>61</v>
      </c>
      <c r="P31" t="s">
        <v>1258</v>
      </c>
      <c r="Q31" s="124">
        <v>1304414</v>
      </c>
      <c r="R31" s="124">
        <v>1</v>
      </c>
      <c r="S31" s="124">
        <v>6653</v>
      </c>
      <c r="T31" s="124">
        <v>0</v>
      </c>
      <c r="U31" s="124">
        <v>86782.663419999997</v>
      </c>
      <c r="V31" s="125">
        <v>8.8639739999999995E-4</v>
      </c>
      <c r="W31" s="125">
        <v>8.2404072053000002E-2</v>
      </c>
      <c r="X31" s="125">
        <f>U31/'סכום נכסים'!$B$30</f>
        <v>1.5624290896017806E-2</v>
      </c>
    </row>
    <row r="32" spans="1:24" ht="15" x14ac:dyDescent="0.25">
      <c r="A32">
        <v>13908</v>
      </c>
      <c r="B32">
        <v>13908</v>
      </c>
      <c r="C32" t="s">
        <v>2198</v>
      </c>
      <c r="D32">
        <v>520013954</v>
      </c>
      <c r="E32" t="s">
        <v>420</v>
      </c>
      <c r="F32" t="s">
        <v>2199</v>
      </c>
      <c r="G32" t="s">
        <v>2200</v>
      </c>
      <c r="H32" t="s">
        <v>75</v>
      </c>
      <c r="I32" t="s">
        <v>72</v>
      </c>
      <c r="J32" t="s">
        <v>52</v>
      </c>
      <c r="K32" t="s">
        <v>52</v>
      </c>
      <c r="L32" t="s">
        <v>775</v>
      </c>
      <c r="M32" t="s">
        <v>303</v>
      </c>
      <c r="N32" t="s">
        <v>84</v>
      </c>
      <c r="O32" t="s">
        <v>61</v>
      </c>
      <c r="P32" t="s">
        <v>1258</v>
      </c>
      <c r="Q32" s="124">
        <v>110639</v>
      </c>
      <c r="R32" s="124">
        <v>1</v>
      </c>
      <c r="S32" s="124">
        <v>9837</v>
      </c>
      <c r="T32" s="124">
        <v>0</v>
      </c>
      <c r="U32" s="124">
        <v>10883.558429999999</v>
      </c>
      <c r="V32" s="125">
        <v>9.4998561395035399E-5</v>
      </c>
      <c r="W32" s="125">
        <v>1.033443199E-2</v>
      </c>
      <c r="X32" s="125">
        <f>U32/'סכום נכסים'!$B$30</f>
        <v>1.9594683568439253E-3</v>
      </c>
    </row>
    <row r="33" spans="1:24" ht="15" x14ac:dyDescent="0.25">
      <c r="A33">
        <v>13908</v>
      </c>
      <c r="B33">
        <v>13908</v>
      </c>
      <c r="C33" t="s">
        <v>1553</v>
      </c>
      <c r="D33">
        <v>520000118</v>
      </c>
      <c r="E33" t="s">
        <v>420</v>
      </c>
      <c r="F33" t="s">
        <v>2201</v>
      </c>
      <c r="G33" t="s">
        <v>2202</v>
      </c>
      <c r="H33" t="s">
        <v>75</v>
      </c>
      <c r="I33" t="s">
        <v>72</v>
      </c>
      <c r="J33" t="s">
        <v>52</v>
      </c>
      <c r="K33" t="s">
        <v>52</v>
      </c>
      <c r="L33" t="s">
        <v>775</v>
      </c>
      <c r="M33" t="s">
        <v>303</v>
      </c>
      <c r="N33" t="s">
        <v>251</v>
      </c>
      <c r="O33" t="s">
        <v>61</v>
      </c>
      <c r="P33" t="s">
        <v>1258</v>
      </c>
      <c r="Q33" s="124">
        <v>1052291</v>
      </c>
      <c r="R33" s="124">
        <v>1</v>
      </c>
      <c r="S33" s="124">
        <v>6859</v>
      </c>
      <c r="T33" s="124">
        <v>0</v>
      </c>
      <c r="U33" s="124">
        <v>72176.639689999996</v>
      </c>
      <c r="V33" s="125">
        <v>8.0457067200000003E-4</v>
      </c>
      <c r="W33" s="125">
        <v>6.8534990552000005E-2</v>
      </c>
      <c r="X33" s="125">
        <f>U33/'סכום נכסים'!$B$30</f>
        <v>1.299463245275014E-2</v>
      </c>
    </row>
    <row r="34" spans="1:24" ht="15" x14ac:dyDescent="0.25">
      <c r="A34">
        <v>13908</v>
      </c>
      <c r="B34">
        <v>13908</v>
      </c>
      <c r="C34" t="s">
        <v>2203</v>
      </c>
      <c r="D34">
        <v>520007030</v>
      </c>
      <c r="E34" t="s">
        <v>420</v>
      </c>
      <c r="F34" t="s">
        <v>2204</v>
      </c>
      <c r="G34" t="s">
        <v>2205</v>
      </c>
      <c r="H34" t="s">
        <v>75</v>
      </c>
      <c r="I34" t="s">
        <v>72</v>
      </c>
      <c r="J34" t="s">
        <v>52</v>
      </c>
      <c r="K34" t="s">
        <v>52</v>
      </c>
      <c r="L34" t="s">
        <v>775</v>
      </c>
      <c r="M34" t="s">
        <v>303</v>
      </c>
      <c r="N34" t="s">
        <v>251</v>
      </c>
      <c r="O34" t="s">
        <v>61</v>
      </c>
      <c r="P34" t="s">
        <v>1258</v>
      </c>
      <c r="Q34" s="124">
        <v>1351594</v>
      </c>
      <c r="R34" s="124">
        <v>1</v>
      </c>
      <c r="S34" s="124">
        <v>2950</v>
      </c>
      <c r="T34" s="124">
        <v>0</v>
      </c>
      <c r="U34" s="124">
        <v>39872.023000000001</v>
      </c>
      <c r="V34" s="125">
        <v>1.104691136E-3</v>
      </c>
      <c r="W34" s="125">
        <v>3.7860292905000002E-2</v>
      </c>
      <c r="X34" s="125">
        <f>U34/'סכום נכסים'!$B$30</f>
        <v>7.1785315339969388E-3</v>
      </c>
    </row>
    <row r="35" spans="1:24" ht="15" x14ac:dyDescent="0.25">
      <c r="A35">
        <v>13908</v>
      </c>
      <c r="B35">
        <v>13908</v>
      </c>
      <c r="C35" t="s">
        <v>2206</v>
      </c>
      <c r="D35">
        <v>520000522</v>
      </c>
      <c r="E35" t="s">
        <v>420</v>
      </c>
      <c r="F35" t="s">
        <v>2207</v>
      </c>
      <c r="G35" t="s">
        <v>2208</v>
      </c>
      <c r="H35" t="s">
        <v>75</v>
      </c>
      <c r="I35" t="s">
        <v>72</v>
      </c>
      <c r="J35" t="s">
        <v>52</v>
      </c>
      <c r="K35" t="s">
        <v>52</v>
      </c>
      <c r="L35" t="s">
        <v>775</v>
      </c>
      <c r="M35" t="s">
        <v>303</v>
      </c>
      <c r="N35" t="s">
        <v>251</v>
      </c>
      <c r="O35" t="s">
        <v>61</v>
      </c>
      <c r="P35" t="s">
        <v>1258</v>
      </c>
      <c r="Q35" s="124">
        <v>77261</v>
      </c>
      <c r="R35" s="124">
        <v>1</v>
      </c>
      <c r="S35" s="124">
        <v>19700</v>
      </c>
      <c r="T35" s="124">
        <v>0</v>
      </c>
      <c r="U35" s="124">
        <v>15220.416999999999</v>
      </c>
      <c r="V35" s="125">
        <v>2.9705346099999998E-4</v>
      </c>
      <c r="W35" s="125">
        <v>1.4452475756E-2</v>
      </c>
      <c r="X35" s="125">
        <f>U35/'סכום נכסים'!$B$30</f>
        <v>2.7402733840488375E-3</v>
      </c>
    </row>
    <row r="36" spans="1:24" ht="15" x14ac:dyDescent="0.25">
      <c r="A36">
        <v>13908</v>
      </c>
      <c r="B36">
        <v>13908</v>
      </c>
      <c r="C36" t="s">
        <v>1999</v>
      </c>
      <c r="D36">
        <v>520025990</v>
      </c>
      <c r="E36" t="s">
        <v>420</v>
      </c>
      <c r="F36" t="s">
        <v>2209</v>
      </c>
      <c r="G36">
        <v>7150130</v>
      </c>
      <c r="H36" t="s">
        <v>77</v>
      </c>
      <c r="I36" t="s">
        <v>72</v>
      </c>
      <c r="J36" t="s">
        <v>52</v>
      </c>
      <c r="K36" t="s">
        <v>52</v>
      </c>
      <c r="L36" t="s">
        <v>53</v>
      </c>
      <c r="M36" t="s">
        <v>303</v>
      </c>
      <c r="N36" t="s">
        <v>138</v>
      </c>
      <c r="O36" t="s">
        <v>61</v>
      </c>
      <c r="P36" t="s">
        <v>1258</v>
      </c>
      <c r="Q36" s="124">
        <v>240000</v>
      </c>
      <c r="R36" s="124">
        <v>1</v>
      </c>
      <c r="S36" s="124">
        <v>1707.0055</v>
      </c>
      <c r="T36" s="124">
        <v>0</v>
      </c>
      <c r="U36" s="124">
        <v>4096.8131999999996</v>
      </c>
      <c r="V36" s="125">
        <v>0</v>
      </c>
      <c r="W36" s="125">
        <v>3.8901098069999999E-3</v>
      </c>
      <c r="X36" s="125">
        <f>U36/'סכום נכסים'!$B$30</f>
        <v>7.3758742427227492E-4</v>
      </c>
    </row>
    <row r="37" spans="1:24" ht="15" x14ac:dyDescent="0.25">
      <c r="A37">
        <v>13908</v>
      </c>
      <c r="B37">
        <v>13908</v>
      </c>
      <c r="C37" t="s">
        <v>2004</v>
      </c>
      <c r="D37">
        <v>520041146</v>
      </c>
      <c r="E37" t="s">
        <v>420</v>
      </c>
      <c r="F37" t="s">
        <v>2210</v>
      </c>
      <c r="G37" t="s">
        <v>2211</v>
      </c>
      <c r="H37" t="s">
        <v>75</v>
      </c>
      <c r="I37" t="s">
        <v>72</v>
      </c>
      <c r="J37" t="s">
        <v>52</v>
      </c>
      <c r="K37" t="s">
        <v>52</v>
      </c>
      <c r="L37" t="s">
        <v>775</v>
      </c>
      <c r="M37" t="s">
        <v>303</v>
      </c>
      <c r="N37" t="s">
        <v>616</v>
      </c>
      <c r="O37" t="s">
        <v>61</v>
      </c>
      <c r="P37" t="s">
        <v>1258</v>
      </c>
      <c r="Q37" s="124">
        <v>230904</v>
      </c>
      <c r="R37" s="124">
        <v>1</v>
      </c>
      <c r="S37" s="124">
        <v>26300</v>
      </c>
      <c r="T37" s="124">
        <v>0</v>
      </c>
      <c r="U37" s="124">
        <v>60727.752</v>
      </c>
      <c r="V37" s="125">
        <v>1.652175393E-3</v>
      </c>
      <c r="W37" s="125">
        <v>5.7663752807E-2</v>
      </c>
      <c r="X37" s="125">
        <f>U37/'סכום נכסים'!$B$30</f>
        <v>1.093338260566176E-2</v>
      </c>
    </row>
    <row r="38" spans="1:24" ht="15" x14ac:dyDescent="0.25">
      <c r="A38">
        <v>13908</v>
      </c>
      <c r="B38">
        <v>13908</v>
      </c>
      <c r="C38" t="s">
        <v>1727</v>
      </c>
      <c r="D38">
        <v>520001736</v>
      </c>
      <c r="E38" t="s">
        <v>420</v>
      </c>
      <c r="F38" t="s">
        <v>2212</v>
      </c>
      <c r="G38" t="s">
        <v>2213</v>
      </c>
      <c r="H38" t="s">
        <v>75</v>
      </c>
      <c r="I38" t="s">
        <v>72</v>
      </c>
      <c r="J38" t="s">
        <v>52</v>
      </c>
      <c r="K38" t="s">
        <v>52</v>
      </c>
      <c r="L38" t="s">
        <v>775</v>
      </c>
      <c r="M38" t="s">
        <v>303</v>
      </c>
      <c r="N38" t="s">
        <v>620</v>
      </c>
      <c r="O38" t="s">
        <v>61</v>
      </c>
      <c r="P38" t="s">
        <v>1258</v>
      </c>
      <c r="Q38" s="124">
        <v>30000</v>
      </c>
      <c r="R38" s="124">
        <v>1</v>
      </c>
      <c r="S38" s="124">
        <v>3662</v>
      </c>
      <c r="T38" s="124">
        <v>0</v>
      </c>
      <c r="U38" s="124">
        <v>1098.5999999999999</v>
      </c>
      <c r="V38" s="125">
        <v>1.35993996E-4</v>
      </c>
      <c r="W38" s="125">
        <v>1.0431704899999999E-3</v>
      </c>
      <c r="X38" s="125">
        <f>U38/'סכום נכסים'!$B$30</f>
        <v>1.97791186648569E-4</v>
      </c>
    </row>
    <row r="39" spans="1:24" ht="15" x14ac:dyDescent="0.25">
      <c r="A39">
        <v>13908</v>
      </c>
      <c r="B39">
        <v>13908</v>
      </c>
      <c r="C39" t="s">
        <v>2024</v>
      </c>
      <c r="D39">
        <v>520017450</v>
      </c>
      <c r="E39" t="s">
        <v>420</v>
      </c>
      <c r="F39" t="s">
        <v>2214</v>
      </c>
      <c r="G39" t="s">
        <v>2215</v>
      </c>
      <c r="H39" t="s">
        <v>75</v>
      </c>
      <c r="I39" t="s">
        <v>72</v>
      </c>
      <c r="J39" t="s">
        <v>52</v>
      </c>
      <c r="K39" t="s">
        <v>52</v>
      </c>
      <c r="L39" t="s">
        <v>775</v>
      </c>
      <c r="M39" t="s">
        <v>303</v>
      </c>
      <c r="N39" t="s">
        <v>262</v>
      </c>
      <c r="O39" t="s">
        <v>61</v>
      </c>
      <c r="P39" t="s">
        <v>1258</v>
      </c>
      <c r="Q39" s="124">
        <v>221601</v>
      </c>
      <c r="R39" s="124">
        <v>1</v>
      </c>
      <c r="S39" s="124">
        <v>16460</v>
      </c>
      <c r="T39" s="124">
        <v>0</v>
      </c>
      <c r="U39" s="124">
        <v>36475.524599999997</v>
      </c>
      <c r="V39" s="125">
        <v>8.7909567599999999E-4</v>
      </c>
      <c r="W39" s="125">
        <v>3.4635163738999997E-2</v>
      </c>
      <c r="X39" s="125">
        <f>U39/'סכום נכסים'!$B$30</f>
        <v>6.567028303534562E-3</v>
      </c>
    </row>
    <row r="40" spans="1:24" ht="15" x14ac:dyDescent="0.25">
      <c r="A40">
        <v>13908</v>
      </c>
      <c r="B40">
        <v>13908</v>
      </c>
      <c r="C40" t="s">
        <v>2029</v>
      </c>
      <c r="D40">
        <v>520022732</v>
      </c>
      <c r="E40" t="s">
        <v>420</v>
      </c>
      <c r="F40" t="s">
        <v>2216</v>
      </c>
      <c r="G40" t="s">
        <v>2217</v>
      </c>
      <c r="H40" t="s">
        <v>75</v>
      </c>
      <c r="I40" t="s">
        <v>72</v>
      </c>
      <c r="J40" t="s">
        <v>52</v>
      </c>
      <c r="K40" t="s">
        <v>52</v>
      </c>
      <c r="L40" t="s">
        <v>775</v>
      </c>
      <c r="M40" t="s">
        <v>303</v>
      </c>
      <c r="N40" t="s">
        <v>619</v>
      </c>
      <c r="O40" t="s">
        <v>61</v>
      </c>
      <c r="P40" t="s">
        <v>1258</v>
      </c>
      <c r="Q40" s="124">
        <v>61290</v>
      </c>
      <c r="R40" s="124">
        <v>1</v>
      </c>
      <c r="S40" s="124">
        <v>4261</v>
      </c>
      <c r="T40" s="124">
        <v>0</v>
      </c>
      <c r="U40" s="124">
        <v>2611.5668999999998</v>
      </c>
      <c r="V40" s="125">
        <v>2.2971950600000001E-4</v>
      </c>
      <c r="W40" s="125">
        <v>2.4798011320000001E-3</v>
      </c>
      <c r="X40" s="125">
        <f>U40/'סכום נכסים'!$B$30</f>
        <v>4.7018470431742649E-4</v>
      </c>
    </row>
    <row r="41" spans="1:24" ht="15" x14ac:dyDescent="0.25">
      <c r="A41">
        <v>13908</v>
      </c>
      <c r="B41">
        <v>13908</v>
      </c>
      <c r="C41" t="s">
        <v>2218</v>
      </c>
      <c r="D41">
        <v>520032970</v>
      </c>
      <c r="E41" t="s">
        <v>420</v>
      </c>
      <c r="F41" t="s">
        <v>2219</v>
      </c>
      <c r="G41" t="s">
        <v>2220</v>
      </c>
      <c r="H41" t="s">
        <v>75</v>
      </c>
      <c r="I41" t="s">
        <v>72</v>
      </c>
      <c r="J41" t="s">
        <v>52</v>
      </c>
      <c r="K41" t="s">
        <v>52</v>
      </c>
      <c r="L41" t="s">
        <v>775</v>
      </c>
      <c r="M41" t="s">
        <v>303</v>
      </c>
      <c r="N41" t="s">
        <v>260</v>
      </c>
      <c r="O41" t="s">
        <v>61</v>
      </c>
      <c r="P41" t="s">
        <v>1258</v>
      </c>
      <c r="Q41" s="124">
        <v>19750</v>
      </c>
      <c r="R41" s="124">
        <v>1</v>
      </c>
      <c r="S41" s="124">
        <v>15340</v>
      </c>
      <c r="T41" s="124">
        <v>0</v>
      </c>
      <c r="U41" s="124">
        <v>3029.65</v>
      </c>
      <c r="V41" s="125">
        <v>2.772083504E-3</v>
      </c>
      <c r="W41" s="125">
        <v>2.8767899829999998E-3</v>
      </c>
      <c r="X41" s="125">
        <f>U41/'סכום נכסים'!$B$30</f>
        <v>5.4545609742384594E-4</v>
      </c>
    </row>
    <row r="42" spans="1:24" ht="15" x14ac:dyDescent="0.25">
      <c r="A42">
        <v>13908</v>
      </c>
      <c r="B42">
        <v>13908</v>
      </c>
      <c r="C42" t="s">
        <v>2221</v>
      </c>
      <c r="D42">
        <v>520032988</v>
      </c>
      <c r="E42" t="s">
        <v>420</v>
      </c>
      <c r="F42" t="s">
        <v>2222</v>
      </c>
      <c r="G42" t="s">
        <v>2223</v>
      </c>
      <c r="H42" t="s">
        <v>75</v>
      </c>
      <c r="I42" t="s">
        <v>72</v>
      </c>
      <c r="J42" t="s">
        <v>52</v>
      </c>
      <c r="K42" t="s">
        <v>52</v>
      </c>
      <c r="L42" t="s">
        <v>775</v>
      </c>
      <c r="M42" t="s">
        <v>303</v>
      </c>
      <c r="N42" t="s">
        <v>258</v>
      </c>
      <c r="O42" t="s">
        <v>61</v>
      </c>
      <c r="P42" t="s">
        <v>1258</v>
      </c>
      <c r="Q42" s="124">
        <v>12651</v>
      </c>
      <c r="R42" s="124">
        <v>1</v>
      </c>
      <c r="S42" s="124">
        <v>36970</v>
      </c>
      <c r="T42" s="124">
        <v>0</v>
      </c>
      <c r="U42" s="124">
        <v>4677.0747000000001</v>
      </c>
      <c r="V42" s="125">
        <v>1.0295410150000001E-3</v>
      </c>
      <c r="W42" s="125">
        <v>4.4410943999999997E-3</v>
      </c>
      <c r="X42" s="125">
        <f>U42/'סכום נכסים'!$B$30</f>
        <v>8.4205730471236114E-4</v>
      </c>
    </row>
    <row r="43" spans="1:24" ht="15" x14ac:dyDescent="0.25">
      <c r="A43">
        <v>13908</v>
      </c>
      <c r="B43">
        <v>13908</v>
      </c>
      <c r="C43" t="s">
        <v>2224</v>
      </c>
      <c r="D43">
        <v>520033291</v>
      </c>
      <c r="E43" t="s">
        <v>420</v>
      </c>
      <c r="F43" t="s">
        <v>2225</v>
      </c>
      <c r="G43" t="s">
        <v>2226</v>
      </c>
      <c r="H43" t="s">
        <v>75</v>
      </c>
      <c r="I43" t="s">
        <v>72</v>
      </c>
      <c r="J43" t="s">
        <v>52</v>
      </c>
      <c r="K43" t="s">
        <v>52</v>
      </c>
      <c r="L43" t="s">
        <v>775</v>
      </c>
      <c r="M43" t="s">
        <v>303</v>
      </c>
      <c r="N43" t="s">
        <v>74</v>
      </c>
      <c r="O43" t="s">
        <v>61</v>
      </c>
      <c r="P43" t="s">
        <v>1258</v>
      </c>
      <c r="Q43" s="124">
        <v>234311</v>
      </c>
      <c r="R43" s="124">
        <v>1</v>
      </c>
      <c r="S43" s="124">
        <v>1611</v>
      </c>
      <c r="T43" s="124">
        <v>0</v>
      </c>
      <c r="U43" s="124">
        <v>3774.7502100000002</v>
      </c>
      <c r="V43" s="125">
        <v>2.4161761570000002E-3</v>
      </c>
      <c r="W43" s="125">
        <v>3.584296402E-3</v>
      </c>
      <c r="X43" s="125">
        <f>U43/'סכום נכסים'!$B$30</f>
        <v>6.7960342557603782E-4</v>
      </c>
    </row>
    <row r="44" spans="1:24" ht="15" x14ac:dyDescent="0.25">
      <c r="A44">
        <v>13908</v>
      </c>
      <c r="B44">
        <v>13908</v>
      </c>
      <c r="C44" t="s">
        <v>2227</v>
      </c>
      <c r="D44">
        <v>516196425</v>
      </c>
      <c r="E44" t="s">
        <v>420</v>
      </c>
      <c r="F44" t="s">
        <v>2227</v>
      </c>
      <c r="G44" t="s">
        <v>2228</v>
      </c>
      <c r="H44" t="s">
        <v>75</v>
      </c>
      <c r="I44" t="s">
        <v>72</v>
      </c>
      <c r="J44" t="s">
        <v>52</v>
      </c>
      <c r="K44" t="s">
        <v>52</v>
      </c>
      <c r="L44" t="s">
        <v>775</v>
      </c>
      <c r="M44" t="s">
        <v>466</v>
      </c>
      <c r="N44" t="s">
        <v>248</v>
      </c>
      <c r="O44" t="s">
        <v>61</v>
      </c>
      <c r="P44" t="s">
        <v>1260</v>
      </c>
      <c r="Q44" s="124">
        <v>20000</v>
      </c>
      <c r="R44" s="124">
        <v>2.9780000000000002</v>
      </c>
      <c r="S44" s="124">
        <v>878</v>
      </c>
      <c r="T44" s="124">
        <v>0</v>
      </c>
      <c r="U44" s="124">
        <v>522.93679999999995</v>
      </c>
      <c r="V44" s="125">
        <v>2.71348672E-4</v>
      </c>
      <c r="W44" s="125">
        <v>4.9655219100000004E-4</v>
      </c>
      <c r="X44" s="125">
        <f>U44/'סכום נכסים'!$B$30</f>
        <v>9.4149180970512836E-5</v>
      </c>
    </row>
    <row r="45" spans="1:24" ht="15" x14ac:dyDescent="0.25">
      <c r="A45">
        <v>13908</v>
      </c>
      <c r="B45">
        <v>13908</v>
      </c>
      <c r="C45" t="s">
        <v>2229</v>
      </c>
      <c r="D45">
        <v>520041963</v>
      </c>
      <c r="E45" t="s">
        <v>420</v>
      </c>
      <c r="F45" t="s">
        <v>2230</v>
      </c>
      <c r="G45" t="s">
        <v>2231</v>
      </c>
      <c r="H45" t="s">
        <v>75</v>
      </c>
      <c r="I45" t="s">
        <v>72</v>
      </c>
      <c r="J45" t="s">
        <v>52</v>
      </c>
      <c r="K45" t="s">
        <v>52</v>
      </c>
      <c r="L45" t="s">
        <v>775</v>
      </c>
      <c r="M45" t="s">
        <v>303</v>
      </c>
      <c r="N45" t="s">
        <v>1212</v>
      </c>
      <c r="O45" t="s">
        <v>61</v>
      </c>
      <c r="P45" t="s">
        <v>1258</v>
      </c>
      <c r="Q45" s="124">
        <v>15000</v>
      </c>
      <c r="R45" s="124">
        <v>1</v>
      </c>
      <c r="S45" s="124">
        <v>14950</v>
      </c>
      <c r="T45" s="124">
        <v>0</v>
      </c>
      <c r="U45" s="124">
        <v>2242.5</v>
      </c>
      <c r="V45" s="125">
        <v>1.19199087E-3</v>
      </c>
      <c r="W45" s="125">
        <v>2.1293553830000001E-3</v>
      </c>
      <c r="X45" s="125">
        <f>U45/'סכום נכסים'!$B$30</f>
        <v>4.0373815406828331E-4</v>
      </c>
    </row>
    <row r="46" spans="1:24" ht="15" x14ac:dyDescent="0.25">
      <c r="A46">
        <v>13908</v>
      </c>
      <c r="B46">
        <v>13908</v>
      </c>
      <c r="C46" t="s">
        <v>2232</v>
      </c>
      <c r="D46">
        <v>520042482</v>
      </c>
      <c r="E46" t="s">
        <v>420</v>
      </c>
      <c r="F46" t="s">
        <v>2233</v>
      </c>
      <c r="G46" t="s">
        <v>2234</v>
      </c>
      <c r="H46" t="s">
        <v>75</v>
      </c>
      <c r="I46" t="s">
        <v>72</v>
      </c>
      <c r="J46" t="s">
        <v>52</v>
      </c>
      <c r="K46" t="s">
        <v>52</v>
      </c>
      <c r="L46" t="s">
        <v>775</v>
      </c>
      <c r="M46" t="s">
        <v>303</v>
      </c>
      <c r="N46" t="s">
        <v>252</v>
      </c>
      <c r="O46" t="s">
        <v>61</v>
      </c>
      <c r="P46" t="s">
        <v>1258</v>
      </c>
      <c r="Q46" s="124">
        <v>14685</v>
      </c>
      <c r="R46" s="124">
        <v>1</v>
      </c>
      <c r="S46" s="124">
        <v>13750</v>
      </c>
      <c r="T46" s="124">
        <v>0</v>
      </c>
      <c r="U46" s="124">
        <v>2019.1875</v>
      </c>
      <c r="V46" s="125">
        <v>2.4450984999999998E-4</v>
      </c>
      <c r="W46" s="125">
        <v>1.917310044E-3</v>
      </c>
      <c r="X46" s="125">
        <f>U46/'סכום נכסים'!$B$30</f>
        <v>3.6353312551516242E-4</v>
      </c>
    </row>
    <row r="47" spans="1:24" ht="15" x14ac:dyDescent="0.25">
      <c r="A47">
        <v>13908</v>
      </c>
      <c r="B47">
        <v>13908</v>
      </c>
      <c r="C47" t="s">
        <v>1625</v>
      </c>
      <c r="D47">
        <v>520042763</v>
      </c>
      <c r="E47" t="s">
        <v>420</v>
      </c>
      <c r="F47" t="s">
        <v>2235</v>
      </c>
      <c r="G47" t="s">
        <v>2236</v>
      </c>
      <c r="H47" t="s">
        <v>75</v>
      </c>
      <c r="I47" t="s">
        <v>72</v>
      </c>
      <c r="J47" t="s">
        <v>52</v>
      </c>
      <c r="K47" t="s">
        <v>52</v>
      </c>
      <c r="L47" t="s">
        <v>775</v>
      </c>
      <c r="M47" t="s">
        <v>303</v>
      </c>
      <c r="N47" t="s">
        <v>252</v>
      </c>
      <c r="O47" t="s">
        <v>61</v>
      </c>
      <c r="P47" t="s">
        <v>1258</v>
      </c>
      <c r="Q47" s="124">
        <v>13815</v>
      </c>
      <c r="R47" s="124">
        <v>1</v>
      </c>
      <c r="S47" s="124">
        <v>9248</v>
      </c>
      <c r="T47" s="124">
        <v>41.445</v>
      </c>
      <c r="U47" s="124">
        <v>1319.0562</v>
      </c>
      <c r="V47" s="125">
        <v>8.2441126199999997E-4</v>
      </c>
      <c r="W47" s="125">
        <v>1.2525036429999999E-3</v>
      </c>
      <c r="X47" s="125">
        <f>U47/'סכום נכסים'!$B$30</f>
        <v>2.3748196891876222E-4</v>
      </c>
    </row>
    <row r="48" spans="1:24" ht="15" x14ac:dyDescent="0.25">
      <c r="A48">
        <v>13908</v>
      </c>
      <c r="B48">
        <v>13908</v>
      </c>
      <c r="C48" t="s">
        <v>1476</v>
      </c>
      <c r="D48">
        <v>520043027</v>
      </c>
      <c r="E48" t="s">
        <v>420</v>
      </c>
      <c r="F48" t="s">
        <v>2237</v>
      </c>
      <c r="G48" t="s">
        <v>2238</v>
      </c>
      <c r="H48" t="s">
        <v>75</v>
      </c>
      <c r="I48" t="s">
        <v>72</v>
      </c>
      <c r="J48" t="s">
        <v>52</v>
      </c>
      <c r="K48" t="s">
        <v>52</v>
      </c>
      <c r="L48" t="s">
        <v>775</v>
      </c>
      <c r="M48" t="s">
        <v>303</v>
      </c>
      <c r="N48" t="s">
        <v>623</v>
      </c>
      <c r="O48" t="s">
        <v>61</v>
      </c>
      <c r="P48" t="s">
        <v>1258</v>
      </c>
      <c r="Q48" s="124">
        <v>13007</v>
      </c>
      <c r="R48" s="124">
        <v>1</v>
      </c>
      <c r="S48" s="124">
        <v>226000</v>
      </c>
      <c r="T48" s="124">
        <v>38.74785</v>
      </c>
      <c r="U48" s="124">
        <v>29434.567849999999</v>
      </c>
      <c r="V48" s="125">
        <v>2.7763977299999999E-4</v>
      </c>
      <c r="W48" s="125">
        <v>2.7949456197000001E-2</v>
      </c>
      <c r="X48" s="125">
        <f>U48/'סכום נכסים'!$B$30</f>
        <v>5.2993793041501173E-3</v>
      </c>
    </row>
    <row r="49" spans="1:24" ht="15" x14ac:dyDescent="0.25">
      <c r="A49">
        <v>13908</v>
      </c>
      <c r="B49">
        <v>13908</v>
      </c>
      <c r="C49" t="s">
        <v>2239</v>
      </c>
      <c r="D49">
        <v>520029984</v>
      </c>
      <c r="E49" t="s">
        <v>420</v>
      </c>
      <c r="F49" t="s">
        <v>2240</v>
      </c>
      <c r="G49" t="s">
        <v>2241</v>
      </c>
      <c r="H49" t="s">
        <v>75</v>
      </c>
      <c r="I49" t="s">
        <v>72</v>
      </c>
      <c r="J49" t="s">
        <v>52</v>
      </c>
      <c r="K49" t="s">
        <v>52</v>
      </c>
      <c r="L49" t="s">
        <v>775</v>
      </c>
      <c r="M49" t="s">
        <v>303</v>
      </c>
      <c r="N49" t="s">
        <v>262</v>
      </c>
      <c r="O49" t="s">
        <v>61</v>
      </c>
      <c r="P49" t="s">
        <v>1258</v>
      </c>
      <c r="Q49" s="124">
        <v>1031300</v>
      </c>
      <c r="R49" s="124">
        <v>1</v>
      </c>
      <c r="S49" s="124">
        <v>1656</v>
      </c>
      <c r="T49" s="124">
        <v>0</v>
      </c>
      <c r="U49" s="124">
        <v>17078.328000000001</v>
      </c>
      <c r="V49" s="125">
        <v>9.7481154899999999E-4</v>
      </c>
      <c r="W49" s="125">
        <v>1.6216646453999999E-2</v>
      </c>
      <c r="X49" s="125">
        <f>U49/'סכום נכסים'!$B$30</f>
        <v>3.0747703996845828E-3</v>
      </c>
    </row>
    <row r="50" spans="1:24" ht="15" x14ac:dyDescent="0.25">
      <c r="A50">
        <v>13908</v>
      </c>
      <c r="B50">
        <v>13908</v>
      </c>
      <c r="C50" t="s">
        <v>2242</v>
      </c>
      <c r="D50">
        <v>520043480</v>
      </c>
      <c r="E50" t="s">
        <v>420</v>
      </c>
      <c r="F50" t="s">
        <v>2243</v>
      </c>
      <c r="G50" t="s">
        <v>2244</v>
      </c>
      <c r="H50" t="s">
        <v>75</v>
      </c>
      <c r="I50" t="s">
        <v>72</v>
      </c>
      <c r="J50" t="s">
        <v>52</v>
      </c>
      <c r="K50" t="s">
        <v>52</v>
      </c>
      <c r="L50" t="s">
        <v>775</v>
      </c>
      <c r="M50" t="s">
        <v>303</v>
      </c>
      <c r="N50" t="s">
        <v>256</v>
      </c>
      <c r="O50" t="s">
        <v>61</v>
      </c>
      <c r="P50" t="s">
        <v>1258</v>
      </c>
      <c r="Q50" s="124">
        <v>11071</v>
      </c>
      <c r="R50" s="124">
        <v>1</v>
      </c>
      <c r="S50" s="124">
        <v>84760</v>
      </c>
      <c r="T50" s="124">
        <v>0</v>
      </c>
      <c r="U50" s="124">
        <v>9383.7795999999998</v>
      </c>
      <c r="V50" s="125">
        <v>1.1604897219999999E-3</v>
      </c>
      <c r="W50" s="125">
        <v>8.9103240179999998E-3</v>
      </c>
      <c r="X50" s="125">
        <f>U50/'סכום נכסים'!$B$30</f>
        <v>1.6894492102062938E-3</v>
      </c>
    </row>
    <row r="51" spans="1:24" ht="15" x14ac:dyDescent="0.25">
      <c r="A51">
        <v>13908</v>
      </c>
      <c r="B51">
        <v>13908</v>
      </c>
      <c r="C51" t="s">
        <v>2245</v>
      </c>
      <c r="D51">
        <v>520041997</v>
      </c>
      <c r="E51" t="s">
        <v>420</v>
      </c>
      <c r="F51" t="s">
        <v>2246</v>
      </c>
      <c r="G51" t="s">
        <v>2247</v>
      </c>
      <c r="H51" t="s">
        <v>75</v>
      </c>
      <c r="I51" t="s">
        <v>72</v>
      </c>
      <c r="J51" t="s">
        <v>52</v>
      </c>
      <c r="K51" t="s">
        <v>52</v>
      </c>
      <c r="L51" t="s">
        <v>775</v>
      </c>
      <c r="M51" t="s">
        <v>303</v>
      </c>
      <c r="N51" t="s">
        <v>249</v>
      </c>
      <c r="O51" t="s">
        <v>61</v>
      </c>
      <c r="P51" t="s">
        <v>1258</v>
      </c>
      <c r="Q51" s="124">
        <v>17220</v>
      </c>
      <c r="R51" s="124">
        <v>1</v>
      </c>
      <c r="S51" s="124">
        <v>76440</v>
      </c>
      <c r="T51" s="124">
        <v>0</v>
      </c>
      <c r="U51" s="124">
        <v>13162.968000000001</v>
      </c>
      <c r="V51" s="125">
        <v>1.52625823E-4</v>
      </c>
      <c r="W51" s="125">
        <v>1.2498834683000001E-2</v>
      </c>
      <c r="X51" s="125">
        <f>U51/'סכום נכסים'!$B$30</f>
        <v>2.3698516844503381E-3</v>
      </c>
    </row>
    <row r="52" spans="1:24" ht="15" x14ac:dyDescent="0.25">
      <c r="A52">
        <v>13908</v>
      </c>
      <c r="B52">
        <v>13908</v>
      </c>
      <c r="C52" t="s">
        <v>2248</v>
      </c>
      <c r="D52">
        <v>520044231</v>
      </c>
      <c r="E52" t="s">
        <v>420</v>
      </c>
      <c r="F52" t="s">
        <v>2249</v>
      </c>
      <c r="G52" t="s">
        <v>2250</v>
      </c>
      <c r="H52" t="s">
        <v>75</v>
      </c>
      <c r="I52" t="s">
        <v>72</v>
      </c>
      <c r="J52" t="s">
        <v>52</v>
      </c>
      <c r="K52" t="s">
        <v>52</v>
      </c>
      <c r="L52" t="s">
        <v>775</v>
      </c>
      <c r="M52" t="s">
        <v>303</v>
      </c>
      <c r="N52" t="s">
        <v>248</v>
      </c>
      <c r="O52" t="s">
        <v>61</v>
      </c>
      <c r="P52" t="s">
        <v>1258</v>
      </c>
      <c r="Q52" s="124">
        <v>5280</v>
      </c>
      <c r="R52" s="124">
        <v>1</v>
      </c>
      <c r="S52" s="124">
        <v>1055</v>
      </c>
      <c r="T52" s="124">
        <v>0</v>
      </c>
      <c r="U52" s="124">
        <v>55.704000000000001</v>
      </c>
      <c r="V52" s="125">
        <v>2.4920214E-4</v>
      </c>
      <c r="W52" s="125">
        <v>5.2893472598752901E-5</v>
      </c>
      <c r="X52" s="125">
        <f>U52/'סכום נכסים'!$B$30</f>
        <v>1.0028909758849343E-5</v>
      </c>
    </row>
    <row r="53" spans="1:24" ht="15" x14ac:dyDescent="0.25">
      <c r="A53">
        <v>13908</v>
      </c>
      <c r="B53">
        <v>13908</v>
      </c>
      <c r="C53" t="s">
        <v>2251</v>
      </c>
      <c r="D53">
        <v>520044199</v>
      </c>
      <c r="E53" t="s">
        <v>420</v>
      </c>
      <c r="F53" t="s">
        <v>2252</v>
      </c>
      <c r="G53" t="s">
        <v>2253</v>
      </c>
      <c r="H53" t="s">
        <v>75</v>
      </c>
      <c r="I53" t="s">
        <v>72</v>
      </c>
      <c r="J53" t="s">
        <v>52</v>
      </c>
      <c r="K53" t="s">
        <v>52</v>
      </c>
      <c r="L53" t="s">
        <v>775</v>
      </c>
      <c r="M53" t="s">
        <v>303</v>
      </c>
      <c r="N53" t="s">
        <v>622</v>
      </c>
      <c r="O53" t="s">
        <v>61</v>
      </c>
      <c r="P53" t="s">
        <v>1258</v>
      </c>
      <c r="Q53" s="124">
        <v>100000</v>
      </c>
      <c r="R53" s="124">
        <v>1</v>
      </c>
      <c r="S53" s="124">
        <v>1981</v>
      </c>
      <c r="T53" s="124">
        <v>0</v>
      </c>
      <c r="U53" s="124">
        <v>1981</v>
      </c>
      <c r="V53" s="125">
        <v>7.1466591650000003E-3</v>
      </c>
      <c r="W53" s="125">
        <v>1.881049282E-3</v>
      </c>
      <c r="X53" s="125">
        <f>U53/'סכום נכסים'!$B$30</f>
        <v>3.5665787434081126E-4</v>
      </c>
    </row>
    <row r="54" spans="1:24" ht="15" x14ac:dyDescent="0.25">
      <c r="A54">
        <v>13908</v>
      </c>
      <c r="B54">
        <v>13908</v>
      </c>
      <c r="C54" t="s">
        <v>2254</v>
      </c>
      <c r="D54">
        <v>511812463</v>
      </c>
      <c r="E54" t="s">
        <v>420</v>
      </c>
      <c r="F54" t="s">
        <v>2255</v>
      </c>
      <c r="G54" t="s">
        <v>2256</v>
      </c>
      <c r="H54" t="s">
        <v>75</v>
      </c>
      <c r="I54" t="s">
        <v>72</v>
      </c>
      <c r="J54" t="s">
        <v>52</v>
      </c>
      <c r="K54" t="s">
        <v>52</v>
      </c>
      <c r="L54" t="s">
        <v>775</v>
      </c>
      <c r="M54" t="s">
        <v>303</v>
      </c>
      <c r="N54" t="s">
        <v>249</v>
      </c>
      <c r="O54" t="s">
        <v>61</v>
      </c>
      <c r="P54" t="s">
        <v>1258</v>
      </c>
      <c r="Q54" s="124">
        <v>13395</v>
      </c>
      <c r="R54" s="124">
        <v>1</v>
      </c>
      <c r="S54" s="124">
        <v>157500</v>
      </c>
      <c r="T54" s="124">
        <v>0</v>
      </c>
      <c r="U54" s="124">
        <v>21097.125</v>
      </c>
      <c r="V54" s="125">
        <v>4.3886274899999998E-4</v>
      </c>
      <c r="W54" s="125">
        <v>2.0032676344000001E-2</v>
      </c>
      <c r="X54" s="125">
        <f>U54/'סכום נכסים'!$B$30</f>
        <v>3.7983118410915635E-3</v>
      </c>
    </row>
    <row r="55" spans="1:24" ht="15" x14ac:dyDescent="0.25">
      <c r="A55">
        <v>13908</v>
      </c>
      <c r="B55">
        <v>13908</v>
      </c>
      <c r="C55" t="s">
        <v>2257</v>
      </c>
      <c r="D55">
        <v>520039942</v>
      </c>
      <c r="E55" t="s">
        <v>420</v>
      </c>
      <c r="F55" t="s">
        <v>2258</v>
      </c>
      <c r="G55" t="s">
        <v>2259</v>
      </c>
      <c r="H55" t="s">
        <v>75</v>
      </c>
      <c r="I55" t="s">
        <v>72</v>
      </c>
      <c r="J55" t="s">
        <v>52</v>
      </c>
      <c r="K55" t="s">
        <v>52</v>
      </c>
      <c r="L55" t="s">
        <v>775</v>
      </c>
      <c r="M55" t="s">
        <v>303</v>
      </c>
      <c r="N55" t="s">
        <v>1210</v>
      </c>
      <c r="O55" t="s">
        <v>61</v>
      </c>
      <c r="P55" t="s">
        <v>1258</v>
      </c>
      <c r="Q55" s="124">
        <v>20689</v>
      </c>
      <c r="R55" s="124">
        <v>1</v>
      </c>
      <c r="S55" s="124">
        <v>19190</v>
      </c>
      <c r="T55" s="124">
        <v>0</v>
      </c>
      <c r="U55" s="124">
        <v>3970.2190999999998</v>
      </c>
      <c r="V55" s="125">
        <v>9.009838E-4</v>
      </c>
      <c r="W55" s="125">
        <v>3.7699029719999999E-3</v>
      </c>
      <c r="X55" s="125">
        <f>U55/'סכום נכסים'!$B$30</f>
        <v>7.1479550977955001E-4</v>
      </c>
    </row>
    <row r="56" spans="1:24" ht="15" x14ac:dyDescent="0.25">
      <c r="A56">
        <v>13908</v>
      </c>
      <c r="B56">
        <v>13908</v>
      </c>
      <c r="C56" t="s">
        <v>2260</v>
      </c>
      <c r="D56">
        <v>512157603</v>
      </c>
      <c r="E56" t="s">
        <v>420</v>
      </c>
      <c r="F56" t="s">
        <v>2261</v>
      </c>
      <c r="G56" t="s">
        <v>2262</v>
      </c>
      <c r="H56" t="s">
        <v>75</v>
      </c>
      <c r="I56" t="s">
        <v>72</v>
      </c>
      <c r="J56" t="s">
        <v>52</v>
      </c>
      <c r="K56" t="s">
        <v>52</v>
      </c>
      <c r="L56" t="s">
        <v>775</v>
      </c>
      <c r="M56" t="s">
        <v>303</v>
      </c>
      <c r="N56" t="s">
        <v>619</v>
      </c>
      <c r="O56" t="s">
        <v>61</v>
      </c>
      <c r="P56" t="s">
        <v>1258</v>
      </c>
      <c r="Q56" s="124">
        <v>200</v>
      </c>
      <c r="R56" s="124">
        <v>1</v>
      </c>
      <c r="S56" s="124">
        <v>28230</v>
      </c>
      <c r="T56" s="124">
        <v>0</v>
      </c>
      <c r="U56" s="124">
        <v>56.46</v>
      </c>
      <c r="V56" s="125">
        <v>1.43845184606235E-5</v>
      </c>
      <c r="W56" s="125">
        <v>5.3611328861941502E-5</v>
      </c>
      <c r="X56" s="125">
        <f>U56/'סכום נכסים'!$B$30</f>
        <v>1.0165019477679052E-5</v>
      </c>
    </row>
    <row r="57" spans="1:24" ht="15" x14ac:dyDescent="0.25">
      <c r="A57">
        <v>13908</v>
      </c>
      <c r="B57">
        <v>13908</v>
      </c>
      <c r="C57" t="s">
        <v>2263</v>
      </c>
      <c r="D57">
        <v>520017146</v>
      </c>
      <c r="E57" t="s">
        <v>420</v>
      </c>
      <c r="F57" t="s">
        <v>2264</v>
      </c>
      <c r="G57" t="s">
        <v>2265</v>
      </c>
      <c r="H57" t="s">
        <v>75</v>
      </c>
      <c r="I57" t="s">
        <v>72</v>
      </c>
      <c r="J57" t="s">
        <v>52</v>
      </c>
      <c r="K57" t="s">
        <v>52</v>
      </c>
      <c r="L57" t="s">
        <v>775</v>
      </c>
      <c r="M57" t="s">
        <v>303</v>
      </c>
      <c r="N57" t="s">
        <v>1211</v>
      </c>
      <c r="O57" t="s">
        <v>61</v>
      </c>
      <c r="P57" t="s">
        <v>1258</v>
      </c>
      <c r="Q57" s="124">
        <v>888800</v>
      </c>
      <c r="R57" s="124">
        <v>1</v>
      </c>
      <c r="S57" s="124">
        <v>1482</v>
      </c>
      <c r="T57" s="124">
        <v>0</v>
      </c>
      <c r="U57" s="124">
        <v>13172.016</v>
      </c>
      <c r="V57" s="125">
        <v>1.504901288E-3</v>
      </c>
      <c r="W57" s="125">
        <v>1.2507426169E-2</v>
      </c>
      <c r="X57" s="125">
        <f>U57/'סכום נכסים'!$B$30</f>
        <v>2.3714806801328394E-3</v>
      </c>
    </row>
    <row r="58" spans="1:24" ht="15" x14ac:dyDescent="0.25">
      <c r="A58">
        <v>13908</v>
      </c>
      <c r="B58">
        <v>13908</v>
      </c>
      <c r="C58" t="s">
        <v>2266</v>
      </c>
      <c r="D58">
        <v>511870891</v>
      </c>
      <c r="E58" t="s">
        <v>420</v>
      </c>
      <c r="F58" t="s">
        <v>2267</v>
      </c>
      <c r="G58" t="s">
        <v>2268</v>
      </c>
      <c r="H58" t="s">
        <v>75</v>
      </c>
      <c r="I58" t="s">
        <v>72</v>
      </c>
      <c r="J58" t="s">
        <v>52</v>
      </c>
      <c r="K58" t="s">
        <v>52</v>
      </c>
      <c r="L58" t="s">
        <v>775</v>
      </c>
      <c r="M58" t="s">
        <v>303</v>
      </c>
      <c r="N58" t="s">
        <v>256</v>
      </c>
      <c r="O58" t="s">
        <v>61</v>
      </c>
      <c r="P58" t="s">
        <v>1258</v>
      </c>
      <c r="Q58" s="124">
        <v>20000</v>
      </c>
      <c r="R58" s="124">
        <v>1</v>
      </c>
      <c r="S58" s="124">
        <v>225.1</v>
      </c>
      <c r="T58" s="124">
        <v>0</v>
      </c>
      <c r="U58" s="124">
        <v>45.02</v>
      </c>
      <c r="V58" s="125">
        <v>2.5477479400000001E-4</v>
      </c>
      <c r="W58" s="125">
        <v>4.2748530381944897E-5</v>
      </c>
      <c r="X58" s="125">
        <f>U58/'סכום נכסים'!$B$30</f>
        <v>8.1053697641712891E-6</v>
      </c>
    </row>
    <row r="59" spans="1:24" ht="15" x14ac:dyDescent="0.25">
      <c r="A59">
        <v>13908</v>
      </c>
      <c r="B59">
        <v>13908</v>
      </c>
      <c r="C59" t="s">
        <v>2269</v>
      </c>
      <c r="D59">
        <v>510007800</v>
      </c>
      <c r="E59" t="s">
        <v>420</v>
      </c>
      <c r="F59" t="s">
        <v>2270</v>
      </c>
      <c r="G59" t="s">
        <v>2271</v>
      </c>
      <c r="H59" t="s">
        <v>75</v>
      </c>
      <c r="I59" t="s">
        <v>72</v>
      </c>
      <c r="J59" t="s">
        <v>52</v>
      </c>
      <c r="K59" t="s">
        <v>52</v>
      </c>
      <c r="L59" t="s">
        <v>775</v>
      </c>
      <c r="M59" t="s">
        <v>303</v>
      </c>
      <c r="N59" t="s">
        <v>622</v>
      </c>
      <c r="O59" t="s">
        <v>61</v>
      </c>
      <c r="P59" t="s">
        <v>1258</v>
      </c>
      <c r="Q59" s="124">
        <v>30000</v>
      </c>
      <c r="R59" s="124">
        <v>1</v>
      </c>
      <c r="S59" s="124">
        <v>5821</v>
      </c>
      <c r="T59" s="124">
        <v>0</v>
      </c>
      <c r="U59" s="124">
        <v>1746.3</v>
      </c>
      <c r="V59" s="125">
        <v>1.213065786E-3</v>
      </c>
      <c r="W59" s="125">
        <v>1.6581909950000001E-3</v>
      </c>
      <c r="X59" s="125">
        <f>U59/'סכום נכסים'!$B$30</f>
        <v>3.1440264813799025E-4</v>
      </c>
    </row>
    <row r="60" spans="1:24" ht="15" x14ac:dyDescent="0.25">
      <c r="A60">
        <v>13908</v>
      </c>
      <c r="B60">
        <v>13908</v>
      </c>
      <c r="C60" t="s">
        <v>2272</v>
      </c>
      <c r="D60">
        <v>511888356</v>
      </c>
      <c r="E60" t="s">
        <v>420</v>
      </c>
      <c r="F60" t="s">
        <v>2273</v>
      </c>
      <c r="G60" t="s">
        <v>2274</v>
      </c>
      <c r="H60" t="s">
        <v>75</v>
      </c>
      <c r="I60" t="s">
        <v>72</v>
      </c>
      <c r="J60" t="s">
        <v>52</v>
      </c>
      <c r="K60" t="s">
        <v>52</v>
      </c>
      <c r="L60" t="s">
        <v>775</v>
      </c>
      <c r="M60" t="s">
        <v>303</v>
      </c>
      <c r="N60" t="s">
        <v>622</v>
      </c>
      <c r="O60" t="s">
        <v>61</v>
      </c>
      <c r="P60" t="s">
        <v>1258</v>
      </c>
      <c r="Q60" s="124">
        <v>391309</v>
      </c>
      <c r="R60" s="124">
        <v>1</v>
      </c>
      <c r="S60" s="124">
        <v>1180</v>
      </c>
      <c r="T60" s="124">
        <v>0</v>
      </c>
      <c r="U60" s="124">
        <v>4617.4462000000003</v>
      </c>
      <c r="V60" s="125">
        <v>5.3751683699999999E-3</v>
      </c>
      <c r="W60" s="125">
        <v>4.3844744369999997E-3</v>
      </c>
      <c r="X60" s="125">
        <f>U60/'סכום נכסים'!$B$30</f>
        <v>8.313218306789785E-4</v>
      </c>
    </row>
    <row r="61" spans="1:24" ht="15" x14ac:dyDescent="0.25">
      <c r="A61">
        <v>13908</v>
      </c>
      <c r="B61">
        <v>13908</v>
      </c>
      <c r="C61" t="s">
        <v>2275</v>
      </c>
      <c r="D61">
        <v>511235434</v>
      </c>
      <c r="E61" t="s">
        <v>420</v>
      </c>
      <c r="F61" t="s">
        <v>2276</v>
      </c>
      <c r="G61" t="s">
        <v>2277</v>
      </c>
      <c r="H61" t="s">
        <v>75</v>
      </c>
      <c r="I61" t="s">
        <v>72</v>
      </c>
      <c r="J61" t="s">
        <v>52</v>
      </c>
      <c r="K61" t="s">
        <v>52</v>
      </c>
      <c r="L61" t="s">
        <v>775</v>
      </c>
      <c r="M61" t="s">
        <v>303</v>
      </c>
      <c r="N61" t="s">
        <v>249</v>
      </c>
      <c r="O61" t="s">
        <v>61</v>
      </c>
      <c r="P61" t="s">
        <v>1258</v>
      </c>
      <c r="Q61" s="124">
        <v>29236</v>
      </c>
      <c r="R61" s="124">
        <v>1</v>
      </c>
      <c r="S61" s="124">
        <v>47000</v>
      </c>
      <c r="T61" s="124">
        <v>0</v>
      </c>
      <c r="U61" s="124">
        <v>13740.92</v>
      </c>
      <c r="V61" s="125">
        <v>6.37948746E-4</v>
      </c>
      <c r="W61" s="125">
        <v>1.3047626301000001E-2</v>
      </c>
      <c r="X61" s="125">
        <f>U61/'סכום נכסים'!$B$30</f>
        <v>2.473905764102544E-3</v>
      </c>
    </row>
    <row r="62" spans="1:24" ht="15" x14ac:dyDescent="0.25">
      <c r="A62">
        <v>13908</v>
      </c>
      <c r="B62">
        <v>13908</v>
      </c>
      <c r="C62" t="s">
        <v>1354</v>
      </c>
      <c r="D62">
        <v>511659401</v>
      </c>
      <c r="E62" t="s">
        <v>420</v>
      </c>
      <c r="F62" t="s">
        <v>2278</v>
      </c>
      <c r="G62" t="s">
        <v>2279</v>
      </c>
      <c r="H62" t="s">
        <v>75</v>
      </c>
      <c r="I62" t="s">
        <v>72</v>
      </c>
      <c r="J62" t="s">
        <v>52</v>
      </c>
      <c r="K62" t="s">
        <v>52</v>
      </c>
      <c r="L62" t="s">
        <v>775</v>
      </c>
      <c r="M62" t="s">
        <v>303</v>
      </c>
      <c r="N62" t="s">
        <v>620</v>
      </c>
      <c r="O62" t="s">
        <v>61</v>
      </c>
      <c r="P62" t="s">
        <v>1258</v>
      </c>
      <c r="Q62" s="124">
        <v>31850</v>
      </c>
      <c r="R62" s="124">
        <v>1</v>
      </c>
      <c r="S62" s="124">
        <v>5340</v>
      </c>
      <c r="T62" s="124">
        <v>0</v>
      </c>
      <c r="U62" s="124">
        <v>1700.79</v>
      </c>
      <c r="V62" s="125">
        <v>2.97429513E-4</v>
      </c>
      <c r="W62" s="125">
        <v>1.614977187E-3</v>
      </c>
      <c r="X62" s="125">
        <f>U62/'סכום נכסים'!$B$30</f>
        <v>3.0620905911161447E-4</v>
      </c>
    </row>
    <row r="63" spans="1:24" ht="15" x14ac:dyDescent="0.25">
      <c r="A63">
        <v>13908</v>
      </c>
      <c r="B63">
        <v>13908</v>
      </c>
      <c r="C63" t="s">
        <v>1383</v>
      </c>
      <c r="D63">
        <v>513623314</v>
      </c>
      <c r="E63" t="s">
        <v>420</v>
      </c>
      <c r="F63" t="s">
        <v>2280</v>
      </c>
      <c r="G63" t="s">
        <v>2281</v>
      </c>
      <c r="H63" t="s">
        <v>75</v>
      </c>
      <c r="I63" t="s">
        <v>72</v>
      </c>
      <c r="J63" t="s">
        <v>52</v>
      </c>
      <c r="K63" t="s">
        <v>52</v>
      </c>
      <c r="L63" t="s">
        <v>775</v>
      </c>
      <c r="M63" t="s">
        <v>303</v>
      </c>
      <c r="N63" t="s">
        <v>620</v>
      </c>
      <c r="O63" t="s">
        <v>61</v>
      </c>
      <c r="P63" t="s">
        <v>1258</v>
      </c>
      <c r="Q63" s="124">
        <v>12435</v>
      </c>
      <c r="R63" s="124">
        <v>1</v>
      </c>
      <c r="S63" s="124">
        <v>67510</v>
      </c>
      <c r="T63" s="124">
        <v>0</v>
      </c>
      <c r="U63" s="124">
        <v>8394.8685000000005</v>
      </c>
      <c r="V63" s="125">
        <v>4.8272300000000001E-4</v>
      </c>
      <c r="W63" s="125">
        <v>7.9713081100000003E-3</v>
      </c>
      <c r="X63" s="125">
        <f>U63/'סכום נכסים'!$B$30</f>
        <v>1.5114063374965345E-3</v>
      </c>
    </row>
    <row r="64" spans="1:24" ht="15" x14ac:dyDescent="0.25">
      <c r="A64">
        <v>13908</v>
      </c>
      <c r="B64">
        <v>13908</v>
      </c>
      <c r="C64" t="s">
        <v>1350</v>
      </c>
      <c r="D64">
        <v>520026683</v>
      </c>
      <c r="E64" t="s">
        <v>420</v>
      </c>
      <c r="F64" t="s">
        <v>2282</v>
      </c>
      <c r="G64" t="s">
        <v>2283</v>
      </c>
      <c r="H64" t="s">
        <v>75</v>
      </c>
      <c r="I64" t="s">
        <v>72</v>
      </c>
      <c r="J64" t="s">
        <v>52</v>
      </c>
      <c r="K64" t="s">
        <v>52</v>
      </c>
      <c r="L64" t="s">
        <v>775</v>
      </c>
      <c r="M64" t="s">
        <v>303</v>
      </c>
      <c r="N64" t="s">
        <v>620</v>
      </c>
      <c r="O64" t="s">
        <v>61</v>
      </c>
      <c r="P64" t="s">
        <v>1258</v>
      </c>
      <c r="Q64" s="124">
        <v>22710</v>
      </c>
      <c r="R64" s="124">
        <v>1</v>
      </c>
      <c r="S64" s="124">
        <v>1853</v>
      </c>
      <c r="T64" s="124">
        <v>0</v>
      </c>
      <c r="U64" s="124">
        <v>420.81630000000001</v>
      </c>
      <c r="V64" s="125">
        <v>4.5987890199831803E-5</v>
      </c>
      <c r="W64" s="125">
        <v>3.9958414799999998E-4</v>
      </c>
      <c r="X64" s="125">
        <f>U64/'סכום נכסים'!$B$30</f>
        <v>7.5763476550209558E-5</v>
      </c>
    </row>
    <row r="65" spans="1:24" ht="15" x14ac:dyDescent="0.25">
      <c r="A65">
        <v>13908</v>
      </c>
      <c r="B65">
        <v>13908</v>
      </c>
      <c r="C65" t="s">
        <v>1364</v>
      </c>
      <c r="D65">
        <v>513821488</v>
      </c>
      <c r="E65" t="s">
        <v>420</v>
      </c>
      <c r="F65" t="s">
        <v>2284</v>
      </c>
      <c r="G65" t="s">
        <v>2285</v>
      </c>
      <c r="H65" t="s">
        <v>75</v>
      </c>
      <c r="I65" t="s">
        <v>72</v>
      </c>
      <c r="J65" t="s">
        <v>52</v>
      </c>
      <c r="K65" t="s">
        <v>52</v>
      </c>
      <c r="L65" t="s">
        <v>775</v>
      </c>
      <c r="M65" t="s">
        <v>303</v>
      </c>
      <c r="N65" t="s">
        <v>620</v>
      </c>
      <c r="O65" t="s">
        <v>61</v>
      </c>
      <c r="P65" t="s">
        <v>1258</v>
      </c>
      <c r="Q65" s="124">
        <v>200839</v>
      </c>
      <c r="R65" s="124">
        <v>1</v>
      </c>
      <c r="S65" s="124">
        <v>2160</v>
      </c>
      <c r="T65" s="124">
        <v>0</v>
      </c>
      <c r="U65" s="124">
        <v>4338.1224000000002</v>
      </c>
      <c r="V65" s="125">
        <v>9.9285276899999998E-4</v>
      </c>
      <c r="W65" s="125">
        <v>4.1192438289999996E-3</v>
      </c>
      <c r="X65" s="125">
        <f>U65/'סכום נכסים'!$B$30</f>
        <v>7.810325662868544E-4</v>
      </c>
    </row>
    <row r="66" spans="1:24" ht="15" x14ac:dyDescent="0.25">
      <c r="A66">
        <v>13908</v>
      </c>
      <c r="B66">
        <v>13908</v>
      </c>
      <c r="C66" t="s">
        <v>2286</v>
      </c>
      <c r="D66">
        <v>510216054</v>
      </c>
      <c r="E66" t="s">
        <v>420</v>
      </c>
      <c r="F66" t="s">
        <v>2287</v>
      </c>
      <c r="G66" t="s">
        <v>2288</v>
      </c>
      <c r="H66" t="s">
        <v>75</v>
      </c>
      <c r="I66" t="s">
        <v>72</v>
      </c>
      <c r="J66" t="s">
        <v>52</v>
      </c>
      <c r="K66" t="s">
        <v>52</v>
      </c>
      <c r="L66" t="s">
        <v>775</v>
      </c>
      <c r="M66" t="s">
        <v>303</v>
      </c>
      <c r="N66" t="s">
        <v>154</v>
      </c>
      <c r="O66" t="s">
        <v>61</v>
      </c>
      <c r="P66" t="s">
        <v>1258</v>
      </c>
      <c r="Q66" s="124">
        <v>15652</v>
      </c>
      <c r="R66" s="124">
        <v>1</v>
      </c>
      <c r="S66" s="124">
        <v>79140</v>
      </c>
      <c r="T66" s="124">
        <v>189.00210999999999</v>
      </c>
      <c r="U66" s="124">
        <v>12575.994909999999</v>
      </c>
      <c r="V66" s="125">
        <v>1.453782542E-3</v>
      </c>
      <c r="W66" s="125">
        <v>1.1941477132E-2</v>
      </c>
      <c r="X66" s="125">
        <f>U66/'סכום נכסים'!$B$30</f>
        <v>2.2641734539734786E-3</v>
      </c>
    </row>
    <row r="67" spans="1:24" ht="15" x14ac:dyDescent="0.25">
      <c r="A67">
        <v>13908</v>
      </c>
      <c r="B67">
        <v>13908</v>
      </c>
      <c r="C67" t="s">
        <v>2289</v>
      </c>
      <c r="D67">
        <v>511930125</v>
      </c>
      <c r="E67" t="s">
        <v>420</v>
      </c>
      <c r="F67" t="s">
        <v>2290</v>
      </c>
      <c r="G67" t="s">
        <v>2291</v>
      </c>
      <c r="H67" t="s">
        <v>75</v>
      </c>
      <c r="I67" t="s">
        <v>72</v>
      </c>
      <c r="J67" t="s">
        <v>52</v>
      </c>
      <c r="K67" t="s">
        <v>52</v>
      </c>
      <c r="L67" t="s">
        <v>775</v>
      </c>
      <c r="M67" t="s">
        <v>303</v>
      </c>
      <c r="N67" t="s">
        <v>253</v>
      </c>
      <c r="O67" t="s">
        <v>61</v>
      </c>
      <c r="P67" t="s">
        <v>1258</v>
      </c>
      <c r="Q67" s="124">
        <v>69033</v>
      </c>
      <c r="R67" s="124">
        <v>1</v>
      </c>
      <c r="S67" s="124">
        <v>3077</v>
      </c>
      <c r="T67" s="124">
        <v>0</v>
      </c>
      <c r="U67" s="124">
        <v>2124.1454100000001</v>
      </c>
      <c r="V67" s="125">
        <v>4.0950764300000001E-4</v>
      </c>
      <c r="W67" s="125">
        <v>2.0169723360000001E-3</v>
      </c>
      <c r="X67" s="125">
        <f>U67/'סכום נכסים'!$B$30</f>
        <v>3.8242967527581573E-4</v>
      </c>
    </row>
    <row r="68" spans="1:24" ht="15" x14ac:dyDescent="0.25">
      <c r="A68">
        <v>13908</v>
      </c>
      <c r="B68">
        <v>13908</v>
      </c>
      <c r="C68" t="s">
        <v>2292</v>
      </c>
      <c r="D68">
        <v>512623950</v>
      </c>
      <c r="E68" t="s">
        <v>420</v>
      </c>
      <c r="F68" t="s">
        <v>2293</v>
      </c>
      <c r="G68" t="s">
        <v>2294</v>
      </c>
      <c r="H68" t="s">
        <v>75</v>
      </c>
      <c r="I68" t="s">
        <v>72</v>
      </c>
      <c r="J68" t="s">
        <v>52</v>
      </c>
      <c r="K68" t="s">
        <v>52</v>
      </c>
      <c r="L68" t="s">
        <v>775</v>
      </c>
      <c r="M68" t="s">
        <v>303</v>
      </c>
      <c r="N68" t="s">
        <v>256</v>
      </c>
      <c r="O68" t="s">
        <v>61</v>
      </c>
      <c r="P68" t="s">
        <v>1258</v>
      </c>
      <c r="Q68" s="124">
        <v>3879.42</v>
      </c>
      <c r="R68" s="124">
        <v>1</v>
      </c>
      <c r="S68" s="124">
        <v>10000</v>
      </c>
      <c r="T68" s="124">
        <v>0</v>
      </c>
      <c r="U68" s="124">
        <v>387.94200000000001</v>
      </c>
      <c r="V68" s="125">
        <v>1.251351532E-3</v>
      </c>
      <c r="W68" s="125">
        <v>3.6836851100000001E-4</v>
      </c>
      <c r="X68" s="125">
        <f>U68/'סכום נכסים'!$B$30</f>
        <v>6.9844810241051489E-5</v>
      </c>
    </row>
    <row r="69" spans="1:24" ht="15" x14ac:dyDescent="0.25">
      <c r="A69">
        <v>13908</v>
      </c>
      <c r="B69">
        <v>13908</v>
      </c>
      <c r="C69" t="s">
        <v>2295</v>
      </c>
      <c r="D69">
        <v>511725459</v>
      </c>
      <c r="E69" t="s">
        <v>420</v>
      </c>
      <c r="F69" t="s">
        <v>2296</v>
      </c>
      <c r="G69" t="s">
        <v>2297</v>
      </c>
      <c r="H69" t="s">
        <v>75</v>
      </c>
      <c r="I69" t="s">
        <v>72</v>
      </c>
      <c r="J69" t="s">
        <v>52</v>
      </c>
      <c r="K69" t="s">
        <v>52</v>
      </c>
      <c r="L69" t="s">
        <v>775</v>
      </c>
      <c r="M69" t="s">
        <v>303</v>
      </c>
      <c r="N69" t="s">
        <v>74</v>
      </c>
      <c r="O69" t="s">
        <v>61</v>
      </c>
      <c r="P69" t="s">
        <v>1258</v>
      </c>
      <c r="Q69" s="124">
        <v>124605</v>
      </c>
      <c r="R69" s="124">
        <v>1</v>
      </c>
      <c r="S69" s="124">
        <v>13720</v>
      </c>
      <c r="T69" s="124">
        <v>0</v>
      </c>
      <c r="U69" s="124">
        <v>17095.806</v>
      </c>
      <c r="V69" s="125">
        <v>5.9688862010000001E-3</v>
      </c>
      <c r="W69" s="125">
        <v>1.6233242607000001E-2</v>
      </c>
      <c r="X69" s="125">
        <f>U69/'סכום נכסים'!$B$30</f>
        <v>3.077917126755622E-3</v>
      </c>
    </row>
    <row r="70" spans="1:24" ht="15" x14ac:dyDescent="0.25">
      <c r="A70">
        <v>13908</v>
      </c>
      <c r="B70">
        <v>13908</v>
      </c>
      <c r="C70" t="s">
        <v>2298</v>
      </c>
      <c r="D70">
        <v>512726712</v>
      </c>
      <c r="E70" t="s">
        <v>420</v>
      </c>
      <c r="F70" t="s">
        <v>2299</v>
      </c>
      <c r="G70" t="s">
        <v>2300</v>
      </c>
      <c r="H70" t="s">
        <v>75</v>
      </c>
      <c r="I70" t="s">
        <v>72</v>
      </c>
      <c r="J70" t="s">
        <v>52</v>
      </c>
      <c r="K70" t="s">
        <v>52</v>
      </c>
      <c r="L70" t="s">
        <v>775</v>
      </c>
      <c r="M70" t="s">
        <v>303</v>
      </c>
      <c r="N70" t="s">
        <v>138</v>
      </c>
      <c r="O70" t="s">
        <v>61</v>
      </c>
      <c r="P70" t="s">
        <v>1258</v>
      </c>
      <c r="Q70" s="124">
        <v>122000</v>
      </c>
      <c r="R70" s="124">
        <v>1</v>
      </c>
      <c r="S70" s="124">
        <v>1233</v>
      </c>
      <c r="T70" s="124">
        <v>0</v>
      </c>
      <c r="U70" s="124">
        <v>1504.26</v>
      </c>
      <c r="V70" s="125">
        <v>5.4107048750000001E-3</v>
      </c>
      <c r="W70" s="125">
        <v>1.428363045E-3</v>
      </c>
      <c r="X70" s="125">
        <f>U70/'סכום נכסים'!$B$30</f>
        <v>2.7082593339520882E-4</v>
      </c>
    </row>
    <row r="71" spans="1:24" ht="15" x14ac:dyDescent="0.25">
      <c r="A71">
        <v>13908</v>
      </c>
      <c r="B71">
        <v>13908</v>
      </c>
      <c r="C71" t="s">
        <v>1657</v>
      </c>
      <c r="D71">
        <v>512781386</v>
      </c>
      <c r="E71" t="s">
        <v>420</v>
      </c>
      <c r="F71" t="s">
        <v>2301</v>
      </c>
      <c r="G71" t="s">
        <v>2302</v>
      </c>
      <c r="H71" t="s">
        <v>75</v>
      </c>
      <c r="I71" t="s">
        <v>72</v>
      </c>
      <c r="J71" t="s">
        <v>52</v>
      </c>
      <c r="K71" t="s">
        <v>52</v>
      </c>
      <c r="L71" t="s">
        <v>775</v>
      </c>
      <c r="M71" t="s">
        <v>303</v>
      </c>
      <c r="N71" t="s">
        <v>138</v>
      </c>
      <c r="O71" t="s">
        <v>61</v>
      </c>
      <c r="P71" t="s">
        <v>1258</v>
      </c>
      <c r="Q71" s="124">
        <v>490000</v>
      </c>
      <c r="R71" s="124">
        <v>1</v>
      </c>
      <c r="S71" s="124">
        <v>71.8</v>
      </c>
      <c r="T71" s="124">
        <v>0</v>
      </c>
      <c r="U71" s="124">
        <v>351.82</v>
      </c>
      <c r="V71" s="125">
        <v>1.1911045030000001E-3</v>
      </c>
      <c r="W71" s="125">
        <v>3.3406903500000001E-4</v>
      </c>
      <c r="X71" s="125">
        <f>U71/'סכום נכסים'!$B$30</f>
        <v>6.3341430262788589E-5</v>
      </c>
    </row>
    <row r="72" spans="1:24" ht="15" x14ac:dyDescent="0.25">
      <c r="A72">
        <v>13908</v>
      </c>
      <c r="B72">
        <v>13908</v>
      </c>
      <c r="C72" t="s">
        <v>2303</v>
      </c>
      <c r="D72">
        <v>520041005</v>
      </c>
      <c r="E72" t="s">
        <v>420</v>
      </c>
      <c r="F72" t="s">
        <v>2304</v>
      </c>
      <c r="G72" t="s">
        <v>2305</v>
      </c>
      <c r="H72" t="s">
        <v>75</v>
      </c>
      <c r="I72" t="s">
        <v>72</v>
      </c>
      <c r="J72" t="s">
        <v>52</v>
      </c>
      <c r="K72" t="s">
        <v>52</v>
      </c>
      <c r="L72" t="s">
        <v>775</v>
      </c>
      <c r="M72" t="s">
        <v>303</v>
      </c>
      <c r="N72" t="s">
        <v>138</v>
      </c>
      <c r="O72" t="s">
        <v>61</v>
      </c>
      <c r="P72" t="s">
        <v>1258</v>
      </c>
      <c r="Q72" s="124">
        <v>246623</v>
      </c>
      <c r="R72" s="124">
        <v>1</v>
      </c>
      <c r="S72" s="124">
        <v>589.29999999999995</v>
      </c>
      <c r="T72" s="124">
        <v>0</v>
      </c>
      <c r="U72" s="124">
        <v>1453.34934</v>
      </c>
      <c r="V72" s="125">
        <v>1.317747145E-3</v>
      </c>
      <c r="W72" s="125">
        <v>1.3800210659999999E-3</v>
      </c>
      <c r="X72" s="125">
        <f>U72/'סכום נכסים'!$B$30</f>
        <v>2.6166001326553303E-4</v>
      </c>
    </row>
    <row r="73" spans="1:24" ht="15" x14ac:dyDescent="0.25">
      <c r="A73">
        <v>13908</v>
      </c>
      <c r="B73">
        <v>13908</v>
      </c>
      <c r="C73" t="s">
        <v>1369</v>
      </c>
      <c r="D73">
        <v>510960719</v>
      </c>
      <c r="E73" t="s">
        <v>420</v>
      </c>
      <c r="F73" t="s">
        <v>2306</v>
      </c>
      <c r="G73" t="s">
        <v>2307</v>
      </c>
      <c r="H73" t="s">
        <v>75</v>
      </c>
      <c r="I73" t="s">
        <v>72</v>
      </c>
      <c r="J73" t="s">
        <v>52</v>
      </c>
      <c r="K73" t="s">
        <v>52</v>
      </c>
      <c r="L73" t="s">
        <v>775</v>
      </c>
      <c r="M73" t="s">
        <v>303</v>
      </c>
      <c r="N73" t="s">
        <v>620</v>
      </c>
      <c r="O73" t="s">
        <v>61</v>
      </c>
      <c r="P73" t="s">
        <v>1258</v>
      </c>
      <c r="Q73" s="124">
        <v>23766</v>
      </c>
      <c r="R73" s="124">
        <v>1</v>
      </c>
      <c r="S73" s="124">
        <v>40430</v>
      </c>
      <c r="T73" s="124">
        <v>0</v>
      </c>
      <c r="U73" s="124">
        <v>9608.5938000000006</v>
      </c>
      <c r="V73" s="125">
        <v>1.9094668699999999E-4</v>
      </c>
      <c r="W73" s="125">
        <v>9.1237952900000002E-3</v>
      </c>
      <c r="X73" s="125">
        <f>U73/'סכום נכסים'!$B$30</f>
        <v>1.7299246037921748E-3</v>
      </c>
    </row>
    <row r="74" spans="1:24" ht="15" x14ac:dyDescent="0.25">
      <c r="A74">
        <v>13908</v>
      </c>
      <c r="B74">
        <v>13908</v>
      </c>
      <c r="C74" t="s">
        <v>2308</v>
      </c>
      <c r="D74">
        <v>514068980</v>
      </c>
      <c r="E74" t="s">
        <v>420</v>
      </c>
      <c r="F74" t="s">
        <v>2309</v>
      </c>
      <c r="G74" t="s">
        <v>2310</v>
      </c>
      <c r="H74" t="s">
        <v>75</v>
      </c>
      <c r="I74" t="s">
        <v>72</v>
      </c>
      <c r="J74" t="s">
        <v>52</v>
      </c>
      <c r="K74" t="s">
        <v>52</v>
      </c>
      <c r="L74" t="s">
        <v>775</v>
      </c>
      <c r="M74" t="s">
        <v>303</v>
      </c>
      <c r="N74" t="s">
        <v>619</v>
      </c>
      <c r="O74" t="s">
        <v>61</v>
      </c>
      <c r="P74" t="s">
        <v>1258</v>
      </c>
      <c r="Q74" s="124">
        <v>3568</v>
      </c>
      <c r="R74" s="124">
        <v>1</v>
      </c>
      <c r="S74" s="124">
        <v>4731</v>
      </c>
      <c r="T74" s="124">
        <v>0</v>
      </c>
      <c r="U74" s="124">
        <v>168.80207999999999</v>
      </c>
      <c r="V74" s="125">
        <v>2.5152082599999998E-4</v>
      </c>
      <c r="W74" s="125">
        <v>1.60285225E-4</v>
      </c>
      <c r="X74" s="125">
        <f>U74/'סכום נכסים'!$B$30</f>
        <v>3.0391010114642889E-5</v>
      </c>
    </row>
    <row r="75" spans="1:24" ht="15" x14ac:dyDescent="0.25">
      <c r="A75">
        <v>13908</v>
      </c>
      <c r="B75">
        <v>13908</v>
      </c>
      <c r="C75" t="s">
        <v>1361</v>
      </c>
      <c r="D75">
        <v>514065283</v>
      </c>
      <c r="E75" t="s">
        <v>420</v>
      </c>
      <c r="F75" t="s">
        <v>2311</v>
      </c>
      <c r="G75" t="s">
        <v>2312</v>
      </c>
      <c r="H75" t="s">
        <v>75</v>
      </c>
      <c r="I75" t="s">
        <v>72</v>
      </c>
      <c r="J75" t="s">
        <v>52</v>
      </c>
      <c r="K75" t="s">
        <v>52</v>
      </c>
      <c r="L75" t="s">
        <v>775</v>
      </c>
      <c r="M75" t="s">
        <v>303</v>
      </c>
      <c r="N75" t="s">
        <v>74</v>
      </c>
      <c r="O75" t="s">
        <v>61</v>
      </c>
      <c r="P75" t="s">
        <v>1258</v>
      </c>
      <c r="Q75" s="124">
        <v>203415</v>
      </c>
      <c r="R75" s="124">
        <v>1</v>
      </c>
      <c r="S75" s="124">
        <v>3341</v>
      </c>
      <c r="T75" s="124">
        <v>0</v>
      </c>
      <c r="U75" s="124">
        <v>6796.0951500000001</v>
      </c>
      <c r="V75" s="125">
        <v>2.1513179160000001E-3</v>
      </c>
      <c r="W75" s="125">
        <v>6.453200355E-3</v>
      </c>
      <c r="X75" s="125">
        <f>U75/'סכום נכסים'!$B$30</f>
        <v>1.2235642857228151E-3</v>
      </c>
    </row>
    <row r="76" spans="1:24" ht="15" x14ac:dyDescent="0.25">
      <c r="A76">
        <v>13908</v>
      </c>
      <c r="B76">
        <v>13908</v>
      </c>
      <c r="C76" t="s">
        <v>1790</v>
      </c>
      <c r="D76">
        <v>512719485</v>
      </c>
      <c r="E76" t="s">
        <v>420</v>
      </c>
      <c r="F76" t="s">
        <v>2313</v>
      </c>
      <c r="G76" t="s">
        <v>2314</v>
      </c>
      <c r="H76" t="s">
        <v>75</v>
      </c>
      <c r="I76" t="s">
        <v>72</v>
      </c>
      <c r="J76" t="s">
        <v>52</v>
      </c>
      <c r="K76" t="s">
        <v>52</v>
      </c>
      <c r="L76" t="s">
        <v>775</v>
      </c>
      <c r="M76" t="s">
        <v>303</v>
      </c>
      <c r="N76" t="s">
        <v>620</v>
      </c>
      <c r="O76" t="s">
        <v>61</v>
      </c>
      <c r="P76" t="s">
        <v>1258</v>
      </c>
      <c r="Q76" s="124">
        <v>100000</v>
      </c>
      <c r="R76" s="124">
        <v>1</v>
      </c>
      <c r="S76" s="124">
        <v>1586</v>
      </c>
      <c r="T76" s="124">
        <v>0</v>
      </c>
      <c r="U76" s="124">
        <v>1586</v>
      </c>
      <c r="V76" s="125">
        <v>6.5764589999999998E-4</v>
      </c>
      <c r="W76" s="125">
        <v>1.50597888E-3</v>
      </c>
      <c r="X76" s="125">
        <f>U76/'סכום נכסים'!$B$30</f>
        <v>2.8554234664539453E-4</v>
      </c>
    </row>
    <row r="77" spans="1:24" ht="15" x14ac:dyDescent="0.25">
      <c r="A77">
        <v>13908</v>
      </c>
      <c r="B77">
        <v>13908</v>
      </c>
      <c r="C77" t="s">
        <v>2315</v>
      </c>
      <c r="D77">
        <v>515001659</v>
      </c>
      <c r="E77" t="s">
        <v>420</v>
      </c>
      <c r="F77" t="s">
        <v>2316</v>
      </c>
      <c r="G77" t="s">
        <v>2317</v>
      </c>
      <c r="H77" t="s">
        <v>75</v>
      </c>
      <c r="I77" t="s">
        <v>72</v>
      </c>
      <c r="J77" t="s">
        <v>52</v>
      </c>
      <c r="K77" t="s">
        <v>52</v>
      </c>
      <c r="L77" t="s">
        <v>775</v>
      </c>
      <c r="M77" t="s">
        <v>303</v>
      </c>
      <c r="N77" t="s">
        <v>256</v>
      </c>
      <c r="O77" t="s">
        <v>61</v>
      </c>
      <c r="P77" t="s">
        <v>1258</v>
      </c>
      <c r="Q77" s="124">
        <v>225549</v>
      </c>
      <c r="R77" s="124">
        <v>1</v>
      </c>
      <c r="S77" s="124">
        <v>2401</v>
      </c>
      <c r="T77" s="124">
        <v>0</v>
      </c>
      <c r="U77" s="124">
        <v>5415.4314899999999</v>
      </c>
      <c r="V77" s="125">
        <v>1.509927032E-3</v>
      </c>
      <c r="W77" s="125">
        <v>5.1421976360000003E-3</v>
      </c>
      <c r="X77" s="125">
        <f>U77/'סכום נכסים'!$B$30</f>
        <v>9.7499055217652305E-4</v>
      </c>
    </row>
    <row r="78" spans="1:24" ht="15" x14ac:dyDescent="0.25">
      <c r="A78">
        <v>13908</v>
      </c>
      <c r="B78">
        <v>13908</v>
      </c>
      <c r="C78" t="s">
        <v>1479</v>
      </c>
      <c r="D78">
        <v>514892801</v>
      </c>
      <c r="E78" t="s">
        <v>420</v>
      </c>
      <c r="F78" t="s">
        <v>2318</v>
      </c>
      <c r="G78" t="s">
        <v>2319</v>
      </c>
      <c r="H78" t="s">
        <v>75</v>
      </c>
      <c r="I78" t="s">
        <v>72</v>
      </c>
      <c r="J78" t="s">
        <v>52</v>
      </c>
      <c r="K78" t="s">
        <v>52</v>
      </c>
      <c r="L78" t="s">
        <v>775</v>
      </c>
      <c r="M78" t="s">
        <v>303</v>
      </c>
      <c r="N78" t="s">
        <v>256</v>
      </c>
      <c r="O78" t="s">
        <v>61</v>
      </c>
      <c r="P78" t="s">
        <v>1258</v>
      </c>
      <c r="Q78" s="124">
        <v>136026</v>
      </c>
      <c r="R78" s="124">
        <v>1</v>
      </c>
      <c r="S78" s="124">
        <v>4500</v>
      </c>
      <c r="T78" s="124">
        <v>0</v>
      </c>
      <c r="U78" s="124">
        <v>6121.17</v>
      </c>
      <c r="V78" s="125">
        <v>3.7899659599999999E-4</v>
      </c>
      <c r="W78" s="125">
        <v>5.8123283359999998E-3</v>
      </c>
      <c r="X78" s="125">
        <f>U78/'סכום נכסים'!$B$30</f>
        <v>1.1020512269958322E-3</v>
      </c>
    </row>
    <row r="79" spans="1:24" ht="15" x14ac:dyDescent="0.25">
      <c r="A79">
        <v>13908</v>
      </c>
      <c r="B79">
        <v>13908</v>
      </c>
      <c r="C79" t="s">
        <v>2320</v>
      </c>
      <c r="D79">
        <v>2250</v>
      </c>
      <c r="E79" t="s">
        <v>2</v>
      </c>
      <c r="F79" t="s">
        <v>2321</v>
      </c>
      <c r="G79" t="s">
        <v>2322</v>
      </c>
      <c r="H79" t="s">
        <v>75</v>
      </c>
      <c r="I79" t="s">
        <v>72</v>
      </c>
      <c r="J79" t="s">
        <v>52</v>
      </c>
      <c r="K79" t="s">
        <v>306</v>
      </c>
      <c r="L79" t="s">
        <v>775</v>
      </c>
      <c r="M79" t="s">
        <v>303</v>
      </c>
      <c r="N79" t="s">
        <v>616</v>
      </c>
      <c r="O79" t="s">
        <v>61</v>
      </c>
      <c r="P79" t="s">
        <v>1258</v>
      </c>
      <c r="Q79" s="124">
        <v>27395</v>
      </c>
      <c r="R79" s="124">
        <v>1</v>
      </c>
      <c r="S79" s="124">
        <v>32500</v>
      </c>
      <c r="T79" s="124">
        <v>0</v>
      </c>
      <c r="U79" s="124">
        <v>8903.375</v>
      </c>
      <c r="V79" s="125">
        <v>4.8435641000000001E-4</v>
      </c>
      <c r="W79" s="125">
        <v>8.4541580780000004E-3</v>
      </c>
      <c r="X79" s="125">
        <f>U79/'סכום נכסים'!$B$30</f>
        <v>1.6029574972029885E-3</v>
      </c>
    </row>
    <row r="80" spans="1:24" ht="15" x14ac:dyDescent="0.25">
      <c r="A80">
        <v>13908</v>
      </c>
      <c r="B80">
        <v>13908</v>
      </c>
      <c r="C80" t="s">
        <v>1473</v>
      </c>
      <c r="D80">
        <v>515434074</v>
      </c>
      <c r="E80" t="s">
        <v>420</v>
      </c>
      <c r="F80" t="s">
        <v>2323</v>
      </c>
      <c r="G80" t="s">
        <v>2324</v>
      </c>
      <c r="H80" t="s">
        <v>75</v>
      </c>
      <c r="I80" t="s">
        <v>72</v>
      </c>
      <c r="J80" t="s">
        <v>52</v>
      </c>
      <c r="K80" t="s">
        <v>52</v>
      </c>
      <c r="L80" t="s">
        <v>775</v>
      </c>
      <c r="M80" t="s">
        <v>303</v>
      </c>
      <c r="N80" t="s">
        <v>620</v>
      </c>
      <c r="O80" t="s">
        <v>61</v>
      </c>
      <c r="P80" t="s">
        <v>1258</v>
      </c>
      <c r="Q80" s="124">
        <v>1441063.16</v>
      </c>
      <c r="R80" s="124">
        <v>1</v>
      </c>
      <c r="S80" s="124">
        <v>801.3</v>
      </c>
      <c r="T80" s="124">
        <v>48.967329999999997</v>
      </c>
      <c r="U80" s="124">
        <v>11596.20643</v>
      </c>
      <c r="V80" s="125">
        <v>8.0661876629999994E-3</v>
      </c>
      <c r="W80" s="125">
        <v>1.1011123564000001E-2</v>
      </c>
      <c r="X80" s="125">
        <f>U80/'סכום נכסים'!$B$30</f>
        <v>2.0877730114795797E-3</v>
      </c>
    </row>
    <row r="81" spans="1:24" ht="15" x14ac:dyDescent="0.25">
      <c r="A81">
        <v>13908</v>
      </c>
      <c r="B81">
        <v>13908</v>
      </c>
      <c r="C81" t="s">
        <v>1473</v>
      </c>
      <c r="D81">
        <v>515434074</v>
      </c>
      <c r="E81" t="s">
        <v>420</v>
      </c>
      <c r="F81" t="s">
        <v>2325</v>
      </c>
      <c r="G81" t="s">
        <v>2324</v>
      </c>
      <c r="H81" t="s">
        <v>75</v>
      </c>
      <c r="I81" t="s">
        <v>72</v>
      </c>
      <c r="J81" t="s">
        <v>52</v>
      </c>
      <c r="K81" t="s">
        <v>52</v>
      </c>
      <c r="L81" t="s">
        <v>53</v>
      </c>
      <c r="M81" t="s">
        <v>303</v>
      </c>
      <c r="N81" t="s">
        <v>620</v>
      </c>
      <c r="O81" t="s">
        <v>61</v>
      </c>
      <c r="P81" t="s">
        <v>1258</v>
      </c>
      <c r="Q81" s="124">
        <v>418025</v>
      </c>
      <c r="R81" s="124">
        <v>1</v>
      </c>
      <c r="S81" s="124">
        <v>803.11149999999998</v>
      </c>
      <c r="T81" s="124">
        <v>14.20449</v>
      </c>
      <c r="U81" s="124">
        <v>3371.4113299999999</v>
      </c>
      <c r="V81" s="125">
        <v>2.3398475449999999E-3</v>
      </c>
      <c r="W81" s="125">
        <v>3.2013078550000001E-3</v>
      </c>
      <c r="X81" s="125">
        <f>U81/'סכום נכסים'!$B$30</f>
        <v>6.0698657167406725E-4</v>
      </c>
    </row>
    <row r="82" spans="1:24" ht="15" x14ac:dyDescent="0.25">
      <c r="A82">
        <v>13908</v>
      </c>
      <c r="B82">
        <v>13908</v>
      </c>
      <c r="C82" t="s">
        <v>1687</v>
      </c>
      <c r="D82">
        <v>514401702</v>
      </c>
      <c r="E82" t="s">
        <v>420</v>
      </c>
      <c r="F82" t="s">
        <v>2326</v>
      </c>
      <c r="G82" t="s">
        <v>2327</v>
      </c>
      <c r="H82" t="s">
        <v>75</v>
      </c>
      <c r="I82" t="s">
        <v>72</v>
      </c>
      <c r="J82" t="s">
        <v>52</v>
      </c>
      <c r="K82" t="s">
        <v>52</v>
      </c>
      <c r="L82" t="s">
        <v>775</v>
      </c>
      <c r="M82" t="s">
        <v>303</v>
      </c>
      <c r="N82" t="s">
        <v>154</v>
      </c>
      <c r="O82" t="s">
        <v>61</v>
      </c>
      <c r="P82" t="s">
        <v>1258</v>
      </c>
      <c r="Q82" s="124">
        <v>244892</v>
      </c>
      <c r="R82" s="124">
        <v>1</v>
      </c>
      <c r="S82" s="124">
        <v>9250</v>
      </c>
      <c r="T82" s="124">
        <v>0</v>
      </c>
      <c r="U82" s="124">
        <v>22652.51</v>
      </c>
      <c r="V82" s="125">
        <v>7.8971609600000004E-4</v>
      </c>
      <c r="W82" s="125">
        <v>2.1509584894000001E-2</v>
      </c>
      <c r="X82" s="125">
        <f>U82/'סכום נכסים'!$B$30</f>
        <v>4.0783422842422864E-3</v>
      </c>
    </row>
    <row r="83" spans="1:24" ht="15" x14ac:dyDescent="0.25">
      <c r="A83">
        <v>13908</v>
      </c>
      <c r="B83">
        <v>13908</v>
      </c>
      <c r="C83" t="s">
        <v>1698</v>
      </c>
      <c r="D83">
        <v>550263107</v>
      </c>
      <c r="E83" t="s">
        <v>420</v>
      </c>
      <c r="F83" t="s">
        <v>2328</v>
      </c>
      <c r="G83" t="s">
        <v>2329</v>
      </c>
      <c r="H83" t="s">
        <v>75</v>
      </c>
      <c r="I83" t="s">
        <v>448</v>
      </c>
      <c r="J83" t="s">
        <v>52</v>
      </c>
      <c r="K83" t="s">
        <v>52</v>
      </c>
      <c r="L83" t="s">
        <v>775</v>
      </c>
      <c r="M83" t="s">
        <v>303</v>
      </c>
      <c r="N83" t="s">
        <v>260</v>
      </c>
      <c r="O83" t="s">
        <v>61</v>
      </c>
      <c r="P83" t="s">
        <v>1258</v>
      </c>
      <c r="Q83" s="124">
        <v>93781</v>
      </c>
      <c r="R83" s="124">
        <v>1</v>
      </c>
      <c r="S83" s="124">
        <v>11950</v>
      </c>
      <c r="T83" s="124">
        <v>0</v>
      </c>
      <c r="U83" s="124">
        <v>11206.8295</v>
      </c>
      <c r="V83" s="125">
        <v>7.9027591100000005E-4</v>
      </c>
      <c r="W83" s="125">
        <v>1.0641392522E-2</v>
      </c>
      <c r="X83" s="125">
        <f>U83/'סכום נכסים'!$B$30</f>
        <v>2.0176698574305382E-3</v>
      </c>
    </row>
    <row r="84" spans="1:24" ht="15" x14ac:dyDescent="0.25">
      <c r="A84">
        <v>13908</v>
      </c>
      <c r="B84">
        <v>13908</v>
      </c>
      <c r="C84" t="s">
        <v>2330</v>
      </c>
      <c r="D84">
        <v>512466723</v>
      </c>
      <c r="E84" t="s">
        <v>420</v>
      </c>
      <c r="F84" t="s">
        <v>2331</v>
      </c>
      <c r="G84" t="s">
        <v>2332</v>
      </c>
      <c r="H84" t="s">
        <v>75</v>
      </c>
      <c r="I84" t="s">
        <v>72</v>
      </c>
      <c r="J84" t="s">
        <v>52</v>
      </c>
      <c r="K84" t="s">
        <v>52</v>
      </c>
      <c r="L84" t="s">
        <v>775</v>
      </c>
      <c r="M84" t="s">
        <v>303</v>
      </c>
      <c r="N84" t="s">
        <v>1211</v>
      </c>
      <c r="O84" t="s">
        <v>61</v>
      </c>
      <c r="P84" t="s">
        <v>1258</v>
      </c>
      <c r="Q84" s="124">
        <v>34460</v>
      </c>
      <c r="R84" s="124">
        <v>1</v>
      </c>
      <c r="S84" s="124">
        <v>623.4</v>
      </c>
      <c r="T84" s="124">
        <v>0</v>
      </c>
      <c r="U84" s="124">
        <v>214.82364000000001</v>
      </c>
      <c r="V84" s="125">
        <v>3.3797557999999998E-4</v>
      </c>
      <c r="W84" s="125">
        <v>2.0398478200000001E-4</v>
      </c>
      <c r="X84" s="125">
        <f>U84/'סכום נכסים'!$B$30</f>
        <v>3.8676700050760057E-5</v>
      </c>
    </row>
    <row r="85" spans="1:24" ht="15" x14ac:dyDescent="0.25">
      <c r="A85">
        <v>13908</v>
      </c>
      <c r="B85">
        <v>13908</v>
      </c>
      <c r="C85" t="s">
        <v>2333</v>
      </c>
      <c r="D85">
        <v>512607888</v>
      </c>
      <c r="E85" t="s">
        <v>420</v>
      </c>
      <c r="F85" t="s">
        <v>2334</v>
      </c>
      <c r="G85" t="s">
        <v>2335</v>
      </c>
      <c r="H85" t="s">
        <v>75</v>
      </c>
      <c r="I85" t="s">
        <v>72</v>
      </c>
      <c r="J85" t="s">
        <v>52</v>
      </c>
      <c r="K85" t="s">
        <v>52</v>
      </c>
      <c r="L85" t="s">
        <v>775</v>
      </c>
      <c r="M85" t="s">
        <v>303</v>
      </c>
      <c r="N85" t="s">
        <v>252</v>
      </c>
      <c r="O85" t="s">
        <v>61</v>
      </c>
      <c r="P85" t="s">
        <v>1258</v>
      </c>
      <c r="Q85" s="124">
        <v>6880</v>
      </c>
      <c r="R85" s="124">
        <v>1</v>
      </c>
      <c r="S85" s="124">
        <v>70260</v>
      </c>
      <c r="T85" s="124">
        <v>0</v>
      </c>
      <c r="U85" s="124">
        <v>4833.8879999999999</v>
      </c>
      <c r="V85" s="125">
        <v>4.1698849899999998E-4</v>
      </c>
      <c r="W85" s="125">
        <v>4.5899957349999996E-3</v>
      </c>
      <c r="X85" s="125">
        <f>U85/'סכום נכסים'!$B$30</f>
        <v>8.7028986314061346E-4</v>
      </c>
    </row>
    <row r="86" spans="1:24" ht="15" x14ac:dyDescent="0.25">
      <c r="A86">
        <v>13908</v>
      </c>
      <c r="B86">
        <v>13908</v>
      </c>
      <c r="C86" t="s">
        <v>1577</v>
      </c>
      <c r="D86">
        <v>511809071</v>
      </c>
      <c r="E86" t="s">
        <v>420</v>
      </c>
      <c r="F86" t="s">
        <v>2336</v>
      </c>
      <c r="G86" t="s">
        <v>2337</v>
      </c>
      <c r="H86" t="s">
        <v>75</v>
      </c>
      <c r="I86" t="s">
        <v>72</v>
      </c>
      <c r="J86" t="s">
        <v>52</v>
      </c>
      <c r="K86" t="s">
        <v>52</v>
      </c>
      <c r="L86" t="s">
        <v>775</v>
      </c>
      <c r="M86" t="s">
        <v>303</v>
      </c>
      <c r="N86" t="s">
        <v>74</v>
      </c>
      <c r="O86" t="s">
        <v>61</v>
      </c>
      <c r="P86" t="s">
        <v>1258</v>
      </c>
      <c r="Q86" s="124">
        <v>168000</v>
      </c>
      <c r="R86" s="124">
        <v>1</v>
      </c>
      <c r="S86" s="124">
        <v>2920</v>
      </c>
      <c r="T86" s="124">
        <v>0</v>
      </c>
      <c r="U86" s="124">
        <v>4905.6000000000004</v>
      </c>
      <c r="V86" s="125">
        <v>1.3333333330000001E-3</v>
      </c>
      <c r="W86" s="125">
        <v>4.6580895300000003E-3</v>
      </c>
      <c r="X86" s="125">
        <f>U86/'סכום נכסים'!$B$30</f>
        <v>8.8320084218388882E-4</v>
      </c>
    </row>
    <row r="87" spans="1:24" ht="15" x14ac:dyDescent="0.25">
      <c r="A87">
        <v>13908</v>
      </c>
      <c r="B87">
        <v>13908</v>
      </c>
      <c r="C87" t="s">
        <v>2338</v>
      </c>
      <c r="D87">
        <v>515809499</v>
      </c>
      <c r="E87" t="s">
        <v>420</v>
      </c>
      <c r="F87" t="s">
        <v>2339</v>
      </c>
      <c r="G87" t="s">
        <v>2340</v>
      </c>
      <c r="H87" t="s">
        <v>75</v>
      </c>
      <c r="I87" t="s">
        <v>72</v>
      </c>
      <c r="J87" t="s">
        <v>52</v>
      </c>
      <c r="K87" t="s">
        <v>52</v>
      </c>
      <c r="L87" t="s">
        <v>775</v>
      </c>
      <c r="M87" t="s">
        <v>303</v>
      </c>
      <c r="N87" t="s">
        <v>74</v>
      </c>
      <c r="O87" t="s">
        <v>61</v>
      </c>
      <c r="P87" t="s">
        <v>1258</v>
      </c>
      <c r="Q87" s="124">
        <v>5</v>
      </c>
      <c r="R87" s="124">
        <v>1</v>
      </c>
      <c r="S87" s="124">
        <v>11300</v>
      </c>
      <c r="T87" s="124">
        <v>0</v>
      </c>
      <c r="U87" s="124">
        <v>0.56499999999999995</v>
      </c>
      <c r="V87" s="125">
        <v>4.0419032190525602E-6</v>
      </c>
      <c r="W87" s="125">
        <v>5.3649310674808695E-7</v>
      </c>
      <c r="X87" s="125">
        <f>U87/'סכום נכסים'!$B$30</f>
        <v>1.0172221050103903E-7</v>
      </c>
    </row>
    <row r="88" spans="1:24" ht="15" x14ac:dyDescent="0.25">
      <c r="A88">
        <v>13908</v>
      </c>
      <c r="B88">
        <v>13908</v>
      </c>
      <c r="C88" t="s">
        <v>2341</v>
      </c>
      <c r="D88">
        <v>1762</v>
      </c>
      <c r="E88" t="s">
        <v>2</v>
      </c>
      <c r="F88" t="s">
        <v>2342</v>
      </c>
      <c r="G88" t="s">
        <v>2343</v>
      </c>
      <c r="H88" t="s">
        <v>75</v>
      </c>
      <c r="I88" t="s">
        <v>72</v>
      </c>
      <c r="J88" t="s">
        <v>52</v>
      </c>
      <c r="K88" t="s">
        <v>52</v>
      </c>
      <c r="L88" t="s">
        <v>775</v>
      </c>
      <c r="M88" t="s">
        <v>303</v>
      </c>
      <c r="N88" t="s">
        <v>260</v>
      </c>
      <c r="O88" t="s">
        <v>61</v>
      </c>
      <c r="P88" t="s">
        <v>1258</v>
      </c>
      <c r="Q88" s="124">
        <v>38701</v>
      </c>
      <c r="R88" s="124">
        <v>1</v>
      </c>
      <c r="S88" s="124">
        <v>2679</v>
      </c>
      <c r="T88" s="124">
        <v>11.529030000000001</v>
      </c>
      <c r="U88" s="124">
        <v>1048.32882</v>
      </c>
      <c r="V88" s="125">
        <v>2.1001084499999999E-4</v>
      </c>
      <c r="W88" s="125">
        <v>9.9543572599999994E-4</v>
      </c>
      <c r="X88" s="125">
        <f>U88/'סכום נכסים'!$B$30</f>
        <v>1.8874039805724931E-4</v>
      </c>
    </row>
    <row r="89" spans="1:24" ht="15" x14ac:dyDescent="0.25">
      <c r="A89">
        <v>13908</v>
      </c>
      <c r="B89">
        <v>13908</v>
      </c>
      <c r="C89" t="s">
        <v>2344</v>
      </c>
      <c r="D89">
        <v>515846558</v>
      </c>
      <c r="E89" t="s">
        <v>420</v>
      </c>
      <c r="F89" t="s">
        <v>2345</v>
      </c>
      <c r="G89" t="s">
        <v>2346</v>
      </c>
      <c r="H89" t="s">
        <v>75</v>
      </c>
      <c r="I89" t="s">
        <v>72</v>
      </c>
      <c r="J89" t="s">
        <v>52</v>
      </c>
      <c r="K89" t="s">
        <v>52</v>
      </c>
      <c r="L89" t="s">
        <v>775</v>
      </c>
      <c r="M89" t="s">
        <v>303</v>
      </c>
      <c r="N89" t="s">
        <v>675</v>
      </c>
      <c r="O89" t="s">
        <v>61</v>
      </c>
      <c r="P89" t="s">
        <v>1258</v>
      </c>
      <c r="Q89" s="124">
        <v>4150000</v>
      </c>
      <c r="R89" s="124">
        <v>1</v>
      </c>
      <c r="S89" s="124">
        <v>277</v>
      </c>
      <c r="T89" s="124">
        <v>60.38541</v>
      </c>
      <c r="U89" s="124">
        <v>11555.885410000001</v>
      </c>
      <c r="V89" s="125">
        <v>1.8959989790000001E-3</v>
      </c>
      <c r="W89" s="125">
        <v>1.0972836927999999E-2</v>
      </c>
      <c r="X89" s="125">
        <f>U89/'סכום נכסים'!$B$30</f>
        <v>2.0805136428352316E-3</v>
      </c>
    </row>
    <row r="90" spans="1:24" ht="15" x14ac:dyDescent="0.25">
      <c r="A90">
        <v>13908</v>
      </c>
      <c r="B90">
        <v>13908</v>
      </c>
      <c r="C90" t="s">
        <v>2347</v>
      </c>
      <c r="D90">
        <v>520020033</v>
      </c>
      <c r="E90" t="s">
        <v>420</v>
      </c>
      <c r="F90" t="s">
        <v>2348</v>
      </c>
      <c r="G90" t="s">
        <v>2349</v>
      </c>
      <c r="H90" t="s">
        <v>75</v>
      </c>
      <c r="I90" t="s">
        <v>72</v>
      </c>
      <c r="J90" t="s">
        <v>52</v>
      </c>
      <c r="K90" t="s">
        <v>52</v>
      </c>
      <c r="L90" t="s">
        <v>775</v>
      </c>
      <c r="M90" t="s">
        <v>303</v>
      </c>
      <c r="N90" t="s">
        <v>1212</v>
      </c>
      <c r="O90" t="s">
        <v>61</v>
      </c>
      <c r="P90" t="s">
        <v>1258</v>
      </c>
      <c r="Q90" s="124">
        <v>103799</v>
      </c>
      <c r="R90" s="124">
        <v>1</v>
      </c>
      <c r="S90" s="124">
        <v>12350</v>
      </c>
      <c r="T90" s="124">
        <v>0</v>
      </c>
      <c r="U90" s="124">
        <v>12819.1765</v>
      </c>
      <c r="V90" s="125">
        <v>1.1056975550000001E-3</v>
      </c>
      <c r="W90" s="125">
        <v>1.2172389073000001E-2</v>
      </c>
      <c r="X90" s="125">
        <f>U90/'סכום נכסים'!$B$30</f>
        <v>2.3079556997928725E-3</v>
      </c>
    </row>
    <row r="91" spans="1:24" ht="15" x14ac:dyDescent="0.25">
      <c r="A91">
        <v>13908</v>
      </c>
      <c r="B91">
        <v>13908</v>
      </c>
      <c r="C91" t="s">
        <v>1469</v>
      </c>
      <c r="D91">
        <v>516117181</v>
      </c>
      <c r="E91" t="s">
        <v>420</v>
      </c>
      <c r="F91" t="s">
        <v>2350</v>
      </c>
      <c r="G91" t="s">
        <v>2351</v>
      </c>
      <c r="H91" t="s">
        <v>75</v>
      </c>
      <c r="I91" t="s">
        <v>72</v>
      </c>
      <c r="J91" t="s">
        <v>52</v>
      </c>
      <c r="K91" t="s">
        <v>52</v>
      </c>
      <c r="L91" t="s">
        <v>775</v>
      </c>
      <c r="M91" t="s">
        <v>303</v>
      </c>
      <c r="N91" t="s">
        <v>620</v>
      </c>
      <c r="O91" t="s">
        <v>61</v>
      </c>
      <c r="P91" t="s">
        <v>1258</v>
      </c>
      <c r="Q91" s="124">
        <v>7643.38</v>
      </c>
      <c r="R91" s="124">
        <v>1</v>
      </c>
      <c r="S91" s="124">
        <v>619.70000000000005</v>
      </c>
      <c r="T91" s="124">
        <v>0</v>
      </c>
      <c r="U91" s="124">
        <v>47.366030000000002</v>
      </c>
      <c r="V91" s="125">
        <v>7.5171434080063997E-5</v>
      </c>
      <c r="W91" s="125">
        <v>4.4976192192961203E-5</v>
      </c>
      <c r="X91" s="125">
        <f>U91/'סכום נכסים'!$B$30</f>
        <v>8.5277473880681955E-6</v>
      </c>
    </row>
    <row r="92" spans="1:24" ht="15" x14ac:dyDescent="0.25">
      <c r="A92">
        <v>13908</v>
      </c>
      <c r="B92">
        <v>13908</v>
      </c>
      <c r="C92" t="s">
        <v>1490</v>
      </c>
      <c r="D92">
        <v>515364891</v>
      </c>
      <c r="E92" t="s">
        <v>420</v>
      </c>
      <c r="F92" t="s">
        <v>2352</v>
      </c>
      <c r="G92" t="s">
        <v>2353</v>
      </c>
      <c r="H92" t="s">
        <v>75</v>
      </c>
      <c r="I92" t="s">
        <v>72</v>
      </c>
      <c r="J92" t="s">
        <v>52</v>
      </c>
      <c r="K92" t="s">
        <v>52</v>
      </c>
      <c r="L92" t="s">
        <v>775</v>
      </c>
      <c r="M92" t="s">
        <v>303</v>
      </c>
      <c r="N92" t="s">
        <v>616</v>
      </c>
      <c r="O92" t="s">
        <v>61</v>
      </c>
      <c r="P92" t="s">
        <v>1258</v>
      </c>
      <c r="Q92" s="124">
        <v>200000</v>
      </c>
      <c r="R92" s="124">
        <v>1</v>
      </c>
      <c r="S92" s="124">
        <v>7702</v>
      </c>
      <c r="T92" s="124">
        <v>0</v>
      </c>
      <c r="U92" s="124">
        <v>15404</v>
      </c>
      <c r="V92" s="125">
        <v>9.2758866199999998E-4</v>
      </c>
      <c r="W92" s="125">
        <v>1.4626796135E-2</v>
      </c>
      <c r="X92" s="125">
        <f>U92/'סכום נכסים'!$B$30</f>
        <v>2.773325540810629E-3</v>
      </c>
    </row>
    <row r="93" spans="1:24" ht="15" x14ac:dyDescent="0.25">
      <c r="A93">
        <v>13908</v>
      </c>
      <c r="B93">
        <v>13908</v>
      </c>
      <c r="C93" t="s">
        <v>2354</v>
      </c>
      <c r="D93">
        <v>513618967</v>
      </c>
      <c r="E93" t="s">
        <v>420</v>
      </c>
      <c r="F93" t="s">
        <v>2355</v>
      </c>
      <c r="G93" t="s">
        <v>2356</v>
      </c>
      <c r="H93" t="s">
        <v>75</v>
      </c>
      <c r="I93" t="s">
        <v>72</v>
      </c>
      <c r="J93" t="s">
        <v>52</v>
      </c>
      <c r="K93" t="s">
        <v>52</v>
      </c>
      <c r="L93" t="s">
        <v>775</v>
      </c>
      <c r="M93" t="s">
        <v>303</v>
      </c>
      <c r="N93" t="s">
        <v>619</v>
      </c>
      <c r="O93" t="s">
        <v>61</v>
      </c>
      <c r="P93" t="s">
        <v>1258</v>
      </c>
      <c r="Q93" s="124">
        <v>319636</v>
      </c>
      <c r="R93" s="124">
        <v>1</v>
      </c>
      <c r="S93" s="124">
        <v>3605</v>
      </c>
      <c r="T93" s="124">
        <v>0</v>
      </c>
      <c r="U93" s="124">
        <v>11522.8778</v>
      </c>
      <c r="V93" s="125">
        <v>2.2849552409999999E-3</v>
      </c>
      <c r="W93" s="125">
        <v>1.0941494707E-2</v>
      </c>
      <c r="X93" s="125">
        <f>U93/'סכום נכסים'!$B$30</f>
        <v>2.0745709754855747E-3</v>
      </c>
    </row>
    <row r="94" spans="1:24" ht="15" x14ac:dyDescent="0.25">
      <c r="A94">
        <v>13908</v>
      </c>
      <c r="B94">
        <v>13908</v>
      </c>
      <c r="C94" t="s">
        <v>1493</v>
      </c>
      <c r="D94">
        <v>514599943</v>
      </c>
      <c r="E94" t="s">
        <v>420</v>
      </c>
      <c r="F94" t="s">
        <v>2357</v>
      </c>
      <c r="G94" t="s">
        <v>2358</v>
      </c>
      <c r="H94" t="s">
        <v>75</v>
      </c>
      <c r="I94" t="s">
        <v>72</v>
      </c>
      <c r="J94" t="s">
        <v>52</v>
      </c>
      <c r="K94" t="s">
        <v>52</v>
      </c>
      <c r="L94" t="s">
        <v>775</v>
      </c>
      <c r="M94" t="s">
        <v>303</v>
      </c>
      <c r="N94" t="s">
        <v>616</v>
      </c>
      <c r="O94" t="s">
        <v>61</v>
      </c>
      <c r="P94" t="s">
        <v>1258</v>
      </c>
      <c r="Q94" s="124">
        <v>41965.2</v>
      </c>
      <c r="R94" s="124">
        <v>1</v>
      </c>
      <c r="S94" s="124">
        <v>20770</v>
      </c>
      <c r="T94" s="124">
        <v>0</v>
      </c>
      <c r="U94" s="124">
        <v>8716.1720399999995</v>
      </c>
      <c r="V94" s="125">
        <v>1.0955365729999999E-3</v>
      </c>
      <c r="W94" s="125">
        <v>8.2764003829999995E-3</v>
      </c>
      <c r="X94" s="125">
        <f>U94/'סכום נכסים'!$B$30</f>
        <v>1.5692536053383201E-3</v>
      </c>
    </row>
    <row r="95" spans="1:24" ht="15" x14ac:dyDescent="0.25">
      <c r="A95">
        <v>13908</v>
      </c>
      <c r="B95">
        <v>13908</v>
      </c>
      <c r="C95" t="s">
        <v>1523</v>
      </c>
      <c r="D95">
        <v>512764408</v>
      </c>
      <c r="E95" t="s">
        <v>420</v>
      </c>
      <c r="F95" t="s">
        <v>2359</v>
      </c>
      <c r="G95" t="s">
        <v>2360</v>
      </c>
      <c r="H95" t="s">
        <v>75</v>
      </c>
      <c r="I95" t="s">
        <v>72</v>
      </c>
      <c r="J95" t="s">
        <v>52</v>
      </c>
      <c r="K95" t="s">
        <v>52</v>
      </c>
      <c r="L95" t="s">
        <v>775</v>
      </c>
      <c r="M95" t="s">
        <v>303</v>
      </c>
      <c r="N95" t="s">
        <v>618</v>
      </c>
      <c r="O95" t="s">
        <v>61</v>
      </c>
      <c r="P95" t="s">
        <v>1258</v>
      </c>
      <c r="Q95" s="124">
        <v>283930</v>
      </c>
      <c r="R95" s="124">
        <v>1</v>
      </c>
      <c r="S95" s="124">
        <v>2371</v>
      </c>
      <c r="T95" s="124">
        <v>0</v>
      </c>
      <c r="U95" s="124">
        <v>6731.9803000000002</v>
      </c>
      <c r="V95" s="125">
        <v>4.6388640340000002E-3</v>
      </c>
      <c r="W95" s="125">
        <v>6.3923203989999997E-3</v>
      </c>
      <c r="X95" s="125">
        <f>U95/'סכום נכסים'!$B$30</f>
        <v>1.2120210923282264E-3</v>
      </c>
    </row>
    <row r="96" spans="1:24" ht="15" x14ac:dyDescent="0.25">
      <c r="A96">
        <v>13908</v>
      </c>
      <c r="B96">
        <v>13908</v>
      </c>
      <c r="C96" t="s">
        <v>1509</v>
      </c>
      <c r="D96">
        <v>516046307</v>
      </c>
      <c r="E96" t="s">
        <v>420</v>
      </c>
      <c r="F96" t="s">
        <v>2361</v>
      </c>
      <c r="G96" t="s">
        <v>2362</v>
      </c>
      <c r="H96" t="s">
        <v>75</v>
      </c>
      <c r="I96" t="s">
        <v>72</v>
      </c>
      <c r="J96" t="s">
        <v>52</v>
      </c>
      <c r="K96" t="s">
        <v>52</v>
      </c>
      <c r="L96" t="s">
        <v>775</v>
      </c>
      <c r="M96" t="s">
        <v>303</v>
      </c>
      <c r="N96" t="s">
        <v>616</v>
      </c>
      <c r="O96" t="s">
        <v>61</v>
      </c>
      <c r="P96" t="s">
        <v>1258</v>
      </c>
      <c r="Q96" s="124">
        <v>265045</v>
      </c>
      <c r="R96" s="124">
        <v>1</v>
      </c>
      <c r="S96" s="124">
        <v>8790</v>
      </c>
      <c r="T96" s="124">
        <v>0</v>
      </c>
      <c r="U96" s="124">
        <v>23297.4555</v>
      </c>
      <c r="V96" s="125">
        <v>1.1631162025999999E-2</v>
      </c>
      <c r="W96" s="125">
        <v>2.2121989876999999E-2</v>
      </c>
      <c r="X96" s="125">
        <f>U96/'סכום נכסים'!$B$30</f>
        <v>4.1944578274506015E-3</v>
      </c>
    </row>
    <row r="97" spans="1:24" ht="15" x14ac:dyDescent="0.25">
      <c r="A97">
        <v>13908</v>
      </c>
      <c r="B97">
        <v>13908</v>
      </c>
      <c r="C97" t="s">
        <v>2363</v>
      </c>
      <c r="D97">
        <v>512402538</v>
      </c>
      <c r="E97" t="s">
        <v>420</v>
      </c>
      <c r="F97" t="s">
        <v>2364</v>
      </c>
      <c r="G97" t="s">
        <v>2365</v>
      </c>
      <c r="H97" t="s">
        <v>75</v>
      </c>
      <c r="I97" t="s">
        <v>72</v>
      </c>
      <c r="J97" t="s">
        <v>52</v>
      </c>
      <c r="K97" t="s">
        <v>52</v>
      </c>
      <c r="L97" t="s">
        <v>775</v>
      </c>
      <c r="M97" t="s">
        <v>303</v>
      </c>
      <c r="N97" t="s">
        <v>74</v>
      </c>
      <c r="O97" t="s">
        <v>61</v>
      </c>
      <c r="P97" t="s">
        <v>1258</v>
      </c>
      <c r="Q97" s="124">
        <v>40000</v>
      </c>
      <c r="R97" s="124">
        <v>1</v>
      </c>
      <c r="S97" s="124">
        <v>397.4</v>
      </c>
      <c r="T97" s="124">
        <v>0</v>
      </c>
      <c r="U97" s="124">
        <v>158.96</v>
      </c>
      <c r="V97" s="125">
        <v>2.67123929E-4</v>
      </c>
      <c r="W97" s="125">
        <v>1.5093972400000001E-4</v>
      </c>
      <c r="X97" s="125">
        <f>U97/'סכום נכסים'!$B$30</f>
        <v>2.8619048816363127E-5</v>
      </c>
    </row>
    <row r="98" spans="1:24" ht="15" x14ac:dyDescent="0.25">
      <c r="A98">
        <v>13908</v>
      </c>
      <c r="B98">
        <v>13908</v>
      </c>
      <c r="C98" t="s">
        <v>2366</v>
      </c>
      <c r="D98">
        <v>510400740</v>
      </c>
      <c r="E98" t="s">
        <v>420</v>
      </c>
      <c r="F98" t="s">
        <v>2367</v>
      </c>
      <c r="G98" t="s">
        <v>2368</v>
      </c>
      <c r="H98" t="s">
        <v>75</v>
      </c>
      <c r="I98" t="s">
        <v>72</v>
      </c>
      <c r="J98" t="s">
        <v>52</v>
      </c>
      <c r="K98" t="s">
        <v>52</v>
      </c>
      <c r="L98" t="s">
        <v>775</v>
      </c>
      <c r="M98" t="s">
        <v>303</v>
      </c>
      <c r="N98" t="s">
        <v>74</v>
      </c>
      <c r="O98" t="s">
        <v>61</v>
      </c>
      <c r="P98" t="s">
        <v>1258</v>
      </c>
      <c r="Q98" s="124">
        <v>77383</v>
      </c>
      <c r="R98" s="124">
        <v>1</v>
      </c>
      <c r="S98" s="124">
        <v>5451</v>
      </c>
      <c r="T98" s="124">
        <v>0</v>
      </c>
      <c r="U98" s="124">
        <v>4218.1473299999998</v>
      </c>
      <c r="V98" s="125">
        <v>2.6062955520000002E-3</v>
      </c>
      <c r="W98" s="125">
        <v>4.0053220629999997E-3</v>
      </c>
      <c r="X98" s="125">
        <f>U98/'סכום נכסים'!$B$30</f>
        <v>7.5943233739231113E-4</v>
      </c>
    </row>
    <row r="99" spans="1:24" ht="15" x14ac:dyDescent="0.25">
      <c r="A99">
        <v>13908</v>
      </c>
      <c r="B99">
        <v>13908</v>
      </c>
      <c r="C99" t="s">
        <v>2369</v>
      </c>
      <c r="D99">
        <v>513639013</v>
      </c>
      <c r="E99" t="s">
        <v>420</v>
      </c>
      <c r="F99" t="s">
        <v>2370</v>
      </c>
      <c r="G99" t="s">
        <v>2371</v>
      </c>
      <c r="H99" t="s">
        <v>75</v>
      </c>
      <c r="I99" t="s">
        <v>72</v>
      </c>
      <c r="J99" t="s">
        <v>52</v>
      </c>
      <c r="K99" t="s">
        <v>52</v>
      </c>
      <c r="L99" t="s">
        <v>775</v>
      </c>
      <c r="M99" t="s">
        <v>303</v>
      </c>
      <c r="N99" t="s">
        <v>248</v>
      </c>
      <c r="O99" t="s">
        <v>61</v>
      </c>
      <c r="P99" t="s">
        <v>1258</v>
      </c>
      <c r="Q99" s="124">
        <v>18007</v>
      </c>
      <c r="R99" s="124">
        <v>1</v>
      </c>
      <c r="S99" s="124">
        <v>19360</v>
      </c>
      <c r="T99" s="124">
        <v>0</v>
      </c>
      <c r="U99" s="124">
        <v>3486.1552000000001</v>
      </c>
      <c r="V99" s="125">
        <v>4.9189498699999995E-4</v>
      </c>
      <c r="W99" s="125">
        <v>3.3102623599999999E-3</v>
      </c>
      <c r="X99" s="125">
        <f>U99/'סכום נכסים'!$B$30</f>
        <v>6.2764497892688824E-4</v>
      </c>
    </row>
    <row r="100" spans="1:24" ht="15" x14ac:dyDescent="0.25">
      <c r="A100">
        <v>13908</v>
      </c>
      <c r="B100">
        <v>13908</v>
      </c>
      <c r="C100" t="s">
        <v>2372</v>
      </c>
      <c r="D100">
        <v>1884</v>
      </c>
      <c r="E100" t="s">
        <v>2</v>
      </c>
      <c r="F100" t="s">
        <v>2373</v>
      </c>
      <c r="G100" t="s">
        <v>2374</v>
      </c>
      <c r="H100" t="s">
        <v>75</v>
      </c>
      <c r="I100" t="s">
        <v>72</v>
      </c>
      <c r="J100" t="s">
        <v>52</v>
      </c>
      <c r="K100" t="s">
        <v>52</v>
      </c>
      <c r="L100" t="s">
        <v>775</v>
      </c>
      <c r="M100" t="s">
        <v>303</v>
      </c>
      <c r="N100" t="s">
        <v>621</v>
      </c>
      <c r="O100" t="s">
        <v>61</v>
      </c>
      <c r="P100" t="s">
        <v>1258</v>
      </c>
      <c r="Q100" s="124">
        <v>10608</v>
      </c>
      <c r="R100" s="124">
        <v>1</v>
      </c>
      <c r="S100" s="124">
        <v>13350</v>
      </c>
      <c r="T100" s="124">
        <v>0</v>
      </c>
      <c r="U100" s="124">
        <v>1416.1679999999999</v>
      </c>
      <c r="V100" s="125">
        <v>4.6641559299999999E-4</v>
      </c>
      <c r="W100" s="125">
        <v>1.344715699E-3</v>
      </c>
      <c r="X100" s="125">
        <f>U100/'סכום נכסים'!$B$30</f>
        <v>2.5496591044395656E-4</v>
      </c>
    </row>
    <row r="101" spans="1:24" ht="15" x14ac:dyDescent="0.25">
      <c r="A101">
        <v>13908</v>
      </c>
      <c r="B101">
        <v>13908</v>
      </c>
      <c r="C101" t="s">
        <v>2375</v>
      </c>
      <c r="D101">
        <v>514211457</v>
      </c>
      <c r="E101" t="s">
        <v>420</v>
      </c>
      <c r="F101" t="s">
        <v>2376</v>
      </c>
      <c r="G101" t="s">
        <v>2377</v>
      </c>
      <c r="H101" t="s">
        <v>75</v>
      </c>
      <c r="I101" t="s">
        <v>72</v>
      </c>
      <c r="J101" t="s">
        <v>52</v>
      </c>
      <c r="K101" t="s">
        <v>52</v>
      </c>
      <c r="L101" t="s">
        <v>775</v>
      </c>
      <c r="M101" t="s">
        <v>303</v>
      </c>
      <c r="N101" t="s">
        <v>619</v>
      </c>
      <c r="O101" t="s">
        <v>61</v>
      </c>
      <c r="P101" t="s">
        <v>1258</v>
      </c>
      <c r="Q101" s="124">
        <v>49169</v>
      </c>
      <c r="R101" s="124">
        <v>1</v>
      </c>
      <c r="S101" s="124">
        <v>2450</v>
      </c>
      <c r="T101" s="124">
        <v>0</v>
      </c>
      <c r="U101" s="124">
        <v>1204.6405</v>
      </c>
      <c r="V101" s="125">
        <v>1.0099390540000001E-3</v>
      </c>
      <c r="W101" s="125">
        <v>1.1438607510000001E-3</v>
      </c>
      <c r="X101" s="125">
        <f>U101/'סכום נכסים'!$B$30</f>
        <v>2.1688264516650781E-4</v>
      </c>
    </row>
    <row r="102" spans="1:24" ht="15" x14ac:dyDescent="0.25">
      <c r="A102">
        <v>13908</v>
      </c>
      <c r="B102">
        <v>13908</v>
      </c>
      <c r="C102" t="s">
        <v>2378</v>
      </c>
      <c r="D102">
        <v>514259019</v>
      </c>
      <c r="E102" t="s">
        <v>420</v>
      </c>
      <c r="F102" t="s">
        <v>2379</v>
      </c>
      <c r="G102" t="s">
        <v>2380</v>
      </c>
      <c r="H102" t="s">
        <v>75</v>
      </c>
      <c r="I102" t="s">
        <v>72</v>
      </c>
      <c r="J102" t="s">
        <v>52</v>
      </c>
      <c r="K102" t="s">
        <v>52</v>
      </c>
      <c r="L102" t="s">
        <v>775</v>
      </c>
      <c r="M102" t="s">
        <v>303</v>
      </c>
      <c r="N102" t="s">
        <v>623</v>
      </c>
      <c r="O102" t="s">
        <v>61</v>
      </c>
      <c r="P102" t="s">
        <v>1258</v>
      </c>
      <c r="Q102" s="124">
        <v>185247</v>
      </c>
      <c r="R102" s="124">
        <v>1</v>
      </c>
      <c r="S102" s="124">
        <v>24060</v>
      </c>
      <c r="T102" s="124">
        <v>0</v>
      </c>
      <c r="U102" s="124">
        <v>44570.428200000002</v>
      </c>
      <c r="V102" s="125">
        <v>2.0072223680000002E-3</v>
      </c>
      <c r="W102" s="125">
        <v>4.2321641581999997E-2</v>
      </c>
      <c r="X102" s="125">
        <f>U102/'סכום נכסים'!$B$30</f>
        <v>8.0244291672245081E-3</v>
      </c>
    </row>
    <row r="103" spans="1:24" ht="15" x14ac:dyDescent="0.25">
      <c r="A103">
        <v>13908</v>
      </c>
      <c r="B103">
        <v>13908</v>
      </c>
      <c r="C103" t="s">
        <v>2381</v>
      </c>
      <c r="D103">
        <v>516339777</v>
      </c>
      <c r="E103" t="s">
        <v>420</v>
      </c>
      <c r="F103" t="s">
        <v>2382</v>
      </c>
      <c r="G103" t="s">
        <v>2383</v>
      </c>
      <c r="H103" t="s">
        <v>75</v>
      </c>
      <c r="I103" t="s">
        <v>72</v>
      </c>
      <c r="J103" t="s">
        <v>52</v>
      </c>
      <c r="K103" t="s">
        <v>52</v>
      </c>
      <c r="L103" t="s">
        <v>775</v>
      </c>
      <c r="M103" t="s">
        <v>303</v>
      </c>
      <c r="N103" t="s">
        <v>616</v>
      </c>
      <c r="O103" t="s">
        <v>61</v>
      </c>
      <c r="P103" t="s">
        <v>1258</v>
      </c>
      <c r="Q103" s="124">
        <v>125000</v>
      </c>
      <c r="R103" s="124">
        <v>1</v>
      </c>
      <c r="S103" s="124">
        <v>6300</v>
      </c>
      <c r="T103" s="124">
        <v>0</v>
      </c>
      <c r="U103" s="124">
        <v>7875</v>
      </c>
      <c r="V103" s="125">
        <v>1.6276768819999999E-3</v>
      </c>
      <c r="W103" s="125">
        <v>7.4776694080000003E-3</v>
      </c>
      <c r="X103" s="125">
        <f>U103/'סכום נכסים'!$B$30</f>
        <v>1.4178095711428009E-3</v>
      </c>
    </row>
    <row r="104" spans="1:24" ht="15" x14ac:dyDescent="0.25">
      <c r="A104">
        <v>13908</v>
      </c>
      <c r="B104">
        <v>13908</v>
      </c>
      <c r="C104" t="s">
        <v>2384</v>
      </c>
      <c r="D104">
        <v>512467994</v>
      </c>
      <c r="E104" t="s">
        <v>420</v>
      </c>
      <c r="F104" t="s">
        <v>2385</v>
      </c>
      <c r="G104" t="s">
        <v>2386</v>
      </c>
      <c r="H104" t="s">
        <v>75</v>
      </c>
      <c r="I104" t="s">
        <v>72</v>
      </c>
      <c r="J104" t="s">
        <v>52</v>
      </c>
      <c r="K104" t="s">
        <v>52</v>
      </c>
      <c r="L104" t="s">
        <v>775</v>
      </c>
      <c r="M104" t="s">
        <v>303</v>
      </c>
      <c r="N104" t="s">
        <v>138</v>
      </c>
      <c r="O104" t="s">
        <v>61</v>
      </c>
      <c r="P104" t="s">
        <v>1258</v>
      </c>
      <c r="Q104" s="124">
        <v>36732</v>
      </c>
      <c r="R104" s="124">
        <v>1</v>
      </c>
      <c r="S104" s="124">
        <v>13230</v>
      </c>
      <c r="T104" s="124">
        <v>0</v>
      </c>
      <c r="U104" s="124">
        <v>4859.6436000000003</v>
      </c>
      <c r="V104" s="125">
        <v>1.0129829319999999E-3</v>
      </c>
      <c r="W104" s="125">
        <v>4.614451845E-3</v>
      </c>
      <c r="X104" s="125">
        <f>U104/'סכום נכסים'!$B$30</f>
        <v>8.7492688360925168E-4</v>
      </c>
    </row>
    <row r="105" spans="1:24" ht="15" x14ac:dyDescent="0.25">
      <c r="A105">
        <v>13908</v>
      </c>
      <c r="B105">
        <v>13908</v>
      </c>
      <c r="C105" t="s">
        <v>2387</v>
      </c>
      <c r="D105">
        <v>513561399</v>
      </c>
      <c r="E105" t="s">
        <v>420</v>
      </c>
      <c r="F105" t="s">
        <v>2388</v>
      </c>
      <c r="G105" t="s">
        <v>2389</v>
      </c>
      <c r="H105" t="s">
        <v>75</v>
      </c>
      <c r="I105" t="s">
        <v>72</v>
      </c>
      <c r="J105" t="s">
        <v>52</v>
      </c>
      <c r="K105" t="s">
        <v>52</v>
      </c>
      <c r="L105" t="s">
        <v>775</v>
      </c>
      <c r="M105" t="s">
        <v>303</v>
      </c>
      <c r="N105" t="s">
        <v>617</v>
      </c>
      <c r="O105" t="s">
        <v>61</v>
      </c>
      <c r="P105" t="s">
        <v>1258</v>
      </c>
      <c r="Q105" s="124">
        <v>240500</v>
      </c>
      <c r="R105" s="124">
        <v>1</v>
      </c>
      <c r="S105" s="124">
        <v>1239</v>
      </c>
      <c r="T105" s="124">
        <v>0</v>
      </c>
      <c r="U105" s="124">
        <v>2979.7950000000001</v>
      </c>
      <c r="V105" s="125">
        <v>1.8309441800000001E-3</v>
      </c>
      <c r="W105" s="125">
        <v>2.829450401E-3</v>
      </c>
      <c r="X105" s="125">
        <f>U105/'סכום נכסים'!$B$30</f>
        <v>5.3648023759282062E-4</v>
      </c>
    </row>
    <row r="106" spans="1:24" ht="15" x14ac:dyDescent="0.25">
      <c r="A106">
        <v>13908</v>
      </c>
      <c r="B106">
        <v>13908</v>
      </c>
      <c r="C106" t="s">
        <v>2390</v>
      </c>
      <c r="D106">
        <v>514160530</v>
      </c>
      <c r="E106" t="s">
        <v>420</v>
      </c>
      <c r="F106" t="s">
        <v>2391</v>
      </c>
      <c r="G106" t="s">
        <v>2392</v>
      </c>
      <c r="H106" t="s">
        <v>75</v>
      </c>
      <c r="I106" t="s">
        <v>72</v>
      </c>
      <c r="J106" t="s">
        <v>52</v>
      </c>
      <c r="K106" t="s">
        <v>52</v>
      </c>
      <c r="L106" t="s">
        <v>775</v>
      </c>
      <c r="M106" t="s">
        <v>303</v>
      </c>
      <c r="N106" t="s">
        <v>256</v>
      </c>
      <c r="O106" t="s">
        <v>61</v>
      </c>
      <c r="P106" t="s">
        <v>1258</v>
      </c>
      <c r="Q106" s="124">
        <v>1303100</v>
      </c>
      <c r="R106" s="124">
        <v>1</v>
      </c>
      <c r="S106" s="124">
        <v>104.2</v>
      </c>
      <c r="T106" s="124">
        <v>0</v>
      </c>
      <c r="U106" s="124">
        <v>1357.8302000000001</v>
      </c>
      <c r="V106" s="125">
        <v>3.148357569E-3</v>
      </c>
      <c r="W106" s="125">
        <v>1.289321314E-3</v>
      </c>
      <c r="X106" s="125">
        <f>U106/'סכום נכסים'!$B$30</f>
        <v>2.4446281314879285E-4</v>
      </c>
    </row>
    <row r="107" spans="1:24" ht="15" x14ac:dyDescent="0.25">
      <c r="A107">
        <v>13908</v>
      </c>
      <c r="B107">
        <v>13908</v>
      </c>
      <c r="C107" t="s">
        <v>2393</v>
      </c>
      <c r="D107">
        <v>513948216</v>
      </c>
      <c r="E107" t="s">
        <v>420</v>
      </c>
      <c r="F107" t="s">
        <v>2394</v>
      </c>
      <c r="G107" t="s">
        <v>2395</v>
      </c>
      <c r="H107" t="s">
        <v>75</v>
      </c>
      <c r="I107" t="s">
        <v>72</v>
      </c>
      <c r="J107" t="s">
        <v>52</v>
      </c>
      <c r="K107" t="s">
        <v>52</v>
      </c>
      <c r="L107" t="s">
        <v>775</v>
      </c>
      <c r="M107" t="s">
        <v>303</v>
      </c>
      <c r="N107" t="s">
        <v>138</v>
      </c>
      <c r="O107" t="s">
        <v>61</v>
      </c>
      <c r="P107" t="s">
        <v>1258</v>
      </c>
      <c r="Q107" s="124">
        <v>212500</v>
      </c>
      <c r="R107" s="124">
        <v>1</v>
      </c>
      <c r="S107" s="124">
        <v>1504</v>
      </c>
      <c r="T107" s="124">
        <v>0</v>
      </c>
      <c r="U107" s="124">
        <v>3196</v>
      </c>
      <c r="V107" s="125">
        <v>4.3905108349999999E-3</v>
      </c>
      <c r="W107" s="125">
        <v>3.0347468480000001E-3</v>
      </c>
      <c r="X107" s="125">
        <f>U107/'סכום נכסים'!$B$30</f>
        <v>5.7540563674570052E-4</v>
      </c>
    </row>
    <row r="108" spans="1:24" ht="15" x14ac:dyDescent="0.25">
      <c r="A108">
        <v>13908</v>
      </c>
      <c r="B108">
        <v>13908</v>
      </c>
      <c r="C108" t="s">
        <v>2396</v>
      </c>
      <c r="D108">
        <v>516214871</v>
      </c>
      <c r="E108" t="s">
        <v>420</v>
      </c>
      <c r="F108" t="s">
        <v>2397</v>
      </c>
      <c r="G108" t="s">
        <v>2398</v>
      </c>
      <c r="H108" t="s">
        <v>75</v>
      </c>
      <c r="I108" t="s">
        <v>72</v>
      </c>
      <c r="J108" t="s">
        <v>52</v>
      </c>
      <c r="K108" t="s">
        <v>52</v>
      </c>
      <c r="L108" t="s">
        <v>775</v>
      </c>
      <c r="M108" t="s">
        <v>303</v>
      </c>
      <c r="N108" t="s">
        <v>675</v>
      </c>
      <c r="O108" t="s">
        <v>61</v>
      </c>
      <c r="P108" t="s">
        <v>1258</v>
      </c>
      <c r="Q108" s="124">
        <v>1000000</v>
      </c>
      <c r="R108" s="124">
        <v>1</v>
      </c>
      <c r="S108" s="124">
        <v>86.9</v>
      </c>
      <c r="T108" s="124">
        <v>0</v>
      </c>
      <c r="U108" s="124">
        <v>869</v>
      </c>
      <c r="V108" s="125">
        <v>3.2531710770000001E-3</v>
      </c>
      <c r="W108" s="125">
        <v>8.2515488399999997E-4</v>
      </c>
      <c r="X108" s="125">
        <f>U108/'סכום נכסים'!$B$30</f>
        <v>1.5645416092991668E-4</v>
      </c>
    </row>
    <row r="109" spans="1:24" ht="15" x14ac:dyDescent="0.25">
      <c r="A109">
        <v>13908</v>
      </c>
      <c r="B109">
        <v>13908</v>
      </c>
      <c r="C109" t="s">
        <v>1810</v>
      </c>
      <c r="D109">
        <v>511605719</v>
      </c>
      <c r="E109" t="s">
        <v>420</v>
      </c>
      <c r="F109" t="s">
        <v>2399</v>
      </c>
      <c r="G109" t="s">
        <v>2400</v>
      </c>
      <c r="H109" t="s">
        <v>75</v>
      </c>
      <c r="I109" t="s">
        <v>72</v>
      </c>
      <c r="J109" t="s">
        <v>52</v>
      </c>
      <c r="K109" t="s">
        <v>52</v>
      </c>
      <c r="L109" t="s">
        <v>775</v>
      </c>
      <c r="M109" t="s">
        <v>303</v>
      </c>
      <c r="N109" t="s">
        <v>620</v>
      </c>
      <c r="O109" t="s">
        <v>61</v>
      </c>
      <c r="P109" t="s">
        <v>1258</v>
      </c>
      <c r="Q109" s="124">
        <v>3300</v>
      </c>
      <c r="R109" s="124">
        <v>1</v>
      </c>
      <c r="S109" s="124">
        <v>1438</v>
      </c>
      <c r="T109" s="124">
        <v>0</v>
      </c>
      <c r="U109" s="124">
        <v>47.454000000000001</v>
      </c>
      <c r="V109" s="125">
        <v>4.7187630789277E-5</v>
      </c>
      <c r="W109" s="125">
        <v>4.5059723694909199E-5</v>
      </c>
      <c r="X109" s="125">
        <f>U109/'סכום נכסים'!$B$30</f>
        <v>8.5435854462235512E-6</v>
      </c>
    </row>
    <row r="110" spans="1:24" ht="15" x14ac:dyDescent="0.25">
      <c r="A110">
        <v>13908</v>
      </c>
      <c r="B110">
        <v>13908</v>
      </c>
      <c r="C110" t="s">
        <v>1532</v>
      </c>
      <c r="D110">
        <v>511996803</v>
      </c>
      <c r="E110" t="s">
        <v>420</v>
      </c>
      <c r="F110" t="s">
        <v>2401</v>
      </c>
      <c r="G110" t="s">
        <v>2402</v>
      </c>
      <c r="H110" t="s">
        <v>75</v>
      </c>
      <c r="I110" t="s">
        <v>72</v>
      </c>
      <c r="J110" t="s">
        <v>52</v>
      </c>
      <c r="K110" t="s">
        <v>52</v>
      </c>
      <c r="L110" t="s">
        <v>775</v>
      </c>
      <c r="M110" t="s">
        <v>303</v>
      </c>
      <c r="N110" t="s">
        <v>138</v>
      </c>
      <c r="O110" t="s">
        <v>61</v>
      </c>
      <c r="P110" t="s">
        <v>1258</v>
      </c>
      <c r="Q110" s="124">
        <v>20000</v>
      </c>
      <c r="R110" s="124">
        <v>1</v>
      </c>
      <c r="S110" s="124">
        <v>4350</v>
      </c>
      <c r="T110" s="124">
        <v>0</v>
      </c>
      <c r="U110" s="124">
        <v>870</v>
      </c>
      <c r="V110" s="125">
        <v>3.1712843999999999E-4</v>
      </c>
      <c r="W110" s="125">
        <v>8.2610442900000005E-4</v>
      </c>
      <c r="X110" s="125">
        <f>U110/'סכום נכסים'!$B$30</f>
        <v>1.56634200240538E-4</v>
      </c>
    </row>
    <row r="111" spans="1:24" ht="15" x14ac:dyDescent="0.25">
      <c r="A111">
        <v>13908</v>
      </c>
      <c r="B111">
        <v>13908</v>
      </c>
      <c r="C111" t="s">
        <v>2403</v>
      </c>
      <c r="D111">
        <v>510291750</v>
      </c>
      <c r="E111" t="s">
        <v>420</v>
      </c>
      <c r="F111" t="s">
        <v>2404</v>
      </c>
      <c r="G111" t="s">
        <v>2405</v>
      </c>
      <c r="H111" t="s">
        <v>75</v>
      </c>
      <c r="I111" t="s">
        <v>72</v>
      </c>
      <c r="J111" t="s">
        <v>52</v>
      </c>
      <c r="K111" t="s">
        <v>52</v>
      </c>
      <c r="L111" t="s">
        <v>775</v>
      </c>
      <c r="M111" t="s">
        <v>303</v>
      </c>
      <c r="N111" t="s">
        <v>1211</v>
      </c>
      <c r="O111" t="s">
        <v>61</v>
      </c>
      <c r="P111" t="s">
        <v>1258</v>
      </c>
      <c r="Q111" s="124">
        <v>209143</v>
      </c>
      <c r="R111" s="124">
        <v>1</v>
      </c>
      <c r="S111" s="124">
        <v>146.9</v>
      </c>
      <c r="T111" s="124">
        <v>0</v>
      </c>
      <c r="U111" s="124">
        <v>307.23106999999999</v>
      </c>
      <c r="V111" s="125">
        <v>7.9497164800000002E-4</v>
      </c>
      <c r="W111" s="125">
        <v>2.9172982500000002E-4</v>
      </c>
      <c r="X111" s="125">
        <f>U111/'סכום נכסים'!$B$30</f>
        <v>5.5313670044246829E-5</v>
      </c>
    </row>
    <row r="112" spans="1:24" ht="15" x14ac:dyDescent="0.25">
      <c r="A112">
        <v>13908</v>
      </c>
      <c r="B112">
        <v>13908</v>
      </c>
      <c r="C112" t="s">
        <v>1538</v>
      </c>
      <c r="D112">
        <v>510488190</v>
      </c>
      <c r="E112" t="s">
        <v>420</v>
      </c>
      <c r="F112" t="s">
        <v>2406</v>
      </c>
      <c r="G112" t="s">
        <v>2407</v>
      </c>
      <c r="H112" t="s">
        <v>75</v>
      </c>
      <c r="I112" t="s">
        <v>72</v>
      </c>
      <c r="J112" t="s">
        <v>52</v>
      </c>
      <c r="K112" t="s">
        <v>52</v>
      </c>
      <c r="L112" t="s">
        <v>775</v>
      </c>
      <c r="M112" t="s">
        <v>303</v>
      </c>
      <c r="N112" t="s">
        <v>138</v>
      </c>
      <c r="O112" t="s">
        <v>61</v>
      </c>
      <c r="P112" t="s">
        <v>1258</v>
      </c>
      <c r="Q112" s="124">
        <v>20000</v>
      </c>
      <c r="R112" s="124">
        <v>1</v>
      </c>
      <c r="S112" s="124">
        <v>3329</v>
      </c>
      <c r="T112" s="124">
        <v>0</v>
      </c>
      <c r="U112" s="124">
        <v>665.8</v>
      </c>
      <c r="V112" s="125">
        <v>3.4534845500000001E-4</v>
      </c>
      <c r="W112" s="125">
        <v>6.3220727499999996E-4</v>
      </c>
      <c r="X112" s="125">
        <f>U112/'סכום נכסים'!$B$30</f>
        <v>1.1987017301166689E-4</v>
      </c>
    </row>
    <row r="113" spans="1:24" ht="15" x14ac:dyDescent="0.25">
      <c r="A113">
        <v>13908</v>
      </c>
      <c r="B113">
        <v>13908</v>
      </c>
      <c r="C113" t="s">
        <v>1635</v>
      </c>
      <c r="D113">
        <v>510459928</v>
      </c>
      <c r="E113" t="s">
        <v>420</v>
      </c>
      <c r="F113" t="s">
        <v>2408</v>
      </c>
      <c r="G113" t="s">
        <v>2409</v>
      </c>
      <c r="H113" t="s">
        <v>75</v>
      </c>
      <c r="I113" t="s">
        <v>72</v>
      </c>
      <c r="J113" t="s">
        <v>52</v>
      </c>
      <c r="K113" t="s">
        <v>52</v>
      </c>
      <c r="L113" t="s">
        <v>775</v>
      </c>
      <c r="M113" t="s">
        <v>303</v>
      </c>
      <c r="N113" t="s">
        <v>154</v>
      </c>
      <c r="O113" t="s">
        <v>61</v>
      </c>
      <c r="P113" t="s">
        <v>1258</v>
      </c>
      <c r="Q113" s="124">
        <v>658690</v>
      </c>
      <c r="R113" s="124">
        <v>1</v>
      </c>
      <c r="S113" s="124">
        <v>404.8</v>
      </c>
      <c r="T113" s="124">
        <v>0</v>
      </c>
      <c r="U113" s="124">
        <v>2666.3771200000001</v>
      </c>
      <c r="V113" s="125">
        <v>6.7251042899999999E-4</v>
      </c>
      <c r="W113" s="125">
        <v>2.5318459199999998E-3</v>
      </c>
      <c r="X113" s="125">
        <f>U113/'סכום נכסים'!$B$30</f>
        <v>4.8005269854122878E-4</v>
      </c>
    </row>
    <row r="114" spans="1:24" ht="15" x14ac:dyDescent="0.25">
      <c r="A114">
        <v>13908</v>
      </c>
      <c r="B114">
        <v>13908</v>
      </c>
      <c r="C114" t="s">
        <v>1646</v>
      </c>
      <c r="D114">
        <v>513775163</v>
      </c>
      <c r="E114" t="s">
        <v>420</v>
      </c>
      <c r="F114" t="s">
        <v>2410</v>
      </c>
      <c r="G114" t="s">
        <v>2411</v>
      </c>
      <c r="H114" t="s">
        <v>75</v>
      </c>
      <c r="I114" t="s">
        <v>72</v>
      </c>
      <c r="J114" t="s">
        <v>52</v>
      </c>
      <c r="K114" t="s">
        <v>52</v>
      </c>
      <c r="L114" t="s">
        <v>775</v>
      </c>
      <c r="M114" t="s">
        <v>303</v>
      </c>
      <c r="N114" t="s">
        <v>154</v>
      </c>
      <c r="O114" t="s">
        <v>61</v>
      </c>
      <c r="P114" t="s">
        <v>1258</v>
      </c>
      <c r="Q114" s="124">
        <v>2741</v>
      </c>
      <c r="R114" s="124">
        <v>1</v>
      </c>
      <c r="S114" s="124">
        <v>10100</v>
      </c>
      <c r="T114" s="124">
        <v>0</v>
      </c>
      <c r="U114" s="124">
        <v>276.84100000000001</v>
      </c>
      <c r="V114" s="125">
        <v>2.19388588E-4</v>
      </c>
      <c r="W114" s="125">
        <v>2.6287307600000002E-4</v>
      </c>
      <c r="X114" s="125">
        <f>U114/'סכום נכסים'!$B$30</f>
        <v>4.9842262791713542E-5</v>
      </c>
    </row>
    <row r="115" spans="1:24" ht="15" x14ac:dyDescent="0.25">
      <c r="A115">
        <v>13908</v>
      </c>
      <c r="B115">
        <v>13908</v>
      </c>
      <c r="C115" t="s">
        <v>1677</v>
      </c>
      <c r="D115">
        <v>2429</v>
      </c>
      <c r="E115" t="s">
        <v>2</v>
      </c>
      <c r="F115" t="s">
        <v>2412</v>
      </c>
      <c r="G115" t="s">
        <v>2413</v>
      </c>
      <c r="H115" t="s">
        <v>75</v>
      </c>
      <c r="I115" t="s">
        <v>72</v>
      </c>
      <c r="J115" t="s">
        <v>52</v>
      </c>
      <c r="K115" t="s">
        <v>52</v>
      </c>
      <c r="L115" t="s">
        <v>775</v>
      </c>
      <c r="M115" t="s">
        <v>303</v>
      </c>
      <c r="N115" t="s">
        <v>138</v>
      </c>
      <c r="O115" t="s">
        <v>61</v>
      </c>
      <c r="P115" t="s">
        <v>1258</v>
      </c>
      <c r="Q115" s="124">
        <v>277714</v>
      </c>
      <c r="R115" s="124">
        <v>1</v>
      </c>
      <c r="S115" s="124">
        <v>3980</v>
      </c>
      <c r="T115" s="124">
        <v>0</v>
      </c>
      <c r="U115" s="124">
        <v>11053.0172</v>
      </c>
      <c r="V115" s="125">
        <v>4.4123573330000004E-3</v>
      </c>
      <c r="W115" s="125">
        <v>1.0495340771999999E-2</v>
      </c>
      <c r="X115" s="125">
        <f>U115/'סכום נכסים'!$B$30</f>
        <v>1.9899775969734607E-3</v>
      </c>
    </row>
    <row r="116" spans="1:24" ht="15" x14ac:dyDescent="0.25">
      <c r="A116">
        <v>13908</v>
      </c>
      <c r="B116">
        <v>13908</v>
      </c>
      <c r="C116" t="s">
        <v>2414</v>
      </c>
      <c r="D116">
        <v>516854239</v>
      </c>
      <c r="E116" t="s">
        <v>420</v>
      </c>
      <c r="F116" t="s">
        <v>2415</v>
      </c>
      <c r="G116" t="s">
        <v>2416</v>
      </c>
      <c r="H116" t="s">
        <v>75</v>
      </c>
      <c r="I116" t="s">
        <v>72</v>
      </c>
      <c r="J116" t="s">
        <v>52</v>
      </c>
      <c r="K116" t="s">
        <v>52</v>
      </c>
      <c r="L116" t="s">
        <v>775</v>
      </c>
      <c r="M116" t="s">
        <v>303</v>
      </c>
      <c r="N116" t="s">
        <v>1212</v>
      </c>
      <c r="O116" t="s">
        <v>61</v>
      </c>
      <c r="P116" t="s">
        <v>1258</v>
      </c>
      <c r="Q116" s="124">
        <v>240000</v>
      </c>
      <c r="R116" s="124">
        <v>1</v>
      </c>
      <c r="S116" s="124">
        <v>2531</v>
      </c>
      <c r="T116" s="124">
        <v>0</v>
      </c>
      <c r="U116" s="124">
        <v>6074.4</v>
      </c>
      <c r="V116" s="125">
        <v>5.1530506500000002E-3</v>
      </c>
      <c r="W116" s="125">
        <v>5.7679181019999999E-3</v>
      </c>
      <c r="X116" s="125">
        <f>U116/'סכום נכסים'!$B$30</f>
        <v>1.0936307884380735E-3</v>
      </c>
    </row>
    <row r="117" spans="1:24" ht="15" x14ac:dyDescent="0.25">
      <c r="A117">
        <v>13908</v>
      </c>
      <c r="B117">
        <v>13908</v>
      </c>
      <c r="C117" t="s">
        <v>2417</v>
      </c>
      <c r="D117">
        <v>512951518</v>
      </c>
      <c r="E117" t="s">
        <v>420</v>
      </c>
      <c r="F117" t="s">
        <v>2418</v>
      </c>
      <c r="G117" t="s">
        <v>2419</v>
      </c>
      <c r="H117" t="s">
        <v>75</v>
      </c>
      <c r="I117" t="s">
        <v>72</v>
      </c>
      <c r="J117" t="s">
        <v>52</v>
      </c>
      <c r="K117" t="s">
        <v>52</v>
      </c>
      <c r="L117" t="s">
        <v>775</v>
      </c>
      <c r="M117" t="s">
        <v>303</v>
      </c>
      <c r="N117" t="s">
        <v>138</v>
      </c>
      <c r="O117" t="s">
        <v>61</v>
      </c>
      <c r="P117" t="s">
        <v>1258</v>
      </c>
      <c r="Q117" s="124">
        <v>10000</v>
      </c>
      <c r="R117" s="124">
        <v>1</v>
      </c>
      <c r="S117" s="124">
        <v>775.6</v>
      </c>
      <c r="T117" s="124">
        <v>0</v>
      </c>
      <c r="U117" s="124">
        <v>77.56</v>
      </c>
      <c r="V117" s="125">
        <v>1.98141315E-4</v>
      </c>
      <c r="W117" s="125">
        <v>7.3646735149348005E-5</v>
      </c>
      <c r="X117" s="125">
        <f>U117/'סכום נכסים'!$B$30</f>
        <v>1.3963848931788653E-5</v>
      </c>
    </row>
    <row r="118" spans="1:24" ht="15" x14ac:dyDescent="0.25">
      <c r="A118">
        <v>13908</v>
      </c>
      <c r="B118">
        <v>13908</v>
      </c>
      <c r="C118" t="s">
        <v>2420</v>
      </c>
      <c r="D118">
        <v>511226136</v>
      </c>
      <c r="E118" t="s">
        <v>420</v>
      </c>
      <c r="F118" t="s">
        <v>2421</v>
      </c>
      <c r="G118" t="s">
        <v>2422</v>
      </c>
      <c r="H118" t="s">
        <v>75</v>
      </c>
      <c r="I118" t="s">
        <v>72</v>
      </c>
      <c r="J118" t="s">
        <v>52</v>
      </c>
      <c r="K118" t="s">
        <v>52</v>
      </c>
      <c r="L118" t="s">
        <v>775</v>
      </c>
      <c r="M118" t="s">
        <v>303</v>
      </c>
      <c r="N118" t="s">
        <v>74</v>
      </c>
      <c r="O118" t="s">
        <v>61</v>
      </c>
      <c r="P118" t="s">
        <v>1258</v>
      </c>
      <c r="Q118" s="124">
        <v>10000</v>
      </c>
      <c r="R118" s="124">
        <v>1</v>
      </c>
      <c r="S118" s="124">
        <v>5542</v>
      </c>
      <c r="T118" s="124">
        <v>0</v>
      </c>
      <c r="U118" s="124">
        <v>554.20000000000005</v>
      </c>
      <c r="V118" s="125">
        <v>2.5985316399999999E-4</v>
      </c>
      <c r="W118" s="125">
        <v>5.2623801699999999E-4</v>
      </c>
      <c r="X118" s="125">
        <f>U118/'סכום נכסים'!$B$30</f>
        <v>9.9777785946328923E-5</v>
      </c>
    </row>
    <row r="119" spans="1:24" ht="15" x14ac:dyDescent="0.25">
      <c r="A119">
        <v>13908</v>
      </c>
      <c r="B119">
        <v>13908</v>
      </c>
      <c r="C119" t="s">
        <v>2423</v>
      </c>
      <c r="D119">
        <v>510542855</v>
      </c>
      <c r="E119" t="s">
        <v>420</v>
      </c>
      <c r="F119" t="s">
        <v>2424</v>
      </c>
      <c r="G119" t="s">
        <v>2425</v>
      </c>
      <c r="H119" t="s">
        <v>75</v>
      </c>
      <c r="I119" t="s">
        <v>72</v>
      </c>
      <c r="J119" t="s">
        <v>52</v>
      </c>
      <c r="K119" t="s">
        <v>52</v>
      </c>
      <c r="L119" t="s">
        <v>775</v>
      </c>
      <c r="M119" t="s">
        <v>303</v>
      </c>
      <c r="N119" t="s">
        <v>138</v>
      </c>
      <c r="O119" t="s">
        <v>61</v>
      </c>
      <c r="P119" t="s">
        <v>1258</v>
      </c>
      <c r="Q119" s="124">
        <v>141642</v>
      </c>
      <c r="R119" s="124">
        <v>1</v>
      </c>
      <c r="S119" s="124">
        <v>670.9</v>
      </c>
      <c r="T119" s="124">
        <v>0</v>
      </c>
      <c r="U119" s="124">
        <v>950.27617999999995</v>
      </c>
      <c r="V119" s="125">
        <v>1.088158993E-3</v>
      </c>
      <c r="W119" s="125">
        <v>9.0233030100000001E-4</v>
      </c>
      <c r="X119" s="125">
        <f>U119/'סכום נכסים'!$B$30</f>
        <v>1.7108706834705002E-4</v>
      </c>
    </row>
    <row r="120" spans="1:24" ht="15" x14ac:dyDescent="0.25">
      <c r="A120">
        <v>13908</v>
      </c>
      <c r="B120">
        <v>13908</v>
      </c>
      <c r="C120" t="s">
        <v>2426</v>
      </c>
      <c r="D120">
        <v>515135408</v>
      </c>
      <c r="E120" t="s">
        <v>420</v>
      </c>
      <c r="F120" t="s">
        <v>2427</v>
      </c>
      <c r="G120" t="s">
        <v>2428</v>
      </c>
      <c r="H120" t="s">
        <v>75</v>
      </c>
      <c r="I120" t="s">
        <v>72</v>
      </c>
      <c r="J120" t="s">
        <v>52</v>
      </c>
      <c r="K120" t="s">
        <v>52</v>
      </c>
      <c r="L120" t="s">
        <v>775</v>
      </c>
      <c r="M120" t="s">
        <v>303</v>
      </c>
      <c r="N120" t="s">
        <v>619</v>
      </c>
      <c r="O120" t="s">
        <v>61</v>
      </c>
      <c r="P120" t="s">
        <v>1258</v>
      </c>
      <c r="Q120" s="124">
        <v>850000</v>
      </c>
      <c r="R120" s="124">
        <v>1</v>
      </c>
      <c r="S120" s="124">
        <v>801.2</v>
      </c>
      <c r="T120" s="124">
        <v>0</v>
      </c>
      <c r="U120" s="124">
        <v>6810.2</v>
      </c>
      <c r="V120" s="125">
        <v>6.0163999979999999E-3</v>
      </c>
      <c r="W120" s="125">
        <v>6.4665935489999996E-3</v>
      </c>
      <c r="X120" s="125">
        <f>U120/'סכום נכסים'!$B$30</f>
        <v>1.226103713193232E-3</v>
      </c>
    </row>
    <row r="121" spans="1:24" ht="15" x14ac:dyDescent="0.25">
      <c r="A121">
        <v>13908</v>
      </c>
      <c r="B121">
        <v>13908</v>
      </c>
      <c r="C121" t="s">
        <v>2429</v>
      </c>
      <c r="D121">
        <v>510531775</v>
      </c>
      <c r="E121" t="s">
        <v>420</v>
      </c>
      <c r="F121" t="s">
        <v>2430</v>
      </c>
      <c r="G121" t="s">
        <v>2431</v>
      </c>
      <c r="H121" t="s">
        <v>75</v>
      </c>
      <c r="I121" t="s">
        <v>72</v>
      </c>
      <c r="J121" t="s">
        <v>52</v>
      </c>
      <c r="K121" t="s">
        <v>52</v>
      </c>
      <c r="L121" t="s">
        <v>775</v>
      </c>
      <c r="M121" t="s">
        <v>303</v>
      </c>
      <c r="N121" t="s">
        <v>620</v>
      </c>
      <c r="O121" t="s">
        <v>61</v>
      </c>
      <c r="P121" t="s">
        <v>1258</v>
      </c>
      <c r="Q121" s="124">
        <v>23725</v>
      </c>
      <c r="R121" s="124">
        <v>1</v>
      </c>
      <c r="S121" s="124">
        <v>4104</v>
      </c>
      <c r="T121" s="124">
        <v>0</v>
      </c>
      <c r="U121" s="124">
        <v>973.67399999999998</v>
      </c>
      <c r="V121" s="125">
        <v>1.6324787649999999E-3</v>
      </c>
      <c r="W121" s="125">
        <v>9.2454759099999998E-4</v>
      </c>
      <c r="X121" s="125">
        <f>U121/'סכום נכסים'!$B$30</f>
        <v>1.7529959572989149E-4</v>
      </c>
    </row>
    <row r="122" spans="1:24" ht="15" x14ac:dyDescent="0.25">
      <c r="A122">
        <v>13908</v>
      </c>
      <c r="B122">
        <v>13908</v>
      </c>
      <c r="C122" t="s">
        <v>2432</v>
      </c>
      <c r="D122">
        <v>511295412</v>
      </c>
      <c r="E122" t="s">
        <v>420</v>
      </c>
      <c r="F122" t="s">
        <v>2433</v>
      </c>
      <c r="G122" t="s">
        <v>2434</v>
      </c>
      <c r="H122" t="s">
        <v>75</v>
      </c>
      <c r="I122" t="s">
        <v>72</v>
      </c>
      <c r="J122" t="s">
        <v>52</v>
      </c>
      <c r="K122" t="s">
        <v>52</v>
      </c>
      <c r="L122" t="s">
        <v>775</v>
      </c>
      <c r="M122" t="s">
        <v>303</v>
      </c>
      <c r="N122" t="s">
        <v>1211</v>
      </c>
      <c r="O122" t="s">
        <v>61</v>
      </c>
      <c r="P122" t="s">
        <v>1258</v>
      </c>
      <c r="Q122" s="124">
        <v>886594</v>
      </c>
      <c r="R122" s="124">
        <v>1</v>
      </c>
      <c r="S122" s="124">
        <v>1694</v>
      </c>
      <c r="T122" s="124">
        <v>0</v>
      </c>
      <c r="U122" s="124">
        <v>15018.90236</v>
      </c>
      <c r="V122" s="125">
        <v>6.3328142850000001E-3</v>
      </c>
      <c r="W122" s="125">
        <v>1.4261128472E-2</v>
      </c>
      <c r="X122" s="125">
        <f>U122/'סכום נכסים'!$B$30</f>
        <v>2.7039928271831363E-3</v>
      </c>
    </row>
    <row r="123" spans="1:24" ht="15" x14ac:dyDescent="0.25">
      <c r="A123">
        <v>13908</v>
      </c>
      <c r="B123">
        <v>13908</v>
      </c>
      <c r="C123" t="s">
        <v>2435</v>
      </c>
      <c r="D123">
        <v>520037573</v>
      </c>
      <c r="E123" t="s">
        <v>420</v>
      </c>
      <c r="F123" t="s">
        <v>2436</v>
      </c>
      <c r="G123" t="s">
        <v>2437</v>
      </c>
      <c r="H123" t="s">
        <v>75</v>
      </c>
      <c r="I123" t="s">
        <v>72</v>
      </c>
      <c r="J123" t="s">
        <v>52</v>
      </c>
      <c r="K123" t="s">
        <v>52</v>
      </c>
      <c r="L123" t="s">
        <v>775</v>
      </c>
      <c r="M123" t="s">
        <v>303</v>
      </c>
      <c r="N123" t="s">
        <v>254</v>
      </c>
      <c r="O123" t="s">
        <v>61</v>
      </c>
      <c r="P123" t="s">
        <v>1258</v>
      </c>
      <c r="Q123" s="124">
        <v>31200</v>
      </c>
      <c r="R123" s="124">
        <v>1</v>
      </c>
      <c r="S123" s="124">
        <v>1962</v>
      </c>
      <c r="T123" s="124">
        <v>0</v>
      </c>
      <c r="U123" s="124">
        <v>612.14400000000001</v>
      </c>
      <c r="V123" s="125">
        <v>5.3062512200000001E-4</v>
      </c>
      <c r="W123" s="125">
        <v>5.8125847100000004E-4</v>
      </c>
      <c r="X123" s="125">
        <f>U123/'סכום נכסים'!$B$30</f>
        <v>1.1020998376096999E-4</v>
      </c>
    </row>
    <row r="124" spans="1:24" ht="15" x14ac:dyDescent="0.25">
      <c r="A124">
        <v>13908</v>
      </c>
      <c r="B124">
        <v>13908</v>
      </c>
      <c r="C124" t="s">
        <v>2435</v>
      </c>
      <c r="D124">
        <v>520037573</v>
      </c>
      <c r="E124" t="s">
        <v>420</v>
      </c>
      <c r="F124" t="s">
        <v>2438</v>
      </c>
      <c r="G124" t="s">
        <v>2437</v>
      </c>
      <c r="H124" t="s">
        <v>75</v>
      </c>
      <c r="I124" t="s">
        <v>72</v>
      </c>
      <c r="J124" t="s">
        <v>52</v>
      </c>
      <c r="K124" t="s">
        <v>52</v>
      </c>
      <c r="L124" t="s">
        <v>53</v>
      </c>
      <c r="M124" t="s">
        <v>303</v>
      </c>
      <c r="N124" t="s">
        <v>254</v>
      </c>
      <c r="O124" t="s">
        <v>61</v>
      </c>
      <c r="P124" t="s">
        <v>1258</v>
      </c>
      <c r="Q124" s="124">
        <v>230000</v>
      </c>
      <c r="R124" s="124">
        <v>1</v>
      </c>
      <c r="S124" s="124">
        <v>1952.2609</v>
      </c>
      <c r="T124" s="124">
        <v>0</v>
      </c>
      <c r="U124" s="124">
        <v>4490.2000699999999</v>
      </c>
      <c r="V124" s="125">
        <v>3.911659556E-3</v>
      </c>
      <c r="W124" s="125">
        <v>4.2636484690000004E-3</v>
      </c>
      <c r="X124" s="125">
        <f>U124/'סכום נכסים'!$B$30</f>
        <v>8.0841252515454908E-4</v>
      </c>
    </row>
    <row r="125" spans="1:24" ht="15" x14ac:dyDescent="0.25">
      <c r="A125">
        <v>13908</v>
      </c>
      <c r="B125">
        <v>13908</v>
      </c>
      <c r="C125" t="s">
        <v>2439</v>
      </c>
      <c r="D125">
        <v>511017139</v>
      </c>
      <c r="E125" t="s">
        <v>420</v>
      </c>
      <c r="F125" t="s">
        <v>2440</v>
      </c>
      <c r="G125" t="s">
        <v>2441</v>
      </c>
      <c r="H125" t="s">
        <v>75</v>
      </c>
      <c r="I125" t="s">
        <v>72</v>
      </c>
      <c r="J125" t="s">
        <v>52</v>
      </c>
      <c r="K125" t="s">
        <v>52</v>
      </c>
      <c r="L125" t="s">
        <v>775</v>
      </c>
      <c r="M125" t="s">
        <v>886</v>
      </c>
      <c r="N125" t="s">
        <v>623</v>
      </c>
      <c r="O125" t="s">
        <v>61</v>
      </c>
      <c r="P125" t="s">
        <v>1258</v>
      </c>
      <c r="Q125" s="124">
        <v>447281</v>
      </c>
      <c r="R125" s="124">
        <v>1</v>
      </c>
      <c r="S125" s="124">
        <v>1381</v>
      </c>
      <c r="T125" s="124">
        <v>0</v>
      </c>
      <c r="U125" s="124">
        <v>6176.9506099999999</v>
      </c>
      <c r="V125" s="125">
        <v>3.9062478160000001E-3</v>
      </c>
      <c r="W125" s="125">
        <v>5.865294553E-3</v>
      </c>
      <c r="X125" s="125">
        <f>U125/'סכום נכסים'!$B$30</f>
        <v>1.1120939295662681E-3</v>
      </c>
    </row>
    <row r="126" spans="1:24" ht="15" x14ac:dyDescent="0.25">
      <c r="A126">
        <v>13908</v>
      </c>
      <c r="B126">
        <v>13908</v>
      </c>
      <c r="C126" t="s">
        <v>2442</v>
      </c>
      <c r="D126">
        <v>520034505</v>
      </c>
      <c r="E126" t="s">
        <v>420</v>
      </c>
      <c r="F126" t="s">
        <v>2443</v>
      </c>
      <c r="G126" t="s">
        <v>2444</v>
      </c>
      <c r="H126" t="s">
        <v>75</v>
      </c>
      <c r="I126" t="s">
        <v>72</v>
      </c>
      <c r="J126" t="s">
        <v>52</v>
      </c>
      <c r="K126" t="s">
        <v>52</v>
      </c>
      <c r="L126" t="s">
        <v>775</v>
      </c>
      <c r="M126" t="s">
        <v>303</v>
      </c>
      <c r="N126" t="s">
        <v>138</v>
      </c>
      <c r="O126" t="s">
        <v>61</v>
      </c>
      <c r="P126" t="s">
        <v>1258</v>
      </c>
      <c r="Q126" s="124">
        <v>30000</v>
      </c>
      <c r="R126" s="124">
        <v>1</v>
      </c>
      <c r="S126" s="124">
        <v>2668</v>
      </c>
      <c r="T126" s="124">
        <v>0</v>
      </c>
      <c r="U126" s="124">
        <v>800.4</v>
      </c>
      <c r="V126" s="125">
        <v>3.8595096199999998E-4</v>
      </c>
      <c r="W126" s="125">
        <v>7.6001607499999999E-4</v>
      </c>
      <c r="X126" s="125">
        <f>U126/'סכום נכסים'!$B$30</f>
        <v>1.4410346422129495E-4</v>
      </c>
    </row>
    <row r="127" spans="1:24" ht="15" x14ac:dyDescent="0.25">
      <c r="A127">
        <v>13908</v>
      </c>
      <c r="B127">
        <v>13908</v>
      </c>
      <c r="C127" t="s">
        <v>2445</v>
      </c>
      <c r="D127">
        <v>514212877</v>
      </c>
      <c r="E127" t="s">
        <v>420</v>
      </c>
      <c r="F127" t="s">
        <v>2446</v>
      </c>
      <c r="G127" t="s">
        <v>2447</v>
      </c>
      <c r="H127" t="s">
        <v>75</v>
      </c>
      <c r="I127" t="s">
        <v>72</v>
      </c>
      <c r="J127" t="s">
        <v>52</v>
      </c>
      <c r="K127" t="s">
        <v>52</v>
      </c>
      <c r="L127" t="s">
        <v>775</v>
      </c>
      <c r="M127" t="s">
        <v>303</v>
      </c>
      <c r="N127" t="s">
        <v>1211</v>
      </c>
      <c r="O127" t="s">
        <v>61</v>
      </c>
      <c r="P127" t="s">
        <v>1258</v>
      </c>
      <c r="Q127" s="124">
        <v>69173</v>
      </c>
      <c r="R127" s="124">
        <v>1</v>
      </c>
      <c r="S127" s="124">
        <v>7743</v>
      </c>
      <c r="T127" s="124">
        <v>0</v>
      </c>
      <c r="U127" s="124">
        <v>5356.0653899999998</v>
      </c>
      <c r="V127" s="125">
        <v>5.8024921359999997E-3</v>
      </c>
      <c r="W127" s="125">
        <v>5.0858268329999996E-3</v>
      </c>
      <c r="X127" s="125">
        <f>U127/'סכום נכסים'!$B$30</f>
        <v>9.6430232045824739E-4</v>
      </c>
    </row>
    <row r="128" spans="1:24" ht="15" x14ac:dyDescent="0.25">
      <c r="A128">
        <v>13908</v>
      </c>
      <c r="B128">
        <v>13908</v>
      </c>
      <c r="C128" t="s">
        <v>2448</v>
      </c>
      <c r="D128">
        <v>2548</v>
      </c>
      <c r="E128" t="s">
        <v>2</v>
      </c>
      <c r="F128" t="s">
        <v>2449</v>
      </c>
      <c r="G128" t="s">
        <v>2450</v>
      </c>
      <c r="H128" t="s">
        <v>75</v>
      </c>
      <c r="I128" t="s">
        <v>72</v>
      </c>
      <c r="J128" t="s">
        <v>52</v>
      </c>
      <c r="K128" t="s">
        <v>52</v>
      </c>
      <c r="L128" t="s">
        <v>775</v>
      </c>
      <c r="M128" t="s">
        <v>303</v>
      </c>
      <c r="N128" t="s">
        <v>621</v>
      </c>
      <c r="O128" t="s">
        <v>61</v>
      </c>
      <c r="P128" t="s">
        <v>1258</v>
      </c>
      <c r="Q128" s="124">
        <v>300000</v>
      </c>
      <c r="R128" s="124">
        <v>1</v>
      </c>
      <c r="S128" s="124">
        <v>780.3</v>
      </c>
      <c r="T128" s="124">
        <v>0</v>
      </c>
      <c r="U128" s="124">
        <v>2340.9</v>
      </c>
      <c r="V128" s="125">
        <v>2.1329541410000001E-3</v>
      </c>
      <c r="W128" s="125">
        <v>2.2227906430000001E-3</v>
      </c>
      <c r="X128" s="125">
        <f>U128/'סכום נכסים'!$B$30</f>
        <v>4.2145402223342E-4</v>
      </c>
    </row>
    <row r="129" spans="1:24" ht="15" x14ac:dyDescent="0.25">
      <c r="A129">
        <v>13908</v>
      </c>
      <c r="B129">
        <v>13908</v>
      </c>
      <c r="C129" t="s">
        <v>2451</v>
      </c>
      <c r="D129">
        <v>520036658</v>
      </c>
      <c r="E129" t="s">
        <v>420</v>
      </c>
      <c r="F129" t="s">
        <v>2452</v>
      </c>
      <c r="G129" t="s">
        <v>2453</v>
      </c>
      <c r="H129" t="s">
        <v>75</v>
      </c>
      <c r="I129" t="s">
        <v>72</v>
      </c>
      <c r="J129" t="s">
        <v>52</v>
      </c>
      <c r="K129" t="s">
        <v>52</v>
      </c>
      <c r="L129" t="s">
        <v>775</v>
      </c>
      <c r="M129" t="s">
        <v>303</v>
      </c>
      <c r="N129" t="s">
        <v>154</v>
      </c>
      <c r="O129" t="s">
        <v>61</v>
      </c>
      <c r="P129" t="s">
        <v>1258</v>
      </c>
      <c r="Q129" s="124">
        <v>3058572</v>
      </c>
      <c r="R129" s="124">
        <v>1</v>
      </c>
      <c r="S129" s="124">
        <v>157.5</v>
      </c>
      <c r="T129" s="124">
        <v>0</v>
      </c>
      <c r="U129" s="124">
        <v>4817.2509</v>
      </c>
      <c r="V129" s="125">
        <v>9.7996998699999998E-4</v>
      </c>
      <c r="W129" s="125">
        <v>4.574198055E-3</v>
      </c>
      <c r="X129" s="125">
        <f>U129/'סכום נכסים'!$B$30</f>
        <v>8.6729453112587571E-4</v>
      </c>
    </row>
    <row r="130" spans="1:24" ht="15" x14ac:dyDescent="0.25">
      <c r="A130">
        <v>13908</v>
      </c>
      <c r="B130">
        <v>13908</v>
      </c>
      <c r="C130" t="s">
        <v>2454</v>
      </c>
      <c r="D130" t="s">
        <v>2455</v>
      </c>
      <c r="E130" t="s">
        <v>421</v>
      </c>
      <c r="F130" t="s">
        <v>2454</v>
      </c>
      <c r="G130" t="s">
        <v>2456</v>
      </c>
      <c r="H130" t="s">
        <v>75</v>
      </c>
      <c r="I130" t="s">
        <v>72</v>
      </c>
      <c r="J130" t="s">
        <v>60</v>
      </c>
      <c r="K130" t="s">
        <v>306</v>
      </c>
      <c r="L130" t="s">
        <v>775</v>
      </c>
      <c r="M130" t="s">
        <v>466</v>
      </c>
      <c r="N130" t="s">
        <v>198</v>
      </c>
      <c r="O130" t="s">
        <v>61</v>
      </c>
      <c r="P130" t="s">
        <v>1260</v>
      </c>
      <c r="Q130" s="124">
        <v>5000</v>
      </c>
      <c r="R130" s="124">
        <v>2.9780000000000002</v>
      </c>
      <c r="S130" s="124">
        <v>5844</v>
      </c>
      <c r="T130" s="124">
        <v>0</v>
      </c>
      <c r="U130" s="124">
        <v>870.17160000000001</v>
      </c>
      <c r="V130" s="125">
        <v>8.2212229818961094E-5</v>
      </c>
      <c r="W130" s="125">
        <v>8.2626737100000003E-4</v>
      </c>
      <c r="X130" s="125">
        <f>U130/'סכום נכסים'!$B$30</f>
        <v>1.5666509498624061E-4</v>
      </c>
    </row>
    <row r="131" spans="1:24" ht="15" x14ac:dyDescent="0.25">
      <c r="A131">
        <v>13908</v>
      </c>
      <c r="B131">
        <v>13908</v>
      </c>
      <c r="C131" t="s">
        <v>2457</v>
      </c>
      <c r="D131" t="s">
        <v>2458</v>
      </c>
      <c r="E131" t="s">
        <v>421</v>
      </c>
      <c r="F131" t="s">
        <v>2457</v>
      </c>
      <c r="G131" t="s">
        <v>2459</v>
      </c>
      <c r="H131" t="s">
        <v>75</v>
      </c>
      <c r="I131" t="s">
        <v>72</v>
      </c>
      <c r="J131" t="s">
        <v>60</v>
      </c>
      <c r="K131" t="s">
        <v>52</v>
      </c>
      <c r="L131" t="s">
        <v>775</v>
      </c>
      <c r="M131" t="s">
        <v>466</v>
      </c>
      <c r="N131" t="s">
        <v>858</v>
      </c>
      <c r="O131" t="s">
        <v>61</v>
      </c>
      <c r="P131" t="s">
        <v>1260</v>
      </c>
      <c r="Q131" s="124">
        <v>5542.55</v>
      </c>
      <c r="R131" s="124">
        <v>2.9780000000000002</v>
      </c>
      <c r="S131" s="124">
        <v>1513</v>
      </c>
      <c r="T131" s="124">
        <v>0</v>
      </c>
      <c r="U131" s="124">
        <v>249.73145</v>
      </c>
      <c r="V131" s="125">
        <v>0</v>
      </c>
      <c r="W131" s="125">
        <v>2.3713133E-4</v>
      </c>
      <c r="X131" s="125">
        <f>U131/'סכום נכסים'!$B$30</f>
        <v>4.4961478098459658E-5</v>
      </c>
    </row>
    <row r="132" spans="1:24" ht="15" x14ac:dyDescent="0.25">
      <c r="A132">
        <v>13908</v>
      </c>
      <c r="B132">
        <v>13908</v>
      </c>
      <c r="C132" t="s">
        <v>2460</v>
      </c>
      <c r="D132">
        <v>1729029</v>
      </c>
      <c r="E132" t="s">
        <v>743</v>
      </c>
      <c r="F132" t="s">
        <v>2460</v>
      </c>
      <c r="G132" t="s">
        <v>2461</v>
      </c>
      <c r="H132" t="s">
        <v>75</v>
      </c>
      <c r="I132" t="s">
        <v>72</v>
      </c>
      <c r="J132" t="s">
        <v>60</v>
      </c>
      <c r="K132" t="s">
        <v>205</v>
      </c>
      <c r="L132" t="s">
        <v>775</v>
      </c>
      <c r="M132" t="s">
        <v>488</v>
      </c>
      <c r="N132" t="s">
        <v>850</v>
      </c>
      <c r="O132" t="s">
        <v>61</v>
      </c>
      <c r="P132" t="s">
        <v>1261</v>
      </c>
      <c r="Q132" s="124">
        <v>25000</v>
      </c>
      <c r="R132" s="124">
        <v>3.6802000000000001</v>
      </c>
      <c r="S132" s="124">
        <v>102</v>
      </c>
      <c r="T132" s="124">
        <v>0</v>
      </c>
      <c r="U132" s="124">
        <v>93.845100000000002</v>
      </c>
      <c r="V132" s="125">
        <v>6.7458274200000003E-4</v>
      </c>
      <c r="W132" s="125">
        <v>8.9110175667406801E-5</v>
      </c>
      <c r="X132" s="125">
        <f>U132/'סכום נכסים'!$B$30</f>
        <v>1.6895807109187715E-5</v>
      </c>
    </row>
    <row r="133" spans="1:24" ht="15" x14ac:dyDescent="0.25">
      <c r="A133">
        <v>13908</v>
      </c>
      <c r="B133">
        <v>13908</v>
      </c>
      <c r="C133" t="s">
        <v>2462</v>
      </c>
      <c r="D133" t="s">
        <v>2463</v>
      </c>
      <c r="E133" t="s">
        <v>421</v>
      </c>
      <c r="F133" t="s">
        <v>2462</v>
      </c>
      <c r="G133" t="s">
        <v>2464</v>
      </c>
      <c r="H133" t="s">
        <v>75</v>
      </c>
      <c r="I133" t="s">
        <v>72</v>
      </c>
      <c r="J133" t="s">
        <v>60</v>
      </c>
      <c r="K133" t="s">
        <v>306</v>
      </c>
      <c r="L133" t="s">
        <v>775</v>
      </c>
      <c r="M133" t="s">
        <v>466</v>
      </c>
      <c r="N133" t="s">
        <v>858</v>
      </c>
      <c r="O133" t="s">
        <v>61</v>
      </c>
      <c r="P133" t="s">
        <v>1260</v>
      </c>
      <c r="Q133" s="124">
        <v>7700</v>
      </c>
      <c r="R133" s="124">
        <v>2.9780000000000002</v>
      </c>
      <c r="S133" s="124">
        <v>34102</v>
      </c>
      <c r="T133" s="124">
        <v>0</v>
      </c>
      <c r="U133" s="124">
        <v>7819.7932099999998</v>
      </c>
      <c r="V133" s="125">
        <v>9.4478527607362008E-6</v>
      </c>
      <c r="W133" s="125">
        <v>7.4252480589999999E-3</v>
      </c>
      <c r="X133" s="125">
        <f>U133/'סכום נכסים'!$B$30</f>
        <v>1.4078701787295855E-3</v>
      </c>
    </row>
    <row r="134" spans="1:24" ht="15" x14ac:dyDescent="0.25">
      <c r="A134">
        <v>13908</v>
      </c>
      <c r="B134">
        <v>13908</v>
      </c>
      <c r="C134" t="s">
        <v>2465</v>
      </c>
      <c r="D134" t="s">
        <v>2042</v>
      </c>
      <c r="E134" t="s">
        <v>421</v>
      </c>
      <c r="F134" t="s">
        <v>2465</v>
      </c>
      <c r="G134" t="s">
        <v>2466</v>
      </c>
      <c r="H134" t="s">
        <v>75</v>
      </c>
      <c r="I134" t="s">
        <v>72</v>
      </c>
      <c r="J134" t="s">
        <v>60</v>
      </c>
      <c r="K134" t="s">
        <v>52</v>
      </c>
      <c r="L134" t="s">
        <v>775</v>
      </c>
      <c r="M134" t="s">
        <v>481</v>
      </c>
      <c r="N134" t="s">
        <v>821</v>
      </c>
      <c r="O134" t="s">
        <v>61</v>
      </c>
      <c r="P134" t="s">
        <v>1262</v>
      </c>
      <c r="Q134" s="124">
        <v>770255</v>
      </c>
      <c r="R134" s="124">
        <v>3.9388999999999998</v>
      </c>
      <c r="S134" s="124">
        <v>217</v>
      </c>
      <c r="T134" s="124">
        <v>0</v>
      </c>
      <c r="U134" s="124">
        <v>6583.6876000000002</v>
      </c>
      <c r="V134" s="125">
        <v>4.6576760199999999E-4</v>
      </c>
      <c r="W134" s="125">
        <v>6.2515097589999997E-3</v>
      </c>
      <c r="X134" s="125">
        <f>U134/'סכום נכסים'!$B$30</f>
        <v>1.185322576850054E-3</v>
      </c>
    </row>
    <row r="135" spans="1:24" ht="15" x14ac:dyDescent="0.25">
      <c r="A135">
        <v>13908</v>
      </c>
      <c r="B135">
        <v>13908</v>
      </c>
      <c r="C135" t="s">
        <v>2467</v>
      </c>
      <c r="D135" t="s">
        <v>2468</v>
      </c>
      <c r="E135" t="s">
        <v>743</v>
      </c>
      <c r="F135" t="s">
        <v>2469</v>
      </c>
      <c r="G135" t="s">
        <v>2470</v>
      </c>
      <c r="H135" t="s">
        <v>75</v>
      </c>
      <c r="I135" t="s">
        <v>72</v>
      </c>
      <c r="J135" t="s">
        <v>60</v>
      </c>
      <c r="K135" t="s">
        <v>205</v>
      </c>
      <c r="L135" t="s">
        <v>775</v>
      </c>
      <c r="M135" t="s">
        <v>488</v>
      </c>
      <c r="N135" t="s">
        <v>128</v>
      </c>
      <c r="O135" t="s">
        <v>61</v>
      </c>
      <c r="P135" t="s">
        <v>1261</v>
      </c>
      <c r="Q135" s="124">
        <v>20754</v>
      </c>
      <c r="R135" s="124">
        <v>3.6802000000000001</v>
      </c>
      <c r="S135" s="124">
        <v>1E-4</v>
      </c>
      <c r="T135" s="124">
        <v>0</v>
      </c>
      <c r="U135" s="124">
        <v>0</v>
      </c>
      <c r="V135" s="125">
        <v>1.2660471810000001E-3</v>
      </c>
      <c r="W135" s="125">
        <v>0</v>
      </c>
      <c r="X135" s="125">
        <f>U135/'סכום נכסים'!$B$30</f>
        <v>0</v>
      </c>
    </row>
    <row r="136" spans="1:24" ht="15" x14ac:dyDescent="0.25">
      <c r="A136">
        <v>13908</v>
      </c>
      <c r="B136">
        <v>13908</v>
      </c>
      <c r="C136" t="s">
        <v>2471</v>
      </c>
      <c r="D136" t="s">
        <v>2472</v>
      </c>
      <c r="E136" t="s">
        <v>421</v>
      </c>
      <c r="F136" t="s">
        <v>2473</v>
      </c>
      <c r="G136" t="s">
        <v>2474</v>
      </c>
      <c r="H136" t="s">
        <v>75</v>
      </c>
      <c r="I136" t="s">
        <v>72</v>
      </c>
      <c r="J136" t="s">
        <v>60</v>
      </c>
      <c r="K136" t="s">
        <v>197</v>
      </c>
      <c r="L136" t="s">
        <v>775</v>
      </c>
      <c r="M136" t="s">
        <v>473</v>
      </c>
      <c r="N136" t="s">
        <v>870</v>
      </c>
      <c r="O136" t="s">
        <v>61</v>
      </c>
      <c r="P136" t="s">
        <v>1265</v>
      </c>
      <c r="Q136" s="124">
        <v>28350</v>
      </c>
      <c r="R136" s="124">
        <v>3.3944999999999999</v>
      </c>
      <c r="S136" s="124">
        <v>1277.4000000000001</v>
      </c>
      <c r="T136" s="124">
        <v>0</v>
      </c>
      <c r="U136" s="124">
        <v>1229.2940699999999</v>
      </c>
      <c r="V136" s="125">
        <v>2.8350000000000001E-5</v>
      </c>
      <c r="W136" s="125">
        <v>1.167270433E-3</v>
      </c>
      <c r="X136" s="125">
        <f>U136/'סכום נכסים'!$B$30</f>
        <v>2.2132125691366197E-4</v>
      </c>
    </row>
  </sheetData>
  <sheetProtection formatColumns="0"/>
  <autoFilter ref="A1:Z136" xr:uid="{00000000-0001-0000-0600-000000000000}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8"/>
  <sheetViews>
    <sheetView rightToLeft="1" workbookViewId="0"/>
  </sheetViews>
  <sheetFormatPr defaultColWidth="0" defaultRowHeight="14" x14ac:dyDescent="0.3"/>
  <cols>
    <col min="1" max="2" width="10.58203125" bestFit="1" customWidth="1"/>
    <col min="3" max="3" width="32.1640625" bestFit="1" customWidth="1"/>
    <col min="4" max="4" width="23.75" bestFit="1" customWidth="1"/>
    <col min="5" max="5" width="10.83203125" bestFit="1" customWidth="1"/>
    <col min="6" max="6" width="29.25" bestFit="1" customWidth="1"/>
    <col min="7" max="7" width="13.4140625" bestFit="1" customWidth="1"/>
    <col min="8" max="8" width="9.1640625" bestFit="1" customWidth="1"/>
    <col min="9" max="9" width="26.58203125" bestFit="1" customWidth="1"/>
    <col min="10" max="10" width="10" bestFit="1" customWidth="1"/>
    <col min="11" max="11" width="9.25" bestFit="1" customWidth="1"/>
    <col min="12" max="12" width="9.58203125" bestFit="1" customWidth="1"/>
    <col min="13" max="13" width="51.58203125" bestFit="1" customWidth="1"/>
    <col min="14" max="14" width="11" bestFit="1" customWidth="1"/>
    <col min="15" max="15" width="11.25" bestFit="1" customWidth="1"/>
    <col min="16" max="16" width="15.25" bestFit="1" customWidth="1"/>
    <col min="17" max="17" width="9.83203125" bestFit="1" customWidth="1"/>
    <col min="18" max="18" width="14.25" bestFit="1" customWidth="1"/>
    <col min="19" max="19" width="9.75" bestFit="1" customWidth="1"/>
    <col min="20" max="21" width="10.83203125" bestFit="1" customWidth="1"/>
    <col min="22" max="22" width="11.1640625" bestFit="1" customWidth="1"/>
    <col min="23" max="23" width="10" bestFit="1" customWidth="1"/>
    <col min="24" max="24" width="11.58203125" hidden="1" customWidth="1"/>
    <col min="25" max="16384" width="9" hidden="1"/>
  </cols>
  <sheetData>
    <row r="1" spans="1:23" s="2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4</v>
      </c>
      <c r="M1" s="13" t="s">
        <v>292</v>
      </c>
      <c r="N1" s="13" t="s">
        <v>593</v>
      </c>
      <c r="O1" s="13" t="s">
        <v>387</v>
      </c>
      <c r="P1" s="13" t="s">
        <v>747</v>
      </c>
      <c r="Q1" s="13" t="s">
        <v>10</v>
      </c>
      <c r="R1" s="13" t="s">
        <v>14</v>
      </c>
      <c r="S1" s="13" t="s">
        <v>895</v>
      </c>
      <c r="T1" s="13" t="s">
        <v>1105</v>
      </c>
      <c r="U1" s="13" t="s">
        <v>17</v>
      </c>
      <c r="V1" s="13" t="s">
        <v>18</v>
      </c>
      <c r="W1" s="13" t="s">
        <v>29</v>
      </c>
    </row>
    <row r="2" spans="1:23" x14ac:dyDescent="0.3">
      <c r="A2">
        <v>13908</v>
      </c>
      <c r="B2">
        <v>13908</v>
      </c>
      <c r="C2" t="s">
        <v>2475</v>
      </c>
      <c r="D2">
        <v>513534974</v>
      </c>
      <c r="E2" t="s">
        <v>420</v>
      </c>
      <c r="F2" t="s">
        <v>2476</v>
      </c>
      <c r="G2" t="s">
        <v>2477</v>
      </c>
      <c r="H2" t="s">
        <v>75</v>
      </c>
      <c r="I2" t="s">
        <v>230</v>
      </c>
      <c r="J2" t="s">
        <v>52</v>
      </c>
      <c r="K2" t="s">
        <v>52</v>
      </c>
      <c r="L2" t="s">
        <v>303</v>
      </c>
      <c r="M2" t="s">
        <v>1015</v>
      </c>
      <c r="N2" t="s">
        <v>61</v>
      </c>
      <c r="O2" t="s">
        <v>1258</v>
      </c>
      <c r="P2" s="124">
        <v>1880000</v>
      </c>
      <c r="Q2" s="124">
        <v>1</v>
      </c>
      <c r="R2" s="124">
        <v>3930</v>
      </c>
      <c r="S2" s="124">
        <v>0</v>
      </c>
      <c r="T2" s="124">
        <v>73884</v>
      </c>
      <c r="U2" s="125">
        <v>4.2841713360000002E-3</v>
      </c>
      <c r="V2" s="125">
        <v>0.17014891638599999</v>
      </c>
      <c r="W2" s="125">
        <f>T2/'סכום נכסים'!$B$30</f>
        <v>1.3302024425944723E-2</v>
      </c>
    </row>
    <row r="3" spans="1:23" x14ac:dyDescent="0.3">
      <c r="A3">
        <v>13908</v>
      </c>
      <c r="B3">
        <v>13908</v>
      </c>
      <c r="C3" t="s">
        <v>2475</v>
      </c>
      <c r="D3">
        <v>513534974</v>
      </c>
      <c r="E3" t="s">
        <v>420</v>
      </c>
      <c r="F3" t="s">
        <v>2478</v>
      </c>
      <c r="G3" t="s">
        <v>2479</v>
      </c>
      <c r="H3" t="s">
        <v>75</v>
      </c>
      <c r="I3" t="s">
        <v>232</v>
      </c>
      <c r="J3" t="s">
        <v>52</v>
      </c>
      <c r="K3" t="s">
        <v>52</v>
      </c>
      <c r="L3" t="s">
        <v>303</v>
      </c>
      <c r="M3" t="s">
        <v>917</v>
      </c>
      <c r="N3" t="s">
        <v>61</v>
      </c>
      <c r="O3" t="s">
        <v>1258</v>
      </c>
      <c r="P3" s="124">
        <v>15040200</v>
      </c>
      <c r="Q3" s="124">
        <v>1</v>
      </c>
      <c r="R3" s="124">
        <v>407.77</v>
      </c>
      <c r="S3" s="124">
        <v>0</v>
      </c>
      <c r="T3" s="124">
        <v>61329.423540000003</v>
      </c>
      <c r="U3" s="125">
        <v>1.1045029268E-2</v>
      </c>
      <c r="V3" s="125">
        <v>0.14123673539500001</v>
      </c>
      <c r="W3" s="125">
        <f>T3/'סכום נכסים'!$B$30</f>
        <v>1.1041707134943821E-2</v>
      </c>
    </row>
    <row r="4" spans="1:23" x14ac:dyDescent="0.3">
      <c r="A4">
        <v>13908</v>
      </c>
      <c r="B4">
        <v>13908</v>
      </c>
      <c r="C4" t="s">
        <v>2480</v>
      </c>
      <c r="D4">
        <v>510938608</v>
      </c>
      <c r="E4" t="s">
        <v>420</v>
      </c>
      <c r="F4" t="s">
        <v>2481</v>
      </c>
      <c r="G4" t="s">
        <v>2482</v>
      </c>
      <c r="H4" t="s">
        <v>75</v>
      </c>
      <c r="I4" t="s">
        <v>232</v>
      </c>
      <c r="J4" t="s">
        <v>52</v>
      </c>
      <c r="K4" t="s">
        <v>52</v>
      </c>
      <c r="L4" t="s">
        <v>303</v>
      </c>
      <c r="M4" t="s">
        <v>915</v>
      </c>
      <c r="N4" t="s">
        <v>61</v>
      </c>
      <c r="O4" t="s">
        <v>1258</v>
      </c>
      <c r="P4" s="124">
        <v>3000</v>
      </c>
      <c r="Q4" s="124">
        <v>1</v>
      </c>
      <c r="R4" s="124">
        <v>4135.78</v>
      </c>
      <c r="S4" s="124">
        <v>0</v>
      </c>
      <c r="T4" s="124">
        <v>124.07340000000001</v>
      </c>
      <c r="U4" s="125">
        <v>5.7499699180740498E-5</v>
      </c>
      <c r="V4" s="125">
        <v>2.8573107199999999E-4</v>
      </c>
      <c r="W4" s="125">
        <f>T4/'סכום נכסים'!$B$30</f>
        <v>2.2338089402441801E-5</v>
      </c>
    </row>
    <row r="5" spans="1:23" x14ac:dyDescent="0.3">
      <c r="A5">
        <v>13908</v>
      </c>
      <c r="B5">
        <v>13908</v>
      </c>
      <c r="C5" t="s">
        <v>2480</v>
      </c>
      <c r="D5">
        <v>510938608</v>
      </c>
      <c r="E5" t="s">
        <v>420</v>
      </c>
      <c r="F5" t="s">
        <v>2483</v>
      </c>
      <c r="G5" t="s">
        <v>2484</v>
      </c>
      <c r="H5" t="s">
        <v>75</v>
      </c>
      <c r="I5" t="s">
        <v>231</v>
      </c>
      <c r="J5" t="s">
        <v>52</v>
      </c>
      <c r="K5" t="s">
        <v>305</v>
      </c>
      <c r="L5" t="s">
        <v>303</v>
      </c>
      <c r="M5" t="s">
        <v>1058</v>
      </c>
      <c r="N5" t="s">
        <v>61</v>
      </c>
      <c r="O5" t="s">
        <v>1258</v>
      </c>
      <c r="P5" s="124">
        <v>103320</v>
      </c>
      <c r="Q5" s="124">
        <v>1</v>
      </c>
      <c r="R5" s="124">
        <v>52590</v>
      </c>
      <c r="S5" s="124">
        <v>0</v>
      </c>
      <c r="T5" s="124">
        <v>54335.987999999998</v>
      </c>
      <c r="U5" s="125">
        <v>5.2414772727E-2</v>
      </c>
      <c r="V5" s="125">
        <v>0.12513141517699999</v>
      </c>
      <c r="W5" s="125">
        <f>T5/'סכום נכסים'!$B$30</f>
        <v>9.7826138214476659E-3</v>
      </c>
    </row>
    <row r="6" spans="1:23" x14ac:dyDescent="0.3">
      <c r="A6">
        <v>13908</v>
      </c>
      <c r="B6">
        <v>13908</v>
      </c>
      <c r="C6" t="s">
        <v>2480</v>
      </c>
      <c r="D6">
        <v>510938608</v>
      </c>
      <c r="E6" t="s">
        <v>420</v>
      </c>
      <c r="F6" t="s">
        <v>2485</v>
      </c>
      <c r="G6" t="s">
        <v>2486</v>
      </c>
      <c r="H6" t="s">
        <v>75</v>
      </c>
      <c r="I6" t="s">
        <v>232</v>
      </c>
      <c r="J6" t="s">
        <v>52</v>
      </c>
      <c r="K6" t="s">
        <v>52</v>
      </c>
      <c r="L6" t="s">
        <v>303</v>
      </c>
      <c r="M6" t="s">
        <v>932</v>
      </c>
      <c r="N6" t="s">
        <v>61</v>
      </c>
      <c r="O6" t="s">
        <v>1258</v>
      </c>
      <c r="P6" s="124">
        <v>1559524</v>
      </c>
      <c r="Q6" s="124">
        <v>1</v>
      </c>
      <c r="R6" s="124">
        <v>4056.02</v>
      </c>
      <c r="S6" s="124">
        <v>0</v>
      </c>
      <c r="T6" s="124">
        <v>63254.605340000002</v>
      </c>
      <c r="U6" s="125">
        <v>2.1654100677E-2</v>
      </c>
      <c r="V6" s="125">
        <v>0.14567027441700001</v>
      </c>
      <c r="W6" s="125">
        <f>T6/'סכום נכסים'!$B$30</f>
        <v>1.1388315539036511E-2</v>
      </c>
    </row>
    <row r="7" spans="1:23" x14ac:dyDescent="0.3">
      <c r="A7">
        <v>13908</v>
      </c>
      <c r="B7">
        <v>13908</v>
      </c>
      <c r="C7" t="s">
        <v>2487</v>
      </c>
      <c r="D7">
        <v>513765339</v>
      </c>
      <c r="E7" t="s">
        <v>420</v>
      </c>
      <c r="F7" t="s">
        <v>2488</v>
      </c>
      <c r="G7" t="s">
        <v>2489</v>
      </c>
      <c r="H7" t="s">
        <v>75</v>
      </c>
      <c r="I7" t="s">
        <v>232</v>
      </c>
      <c r="J7" t="s">
        <v>52</v>
      </c>
      <c r="K7" t="s">
        <v>52</v>
      </c>
      <c r="L7" t="s">
        <v>303</v>
      </c>
      <c r="M7" t="s">
        <v>917</v>
      </c>
      <c r="N7" t="s">
        <v>61</v>
      </c>
      <c r="O7" t="s">
        <v>1258</v>
      </c>
      <c r="P7" s="124">
        <v>5495390</v>
      </c>
      <c r="Q7" s="124">
        <v>1</v>
      </c>
      <c r="R7" s="124">
        <v>408.38</v>
      </c>
      <c r="S7" s="124">
        <v>0</v>
      </c>
      <c r="T7" s="124">
        <v>22442.073680000001</v>
      </c>
      <c r="U7" s="125">
        <v>3.9974870879999997E-3</v>
      </c>
      <c r="V7" s="125">
        <v>5.1682292757000002E-2</v>
      </c>
      <c r="W7" s="125">
        <f>T7/'סכום נכסים'!$B$30</f>
        <v>4.0404554742598017E-3</v>
      </c>
    </row>
    <row r="8" spans="1:23" x14ac:dyDescent="0.3">
      <c r="A8">
        <v>13908</v>
      </c>
      <c r="B8">
        <v>13908</v>
      </c>
      <c r="C8" t="s">
        <v>2487</v>
      </c>
      <c r="D8">
        <v>513765339</v>
      </c>
      <c r="E8" t="s">
        <v>420</v>
      </c>
      <c r="F8" t="s">
        <v>2490</v>
      </c>
      <c r="G8" t="s">
        <v>2491</v>
      </c>
      <c r="H8" t="s">
        <v>75</v>
      </c>
      <c r="I8" t="s">
        <v>230</v>
      </c>
      <c r="J8" t="s">
        <v>52</v>
      </c>
      <c r="K8" t="s">
        <v>52</v>
      </c>
      <c r="L8" t="s">
        <v>303</v>
      </c>
      <c r="M8" t="s">
        <v>1015</v>
      </c>
      <c r="N8" t="s">
        <v>61</v>
      </c>
      <c r="O8" t="s">
        <v>1258</v>
      </c>
      <c r="P8" s="124">
        <v>160000</v>
      </c>
      <c r="Q8" s="124">
        <v>1</v>
      </c>
      <c r="R8" s="124">
        <v>3889</v>
      </c>
      <c r="S8" s="124">
        <v>0</v>
      </c>
      <c r="T8" s="124">
        <v>6222.4</v>
      </c>
      <c r="U8" s="125">
        <v>3.9873036700000002E-4</v>
      </c>
      <c r="V8" s="125">
        <v>1.4329687311000001E-2</v>
      </c>
      <c r="W8" s="125">
        <f>T8/'סכום נכסים'!$B$30</f>
        <v>1.1202766064100271E-3</v>
      </c>
    </row>
    <row r="9" spans="1:23" x14ac:dyDescent="0.3">
      <c r="A9">
        <v>13908</v>
      </c>
      <c r="B9">
        <v>13908</v>
      </c>
      <c r="C9" t="s">
        <v>2492</v>
      </c>
      <c r="D9">
        <v>511776783</v>
      </c>
      <c r="E9" t="s">
        <v>420</v>
      </c>
      <c r="F9" t="s">
        <v>2493</v>
      </c>
      <c r="G9" t="s">
        <v>2494</v>
      </c>
      <c r="H9" t="s">
        <v>75</v>
      </c>
      <c r="I9" t="s">
        <v>231</v>
      </c>
      <c r="J9" t="s">
        <v>52</v>
      </c>
      <c r="K9" t="s">
        <v>306</v>
      </c>
      <c r="L9" t="s">
        <v>303</v>
      </c>
      <c r="M9" t="s">
        <v>1027</v>
      </c>
      <c r="N9" t="s">
        <v>61</v>
      </c>
      <c r="O9" t="s">
        <v>1258</v>
      </c>
      <c r="P9" s="124">
        <v>145764</v>
      </c>
      <c r="Q9" s="124">
        <v>1</v>
      </c>
      <c r="R9" s="124">
        <v>2600</v>
      </c>
      <c r="S9" s="124">
        <v>0</v>
      </c>
      <c r="T9" s="124">
        <v>3789.864</v>
      </c>
      <c r="U9" s="125">
        <v>3.8481711200000001E-4</v>
      </c>
      <c r="V9" s="125">
        <v>8.7277523249999992E-3</v>
      </c>
      <c r="W9" s="125">
        <f>T9/'סכום נכסים'!$B$30</f>
        <v>6.8232450190851301E-4</v>
      </c>
    </row>
    <row r="10" spans="1:23" x14ac:dyDescent="0.3">
      <c r="A10">
        <v>13908</v>
      </c>
      <c r="B10">
        <v>13908</v>
      </c>
      <c r="C10" t="s">
        <v>2495</v>
      </c>
      <c r="D10">
        <v>511303661</v>
      </c>
      <c r="E10" t="s">
        <v>420</v>
      </c>
      <c r="F10" t="s">
        <v>2496</v>
      </c>
      <c r="G10" t="s">
        <v>2497</v>
      </c>
      <c r="H10" t="s">
        <v>75</v>
      </c>
      <c r="I10" t="s">
        <v>230</v>
      </c>
      <c r="J10" t="s">
        <v>52</v>
      </c>
      <c r="K10" t="s">
        <v>52</v>
      </c>
      <c r="L10" t="s">
        <v>303</v>
      </c>
      <c r="M10" t="s">
        <v>1015</v>
      </c>
      <c r="N10" t="s">
        <v>61</v>
      </c>
      <c r="O10" t="s">
        <v>1258</v>
      </c>
      <c r="P10" s="124">
        <v>5000</v>
      </c>
      <c r="Q10" s="124">
        <v>1</v>
      </c>
      <c r="R10" s="124">
        <v>6154</v>
      </c>
      <c r="S10" s="124">
        <v>0</v>
      </c>
      <c r="T10" s="124">
        <v>307.7</v>
      </c>
      <c r="U10" s="125">
        <v>4.76190476190476E-5</v>
      </c>
      <c r="V10" s="125">
        <v>7.0860838E-4</v>
      </c>
      <c r="W10" s="125">
        <f>T10/'סכום נכסים'!$B$30</f>
        <v>5.5398095878176479E-5</v>
      </c>
    </row>
    <row r="11" spans="1:23" x14ac:dyDescent="0.3">
      <c r="A11">
        <v>13908</v>
      </c>
      <c r="B11">
        <v>13908</v>
      </c>
      <c r="C11" t="s">
        <v>2495</v>
      </c>
      <c r="D11">
        <v>511303661</v>
      </c>
      <c r="E11" t="s">
        <v>420</v>
      </c>
      <c r="F11" t="s">
        <v>2498</v>
      </c>
      <c r="G11" t="s">
        <v>2499</v>
      </c>
      <c r="H11" t="s">
        <v>75</v>
      </c>
      <c r="I11" t="s">
        <v>231</v>
      </c>
      <c r="J11" t="s">
        <v>52</v>
      </c>
      <c r="K11" t="s">
        <v>306</v>
      </c>
      <c r="L11" t="s">
        <v>303</v>
      </c>
      <c r="M11" t="s">
        <v>1026</v>
      </c>
      <c r="N11" t="s">
        <v>61</v>
      </c>
      <c r="O11" t="s">
        <v>1258</v>
      </c>
      <c r="P11" s="124">
        <v>12400</v>
      </c>
      <c r="Q11" s="124">
        <v>1</v>
      </c>
      <c r="R11" s="124">
        <v>9608</v>
      </c>
      <c r="S11" s="124">
        <v>0</v>
      </c>
      <c r="T11" s="124">
        <v>1191.3920000000001</v>
      </c>
      <c r="U11" s="125">
        <v>1.42038946E-4</v>
      </c>
      <c r="V11" s="125">
        <v>2.7436800629999998E-3</v>
      </c>
      <c r="W11" s="125">
        <f>T11/'סכום נכסים'!$B$30</f>
        <v>2.1449739435974144E-4</v>
      </c>
    </row>
    <row r="12" spans="1:23" x14ac:dyDescent="0.3">
      <c r="A12">
        <v>13908</v>
      </c>
      <c r="B12">
        <v>13908</v>
      </c>
      <c r="C12" t="s">
        <v>2492</v>
      </c>
      <c r="D12">
        <v>511776783</v>
      </c>
      <c r="E12" t="s">
        <v>420</v>
      </c>
      <c r="F12" t="s">
        <v>2500</v>
      </c>
      <c r="G12" t="s">
        <v>2501</v>
      </c>
      <c r="H12" t="s">
        <v>75</v>
      </c>
      <c r="I12" t="s">
        <v>232</v>
      </c>
      <c r="J12" t="s">
        <v>52</v>
      </c>
      <c r="K12" t="s">
        <v>52</v>
      </c>
      <c r="L12" t="s">
        <v>303</v>
      </c>
      <c r="M12" t="s">
        <v>932</v>
      </c>
      <c r="N12" t="s">
        <v>61</v>
      </c>
      <c r="O12" t="s">
        <v>1258</v>
      </c>
      <c r="P12" s="124">
        <v>5205892</v>
      </c>
      <c r="Q12" s="124">
        <v>1</v>
      </c>
      <c r="R12" s="124">
        <v>406.34</v>
      </c>
      <c r="S12" s="124">
        <v>0</v>
      </c>
      <c r="T12" s="124">
        <v>21153.62155</v>
      </c>
      <c r="U12" s="125">
        <v>1.6850114741E-2</v>
      </c>
      <c r="V12" s="125">
        <v>4.8715091012E-2</v>
      </c>
      <c r="W12" s="125">
        <f>T12/'סכום נכסים'!$B$30</f>
        <v>3.8084834410060456E-3</v>
      </c>
    </row>
    <row r="13" spans="1:23" x14ac:dyDescent="0.3">
      <c r="A13">
        <v>13908</v>
      </c>
      <c r="B13">
        <v>13908</v>
      </c>
      <c r="C13" t="s">
        <v>2480</v>
      </c>
      <c r="D13">
        <v>510938608</v>
      </c>
      <c r="E13" t="s">
        <v>420</v>
      </c>
      <c r="F13" t="s">
        <v>2502</v>
      </c>
      <c r="G13" t="s">
        <v>2503</v>
      </c>
      <c r="H13" t="s">
        <v>75</v>
      </c>
      <c r="I13" t="s">
        <v>232</v>
      </c>
      <c r="J13" t="s">
        <v>52</v>
      </c>
      <c r="K13" t="s">
        <v>52</v>
      </c>
      <c r="L13" t="s">
        <v>303</v>
      </c>
      <c r="M13" t="s">
        <v>937</v>
      </c>
      <c r="N13" t="s">
        <v>61</v>
      </c>
      <c r="O13" t="s">
        <v>1258</v>
      </c>
      <c r="P13" s="124">
        <v>714515</v>
      </c>
      <c r="Q13" s="124">
        <v>1</v>
      </c>
      <c r="R13" s="124">
        <v>4502.0200000000004</v>
      </c>
      <c r="S13" s="124">
        <v>0</v>
      </c>
      <c r="T13" s="124">
        <v>32167.608199999999</v>
      </c>
      <c r="U13" s="125">
        <v>1.8313035508000002E-2</v>
      </c>
      <c r="V13" s="125">
        <v>7.4079417437E-2</v>
      </c>
      <c r="W13" s="125">
        <f>T13/'סכום נכסים'!$B$30</f>
        <v>5.7914340046643356E-3</v>
      </c>
    </row>
    <row r="14" spans="1:23" x14ac:dyDescent="0.3">
      <c r="A14">
        <v>13908</v>
      </c>
      <c r="B14">
        <v>13908</v>
      </c>
      <c r="C14" t="s">
        <v>2487</v>
      </c>
      <c r="D14">
        <v>513765339</v>
      </c>
      <c r="E14" t="s">
        <v>420</v>
      </c>
      <c r="F14" t="s">
        <v>2504</v>
      </c>
      <c r="G14" t="s">
        <v>2505</v>
      </c>
      <c r="H14" t="s">
        <v>75</v>
      </c>
      <c r="I14" t="s">
        <v>232</v>
      </c>
      <c r="J14" t="s">
        <v>52</v>
      </c>
      <c r="K14" t="s">
        <v>52</v>
      </c>
      <c r="L14" t="s">
        <v>303</v>
      </c>
      <c r="M14" t="s">
        <v>917</v>
      </c>
      <c r="N14" t="s">
        <v>61</v>
      </c>
      <c r="O14" t="s">
        <v>1258</v>
      </c>
      <c r="P14" s="124">
        <v>2606700</v>
      </c>
      <c r="Q14" s="124">
        <v>1</v>
      </c>
      <c r="R14" s="124">
        <v>407.57</v>
      </c>
      <c r="S14" s="124">
        <v>0</v>
      </c>
      <c r="T14" s="124">
        <v>10624.127189999999</v>
      </c>
      <c r="U14" s="125">
        <v>1.7538347262000001E-2</v>
      </c>
      <c r="V14" s="125">
        <v>2.4466511408000002E-2</v>
      </c>
      <c r="W14" s="125">
        <f>T14/'סכום נכסים'!$B$30</f>
        <v>1.9127605352406943E-3</v>
      </c>
    </row>
    <row r="15" spans="1:23" x14ac:dyDescent="0.3">
      <c r="A15">
        <v>13908</v>
      </c>
      <c r="B15">
        <v>13908</v>
      </c>
      <c r="C15" t="s">
        <v>2495</v>
      </c>
      <c r="D15">
        <v>511303661</v>
      </c>
      <c r="E15" t="s">
        <v>420</v>
      </c>
      <c r="F15" t="s">
        <v>2506</v>
      </c>
      <c r="G15" t="s">
        <v>2507</v>
      </c>
      <c r="H15" t="s">
        <v>75</v>
      </c>
      <c r="I15" t="s">
        <v>232</v>
      </c>
      <c r="J15" t="s">
        <v>52</v>
      </c>
      <c r="K15" t="s">
        <v>52</v>
      </c>
      <c r="L15" t="s">
        <v>303</v>
      </c>
      <c r="M15" t="s">
        <v>932</v>
      </c>
      <c r="N15" t="s">
        <v>61</v>
      </c>
      <c r="O15" t="s">
        <v>1258</v>
      </c>
      <c r="P15" s="124">
        <v>6180000</v>
      </c>
      <c r="Q15" s="124">
        <v>1</v>
      </c>
      <c r="R15" s="124">
        <v>519.6</v>
      </c>
      <c r="S15" s="124">
        <v>0</v>
      </c>
      <c r="T15" s="124">
        <v>32111.279999999999</v>
      </c>
      <c r="U15" s="125">
        <v>0.10299999999999999</v>
      </c>
      <c r="V15" s="125">
        <v>7.3949698118000007E-2</v>
      </c>
      <c r="W15" s="125">
        <f>T15/'סכום נכסים'!$B$30</f>
        <v>5.7812927143677962E-3</v>
      </c>
    </row>
    <row r="16" spans="1:23" x14ac:dyDescent="0.3">
      <c r="A16">
        <v>13908</v>
      </c>
      <c r="B16">
        <v>13908</v>
      </c>
      <c r="C16" t="s">
        <v>2495</v>
      </c>
      <c r="D16">
        <v>511303661</v>
      </c>
      <c r="E16" t="s">
        <v>420</v>
      </c>
      <c r="F16" t="s">
        <v>2508</v>
      </c>
      <c r="G16" t="s">
        <v>2509</v>
      </c>
      <c r="H16" t="s">
        <v>75</v>
      </c>
      <c r="I16" t="s">
        <v>232</v>
      </c>
      <c r="J16" t="s">
        <v>52</v>
      </c>
      <c r="K16" t="s">
        <v>52</v>
      </c>
      <c r="L16" t="s">
        <v>303</v>
      </c>
      <c r="M16" t="s">
        <v>937</v>
      </c>
      <c r="N16" t="s">
        <v>61</v>
      </c>
      <c r="O16" t="s">
        <v>1258</v>
      </c>
      <c r="P16" s="124">
        <v>6280000</v>
      </c>
      <c r="Q16" s="124">
        <v>1</v>
      </c>
      <c r="R16" s="124">
        <v>511.53</v>
      </c>
      <c r="S16" s="124">
        <v>0</v>
      </c>
      <c r="T16" s="124">
        <v>32124.083999999999</v>
      </c>
      <c r="U16" s="125">
        <v>8.9714285714000003E-2</v>
      </c>
      <c r="V16" s="125">
        <v>7.3979184700999998E-2</v>
      </c>
      <c r="W16" s="125">
        <f>T16/'סכום נכסים'!$B$30</f>
        <v>5.7835979377009912E-3</v>
      </c>
    </row>
    <row r="17" spans="1:23" x14ac:dyDescent="0.3">
      <c r="A17">
        <v>13908</v>
      </c>
      <c r="B17">
        <v>13908</v>
      </c>
      <c r="C17" t="s">
        <v>2480</v>
      </c>
      <c r="D17">
        <v>510938608</v>
      </c>
      <c r="E17" t="s">
        <v>420</v>
      </c>
      <c r="F17" t="s">
        <v>2510</v>
      </c>
      <c r="G17" t="s">
        <v>2511</v>
      </c>
      <c r="H17" t="s">
        <v>75</v>
      </c>
      <c r="I17" t="s">
        <v>231</v>
      </c>
      <c r="J17" t="s">
        <v>52</v>
      </c>
      <c r="K17" t="s">
        <v>184</v>
      </c>
      <c r="L17" t="s">
        <v>303</v>
      </c>
      <c r="M17" t="s">
        <v>1059</v>
      </c>
      <c r="N17" t="s">
        <v>61</v>
      </c>
      <c r="O17" t="s">
        <v>1258</v>
      </c>
      <c r="P17" s="124">
        <v>3801</v>
      </c>
      <c r="Q17" s="124">
        <v>1</v>
      </c>
      <c r="R17" s="124">
        <v>28170</v>
      </c>
      <c r="S17" s="124">
        <v>0</v>
      </c>
      <c r="T17" s="124">
        <v>1070.7417</v>
      </c>
      <c r="U17" s="125">
        <v>1.322938238E-3</v>
      </c>
      <c r="V17" s="125">
        <v>2.4658321149999998E-3</v>
      </c>
      <c r="W17" s="125">
        <f>T17/'סכום נכסים'!$B$30</f>
        <v>1.9277559752148743E-4</v>
      </c>
    </row>
    <row r="18" spans="1:23" x14ac:dyDescent="0.3">
      <c r="A18">
        <v>13908</v>
      </c>
      <c r="B18">
        <v>13908</v>
      </c>
      <c r="C18" t="s">
        <v>2512</v>
      </c>
      <c r="D18" t="s">
        <v>2513</v>
      </c>
      <c r="E18" t="s">
        <v>421</v>
      </c>
      <c r="F18" t="s">
        <v>2514</v>
      </c>
      <c r="G18" t="s">
        <v>2515</v>
      </c>
      <c r="H18" t="s">
        <v>75</v>
      </c>
      <c r="I18" t="s">
        <v>231</v>
      </c>
      <c r="J18" t="s">
        <v>60</v>
      </c>
      <c r="K18" t="s">
        <v>306</v>
      </c>
      <c r="L18" t="s">
        <v>466</v>
      </c>
      <c r="M18" t="s">
        <v>735</v>
      </c>
      <c r="N18" t="s">
        <v>61</v>
      </c>
      <c r="O18" t="s">
        <v>1260</v>
      </c>
      <c r="P18" s="124">
        <v>750</v>
      </c>
      <c r="Q18" s="124">
        <v>2.9780000000000002</v>
      </c>
      <c r="R18" s="124">
        <v>73640</v>
      </c>
      <c r="S18" s="124">
        <v>0.61012088650100005</v>
      </c>
      <c r="T18" s="124">
        <v>1646.5663400000001</v>
      </c>
      <c r="U18" s="125">
        <v>1.12697220135237E-6</v>
      </c>
      <c r="V18" s="125">
        <v>3.7919099999999999E-3</v>
      </c>
      <c r="W18" s="125">
        <f>T18/'סכום נכסים'!$B$30</f>
        <v>2.9644666874585032E-4</v>
      </c>
    </row>
    <row r="19" spans="1:23" x14ac:dyDescent="0.3">
      <c r="A19">
        <v>13908</v>
      </c>
      <c r="B19">
        <v>13908</v>
      </c>
      <c r="C19" t="s">
        <v>2516</v>
      </c>
      <c r="D19" t="s">
        <v>2517</v>
      </c>
      <c r="E19" t="s">
        <v>421</v>
      </c>
      <c r="F19" t="s">
        <v>2518</v>
      </c>
      <c r="G19" t="s">
        <v>2519</v>
      </c>
      <c r="H19" t="s">
        <v>75</v>
      </c>
      <c r="I19" t="s">
        <v>231</v>
      </c>
      <c r="J19" t="s">
        <v>60</v>
      </c>
      <c r="K19" t="s">
        <v>306</v>
      </c>
      <c r="L19" t="s">
        <v>466</v>
      </c>
      <c r="M19" t="s">
        <v>735</v>
      </c>
      <c r="N19" t="s">
        <v>61</v>
      </c>
      <c r="O19" t="s">
        <v>1260</v>
      </c>
      <c r="P19" s="124">
        <v>3330</v>
      </c>
      <c r="Q19" s="124">
        <v>2.9780000000000002</v>
      </c>
      <c r="R19" s="124">
        <v>64076</v>
      </c>
      <c r="S19" s="124">
        <v>0</v>
      </c>
      <c r="T19" s="124">
        <v>6354.2503200000001</v>
      </c>
      <c r="U19" s="125">
        <v>4.4608171466845297E-5</v>
      </c>
      <c r="V19" s="125">
        <v>1.4633328006E-2</v>
      </c>
      <c r="W19" s="125">
        <f>T19/'סכום נכסים'!$B$30</f>
        <v>1.144014847128026E-3</v>
      </c>
    </row>
    <row r="20" spans="1:23" ht="15" x14ac:dyDescent="0.25">
      <c r="A20">
        <v>13908</v>
      </c>
      <c r="B20">
        <v>13908</v>
      </c>
      <c r="C20" t="s">
        <v>2520</v>
      </c>
      <c r="D20">
        <v>78005</v>
      </c>
      <c r="E20" t="s">
        <v>2</v>
      </c>
      <c r="F20" t="s">
        <v>2521</v>
      </c>
      <c r="G20" t="s">
        <v>2522</v>
      </c>
      <c r="H20" t="s">
        <v>75</v>
      </c>
      <c r="I20" t="s">
        <v>233</v>
      </c>
      <c r="J20" t="s">
        <v>60</v>
      </c>
      <c r="K20" t="s">
        <v>306</v>
      </c>
      <c r="L20" t="s">
        <v>463</v>
      </c>
      <c r="M20" t="s">
        <v>736</v>
      </c>
      <c r="N20" t="s">
        <v>61</v>
      </c>
      <c r="O20" t="s">
        <v>1260</v>
      </c>
      <c r="P20" s="124">
        <v>42400</v>
      </c>
      <c r="Q20" s="124">
        <v>2.9780000000000002</v>
      </c>
      <c r="R20" s="124">
        <v>7997</v>
      </c>
      <c r="S20" s="124">
        <v>0</v>
      </c>
      <c r="T20" s="124">
        <v>10097.58798</v>
      </c>
      <c r="U20" s="125">
        <v>1.92203082E-4</v>
      </c>
      <c r="V20" s="125">
        <v>2.3253933907999999E-2</v>
      </c>
      <c r="W20" s="125">
        <f>T20/'סכום נכסים'!$B$30</f>
        <v>1.8179627788572064E-3</v>
      </c>
    </row>
    <row r="26" spans="1:23" ht="15" x14ac:dyDescent="0.25">
      <c r="P26" s="130"/>
      <c r="R26" s="130"/>
    </row>
    <row r="27" spans="1:23" ht="15" x14ac:dyDescent="0.25">
      <c r="R27" s="131"/>
    </row>
    <row r="28" spans="1:23" ht="15" x14ac:dyDescent="0.25">
      <c r="P28" s="131"/>
    </row>
  </sheetData>
  <sheetProtection formatColumns="0"/>
  <autoFilter ref="A1:W20" xr:uid="{00000000-0001-0000-07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12"/>
  <sheetViews>
    <sheetView rightToLeft="1" workbookViewId="0"/>
  </sheetViews>
  <sheetFormatPr defaultColWidth="0" defaultRowHeight="14" x14ac:dyDescent="0.3"/>
  <cols>
    <col min="1" max="2" width="10.58203125" bestFit="1" customWidth="1"/>
    <col min="3" max="3" width="21.83203125" bestFit="1" customWidth="1"/>
    <col min="4" max="4" width="10.75" bestFit="1" customWidth="1"/>
    <col min="5" max="5" width="10.4140625" bestFit="1" customWidth="1"/>
    <col min="6" max="6" width="17.25" bestFit="1" customWidth="1"/>
    <col min="7" max="7" width="12.4140625" bestFit="1" customWidth="1"/>
    <col min="8" max="8" width="9.1640625" bestFit="1" customWidth="1"/>
    <col min="9" max="9" width="11" bestFit="1" customWidth="1"/>
    <col min="10" max="10" width="10" bestFit="1" customWidth="1"/>
    <col min="11" max="11" width="9.25" bestFit="1" customWidth="1"/>
    <col min="12" max="12" width="7.83203125" bestFit="1" customWidth="1"/>
    <col min="13" max="13" width="9.58203125" bestFit="1" customWidth="1"/>
    <col min="14" max="14" width="65.75" bestFit="1" customWidth="1"/>
    <col min="15" max="15" width="11" bestFit="1" customWidth="1"/>
    <col min="16" max="16" width="11.25" bestFit="1" customWidth="1"/>
    <col min="17" max="17" width="13.83203125" bestFit="1" customWidth="1"/>
    <col min="18" max="18" width="9.83203125" bestFit="1" customWidth="1"/>
    <col min="19" max="19" width="8.4140625" bestFit="1" customWidth="1"/>
    <col min="20" max="20" width="11.1640625" bestFit="1" customWidth="1"/>
    <col min="21" max="21" width="10.83203125" bestFit="1" customWidth="1"/>
    <col min="22" max="22" width="11.1640625" bestFit="1" customWidth="1"/>
    <col min="23" max="23" width="10" bestFit="1" customWidth="1"/>
    <col min="24" max="25" width="11.58203125" hidden="1" customWidth="1"/>
    <col min="26" max="16384" width="9" hidden="1"/>
  </cols>
  <sheetData>
    <row r="1" spans="1:23" s="4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596</v>
      </c>
      <c r="M1" s="13" t="s">
        <v>4</v>
      </c>
      <c r="N1" s="13" t="s">
        <v>292</v>
      </c>
      <c r="O1" s="13" t="s">
        <v>593</v>
      </c>
      <c r="P1" s="13" t="s">
        <v>387</v>
      </c>
      <c r="Q1" s="13" t="s">
        <v>747</v>
      </c>
      <c r="R1" s="13" t="s">
        <v>10</v>
      </c>
      <c r="S1" s="13" t="s">
        <v>14</v>
      </c>
      <c r="T1" s="13" t="s">
        <v>1105</v>
      </c>
      <c r="U1" s="13" t="s">
        <v>17</v>
      </c>
      <c r="V1" s="13" t="s">
        <v>18</v>
      </c>
      <c r="W1" s="13" t="s">
        <v>29</v>
      </c>
    </row>
    <row r="2" spans="1:23" x14ac:dyDescent="0.3">
      <c r="A2">
        <v>13908</v>
      </c>
      <c r="B2">
        <v>13908</v>
      </c>
      <c r="C2" t="s">
        <v>2475</v>
      </c>
      <c r="D2">
        <v>513534974</v>
      </c>
      <c r="E2" t="s">
        <v>420</v>
      </c>
      <c r="F2" t="s">
        <v>2523</v>
      </c>
      <c r="G2" t="s">
        <v>2524</v>
      </c>
      <c r="H2" t="s">
        <v>75</v>
      </c>
      <c r="I2" t="s">
        <v>72</v>
      </c>
      <c r="J2" t="s">
        <v>52</v>
      </c>
      <c r="K2" t="s">
        <v>306</v>
      </c>
      <c r="L2" t="s">
        <v>775</v>
      </c>
      <c r="M2" t="s">
        <v>303</v>
      </c>
      <c r="N2" t="s">
        <v>1026</v>
      </c>
      <c r="O2" t="s">
        <v>61</v>
      </c>
      <c r="P2" t="s">
        <v>1258</v>
      </c>
      <c r="Q2" s="124">
        <v>16874000</v>
      </c>
      <c r="R2" s="124">
        <v>1</v>
      </c>
      <c r="S2" s="124">
        <v>792.53</v>
      </c>
      <c r="T2" s="124">
        <v>133731.5122</v>
      </c>
      <c r="U2" s="125">
        <v>1.3597695615E-2</v>
      </c>
      <c r="V2" s="125">
        <v>0.19861316900699999</v>
      </c>
      <c r="W2" s="125">
        <f>T2/'סכום נכסים'!$B$30</f>
        <v>2.4076929264833045E-2</v>
      </c>
    </row>
    <row r="3" spans="1:23" x14ac:dyDescent="0.3">
      <c r="A3">
        <v>13908</v>
      </c>
      <c r="B3">
        <v>13908</v>
      </c>
      <c r="C3" t="s">
        <v>2475</v>
      </c>
      <c r="D3">
        <v>513534974</v>
      </c>
      <c r="E3" t="s">
        <v>420</v>
      </c>
      <c r="F3" t="s">
        <v>2525</v>
      </c>
      <c r="G3" t="s">
        <v>2526</v>
      </c>
      <c r="H3" t="s">
        <v>75</v>
      </c>
      <c r="I3" t="s">
        <v>72</v>
      </c>
      <c r="J3" t="s">
        <v>52</v>
      </c>
      <c r="K3" t="s">
        <v>52</v>
      </c>
      <c r="L3" t="s">
        <v>775</v>
      </c>
      <c r="M3" t="s">
        <v>303</v>
      </c>
      <c r="N3" t="s">
        <v>1015</v>
      </c>
      <c r="O3" t="s">
        <v>61</v>
      </c>
      <c r="P3" t="s">
        <v>1258</v>
      </c>
      <c r="Q3" s="124">
        <v>20431000</v>
      </c>
      <c r="R3" s="124">
        <v>1</v>
      </c>
      <c r="S3" s="124">
        <v>353.59</v>
      </c>
      <c r="T3" s="124">
        <v>72241.972899999993</v>
      </c>
      <c r="U3" s="125">
        <v>8.3163070400000001E-3</v>
      </c>
      <c r="V3" s="125">
        <v>0.10729114579600001</v>
      </c>
      <c r="W3" s="125">
        <f>T3/'סכום נכסים'!$B$30</f>
        <v>1.3006394998839217E-2</v>
      </c>
    </row>
    <row r="4" spans="1:23" x14ac:dyDescent="0.3">
      <c r="A4">
        <v>13908</v>
      </c>
      <c r="B4">
        <v>13908</v>
      </c>
      <c r="C4" t="s">
        <v>2475</v>
      </c>
      <c r="D4">
        <v>513534974</v>
      </c>
      <c r="E4" t="s">
        <v>420</v>
      </c>
      <c r="F4" t="s">
        <v>2527</v>
      </c>
      <c r="G4" t="s">
        <v>2528</v>
      </c>
      <c r="H4" t="s">
        <v>75</v>
      </c>
      <c r="I4" t="s">
        <v>207</v>
      </c>
      <c r="J4" t="s">
        <v>52</v>
      </c>
      <c r="K4" t="s">
        <v>52</v>
      </c>
      <c r="L4" t="s">
        <v>775</v>
      </c>
      <c r="M4" t="s">
        <v>303</v>
      </c>
      <c r="N4" t="s">
        <v>915</v>
      </c>
      <c r="O4" t="s">
        <v>61</v>
      </c>
      <c r="P4" t="s">
        <v>1258</v>
      </c>
      <c r="Q4" s="124">
        <v>43850136</v>
      </c>
      <c r="R4" s="124">
        <v>1</v>
      </c>
      <c r="S4" s="124">
        <v>113.54</v>
      </c>
      <c r="T4" s="124">
        <v>49787.444409999996</v>
      </c>
      <c r="U4" s="125">
        <v>0.22278907513000001</v>
      </c>
      <c r="V4" s="125">
        <v>7.3942498280999996E-2</v>
      </c>
      <c r="W4" s="125">
        <f>T4/'סכום נכסים'!$B$30</f>
        <v>8.9636971691730953E-3</v>
      </c>
    </row>
    <row r="5" spans="1:23" x14ac:dyDescent="0.3">
      <c r="A5">
        <v>13908</v>
      </c>
      <c r="B5">
        <v>13908</v>
      </c>
      <c r="C5" t="s">
        <v>2480</v>
      </c>
      <c r="D5">
        <v>510938608</v>
      </c>
      <c r="E5" t="s">
        <v>420</v>
      </c>
      <c r="F5" t="s">
        <v>2529</v>
      </c>
      <c r="G5" t="s">
        <v>2530</v>
      </c>
      <c r="H5" t="s">
        <v>75</v>
      </c>
      <c r="I5" t="s">
        <v>207</v>
      </c>
      <c r="J5" t="s">
        <v>52</v>
      </c>
      <c r="K5" t="s">
        <v>52</v>
      </c>
      <c r="L5" t="s">
        <v>775</v>
      </c>
      <c r="M5" t="s">
        <v>303</v>
      </c>
      <c r="N5" t="s">
        <v>915</v>
      </c>
      <c r="O5" t="s">
        <v>61</v>
      </c>
      <c r="P5" t="s">
        <v>1258</v>
      </c>
      <c r="Q5" s="124">
        <v>19016000</v>
      </c>
      <c r="R5" s="124">
        <v>1</v>
      </c>
      <c r="S5" s="124">
        <v>155.66</v>
      </c>
      <c r="T5" s="124">
        <v>29600.3056</v>
      </c>
      <c r="U5" s="125">
        <v>5.8702184047999997E-2</v>
      </c>
      <c r="V5" s="125">
        <v>4.3961295300000001E-2</v>
      </c>
      <c r="W5" s="125">
        <f>T5/'סכום נכסים'!$B$30</f>
        <v>5.3292186144040434E-3</v>
      </c>
    </row>
    <row r="6" spans="1:23" x14ac:dyDescent="0.3">
      <c r="A6">
        <v>13908</v>
      </c>
      <c r="B6">
        <v>13908</v>
      </c>
      <c r="C6" t="s">
        <v>2492</v>
      </c>
      <c r="D6">
        <v>511776783</v>
      </c>
      <c r="E6" t="s">
        <v>420</v>
      </c>
      <c r="F6" t="s">
        <v>2531</v>
      </c>
      <c r="G6" t="s">
        <v>2532</v>
      </c>
      <c r="H6" t="s">
        <v>75</v>
      </c>
      <c r="I6" t="s">
        <v>207</v>
      </c>
      <c r="J6" t="s">
        <v>52</v>
      </c>
      <c r="K6" t="s">
        <v>52</v>
      </c>
      <c r="L6" t="s">
        <v>775</v>
      </c>
      <c r="M6" t="s">
        <v>303</v>
      </c>
      <c r="N6" t="s">
        <v>932</v>
      </c>
      <c r="O6" t="s">
        <v>61</v>
      </c>
      <c r="P6" t="s">
        <v>1258</v>
      </c>
      <c r="Q6" s="124">
        <v>34768000</v>
      </c>
      <c r="R6" s="124">
        <v>1</v>
      </c>
      <c r="S6" s="124">
        <v>151.47</v>
      </c>
      <c r="T6" s="124">
        <v>52663.089599999999</v>
      </c>
      <c r="U6" s="125">
        <v>5.1118812127999999E-2</v>
      </c>
      <c r="V6" s="125">
        <v>7.8213301735000004E-2</v>
      </c>
      <c r="W6" s="125">
        <f>T6/'סכום נכסים'!$B$30</f>
        <v>9.4814263467721763E-3</v>
      </c>
    </row>
    <row r="7" spans="1:23" x14ac:dyDescent="0.3">
      <c r="A7">
        <v>13908</v>
      </c>
      <c r="B7">
        <v>13908</v>
      </c>
      <c r="C7" t="s">
        <v>2495</v>
      </c>
      <c r="D7">
        <v>511303661</v>
      </c>
      <c r="E7" t="s">
        <v>420</v>
      </c>
      <c r="F7" t="s">
        <v>2533</v>
      </c>
      <c r="G7" t="s">
        <v>2534</v>
      </c>
      <c r="H7" t="s">
        <v>75</v>
      </c>
      <c r="I7" t="s">
        <v>72</v>
      </c>
      <c r="J7" t="s">
        <v>52</v>
      </c>
      <c r="K7" t="s">
        <v>306</v>
      </c>
      <c r="L7" t="s">
        <v>775</v>
      </c>
      <c r="M7" t="s">
        <v>303</v>
      </c>
      <c r="N7" t="s">
        <v>1026</v>
      </c>
      <c r="O7" t="s">
        <v>61</v>
      </c>
      <c r="P7" t="s">
        <v>1258</v>
      </c>
      <c r="Q7" s="124">
        <v>31459071</v>
      </c>
      <c r="R7" s="124">
        <v>1</v>
      </c>
      <c r="S7" s="124">
        <v>319.27999999999997</v>
      </c>
      <c r="T7" s="124">
        <v>100442.52189</v>
      </c>
      <c r="U7" s="125">
        <v>1.6070705487999999E-2</v>
      </c>
      <c r="V7" s="125">
        <v>0.14917357358399999</v>
      </c>
      <c r="W7" s="125">
        <f>T7/'סכום נכסים'!$B$30</f>
        <v>1.8083602398141243E-2</v>
      </c>
    </row>
    <row r="8" spans="1:23" x14ac:dyDescent="0.3">
      <c r="A8">
        <v>13908</v>
      </c>
      <c r="B8">
        <v>13908</v>
      </c>
      <c r="C8" t="s">
        <v>2480</v>
      </c>
      <c r="D8">
        <v>510938608</v>
      </c>
      <c r="E8" t="s">
        <v>420</v>
      </c>
      <c r="F8" t="s">
        <v>2535</v>
      </c>
      <c r="G8" t="s">
        <v>2536</v>
      </c>
      <c r="H8" t="s">
        <v>75</v>
      </c>
      <c r="I8" t="s">
        <v>72</v>
      </c>
      <c r="J8" t="s">
        <v>52</v>
      </c>
      <c r="K8" t="s">
        <v>306</v>
      </c>
      <c r="L8" t="s">
        <v>775</v>
      </c>
      <c r="M8" t="s">
        <v>303</v>
      </c>
      <c r="N8" t="s">
        <v>1026</v>
      </c>
      <c r="O8" t="s">
        <v>61</v>
      </c>
      <c r="P8" t="s">
        <v>1258</v>
      </c>
      <c r="Q8" s="124">
        <v>23113000</v>
      </c>
      <c r="R8" s="124">
        <v>1</v>
      </c>
      <c r="S8" s="124">
        <v>303.77999999999997</v>
      </c>
      <c r="T8" s="124">
        <v>70212.671400000007</v>
      </c>
      <c r="U8" s="125">
        <v>6.0566678109999997E-3</v>
      </c>
      <c r="V8" s="125">
        <v>0.104277301152</v>
      </c>
      <c r="W8" s="125">
        <f>T8/'סכום נכסים'!$B$30</f>
        <v>1.2641040955736432E-2</v>
      </c>
    </row>
    <row r="9" spans="1:23" x14ac:dyDescent="0.3">
      <c r="A9">
        <v>13908</v>
      </c>
      <c r="B9">
        <v>13908</v>
      </c>
      <c r="C9" t="s">
        <v>2487</v>
      </c>
      <c r="D9">
        <v>513765339</v>
      </c>
      <c r="E9" t="s">
        <v>420</v>
      </c>
      <c r="F9" t="s">
        <v>2537</v>
      </c>
      <c r="G9" t="s">
        <v>2538</v>
      </c>
      <c r="H9" t="s">
        <v>75</v>
      </c>
      <c r="I9" t="s">
        <v>72</v>
      </c>
      <c r="J9" t="s">
        <v>52</v>
      </c>
      <c r="K9" t="s">
        <v>306</v>
      </c>
      <c r="L9" t="s">
        <v>775</v>
      </c>
      <c r="M9" t="s">
        <v>303</v>
      </c>
      <c r="N9" t="s">
        <v>1026</v>
      </c>
      <c r="O9" t="s">
        <v>61</v>
      </c>
      <c r="P9" t="s">
        <v>1258</v>
      </c>
      <c r="Q9" s="124">
        <v>17528160</v>
      </c>
      <c r="R9" s="124">
        <v>1</v>
      </c>
      <c r="S9" s="124">
        <v>250.35</v>
      </c>
      <c r="T9" s="124">
        <v>43881.74856</v>
      </c>
      <c r="U9" s="125">
        <v>1.4784492474E-2</v>
      </c>
      <c r="V9" s="125">
        <v>6.5171573997000007E-2</v>
      </c>
      <c r="W9" s="125">
        <f>T9/'סכום נכסים'!$B$30</f>
        <v>7.9004397595999771E-3</v>
      </c>
    </row>
    <row r="10" spans="1:23" x14ac:dyDescent="0.3">
      <c r="A10">
        <v>13908</v>
      </c>
      <c r="B10">
        <v>13908</v>
      </c>
      <c r="C10" t="s">
        <v>2487</v>
      </c>
      <c r="D10">
        <v>513765339</v>
      </c>
      <c r="E10" t="s">
        <v>420</v>
      </c>
      <c r="F10" t="s">
        <v>2539</v>
      </c>
      <c r="G10" t="s">
        <v>2540</v>
      </c>
      <c r="H10" t="s">
        <v>75</v>
      </c>
      <c r="I10" t="s">
        <v>72</v>
      </c>
      <c r="J10" t="s">
        <v>52</v>
      </c>
      <c r="K10" t="s">
        <v>306</v>
      </c>
      <c r="L10" t="s">
        <v>775</v>
      </c>
      <c r="M10" t="s">
        <v>303</v>
      </c>
      <c r="N10" t="s">
        <v>1020</v>
      </c>
      <c r="O10" t="s">
        <v>61</v>
      </c>
      <c r="P10" t="s">
        <v>1258</v>
      </c>
      <c r="Q10" s="124">
        <v>13119174</v>
      </c>
      <c r="R10" s="124">
        <v>1</v>
      </c>
      <c r="S10" s="124">
        <v>343.68</v>
      </c>
      <c r="T10" s="124">
        <v>45087.977200000001</v>
      </c>
      <c r="U10" s="125">
        <v>1.7008663032E-2</v>
      </c>
      <c r="V10" s="125">
        <v>6.6963020819999997E-2</v>
      </c>
      <c r="W10" s="125">
        <f>T10/'סכום נכסים'!$B$30</f>
        <v>8.1176083323972557E-3</v>
      </c>
    </row>
    <row r="11" spans="1:23" x14ac:dyDescent="0.3">
      <c r="A11">
        <v>13908</v>
      </c>
      <c r="B11">
        <v>13908</v>
      </c>
      <c r="C11" t="s">
        <v>2492</v>
      </c>
      <c r="D11">
        <v>511776783</v>
      </c>
      <c r="E11" t="s">
        <v>420</v>
      </c>
      <c r="F11" t="s">
        <v>2541</v>
      </c>
      <c r="G11" t="s">
        <v>2542</v>
      </c>
      <c r="H11" t="s">
        <v>75</v>
      </c>
      <c r="I11" t="s">
        <v>72</v>
      </c>
      <c r="J11" t="s">
        <v>52</v>
      </c>
      <c r="K11" t="s">
        <v>306</v>
      </c>
      <c r="L11" t="s">
        <v>775</v>
      </c>
      <c r="M11" t="s">
        <v>303</v>
      </c>
      <c r="N11" t="s">
        <v>1060</v>
      </c>
      <c r="O11" t="s">
        <v>61</v>
      </c>
      <c r="P11" t="s">
        <v>1258</v>
      </c>
      <c r="Q11" s="124">
        <v>13860000</v>
      </c>
      <c r="R11" s="124">
        <v>1</v>
      </c>
      <c r="S11" s="124">
        <v>360.67</v>
      </c>
      <c r="T11" s="124">
        <v>49988.862000000001</v>
      </c>
      <c r="U11" s="125">
        <v>9.3238608549999994E-3</v>
      </c>
      <c r="V11" s="125">
        <v>7.4241636346999998E-2</v>
      </c>
      <c r="W11" s="125">
        <f>T11/'סכום נכסים'!$B$30</f>
        <v>8.999960253223702E-3</v>
      </c>
    </row>
    <row r="12" spans="1:23" x14ac:dyDescent="0.3">
      <c r="A12">
        <v>13908</v>
      </c>
      <c r="B12">
        <v>13908</v>
      </c>
      <c r="C12" t="s">
        <v>2487</v>
      </c>
      <c r="D12">
        <v>513765339</v>
      </c>
      <c r="E12" t="s">
        <v>420</v>
      </c>
      <c r="F12" t="s">
        <v>2543</v>
      </c>
      <c r="G12" t="s">
        <v>2544</v>
      </c>
      <c r="H12" t="s">
        <v>75</v>
      </c>
      <c r="I12" t="s">
        <v>72</v>
      </c>
      <c r="J12" t="s">
        <v>52</v>
      </c>
      <c r="K12" t="s">
        <v>305</v>
      </c>
      <c r="L12" t="s">
        <v>775</v>
      </c>
      <c r="M12" t="s">
        <v>303</v>
      </c>
      <c r="N12" t="s">
        <v>1031</v>
      </c>
      <c r="O12" t="s">
        <v>61</v>
      </c>
      <c r="P12" t="s">
        <v>1258</v>
      </c>
      <c r="Q12" s="124">
        <v>15622700</v>
      </c>
      <c r="R12" s="124">
        <v>1</v>
      </c>
      <c r="S12" s="124">
        <v>164.43</v>
      </c>
      <c r="T12" s="124">
        <v>25688.405610000002</v>
      </c>
      <c r="U12" s="125">
        <v>0.10761057127900001</v>
      </c>
      <c r="V12" s="125">
        <v>3.8151483977000002E-2</v>
      </c>
      <c r="W12" s="125">
        <f>T12/'סכום נכסים'!$B$30</f>
        <v>4.6249228369849424E-3</v>
      </c>
    </row>
  </sheetData>
  <sheetProtection formatColumns="0"/>
  <autoFilter ref="A1:W12" xr:uid="{00000000-0001-0000-08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9"/>
  <sheetViews>
    <sheetView rightToLeft="1" workbookViewId="0"/>
  </sheetViews>
  <sheetFormatPr defaultColWidth="0" defaultRowHeight="14" x14ac:dyDescent="0.3"/>
  <cols>
    <col min="1" max="2" width="10.58203125" bestFit="1" customWidth="1"/>
    <col min="3" max="3" width="26.4140625" bestFit="1" customWidth="1"/>
    <col min="4" max="4" width="10.75" bestFit="1" customWidth="1"/>
    <col min="5" max="5" width="10.83203125" bestFit="1" customWidth="1"/>
    <col min="6" max="6" width="15.1640625" bestFit="1" customWidth="1"/>
    <col min="7" max="7" width="12.4140625" bestFit="1" customWidth="1"/>
    <col min="8" max="8" width="9.1640625" bestFit="1" customWidth="1"/>
    <col min="9" max="9" width="10" bestFit="1" customWidth="1"/>
    <col min="10" max="10" width="9.25" bestFit="1" customWidth="1"/>
    <col min="11" max="11" width="7.83203125" bestFit="1" customWidth="1"/>
    <col min="12" max="12" width="9.58203125" bestFit="1" customWidth="1"/>
    <col min="13" max="13" width="12.4140625" bestFit="1" customWidth="1"/>
    <col min="14" max="14" width="15.4140625" bestFit="1" customWidth="1"/>
    <col min="15" max="15" width="11.58203125" customWidth="1"/>
    <col min="16" max="16" width="11" bestFit="1" customWidth="1"/>
    <col min="17" max="17" width="11.25" bestFit="1" customWidth="1"/>
    <col min="18" max="18" width="10.1640625" bestFit="1" customWidth="1"/>
    <col min="19" max="19" width="8.83203125" bestFit="1" customWidth="1"/>
    <col min="20" max="20" width="11.1640625" bestFit="1" customWidth="1"/>
    <col min="21" max="21" width="9.83203125" bestFit="1" customWidth="1"/>
    <col min="22" max="22" width="9.1640625" bestFit="1" customWidth="1"/>
    <col min="23" max="23" width="10.83203125" bestFit="1" customWidth="1"/>
    <col min="24" max="24" width="11.1640625" bestFit="1" customWidth="1"/>
    <col min="25" max="25" width="10" bestFit="1" customWidth="1"/>
    <col min="26" max="27" width="11.58203125" hidden="1" customWidth="1"/>
    <col min="28" max="16384" width="9" hidden="1"/>
  </cols>
  <sheetData>
    <row r="1" spans="1:25" s="2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591</v>
      </c>
      <c r="J1" s="13" t="s">
        <v>592</v>
      </c>
      <c r="K1" s="13" t="s">
        <v>596</v>
      </c>
      <c r="L1" s="13" t="s">
        <v>4</v>
      </c>
      <c r="M1" s="13" t="s">
        <v>717</v>
      </c>
      <c r="N1" s="13" t="s">
        <v>8</v>
      </c>
      <c r="O1" s="13" t="s">
        <v>651</v>
      </c>
      <c r="P1" s="13" t="s">
        <v>593</v>
      </c>
      <c r="Q1" s="13" t="s">
        <v>387</v>
      </c>
      <c r="R1" s="13" t="s">
        <v>22</v>
      </c>
      <c r="S1" s="13" t="s">
        <v>600</v>
      </c>
      <c r="T1" s="13" t="s">
        <v>747</v>
      </c>
      <c r="U1" s="13" t="s">
        <v>10</v>
      </c>
      <c r="V1" s="13" t="s">
        <v>14</v>
      </c>
      <c r="W1" s="13" t="s">
        <v>1105</v>
      </c>
      <c r="X1" s="13" t="s">
        <v>18</v>
      </c>
      <c r="Y1" s="13" t="s">
        <v>29</v>
      </c>
    </row>
    <row r="2" spans="1:25" x14ac:dyDescent="0.3">
      <c r="A2">
        <v>13908</v>
      </c>
      <c r="B2">
        <v>13908</v>
      </c>
      <c r="C2" t="s">
        <v>1682</v>
      </c>
      <c r="D2">
        <v>520039868</v>
      </c>
      <c r="E2" t="s">
        <v>420</v>
      </c>
      <c r="F2" t="s">
        <v>2545</v>
      </c>
      <c r="G2" t="s">
        <v>2546</v>
      </c>
      <c r="H2" t="s">
        <v>75</v>
      </c>
      <c r="I2" t="s">
        <v>52</v>
      </c>
      <c r="J2" t="s">
        <v>52</v>
      </c>
      <c r="K2" t="s">
        <v>775</v>
      </c>
      <c r="L2" t="s">
        <v>303</v>
      </c>
      <c r="M2" t="s">
        <v>2547</v>
      </c>
      <c r="N2" t="s">
        <v>616</v>
      </c>
      <c r="O2" s="127">
        <v>46757</v>
      </c>
      <c r="P2" t="s">
        <v>61</v>
      </c>
      <c r="Q2" t="s">
        <v>1258</v>
      </c>
      <c r="R2" s="124">
        <v>8000</v>
      </c>
      <c r="S2">
        <v>1</v>
      </c>
      <c r="T2" s="124">
        <v>2304</v>
      </c>
      <c r="U2" s="124">
        <v>1</v>
      </c>
      <c r="V2" s="124">
        <v>513.4</v>
      </c>
      <c r="W2" s="124">
        <v>11.82874</v>
      </c>
      <c r="X2" s="125">
        <v>2.544694894E-3</v>
      </c>
      <c r="Y2" s="125">
        <f>W2/'סכום נכסים'!$B$30</f>
        <v>2.1296381951186914E-6</v>
      </c>
    </row>
    <row r="3" spans="1:25" x14ac:dyDescent="0.3">
      <c r="A3">
        <v>13908</v>
      </c>
      <c r="B3">
        <v>13908</v>
      </c>
      <c r="C3" t="s">
        <v>2414</v>
      </c>
      <c r="D3">
        <v>516854239</v>
      </c>
      <c r="E3" t="s">
        <v>420</v>
      </c>
      <c r="F3" t="s">
        <v>2548</v>
      </c>
      <c r="G3" t="s">
        <v>2549</v>
      </c>
      <c r="H3" t="s">
        <v>75</v>
      </c>
      <c r="I3" t="s">
        <v>52</v>
      </c>
      <c r="J3" t="s">
        <v>52</v>
      </c>
      <c r="K3" t="s">
        <v>775</v>
      </c>
      <c r="L3" t="s">
        <v>303</v>
      </c>
      <c r="M3" t="s">
        <v>2416</v>
      </c>
      <c r="N3" t="s">
        <v>1212</v>
      </c>
      <c r="O3" s="127">
        <v>46770</v>
      </c>
      <c r="P3" t="s">
        <v>61</v>
      </c>
      <c r="Q3" t="s">
        <v>1258</v>
      </c>
      <c r="R3" s="124">
        <v>673.66600000000005</v>
      </c>
      <c r="S3">
        <v>1</v>
      </c>
      <c r="T3" s="124">
        <v>192000</v>
      </c>
      <c r="U3" s="124">
        <v>1</v>
      </c>
      <c r="V3" s="124">
        <v>1846</v>
      </c>
      <c r="W3" s="124">
        <v>3544.32</v>
      </c>
      <c r="X3" s="125">
        <v>0.76248298701999995</v>
      </c>
      <c r="Y3" s="125">
        <f>W3/'סכום נכסים'!$B$30</f>
        <v>6.3811692942131453E-4</v>
      </c>
    </row>
    <row r="4" spans="1:25" x14ac:dyDescent="0.3">
      <c r="A4">
        <v>13908</v>
      </c>
      <c r="B4">
        <v>13908</v>
      </c>
      <c r="C4" t="s">
        <v>2417</v>
      </c>
      <c r="D4">
        <v>512951518</v>
      </c>
      <c r="E4" t="s">
        <v>420</v>
      </c>
      <c r="F4" t="s">
        <v>2550</v>
      </c>
      <c r="G4" t="s">
        <v>2551</v>
      </c>
      <c r="H4" t="s">
        <v>75</v>
      </c>
      <c r="I4" t="s">
        <v>52</v>
      </c>
      <c r="J4" t="s">
        <v>52</v>
      </c>
      <c r="K4" t="s">
        <v>775</v>
      </c>
      <c r="L4" t="s">
        <v>303</v>
      </c>
      <c r="M4" t="s">
        <v>2419</v>
      </c>
      <c r="N4" t="s">
        <v>138</v>
      </c>
      <c r="O4" s="127">
        <v>46398</v>
      </c>
      <c r="P4" t="s">
        <v>61</v>
      </c>
      <c r="Q4" t="s">
        <v>1258</v>
      </c>
      <c r="R4" s="124">
        <v>1023</v>
      </c>
      <c r="S4">
        <v>1</v>
      </c>
      <c r="T4" s="124">
        <v>2500</v>
      </c>
      <c r="U4" s="124">
        <v>1</v>
      </c>
      <c r="V4" s="124">
        <v>53</v>
      </c>
      <c r="W4" s="124">
        <v>1.325</v>
      </c>
      <c r="X4" s="125">
        <v>2.8504479200000001E-4</v>
      </c>
      <c r="Y4" s="125">
        <f>W4/'סכום נכסים'!$B$30</f>
        <v>2.3855208657323317E-7</v>
      </c>
    </row>
    <row r="5" spans="1:25" x14ac:dyDescent="0.3">
      <c r="A5">
        <v>13908</v>
      </c>
      <c r="B5">
        <v>13908</v>
      </c>
      <c r="C5" t="s">
        <v>1787</v>
      </c>
      <c r="D5">
        <v>520033309</v>
      </c>
      <c r="E5" t="s">
        <v>420</v>
      </c>
      <c r="F5" t="s">
        <v>2552</v>
      </c>
      <c r="G5" t="s">
        <v>2553</v>
      </c>
      <c r="H5" t="s">
        <v>75</v>
      </c>
      <c r="I5" t="s">
        <v>52</v>
      </c>
      <c r="J5" t="s">
        <v>52</v>
      </c>
      <c r="K5" t="s">
        <v>775</v>
      </c>
      <c r="L5" t="s">
        <v>303</v>
      </c>
      <c r="M5" t="s">
        <v>2554</v>
      </c>
      <c r="N5" t="s">
        <v>138</v>
      </c>
      <c r="O5" s="127">
        <v>46233</v>
      </c>
      <c r="P5" t="s">
        <v>61</v>
      </c>
      <c r="Q5" t="s">
        <v>1258</v>
      </c>
      <c r="R5" s="124">
        <v>3174.866</v>
      </c>
      <c r="S5">
        <v>1</v>
      </c>
      <c r="T5" s="124">
        <v>15856</v>
      </c>
      <c r="U5" s="124">
        <v>1</v>
      </c>
      <c r="V5" s="124">
        <v>161.9</v>
      </c>
      <c r="W5" s="124">
        <v>25.670860000000001</v>
      </c>
      <c r="X5" s="125">
        <v>5.5225244930000002E-3</v>
      </c>
      <c r="Y5" s="125">
        <f>W5/'סכום נכסים'!$B$30</f>
        <v>4.6217639374561123E-6</v>
      </c>
    </row>
    <row r="6" spans="1:25" x14ac:dyDescent="0.3">
      <c r="A6">
        <v>13908</v>
      </c>
      <c r="B6">
        <v>13908</v>
      </c>
      <c r="C6" t="s">
        <v>2423</v>
      </c>
      <c r="D6">
        <v>510542855</v>
      </c>
      <c r="E6" t="s">
        <v>420</v>
      </c>
      <c r="F6" t="s">
        <v>2555</v>
      </c>
      <c r="G6" t="s">
        <v>2556</v>
      </c>
      <c r="H6" t="s">
        <v>75</v>
      </c>
      <c r="I6" t="s">
        <v>52</v>
      </c>
      <c r="J6" t="s">
        <v>52</v>
      </c>
      <c r="K6" t="s">
        <v>775</v>
      </c>
      <c r="L6" t="s">
        <v>303</v>
      </c>
      <c r="M6" t="s">
        <v>2425</v>
      </c>
      <c r="N6" t="s">
        <v>138</v>
      </c>
      <c r="O6" s="127">
        <v>47311</v>
      </c>
      <c r="P6" t="s">
        <v>61</v>
      </c>
      <c r="Q6" t="s">
        <v>1258</v>
      </c>
      <c r="R6" s="124">
        <v>850</v>
      </c>
      <c r="S6">
        <v>1</v>
      </c>
      <c r="T6" s="124">
        <v>60500</v>
      </c>
      <c r="U6" s="124">
        <v>1</v>
      </c>
      <c r="V6" s="124">
        <v>321.7</v>
      </c>
      <c r="W6" s="124">
        <v>194.6285</v>
      </c>
      <c r="X6" s="125">
        <v>4.1870068176000003E-2</v>
      </c>
      <c r="Y6" s="125">
        <f>W6/'סכום נכסים'!$B$30</f>
        <v>3.5040780967259256E-5</v>
      </c>
    </row>
    <row r="7" spans="1:25" x14ac:dyDescent="0.3">
      <c r="A7">
        <v>13908</v>
      </c>
      <c r="B7">
        <v>13908</v>
      </c>
      <c r="C7" t="s">
        <v>1698</v>
      </c>
      <c r="D7">
        <v>550263107</v>
      </c>
      <c r="E7" t="s">
        <v>420</v>
      </c>
      <c r="F7" t="s">
        <v>2557</v>
      </c>
      <c r="G7" t="s">
        <v>2558</v>
      </c>
      <c r="H7" t="s">
        <v>75</v>
      </c>
      <c r="I7" t="s">
        <v>52</v>
      </c>
      <c r="J7" t="s">
        <v>52</v>
      </c>
      <c r="K7" t="s">
        <v>775</v>
      </c>
      <c r="L7" t="s">
        <v>303</v>
      </c>
      <c r="M7" t="s">
        <v>2329</v>
      </c>
      <c r="N7" t="s">
        <v>260</v>
      </c>
      <c r="O7" s="127">
        <v>46265</v>
      </c>
      <c r="P7" t="s">
        <v>61</v>
      </c>
      <c r="Q7" t="s">
        <v>1258</v>
      </c>
      <c r="R7" s="124">
        <v>10370.1</v>
      </c>
      <c r="S7">
        <v>1</v>
      </c>
      <c r="T7" s="124">
        <v>10793</v>
      </c>
      <c r="U7" s="124">
        <v>1</v>
      </c>
      <c r="V7" s="124">
        <v>1619</v>
      </c>
      <c r="W7" s="124">
        <v>174.73867000000001</v>
      </c>
      <c r="X7" s="125">
        <v>3.7591205943E-2</v>
      </c>
      <c r="Y7" s="125">
        <f>W7/'סכום נכסים'!$B$30</f>
        <v>3.1459829685684242E-5</v>
      </c>
    </row>
    <row r="8" spans="1:25" x14ac:dyDescent="0.3">
      <c r="A8">
        <v>13908</v>
      </c>
      <c r="B8">
        <v>13908</v>
      </c>
      <c r="C8" t="s">
        <v>1473</v>
      </c>
      <c r="D8">
        <v>515434074</v>
      </c>
      <c r="E8" t="s">
        <v>420</v>
      </c>
      <c r="F8" t="s">
        <v>2559</v>
      </c>
      <c r="G8" t="s">
        <v>2560</v>
      </c>
      <c r="H8" t="s">
        <v>75</v>
      </c>
      <c r="I8" t="s">
        <v>52</v>
      </c>
      <c r="J8" t="s">
        <v>52</v>
      </c>
      <c r="K8" t="s">
        <v>775</v>
      </c>
      <c r="L8" t="s">
        <v>303</v>
      </c>
      <c r="M8" t="s">
        <v>2324</v>
      </c>
      <c r="N8" t="s">
        <v>620</v>
      </c>
      <c r="O8" s="127">
        <v>47330</v>
      </c>
      <c r="P8" t="s">
        <v>61</v>
      </c>
      <c r="Q8" t="s">
        <v>1258</v>
      </c>
      <c r="R8" s="124">
        <v>1077.672</v>
      </c>
      <c r="S8">
        <v>1</v>
      </c>
      <c r="T8" s="124">
        <v>141425.04</v>
      </c>
      <c r="U8" s="124">
        <v>1</v>
      </c>
      <c r="V8" s="124">
        <v>108.1</v>
      </c>
      <c r="W8" s="124">
        <v>152.88047</v>
      </c>
      <c r="X8" s="125">
        <v>3.2888891922999999E-2</v>
      </c>
      <c r="Y8" s="125">
        <f>W8/'סכום נכסים'!$B$30</f>
        <v>2.7524494426261566E-5</v>
      </c>
    </row>
    <row r="9" spans="1:25" x14ac:dyDescent="0.3">
      <c r="A9">
        <v>13908</v>
      </c>
      <c r="B9">
        <v>13908</v>
      </c>
      <c r="C9" t="s">
        <v>2448</v>
      </c>
      <c r="D9">
        <v>2548</v>
      </c>
      <c r="E9" t="s">
        <v>2</v>
      </c>
      <c r="F9" t="s">
        <v>2561</v>
      </c>
      <c r="G9" t="s">
        <v>2562</v>
      </c>
      <c r="H9" t="s">
        <v>75</v>
      </c>
      <c r="I9" t="s">
        <v>52</v>
      </c>
      <c r="J9" t="s">
        <v>52</v>
      </c>
      <c r="K9" t="s">
        <v>775</v>
      </c>
      <c r="L9" t="s">
        <v>303</v>
      </c>
      <c r="M9" t="s">
        <v>2450</v>
      </c>
      <c r="N9" t="s">
        <v>621</v>
      </c>
      <c r="O9" s="127">
        <v>47631</v>
      </c>
      <c r="P9" t="s">
        <v>61</v>
      </c>
      <c r="Q9" t="s">
        <v>1258</v>
      </c>
      <c r="R9" s="124">
        <v>850</v>
      </c>
      <c r="S9">
        <v>1</v>
      </c>
      <c r="T9" s="124">
        <v>300000</v>
      </c>
      <c r="U9" s="124">
        <v>1</v>
      </c>
      <c r="V9" s="124">
        <v>181</v>
      </c>
      <c r="W9" s="124">
        <v>543</v>
      </c>
      <c r="X9" s="125">
        <v>0.11681458275499999</v>
      </c>
      <c r="Y9" s="125">
        <f>W9/'סכום נכסים'!$B$30</f>
        <v>9.7761345667370271E-5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" x14ac:dyDescent="0.3"/>
  <cols>
    <col min="1" max="24" width="11.58203125" customWidth="1"/>
    <col min="25" max="25" width="11.58203125" hidden="1" customWidth="1"/>
    <col min="26" max="16384" width="9" hidden="1"/>
  </cols>
  <sheetData>
    <row r="1" spans="1:24" s="2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4</v>
      </c>
      <c r="M1" s="13" t="s">
        <v>8</v>
      </c>
      <c r="N1" s="13" t="s">
        <v>9</v>
      </c>
      <c r="O1" s="13" t="s">
        <v>651</v>
      </c>
      <c r="P1" s="13" t="s">
        <v>593</v>
      </c>
      <c r="Q1" s="13" t="s">
        <v>387</v>
      </c>
      <c r="R1" s="13" t="s">
        <v>22</v>
      </c>
      <c r="S1" s="13" t="s">
        <v>747</v>
      </c>
      <c r="T1" s="13" t="s">
        <v>10</v>
      </c>
      <c r="U1" s="13" t="s">
        <v>14</v>
      </c>
      <c r="V1" s="13" t="s">
        <v>1105</v>
      </c>
      <c r="W1" s="13" t="s">
        <v>18</v>
      </c>
      <c r="X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0"/>
  <sheetViews>
    <sheetView rightToLeft="1" workbookViewId="0"/>
  </sheetViews>
  <sheetFormatPr defaultColWidth="0" defaultRowHeight="14" x14ac:dyDescent="0.3"/>
  <cols>
    <col min="1" max="2" width="10.58203125" bestFit="1" customWidth="1"/>
    <col min="3" max="3" width="27.1640625" bestFit="1" customWidth="1"/>
    <col min="4" max="4" width="15.25" bestFit="1" customWidth="1"/>
    <col min="5" max="5" width="10.83203125" bestFit="1" customWidth="1"/>
    <col min="6" max="6" width="26.4140625" bestFit="1" customWidth="1"/>
    <col min="7" max="7" width="14.83203125" bestFit="1" customWidth="1"/>
    <col min="8" max="8" width="9.1640625" bestFit="1" customWidth="1"/>
    <col min="9" max="9" width="10" bestFit="1" customWidth="1"/>
    <col min="10" max="10" width="9.25" bestFit="1" customWidth="1"/>
    <col min="11" max="11" width="9.58203125" bestFit="1" customWidth="1"/>
    <col min="12" max="12" width="19" bestFit="1" customWidth="1"/>
    <col min="13" max="13" width="11" bestFit="1" customWidth="1"/>
    <col min="14" max="14" width="11.25" bestFit="1" customWidth="1"/>
    <col min="15" max="15" width="9.1640625" bestFit="1" customWidth="1"/>
    <col min="16" max="16" width="9.83203125" bestFit="1" customWidth="1"/>
    <col min="17" max="17" width="12.75" bestFit="1" customWidth="1"/>
    <col min="18" max="18" width="10.83203125" bestFit="1" customWidth="1"/>
    <col min="19" max="19" width="11.1640625" bestFit="1" customWidth="1"/>
    <col min="20" max="20" width="10" bestFit="1" customWidth="1"/>
    <col min="21" max="16384" width="9" hidden="1"/>
  </cols>
  <sheetData>
    <row r="1" spans="1:20" s="2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591</v>
      </c>
      <c r="J1" s="13" t="s">
        <v>592</v>
      </c>
      <c r="K1" s="13" t="s">
        <v>4</v>
      </c>
      <c r="L1" s="13" t="s">
        <v>9</v>
      </c>
      <c r="M1" s="13" t="s">
        <v>593</v>
      </c>
      <c r="N1" s="13" t="s">
        <v>387</v>
      </c>
      <c r="O1" s="13" t="s">
        <v>747</v>
      </c>
      <c r="P1" s="13" t="s">
        <v>10</v>
      </c>
      <c r="Q1" s="13" t="s">
        <v>14</v>
      </c>
      <c r="R1" s="13" t="s">
        <v>1105</v>
      </c>
      <c r="S1" s="13" t="s">
        <v>18</v>
      </c>
      <c r="T1" s="13" t="s">
        <v>29</v>
      </c>
    </row>
    <row r="2" spans="1:20" x14ac:dyDescent="0.3">
      <c r="A2">
        <v>13908</v>
      </c>
      <c r="B2">
        <v>13908</v>
      </c>
      <c r="C2" t="s">
        <v>2563</v>
      </c>
      <c r="D2" t="s">
        <v>2564</v>
      </c>
      <c r="E2" t="s">
        <v>2</v>
      </c>
      <c r="F2" t="s">
        <v>2565</v>
      </c>
      <c r="G2" t="s">
        <v>2566</v>
      </c>
      <c r="H2" t="s">
        <v>101</v>
      </c>
      <c r="I2" t="s">
        <v>60</v>
      </c>
      <c r="J2" t="s">
        <v>306</v>
      </c>
      <c r="K2" t="s">
        <v>472</v>
      </c>
      <c r="L2" t="s">
        <v>96</v>
      </c>
      <c r="M2" t="s">
        <v>61</v>
      </c>
      <c r="N2" t="s">
        <v>1260</v>
      </c>
      <c r="O2" s="124">
        <v>264</v>
      </c>
      <c r="P2" s="124">
        <v>2.9780000000000002</v>
      </c>
      <c r="Q2" s="124">
        <v>11246.88</v>
      </c>
      <c r="R2" s="124">
        <v>565.11479999999995</v>
      </c>
      <c r="S2" s="125">
        <v>3.5127333135000001E-2</v>
      </c>
      <c r="T2" s="125">
        <f>R2/'סכום נכסים'!$B$30</f>
        <v>1.0174287901389836E-4</v>
      </c>
    </row>
    <row r="3" spans="1:20" x14ac:dyDescent="0.3">
      <c r="A3">
        <v>13908</v>
      </c>
      <c r="B3">
        <v>13908</v>
      </c>
      <c r="C3" t="s">
        <v>2567</v>
      </c>
      <c r="D3" t="s">
        <v>2568</v>
      </c>
      <c r="E3" t="s">
        <v>2</v>
      </c>
      <c r="F3" t="s">
        <v>2569</v>
      </c>
      <c r="G3" t="s">
        <v>2570</v>
      </c>
      <c r="H3" t="s">
        <v>101</v>
      </c>
      <c r="I3" t="s">
        <v>60</v>
      </c>
      <c r="J3" t="s">
        <v>164</v>
      </c>
      <c r="K3" t="s">
        <v>467</v>
      </c>
      <c r="L3" t="s">
        <v>96</v>
      </c>
      <c r="M3" t="s">
        <v>61</v>
      </c>
      <c r="N3" t="s">
        <v>1263</v>
      </c>
      <c r="O3" s="124">
        <v>22</v>
      </c>
      <c r="P3" s="124">
        <v>1.8341E-2</v>
      </c>
      <c r="Q3" s="124">
        <v>400300</v>
      </c>
      <c r="R3" s="124">
        <v>566.99978999999996</v>
      </c>
      <c r="S3" s="125">
        <v>3.5244503437000002E-2</v>
      </c>
      <c r="T3" s="125">
        <f>R3/'סכום נכסים'!$B$30</f>
        <v>1.0208225131402642E-4</v>
      </c>
    </row>
    <row r="4" spans="1:20" x14ac:dyDescent="0.3">
      <c r="A4">
        <v>13908</v>
      </c>
      <c r="B4">
        <v>13908</v>
      </c>
      <c r="C4" t="s">
        <v>2567</v>
      </c>
      <c r="D4" t="s">
        <v>2571</v>
      </c>
      <c r="E4" t="s">
        <v>2</v>
      </c>
      <c r="F4" t="s">
        <v>2572</v>
      </c>
      <c r="G4" t="s">
        <v>2573</v>
      </c>
      <c r="H4" t="s">
        <v>101</v>
      </c>
      <c r="I4" t="s">
        <v>60</v>
      </c>
      <c r="J4" t="s">
        <v>164</v>
      </c>
      <c r="K4" t="s">
        <v>467</v>
      </c>
      <c r="L4" t="s">
        <v>96</v>
      </c>
      <c r="M4" t="s">
        <v>61</v>
      </c>
      <c r="N4" t="s">
        <v>1263</v>
      </c>
      <c r="O4" s="124">
        <v>430</v>
      </c>
      <c r="P4" s="124">
        <v>1.8341E-2</v>
      </c>
      <c r="Q4" s="124">
        <v>7019000</v>
      </c>
      <c r="R4" s="124">
        <v>4572.6792999999998</v>
      </c>
      <c r="S4" s="125">
        <v>0.284236104052</v>
      </c>
      <c r="T4" s="125">
        <f>R4/'סכום נכסים'!$B$30</f>
        <v>8.2326202886432538E-4</v>
      </c>
    </row>
    <row r="5" spans="1:20" x14ac:dyDescent="0.3">
      <c r="A5">
        <v>13908</v>
      </c>
      <c r="B5">
        <v>13908</v>
      </c>
      <c r="C5" t="s">
        <v>2574</v>
      </c>
      <c r="D5" t="s">
        <v>2575</v>
      </c>
      <c r="E5" t="s">
        <v>2</v>
      </c>
      <c r="F5" t="s">
        <v>2576</v>
      </c>
      <c r="G5" t="s">
        <v>2577</v>
      </c>
      <c r="H5" t="s">
        <v>101</v>
      </c>
      <c r="I5" t="s">
        <v>60</v>
      </c>
      <c r="J5" t="s">
        <v>306</v>
      </c>
      <c r="K5" t="s">
        <v>471</v>
      </c>
      <c r="L5" t="s">
        <v>96</v>
      </c>
      <c r="M5" t="s">
        <v>61</v>
      </c>
      <c r="N5" t="s">
        <v>1260</v>
      </c>
      <c r="O5" s="124">
        <v>901</v>
      </c>
      <c r="P5" s="124">
        <v>2.9780000000000002</v>
      </c>
      <c r="Q5" s="124">
        <v>754825</v>
      </c>
      <c r="R5" s="124">
        <v>6697.9698099999996</v>
      </c>
      <c r="S5" s="125">
        <v>0.41634339933999998</v>
      </c>
      <c r="T5" s="125">
        <f>R5/'סכום נכסים'!$B$30</f>
        <v>1.2058978671547335E-3</v>
      </c>
    </row>
    <row r="6" spans="1:20" x14ac:dyDescent="0.3">
      <c r="A6">
        <v>13908</v>
      </c>
      <c r="B6">
        <v>13908</v>
      </c>
      <c r="C6" t="s">
        <v>2574</v>
      </c>
      <c r="D6" t="s">
        <v>2578</v>
      </c>
      <c r="E6" t="s">
        <v>2</v>
      </c>
      <c r="F6" t="s">
        <v>2579</v>
      </c>
      <c r="G6" t="s">
        <v>2580</v>
      </c>
      <c r="H6" t="s">
        <v>101</v>
      </c>
      <c r="I6" t="s">
        <v>60</v>
      </c>
      <c r="J6" t="s">
        <v>306</v>
      </c>
      <c r="K6" t="s">
        <v>471</v>
      </c>
      <c r="L6" t="s">
        <v>96</v>
      </c>
      <c r="M6" t="s">
        <v>61</v>
      </c>
      <c r="N6" t="s">
        <v>1260</v>
      </c>
      <c r="O6" s="124">
        <v>139</v>
      </c>
      <c r="P6" s="124">
        <v>2.9780000000000002</v>
      </c>
      <c r="Q6" s="124">
        <v>3052350</v>
      </c>
      <c r="R6" s="124">
        <v>4593.5897299999997</v>
      </c>
      <c r="S6" s="125">
        <v>0.28553588887600001</v>
      </c>
      <c r="T6" s="125">
        <f>R6/'סכום נכסים'!$B$30</f>
        <v>8.2702672826632053E-4</v>
      </c>
    </row>
    <row r="7" spans="1:20" x14ac:dyDescent="0.3">
      <c r="A7">
        <v>13908</v>
      </c>
      <c r="B7">
        <v>13908</v>
      </c>
      <c r="C7" t="s">
        <v>2581</v>
      </c>
      <c r="D7" t="s">
        <v>2582</v>
      </c>
      <c r="E7" t="s">
        <v>2</v>
      </c>
      <c r="F7" t="s">
        <v>2583</v>
      </c>
      <c r="G7" t="s">
        <v>2584</v>
      </c>
      <c r="H7" t="s">
        <v>101</v>
      </c>
      <c r="I7" t="s">
        <v>60</v>
      </c>
      <c r="J7" t="s">
        <v>306</v>
      </c>
      <c r="K7" t="s">
        <v>477</v>
      </c>
      <c r="L7" t="s">
        <v>96</v>
      </c>
      <c r="M7" t="s">
        <v>61</v>
      </c>
      <c r="N7" t="s">
        <v>1260</v>
      </c>
      <c r="O7" s="124">
        <v>589</v>
      </c>
      <c r="P7" s="124">
        <v>2.9780000000000002</v>
      </c>
      <c r="Q7" s="124">
        <v>175730</v>
      </c>
      <c r="R7" s="124">
        <v>-2417.6895</v>
      </c>
      <c r="S7" s="125">
        <v>-0.15028271155799999</v>
      </c>
      <c r="T7" s="125">
        <f>R7/'סכום נכסים'!$B$30</f>
        <v>-4.3527915087637493E-4</v>
      </c>
    </row>
    <row r="8" spans="1:20" x14ac:dyDescent="0.3">
      <c r="A8">
        <v>13908</v>
      </c>
      <c r="B8">
        <v>13908</v>
      </c>
      <c r="C8" t="s">
        <v>2585</v>
      </c>
      <c r="D8" t="s">
        <v>2586</v>
      </c>
      <c r="E8" t="s">
        <v>2</v>
      </c>
      <c r="F8" t="s">
        <v>2587</v>
      </c>
      <c r="G8" t="s">
        <v>2588</v>
      </c>
      <c r="H8" t="s">
        <v>101</v>
      </c>
      <c r="I8" t="s">
        <v>60</v>
      </c>
      <c r="J8" t="s">
        <v>151</v>
      </c>
      <c r="K8" t="s">
        <v>474</v>
      </c>
      <c r="L8" t="s">
        <v>96</v>
      </c>
      <c r="M8" t="s">
        <v>61</v>
      </c>
      <c r="N8" t="s">
        <v>1265</v>
      </c>
      <c r="O8" s="124">
        <v>1453</v>
      </c>
      <c r="P8" s="124">
        <v>3.3944999999999999</v>
      </c>
      <c r="Q8" s="124">
        <v>64430</v>
      </c>
      <c r="R8" s="124">
        <v>1126.88633</v>
      </c>
      <c r="S8" s="125">
        <v>7.0046849807999995E-2</v>
      </c>
      <c r="T8" s="125">
        <f>R8/'סכום נכסים'!$B$30</f>
        <v>2.0288383800177586E-4</v>
      </c>
    </row>
    <row r="9" spans="1:20" x14ac:dyDescent="0.3">
      <c r="A9">
        <v>13908</v>
      </c>
      <c r="B9">
        <v>13908</v>
      </c>
      <c r="C9" t="s">
        <v>2589</v>
      </c>
      <c r="D9" t="s">
        <v>2590</v>
      </c>
      <c r="E9" t="s">
        <v>2</v>
      </c>
      <c r="F9" t="s">
        <v>2591</v>
      </c>
      <c r="G9" t="s">
        <v>2592</v>
      </c>
      <c r="H9" t="s">
        <v>101</v>
      </c>
      <c r="I9" t="s">
        <v>60</v>
      </c>
      <c r="J9" t="s">
        <v>306</v>
      </c>
      <c r="K9" t="s">
        <v>471</v>
      </c>
      <c r="L9" t="s">
        <v>96</v>
      </c>
      <c r="M9" t="s">
        <v>61</v>
      </c>
      <c r="N9" t="s">
        <v>1260</v>
      </c>
      <c r="O9" s="124">
        <v>48</v>
      </c>
      <c r="P9" s="124">
        <v>2.9780000000000002</v>
      </c>
      <c r="Q9" s="124">
        <v>5267000</v>
      </c>
      <c r="R9" s="124">
        <v>387.18518999999998</v>
      </c>
      <c r="S9" s="125">
        <v>2.4067292441000001E-2</v>
      </c>
      <c r="T9" s="125">
        <f>R9/'סכום נכסים'!$B$30</f>
        <v>6.9708554690380166E-5</v>
      </c>
    </row>
    <row r="10" spans="1:20" x14ac:dyDescent="0.3">
      <c r="A10">
        <v>13908</v>
      </c>
      <c r="B10">
        <v>13908</v>
      </c>
      <c r="C10" t="s">
        <v>2593</v>
      </c>
      <c r="D10" t="s">
        <v>2594</v>
      </c>
      <c r="E10" t="s">
        <v>2</v>
      </c>
      <c r="F10" t="s">
        <v>2595</v>
      </c>
      <c r="G10" t="s">
        <v>2596</v>
      </c>
      <c r="H10" t="s">
        <v>101</v>
      </c>
      <c r="I10" t="s">
        <v>60</v>
      </c>
      <c r="J10" t="s">
        <v>155</v>
      </c>
      <c r="K10" t="s">
        <v>483</v>
      </c>
      <c r="L10" t="s">
        <v>96</v>
      </c>
      <c r="M10" t="s">
        <v>61</v>
      </c>
      <c r="N10" t="s">
        <v>1260</v>
      </c>
      <c r="O10" s="124">
        <v>20</v>
      </c>
      <c r="P10" s="124">
        <v>2.9780000000000002</v>
      </c>
      <c r="Q10" s="124">
        <v>2398550</v>
      </c>
      <c r="R10" s="124">
        <v>-5.1264700000000003</v>
      </c>
      <c r="S10" s="125">
        <v>-3.1865953499999998E-4</v>
      </c>
      <c r="T10" s="125">
        <f>R10/'סכום נכסים'!$B$30</f>
        <v>-9.2296612472081713E-7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"/>
  <sheetViews>
    <sheetView rightToLeft="1" workbookViewId="0"/>
  </sheetViews>
  <sheetFormatPr defaultColWidth="0" defaultRowHeight="14" x14ac:dyDescent="0.3"/>
  <cols>
    <col min="1" max="2" width="10.58203125" bestFit="1" customWidth="1"/>
    <col min="3" max="3" width="15.75" bestFit="1" customWidth="1"/>
    <col min="4" max="4" width="10.75" bestFit="1" customWidth="1"/>
    <col min="5" max="5" width="10.4140625" bestFit="1" customWidth="1"/>
    <col min="6" max="6" width="14.4140625" bestFit="1" customWidth="1"/>
    <col min="7" max="7" width="12.4140625" bestFit="1" customWidth="1"/>
    <col min="8" max="8" width="9.1640625" bestFit="1" customWidth="1"/>
    <col min="9" max="9" width="11" bestFit="1" customWidth="1"/>
    <col min="10" max="10" width="10" bestFit="1" customWidth="1"/>
    <col min="11" max="11" width="9.25" bestFit="1" customWidth="1"/>
    <col min="12" max="12" width="7.83203125" bestFit="1" customWidth="1"/>
    <col min="13" max="13" width="9.58203125" bestFit="1" customWidth="1"/>
    <col min="14" max="14" width="16.58203125" bestFit="1" customWidth="1"/>
    <col min="15" max="15" width="11" bestFit="1" customWidth="1"/>
    <col min="16" max="16" width="5.58203125" bestFit="1" customWidth="1"/>
    <col min="17" max="17" width="10.58203125" bestFit="1" customWidth="1"/>
    <col min="18" max="18" width="7.1640625" bestFit="1" customWidth="1"/>
    <col min="19" max="19" width="6.83203125" bestFit="1" customWidth="1"/>
    <col min="20" max="20" width="10.1640625" bestFit="1" customWidth="1"/>
    <col min="21" max="21" width="11.58203125" customWidth="1"/>
    <col min="22" max="22" width="11.25" bestFit="1" customWidth="1"/>
    <col min="23" max="23" width="9.1640625" bestFit="1" customWidth="1"/>
    <col min="24" max="24" width="9.83203125" bestFit="1" customWidth="1"/>
    <col min="25" max="25" width="8.4140625" bestFit="1" customWidth="1"/>
    <col min="26" max="26" width="10.83203125" bestFit="1" customWidth="1"/>
    <col min="27" max="27" width="11.1640625" bestFit="1" customWidth="1"/>
    <col min="28" max="28" width="10" bestFit="1" customWidth="1"/>
    <col min="29" max="16384" width="9" hidden="1"/>
  </cols>
  <sheetData>
    <row r="1" spans="1:28" s="2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596</v>
      </c>
      <c r="M1" s="13" t="s">
        <v>4</v>
      </c>
      <c r="N1" s="13" t="s">
        <v>9</v>
      </c>
      <c r="O1" s="13" t="s">
        <v>593</v>
      </c>
      <c r="P1" s="13" t="s">
        <v>12</v>
      </c>
      <c r="Q1" s="13" t="s">
        <v>13</v>
      </c>
      <c r="R1" s="13" t="s">
        <v>608</v>
      </c>
      <c r="S1" s="13" t="s">
        <v>5</v>
      </c>
      <c r="T1" s="13" t="s">
        <v>7</v>
      </c>
      <c r="U1" s="13" t="s">
        <v>1098</v>
      </c>
      <c r="V1" s="13" t="s">
        <v>387</v>
      </c>
      <c r="W1" s="13" t="s">
        <v>747</v>
      </c>
      <c r="X1" s="13" t="s">
        <v>10</v>
      </c>
      <c r="Y1" s="13" t="s">
        <v>14</v>
      </c>
      <c r="Z1" s="13" t="s">
        <v>1105</v>
      </c>
      <c r="AA1" s="13" t="s">
        <v>18</v>
      </c>
      <c r="AB1" s="13" t="s">
        <v>29</v>
      </c>
    </row>
    <row r="2" spans="1:28" x14ac:dyDescent="0.3">
      <c r="A2">
        <v>13908</v>
      </c>
      <c r="B2">
        <v>13908</v>
      </c>
      <c r="C2" t="s">
        <v>1771</v>
      </c>
      <c r="D2">
        <v>515666881</v>
      </c>
      <c r="E2" t="s">
        <v>420</v>
      </c>
      <c r="F2" t="s">
        <v>2597</v>
      </c>
      <c r="G2" t="s">
        <v>2598</v>
      </c>
      <c r="H2" t="s">
        <v>75</v>
      </c>
      <c r="I2" t="s">
        <v>235</v>
      </c>
      <c r="J2" t="s">
        <v>52</v>
      </c>
      <c r="K2" t="s">
        <v>52</v>
      </c>
      <c r="L2" t="s">
        <v>775</v>
      </c>
      <c r="M2" t="s">
        <v>303</v>
      </c>
      <c r="N2" t="s">
        <v>78</v>
      </c>
      <c r="O2" t="s">
        <v>61</v>
      </c>
      <c r="P2" s="126">
        <v>2.57</v>
      </c>
      <c r="Q2" s="125">
        <v>5.0000000000000001E-4</v>
      </c>
      <c r="R2" s="125">
        <v>2.2599999999999999E-2</v>
      </c>
      <c r="S2" t="s">
        <v>1774</v>
      </c>
      <c r="T2" t="s">
        <v>64</v>
      </c>
      <c r="U2" t="s">
        <v>56</v>
      </c>
      <c r="V2" t="s">
        <v>1258</v>
      </c>
      <c r="W2" s="124">
        <v>5645</v>
      </c>
      <c r="X2" s="124">
        <v>1</v>
      </c>
      <c r="Y2" s="124">
        <v>112.1</v>
      </c>
      <c r="Z2" s="124">
        <v>6.3280399999999997</v>
      </c>
      <c r="AA2" s="125">
        <v>1</v>
      </c>
      <c r="AB2" s="125">
        <f>Z2/'סכום נכסים'!$B$30</f>
        <v>1.1392959591840621E-6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" x14ac:dyDescent="0.3"/>
  <cols>
    <col min="1" max="25" width="11.58203125" customWidth="1"/>
    <col min="26" max="16384" width="9" hidden="1"/>
  </cols>
  <sheetData>
    <row r="1" spans="1:25" ht="52" x14ac:dyDescent="0.3">
      <c r="A1" s="13" t="s">
        <v>636</v>
      </c>
      <c r="B1" s="13" t="s">
        <v>0</v>
      </c>
      <c r="C1" s="13" t="s">
        <v>703</v>
      </c>
      <c r="D1" s="13" t="s">
        <v>1097</v>
      </c>
      <c r="E1" s="13" t="s">
        <v>28</v>
      </c>
      <c r="F1" s="13" t="s">
        <v>27</v>
      </c>
      <c r="G1" s="13" t="s">
        <v>1</v>
      </c>
      <c r="H1" s="13" t="s">
        <v>591</v>
      </c>
      <c r="I1" s="13" t="s">
        <v>592</v>
      </c>
      <c r="J1" s="13" t="s">
        <v>11</v>
      </c>
      <c r="K1" s="13" t="s">
        <v>5</v>
      </c>
      <c r="L1" s="13" t="s">
        <v>7</v>
      </c>
      <c r="M1" s="13" t="s">
        <v>387</v>
      </c>
      <c r="N1" s="13" t="s">
        <v>12</v>
      </c>
      <c r="O1" s="13" t="s">
        <v>412</v>
      </c>
      <c r="P1" s="13" t="s">
        <v>13</v>
      </c>
      <c r="Q1" s="13" t="s">
        <v>608</v>
      </c>
      <c r="R1" s="13" t="s">
        <v>747</v>
      </c>
      <c r="S1" s="13" t="s">
        <v>10</v>
      </c>
      <c r="T1" s="13" t="s">
        <v>14</v>
      </c>
      <c r="U1" s="13" t="s">
        <v>1105</v>
      </c>
      <c r="V1" s="13" t="s">
        <v>1106</v>
      </c>
      <c r="W1" s="13" t="s">
        <v>25</v>
      </c>
      <c r="X1" s="13" t="s">
        <v>18</v>
      </c>
      <c r="Y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" x14ac:dyDescent="0.3"/>
  <cols>
    <col min="1" max="18" width="11.58203125" customWidth="1"/>
    <col min="19" max="16384" width="9" hidden="1"/>
  </cols>
  <sheetData>
    <row r="1" spans="1:18" s="2" customFormat="1" ht="52" x14ac:dyDescent="0.3">
      <c r="A1" s="13" t="s">
        <v>636</v>
      </c>
      <c r="B1" s="13" t="s">
        <v>0</v>
      </c>
      <c r="C1" s="13" t="s">
        <v>1</v>
      </c>
      <c r="D1" s="13" t="s">
        <v>1097</v>
      </c>
      <c r="E1" s="13" t="s">
        <v>28</v>
      </c>
      <c r="F1" s="13" t="s">
        <v>11</v>
      </c>
      <c r="G1" s="13" t="s">
        <v>12</v>
      </c>
      <c r="H1" s="13" t="s">
        <v>275</v>
      </c>
      <c r="I1" s="13" t="s">
        <v>412</v>
      </c>
      <c r="J1" s="13" t="s">
        <v>13</v>
      </c>
      <c r="K1" s="13" t="s">
        <v>608</v>
      </c>
      <c r="L1" s="13" t="s">
        <v>747</v>
      </c>
      <c r="M1" s="13" t="s">
        <v>14</v>
      </c>
      <c r="N1" s="13" t="s">
        <v>1105</v>
      </c>
      <c r="O1" s="13" t="s">
        <v>1106</v>
      </c>
      <c r="P1" s="13" t="s">
        <v>25</v>
      </c>
      <c r="Q1" s="13" t="s">
        <v>18</v>
      </c>
      <c r="R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676"/>
  <sheetViews>
    <sheetView rightToLeft="1" topLeftCell="A98" workbookViewId="0"/>
  </sheetViews>
  <sheetFormatPr defaultColWidth="0" defaultRowHeight="14" x14ac:dyDescent="0.3"/>
  <cols>
    <col min="1" max="7" width="11.58203125" customWidth="1"/>
    <col min="8" max="16384" width="9" hidden="1"/>
  </cols>
  <sheetData>
    <row r="1" spans="1:7" s="2" customFormat="1" ht="39" x14ac:dyDescent="0.3">
      <c r="A1" s="13" t="s">
        <v>756</v>
      </c>
      <c r="B1" s="13" t="s">
        <v>0</v>
      </c>
      <c r="C1" s="13" t="s">
        <v>1</v>
      </c>
      <c r="D1" s="13" t="s">
        <v>734</v>
      </c>
      <c r="E1" s="13" t="s">
        <v>733</v>
      </c>
      <c r="F1" s="13" t="s">
        <v>1112</v>
      </c>
      <c r="G1" s="13" t="s">
        <v>29</v>
      </c>
    </row>
    <row r="2" spans="1:7" x14ac:dyDescent="0.3">
      <c r="A2">
        <v>13908</v>
      </c>
      <c r="B2">
        <v>13909</v>
      </c>
      <c r="C2" t="s">
        <v>2911</v>
      </c>
      <c r="D2" s="129">
        <v>44835</v>
      </c>
      <c r="E2" s="129">
        <v>46661</v>
      </c>
      <c r="F2" s="124">
        <v>-9495.7950000000001</v>
      </c>
      <c r="G2" s="125">
        <v>1.4498304518292914E-2</v>
      </c>
    </row>
    <row r="3" spans="1:7" x14ac:dyDescent="0.3">
      <c r="A3">
        <v>13908</v>
      </c>
      <c r="B3">
        <v>13909</v>
      </c>
      <c r="C3" t="s">
        <v>2911</v>
      </c>
      <c r="D3" s="129">
        <v>44866</v>
      </c>
      <c r="E3" s="129">
        <v>46692</v>
      </c>
      <c r="F3" s="124">
        <v>-5715.5410000000002</v>
      </c>
      <c r="G3" s="125">
        <v>8.7265630634179026E-3</v>
      </c>
    </row>
    <row r="4" spans="1:7" x14ac:dyDescent="0.3">
      <c r="A4">
        <v>13908</v>
      </c>
      <c r="B4">
        <v>13909</v>
      </c>
      <c r="C4" t="s">
        <v>2911</v>
      </c>
      <c r="D4" s="129">
        <v>44896</v>
      </c>
      <c r="E4" s="129">
        <v>46722</v>
      </c>
      <c r="F4" s="124">
        <v>-8811.8880000000008</v>
      </c>
      <c r="G4" s="125">
        <v>1.3454106328652959E-2</v>
      </c>
    </row>
    <row r="5" spans="1:7" x14ac:dyDescent="0.3">
      <c r="A5">
        <v>13908</v>
      </c>
      <c r="B5">
        <v>13909</v>
      </c>
      <c r="C5" t="s">
        <v>2911</v>
      </c>
      <c r="D5" s="129">
        <v>44927</v>
      </c>
      <c r="E5" s="129">
        <v>46753</v>
      </c>
      <c r="F5" s="124">
        <v>-7051.9229999999998</v>
      </c>
      <c r="G5" s="125">
        <v>1.0766968652288062E-2</v>
      </c>
    </row>
    <row r="6" spans="1:7" x14ac:dyDescent="0.3">
      <c r="A6">
        <v>13908</v>
      </c>
      <c r="B6">
        <v>13909</v>
      </c>
      <c r="C6" t="s">
        <v>2911</v>
      </c>
      <c r="D6" s="129">
        <v>44958</v>
      </c>
      <c r="E6" s="129">
        <v>46784</v>
      </c>
      <c r="F6" s="124">
        <v>-6468.7690000000002</v>
      </c>
      <c r="G6" s="125">
        <v>9.876601466279878E-3</v>
      </c>
    </row>
    <row r="7" spans="1:7" x14ac:dyDescent="0.3">
      <c r="A7">
        <v>13908</v>
      </c>
      <c r="B7">
        <v>13909</v>
      </c>
      <c r="C7" t="s">
        <v>2911</v>
      </c>
      <c r="D7" s="129">
        <v>44986</v>
      </c>
      <c r="E7" s="129">
        <v>46813</v>
      </c>
      <c r="F7" s="124">
        <v>-6994.308</v>
      </c>
      <c r="G7" s="125">
        <v>1.0679001313605893E-2</v>
      </c>
    </row>
    <row r="8" spans="1:7" x14ac:dyDescent="0.3">
      <c r="A8">
        <v>13908</v>
      </c>
      <c r="B8">
        <v>13909</v>
      </c>
      <c r="C8" t="s">
        <v>2911</v>
      </c>
      <c r="D8" s="129">
        <v>45017</v>
      </c>
      <c r="E8" s="129">
        <v>46844</v>
      </c>
      <c r="F8" s="124">
        <v>-7294.5950000000003</v>
      </c>
      <c r="G8" s="125">
        <v>1.1137483449002101E-2</v>
      </c>
    </row>
    <row r="9" spans="1:7" x14ac:dyDescent="0.3">
      <c r="A9">
        <v>13908</v>
      </c>
      <c r="B9">
        <v>13909</v>
      </c>
      <c r="C9" t="s">
        <v>2911</v>
      </c>
      <c r="D9" s="129">
        <v>45047</v>
      </c>
      <c r="E9" s="129">
        <v>46874</v>
      </c>
      <c r="F9" s="124">
        <v>-8191.9979999999996</v>
      </c>
      <c r="G9" s="125">
        <v>1.2507650135375343E-2</v>
      </c>
    </row>
    <row r="10" spans="1:7" x14ac:dyDescent="0.3">
      <c r="A10">
        <v>13908</v>
      </c>
      <c r="B10">
        <v>13909</v>
      </c>
      <c r="C10" t="s">
        <v>2911</v>
      </c>
      <c r="D10" s="129">
        <v>45078</v>
      </c>
      <c r="E10" s="129">
        <v>46905</v>
      </c>
      <c r="F10" s="124">
        <v>-5860.268</v>
      </c>
      <c r="G10" s="125">
        <v>8.9475341477788205E-3</v>
      </c>
    </row>
    <row r="11" spans="1:7" x14ac:dyDescent="0.3">
      <c r="A11">
        <v>13908</v>
      </c>
      <c r="B11">
        <v>13909</v>
      </c>
      <c r="C11" t="s">
        <v>2911</v>
      </c>
      <c r="D11" s="129">
        <v>45108</v>
      </c>
      <c r="E11" s="129">
        <v>46935</v>
      </c>
      <c r="F11" s="124">
        <v>-8137.3760000000002</v>
      </c>
      <c r="G11" s="125">
        <v>1.242425254840151E-2</v>
      </c>
    </row>
    <row r="12" spans="1:7" x14ac:dyDescent="0.3">
      <c r="A12">
        <v>13908</v>
      </c>
      <c r="B12">
        <v>13909</v>
      </c>
      <c r="C12" t="s">
        <v>2911</v>
      </c>
      <c r="D12" s="129">
        <v>45139</v>
      </c>
      <c r="E12" s="129">
        <v>46966</v>
      </c>
      <c r="F12" s="124">
        <v>-11597.781999999999</v>
      </c>
      <c r="G12" s="125">
        <v>1.7707645876177427E-2</v>
      </c>
    </row>
    <row r="13" spans="1:7" x14ac:dyDescent="0.3">
      <c r="A13">
        <v>13908</v>
      </c>
      <c r="B13">
        <v>13909</v>
      </c>
      <c r="C13" t="s">
        <v>2911</v>
      </c>
      <c r="D13" s="129">
        <v>45170</v>
      </c>
      <c r="E13" s="129">
        <v>46997</v>
      </c>
      <c r="F13" s="124">
        <v>-9555.0049999999992</v>
      </c>
      <c r="G13" s="125">
        <v>1.4588707123922892E-2</v>
      </c>
    </row>
    <row r="14" spans="1:7" x14ac:dyDescent="0.3">
      <c r="A14">
        <v>13908</v>
      </c>
      <c r="B14">
        <v>13909</v>
      </c>
      <c r="C14" t="s">
        <v>2911</v>
      </c>
      <c r="D14" s="129">
        <v>45200</v>
      </c>
      <c r="E14" s="129">
        <v>47027</v>
      </c>
      <c r="F14" s="124">
        <v>-992.86599999999999</v>
      </c>
      <c r="G14" s="125">
        <v>1.5159208485292081E-3</v>
      </c>
    </row>
    <row r="15" spans="1:7" x14ac:dyDescent="0.3">
      <c r="A15">
        <v>13908</v>
      </c>
      <c r="B15">
        <v>13909</v>
      </c>
      <c r="C15" t="s">
        <v>2911</v>
      </c>
      <c r="D15" s="129">
        <v>45231</v>
      </c>
      <c r="E15" s="129">
        <v>47058</v>
      </c>
      <c r="F15" s="124">
        <v>-6453.0020000000004</v>
      </c>
      <c r="G15" s="125">
        <v>9.852528203605198E-3</v>
      </c>
    </row>
    <row r="16" spans="1:7" x14ac:dyDescent="0.3">
      <c r="A16">
        <v>13908</v>
      </c>
      <c r="B16">
        <v>13909</v>
      </c>
      <c r="C16" t="s">
        <v>2911</v>
      </c>
      <c r="D16" s="129">
        <v>45261</v>
      </c>
      <c r="E16" s="129">
        <v>47088</v>
      </c>
      <c r="F16" s="124">
        <v>-5737.5910000000003</v>
      </c>
      <c r="G16" s="125">
        <v>8.7602292930098816E-3</v>
      </c>
    </row>
    <row r="17" spans="1:7" x14ac:dyDescent="0.3">
      <c r="A17">
        <v>13908</v>
      </c>
      <c r="B17">
        <v>13909</v>
      </c>
      <c r="C17" t="s">
        <v>2911</v>
      </c>
      <c r="D17" s="129">
        <v>45292</v>
      </c>
      <c r="E17" s="129">
        <v>47119</v>
      </c>
      <c r="F17" s="124">
        <v>-6459.3689999999997</v>
      </c>
      <c r="G17" s="125">
        <v>9.8622494228257016E-3</v>
      </c>
    </row>
    <row r="18" spans="1:7" x14ac:dyDescent="0.3">
      <c r="A18">
        <v>13908</v>
      </c>
      <c r="B18">
        <v>13909</v>
      </c>
      <c r="C18" t="s">
        <v>2911</v>
      </c>
      <c r="D18" s="129">
        <v>45323</v>
      </c>
      <c r="E18" s="129">
        <v>47150</v>
      </c>
      <c r="F18" s="124">
        <v>-9448.1280000000006</v>
      </c>
      <c r="G18" s="125">
        <v>1.4425525916662038E-2</v>
      </c>
    </row>
    <row r="19" spans="1:7" x14ac:dyDescent="0.3">
      <c r="A19">
        <v>13908</v>
      </c>
      <c r="B19">
        <v>13909</v>
      </c>
      <c r="C19" t="s">
        <v>2911</v>
      </c>
      <c r="D19" s="129">
        <v>45352</v>
      </c>
      <c r="E19" s="129">
        <v>47178</v>
      </c>
      <c r="F19" s="124">
        <v>-6168.4769999999999</v>
      </c>
      <c r="G19" s="125">
        <v>9.4181116968180042E-3</v>
      </c>
    </row>
    <row r="20" spans="1:7" x14ac:dyDescent="0.3">
      <c r="A20">
        <v>13908</v>
      </c>
      <c r="B20">
        <v>13909</v>
      </c>
      <c r="C20" t="s">
        <v>2911</v>
      </c>
      <c r="D20" s="129">
        <v>45383</v>
      </c>
      <c r="E20" s="129">
        <v>47209</v>
      </c>
      <c r="F20" s="124">
        <v>-8086.4560000000001</v>
      </c>
      <c r="G20" s="125">
        <v>1.2346507223647609E-2</v>
      </c>
    </row>
    <row r="21" spans="1:7" x14ac:dyDescent="0.3">
      <c r="A21">
        <v>13908</v>
      </c>
      <c r="B21">
        <v>13909</v>
      </c>
      <c r="C21" t="s">
        <v>2911</v>
      </c>
      <c r="D21" s="129">
        <v>45413</v>
      </c>
      <c r="E21" s="129">
        <v>47239</v>
      </c>
      <c r="F21" s="124">
        <v>-21.45</v>
      </c>
      <c r="G21" s="125">
        <v>3.2750141711924384E-5</v>
      </c>
    </row>
    <row r="22" spans="1:7" x14ac:dyDescent="0.3">
      <c r="A22">
        <v>13908</v>
      </c>
      <c r="B22">
        <v>13909</v>
      </c>
      <c r="C22" t="s">
        <v>2911</v>
      </c>
      <c r="D22" s="129">
        <v>45444</v>
      </c>
      <c r="E22" s="129">
        <v>47270</v>
      </c>
      <c r="F22" s="124">
        <v>-11136.904</v>
      </c>
      <c r="G22" s="125">
        <v>1.7003971292871681E-2</v>
      </c>
    </row>
    <row r="23" spans="1:7" x14ac:dyDescent="0.3">
      <c r="A23">
        <v>13908</v>
      </c>
      <c r="B23">
        <v>13909</v>
      </c>
      <c r="C23" t="s">
        <v>2911</v>
      </c>
      <c r="D23" s="129">
        <v>45474</v>
      </c>
      <c r="E23" s="129">
        <v>47300</v>
      </c>
      <c r="F23" s="124">
        <v>-6491.2070000000003</v>
      </c>
      <c r="G23" s="125">
        <v>9.9108600993676257E-3</v>
      </c>
    </row>
    <row r="24" spans="1:7" x14ac:dyDescent="0.3">
      <c r="A24">
        <v>13908</v>
      </c>
      <c r="B24">
        <v>13909</v>
      </c>
      <c r="C24" t="s">
        <v>2911</v>
      </c>
      <c r="D24" s="129">
        <v>45505</v>
      </c>
      <c r="E24" s="129">
        <v>47331</v>
      </c>
      <c r="F24" s="124">
        <v>-6765.6909999999998</v>
      </c>
      <c r="G24" s="125">
        <v>1.0329945875482116E-2</v>
      </c>
    </row>
    <row r="25" spans="1:7" x14ac:dyDescent="0.3">
      <c r="A25">
        <v>13908</v>
      </c>
      <c r="B25">
        <v>13909</v>
      </c>
      <c r="C25" t="s">
        <v>2911</v>
      </c>
      <c r="D25" s="129">
        <v>45536</v>
      </c>
      <c r="E25" s="129">
        <v>47362</v>
      </c>
      <c r="F25" s="124">
        <v>-12068.941000000001</v>
      </c>
      <c r="G25" s="125">
        <v>1.84270176253079E-2</v>
      </c>
    </row>
    <row r="26" spans="1:7" x14ac:dyDescent="0.3">
      <c r="A26">
        <v>13908</v>
      </c>
      <c r="B26">
        <v>13909</v>
      </c>
      <c r="C26" t="s">
        <v>2911</v>
      </c>
      <c r="D26" s="129">
        <v>45566</v>
      </c>
      <c r="E26" s="129">
        <v>47392</v>
      </c>
      <c r="F26" s="124">
        <v>-4504.4780000000001</v>
      </c>
      <c r="G26" s="125">
        <v>6.877496169615185E-3</v>
      </c>
    </row>
    <row r="27" spans="1:7" x14ac:dyDescent="0.3">
      <c r="A27">
        <v>13908</v>
      </c>
      <c r="B27">
        <v>13909</v>
      </c>
      <c r="C27" t="s">
        <v>2911</v>
      </c>
      <c r="D27" s="129">
        <v>45597</v>
      </c>
      <c r="E27" s="129">
        <v>47423</v>
      </c>
      <c r="F27" s="124">
        <v>-7368.3810000000003</v>
      </c>
      <c r="G27" s="125">
        <v>1.1250140882864855E-2</v>
      </c>
    </row>
    <row r="28" spans="1:7" x14ac:dyDescent="0.3">
      <c r="A28">
        <v>13908</v>
      </c>
      <c r="B28">
        <v>13909</v>
      </c>
      <c r="C28" t="s">
        <v>2911</v>
      </c>
      <c r="D28" s="129">
        <v>45627</v>
      </c>
      <c r="E28" s="129">
        <v>47453</v>
      </c>
      <c r="F28" s="124">
        <v>-6691.1639999999998</v>
      </c>
      <c r="G28" s="125">
        <v>1.0216157073087496E-2</v>
      </c>
    </row>
    <row r="29" spans="1:7" x14ac:dyDescent="0.3">
      <c r="A29">
        <v>13908</v>
      </c>
      <c r="B29">
        <v>13909</v>
      </c>
      <c r="C29" t="s">
        <v>2911</v>
      </c>
      <c r="D29" s="129">
        <v>45658</v>
      </c>
      <c r="E29" s="129">
        <v>47484</v>
      </c>
      <c r="F29" s="124">
        <v>-6877.8959999999997</v>
      </c>
      <c r="G29" s="125">
        <v>1.0501261943117849E-2</v>
      </c>
    </row>
    <row r="30" spans="1:7" x14ac:dyDescent="0.3">
      <c r="A30">
        <v>13908</v>
      </c>
      <c r="B30">
        <v>13909</v>
      </c>
      <c r="C30" t="s">
        <v>2911</v>
      </c>
      <c r="D30" s="129">
        <v>45689</v>
      </c>
      <c r="E30" s="129">
        <v>47515</v>
      </c>
      <c r="F30" s="124">
        <v>-1750.2529999999999</v>
      </c>
      <c r="G30" s="125">
        <v>2.6723092672130901E-3</v>
      </c>
    </row>
    <row r="31" spans="1:7" x14ac:dyDescent="0.3">
      <c r="A31">
        <v>13908</v>
      </c>
      <c r="B31">
        <v>13909</v>
      </c>
      <c r="C31" t="s">
        <v>2911</v>
      </c>
      <c r="D31" s="129">
        <v>45717</v>
      </c>
      <c r="E31" s="129">
        <v>47543</v>
      </c>
      <c r="F31" s="124">
        <v>-5993.7979999999998</v>
      </c>
      <c r="G31" s="125">
        <v>9.1514095054847991E-3</v>
      </c>
    </row>
    <row r="32" spans="1:7" x14ac:dyDescent="0.3">
      <c r="A32">
        <v>13908</v>
      </c>
      <c r="B32">
        <v>13909</v>
      </c>
      <c r="C32" t="s">
        <v>2911</v>
      </c>
      <c r="D32" s="129">
        <v>45748</v>
      </c>
      <c r="E32" s="129">
        <v>47574</v>
      </c>
      <c r="F32" s="124">
        <v>-3183.3690000000001</v>
      </c>
      <c r="G32" s="125">
        <v>4.8604095977317959E-3</v>
      </c>
    </row>
    <row r="33" spans="1:7" x14ac:dyDescent="0.3">
      <c r="A33">
        <v>13908</v>
      </c>
      <c r="B33">
        <v>13909</v>
      </c>
      <c r="C33" t="s">
        <v>2911</v>
      </c>
      <c r="D33" s="129">
        <v>45778</v>
      </c>
      <c r="E33" s="129">
        <v>47604</v>
      </c>
      <c r="F33" s="124">
        <v>-2455.6080000000002</v>
      </c>
      <c r="G33" s="125">
        <v>3.7492545449387049E-3</v>
      </c>
    </row>
    <row r="34" spans="1:7" x14ac:dyDescent="0.3">
      <c r="A34">
        <v>13908</v>
      </c>
      <c r="B34">
        <v>13909</v>
      </c>
      <c r="C34" t="s">
        <v>2911</v>
      </c>
      <c r="D34" s="129">
        <v>45809</v>
      </c>
      <c r="E34" s="129">
        <v>47635</v>
      </c>
      <c r="F34" s="124">
        <v>-6263.4830000000002</v>
      </c>
      <c r="G34" s="125">
        <v>9.5631681053719945E-3</v>
      </c>
    </row>
    <row r="35" spans="1:7" x14ac:dyDescent="0.3">
      <c r="A35">
        <v>13908</v>
      </c>
      <c r="B35">
        <v>13909</v>
      </c>
      <c r="C35" t="s">
        <v>2911</v>
      </c>
      <c r="D35" s="129">
        <v>45839</v>
      </c>
      <c r="E35" s="129">
        <v>47665</v>
      </c>
      <c r="F35" s="124">
        <v>-4887.5929999999998</v>
      </c>
      <c r="G35" s="125">
        <v>7.4624411832265565E-3</v>
      </c>
    </row>
    <row r="36" spans="1:7" x14ac:dyDescent="0.3">
      <c r="A36">
        <v>13908</v>
      </c>
      <c r="B36">
        <v>13909</v>
      </c>
      <c r="C36" t="s">
        <v>2911</v>
      </c>
      <c r="D36" s="129">
        <v>45870</v>
      </c>
      <c r="E36" s="129">
        <v>47696</v>
      </c>
      <c r="F36" s="124">
        <v>-4642.2169999999996</v>
      </c>
      <c r="G36" s="125">
        <v>7.0877978837997424E-3</v>
      </c>
    </row>
    <row r="37" spans="1:7" x14ac:dyDescent="0.3">
      <c r="A37">
        <v>13908</v>
      </c>
      <c r="B37">
        <v>13909</v>
      </c>
      <c r="C37" t="s">
        <v>2911</v>
      </c>
      <c r="D37" s="129">
        <v>45901</v>
      </c>
      <c r="E37" s="129">
        <v>47727</v>
      </c>
      <c r="F37" s="124">
        <v>-2828.7660000000001</v>
      </c>
      <c r="G37" s="125">
        <v>4.3189970801805824E-3</v>
      </c>
    </row>
    <row r="38" spans="1:7" x14ac:dyDescent="0.3">
      <c r="A38">
        <v>13908</v>
      </c>
      <c r="B38">
        <v>13909</v>
      </c>
      <c r="C38" t="s">
        <v>2911</v>
      </c>
      <c r="D38" s="129">
        <v>45931</v>
      </c>
      <c r="E38" s="129">
        <v>47757</v>
      </c>
      <c r="F38" s="124">
        <v>-820.73900000000003</v>
      </c>
      <c r="G38" s="125">
        <v>1.2531150843124992E-3</v>
      </c>
    </row>
    <row r="39" spans="1:7" x14ac:dyDescent="0.3">
      <c r="A39">
        <v>13908</v>
      </c>
      <c r="B39">
        <v>13909</v>
      </c>
      <c r="C39" t="s">
        <v>2911</v>
      </c>
      <c r="D39" s="129">
        <v>45962</v>
      </c>
      <c r="E39" s="129">
        <v>47788</v>
      </c>
      <c r="F39" s="124">
        <v>-3373.0169999999998</v>
      </c>
      <c r="G39" s="125">
        <v>5.1499666548592091E-3</v>
      </c>
    </row>
    <row r="40" spans="1:7" x14ac:dyDescent="0.3">
      <c r="A40">
        <v>13908</v>
      </c>
      <c r="B40">
        <v>13909</v>
      </c>
      <c r="C40" t="s">
        <v>2911</v>
      </c>
      <c r="D40" s="129">
        <v>45992</v>
      </c>
      <c r="E40" s="129">
        <v>47818</v>
      </c>
      <c r="F40" s="124">
        <v>-1596.1489999999999</v>
      </c>
      <c r="G40" s="125">
        <v>2.4370212561000649E-3</v>
      </c>
    </row>
    <row r="41" spans="1:7" x14ac:dyDescent="0.3">
      <c r="A41">
        <v>13908</v>
      </c>
      <c r="B41">
        <v>13909</v>
      </c>
      <c r="C41" t="s">
        <v>2911</v>
      </c>
      <c r="D41" s="129">
        <v>46023</v>
      </c>
      <c r="E41" s="129">
        <v>47849</v>
      </c>
      <c r="F41" s="124">
        <v>-2484.3679999999999</v>
      </c>
      <c r="G41" s="125">
        <v>3.7931656906559515E-3</v>
      </c>
    </row>
    <row r="42" spans="1:7" x14ac:dyDescent="0.3">
      <c r="A42">
        <v>13908</v>
      </c>
      <c r="B42">
        <v>13909</v>
      </c>
      <c r="C42" t="s">
        <v>2911</v>
      </c>
      <c r="D42" s="129">
        <v>46054</v>
      </c>
      <c r="E42" s="129">
        <v>47880</v>
      </c>
      <c r="F42" s="124">
        <v>-1067.4929999999999</v>
      </c>
      <c r="G42" s="125">
        <v>1.62986233223717E-3</v>
      </c>
    </row>
    <row r="43" spans="1:7" x14ac:dyDescent="0.3">
      <c r="A43">
        <v>13908</v>
      </c>
      <c r="B43">
        <v>13909</v>
      </c>
      <c r="C43" t="s">
        <v>2911</v>
      </c>
      <c r="D43" s="129">
        <v>46082</v>
      </c>
      <c r="E43" s="129">
        <v>47908</v>
      </c>
      <c r="F43" s="124">
        <v>-106.785</v>
      </c>
      <c r="G43" s="125">
        <v>1.630407404525802E-4</v>
      </c>
    </row>
    <row r="44" spans="1:7" x14ac:dyDescent="0.3">
      <c r="A44">
        <v>13908</v>
      </c>
      <c r="B44">
        <v>13909</v>
      </c>
      <c r="C44" t="s">
        <v>2911</v>
      </c>
      <c r="D44" s="129">
        <v>46113</v>
      </c>
      <c r="E44" s="129">
        <v>47939</v>
      </c>
      <c r="F44" s="124">
        <v>0</v>
      </c>
      <c r="G44" s="125">
        <v>0</v>
      </c>
    </row>
    <row r="45" spans="1:7" x14ac:dyDescent="0.3">
      <c r="A45">
        <v>13908</v>
      </c>
      <c r="B45">
        <v>13909</v>
      </c>
      <c r="C45" t="s">
        <v>2911</v>
      </c>
      <c r="D45" s="129">
        <v>46143</v>
      </c>
      <c r="E45" s="129">
        <v>47969</v>
      </c>
      <c r="F45" s="124">
        <v>466.93299999999999</v>
      </c>
      <c r="G45" s="125">
        <v>-7.1291943682862417E-4</v>
      </c>
    </row>
    <row r="46" spans="1:7" x14ac:dyDescent="0.3">
      <c r="A46">
        <v>13908</v>
      </c>
      <c r="B46">
        <v>13909</v>
      </c>
      <c r="C46" t="s">
        <v>2911</v>
      </c>
      <c r="D46" s="129">
        <v>46174</v>
      </c>
      <c r="E46" s="129">
        <v>48000</v>
      </c>
      <c r="F46" s="124">
        <v>826.74</v>
      </c>
      <c r="G46" s="125">
        <v>-1.2622774899261708E-3</v>
      </c>
    </row>
    <row r="47" spans="1:7" x14ac:dyDescent="0.3">
      <c r="A47">
        <v>13908</v>
      </c>
      <c r="B47">
        <v>13910</v>
      </c>
      <c r="C47" t="s">
        <v>2911</v>
      </c>
      <c r="D47" s="129">
        <v>44835</v>
      </c>
      <c r="E47" s="129">
        <v>46661</v>
      </c>
      <c r="F47" s="124">
        <v>-2967.6390000000001</v>
      </c>
      <c r="G47" s="125">
        <v>4.5310302004584416E-3</v>
      </c>
    </row>
    <row r="48" spans="1:7" x14ac:dyDescent="0.3">
      <c r="A48">
        <v>13908</v>
      </c>
      <c r="B48">
        <v>13910</v>
      </c>
      <c r="C48" t="s">
        <v>2911</v>
      </c>
      <c r="D48" s="129">
        <v>44866</v>
      </c>
      <c r="E48" s="129">
        <v>46692</v>
      </c>
      <c r="F48" s="124">
        <v>-1922.866</v>
      </c>
      <c r="G48" s="125">
        <v>2.935857062612643E-3</v>
      </c>
    </row>
    <row r="49" spans="1:7" x14ac:dyDescent="0.3">
      <c r="A49">
        <v>13908</v>
      </c>
      <c r="B49">
        <v>13910</v>
      </c>
      <c r="C49" t="s">
        <v>2911</v>
      </c>
      <c r="D49" s="129">
        <v>44896</v>
      </c>
      <c r="E49" s="129">
        <v>46722</v>
      </c>
      <c r="F49" s="124">
        <v>-2911.12</v>
      </c>
      <c r="G49" s="125">
        <v>4.4447362489705043E-3</v>
      </c>
    </row>
    <row r="50" spans="1:7" x14ac:dyDescent="0.3">
      <c r="A50">
        <v>13908</v>
      </c>
      <c r="B50">
        <v>13910</v>
      </c>
      <c r="C50" t="s">
        <v>2911</v>
      </c>
      <c r="D50" s="129">
        <v>44927</v>
      </c>
      <c r="E50" s="129">
        <v>46753</v>
      </c>
      <c r="F50" s="124">
        <v>-1860.1120000000001</v>
      </c>
      <c r="G50" s="125">
        <v>2.8400434312378132E-3</v>
      </c>
    </row>
    <row r="51" spans="1:7" x14ac:dyDescent="0.3">
      <c r="A51">
        <v>13908</v>
      </c>
      <c r="B51">
        <v>13910</v>
      </c>
      <c r="C51" t="s">
        <v>2911</v>
      </c>
      <c r="D51" s="129">
        <v>44958</v>
      </c>
      <c r="E51" s="129">
        <v>46784</v>
      </c>
      <c r="F51" s="124">
        <v>-2746.163</v>
      </c>
      <c r="G51" s="125">
        <v>4.1928777349204381E-3</v>
      </c>
    </row>
    <row r="52" spans="1:7" x14ac:dyDescent="0.3">
      <c r="A52">
        <v>13908</v>
      </c>
      <c r="B52">
        <v>13910</v>
      </c>
      <c r="C52" t="s">
        <v>2911</v>
      </c>
      <c r="D52" s="129">
        <v>44986</v>
      </c>
      <c r="E52" s="129">
        <v>46813</v>
      </c>
      <c r="F52" s="124">
        <v>-2203.2069999999999</v>
      </c>
      <c r="G52" s="125">
        <v>3.3638853832495936E-3</v>
      </c>
    </row>
    <row r="53" spans="1:7" x14ac:dyDescent="0.3">
      <c r="A53">
        <v>13908</v>
      </c>
      <c r="B53">
        <v>13910</v>
      </c>
      <c r="C53" t="s">
        <v>2911</v>
      </c>
      <c r="D53" s="129">
        <v>45017</v>
      </c>
      <c r="E53" s="129">
        <v>46844</v>
      </c>
      <c r="F53" s="124">
        <v>-1944.6669999999999</v>
      </c>
      <c r="G53" s="125">
        <v>2.9691431157343987E-3</v>
      </c>
    </row>
    <row r="54" spans="1:7" x14ac:dyDescent="0.3">
      <c r="A54">
        <v>13908</v>
      </c>
      <c r="B54">
        <v>13910</v>
      </c>
      <c r="C54" t="s">
        <v>2911</v>
      </c>
      <c r="D54" s="129">
        <v>45047</v>
      </c>
      <c r="E54" s="129">
        <v>46874</v>
      </c>
      <c r="F54" s="124">
        <v>-1709.546</v>
      </c>
      <c r="G54" s="125">
        <v>2.6101572849908383E-3</v>
      </c>
    </row>
    <row r="55" spans="1:7" x14ac:dyDescent="0.3">
      <c r="A55">
        <v>13908</v>
      </c>
      <c r="B55">
        <v>13910</v>
      </c>
      <c r="C55" t="s">
        <v>2911</v>
      </c>
      <c r="D55" s="129">
        <v>45078</v>
      </c>
      <c r="E55" s="129">
        <v>46905</v>
      </c>
      <c r="F55" s="124">
        <v>-3178.2190000000001</v>
      </c>
      <c r="G55" s="125">
        <v>4.8525465100946671E-3</v>
      </c>
    </row>
    <row r="56" spans="1:7" x14ac:dyDescent="0.3">
      <c r="A56">
        <v>13908</v>
      </c>
      <c r="B56">
        <v>13910</v>
      </c>
      <c r="C56" t="s">
        <v>2911</v>
      </c>
      <c r="D56" s="129">
        <v>45108</v>
      </c>
      <c r="E56" s="129">
        <v>46935</v>
      </c>
      <c r="F56" s="124">
        <v>-3159.9850000000001</v>
      </c>
      <c r="G56" s="125">
        <v>4.8247065994198313E-3</v>
      </c>
    </row>
    <row r="57" spans="1:7" x14ac:dyDescent="0.3">
      <c r="A57">
        <v>13908</v>
      </c>
      <c r="B57">
        <v>13910</v>
      </c>
      <c r="C57" t="s">
        <v>2911</v>
      </c>
      <c r="D57" s="129">
        <v>45139</v>
      </c>
      <c r="E57" s="129">
        <v>46966</v>
      </c>
      <c r="F57" s="124">
        <v>-3947.9549999999999</v>
      </c>
      <c r="G57" s="125">
        <v>6.0277895441631906E-3</v>
      </c>
    </row>
    <row r="58" spans="1:7" x14ac:dyDescent="0.3">
      <c r="A58">
        <v>13908</v>
      </c>
      <c r="B58">
        <v>13910</v>
      </c>
      <c r="C58" t="s">
        <v>2911</v>
      </c>
      <c r="D58" s="129">
        <v>45170</v>
      </c>
      <c r="E58" s="129">
        <v>46997</v>
      </c>
      <c r="F58" s="124">
        <v>-3908.944</v>
      </c>
      <c r="G58" s="125">
        <v>5.9682270370152238E-3</v>
      </c>
    </row>
    <row r="59" spans="1:7" x14ac:dyDescent="0.3">
      <c r="A59">
        <v>13908</v>
      </c>
      <c r="B59">
        <v>13910</v>
      </c>
      <c r="C59" t="s">
        <v>2911</v>
      </c>
      <c r="D59" s="129">
        <v>45200</v>
      </c>
      <c r="E59" s="129">
        <v>47027</v>
      </c>
      <c r="F59" s="124">
        <v>-1598.806</v>
      </c>
      <c r="G59" s="125">
        <v>2.4410779985955702E-3</v>
      </c>
    </row>
    <row r="60" spans="1:7" x14ac:dyDescent="0.3">
      <c r="A60">
        <v>13908</v>
      </c>
      <c r="B60">
        <v>13910</v>
      </c>
      <c r="C60" t="s">
        <v>2911</v>
      </c>
      <c r="D60" s="129">
        <v>45231</v>
      </c>
      <c r="E60" s="129">
        <v>47058</v>
      </c>
      <c r="F60" s="124">
        <v>-5106.2870000000003</v>
      </c>
      <c r="G60" s="125">
        <v>7.7963460546273773E-3</v>
      </c>
    </row>
    <row r="61" spans="1:7" x14ac:dyDescent="0.3">
      <c r="A61">
        <v>13908</v>
      </c>
      <c r="B61">
        <v>13910</v>
      </c>
      <c r="C61" t="s">
        <v>2911</v>
      </c>
      <c r="D61" s="129">
        <v>45261</v>
      </c>
      <c r="E61" s="129">
        <v>47088</v>
      </c>
      <c r="F61" s="124">
        <v>-3902.3530000000001</v>
      </c>
      <c r="G61" s="125">
        <v>5.9581638116528324E-3</v>
      </c>
    </row>
    <row r="62" spans="1:7" x14ac:dyDescent="0.3">
      <c r="A62">
        <v>13908</v>
      </c>
      <c r="B62">
        <v>13910</v>
      </c>
      <c r="C62" t="s">
        <v>2911</v>
      </c>
      <c r="D62" s="129">
        <v>45292</v>
      </c>
      <c r="E62" s="129">
        <v>47119</v>
      </c>
      <c r="F62" s="124">
        <v>-1651.508</v>
      </c>
      <c r="G62" s="125">
        <v>2.5215441043532315E-3</v>
      </c>
    </row>
    <row r="63" spans="1:7" x14ac:dyDescent="0.3">
      <c r="A63">
        <v>13908</v>
      </c>
      <c r="B63">
        <v>13910</v>
      </c>
      <c r="C63" t="s">
        <v>2911</v>
      </c>
      <c r="D63" s="129">
        <v>45323</v>
      </c>
      <c r="E63" s="129">
        <v>47150</v>
      </c>
      <c r="F63" s="124">
        <v>-3587.0929999999998</v>
      </c>
      <c r="G63" s="125">
        <v>5.4768207032098821E-3</v>
      </c>
    </row>
    <row r="64" spans="1:7" x14ac:dyDescent="0.3">
      <c r="A64">
        <v>13908</v>
      </c>
      <c r="B64">
        <v>13910</v>
      </c>
      <c r="C64" t="s">
        <v>2911</v>
      </c>
      <c r="D64" s="129">
        <v>45352</v>
      </c>
      <c r="E64" s="129">
        <v>47178</v>
      </c>
      <c r="F64" s="124">
        <v>-2531.8330000000001</v>
      </c>
      <c r="G64" s="125">
        <v>3.8656358760338766E-3</v>
      </c>
    </row>
    <row r="65" spans="1:7" x14ac:dyDescent="0.3">
      <c r="A65">
        <v>13908</v>
      </c>
      <c r="B65">
        <v>13910</v>
      </c>
      <c r="C65" t="s">
        <v>2911</v>
      </c>
      <c r="D65" s="129">
        <v>45383</v>
      </c>
      <c r="E65" s="129">
        <v>47209</v>
      </c>
      <c r="F65" s="124">
        <v>-4197.8119999999999</v>
      </c>
      <c r="G65" s="125">
        <v>6.409274493240873E-3</v>
      </c>
    </row>
    <row r="66" spans="1:7" x14ac:dyDescent="0.3">
      <c r="A66">
        <v>13908</v>
      </c>
      <c r="B66">
        <v>13910</v>
      </c>
      <c r="C66" t="s">
        <v>2911</v>
      </c>
      <c r="D66" s="129">
        <v>45413</v>
      </c>
      <c r="E66" s="129">
        <v>47239</v>
      </c>
      <c r="F66" s="124">
        <v>-2257.732</v>
      </c>
      <c r="G66" s="125">
        <v>3.4471348693494853E-3</v>
      </c>
    </row>
    <row r="67" spans="1:7" x14ac:dyDescent="0.3">
      <c r="A67">
        <v>13908</v>
      </c>
      <c r="B67">
        <v>13910</v>
      </c>
      <c r="C67" t="s">
        <v>2911</v>
      </c>
      <c r="D67" s="129">
        <v>45444</v>
      </c>
      <c r="E67" s="129">
        <v>47270</v>
      </c>
      <c r="F67" s="124">
        <v>-4373.1809999999996</v>
      </c>
      <c r="G67" s="125">
        <v>6.6770301856361389E-3</v>
      </c>
    </row>
    <row r="68" spans="1:7" x14ac:dyDescent="0.3">
      <c r="A68">
        <v>13908</v>
      </c>
      <c r="B68">
        <v>13910</v>
      </c>
      <c r="C68" t="s">
        <v>2911</v>
      </c>
      <c r="D68" s="129">
        <v>45474</v>
      </c>
      <c r="E68" s="129">
        <v>47300</v>
      </c>
      <c r="F68" s="124">
        <v>-4470.7349999999997</v>
      </c>
      <c r="G68" s="125">
        <v>6.8259769140540912E-3</v>
      </c>
    </row>
    <row r="69" spans="1:7" x14ac:dyDescent="0.3">
      <c r="A69">
        <v>13908</v>
      </c>
      <c r="B69">
        <v>13910</v>
      </c>
      <c r="C69" t="s">
        <v>2911</v>
      </c>
      <c r="D69" s="129">
        <v>45505</v>
      </c>
      <c r="E69" s="129">
        <v>47331</v>
      </c>
      <c r="F69" s="124">
        <v>-4024.4870000000001</v>
      </c>
      <c r="G69" s="125">
        <v>6.1446396068903231E-3</v>
      </c>
    </row>
    <row r="70" spans="1:7" x14ac:dyDescent="0.3">
      <c r="A70">
        <v>13908</v>
      </c>
      <c r="B70">
        <v>13910</v>
      </c>
      <c r="C70" t="s">
        <v>2911</v>
      </c>
      <c r="D70" s="129">
        <v>45536</v>
      </c>
      <c r="E70" s="129">
        <v>47362</v>
      </c>
      <c r="F70" s="124">
        <v>-5523.42</v>
      </c>
      <c r="G70" s="125">
        <v>8.4332301974115332E-3</v>
      </c>
    </row>
    <row r="71" spans="1:7" x14ac:dyDescent="0.3">
      <c r="A71">
        <v>13908</v>
      </c>
      <c r="B71">
        <v>13910</v>
      </c>
      <c r="C71" t="s">
        <v>2911</v>
      </c>
      <c r="D71" s="129">
        <v>45566</v>
      </c>
      <c r="E71" s="129">
        <v>47392</v>
      </c>
      <c r="F71" s="124">
        <v>-4047.6660000000002</v>
      </c>
      <c r="G71" s="125">
        <v>6.1800296085099361E-3</v>
      </c>
    </row>
    <row r="72" spans="1:7" x14ac:dyDescent="0.3">
      <c r="A72">
        <v>13908</v>
      </c>
      <c r="B72">
        <v>13910</v>
      </c>
      <c r="C72" t="s">
        <v>2911</v>
      </c>
      <c r="D72" s="129">
        <v>45597</v>
      </c>
      <c r="E72" s="129">
        <v>47423</v>
      </c>
      <c r="F72" s="124">
        <v>-4062.3110000000001</v>
      </c>
      <c r="G72" s="125">
        <v>6.2023897868489167E-3</v>
      </c>
    </row>
    <row r="73" spans="1:7" x14ac:dyDescent="0.3">
      <c r="A73">
        <v>13908</v>
      </c>
      <c r="B73">
        <v>13910</v>
      </c>
      <c r="C73" t="s">
        <v>2911</v>
      </c>
      <c r="D73" s="129">
        <v>45627</v>
      </c>
      <c r="E73" s="129">
        <v>47453</v>
      </c>
      <c r="F73" s="124">
        <v>-4462.2430000000004</v>
      </c>
      <c r="G73" s="125">
        <v>6.8130112169250637E-3</v>
      </c>
    </row>
    <row r="74" spans="1:7" x14ac:dyDescent="0.3">
      <c r="A74">
        <v>13908</v>
      </c>
      <c r="B74">
        <v>13910</v>
      </c>
      <c r="C74" t="s">
        <v>2911</v>
      </c>
      <c r="D74" s="129">
        <v>45658</v>
      </c>
      <c r="E74" s="129">
        <v>47484</v>
      </c>
      <c r="F74" s="124">
        <v>-3300.0010000000002</v>
      </c>
      <c r="G74" s="125">
        <v>5.0384848671091928E-3</v>
      </c>
    </row>
    <row r="75" spans="1:7" x14ac:dyDescent="0.3">
      <c r="A75">
        <v>13908</v>
      </c>
      <c r="B75">
        <v>13910</v>
      </c>
      <c r="C75" t="s">
        <v>2911</v>
      </c>
      <c r="D75" s="129">
        <v>45689</v>
      </c>
      <c r="E75" s="129">
        <v>47515</v>
      </c>
      <c r="F75" s="124">
        <v>-2299.6480000000001</v>
      </c>
      <c r="G75" s="125">
        <v>3.5111327686500461E-3</v>
      </c>
    </row>
    <row r="76" spans="1:7" x14ac:dyDescent="0.3">
      <c r="A76">
        <v>13908</v>
      </c>
      <c r="B76">
        <v>13910</v>
      </c>
      <c r="C76" t="s">
        <v>2911</v>
      </c>
      <c r="D76" s="129">
        <v>45717</v>
      </c>
      <c r="E76" s="129">
        <v>47543</v>
      </c>
      <c r="F76" s="124">
        <v>-2212.498</v>
      </c>
      <c r="G76" s="125">
        <v>3.3780710040722272E-3</v>
      </c>
    </row>
    <row r="77" spans="1:7" x14ac:dyDescent="0.3">
      <c r="A77">
        <v>13908</v>
      </c>
      <c r="B77">
        <v>13910</v>
      </c>
      <c r="C77" t="s">
        <v>2911</v>
      </c>
      <c r="D77" s="129">
        <v>45748</v>
      </c>
      <c r="E77" s="129">
        <v>47574</v>
      </c>
      <c r="F77" s="124">
        <v>-1938.38</v>
      </c>
      <c r="G77" s="125">
        <v>2.9595440415645683E-3</v>
      </c>
    </row>
    <row r="78" spans="1:7" x14ac:dyDescent="0.3">
      <c r="A78">
        <v>13908</v>
      </c>
      <c r="B78">
        <v>13910</v>
      </c>
      <c r="C78" t="s">
        <v>2911</v>
      </c>
      <c r="D78" s="129">
        <v>45778</v>
      </c>
      <c r="E78" s="129">
        <v>47604</v>
      </c>
      <c r="F78" s="124">
        <v>-2325.3090000000002</v>
      </c>
      <c r="G78" s="125">
        <v>3.5503123204668153E-3</v>
      </c>
    </row>
    <row r="79" spans="1:7" x14ac:dyDescent="0.3">
      <c r="A79">
        <v>13908</v>
      </c>
      <c r="B79">
        <v>13910</v>
      </c>
      <c r="C79" t="s">
        <v>2911</v>
      </c>
      <c r="D79" s="129">
        <v>45809</v>
      </c>
      <c r="E79" s="129">
        <v>47635</v>
      </c>
      <c r="F79" s="124">
        <v>-4651.8249999999998</v>
      </c>
      <c r="G79" s="125">
        <v>7.1024675043856707E-3</v>
      </c>
    </row>
    <row r="80" spans="1:7" x14ac:dyDescent="0.3">
      <c r="A80">
        <v>13908</v>
      </c>
      <c r="B80">
        <v>13910</v>
      </c>
      <c r="C80" t="s">
        <v>2911</v>
      </c>
      <c r="D80" s="129">
        <v>45839</v>
      </c>
      <c r="E80" s="129">
        <v>47665</v>
      </c>
      <c r="F80" s="124">
        <v>-2695.5210000000002</v>
      </c>
      <c r="G80" s="125">
        <v>4.1155568642176283E-3</v>
      </c>
    </row>
    <row r="81" spans="1:7" x14ac:dyDescent="0.3">
      <c r="A81">
        <v>13908</v>
      </c>
      <c r="B81">
        <v>13910</v>
      </c>
      <c r="C81" t="s">
        <v>2911</v>
      </c>
      <c r="D81" s="129">
        <v>45870</v>
      </c>
      <c r="E81" s="129">
        <v>47696</v>
      </c>
      <c r="F81" s="124">
        <v>-2788.5720000000001</v>
      </c>
      <c r="G81" s="125">
        <v>4.2576283530957769E-3</v>
      </c>
    </row>
    <row r="82" spans="1:7" x14ac:dyDescent="0.3">
      <c r="A82">
        <v>13908</v>
      </c>
      <c r="B82">
        <v>13910</v>
      </c>
      <c r="C82" t="s">
        <v>2911</v>
      </c>
      <c r="D82" s="129">
        <v>45901</v>
      </c>
      <c r="E82" s="129">
        <v>47727</v>
      </c>
      <c r="F82" s="124">
        <v>-1349.856</v>
      </c>
      <c r="G82" s="125">
        <v>2.0609778690299022E-3</v>
      </c>
    </row>
    <row r="83" spans="1:7" x14ac:dyDescent="0.3">
      <c r="A83">
        <v>13908</v>
      </c>
      <c r="B83">
        <v>13910</v>
      </c>
      <c r="C83" t="s">
        <v>2911</v>
      </c>
      <c r="D83" s="129">
        <v>45931</v>
      </c>
      <c r="E83" s="129">
        <v>47757</v>
      </c>
      <c r="F83" s="124">
        <v>-1113.0170000000001</v>
      </c>
      <c r="G83" s="125">
        <v>1.699368973323121E-3</v>
      </c>
    </row>
    <row r="84" spans="1:7" x14ac:dyDescent="0.3">
      <c r="A84">
        <v>13908</v>
      </c>
      <c r="B84">
        <v>13910</v>
      </c>
      <c r="C84" t="s">
        <v>2911</v>
      </c>
      <c r="D84" s="129">
        <v>45962</v>
      </c>
      <c r="E84" s="129">
        <v>47788</v>
      </c>
      <c r="F84" s="124">
        <v>-1274.1389999999999</v>
      </c>
      <c r="G84" s="125">
        <v>1.945372159006509E-3</v>
      </c>
    </row>
    <row r="85" spans="1:7" x14ac:dyDescent="0.3">
      <c r="A85">
        <v>13908</v>
      </c>
      <c r="B85">
        <v>13910</v>
      </c>
      <c r="C85" t="s">
        <v>2911</v>
      </c>
      <c r="D85" s="129">
        <v>45992</v>
      </c>
      <c r="E85" s="129">
        <v>47818</v>
      </c>
      <c r="F85" s="124">
        <v>-688.26400000000001</v>
      </c>
      <c r="G85" s="125">
        <v>1.0508505144622808E-3</v>
      </c>
    </row>
    <row r="86" spans="1:7" x14ac:dyDescent="0.3">
      <c r="A86">
        <v>13908</v>
      </c>
      <c r="B86">
        <v>13910</v>
      </c>
      <c r="C86" t="s">
        <v>2911</v>
      </c>
      <c r="D86" s="129">
        <v>46023</v>
      </c>
      <c r="E86" s="129">
        <v>47849</v>
      </c>
      <c r="F86" s="124">
        <v>-1021.4880000000001</v>
      </c>
      <c r="G86" s="125">
        <v>1.5596212940340427E-3</v>
      </c>
    </row>
    <row r="87" spans="1:7" x14ac:dyDescent="0.3">
      <c r="A87">
        <v>13908</v>
      </c>
      <c r="B87">
        <v>13910</v>
      </c>
      <c r="C87" t="s">
        <v>2911</v>
      </c>
      <c r="D87" s="129">
        <v>46054</v>
      </c>
      <c r="E87" s="129">
        <v>47880</v>
      </c>
      <c r="F87" s="124">
        <v>-416.73099999999999</v>
      </c>
      <c r="G87" s="125">
        <v>6.3627036390452032E-4</v>
      </c>
    </row>
    <row r="88" spans="1:7" x14ac:dyDescent="0.3">
      <c r="A88">
        <v>13908</v>
      </c>
      <c r="B88">
        <v>13910</v>
      </c>
      <c r="C88" t="s">
        <v>2911</v>
      </c>
      <c r="D88" s="129">
        <v>46082</v>
      </c>
      <c r="E88" s="129">
        <v>47908</v>
      </c>
      <c r="F88" s="124">
        <v>-112.81</v>
      </c>
      <c r="G88" s="125">
        <v>1.7223978958145407E-4</v>
      </c>
    </row>
    <row r="89" spans="1:7" x14ac:dyDescent="0.3">
      <c r="A89">
        <v>13908</v>
      </c>
      <c r="B89">
        <v>13910</v>
      </c>
      <c r="C89" t="s">
        <v>2911</v>
      </c>
      <c r="D89" s="129">
        <v>46113</v>
      </c>
      <c r="E89" s="129">
        <v>47939</v>
      </c>
      <c r="F89" s="124">
        <v>0</v>
      </c>
      <c r="G89" s="125">
        <v>0</v>
      </c>
    </row>
    <row r="90" spans="1:7" x14ac:dyDescent="0.3">
      <c r="A90">
        <v>13908</v>
      </c>
      <c r="B90">
        <v>13910</v>
      </c>
      <c r="C90" t="s">
        <v>2911</v>
      </c>
      <c r="D90" s="129">
        <v>46143</v>
      </c>
      <c r="E90" s="129">
        <v>47969</v>
      </c>
      <c r="F90" s="124">
        <v>184.917</v>
      </c>
      <c r="G90" s="125">
        <v>-2.8233370419318983E-4</v>
      </c>
    </row>
    <row r="91" spans="1:7" x14ac:dyDescent="0.3">
      <c r="A91">
        <v>13908</v>
      </c>
      <c r="B91">
        <v>13910</v>
      </c>
      <c r="C91" t="s">
        <v>2911</v>
      </c>
      <c r="D91" s="129">
        <v>46174</v>
      </c>
      <c r="E91" s="129">
        <v>48000</v>
      </c>
      <c r="F91" s="124">
        <v>412.74200000000002</v>
      </c>
      <c r="G91" s="125">
        <v>-6.3017990631529584E-4</v>
      </c>
    </row>
    <row r="92" spans="1:7" x14ac:dyDescent="0.3">
      <c r="A92">
        <v>13908</v>
      </c>
      <c r="B92">
        <v>13911</v>
      </c>
      <c r="C92" t="s">
        <v>2911</v>
      </c>
      <c r="D92" s="129">
        <v>44835</v>
      </c>
      <c r="E92" s="129">
        <v>46661</v>
      </c>
      <c r="F92" s="124">
        <v>-453.32100000000003</v>
      </c>
      <c r="G92" s="125">
        <v>6.9213645645646972E-4</v>
      </c>
    </row>
    <row r="93" spans="1:7" x14ac:dyDescent="0.3">
      <c r="A93">
        <v>13908</v>
      </c>
      <c r="B93">
        <v>13911</v>
      </c>
      <c r="C93" t="s">
        <v>2911</v>
      </c>
      <c r="D93" s="129">
        <v>44866</v>
      </c>
      <c r="E93" s="129">
        <v>46692</v>
      </c>
      <c r="F93" s="124">
        <v>-517.72699999999998</v>
      </c>
      <c r="G93" s="125">
        <v>7.9047238312771441E-4</v>
      </c>
    </row>
    <row r="94" spans="1:7" x14ac:dyDescent="0.3">
      <c r="A94">
        <v>13908</v>
      </c>
      <c r="B94">
        <v>13911</v>
      </c>
      <c r="C94" t="s">
        <v>2911</v>
      </c>
      <c r="D94" s="129">
        <v>44896</v>
      </c>
      <c r="E94" s="129">
        <v>46722</v>
      </c>
      <c r="F94" s="124">
        <v>-634.09799999999996</v>
      </c>
      <c r="G94" s="125">
        <v>9.6814915427728796E-4</v>
      </c>
    </row>
    <row r="95" spans="1:7" x14ac:dyDescent="0.3">
      <c r="A95">
        <v>13908</v>
      </c>
      <c r="B95">
        <v>13911</v>
      </c>
      <c r="C95" t="s">
        <v>2911</v>
      </c>
      <c r="D95" s="129">
        <v>44927</v>
      </c>
      <c r="E95" s="129">
        <v>46753</v>
      </c>
      <c r="F95" s="124">
        <v>-1106.404</v>
      </c>
      <c r="G95" s="125">
        <v>1.6892721580717943E-3</v>
      </c>
    </row>
    <row r="96" spans="1:7" x14ac:dyDescent="0.3">
      <c r="A96">
        <v>13908</v>
      </c>
      <c r="B96">
        <v>13911</v>
      </c>
      <c r="C96" t="s">
        <v>2911</v>
      </c>
      <c r="D96" s="129">
        <v>44958</v>
      </c>
      <c r="E96" s="129">
        <v>46784</v>
      </c>
      <c r="F96" s="124">
        <v>-908.93700000000001</v>
      </c>
      <c r="G96" s="125">
        <v>1.3877769490541452E-3</v>
      </c>
    </row>
    <row r="97" spans="1:7" x14ac:dyDescent="0.3">
      <c r="A97">
        <v>13908</v>
      </c>
      <c r="B97">
        <v>13911</v>
      </c>
      <c r="C97" t="s">
        <v>2911</v>
      </c>
      <c r="D97" s="129">
        <v>44986</v>
      </c>
      <c r="E97" s="129">
        <v>46813</v>
      </c>
      <c r="F97" s="124">
        <v>-537.62</v>
      </c>
      <c r="G97" s="125">
        <v>8.2084527679089918E-4</v>
      </c>
    </row>
    <row r="98" spans="1:7" x14ac:dyDescent="0.3">
      <c r="A98">
        <v>13908</v>
      </c>
      <c r="B98">
        <v>13911</v>
      </c>
      <c r="C98" t="s">
        <v>2911</v>
      </c>
      <c r="D98" s="129">
        <v>45017</v>
      </c>
      <c r="E98" s="129">
        <v>46844</v>
      </c>
      <c r="F98" s="124">
        <v>-481.79599999999999</v>
      </c>
      <c r="G98" s="125">
        <v>7.3561246043069093E-4</v>
      </c>
    </row>
    <row r="99" spans="1:7" x14ac:dyDescent="0.3">
      <c r="A99">
        <v>13908</v>
      </c>
      <c r="B99">
        <v>13911</v>
      </c>
      <c r="C99" t="s">
        <v>2911</v>
      </c>
      <c r="D99" s="129">
        <v>45047</v>
      </c>
      <c r="E99" s="129">
        <v>46874</v>
      </c>
      <c r="F99" s="124">
        <v>-2.92</v>
      </c>
      <c r="G99" s="125">
        <v>4.4582943495953006E-6</v>
      </c>
    </row>
    <row r="100" spans="1:7" x14ac:dyDescent="0.3">
      <c r="A100">
        <v>13908</v>
      </c>
      <c r="B100">
        <v>13911</v>
      </c>
      <c r="C100" t="s">
        <v>2911</v>
      </c>
      <c r="D100" s="129">
        <v>45078</v>
      </c>
      <c r="E100" s="129">
        <v>46905</v>
      </c>
      <c r="F100" s="124">
        <v>-740.03200000000004</v>
      </c>
      <c r="G100" s="125">
        <v>1.1298905767533254E-3</v>
      </c>
    </row>
    <row r="101" spans="1:7" x14ac:dyDescent="0.3">
      <c r="A101">
        <v>13908</v>
      </c>
      <c r="B101">
        <v>13911</v>
      </c>
      <c r="C101" t="s">
        <v>2911</v>
      </c>
      <c r="D101" s="129">
        <v>45108</v>
      </c>
      <c r="E101" s="129">
        <v>46935</v>
      </c>
      <c r="F101" s="124">
        <v>-631.76499999999999</v>
      </c>
      <c r="G101" s="125">
        <v>9.6458709923701199E-4</v>
      </c>
    </row>
    <row r="102" spans="1:7" x14ac:dyDescent="0.3">
      <c r="A102">
        <v>13908</v>
      </c>
      <c r="B102">
        <v>13911</v>
      </c>
      <c r="C102" t="s">
        <v>2911</v>
      </c>
      <c r="D102" s="129">
        <v>45139</v>
      </c>
      <c r="E102" s="129">
        <v>46966</v>
      </c>
      <c r="F102" s="124">
        <v>-765.79399999999998</v>
      </c>
      <c r="G102" s="125">
        <v>1.1692243366965697E-3</v>
      </c>
    </row>
    <row r="103" spans="1:7" x14ac:dyDescent="0.3">
      <c r="A103">
        <v>13908</v>
      </c>
      <c r="B103">
        <v>13911</v>
      </c>
      <c r="C103" t="s">
        <v>2911</v>
      </c>
      <c r="D103" s="129">
        <v>45170</v>
      </c>
      <c r="E103" s="129">
        <v>46997</v>
      </c>
      <c r="F103" s="124">
        <v>-1241.816</v>
      </c>
      <c r="G103" s="125">
        <v>1.8960209780948761E-3</v>
      </c>
    </row>
    <row r="104" spans="1:7" x14ac:dyDescent="0.3">
      <c r="A104">
        <v>13908</v>
      </c>
      <c r="B104">
        <v>13911</v>
      </c>
      <c r="C104" t="s">
        <v>2911</v>
      </c>
      <c r="D104" s="129">
        <v>45200</v>
      </c>
      <c r="E104" s="129">
        <v>47027</v>
      </c>
      <c r="F104" s="124">
        <v>-756.17899999999997</v>
      </c>
      <c r="G104" s="125">
        <v>1.154544028418707E-3</v>
      </c>
    </row>
    <row r="105" spans="1:7" x14ac:dyDescent="0.3">
      <c r="A105">
        <v>13908</v>
      </c>
      <c r="B105">
        <v>13911</v>
      </c>
      <c r="C105" t="s">
        <v>2911</v>
      </c>
      <c r="D105" s="129">
        <v>45231</v>
      </c>
      <c r="E105" s="129">
        <v>47058</v>
      </c>
      <c r="F105" s="124">
        <v>-1536.252</v>
      </c>
      <c r="G105" s="125">
        <v>2.3455697298474247E-3</v>
      </c>
    </row>
    <row r="106" spans="1:7" x14ac:dyDescent="0.3">
      <c r="A106">
        <v>13908</v>
      </c>
      <c r="B106">
        <v>13911</v>
      </c>
      <c r="C106" t="s">
        <v>2911</v>
      </c>
      <c r="D106" s="129">
        <v>45261</v>
      </c>
      <c r="E106" s="129">
        <v>47088</v>
      </c>
      <c r="F106" s="124">
        <v>-564.21199999999999</v>
      </c>
      <c r="G106" s="125">
        <v>8.6144629163488484E-4</v>
      </c>
    </row>
    <row r="107" spans="1:7" x14ac:dyDescent="0.3">
      <c r="A107">
        <v>13908</v>
      </c>
      <c r="B107">
        <v>13911</v>
      </c>
      <c r="C107" t="s">
        <v>2911</v>
      </c>
      <c r="D107" s="129">
        <v>45292</v>
      </c>
      <c r="E107" s="129">
        <v>47119</v>
      </c>
      <c r="F107" s="124">
        <v>-674.81700000000001</v>
      </c>
      <c r="G107" s="125">
        <v>1.0303194582571412E-3</v>
      </c>
    </row>
    <row r="108" spans="1:7" x14ac:dyDescent="0.3">
      <c r="A108">
        <v>13908</v>
      </c>
      <c r="B108">
        <v>13911</v>
      </c>
      <c r="C108" t="s">
        <v>2911</v>
      </c>
      <c r="D108" s="129">
        <v>45323</v>
      </c>
      <c r="E108" s="129">
        <v>47150</v>
      </c>
      <c r="F108" s="124">
        <v>-718.18700000000001</v>
      </c>
      <c r="G108" s="125">
        <v>1.0965373438536988E-3</v>
      </c>
    </row>
    <row r="109" spans="1:7" x14ac:dyDescent="0.3">
      <c r="A109">
        <v>13908</v>
      </c>
      <c r="B109">
        <v>13911</v>
      </c>
      <c r="C109" t="s">
        <v>2911</v>
      </c>
      <c r="D109" s="129">
        <v>45352</v>
      </c>
      <c r="E109" s="129">
        <v>47178</v>
      </c>
      <c r="F109" s="124">
        <v>-1010.088</v>
      </c>
      <c r="G109" s="125">
        <v>1.5422156243130199E-3</v>
      </c>
    </row>
    <row r="110" spans="1:7" x14ac:dyDescent="0.3">
      <c r="A110">
        <v>13908</v>
      </c>
      <c r="B110">
        <v>13911</v>
      </c>
      <c r="C110" t="s">
        <v>2911</v>
      </c>
      <c r="D110" s="129">
        <v>45383</v>
      </c>
      <c r="E110" s="129">
        <v>47209</v>
      </c>
      <c r="F110" s="124">
        <v>-1281.2929999999999</v>
      </c>
      <c r="G110" s="125">
        <v>1.9562949801630175E-3</v>
      </c>
    </row>
    <row r="111" spans="1:7" x14ac:dyDescent="0.3">
      <c r="A111">
        <v>13908</v>
      </c>
      <c r="B111">
        <v>13911</v>
      </c>
      <c r="C111" t="s">
        <v>2911</v>
      </c>
      <c r="D111" s="129">
        <v>45413</v>
      </c>
      <c r="E111" s="129">
        <v>47239</v>
      </c>
      <c r="F111" s="124">
        <v>-1056.557</v>
      </c>
      <c r="G111" s="125">
        <v>1.6131651038100556E-3</v>
      </c>
    </row>
    <row r="112" spans="1:7" x14ac:dyDescent="0.3">
      <c r="A112">
        <v>13908</v>
      </c>
      <c r="B112">
        <v>13911</v>
      </c>
      <c r="C112" t="s">
        <v>2911</v>
      </c>
      <c r="D112" s="129">
        <v>45444</v>
      </c>
      <c r="E112" s="129">
        <v>47270</v>
      </c>
      <c r="F112" s="124">
        <v>-974.49300000000005</v>
      </c>
      <c r="G112" s="125">
        <v>1.4878687108288266E-3</v>
      </c>
    </row>
    <row r="113" spans="1:7" x14ac:dyDescent="0.3">
      <c r="A113">
        <v>13908</v>
      </c>
      <c r="B113">
        <v>13911</v>
      </c>
      <c r="C113" t="s">
        <v>2911</v>
      </c>
      <c r="D113" s="129">
        <v>45474</v>
      </c>
      <c r="E113" s="129">
        <v>47300</v>
      </c>
      <c r="F113" s="124">
        <v>-1704.6369999999999</v>
      </c>
      <c r="G113" s="125">
        <v>2.6026621593188645E-3</v>
      </c>
    </row>
    <row r="114" spans="1:7" x14ac:dyDescent="0.3">
      <c r="A114">
        <v>13908</v>
      </c>
      <c r="B114">
        <v>13911</v>
      </c>
      <c r="C114" t="s">
        <v>2911</v>
      </c>
      <c r="D114" s="129">
        <v>45505</v>
      </c>
      <c r="E114" s="129">
        <v>47331</v>
      </c>
      <c r="F114" s="124">
        <v>-1075.385</v>
      </c>
      <c r="G114" s="125">
        <v>1.6419119414861447E-3</v>
      </c>
    </row>
    <row r="115" spans="1:7" x14ac:dyDescent="0.3">
      <c r="A115">
        <v>13908</v>
      </c>
      <c r="B115">
        <v>13911</v>
      </c>
      <c r="C115" t="s">
        <v>2911</v>
      </c>
      <c r="D115" s="129">
        <v>45536</v>
      </c>
      <c r="E115" s="129">
        <v>47362</v>
      </c>
      <c r="F115" s="124">
        <v>-1858.654</v>
      </c>
      <c r="G115" s="125">
        <v>2.8378173376892822E-3</v>
      </c>
    </row>
    <row r="116" spans="1:7" x14ac:dyDescent="0.3">
      <c r="A116">
        <v>13908</v>
      </c>
      <c r="B116">
        <v>13911</v>
      </c>
      <c r="C116" t="s">
        <v>2911</v>
      </c>
      <c r="D116" s="129">
        <v>45566</v>
      </c>
      <c r="E116" s="129">
        <v>47392</v>
      </c>
      <c r="F116" s="124">
        <v>-843.71299999999997</v>
      </c>
      <c r="G116" s="125">
        <v>1.2881920892397602E-3</v>
      </c>
    </row>
    <row r="117" spans="1:7" x14ac:dyDescent="0.3">
      <c r="A117">
        <v>13908</v>
      </c>
      <c r="B117">
        <v>13911</v>
      </c>
      <c r="C117" t="s">
        <v>2911</v>
      </c>
      <c r="D117" s="129">
        <v>45597</v>
      </c>
      <c r="E117" s="129">
        <v>47423</v>
      </c>
      <c r="F117" s="124">
        <v>-1541.7929999999999</v>
      </c>
      <c r="G117" s="125">
        <v>2.3540298014197215E-3</v>
      </c>
    </row>
    <row r="118" spans="1:7" x14ac:dyDescent="0.3">
      <c r="A118">
        <v>13908</v>
      </c>
      <c r="B118">
        <v>13911</v>
      </c>
      <c r="C118" t="s">
        <v>2911</v>
      </c>
      <c r="D118" s="129">
        <v>45627</v>
      </c>
      <c r="E118" s="129">
        <v>47453</v>
      </c>
      <c r="F118" s="124">
        <v>-1390.4069999999999</v>
      </c>
      <c r="G118" s="125">
        <v>2.1228916684033401E-3</v>
      </c>
    </row>
    <row r="119" spans="1:7" ht="15" x14ac:dyDescent="0.25">
      <c r="A119">
        <v>13908</v>
      </c>
      <c r="B119">
        <v>13911</v>
      </c>
      <c r="C119" t="s">
        <v>2911</v>
      </c>
      <c r="D119" s="129">
        <v>45658</v>
      </c>
      <c r="E119" s="129">
        <v>47484</v>
      </c>
      <c r="F119" s="124">
        <v>-1840.748</v>
      </c>
      <c r="G119" s="125">
        <v>2.8104782217222091E-3</v>
      </c>
    </row>
    <row r="120" spans="1:7" ht="15" x14ac:dyDescent="0.25">
      <c r="A120">
        <v>13908</v>
      </c>
      <c r="B120">
        <v>13911</v>
      </c>
      <c r="C120" t="s">
        <v>2911</v>
      </c>
      <c r="D120" s="129">
        <v>45689</v>
      </c>
      <c r="E120" s="129">
        <v>47515</v>
      </c>
      <c r="F120" s="124">
        <v>-687.67899999999997</v>
      </c>
      <c r="G120" s="125">
        <v>1.0499573287792283E-3</v>
      </c>
    </row>
    <row r="121" spans="1:7" ht="15" x14ac:dyDescent="0.25">
      <c r="A121">
        <v>13908</v>
      </c>
      <c r="B121">
        <v>13911</v>
      </c>
      <c r="C121" t="s">
        <v>2911</v>
      </c>
      <c r="D121" s="129">
        <v>45717</v>
      </c>
      <c r="E121" s="129">
        <v>47543</v>
      </c>
      <c r="F121" s="124">
        <v>-1296.5709999999999</v>
      </c>
      <c r="G121" s="125">
        <v>1.9796216312154549E-3</v>
      </c>
    </row>
    <row r="122" spans="1:7" ht="15" x14ac:dyDescent="0.25">
      <c r="A122">
        <v>13908</v>
      </c>
      <c r="B122">
        <v>13911</v>
      </c>
      <c r="C122" t="s">
        <v>2911</v>
      </c>
      <c r="D122" s="129">
        <v>45748</v>
      </c>
      <c r="E122" s="129">
        <v>47574</v>
      </c>
      <c r="F122" s="124">
        <v>-1561.114</v>
      </c>
      <c r="G122" s="125">
        <v>2.3835293579705886E-3</v>
      </c>
    </row>
    <row r="123" spans="1:7" ht="15" x14ac:dyDescent="0.25">
      <c r="A123">
        <v>13908</v>
      </c>
      <c r="B123">
        <v>13911</v>
      </c>
      <c r="C123" t="s">
        <v>2911</v>
      </c>
      <c r="D123" s="129">
        <v>45778</v>
      </c>
      <c r="E123" s="129">
        <v>47604</v>
      </c>
      <c r="F123" s="124">
        <v>-1307.3040000000001</v>
      </c>
      <c r="G123" s="125">
        <v>1.9960089165764849E-3</v>
      </c>
    </row>
    <row r="124" spans="1:7" ht="15" x14ac:dyDescent="0.25">
      <c r="A124">
        <v>13908</v>
      </c>
      <c r="B124">
        <v>13911</v>
      </c>
      <c r="C124" t="s">
        <v>2911</v>
      </c>
      <c r="D124" s="129">
        <v>45809</v>
      </c>
      <c r="E124" s="129">
        <v>47635</v>
      </c>
      <c r="F124" s="124">
        <v>-1364.1289999999999</v>
      </c>
      <c r="G124" s="125">
        <v>2.0827700728832492E-3</v>
      </c>
    </row>
    <row r="125" spans="1:7" ht="15" x14ac:dyDescent="0.25">
      <c r="A125">
        <v>13908</v>
      </c>
      <c r="B125">
        <v>13911</v>
      </c>
      <c r="C125" t="s">
        <v>2911</v>
      </c>
      <c r="D125" s="129">
        <v>45839</v>
      </c>
      <c r="E125" s="129">
        <v>47665</v>
      </c>
      <c r="F125" s="124">
        <v>-912.24199999999996</v>
      </c>
      <c r="G125" s="125">
        <v>1.3928230664601083E-3</v>
      </c>
    </row>
    <row r="126" spans="1:7" ht="15" x14ac:dyDescent="0.25">
      <c r="A126">
        <v>13908</v>
      </c>
      <c r="B126">
        <v>13911</v>
      </c>
      <c r="C126" t="s">
        <v>2911</v>
      </c>
      <c r="D126" s="129">
        <v>45870</v>
      </c>
      <c r="E126" s="129">
        <v>47696</v>
      </c>
      <c r="F126" s="124">
        <v>-1112.135</v>
      </c>
      <c r="G126" s="125">
        <v>1.6980223241394416E-3</v>
      </c>
    </row>
    <row r="127" spans="1:7" ht="15" x14ac:dyDescent="0.25">
      <c r="A127">
        <v>13908</v>
      </c>
      <c r="B127">
        <v>13911</v>
      </c>
      <c r="C127" t="s">
        <v>2911</v>
      </c>
      <c r="D127" s="129">
        <v>45901</v>
      </c>
      <c r="E127" s="129">
        <v>47727</v>
      </c>
      <c r="F127" s="124">
        <v>-634.99800000000005</v>
      </c>
      <c r="G127" s="125">
        <v>9.695232860973688E-4</v>
      </c>
    </row>
    <row r="128" spans="1:7" ht="15" x14ac:dyDescent="0.25">
      <c r="A128">
        <v>13908</v>
      </c>
      <c r="B128">
        <v>13911</v>
      </c>
      <c r="C128" t="s">
        <v>2911</v>
      </c>
      <c r="D128" s="129">
        <v>45931</v>
      </c>
      <c r="E128" s="129">
        <v>47757</v>
      </c>
      <c r="F128" s="124">
        <v>-450.06900000000002</v>
      </c>
      <c r="G128" s="125">
        <v>6.8717126014657787E-4</v>
      </c>
    </row>
    <row r="129" spans="1:7" ht="15" x14ac:dyDescent="0.25">
      <c r="A129">
        <v>13908</v>
      </c>
      <c r="B129">
        <v>13911</v>
      </c>
      <c r="C129" t="s">
        <v>2911</v>
      </c>
      <c r="D129" s="129">
        <v>45962</v>
      </c>
      <c r="E129" s="129">
        <v>47788</v>
      </c>
      <c r="F129" s="124">
        <v>-667.274</v>
      </c>
      <c r="G129" s="125">
        <v>1.0188027067917311E-3</v>
      </c>
    </row>
    <row r="130" spans="1:7" ht="15" x14ac:dyDescent="0.25">
      <c r="A130">
        <v>13908</v>
      </c>
      <c r="B130">
        <v>13911</v>
      </c>
      <c r="C130" t="s">
        <v>2911</v>
      </c>
      <c r="D130" s="129">
        <v>45992</v>
      </c>
      <c r="E130" s="129">
        <v>47818</v>
      </c>
      <c r="F130" s="124">
        <v>-232.505</v>
      </c>
      <c r="G130" s="125">
        <v>3.5499168758652583E-4</v>
      </c>
    </row>
    <row r="131" spans="1:7" ht="15" x14ac:dyDescent="0.25">
      <c r="A131">
        <v>13908</v>
      </c>
      <c r="B131">
        <v>13911</v>
      </c>
      <c r="C131" t="s">
        <v>2911</v>
      </c>
      <c r="D131" s="129">
        <v>46023</v>
      </c>
      <c r="E131" s="129">
        <v>47849</v>
      </c>
      <c r="F131" s="124">
        <v>-369.09100000000001</v>
      </c>
      <c r="G131" s="125">
        <v>5.6353298622824626E-4</v>
      </c>
    </row>
    <row r="132" spans="1:7" ht="15" x14ac:dyDescent="0.25">
      <c r="A132">
        <v>13908</v>
      </c>
      <c r="B132">
        <v>13911</v>
      </c>
      <c r="C132" t="s">
        <v>2911</v>
      </c>
      <c r="D132" s="129">
        <v>46054</v>
      </c>
      <c r="E132" s="129">
        <v>47880</v>
      </c>
      <c r="F132" s="124">
        <v>-126.68899999999999</v>
      </c>
      <c r="G132" s="125">
        <v>1.9343042906023254E-4</v>
      </c>
    </row>
    <row r="133" spans="1:7" ht="15" x14ac:dyDescent="0.25">
      <c r="A133">
        <v>13908</v>
      </c>
      <c r="B133">
        <v>13911</v>
      </c>
      <c r="C133" t="s">
        <v>2911</v>
      </c>
      <c r="D133" s="129">
        <v>46082</v>
      </c>
      <c r="E133" s="129">
        <v>47908</v>
      </c>
      <c r="F133" s="124">
        <v>-39.308999999999997</v>
      </c>
      <c r="G133" s="125">
        <v>6.0017497461726595E-5</v>
      </c>
    </row>
    <row r="134" spans="1:7" ht="15" x14ac:dyDescent="0.25">
      <c r="A134">
        <v>13908</v>
      </c>
      <c r="B134">
        <v>13911</v>
      </c>
      <c r="C134" t="s">
        <v>2911</v>
      </c>
      <c r="D134" s="129">
        <v>46113</v>
      </c>
      <c r="E134" s="129">
        <v>47939</v>
      </c>
      <c r="F134" s="124">
        <v>0</v>
      </c>
      <c r="G134" s="125">
        <v>0</v>
      </c>
    </row>
    <row r="135" spans="1:7" ht="15" x14ac:dyDescent="0.25">
      <c r="A135">
        <v>13908</v>
      </c>
      <c r="B135">
        <v>13911</v>
      </c>
      <c r="C135" t="s">
        <v>2911</v>
      </c>
      <c r="D135" s="129">
        <v>46143</v>
      </c>
      <c r="E135" s="129">
        <v>47969</v>
      </c>
      <c r="F135" s="124">
        <v>98.210999999999999</v>
      </c>
      <c r="G135" s="125">
        <v>-1.4994984464661098E-4</v>
      </c>
    </row>
    <row r="136" spans="1:7" ht="15" x14ac:dyDescent="0.25">
      <c r="A136">
        <v>13908</v>
      </c>
      <c r="B136">
        <v>13911</v>
      </c>
      <c r="C136" t="s">
        <v>2911</v>
      </c>
      <c r="D136" s="129">
        <v>46174</v>
      </c>
      <c r="E136" s="129">
        <v>48000</v>
      </c>
      <c r="F136" s="124">
        <v>145.24600000000001</v>
      </c>
      <c r="G136" s="125">
        <v>-2.2176350037716409E-4</v>
      </c>
    </row>
    <row r="137" spans="1:7" ht="15" x14ac:dyDescent="0.25">
      <c r="A137">
        <v>13908</v>
      </c>
      <c r="B137">
        <v>13912</v>
      </c>
      <c r="C137" t="s">
        <v>2911</v>
      </c>
      <c r="D137" s="129">
        <v>44835</v>
      </c>
      <c r="E137" s="129">
        <v>46661</v>
      </c>
      <c r="F137" s="124">
        <v>-4315.607</v>
      </c>
      <c r="G137" s="125">
        <v>6.5891254462924409E-3</v>
      </c>
    </row>
    <row r="138" spans="1:7" ht="15" x14ac:dyDescent="0.25">
      <c r="A138">
        <v>13908</v>
      </c>
      <c r="B138">
        <v>13912</v>
      </c>
      <c r="C138" t="s">
        <v>2911</v>
      </c>
      <c r="D138" s="129">
        <v>44866</v>
      </c>
      <c r="E138" s="129">
        <v>46692</v>
      </c>
      <c r="F138" s="124">
        <v>-4581.2240000000002</v>
      </c>
      <c r="G138" s="125">
        <v>6.9946729703528705E-3</v>
      </c>
    </row>
    <row r="139" spans="1:7" ht="15" x14ac:dyDescent="0.25">
      <c r="A139">
        <v>13908</v>
      </c>
      <c r="B139">
        <v>13912</v>
      </c>
      <c r="C139" t="s">
        <v>2911</v>
      </c>
      <c r="D139" s="129">
        <v>44896</v>
      </c>
      <c r="E139" s="129">
        <v>46722</v>
      </c>
      <c r="F139" s="124">
        <v>-7015.8270000000002</v>
      </c>
      <c r="G139" s="125">
        <v>1.0711856805424025E-2</v>
      </c>
    </row>
    <row r="140" spans="1:7" ht="15" x14ac:dyDescent="0.25">
      <c r="A140">
        <v>13908</v>
      </c>
      <c r="B140">
        <v>13912</v>
      </c>
      <c r="C140" t="s">
        <v>2911</v>
      </c>
      <c r="D140" s="129">
        <v>44927</v>
      </c>
      <c r="E140" s="129">
        <v>46753</v>
      </c>
      <c r="F140" s="124">
        <v>-4142.5860000000002</v>
      </c>
      <c r="G140" s="125">
        <v>6.3249547111344524E-3</v>
      </c>
    </row>
    <row r="141" spans="1:7" ht="15" x14ac:dyDescent="0.25">
      <c r="A141">
        <v>13908</v>
      </c>
      <c r="B141">
        <v>13912</v>
      </c>
      <c r="C141" t="s">
        <v>2911</v>
      </c>
      <c r="D141" s="129">
        <v>44958</v>
      </c>
      <c r="E141" s="129">
        <v>46784</v>
      </c>
      <c r="F141" s="124">
        <v>-6163.0240000000003</v>
      </c>
      <c r="G141" s="125">
        <v>9.4097859848014491E-3</v>
      </c>
    </row>
    <row r="142" spans="1:7" ht="15" x14ac:dyDescent="0.25">
      <c r="A142">
        <v>13908</v>
      </c>
      <c r="B142">
        <v>13912</v>
      </c>
      <c r="C142" t="s">
        <v>2911</v>
      </c>
      <c r="D142" s="129">
        <v>44986</v>
      </c>
      <c r="E142" s="129">
        <v>46813</v>
      </c>
      <c r="F142" s="124">
        <v>-4348.68</v>
      </c>
      <c r="G142" s="125">
        <v>6.6396217370541417E-3</v>
      </c>
    </row>
    <row r="143" spans="1:7" ht="15" x14ac:dyDescent="0.25">
      <c r="A143">
        <v>13908</v>
      </c>
      <c r="B143">
        <v>13912</v>
      </c>
      <c r="C143" t="s">
        <v>2911</v>
      </c>
      <c r="D143" s="129">
        <v>45017</v>
      </c>
      <c r="E143" s="129">
        <v>46844</v>
      </c>
      <c r="F143" s="124">
        <v>-3772.8649999999998</v>
      </c>
      <c r="G143" s="125">
        <v>5.7604598326321489E-3</v>
      </c>
    </row>
    <row r="144" spans="1:7" ht="15" x14ac:dyDescent="0.25">
      <c r="A144">
        <v>13908</v>
      </c>
      <c r="B144">
        <v>13912</v>
      </c>
      <c r="C144" t="s">
        <v>2911</v>
      </c>
      <c r="D144" s="129">
        <v>45047</v>
      </c>
      <c r="E144" s="129">
        <v>46874</v>
      </c>
      <c r="F144" s="124">
        <v>-3457.924</v>
      </c>
      <c r="G144" s="125">
        <v>5.2796037775787608E-3</v>
      </c>
    </row>
    <row r="145" spans="1:7" ht="15" x14ac:dyDescent="0.25">
      <c r="A145">
        <v>13908</v>
      </c>
      <c r="B145">
        <v>13912</v>
      </c>
      <c r="C145" t="s">
        <v>2911</v>
      </c>
      <c r="D145" s="129">
        <v>45078</v>
      </c>
      <c r="E145" s="129">
        <v>46905</v>
      </c>
      <c r="F145" s="124">
        <v>-5289.3639999999996</v>
      </c>
      <c r="G145" s="125">
        <v>8.0758704226550678E-3</v>
      </c>
    </row>
    <row r="146" spans="1:7" ht="15" x14ac:dyDescent="0.25">
      <c r="A146">
        <v>13908</v>
      </c>
      <c r="B146">
        <v>13912</v>
      </c>
      <c r="C146" t="s">
        <v>2911</v>
      </c>
      <c r="D146" s="129">
        <v>45108</v>
      </c>
      <c r="E146" s="129">
        <v>46935</v>
      </c>
      <c r="F146" s="124">
        <v>-5344.9219999999996</v>
      </c>
      <c r="G146" s="125">
        <v>8.1606971067217857E-3</v>
      </c>
    </row>
    <row r="147" spans="1:7" ht="15" x14ac:dyDescent="0.25">
      <c r="A147">
        <v>13908</v>
      </c>
      <c r="B147">
        <v>13912</v>
      </c>
      <c r="C147" t="s">
        <v>2911</v>
      </c>
      <c r="D147" s="129">
        <v>45139</v>
      </c>
      <c r="E147" s="129">
        <v>46966</v>
      </c>
      <c r="F147" s="124">
        <v>-6917.6909999999998</v>
      </c>
      <c r="G147" s="125">
        <v>1.056202147176242E-2</v>
      </c>
    </row>
    <row r="148" spans="1:7" ht="15" x14ac:dyDescent="0.25">
      <c r="A148">
        <v>13908</v>
      </c>
      <c r="B148">
        <v>13912</v>
      </c>
      <c r="C148" t="s">
        <v>2911</v>
      </c>
      <c r="D148" s="129">
        <v>45170</v>
      </c>
      <c r="E148" s="129">
        <v>46997</v>
      </c>
      <c r="F148" s="124">
        <v>-6071.7920000000004</v>
      </c>
      <c r="G148" s="125">
        <v>9.2704917690129979E-3</v>
      </c>
    </row>
    <row r="149" spans="1:7" ht="15" x14ac:dyDescent="0.25">
      <c r="A149">
        <v>13908</v>
      </c>
      <c r="B149">
        <v>13912</v>
      </c>
      <c r="C149" t="s">
        <v>2911</v>
      </c>
      <c r="D149" s="129">
        <v>45200</v>
      </c>
      <c r="E149" s="129">
        <v>47027</v>
      </c>
      <c r="F149" s="124">
        <v>-2056.6089999999999</v>
      </c>
      <c r="G149" s="125">
        <v>3.1400576315160416E-3</v>
      </c>
    </row>
    <row r="150" spans="1:7" ht="15" x14ac:dyDescent="0.25">
      <c r="A150">
        <v>13908</v>
      </c>
      <c r="B150">
        <v>13912</v>
      </c>
      <c r="C150" t="s">
        <v>2911</v>
      </c>
      <c r="D150" s="129">
        <v>45231</v>
      </c>
      <c r="E150" s="129">
        <v>47058</v>
      </c>
      <c r="F150" s="124">
        <v>-2942.0439999999999</v>
      </c>
      <c r="G150" s="125">
        <v>4.4919514183084782E-3</v>
      </c>
    </row>
    <row r="151" spans="1:7" ht="15" x14ac:dyDescent="0.25">
      <c r="A151">
        <v>13908</v>
      </c>
      <c r="B151">
        <v>13912</v>
      </c>
      <c r="C151" t="s">
        <v>2911</v>
      </c>
      <c r="D151" s="129">
        <v>45261</v>
      </c>
      <c r="E151" s="129">
        <v>47088</v>
      </c>
      <c r="F151" s="124">
        <v>-5383.567</v>
      </c>
      <c r="G151" s="125">
        <v>8.2197008002629201E-3</v>
      </c>
    </row>
    <row r="152" spans="1:7" ht="15" x14ac:dyDescent="0.25">
      <c r="A152">
        <v>13908</v>
      </c>
      <c r="B152">
        <v>13912</v>
      </c>
      <c r="C152" t="s">
        <v>2911</v>
      </c>
      <c r="D152" s="129">
        <v>45292</v>
      </c>
      <c r="E152" s="129">
        <v>47119</v>
      </c>
      <c r="F152" s="124">
        <v>-3321.4119999999998</v>
      </c>
      <c r="G152" s="125">
        <v>5.071175463108913E-3</v>
      </c>
    </row>
    <row r="153" spans="1:7" ht="15" x14ac:dyDescent="0.25">
      <c r="A153">
        <v>13908</v>
      </c>
      <c r="B153">
        <v>13912</v>
      </c>
      <c r="C153" t="s">
        <v>2911</v>
      </c>
      <c r="D153" s="129">
        <v>45323</v>
      </c>
      <c r="E153" s="129">
        <v>47150</v>
      </c>
      <c r="F153" s="124">
        <v>-4697.0069999999996</v>
      </c>
      <c r="G153" s="125">
        <v>7.1714519753799909E-3</v>
      </c>
    </row>
    <row r="154" spans="1:7" ht="15" x14ac:dyDescent="0.25">
      <c r="A154">
        <v>13908</v>
      </c>
      <c r="B154">
        <v>13912</v>
      </c>
      <c r="C154" t="s">
        <v>2911</v>
      </c>
      <c r="D154" s="129">
        <v>45352</v>
      </c>
      <c r="E154" s="129">
        <v>47178</v>
      </c>
      <c r="F154" s="124">
        <v>-4132.3310000000001</v>
      </c>
      <c r="G154" s="125">
        <v>6.3092972424511982E-3</v>
      </c>
    </row>
    <row r="155" spans="1:7" ht="15" x14ac:dyDescent="0.25">
      <c r="A155">
        <v>13908</v>
      </c>
      <c r="B155">
        <v>13912</v>
      </c>
      <c r="C155" t="s">
        <v>2911</v>
      </c>
      <c r="D155" s="129">
        <v>45383</v>
      </c>
      <c r="E155" s="129">
        <v>47209</v>
      </c>
      <c r="F155" s="124">
        <v>-4452.1009999999997</v>
      </c>
      <c r="G155" s="125">
        <v>6.797526278125886E-3</v>
      </c>
    </row>
    <row r="156" spans="1:7" ht="15" x14ac:dyDescent="0.25">
      <c r="A156">
        <v>13908</v>
      </c>
      <c r="B156">
        <v>13912</v>
      </c>
      <c r="C156" t="s">
        <v>2911</v>
      </c>
      <c r="D156" s="129">
        <v>45413</v>
      </c>
      <c r="E156" s="129">
        <v>47239</v>
      </c>
      <c r="F156" s="124">
        <v>-1551.818</v>
      </c>
      <c r="G156" s="125">
        <v>2.3693361030822876E-3</v>
      </c>
    </row>
    <row r="157" spans="1:7" ht="15" x14ac:dyDescent="0.25">
      <c r="A157">
        <v>13908</v>
      </c>
      <c r="B157">
        <v>13912</v>
      </c>
      <c r="C157" t="s">
        <v>2911</v>
      </c>
      <c r="D157" s="129">
        <v>45444</v>
      </c>
      <c r="E157" s="129">
        <v>47270</v>
      </c>
      <c r="F157" s="124">
        <v>-5506.2939999999999</v>
      </c>
      <c r="G157" s="125">
        <v>8.4070819956885302E-3</v>
      </c>
    </row>
    <row r="158" spans="1:7" ht="15" x14ac:dyDescent="0.25">
      <c r="A158">
        <v>13908</v>
      </c>
      <c r="B158">
        <v>13912</v>
      </c>
      <c r="C158" t="s">
        <v>2911</v>
      </c>
      <c r="D158" s="129">
        <v>45474</v>
      </c>
      <c r="E158" s="129">
        <v>47300</v>
      </c>
      <c r="F158" s="124">
        <v>-4672.8310000000001</v>
      </c>
      <c r="G158" s="125">
        <v>7.1345397410663564E-3</v>
      </c>
    </row>
    <row r="159" spans="1:7" ht="15" x14ac:dyDescent="0.25">
      <c r="A159">
        <v>13908</v>
      </c>
      <c r="B159">
        <v>13912</v>
      </c>
      <c r="C159" t="s">
        <v>2911</v>
      </c>
      <c r="D159" s="129">
        <v>45505</v>
      </c>
      <c r="E159" s="129">
        <v>47331</v>
      </c>
      <c r="F159" s="124">
        <v>-2902.009</v>
      </c>
      <c r="G159" s="125">
        <v>4.4308254545118867E-3</v>
      </c>
    </row>
    <row r="160" spans="1:7" ht="15" x14ac:dyDescent="0.25">
      <c r="A160">
        <v>13908</v>
      </c>
      <c r="B160">
        <v>13912</v>
      </c>
      <c r="C160" t="s">
        <v>2911</v>
      </c>
      <c r="D160" s="129">
        <v>45536</v>
      </c>
      <c r="E160" s="129">
        <v>47362</v>
      </c>
      <c r="F160" s="124">
        <v>-5431.1189999999997</v>
      </c>
      <c r="G160" s="125">
        <v>8.2923038183834522E-3</v>
      </c>
    </row>
    <row r="161" spans="1:7" ht="15" x14ac:dyDescent="0.25">
      <c r="A161">
        <v>13908</v>
      </c>
      <c r="B161">
        <v>13912</v>
      </c>
      <c r="C161" t="s">
        <v>2911</v>
      </c>
      <c r="D161" s="129">
        <v>45566</v>
      </c>
      <c r="E161" s="129">
        <v>47392</v>
      </c>
      <c r="F161" s="124">
        <v>-4789.0649999999996</v>
      </c>
      <c r="G161" s="125">
        <v>7.3120073388166498E-3</v>
      </c>
    </row>
    <row r="162" spans="1:7" ht="15" x14ac:dyDescent="0.25">
      <c r="A162">
        <v>13908</v>
      </c>
      <c r="B162">
        <v>13912</v>
      </c>
      <c r="C162" t="s">
        <v>2911</v>
      </c>
      <c r="D162" s="129">
        <v>45597</v>
      </c>
      <c r="E162" s="129">
        <v>47423</v>
      </c>
      <c r="F162" s="124">
        <v>-4504.2510000000002</v>
      </c>
      <c r="G162" s="125">
        <v>6.8771495830338989E-3</v>
      </c>
    </row>
    <row r="163" spans="1:7" ht="15" x14ac:dyDescent="0.25">
      <c r="A163">
        <v>13908</v>
      </c>
      <c r="B163">
        <v>13912</v>
      </c>
      <c r="C163" t="s">
        <v>2911</v>
      </c>
      <c r="D163" s="129">
        <v>45627</v>
      </c>
      <c r="E163" s="129">
        <v>47453</v>
      </c>
      <c r="F163" s="124">
        <v>-4055.8789999999999</v>
      </c>
      <c r="G163" s="125">
        <v>6.1925693247747394E-3</v>
      </c>
    </row>
    <row r="164" spans="1:7" ht="15" x14ac:dyDescent="0.25">
      <c r="A164">
        <v>13908</v>
      </c>
      <c r="B164">
        <v>13912</v>
      </c>
      <c r="C164" t="s">
        <v>2911</v>
      </c>
      <c r="D164" s="129">
        <v>45658</v>
      </c>
      <c r="E164" s="129">
        <v>47484</v>
      </c>
      <c r="F164" s="124">
        <v>-3326.6729999999998</v>
      </c>
      <c r="G164" s="125">
        <v>5.0792080270038514E-3</v>
      </c>
    </row>
    <row r="165" spans="1:7" ht="15" x14ac:dyDescent="0.25">
      <c r="A165">
        <v>13908</v>
      </c>
      <c r="B165">
        <v>13912</v>
      </c>
      <c r="C165" t="s">
        <v>2911</v>
      </c>
      <c r="D165" s="129">
        <v>45689</v>
      </c>
      <c r="E165" s="129">
        <v>47515</v>
      </c>
      <c r="F165" s="124">
        <v>-2294.837</v>
      </c>
      <c r="G165" s="125">
        <v>3.5037872706651478E-3</v>
      </c>
    </row>
    <row r="166" spans="1:7" ht="15" x14ac:dyDescent="0.25">
      <c r="A166">
        <v>13908</v>
      </c>
      <c r="B166">
        <v>13912</v>
      </c>
      <c r="C166" t="s">
        <v>2911</v>
      </c>
      <c r="D166" s="129">
        <v>45717</v>
      </c>
      <c r="E166" s="129">
        <v>47543</v>
      </c>
      <c r="F166" s="124">
        <v>-1577.6610000000001</v>
      </c>
      <c r="G166" s="125">
        <v>2.4087935348893396E-3</v>
      </c>
    </row>
    <row r="167" spans="1:7" ht="15" x14ac:dyDescent="0.25">
      <c r="A167">
        <v>13908</v>
      </c>
      <c r="B167">
        <v>13912</v>
      </c>
      <c r="C167" t="s">
        <v>2911</v>
      </c>
      <c r="D167" s="129">
        <v>45748</v>
      </c>
      <c r="E167" s="129">
        <v>47574</v>
      </c>
      <c r="F167" s="124">
        <v>-715.48400000000004</v>
      </c>
      <c r="G167" s="125">
        <v>1.0924103679540564E-3</v>
      </c>
    </row>
    <row r="168" spans="1:7" ht="15" x14ac:dyDescent="0.25">
      <c r="A168">
        <v>13908</v>
      </c>
      <c r="B168">
        <v>13912</v>
      </c>
      <c r="C168" t="s">
        <v>2911</v>
      </c>
      <c r="D168" s="129">
        <v>45778</v>
      </c>
      <c r="E168" s="129">
        <v>47604</v>
      </c>
      <c r="F168" s="124">
        <v>-1454.191</v>
      </c>
      <c r="G168" s="125">
        <v>2.2202779173055962E-3</v>
      </c>
    </row>
    <row r="169" spans="1:7" ht="15" x14ac:dyDescent="0.25">
      <c r="A169">
        <v>13908</v>
      </c>
      <c r="B169">
        <v>13912</v>
      </c>
      <c r="C169" t="s">
        <v>2911</v>
      </c>
      <c r="D169" s="129">
        <v>45809</v>
      </c>
      <c r="E169" s="129">
        <v>47635</v>
      </c>
      <c r="F169" s="124">
        <v>-5778.0630000000001</v>
      </c>
      <c r="G169" s="125">
        <v>8.8220224741457787E-3</v>
      </c>
    </row>
    <row r="170" spans="1:7" ht="15" x14ac:dyDescent="0.25">
      <c r="A170">
        <v>13908</v>
      </c>
      <c r="B170">
        <v>13912</v>
      </c>
      <c r="C170" t="s">
        <v>2911</v>
      </c>
      <c r="D170" s="129">
        <v>45839</v>
      </c>
      <c r="E170" s="129">
        <v>47665</v>
      </c>
      <c r="F170" s="124">
        <v>-4677.5370000000003</v>
      </c>
      <c r="G170" s="125">
        <v>7.1417249236722449E-3</v>
      </c>
    </row>
    <row r="171" spans="1:7" ht="15" x14ac:dyDescent="0.25">
      <c r="A171">
        <v>13908</v>
      </c>
      <c r="B171">
        <v>13912</v>
      </c>
      <c r="C171" t="s">
        <v>2911</v>
      </c>
      <c r="D171" s="129">
        <v>45870</v>
      </c>
      <c r="E171" s="129">
        <v>47696</v>
      </c>
      <c r="F171" s="124">
        <v>-6447.8289999999997</v>
      </c>
      <c r="G171" s="125">
        <v>9.8446299992659986E-3</v>
      </c>
    </row>
    <row r="172" spans="1:7" ht="15" x14ac:dyDescent="0.25">
      <c r="A172">
        <v>13908</v>
      </c>
      <c r="B172">
        <v>13912</v>
      </c>
      <c r="C172" t="s">
        <v>2911</v>
      </c>
      <c r="D172" s="129">
        <v>45901</v>
      </c>
      <c r="E172" s="129">
        <v>47727</v>
      </c>
      <c r="F172" s="124">
        <v>-2518.2919999999999</v>
      </c>
      <c r="G172" s="125">
        <v>3.8449612993941948E-3</v>
      </c>
    </row>
    <row r="173" spans="1:7" ht="15" x14ac:dyDescent="0.25">
      <c r="A173">
        <v>13908</v>
      </c>
      <c r="B173">
        <v>13912</v>
      </c>
      <c r="C173" t="s">
        <v>2911</v>
      </c>
      <c r="D173" s="129">
        <v>45931</v>
      </c>
      <c r="E173" s="129">
        <v>47757</v>
      </c>
      <c r="F173" s="124">
        <v>-3282.942</v>
      </c>
      <c r="G173" s="125">
        <v>5.0124389618661285E-3</v>
      </c>
    </row>
    <row r="174" spans="1:7" ht="15" x14ac:dyDescent="0.25">
      <c r="A174">
        <v>13908</v>
      </c>
      <c r="B174">
        <v>13912</v>
      </c>
      <c r="C174" t="s">
        <v>2911</v>
      </c>
      <c r="D174" s="129">
        <v>45962</v>
      </c>
      <c r="E174" s="129">
        <v>47788</v>
      </c>
      <c r="F174" s="124">
        <v>-3192.5239999999999</v>
      </c>
      <c r="G174" s="125">
        <v>4.8743875719682835E-3</v>
      </c>
    </row>
    <row r="175" spans="1:7" ht="15" x14ac:dyDescent="0.25">
      <c r="A175">
        <v>13908</v>
      </c>
      <c r="B175">
        <v>13912</v>
      </c>
      <c r="C175" t="s">
        <v>2911</v>
      </c>
      <c r="D175" s="129">
        <v>45992</v>
      </c>
      <c r="E175" s="129">
        <v>47818</v>
      </c>
      <c r="F175" s="124">
        <v>-2294.0529999999999</v>
      </c>
      <c r="G175" s="125">
        <v>3.5025902491685437E-3</v>
      </c>
    </row>
    <row r="176" spans="1:7" ht="15" x14ac:dyDescent="0.25">
      <c r="A176">
        <v>13908</v>
      </c>
      <c r="B176">
        <v>13912</v>
      </c>
      <c r="C176" t="s">
        <v>2911</v>
      </c>
      <c r="D176" s="129">
        <v>46023</v>
      </c>
      <c r="E176" s="129">
        <v>47849</v>
      </c>
      <c r="F176" s="124">
        <v>-2427.5210000000002</v>
      </c>
      <c r="G176" s="125">
        <v>3.7063709444602518E-3</v>
      </c>
    </row>
    <row r="177" spans="1:7" ht="15" x14ac:dyDescent="0.25">
      <c r="A177">
        <v>13908</v>
      </c>
      <c r="B177">
        <v>13912</v>
      </c>
      <c r="C177" t="s">
        <v>2911</v>
      </c>
      <c r="D177" s="129">
        <v>46054</v>
      </c>
      <c r="E177" s="129">
        <v>47880</v>
      </c>
      <c r="F177" s="124">
        <v>-1267.3610000000001</v>
      </c>
      <c r="G177" s="125">
        <v>1.9350234195881679E-3</v>
      </c>
    </row>
    <row r="178" spans="1:7" ht="15" x14ac:dyDescent="0.25">
      <c r="A178">
        <v>13908</v>
      </c>
      <c r="B178">
        <v>13912</v>
      </c>
      <c r="C178" t="s">
        <v>2911</v>
      </c>
      <c r="D178" s="129">
        <v>46082</v>
      </c>
      <c r="E178" s="129">
        <v>47908</v>
      </c>
      <c r="F178" s="124">
        <v>-181.26499999999999</v>
      </c>
      <c r="G178" s="125">
        <v>2.7675778262992883E-4</v>
      </c>
    </row>
    <row r="179" spans="1:7" ht="15" x14ac:dyDescent="0.25">
      <c r="A179">
        <v>13908</v>
      </c>
      <c r="B179">
        <v>13912</v>
      </c>
      <c r="C179" t="s">
        <v>2911</v>
      </c>
      <c r="D179" s="129">
        <v>46113</v>
      </c>
      <c r="E179" s="129">
        <v>47939</v>
      </c>
      <c r="F179" s="124">
        <v>0</v>
      </c>
      <c r="G179" s="125">
        <v>0</v>
      </c>
    </row>
    <row r="180" spans="1:7" ht="15" x14ac:dyDescent="0.25">
      <c r="A180">
        <v>13908</v>
      </c>
      <c r="B180">
        <v>13912</v>
      </c>
      <c r="C180" t="s">
        <v>2911</v>
      </c>
      <c r="D180" s="129">
        <v>46143</v>
      </c>
      <c r="E180" s="129">
        <v>47969</v>
      </c>
      <c r="F180" s="124">
        <v>575.95100000000002</v>
      </c>
      <c r="G180" s="125">
        <v>-8.7936955100813806E-4</v>
      </c>
    </row>
    <row r="181" spans="1:7" ht="15" x14ac:dyDescent="0.25">
      <c r="A181">
        <v>13908</v>
      </c>
      <c r="B181">
        <v>13912</v>
      </c>
      <c r="C181" t="s">
        <v>2911</v>
      </c>
      <c r="D181" s="129">
        <v>46174</v>
      </c>
      <c r="E181" s="129">
        <v>48000</v>
      </c>
      <c r="F181" s="124">
        <v>678.76</v>
      </c>
      <c r="G181" s="125">
        <v>-1.0363396824422282E-3</v>
      </c>
    </row>
    <row r="182" spans="1:7" ht="15" x14ac:dyDescent="0.25">
      <c r="A182">
        <v>13908</v>
      </c>
      <c r="B182">
        <v>13913</v>
      </c>
      <c r="C182" t="s">
        <v>2911</v>
      </c>
      <c r="D182" s="129">
        <v>44835</v>
      </c>
      <c r="E182" s="129">
        <v>46661</v>
      </c>
      <c r="F182" s="124">
        <v>-68.581999999999994</v>
      </c>
      <c r="G182" s="125">
        <v>1.0471189831641948E-4</v>
      </c>
    </row>
    <row r="183" spans="1:7" ht="15" x14ac:dyDescent="0.25">
      <c r="A183">
        <v>13908</v>
      </c>
      <c r="B183">
        <v>13913</v>
      </c>
      <c r="C183" t="s">
        <v>2911</v>
      </c>
      <c r="D183" s="129">
        <v>44866</v>
      </c>
      <c r="E183" s="129">
        <v>46692</v>
      </c>
      <c r="F183" s="124">
        <v>-6.3579999999999997</v>
      </c>
      <c r="G183" s="125">
        <v>9.7074779023037396E-6</v>
      </c>
    </row>
    <row r="184" spans="1:7" ht="15" x14ac:dyDescent="0.25">
      <c r="A184">
        <v>13908</v>
      </c>
      <c r="B184">
        <v>13913</v>
      </c>
      <c r="C184" t="s">
        <v>2911</v>
      </c>
      <c r="D184" s="129">
        <v>44896</v>
      </c>
      <c r="E184" s="129">
        <v>46722</v>
      </c>
      <c r="F184" s="124">
        <v>-1.151</v>
      </c>
      <c r="G184" s="125">
        <v>1.7573619165699285E-6</v>
      </c>
    </row>
    <row r="185" spans="1:7" ht="15" x14ac:dyDescent="0.25">
      <c r="A185">
        <v>13908</v>
      </c>
      <c r="B185">
        <v>13913</v>
      </c>
      <c r="C185" t="s">
        <v>2911</v>
      </c>
      <c r="D185" s="129">
        <v>44927</v>
      </c>
      <c r="E185" s="129">
        <v>46753</v>
      </c>
      <c r="F185" s="124">
        <v>-24.581</v>
      </c>
      <c r="G185" s="125">
        <v>3.7530593632671945E-5</v>
      </c>
    </row>
    <row r="186" spans="1:7" ht="15" x14ac:dyDescent="0.25">
      <c r="A186">
        <v>13908</v>
      </c>
      <c r="B186">
        <v>13913</v>
      </c>
      <c r="C186" t="s">
        <v>2911</v>
      </c>
      <c r="D186" s="129">
        <v>44958</v>
      </c>
      <c r="E186" s="129">
        <v>46784</v>
      </c>
      <c r="F186" s="124">
        <v>-3.3849999999999998</v>
      </c>
      <c r="G186" s="125">
        <v>5.1682624566370182E-6</v>
      </c>
    </row>
    <row r="187" spans="1:7" ht="15" x14ac:dyDescent="0.25">
      <c r="A187">
        <v>13908</v>
      </c>
      <c r="B187">
        <v>13913</v>
      </c>
      <c r="C187" t="s">
        <v>2911</v>
      </c>
      <c r="D187" s="129">
        <v>44986</v>
      </c>
      <c r="E187" s="129">
        <v>46813</v>
      </c>
      <c r="F187" s="124">
        <v>-35.323999999999998</v>
      </c>
      <c r="G187" s="125">
        <v>5.3933147125035753E-5</v>
      </c>
    </row>
    <row r="188" spans="1:7" ht="15" x14ac:dyDescent="0.25">
      <c r="A188">
        <v>13908</v>
      </c>
      <c r="B188">
        <v>13913</v>
      </c>
      <c r="C188" t="s">
        <v>2911</v>
      </c>
      <c r="D188" s="129">
        <v>45017</v>
      </c>
      <c r="E188" s="129">
        <v>46844</v>
      </c>
      <c r="F188" s="124">
        <v>-21.099</v>
      </c>
      <c r="G188" s="125">
        <v>3.2214230302092894E-5</v>
      </c>
    </row>
    <row r="189" spans="1:7" ht="15" x14ac:dyDescent="0.25">
      <c r="A189">
        <v>13908</v>
      </c>
      <c r="B189">
        <v>13913</v>
      </c>
      <c r="C189" t="s">
        <v>2911</v>
      </c>
      <c r="D189" s="129">
        <v>45047</v>
      </c>
      <c r="E189" s="129">
        <v>46874</v>
      </c>
      <c r="F189" s="124">
        <v>-21.454000000000001</v>
      </c>
      <c r="G189" s="125">
        <v>3.2756248964458075E-5</v>
      </c>
    </row>
    <row r="190" spans="1:7" ht="15" x14ac:dyDescent="0.25">
      <c r="A190">
        <v>13908</v>
      </c>
      <c r="B190">
        <v>13913</v>
      </c>
      <c r="C190" t="s">
        <v>2911</v>
      </c>
      <c r="D190" s="129">
        <v>45078</v>
      </c>
      <c r="E190" s="129">
        <v>46905</v>
      </c>
      <c r="F190" s="124">
        <v>-10.093999999999999</v>
      </c>
      <c r="G190" s="125">
        <v>1.5411651768772249E-5</v>
      </c>
    </row>
    <row r="191" spans="1:7" ht="15" x14ac:dyDescent="0.25">
      <c r="A191">
        <v>13908</v>
      </c>
      <c r="B191">
        <v>13913</v>
      </c>
      <c r="C191" t="s">
        <v>2911</v>
      </c>
      <c r="D191" s="129">
        <v>45108</v>
      </c>
      <c r="E191" s="129">
        <v>46935</v>
      </c>
      <c r="F191" s="124">
        <v>-22.131</v>
      </c>
      <c r="G191" s="125">
        <v>3.3789901455785477E-5</v>
      </c>
    </row>
    <row r="192" spans="1:7" ht="15" x14ac:dyDescent="0.25">
      <c r="A192">
        <v>13908</v>
      </c>
      <c r="B192">
        <v>13913</v>
      </c>
      <c r="C192" t="s">
        <v>2911</v>
      </c>
      <c r="D192" s="129">
        <v>45139</v>
      </c>
      <c r="E192" s="129">
        <v>46966</v>
      </c>
      <c r="F192" s="124">
        <v>-203.595</v>
      </c>
      <c r="G192" s="125">
        <v>3.1085151989926552E-4</v>
      </c>
    </row>
    <row r="193" spans="1:7" ht="15" x14ac:dyDescent="0.25">
      <c r="A193">
        <v>13908</v>
      </c>
      <c r="B193">
        <v>13913</v>
      </c>
      <c r="C193" t="s">
        <v>2911</v>
      </c>
      <c r="D193" s="129">
        <v>45170</v>
      </c>
      <c r="E193" s="129">
        <v>46997</v>
      </c>
      <c r="F193" s="124">
        <v>-88.399000000000001</v>
      </c>
      <c r="G193" s="125">
        <v>1.3496875418146404E-4</v>
      </c>
    </row>
    <row r="194" spans="1:7" ht="15" x14ac:dyDescent="0.25">
      <c r="A194">
        <v>13908</v>
      </c>
      <c r="B194">
        <v>13913</v>
      </c>
      <c r="C194" t="s">
        <v>2911</v>
      </c>
      <c r="D194" s="129">
        <v>45200</v>
      </c>
      <c r="E194" s="129">
        <v>47027</v>
      </c>
      <c r="F194" s="124">
        <v>-2.9580000000000002</v>
      </c>
      <c r="G194" s="125">
        <v>4.5163132486653766E-6</v>
      </c>
    </row>
    <row r="195" spans="1:7" ht="15" x14ac:dyDescent="0.25">
      <c r="A195">
        <v>13908</v>
      </c>
      <c r="B195">
        <v>13913</v>
      </c>
      <c r="C195" t="s">
        <v>2911</v>
      </c>
      <c r="D195" s="129">
        <v>45231</v>
      </c>
      <c r="E195" s="129">
        <v>47058</v>
      </c>
      <c r="F195" s="124">
        <v>-272.983</v>
      </c>
      <c r="G195" s="125">
        <v>4.1679402960122399E-4</v>
      </c>
    </row>
    <row r="196" spans="1:7" ht="15" x14ac:dyDescent="0.25">
      <c r="A196">
        <v>13908</v>
      </c>
      <c r="B196">
        <v>13913</v>
      </c>
      <c r="C196" t="s">
        <v>2911</v>
      </c>
      <c r="D196" s="129">
        <v>45261</v>
      </c>
      <c r="E196" s="129">
        <v>47088</v>
      </c>
      <c r="F196" s="124">
        <v>-63.918999999999997</v>
      </c>
      <c r="G196" s="125">
        <v>9.7592368675267815E-5</v>
      </c>
    </row>
    <row r="197" spans="1:7" ht="15" x14ac:dyDescent="0.25">
      <c r="A197">
        <v>13908</v>
      </c>
      <c r="B197">
        <v>13913</v>
      </c>
      <c r="C197" t="s">
        <v>2911</v>
      </c>
      <c r="D197" s="129">
        <v>45292</v>
      </c>
      <c r="E197" s="129">
        <v>47119</v>
      </c>
      <c r="F197" s="124">
        <v>-28.463000000000001</v>
      </c>
      <c r="G197" s="125">
        <v>4.3457682216620226E-5</v>
      </c>
    </row>
    <row r="198" spans="1:7" ht="15" x14ac:dyDescent="0.25">
      <c r="A198">
        <v>13908</v>
      </c>
      <c r="B198">
        <v>13913</v>
      </c>
      <c r="C198" t="s">
        <v>2911</v>
      </c>
      <c r="D198" s="129">
        <v>45323</v>
      </c>
      <c r="E198" s="129">
        <v>47150</v>
      </c>
      <c r="F198" s="124">
        <v>-47.594999999999999</v>
      </c>
      <c r="G198" s="125">
        <v>7.2668671085269972E-5</v>
      </c>
    </row>
    <row r="199" spans="1:7" ht="15" x14ac:dyDescent="0.25">
      <c r="A199">
        <v>13908</v>
      </c>
      <c r="B199">
        <v>13913</v>
      </c>
      <c r="C199" t="s">
        <v>2911</v>
      </c>
      <c r="D199" s="129">
        <v>45352</v>
      </c>
      <c r="E199" s="129">
        <v>47178</v>
      </c>
      <c r="F199" s="124">
        <v>-4.2</v>
      </c>
      <c r="G199" s="125">
        <v>6.4126151603768028E-6</v>
      </c>
    </row>
    <row r="200" spans="1:7" ht="15" x14ac:dyDescent="0.25">
      <c r="A200">
        <v>13908</v>
      </c>
      <c r="B200">
        <v>13913</v>
      </c>
      <c r="C200" t="s">
        <v>2911</v>
      </c>
      <c r="D200" s="129">
        <v>45383</v>
      </c>
      <c r="E200" s="129">
        <v>47209</v>
      </c>
      <c r="F200" s="124">
        <v>-15.47</v>
      </c>
      <c r="G200" s="125">
        <v>2.3619799174054558E-5</v>
      </c>
    </row>
    <row r="201" spans="1:7" ht="15" x14ac:dyDescent="0.25">
      <c r="A201">
        <v>13908</v>
      </c>
      <c r="B201">
        <v>13913</v>
      </c>
      <c r="C201" t="s">
        <v>2911</v>
      </c>
      <c r="D201" s="129">
        <v>45413</v>
      </c>
      <c r="E201" s="129">
        <v>47239</v>
      </c>
      <c r="F201" s="124">
        <v>-14.394</v>
      </c>
      <c r="G201" s="125">
        <v>2.1976948242491358E-5</v>
      </c>
    </row>
    <row r="202" spans="1:7" ht="15" x14ac:dyDescent="0.25">
      <c r="A202">
        <v>13908</v>
      </c>
      <c r="B202">
        <v>13913</v>
      </c>
      <c r="C202" t="s">
        <v>2911</v>
      </c>
      <c r="D202" s="129">
        <v>45444</v>
      </c>
      <c r="E202" s="129">
        <v>47270</v>
      </c>
      <c r="F202" s="124">
        <v>0</v>
      </c>
      <c r="G202" s="125">
        <v>0</v>
      </c>
    </row>
    <row r="203" spans="1:7" ht="15" x14ac:dyDescent="0.25">
      <c r="A203">
        <v>13908</v>
      </c>
      <c r="B203">
        <v>13913</v>
      </c>
      <c r="C203" t="s">
        <v>2911</v>
      </c>
      <c r="D203" s="129">
        <v>45474</v>
      </c>
      <c r="E203" s="129">
        <v>47300</v>
      </c>
      <c r="F203" s="124">
        <v>-34.762</v>
      </c>
      <c r="G203" s="125">
        <v>5.3075078144052003E-5</v>
      </c>
    </row>
    <row r="204" spans="1:7" ht="15" x14ac:dyDescent="0.25">
      <c r="A204">
        <v>13908</v>
      </c>
      <c r="B204">
        <v>13913</v>
      </c>
      <c r="C204" t="s">
        <v>2911</v>
      </c>
      <c r="D204" s="129">
        <v>45505</v>
      </c>
      <c r="E204" s="129">
        <v>47331</v>
      </c>
      <c r="F204" s="124">
        <v>-9.1110000000000007</v>
      </c>
      <c r="G204" s="125">
        <v>1.3910794458617393E-5</v>
      </c>
    </row>
    <row r="205" spans="1:7" ht="15" x14ac:dyDescent="0.25">
      <c r="A205">
        <v>13908</v>
      </c>
      <c r="B205">
        <v>13913</v>
      </c>
      <c r="C205" t="s">
        <v>2911</v>
      </c>
      <c r="D205" s="129">
        <v>45536</v>
      </c>
      <c r="E205" s="129">
        <v>47362</v>
      </c>
      <c r="F205" s="124">
        <v>-74.453999999999994</v>
      </c>
      <c r="G205" s="125">
        <v>1.1367734503587962E-4</v>
      </c>
    </row>
    <row r="206" spans="1:7" ht="15" x14ac:dyDescent="0.25">
      <c r="A206">
        <v>13908</v>
      </c>
      <c r="B206">
        <v>13913</v>
      </c>
      <c r="C206" t="s">
        <v>2911</v>
      </c>
      <c r="D206" s="129">
        <v>45566</v>
      </c>
      <c r="E206" s="129">
        <v>47392</v>
      </c>
      <c r="F206" s="124">
        <v>0</v>
      </c>
      <c r="G206" s="125">
        <v>0</v>
      </c>
    </row>
    <row r="207" spans="1:7" ht="15" x14ac:dyDescent="0.25">
      <c r="A207">
        <v>13908</v>
      </c>
      <c r="B207">
        <v>13913</v>
      </c>
      <c r="C207" t="s">
        <v>2911</v>
      </c>
      <c r="D207" s="129">
        <v>45597</v>
      </c>
      <c r="E207" s="129">
        <v>47423</v>
      </c>
      <c r="F207" s="124">
        <v>-36.469000000000001</v>
      </c>
      <c r="G207" s="125">
        <v>5.568134816280515E-5</v>
      </c>
    </row>
    <row r="208" spans="1:7" ht="15" x14ac:dyDescent="0.25">
      <c r="A208">
        <v>13908</v>
      </c>
      <c r="B208">
        <v>13913</v>
      </c>
      <c r="C208" t="s">
        <v>2911</v>
      </c>
      <c r="D208" s="129">
        <v>45627</v>
      </c>
      <c r="E208" s="129">
        <v>47453</v>
      </c>
      <c r="F208" s="124">
        <v>0</v>
      </c>
      <c r="G208" s="125">
        <v>0</v>
      </c>
    </row>
    <row r="209" spans="1:7" ht="15" x14ac:dyDescent="0.25">
      <c r="A209">
        <v>13908</v>
      </c>
      <c r="B209">
        <v>13913</v>
      </c>
      <c r="C209" t="s">
        <v>2911</v>
      </c>
      <c r="D209" s="129">
        <v>45658</v>
      </c>
      <c r="E209" s="129">
        <v>47484</v>
      </c>
      <c r="F209" s="124">
        <v>0.79</v>
      </c>
      <c r="G209" s="125">
        <v>-1.206182375404208E-6</v>
      </c>
    </row>
    <row r="210" spans="1:7" ht="15" x14ac:dyDescent="0.25">
      <c r="A210">
        <v>13908</v>
      </c>
      <c r="B210">
        <v>13913</v>
      </c>
      <c r="C210" t="s">
        <v>2911</v>
      </c>
      <c r="D210" s="129">
        <v>45689</v>
      </c>
      <c r="E210" s="129">
        <v>47515</v>
      </c>
      <c r="F210" s="124">
        <v>-2.7E-2</v>
      </c>
      <c r="G210" s="125">
        <v>4.1223954602422304E-8</v>
      </c>
    </row>
    <row r="211" spans="1:7" ht="15" x14ac:dyDescent="0.25">
      <c r="A211">
        <v>13908</v>
      </c>
      <c r="B211">
        <v>13913</v>
      </c>
      <c r="C211" t="s">
        <v>2911</v>
      </c>
      <c r="D211" s="129">
        <v>45717</v>
      </c>
      <c r="E211" s="129">
        <v>47543</v>
      </c>
      <c r="F211" s="124">
        <v>-93.239000000000004</v>
      </c>
      <c r="G211" s="125">
        <v>1.423585297472316E-4</v>
      </c>
    </row>
    <row r="212" spans="1:7" ht="15" x14ac:dyDescent="0.25">
      <c r="A212">
        <v>13908</v>
      </c>
      <c r="B212">
        <v>13913</v>
      </c>
      <c r="C212" t="s">
        <v>2911</v>
      </c>
      <c r="D212" s="129">
        <v>45748</v>
      </c>
      <c r="E212" s="129">
        <v>47574</v>
      </c>
      <c r="F212" s="124">
        <v>-178.202</v>
      </c>
      <c r="G212" s="125">
        <v>2.7208115400225401E-4</v>
      </c>
    </row>
    <row r="213" spans="1:7" ht="15" x14ac:dyDescent="0.25">
      <c r="A213">
        <v>13908</v>
      </c>
      <c r="B213">
        <v>13913</v>
      </c>
      <c r="C213" t="s">
        <v>2911</v>
      </c>
      <c r="D213" s="129">
        <v>45778</v>
      </c>
      <c r="E213" s="129">
        <v>47604</v>
      </c>
      <c r="F213" s="124">
        <v>-262.53899999999999</v>
      </c>
      <c r="G213" s="125">
        <v>4.0084799323575365E-4</v>
      </c>
    </row>
    <row r="214" spans="1:7" ht="15" x14ac:dyDescent="0.25">
      <c r="A214">
        <v>13908</v>
      </c>
      <c r="B214">
        <v>13913</v>
      </c>
      <c r="C214" t="s">
        <v>2911</v>
      </c>
      <c r="D214" s="129">
        <v>45809</v>
      </c>
      <c r="E214" s="129">
        <v>47635</v>
      </c>
      <c r="F214" s="124">
        <v>0</v>
      </c>
      <c r="G214" s="125">
        <v>0</v>
      </c>
    </row>
    <row r="215" spans="1:7" ht="15" x14ac:dyDescent="0.25">
      <c r="A215">
        <v>13908</v>
      </c>
      <c r="B215">
        <v>13913</v>
      </c>
      <c r="C215" t="s">
        <v>2911</v>
      </c>
      <c r="D215" s="129">
        <v>45839</v>
      </c>
      <c r="E215" s="129">
        <v>47665</v>
      </c>
      <c r="F215" s="124">
        <v>-6.57</v>
      </c>
      <c r="G215" s="125">
        <v>1.0031162286589428E-5</v>
      </c>
    </row>
    <row r="216" spans="1:7" ht="15" x14ac:dyDescent="0.25">
      <c r="A216">
        <v>13908</v>
      </c>
      <c r="B216">
        <v>13913</v>
      </c>
      <c r="C216" t="s">
        <v>2911</v>
      </c>
      <c r="D216" s="129">
        <v>45870</v>
      </c>
      <c r="E216" s="129">
        <v>47696</v>
      </c>
      <c r="F216" s="124">
        <v>-108.08799999999999</v>
      </c>
      <c r="G216" s="125">
        <v>1.6503017796543043E-4</v>
      </c>
    </row>
    <row r="217" spans="1:7" ht="15" x14ac:dyDescent="0.25">
      <c r="A217">
        <v>13908</v>
      </c>
      <c r="B217">
        <v>13913</v>
      </c>
      <c r="C217" t="s">
        <v>2911</v>
      </c>
      <c r="D217" s="129">
        <v>45901</v>
      </c>
      <c r="E217" s="129">
        <v>47727</v>
      </c>
      <c r="F217" s="124">
        <v>-9.4770000000000003</v>
      </c>
      <c r="G217" s="125">
        <v>1.4469608065450229E-5</v>
      </c>
    </row>
    <row r="218" spans="1:7" ht="15" x14ac:dyDescent="0.25">
      <c r="A218">
        <v>13908</v>
      </c>
      <c r="B218">
        <v>13913</v>
      </c>
      <c r="C218" t="s">
        <v>2911</v>
      </c>
      <c r="D218" s="129">
        <v>45931</v>
      </c>
      <c r="E218" s="129">
        <v>47757</v>
      </c>
      <c r="F218" s="124">
        <v>6.97</v>
      </c>
      <c r="G218" s="125">
        <v>-1.0641887539958645E-5</v>
      </c>
    </row>
    <row r="219" spans="1:7" ht="15" x14ac:dyDescent="0.25">
      <c r="A219">
        <v>13908</v>
      </c>
      <c r="B219">
        <v>13913</v>
      </c>
      <c r="C219" t="s">
        <v>2911</v>
      </c>
      <c r="D219" s="129">
        <v>45962</v>
      </c>
      <c r="E219" s="129">
        <v>47788</v>
      </c>
      <c r="F219" s="124">
        <v>36.228000000000002</v>
      </c>
      <c r="G219" s="125">
        <v>-5.5313386197650191E-5</v>
      </c>
    </row>
    <row r="220" spans="1:7" ht="15" x14ac:dyDescent="0.25">
      <c r="A220">
        <v>13908</v>
      </c>
      <c r="B220">
        <v>13913</v>
      </c>
      <c r="C220" t="s">
        <v>2911</v>
      </c>
      <c r="D220" s="129">
        <v>45992</v>
      </c>
      <c r="E220" s="129">
        <v>47818</v>
      </c>
      <c r="F220" s="124">
        <v>-2.7429999999999999</v>
      </c>
      <c r="G220" s="125">
        <v>4.1880484249794207E-6</v>
      </c>
    </row>
    <row r="221" spans="1:7" ht="15" x14ac:dyDescent="0.25">
      <c r="A221">
        <v>13908</v>
      </c>
      <c r="B221">
        <v>13913</v>
      </c>
      <c r="C221" t="s">
        <v>2911</v>
      </c>
      <c r="D221" s="129">
        <v>46023</v>
      </c>
      <c r="E221" s="129">
        <v>47849</v>
      </c>
      <c r="F221" s="124">
        <v>-21.713000000000001</v>
      </c>
      <c r="G221" s="125">
        <v>3.3151693566014646E-5</v>
      </c>
    </row>
    <row r="222" spans="1:7" ht="15" x14ac:dyDescent="0.25">
      <c r="A222">
        <v>13908</v>
      </c>
      <c r="B222">
        <v>13913</v>
      </c>
      <c r="C222" t="s">
        <v>2911</v>
      </c>
      <c r="D222" s="129">
        <v>46054</v>
      </c>
      <c r="E222" s="129">
        <v>47880</v>
      </c>
      <c r="F222" s="124">
        <v>-4.2169999999999996</v>
      </c>
      <c r="G222" s="125">
        <v>6.4385709836449935E-6</v>
      </c>
    </row>
    <row r="223" spans="1:7" ht="15" x14ac:dyDescent="0.25">
      <c r="A223">
        <v>13908</v>
      </c>
      <c r="B223">
        <v>13913</v>
      </c>
      <c r="C223" t="s">
        <v>2911</v>
      </c>
      <c r="D223" s="129">
        <v>46082</v>
      </c>
      <c r="E223" s="129">
        <v>47908</v>
      </c>
      <c r="F223" s="124">
        <v>-1.895</v>
      </c>
      <c r="G223" s="125">
        <v>2.8933108878366764E-6</v>
      </c>
    </row>
    <row r="224" spans="1:7" ht="15" x14ac:dyDescent="0.25">
      <c r="A224">
        <v>13908</v>
      </c>
      <c r="B224">
        <v>13913</v>
      </c>
      <c r="C224" t="s">
        <v>2911</v>
      </c>
      <c r="D224" s="129">
        <v>46113</v>
      </c>
      <c r="E224" s="129">
        <v>47939</v>
      </c>
      <c r="F224" s="124">
        <v>0</v>
      </c>
      <c r="G224" s="125">
        <v>0</v>
      </c>
    </row>
    <row r="225" spans="1:7" ht="15" x14ac:dyDescent="0.25">
      <c r="A225">
        <v>13908</v>
      </c>
      <c r="B225">
        <v>13913</v>
      </c>
      <c r="C225" t="s">
        <v>2911</v>
      </c>
      <c r="D225" s="129">
        <v>46143</v>
      </c>
      <c r="E225" s="129">
        <v>47969</v>
      </c>
      <c r="F225" s="124">
        <v>5.1539999999999999</v>
      </c>
      <c r="G225" s="125">
        <v>-7.8691948896623903E-6</v>
      </c>
    </row>
    <row r="226" spans="1:7" ht="15" x14ac:dyDescent="0.25">
      <c r="A226">
        <v>13908</v>
      </c>
      <c r="B226">
        <v>13913</v>
      </c>
      <c r="C226" t="s">
        <v>2911</v>
      </c>
      <c r="D226" s="129">
        <v>46174</v>
      </c>
      <c r="E226" s="129">
        <v>48000</v>
      </c>
      <c r="F226" s="124">
        <v>5.55</v>
      </c>
      <c r="G226" s="125">
        <v>-8.4738128904979173E-6</v>
      </c>
    </row>
    <row r="227" spans="1:7" ht="15" x14ac:dyDescent="0.25">
      <c r="A227">
        <v>13908</v>
      </c>
      <c r="B227">
        <v>13914</v>
      </c>
      <c r="C227" t="s">
        <v>2911</v>
      </c>
      <c r="D227" s="129">
        <v>44835</v>
      </c>
      <c r="E227" s="129">
        <v>46661</v>
      </c>
      <c r="F227" s="124">
        <v>-58.847000000000001</v>
      </c>
      <c r="G227" s="125">
        <v>8.9848372462546114E-5</v>
      </c>
    </row>
    <row r="228" spans="1:7" ht="15" x14ac:dyDescent="0.25">
      <c r="A228">
        <v>13908</v>
      </c>
      <c r="B228">
        <v>13914</v>
      </c>
      <c r="C228" t="s">
        <v>2911</v>
      </c>
      <c r="D228" s="129">
        <v>44866</v>
      </c>
      <c r="E228" s="129">
        <v>46692</v>
      </c>
      <c r="F228" s="124">
        <v>-10.180999999999999</v>
      </c>
      <c r="G228" s="125">
        <v>1.5544484511380051E-5</v>
      </c>
    </row>
    <row r="229" spans="1:7" ht="15" x14ac:dyDescent="0.25">
      <c r="A229">
        <v>13908</v>
      </c>
      <c r="B229">
        <v>13914</v>
      </c>
      <c r="C229" t="s">
        <v>2911</v>
      </c>
      <c r="D229" s="129">
        <v>44896</v>
      </c>
      <c r="E229" s="129">
        <v>46722</v>
      </c>
      <c r="F229" s="124">
        <v>0</v>
      </c>
      <c r="G229" s="125">
        <v>0</v>
      </c>
    </row>
    <row r="230" spans="1:7" ht="15" x14ac:dyDescent="0.25">
      <c r="A230">
        <v>13908</v>
      </c>
      <c r="B230">
        <v>13914</v>
      </c>
      <c r="C230" t="s">
        <v>2911</v>
      </c>
      <c r="D230" s="129">
        <v>44927</v>
      </c>
      <c r="E230" s="129">
        <v>46753</v>
      </c>
      <c r="F230" s="124">
        <v>-12.407</v>
      </c>
      <c r="G230" s="125">
        <v>1.8943170546379758E-5</v>
      </c>
    </row>
    <row r="231" spans="1:7" ht="15" x14ac:dyDescent="0.25">
      <c r="A231">
        <v>13908</v>
      </c>
      <c r="B231">
        <v>13914</v>
      </c>
      <c r="C231" t="s">
        <v>2911</v>
      </c>
      <c r="D231" s="129">
        <v>44958</v>
      </c>
      <c r="E231" s="129">
        <v>46784</v>
      </c>
      <c r="F231" s="124">
        <v>-65.846999999999994</v>
      </c>
      <c r="G231" s="125">
        <v>1.0053606439650744E-4</v>
      </c>
    </row>
    <row r="232" spans="1:7" ht="15" x14ac:dyDescent="0.25">
      <c r="A232">
        <v>13908</v>
      </c>
      <c r="B232">
        <v>13914</v>
      </c>
      <c r="C232" t="s">
        <v>2911</v>
      </c>
      <c r="D232" s="129">
        <v>44986</v>
      </c>
      <c r="E232" s="129">
        <v>46813</v>
      </c>
      <c r="F232" s="124">
        <v>0</v>
      </c>
      <c r="G232" s="125">
        <v>0</v>
      </c>
    </row>
    <row r="233" spans="1:7" ht="15" x14ac:dyDescent="0.25">
      <c r="A233">
        <v>13908</v>
      </c>
      <c r="B233">
        <v>13914</v>
      </c>
      <c r="C233" t="s">
        <v>2911</v>
      </c>
      <c r="D233" s="129">
        <v>45017</v>
      </c>
      <c r="E233" s="129">
        <v>46844</v>
      </c>
      <c r="F233" s="124">
        <v>-28.638000000000002</v>
      </c>
      <c r="G233" s="125">
        <v>4.372487451496926E-5</v>
      </c>
    </row>
    <row r="234" spans="1:7" ht="15" x14ac:dyDescent="0.25">
      <c r="A234">
        <v>13908</v>
      </c>
      <c r="B234">
        <v>13914</v>
      </c>
      <c r="C234" t="s">
        <v>2911</v>
      </c>
      <c r="D234" s="129">
        <v>45047</v>
      </c>
      <c r="E234" s="129">
        <v>46874</v>
      </c>
      <c r="F234" s="124">
        <v>-45.121000000000002</v>
      </c>
      <c r="G234" s="125">
        <v>6.8891335393181355E-5</v>
      </c>
    </row>
    <row r="235" spans="1:7" ht="15" x14ac:dyDescent="0.25">
      <c r="A235">
        <v>13908</v>
      </c>
      <c r="B235">
        <v>13914</v>
      </c>
      <c r="C235" t="s">
        <v>2911</v>
      </c>
      <c r="D235" s="129">
        <v>45078</v>
      </c>
      <c r="E235" s="129">
        <v>46905</v>
      </c>
      <c r="F235" s="124">
        <v>-41.076999999999998</v>
      </c>
      <c r="G235" s="125">
        <v>6.2716903081618547E-5</v>
      </c>
    </row>
    <row r="236" spans="1:7" ht="15" x14ac:dyDescent="0.25">
      <c r="A236">
        <v>13908</v>
      </c>
      <c r="B236">
        <v>13914</v>
      </c>
      <c r="C236" t="s">
        <v>2911</v>
      </c>
      <c r="D236" s="129">
        <v>45108</v>
      </c>
      <c r="E236" s="129">
        <v>46935</v>
      </c>
      <c r="F236" s="124">
        <v>0</v>
      </c>
      <c r="G236" s="125">
        <v>0</v>
      </c>
    </row>
    <row r="237" spans="1:7" ht="15" x14ac:dyDescent="0.25">
      <c r="A237">
        <v>13908</v>
      </c>
      <c r="B237">
        <v>13914</v>
      </c>
      <c r="C237" t="s">
        <v>2911</v>
      </c>
      <c r="D237" s="129">
        <v>45139</v>
      </c>
      <c r="E237" s="129">
        <v>46966</v>
      </c>
      <c r="F237" s="124">
        <v>-5.6340000000000003</v>
      </c>
      <c r="G237" s="125">
        <v>8.6020651937054535E-6</v>
      </c>
    </row>
    <row r="238" spans="1:7" ht="15" x14ac:dyDescent="0.25">
      <c r="A238">
        <v>13908</v>
      </c>
      <c r="B238">
        <v>13914</v>
      </c>
      <c r="C238" t="s">
        <v>2911</v>
      </c>
      <c r="D238" s="129">
        <v>45170</v>
      </c>
      <c r="E238" s="129">
        <v>46997</v>
      </c>
      <c r="F238" s="124">
        <v>-32.058</v>
      </c>
      <c r="G238" s="125">
        <v>4.8946575431276076E-5</v>
      </c>
    </row>
    <row r="239" spans="1:7" ht="15" x14ac:dyDescent="0.25">
      <c r="A239">
        <v>13908</v>
      </c>
      <c r="B239">
        <v>13914</v>
      </c>
      <c r="C239" t="s">
        <v>2911</v>
      </c>
      <c r="D239" s="129">
        <v>45200</v>
      </c>
      <c r="E239" s="129">
        <v>47027</v>
      </c>
      <c r="F239" s="124">
        <v>-5.1999999999999998E-2</v>
      </c>
      <c r="G239" s="125">
        <v>7.9394282937998509E-8</v>
      </c>
    </row>
    <row r="240" spans="1:7" ht="15" x14ac:dyDescent="0.25">
      <c r="A240">
        <v>13908</v>
      </c>
      <c r="B240">
        <v>13914</v>
      </c>
      <c r="C240" t="s">
        <v>2911</v>
      </c>
      <c r="D240" s="129">
        <v>45231</v>
      </c>
      <c r="E240" s="129">
        <v>47058</v>
      </c>
      <c r="F240" s="124">
        <v>-105.509</v>
      </c>
      <c r="G240" s="125">
        <v>1.6109252689433239E-4</v>
      </c>
    </row>
    <row r="241" spans="1:7" ht="15" x14ac:dyDescent="0.25">
      <c r="A241">
        <v>13908</v>
      </c>
      <c r="B241">
        <v>13914</v>
      </c>
      <c r="C241" t="s">
        <v>2911</v>
      </c>
      <c r="D241" s="129">
        <v>45261</v>
      </c>
      <c r="E241" s="129">
        <v>47088</v>
      </c>
      <c r="F241" s="124">
        <v>0</v>
      </c>
      <c r="G241" s="125">
        <v>0</v>
      </c>
    </row>
    <row r="242" spans="1:7" ht="15" x14ac:dyDescent="0.25">
      <c r="A242">
        <v>13908</v>
      </c>
      <c r="B242">
        <v>13914</v>
      </c>
      <c r="C242" t="s">
        <v>2911</v>
      </c>
      <c r="D242" s="129">
        <v>45292</v>
      </c>
      <c r="E242" s="129">
        <v>47119</v>
      </c>
      <c r="F242" s="124">
        <v>-149.56299999999999</v>
      </c>
      <c r="G242" s="125">
        <v>2.2835475267415133E-4</v>
      </c>
    </row>
    <row r="243" spans="1:7" ht="15" x14ac:dyDescent="0.25">
      <c r="A243">
        <v>13908</v>
      </c>
      <c r="B243">
        <v>13914</v>
      </c>
      <c r="C243" t="s">
        <v>2911</v>
      </c>
      <c r="D243" s="129">
        <v>45323</v>
      </c>
      <c r="E243" s="129">
        <v>47150</v>
      </c>
      <c r="F243" s="124">
        <v>-299.22899999999998</v>
      </c>
      <c r="G243" s="125">
        <v>4.5686676710104528E-4</v>
      </c>
    </row>
    <row r="244" spans="1:7" ht="15" x14ac:dyDescent="0.25">
      <c r="A244">
        <v>13908</v>
      </c>
      <c r="B244">
        <v>13914</v>
      </c>
      <c r="C244" t="s">
        <v>2911</v>
      </c>
      <c r="D244" s="129">
        <v>45352</v>
      </c>
      <c r="E244" s="129">
        <v>47178</v>
      </c>
      <c r="F244" s="124">
        <v>13.91</v>
      </c>
      <c r="G244" s="125">
        <v>-2.1237970685914603E-5</v>
      </c>
    </row>
    <row r="245" spans="1:7" ht="15" x14ac:dyDescent="0.25">
      <c r="A245">
        <v>13908</v>
      </c>
      <c r="B245">
        <v>13914</v>
      </c>
      <c r="C245" t="s">
        <v>2911</v>
      </c>
      <c r="D245" s="129">
        <v>45383</v>
      </c>
      <c r="E245" s="129">
        <v>47209</v>
      </c>
      <c r="F245" s="124">
        <v>-2.169</v>
      </c>
      <c r="G245" s="125">
        <v>3.3116576863945916E-6</v>
      </c>
    </row>
    <row r="246" spans="1:7" ht="15" x14ac:dyDescent="0.25">
      <c r="A246">
        <v>13908</v>
      </c>
      <c r="B246">
        <v>13914</v>
      </c>
      <c r="C246" t="s">
        <v>2911</v>
      </c>
      <c r="D246" s="129">
        <v>45413</v>
      </c>
      <c r="E246" s="129">
        <v>47239</v>
      </c>
      <c r="F246" s="124">
        <v>-50.107999999999997</v>
      </c>
      <c r="G246" s="125">
        <v>7.6505552489562089E-5</v>
      </c>
    </row>
    <row r="247" spans="1:7" ht="15" x14ac:dyDescent="0.25">
      <c r="A247">
        <v>13908</v>
      </c>
      <c r="B247">
        <v>13914</v>
      </c>
      <c r="C247" t="s">
        <v>2911</v>
      </c>
      <c r="D247" s="129">
        <v>45444</v>
      </c>
      <c r="E247" s="129">
        <v>47270</v>
      </c>
      <c r="F247" s="124">
        <v>0</v>
      </c>
      <c r="G247" s="125">
        <v>0</v>
      </c>
    </row>
    <row r="248" spans="1:7" ht="15" x14ac:dyDescent="0.25">
      <c r="A248">
        <v>13908</v>
      </c>
      <c r="B248">
        <v>13914</v>
      </c>
      <c r="C248" t="s">
        <v>2911</v>
      </c>
      <c r="D248" s="129">
        <v>45474</v>
      </c>
      <c r="E248" s="129">
        <v>47300</v>
      </c>
      <c r="F248" s="124">
        <v>-56.174999999999997</v>
      </c>
      <c r="G248" s="125">
        <v>8.5768727770039731E-5</v>
      </c>
    </row>
    <row r="249" spans="1:7" ht="15" x14ac:dyDescent="0.25">
      <c r="A249">
        <v>13908</v>
      </c>
      <c r="B249">
        <v>13914</v>
      </c>
      <c r="C249" t="s">
        <v>2911</v>
      </c>
      <c r="D249" s="129">
        <v>45505</v>
      </c>
      <c r="E249" s="129">
        <v>47331</v>
      </c>
      <c r="F249" s="124">
        <v>0</v>
      </c>
      <c r="G249" s="125">
        <v>0</v>
      </c>
    </row>
    <row r="250" spans="1:7" ht="15" x14ac:dyDescent="0.25">
      <c r="A250">
        <v>13908</v>
      </c>
      <c r="B250">
        <v>13914</v>
      </c>
      <c r="C250" t="s">
        <v>2911</v>
      </c>
      <c r="D250" s="129">
        <v>45536</v>
      </c>
      <c r="E250" s="129">
        <v>47362</v>
      </c>
      <c r="F250" s="124">
        <v>29.831</v>
      </c>
      <c r="G250" s="125">
        <v>-4.5546362583142947E-5</v>
      </c>
    </row>
    <row r="251" spans="1:7" ht="15" x14ac:dyDescent="0.25">
      <c r="A251">
        <v>13908</v>
      </c>
      <c r="B251">
        <v>13914</v>
      </c>
      <c r="C251" t="s">
        <v>2911</v>
      </c>
      <c r="D251" s="129">
        <v>45566</v>
      </c>
      <c r="E251" s="129">
        <v>47392</v>
      </c>
      <c r="F251" s="124">
        <v>0</v>
      </c>
      <c r="G251" s="125">
        <v>0</v>
      </c>
    </row>
    <row r="252" spans="1:7" ht="15" x14ac:dyDescent="0.25">
      <c r="A252">
        <v>13908</v>
      </c>
      <c r="B252">
        <v>13914</v>
      </c>
      <c r="C252" t="s">
        <v>2911</v>
      </c>
      <c r="D252" s="129">
        <v>45597</v>
      </c>
      <c r="E252" s="129">
        <v>47423</v>
      </c>
      <c r="F252" s="124">
        <v>73.988</v>
      </c>
      <c r="G252" s="125">
        <v>-1.1296585011570449E-4</v>
      </c>
    </row>
    <row r="253" spans="1:7" ht="15" x14ac:dyDescent="0.25">
      <c r="A253">
        <v>13908</v>
      </c>
      <c r="B253">
        <v>13914</v>
      </c>
      <c r="C253" t="s">
        <v>2911</v>
      </c>
      <c r="D253" s="129">
        <v>45627</v>
      </c>
      <c r="E253" s="129">
        <v>47453</v>
      </c>
      <c r="F253" s="124">
        <v>0</v>
      </c>
      <c r="G253" s="125">
        <v>0</v>
      </c>
    </row>
    <row r="254" spans="1:7" ht="15" x14ac:dyDescent="0.25">
      <c r="A254">
        <v>13908</v>
      </c>
      <c r="B254">
        <v>13914</v>
      </c>
      <c r="C254" t="s">
        <v>2911</v>
      </c>
      <c r="D254" s="129">
        <v>45658</v>
      </c>
      <c r="E254" s="129">
        <v>47484</v>
      </c>
      <c r="F254" s="124">
        <v>-7.0579999999999998</v>
      </c>
      <c r="G254" s="125">
        <v>1.0776247095699873E-5</v>
      </c>
    </row>
    <row r="255" spans="1:7" ht="15" x14ac:dyDescent="0.25">
      <c r="A255">
        <v>13908</v>
      </c>
      <c r="B255">
        <v>13914</v>
      </c>
      <c r="C255" t="s">
        <v>2911</v>
      </c>
      <c r="D255" s="129">
        <v>45689</v>
      </c>
      <c r="E255" s="129">
        <v>47515</v>
      </c>
      <c r="F255" s="124">
        <v>4.4169999999999998</v>
      </c>
      <c r="G255" s="125">
        <v>-6.7439336103296039E-6</v>
      </c>
    </row>
    <row r="256" spans="1:7" ht="15" x14ac:dyDescent="0.25">
      <c r="A256">
        <v>13908</v>
      </c>
      <c r="B256">
        <v>13914</v>
      </c>
      <c r="C256" t="s">
        <v>2911</v>
      </c>
      <c r="D256" s="129">
        <v>45717</v>
      </c>
      <c r="E256" s="129">
        <v>47543</v>
      </c>
      <c r="F256" s="124">
        <v>53.710999999999999</v>
      </c>
      <c r="G256" s="125">
        <v>-8.200666020928534E-5</v>
      </c>
    </row>
    <row r="257" spans="1:7" ht="15" x14ac:dyDescent="0.25">
      <c r="A257">
        <v>13908</v>
      </c>
      <c r="B257">
        <v>13914</v>
      </c>
      <c r="C257" t="s">
        <v>2911</v>
      </c>
      <c r="D257" s="129">
        <v>45748</v>
      </c>
      <c r="E257" s="129">
        <v>47574</v>
      </c>
      <c r="F257" s="124">
        <v>-75.709000000000003</v>
      </c>
      <c r="G257" s="125">
        <v>1.1559349551832557E-4</v>
      </c>
    </row>
    <row r="258" spans="1:7" ht="15" x14ac:dyDescent="0.25">
      <c r="A258">
        <v>13908</v>
      </c>
      <c r="B258">
        <v>13914</v>
      </c>
      <c r="C258" t="s">
        <v>2911</v>
      </c>
      <c r="D258" s="129">
        <v>45778</v>
      </c>
      <c r="E258" s="129">
        <v>47604</v>
      </c>
      <c r="F258" s="124">
        <v>0</v>
      </c>
      <c r="G258" s="125">
        <v>0</v>
      </c>
    </row>
    <row r="259" spans="1:7" ht="15" x14ac:dyDescent="0.25">
      <c r="A259">
        <v>13908</v>
      </c>
      <c r="B259">
        <v>13914</v>
      </c>
      <c r="C259" t="s">
        <v>2911</v>
      </c>
      <c r="D259" s="129">
        <v>45809</v>
      </c>
      <c r="E259" s="129">
        <v>47635</v>
      </c>
      <c r="F259" s="124">
        <v>0</v>
      </c>
      <c r="G259" s="125">
        <v>0</v>
      </c>
    </row>
    <row r="260" spans="1:7" ht="15" x14ac:dyDescent="0.25">
      <c r="A260">
        <v>13908</v>
      </c>
      <c r="B260">
        <v>13914</v>
      </c>
      <c r="C260" t="s">
        <v>2911</v>
      </c>
      <c r="D260" s="129">
        <v>45839</v>
      </c>
      <c r="E260" s="129">
        <v>47665</v>
      </c>
      <c r="F260" s="124">
        <v>27.131</v>
      </c>
      <c r="G260" s="125">
        <v>-4.1423967122900725E-5</v>
      </c>
    </row>
    <row r="261" spans="1:7" ht="15" x14ac:dyDescent="0.25">
      <c r="A261">
        <v>13908</v>
      </c>
      <c r="B261">
        <v>13914</v>
      </c>
      <c r="C261" t="s">
        <v>2911</v>
      </c>
      <c r="D261" s="129">
        <v>45870</v>
      </c>
      <c r="E261" s="129">
        <v>47696</v>
      </c>
      <c r="F261" s="124">
        <v>-4.2450000000000001</v>
      </c>
      <c r="G261" s="125">
        <v>6.4813217513808395E-6</v>
      </c>
    </row>
    <row r="262" spans="1:7" ht="15" x14ac:dyDescent="0.25">
      <c r="A262">
        <v>13908</v>
      </c>
      <c r="B262">
        <v>13914</v>
      </c>
      <c r="C262" t="s">
        <v>2911</v>
      </c>
      <c r="D262" s="129">
        <v>45901</v>
      </c>
      <c r="E262" s="129">
        <v>47727</v>
      </c>
      <c r="F262" s="124">
        <v>0</v>
      </c>
      <c r="G262" s="125">
        <v>0</v>
      </c>
    </row>
    <row r="263" spans="1:7" ht="15" x14ac:dyDescent="0.25">
      <c r="A263">
        <v>13908</v>
      </c>
      <c r="B263">
        <v>13914</v>
      </c>
      <c r="C263" t="s">
        <v>2911</v>
      </c>
      <c r="D263" s="129">
        <v>45931</v>
      </c>
      <c r="E263" s="129">
        <v>47757</v>
      </c>
      <c r="F263" s="124">
        <v>-44.767000000000003</v>
      </c>
      <c r="G263" s="125">
        <v>6.8350843543949597E-5</v>
      </c>
    </row>
    <row r="264" spans="1:7" ht="15" x14ac:dyDescent="0.25">
      <c r="A264">
        <v>13908</v>
      </c>
      <c r="B264">
        <v>13914</v>
      </c>
      <c r="C264" t="s">
        <v>2911</v>
      </c>
      <c r="D264" s="129">
        <v>45962</v>
      </c>
      <c r="E264" s="129">
        <v>47788</v>
      </c>
      <c r="F264" s="124">
        <v>-0.14899999999999999</v>
      </c>
      <c r="G264" s="125">
        <v>2.2749515688003417E-7</v>
      </c>
    </row>
    <row r="265" spans="1:7" ht="15" x14ac:dyDescent="0.25">
      <c r="A265">
        <v>13908</v>
      </c>
      <c r="B265">
        <v>13914</v>
      </c>
      <c r="C265" t="s">
        <v>2911</v>
      </c>
      <c r="D265" s="129">
        <v>45992</v>
      </c>
      <c r="E265" s="129">
        <v>47818</v>
      </c>
      <c r="F265" s="124">
        <v>-7.726</v>
      </c>
      <c r="G265" s="125">
        <v>1.1796158268826471E-5</v>
      </c>
    </row>
    <row r="266" spans="1:7" ht="15" x14ac:dyDescent="0.25">
      <c r="A266">
        <v>13908</v>
      </c>
      <c r="B266">
        <v>13914</v>
      </c>
      <c r="C266" t="s">
        <v>2911</v>
      </c>
      <c r="D266" s="129">
        <v>46023</v>
      </c>
      <c r="E266" s="129">
        <v>47849</v>
      </c>
      <c r="F266" s="124">
        <v>-36.320999999999998</v>
      </c>
      <c r="G266" s="125">
        <v>5.5455379819058532E-5</v>
      </c>
    </row>
    <row r="267" spans="1:7" ht="15" x14ac:dyDescent="0.25">
      <c r="A267">
        <v>13908</v>
      </c>
      <c r="B267">
        <v>13914</v>
      </c>
      <c r="C267" t="s">
        <v>2911</v>
      </c>
      <c r="D267" s="129">
        <v>46054</v>
      </c>
      <c r="E267" s="129">
        <v>47880</v>
      </c>
      <c r="F267" s="124">
        <v>-25.472999999999999</v>
      </c>
      <c r="G267" s="125">
        <v>3.8892510947685305E-5</v>
      </c>
    </row>
    <row r="268" spans="1:7" ht="15" x14ac:dyDescent="0.25">
      <c r="A268">
        <v>13908</v>
      </c>
      <c r="B268">
        <v>13914</v>
      </c>
      <c r="C268" t="s">
        <v>2911</v>
      </c>
      <c r="D268" s="129">
        <v>46082</v>
      </c>
      <c r="E268" s="129">
        <v>47908</v>
      </c>
      <c r="F268" s="124">
        <v>-1.8360000000000001</v>
      </c>
      <c r="G268" s="125">
        <v>2.8032289129647167E-6</v>
      </c>
    </row>
    <row r="269" spans="1:7" ht="15" x14ac:dyDescent="0.25">
      <c r="A269">
        <v>13908</v>
      </c>
      <c r="B269">
        <v>13914</v>
      </c>
      <c r="C269" t="s">
        <v>2911</v>
      </c>
      <c r="D269" s="129">
        <v>46113</v>
      </c>
      <c r="E269" s="129">
        <v>47939</v>
      </c>
      <c r="F269" s="124">
        <v>0</v>
      </c>
      <c r="G269" s="125">
        <v>0</v>
      </c>
    </row>
    <row r="270" spans="1:7" ht="15" x14ac:dyDescent="0.25">
      <c r="A270">
        <v>13908</v>
      </c>
      <c r="B270">
        <v>13914</v>
      </c>
      <c r="C270" t="s">
        <v>2911</v>
      </c>
      <c r="D270" s="129">
        <v>46143</v>
      </c>
      <c r="E270" s="129">
        <v>47969</v>
      </c>
      <c r="F270" s="124">
        <v>0</v>
      </c>
      <c r="G270" s="125">
        <v>0</v>
      </c>
    </row>
    <row r="271" spans="1:7" ht="15" x14ac:dyDescent="0.25">
      <c r="A271">
        <v>13908</v>
      </c>
      <c r="B271">
        <v>13914</v>
      </c>
      <c r="C271" t="s">
        <v>2911</v>
      </c>
      <c r="D271" s="129">
        <v>46174</v>
      </c>
      <c r="E271" s="129">
        <v>48000</v>
      </c>
      <c r="F271" s="124">
        <v>3.6930000000000001</v>
      </c>
      <c r="G271" s="125">
        <v>-5.638520901731317E-6</v>
      </c>
    </row>
    <row r="272" spans="1:7" ht="15" x14ac:dyDescent="0.25">
      <c r="A272">
        <v>13908</v>
      </c>
      <c r="B272">
        <v>13915</v>
      </c>
      <c r="C272" t="s">
        <v>2911</v>
      </c>
      <c r="D272" s="129">
        <v>44835</v>
      </c>
      <c r="E272" s="129">
        <v>46661</v>
      </c>
      <c r="F272" s="124">
        <v>-38.387999999999998</v>
      </c>
      <c r="G272" s="125">
        <v>5.8611302565843973E-5</v>
      </c>
    </row>
    <row r="273" spans="1:7" ht="15" x14ac:dyDescent="0.25">
      <c r="A273">
        <v>13908</v>
      </c>
      <c r="B273">
        <v>13915</v>
      </c>
      <c r="C273" t="s">
        <v>2911</v>
      </c>
      <c r="D273" s="129">
        <v>44866</v>
      </c>
      <c r="E273" s="129">
        <v>46692</v>
      </c>
      <c r="F273" s="124">
        <v>-38.837000000000003</v>
      </c>
      <c r="G273" s="125">
        <v>5.9296841662750931E-5</v>
      </c>
    </row>
    <row r="274" spans="1:7" ht="15" x14ac:dyDescent="0.25">
      <c r="A274">
        <v>13908</v>
      </c>
      <c r="B274">
        <v>13915</v>
      </c>
      <c r="C274" t="s">
        <v>2911</v>
      </c>
      <c r="D274" s="129">
        <v>44896</v>
      </c>
      <c r="E274" s="129">
        <v>46722</v>
      </c>
      <c r="F274" s="124">
        <v>-22.411999999999999</v>
      </c>
      <c r="G274" s="125">
        <v>3.4218935946277353E-5</v>
      </c>
    </row>
    <row r="275" spans="1:7" ht="15" x14ac:dyDescent="0.25">
      <c r="A275">
        <v>13908</v>
      </c>
      <c r="B275">
        <v>13915</v>
      </c>
      <c r="C275" t="s">
        <v>2911</v>
      </c>
      <c r="D275" s="129">
        <v>44927</v>
      </c>
      <c r="E275" s="129">
        <v>46753</v>
      </c>
      <c r="F275" s="124">
        <v>-94.314999999999998</v>
      </c>
      <c r="G275" s="125">
        <v>1.4400138067879479E-4</v>
      </c>
    </row>
    <row r="276" spans="1:7" ht="15" x14ac:dyDescent="0.25">
      <c r="A276">
        <v>13908</v>
      </c>
      <c r="B276">
        <v>13915</v>
      </c>
      <c r="C276" t="s">
        <v>2911</v>
      </c>
      <c r="D276" s="129">
        <v>44958</v>
      </c>
      <c r="E276" s="129">
        <v>46784</v>
      </c>
      <c r="F276" s="124">
        <v>-36.311</v>
      </c>
      <c r="G276" s="125">
        <v>5.5440111687724307E-5</v>
      </c>
    </row>
    <row r="277" spans="1:7" ht="15" x14ac:dyDescent="0.25">
      <c r="A277">
        <v>13908</v>
      </c>
      <c r="B277">
        <v>13915</v>
      </c>
      <c r="C277" t="s">
        <v>2911</v>
      </c>
      <c r="D277" s="129">
        <v>44986</v>
      </c>
      <c r="E277" s="129">
        <v>46813</v>
      </c>
      <c r="F277" s="124">
        <v>-46.69</v>
      </c>
      <c r="G277" s="125">
        <v>7.1286905199522118E-5</v>
      </c>
    </row>
    <row r="278" spans="1:7" ht="15" x14ac:dyDescent="0.25">
      <c r="A278">
        <v>13908</v>
      </c>
      <c r="B278">
        <v>13915</v>
      </c>
      <c r="C278" t="s">
        <v>2911</v>
      </c>
      <c r="D278" s="129">
        <v>45017</v>
      </c>
      <c r="E278" s="129">
        <v>46844</v>
      </c>
      <c r="F278" s="124">
        <v>-504.82100000000003</v>
      </c>
      <c r="G278" s="125">
        <v>7.7076733282775668E-4</v>
      </c>
    </row>
    <row r="279" spans="1:7" ht="15" x14ac:dyDescent="0.25">
      <c r="A279">
        <v>13908</v>
      </c>
      <c r="B279">
        <v>13915</v>
      </c>
      <c r="C279" t="s">
        <v>2911</v>
      </c>
      <c r="D279" s="129">
        <v>45047</v>
      </c>
      <c r="E279" s="129">
        <v>46874</v>
      </c>
      <c r="F279" s="124">
        <v>-146.952</v>
      </c>
      <c r="G279" s="125">
        <v>2.2436824358278379E-4</v>
      </c>
    </row>
    <row r="280" spans="1:7" ht="15" x14ac:dyDescent="0.25">
      <c r="A280">
        <v>13908</v>
      </c>
      <c r="B280">
        <v>13915</v>
      </c>
      <c r="C280" t="s">
        <v>2911</v>
      </c>
      <c r="D280" s="129">
        <v>45078</v>
      </c>
      <c r="E280" s="129">
        <v>46905</v>
      </c>
      <c r="F280" s="124">
        <v>-674.83500000000004</v>
      </c>
      <c r="G280" s="125">
        <v>1.0303469408935429E-3</v>
      </c>
    </row>
    <row r="281" spans="1:7" ht="15" x14ac:dyDescent="0.25">
      <c r="A281">
        <v>13908</v>
      </c>
      <c r="B281">
        <v>13915</v>
      </c>
      <c r="C281" t="s">
        <v>2911</v>
      </c>
      <c r="D281" s="129">
        <v>45108</v>
      </c>
      <c r="E281" s="129">
        <v>46935</v>
      </c>
      <c r="F281" s="124">
        <v>-422.06700000000001</v>
      </c>
      <c r="G281" s="125">
        <v>6.4441743878446568E-4</v>
      </c>
    </row>
    <row r="282" spans="1:7" ht="15" x14ac:dyDescent="0.25">
      <c r="A282">
        <v>13908</v>
      </c>
      <c r="B282">
        <v>13915</v>
      </c>
      <c r="C282" t="s">
        <v>2911</v>
      </c>
      <c r="D282" s="129">
        <v>45139</v>
      </c>
      <c r="E282" s="129">
        <v>46966</v>
      </c>
      <c r="F282" s="124">
        <v>-816.53</v>
      </c>
      <c r="G282" s="125">
        <v>1.2466887278339215E-3</v>
      </c>
    </row>
    <row r="283" spans="1:7" ht="15" x14ac:dyDescent="0.25">
      <c r="A283">
        <v>13908</v>
      </c>
      <c r="B283">
        <v>13915</v>
      </c>
      <c r="C283" t="s">
        <v>2911</v>
      </c>
      <c r="D283" s="129">
        <v>45170</v>
      </c>
      <c r="E283" s="129">
        <v>46997</v>
      </c>
      <c r="F283" s="124">
        <v>-1620.2539999999999</v>
      </c>
      <c r="G283" s="125">
        <v>2.4738250866812275E-3</v>
      </c>
    </row>
    <row r="284" spans="1:7" ht="15" x14ac:dyDescent="0.25">
      <c r="A284">
        <v>13908</v>
      </c>
      <c r="B284">
        <v>13915</v>
      </c>
      <c r="C284" t="s">
        <v>2911</v>
      </c>
      <c r="D284" s="129">
        <v>45200</v>
      </c>
      <c r="E284" s="129">
        <v>47027</v>
      </c>
      <c r="F284" s="124">
        <v>-530.79300000000001</v>
      </c>
      <c r="G284" s="125">
        <v>8.1042172352902009E-4</v>
      </c>
    </row>
    <row r="285" spans="1:7" ht="15" x14ac:dyDescent="0.25">
      <c r="A285">
        <v>13908</v>
      </c>
      <c r="B285">
        <v>13915</v>
      </c>
      <c r="C285" t="s">
        <v>2911</v>
      </c>
      <c r="D285" s="129">
        <v>45231</v>
      </c>
      <c r="E285" s="129">
        <v>47058</v>
      </c>
      <c r="F285" s="124">
        <v>-1096.83</v>
      </c>
      <c r="G285" s="125">
        <v>1.6746544491324019E-3</v>
      </c>
    </row>
    <row r="286" spans="1:7" ht="15" x14ac:dyDescent="0.25">
      <c r="A286">
        <v>13908</v>
      </c>
      <c r="B286">
        <v>13915</v>
      </c>
      <c r="C286" t="s">
        <v>2911</v>
      </c>
      <c r="D286" s="129">
        <v>45261</v>
      </c>
      <c r="E286" s="129">
        <v>47088</v>
      </c>
      <c r="F286" s="124">
        <v>-727.31899999999996</v>
      </c>
      <c r="G286" s="125">
        <v>1.110480201388118E-3</v>
      </c>
    </row>
    <row r="287" spans="1:7" ht="15" x14ac:dyDescent="0.25">
      <c r="A287">
        <v>13908</v>
      </c>
      <c r="B287">
        <v>13915</v>
      </c>
      <c r="C287" t="s">
        <v>2911</v>
      </c>
      <c r="D287" s="129">
        <v>45292</v>
      </c>
      <c r="E287" s="129">
        <v>47119</v>
      </c>
      <c r="F287" s="124">
        <v>-1135.27</v>
      </c>
      <c r="G287" s="125">
        <v>1.733345145981184E-3</v>
      </c>
    </row>
    <row r="288" spans="1:7" ht="15" x14ac:dyDescent="0.25">
      <c r="A288">
        <v>13908</v>
      </c>
      <c r="B288">
        <v>13915</v>
      </c>
      <c r="C288" t="s">
        <v>2911</v>
      </c>
      <c r="D288" s="129">
        <v>45323</v>
      </c>
      <c r="E288" s="129">
        <v>47150</v>
      </c>
      <c r="F288" s="124">
        <v>-1135.6500000000001</v>
      </c>
      <c r="G288" s="125">
        <v>1.7339253349718847E-3</v>
      </c>
    </row>
    <row r="289" spans="1:7" ht="15" x14ac:dyDescent="0.25">
      <c r="A289">
        <v>13908</v>
      </c>
      <c r="B289">
        <v>13915</v>
      </c>
      <c r="C289" t="s">
        <v>2911</v>
      </c>
      <c r="D289" s="129">
        <v>45352</v>
      </c>
      <c r="E289" s="129">
        <v>47178</v>
      </c>
      <c r="F289" s="124">
        <v>-717.80700000000002</v>
      </c>
      <c r="G289" s="125">
        <v>1.0959571548629979E-3</v>
      </c>
    </row>
    <row r="290" spans="1:7" ht="15" x14ac:dyDescent="0.25">
      <c r="A290">
        <v>13908</v>
      </c>
      <c r="B290">
        <v>13915</v>
      </c>
      <c r="C290" t="s">
        <v>2911</v>
      </c>
      <c r="D290" s="129">
        <v>45383</v>
      </c>
      <c r="E290" s="129">
        <v>47209</v>
      </c>
      <c r="F290" s="124">
        <v>-1390.5640000000001</v>
      </c>
      <c r="G290" s="125">
        <v>2.1231313780652877E-3</v>
      </c>
    </row>
    <row r="291" spans="1:7" ht="15" x14ac:dyDescent="0.25">
      <c r="A291">
        <v>13908</v>
      </c>
      <c r="B291">
        <v>13915</v>
      </c>
      <c r="C291" t="s">
        <v>2911</v>
      </c>
      <c r="D291" s="129">
        <v>45413</v>
      </c>
      <c r="E291" s="129">
        <v>47239</v>
      </c>
      <c r="F291" s="124">
        <v>-837.94100000000003</v>
      </c>
      <c r="G291" s="125">
        <v>1.2793793238336424E-3</v>
      </c>
    </row>
    <row r="292" spans="1:7" ht="15" x14ac:dyDescent="0.25">
      <c r="A292">
        <v>13908</v>
      </c>
      <c r="B292">
        <v>13915</v>
      </c>
      <c r="C292" t="s">
        <v>2911</v>
      </c>
      <c r="D292" s="129">
        <v>45444</v>
      </c>
      <c r="E292" s="129">
        <v>47270</v>
      </c>
      <c r="F292" s="124">
        <v>-1553.4970000000001</v>
      </c>
      <c r="G292" s="125">
        <v>2.3718996223333053E-3</v>
      </c>
    </row>
    <row r="293" spans="1:7" ht="15" x14ac:dyDescent="0.25">
      <c r="A293">
        <v>13908</v>
      </c>
      <c r="B293">
        <v>13915</v>
      </c>
      <c r="C293" t="s">
        <v>2911</v>
      </c>
      <c r="D293" s="129">
        <v>45474</v>
      </c>
      <c r="E293" s="129">
        <v>47300</v>
      </c>
      <c r="F293" s="124">
        <v>-430.47899999999998</v>
      </c>
      <c r="G293" s="125">
        <v>6.572609908628204E-4</v>
      </c>
    </row>
    <row r="294" spans="1:7" ht="15" x14ac:dyDescent="0.25">
      <c r="A294">
        <v>13908</v>
      </c>
      <c r="B294">
        <v>13915</v>
      </c>
      <c r="C294" t="s">
        <v>2911</v>
      </c>
      <c r="D294" s="129">
        <v>45505</v>
      </c>
      <c r="E294" s="129">
        <v>47331</v>
      </c>
      <c r="F294" s="124">
        <v>-447.92700000000002</v>
      </c>
      <c r="G294" s="125">
        <v>6.8390082641478576E-4</v>
      </c>
    </row>
    <row r="295" spans="1:7" ht="15" x14ac:dyDescent="0.25">
      <c r="A295">
        <v>13908</v>
      </c>
      <c r="B295">
        <v>13915</v>
      </c>
      <c r="C295" t="s">
        <v>2911</v>
      </c>
      <c r="D295" s="129">
        <v>45536</v>
      </c>
      <c r="E295" s="129">
        <v>47362</v>
      </c>
      <c r="F295" s="124">
        <v>-912.99800000000005</v>
      </c>
      <c r="G295" s="125">
        <v>1.3939773371889762E-3</v>
      </c>
    </row>
    <row r="296" spans="1:7" ht="15" x14ac:dyDescent="0.25">
      <c r="A296">
        <v>13908</v>
      </c>
      <c r="B296">
        <v>13915</v>
      </c>
      <c r="C296" t="s">
        <v>2911</v>
      </c>
      <c r="D296" s="129">
        <v>45566</v>
      </c>
      <c r="E296" s="129">
        <v>47392</v>
      </c>
      <c r="F296" s="124">
        <v>-1014.4450000000001</v>
      </c>
      <c r="G296" s="125">
        <v>1.5488679491353443E-3</v>
      </c>
    </row>
    <row r="297" spans="1:7" ht="15" x14ac:dyDescent="0.25">
      <c r="A297">
        <v>13908</v>
      </c>
      <c r="B297">
        <v>13915</v>
      </c>
      <c r="C297" t="s">
        <v>2911</v>
      </c>
      <c r="D297" s="129">
        <v>45597</v>
      </c>
      <c r="E297" s="129">
        <v>47423</v>
      </c>
      <c r="F297" s="124">
        <v>-817.06200000000001</v>
      </c>
      <c r="G297" s="125">
        <v>1.2475009924209025E-3</v>
      </c>
    </row>
    <row r="298" spans="1:7" ht="15" x14ac:dyDescent="0.25">
      <c r="A298">
        <v>13908</v>
      </c>
      <c r="B298">
        <v>13915</v>
      </c>
      <c r="C298" t="s">
        <v>2911</v>
      </c>
      <c r="D298" s="129">
        <v>45627</v>
      </c>
      <c r="E298" s="129">
        <v>47453</v>
      </c>
      <c r="F298" s="124">
        <v>-931.20100000000002</v>
      </c>
      <c r="G298" s="125">
        <v>1.4217699166566759E-3</v>
      </c>
    </row>
    <row r="299" spans="1:7" ht="15" x14ac:dyDescent="0.25">
      <c r="A299">
        <v>13908</v>
      </c>
      <c r="B299">
        <v>13915</v>
      </c>
      <c r="C299" t="s">
        <v>2911</v>
      </c>
      <c r="D299" s="129">
        <v>45658</v>
      </c>
      <c r="E299" s="129">
        <v>47484</v>
      </c>
      <c r="F299" s="124">
        <v>-817.67</v>
      </c>
      <c r="G299" s="125">
        <v>1.2484292948060237E-3</v>
      </c>
    </row>
    <row r="300" spans="1:7" ht="15" x14ac:dyDescent="0.25">
      <c r="A300">
        <v>13908</v>
      </c>
      <c r="B300">
        <v>13915</v>
      </c>
      <c r="C300" t="s">
        <v>2911</v>
      </c>
      <c r="D300" s="129">
        <v>45689</v>
      </c>
      <c r="E300" s="129">
        <v>47515</v>
      </c>
      <c r="F300" s="124">
        <v>-331.53100000000001</v>
      </c>
      <c r="G300" s="125">
        <v>5.0618588493687663E-4</v>
      </c>
    </row>
    <row r="301" spans="1:7" ht="15" x14ac:dyDescent="0.25">
      <c r="A301">
        <v>13908</v>
      </c>
      <c r="B301">
        <v>13915</v>
      </c>
      <c r="C301" t="s">
        <v>2911</v>
      </c>
      <c r="D301" s="129">
        <v>45717</v>
      </c>
      <c r="E301" s="129">
        <v>47543</v>
      </c>
      <c r="F301" s="124">
        <v>-114.931</v>
      </c>
      <c r="G301" s="125">
        <v>1.7547816023744434E-4</v>
      </c>
    </row>
    <row r="302" spans="1:7" ht="15" x14ac:dyDescent="0.25">
      <c r="A302">
        <v>13908</v>
      </c>
      <c r="B302">
        <v>13915</v>
      </c>
      <c r="C302" t="s">
        <v>2911</v>
      </c>
      <c r="D302" s="129">
        <v>45748</v>
      </c>
      <c r="E302" s="129">
        <v>47574</v>
      </c>
      <c r="F302" s="124">
        <v>-184.90700000000001</v>
      </c>
      <c r="G302" s="125">
        <v>2.8231843606185561E-4</v>
      </c>
    </row>
    <row r="303" spans="1:7" ht="15" x14ac:dyDescent="0.25">
      <c r="A303">
        <v>13908</v>
      </c>
      <c r="B303">
        <v>13915</v>
      </c>
      <c r="C303" t="s">
        <v>2911</v>
      </c>
      <c r="D303" s="129">
        <v>45778</v>
      </c>
      <c r="E303" s="129">
        <v>47604</v>
      </c>
      <c r="F303" s="124">
        <v>0</v>
      </c>
      <c r="G303" s="125">
        <v>0</v>
      </c>
    </row>
    <row r="304" spans="1:7" ht="15" x14ac:dyDescent="0.25">
      <c r="A304">
        <v>13908</v>
      </c>
      <c r="B304">
        <v>13915</v>
      </c>
      <c r="C304" t="s">
        <v>2911</v>
      </c>
      <c r="D304" s="129">
        <v>45809</v>
      </c>
      <c r="E304" s="129">
        <v>47635</v>
      </c>
      <c r="F304" s="124">
        <v>-521.64400000000001</v>
      </c>
      <c r="G304" s="125">
        <v>7.9645291017133252E-4</v>
      </c>
    </row>
    <row r="305" spans="1:7" ht="15" x14ac:dyDescent="0.25">
      <c r="A305">
        <v>13908</v>
      </c>
      <c r="B305">
        <v>13915</v>
      </c>
      <c r="C305" t="s">
        <v>2911</v>
      </c>
      <c r="D305" s="129">
        <v>45839</v>
      </c>
      <c r="E305" s="129">
        <v>47665</v>
      </c>
      <c r="F305" s="124">
        <v>-88.382999999999996</v>
      </c>
      <c r="G305" s="125">
        <v>1.3494432517132928E-4</v>
      </c>
    </row>
    <row r="306" spans="1:7" ht="15" x14ac:dyDescent="0.25">
      <c r="A306">
        <v>13908</v>
      </c>
      <c r="B306">
        <v>13915</v>
      </c>
      <c r="C306" t="s">
        <v>2911</v>
      </c>
      <c r="D306" s="129">
        <v>45870</v>
      </c>
      <c r="E306" s="129">
        <v>47696</v>
      </c>
      <c r="F306" s="124">
        <v>-43.584000000000003</v>
      </c>
      <c r="G306" s="125">
        <v>6.6544623607110143E-5</v>
      </c>
    </row>
    <row r="307" spans="1:7" ht="15" x14ac:dyDescent="0.25">
      <c r="A307">
        <v>13908</v>
      </c>
      <c r="B307">
        <v>13915</v>
      </c>
      <c r="C307" t="s">
        <v>2911</v>
      </c>
      <c r="D307" s="129">
        <v>45901</v>
      </c>
      <c r="E307" s="129">
        <v>47727</v>
      </c>
      <c r="F307" s="124">
        <v>0</v>
      </c>
      <c r="G307" s="125">
        <v>0</v>
      </c>
    </row>
    <row r="308" spans="1:7" ht="15" x14ac:dyDescent="0.25">
      <c r="A308">
        <v>13908</v>
      </c>
      <c r="B308">
        <v>13915</v>
      </c>
      <c r="C308" t="s">
        <v>2911</v>
      </c>
      <c r="D308" s="129">
        <v>45931</v>
      </c>
      <c r="E308" s="129">
        <v>47757</v>
      </c>
      <c r="F308" s="124">
        <v>-114.46299999999999</v>
      </c>
      <c r="G308" s="125">
        <v>1.7476361169100235E-4</v>
      </c>
    </row>
    <row r="309" spans="1:7" ht="15" x14ac:dyDescent="0.25">
      <c r="A309">
        <v>13908</v>
      </c>
      <c r="B309">
        <v>13915</v>
      </c>
      <c r="C309" t="s">
        <v>2911</v>
      </c>
      <c r="D309" s="129">
        <v>45962</v>
      </c>
      <c r="E309" s="129">
        <v>47788</v>
      </c>
      <c r="F309" s="124">
        <v>117.89</v>
      </c>
      <c r="G309" s="125">
        <v>-1.7999600029924316E-4</v>
      </c>
    </row>
    <row r="310" spans="1:7" ht="15" x14ac:dyDescent="0.25">
      <c r="A310">
        <v>13908</v>
      </c>
      <c r="B310">
        <v>13915</v>
      </c>
      <c r="C310" t="s">
        <v>2911</v>
      </c>
      <c r="D310" s="129">
        <v>45992</v>
      </c>
      <c r="E310" s="129">
        <v>47818</v>
      </c>
      <c r="F310" s="124">
        <v>148.24799999999999</v>
      </c>
      <c r="G310" s="125">
        <v>-2.2634699340370003E-4</v>
      </c>
    </row>
    <row r="311" spans="1:7" ht="15" x14ac:dyDescent="0.25">
      <c r="A311">
        <v>13908</v>
      </c>
      <c r="B311">
        <v>13915</v>
      </c>
      <c r="C311" t="s">
        <v>2911</v>
      </c>
      <c r="D311" s="129">
        <v>46023</v>
      </c>
      <c r="E311" s="129">
        <v>47849</v>
      </c>
      <c r="F311" s="124">
        <v>117.874</v>
      </c>
      <c r="G311" s="125">
        <v>-1.7997157128910837E-4</v>
      </c>
    </row>
    <row r="312" spans="1:7" ht="15" x14ac:dyDescent="0.25">
      <c r="A312">
        <v>13908</v>
      </c>
      <c r="B312">
        <v>13915</v>
      </c>
      <c r="C312" t="s">
        <v>2911</v>
      </c>
      <c r="D312" s="129">
        <v>46054</v>
      </c>
      <c r="E312" s="129">
        <v>47880</v>
      </c>
      <c r="F312" s="124">
        <v>28.181999999999999</v>
      </c>
      <c r="G312" s="125">
        <v>-4.3028647726128344E-5</v>
      </c>
    </row>
    <row r="313" spans="1:7" ht="15" x14ac:dyDescent="0.25">
      <c r="A313">
        <v>13908</v>
      </c>
      <c r="B313">
        <v>13915</v>
      </c>
      <c r="C313" t="s">
        <v>2911</v>
      </c>
      <c r="D313" s="129">
        <v>46082</v>
      </c>
      <c r="E313" s="129">
        <v>47908</v>
      </c>
      <c r="F313" s="124">
        <v>-2.1000000000000001E-2</v>
      </c>
      <c r="G313" s="125">
        <v>3.2063075801884015E-8</v>
      </c>
    </row>
    <row r="314" spans="1:7" ht="15" x14ac:dyDescent="0.25">
      <c r="A314">
        <v>13908</v>
      </c>
      <c r="B314">
        <v>13915</v>
      </c>
      <c r="C314" t="s">
        <v>2911</v>
      </c>
      <c r="D314" s="129">
        <v>46113</v>
      </c>
      <c r="E314" s="129">
        <v>47939</v>
      </c>
      <c r="F314" s="124">
        <v>0</v>
      </c>
      <c r="G314" s="125">
        <v>0</v>
      </c>
    </row>
    <row r="315" spans="1:7" ht="15" x14ac:dyDescent="0.25">
      <c r="A315">
        <v>13908</v>
      </c>
      <c r="B315">
        <v>13915</v>
      </c>
      <c r="C315" t="s">
        <v>2911</v>
      </c>
      <c r="D315" s="129">
        <v>46143</v>
      </c>
      <c r="E315" s="129">
        <v>47969</v>
      </c>
      <c r="F315" s="124">
        <v>0</v>
      </c>
      <c r="G315" s="125">
        <v>0</v>
      </c>
    </row>
    <row r="316" spans="1:7" ht="15" x14ac:dyDescent="0.25">
      <c r="A316">
        <v>13908</v>
      </c>
      <c r="B316">
        <v>13915</v>
      </c>
      <c r="C316" t="s">
        <v>2911</v>
      </c>
      <c r="D316" s="129">
        <v>46174</v>
      </c>
      <c r="E316" s="129">
        <v>48000</v>
      </c>
      <c r="F316" s="124">
        <v>47.804000000000002</v>
      </c>
      <c r="G316" s="125">
        <v>-7.2987775030155394E-5</v>
      </c>
    </row>
    <row r="317" spans="1:7" ht="15" x14ac:dyDescent="0.25">
      <c r="A317">
        <v>13908</v>
      </c>
      <c r="B317">
        <v>13916</v>
      </c>
      <c r="C317" t="s">
        <v>2911</v>
      </c>
      <c r="D317" s="129">
        <v>44835</v>
      </c>
      <c r="E317" s="129">
        <v>46661</v>
      </c>
      <c r="F317" s="124">
        <v>-1.3759999999999999</v>
      </c>
      <c r="G317" s="125">
        <v>2.1008948715901141E-6</v>
      </c>
    </row>
    <row r="318" spans="1:7" ht="15" x14ac:dyDescent="0.25">
      <c r="A318">
        <v>13908</v>
      </c>
      <c r="B318">
        <v>13916</v>
      </c>
      <c r="C318" t="s">
        <v>2911</v>
      </c>
      <c r="D318" s="129">
        <v>44866</v>
      </c>
      <c r="E318" s="129">
        <v>46692</v>
      </c>
      <c r="F318" s="124">
        <v>0</v>
      </c>
      <c r="G318" s="125">
        <v>0</v>
      </c>
    </row>
    <row r="319" spans="1:7" ht="15" x14ac:dyDescent="0.25">
      <c r="A319">
        <v>13908</v>
      </c>
      <c r="B319">
        <v>13916</v>
      </c>
      <c r="C319" t="s">
        <v>2911</v>
      </c>
      <c r="D319" s="129">
        <v>44896</v>
      </c>
      <c r="E319" s="129">
        <v>46722</v>
      </c>
      <c r="F319" s="124">
        <v>-23.289000000000001</v>
      </c>
      <c r="G319" s="125">
        <v>3.5557951064289374E-5</v>
      </c>
    </row>
    <row r="320" spans="1:7" ht="15" x14ac:dyDescent="0.25">
      <c r="A320">
        <v>13908</v>
      </c>
      <c r="B320">
        <v>13916</v>
      </c>
      <c r="C320" t="s">
        <v>2911</v>
      </c>
      <c r="D320" s="129">
        <v>44927</v>
      </c>
      <c r="E320" s="129">
        <v>46753</v>
      </c>
      <c r="F320" s="124">
        <v>-186.655</v>
      </c>
      <c r="G320" s="125">
        <v>2.8498730541907908E-4</v>
      </c>
    </row>
    <row r="321" spans="1:7" ht="15" x14ac:dyDescent="0.25">
      <c r="A321">
        <v>13908</v>
      </c>
      <c r="B321">
        <v>13916</v>
      </c>
      <c r="C321" t="s">
        <v>2911</v>
      </c>
      <c r="D321" s="129">
        <v>44958</v>
      </c>
      <c r="E321" s="129">
        <v>46784</v>
      </c>
      <c r="F321" s="124">
        <v>-362.38200000000001</v>
      </c>
      <c r="G321" s="125">
        <v>5.5328959691611104E-4</v>
      </c>
    </row>
    <row r="322" spans="1:7" ht="15" x14ac:dyDescent="0.25">
      <c r="A322">
        <v>13908</v>
      </c>
      <c r="B322">
        <v>13916</v>
      </c>
      <c r="C322" t="s">
        <v>2911</v>
      </c>
      <c r="D322" s="129">
        <v>44986</v>
      </c>
      <c r="E322" s="129">
        <v>46813</v>
      </c>
      <c r="F322" s="124">
        <v>-46.863</v>
      </c>
      <c r="G322" s="125">
        <v>7.1551043871604313E-5</v>
      </c>
    </row>
    <row r="323" spans="1:7" ht="15" x14ac:dyDescent="0.25">
      <c r="A323">
        <v>13908</v>
      </c>
      <c r="B323">
        <v>13916</v>
      </c>
      <c r="C323" t="s">
        <v>2911</v>
      </c>
      <c r="D323" s="129">
        <v>45017</v>
      </c>
      <c r="E323" s="129">
        <v>46844</v>
      </c>
      <c r="F323" s="124">
        <v>-201.018</v>
      </c>
      <c r="G323" s="125">
        <v>3.069169224544343E-4</v>
      </c>
    </row>
    <row r="324" spans="1:7" ht="15" x14ac:dyDescent="0.25">
      <c r="A324">
        <v>13908</v>
      </c>
      <c r="B324">
        <v>13916</v>
      </c>
      <c r="C324" t="s">
        <v>2911</v>
      </c>
      <c r="D324" s="129">
        <v>45047</v>
      </c>
      <c r="E324" s="129">
        <v>46874</v>
      </c>
      <c r="F324" s="124">
        <v>-894.03200000000004</v>
      </c>
      <c r="G324" s="125">
        <v>1.3650197993004746E-3</v>
      </c>
    </row>
    <row r="325" spans="1:7" ht="15" x14ac:dyDescent="0.25">
      <c r="A325">
        <v>13908</v>
      </c>
      <c r="B325">
        <v>13916</v>
      </c>
      <c r="C325" t="s">
        <v>2911</v>
      </c>
      <c r="D325" s="129">
        <v>45078</v>
      </c>
      <c r="E325" s="129">
        <v>46905</v>
      </c>
      <c r="F325" s="124">
        <v>-28.652000000000001</v>
      </c>
      <c r="G325" s="125">
        <v>4.3746249898837176E-5</v>
      </c>
    </row>
    <row r="326" spans="1:7" ht="15" x14ac:dyDescent="0.25">
      <c r="A326">
        <v>13908</v>
      </c>
      <c r="B326">
        <v>13916</v>
      </c>
      <c r="C326" t="s">
        <v>2911</v>
      </c>
      <c r="D326" s="129">
        <v>45108</v>
      </c>
      <c r="E326" s="129">
        <v>46935</v>
      </c>
      <c r="F326" s="124">
        <v>-177.101</v>
      </c>
      <c r="G326" s="125">
        <v>2.7040013274235526E-4</v>
      </c>
    </row>
    <row r="327" spans="1:7" ht="15" x14ac:dyDescent="0.25">
      <c r="A327">
        <v>13908</v>
      </c>
      <c r="B327">
        <v>13916</v>
      </c>
      <c r="C327" t="s">
        <v>2911</v>
      </c>
      <c r="D327" s="129">
        <v>45139</v>
      </c>
      <c r="E327" s="129">
        <v>46966</v>
      </c>
      <c r="F327" s="124">
        <v>-381.12700000000001</v>
      </c>
      <c r="G327" s="125">
        <v>5.8190970910212611E-4</v>
      </c>
    </row>
    <row r="328" spans="1:7" ht="15" x14ac:dyDescent="0.25">
      <c r="A328">
        <v>13908</v>
      </c>
      <c r="B328">
        <v>13916</v>
      </c>
      <c r="C328" t="s">
        <v>2911</v>
      </c>
      <c r="D328" s="129">
        <v>45170</v>
      </c>
      <c r="E328" s="129">
        <v>46997</v>
      </c>
      <c r="F328" s="124">
        <v>-1174.963</v>
      </c>
      <c r="G328" s="125">
        <v>1.7939489396861449E-3</v>
      </c>
    </row>
    <row r="329" spans="1:7" ht="15" x14ac:dyDescent="0.25">
      <c r="A329">
        <v>13908</v>
      </c>
      <c r="B329">
        <v>13916</v>
      </c>
      <c r="C329" t="s">
        <v>2911</v>
      </c>
      <c r="D329" s="129">
        <v>45200</v>
      </c>
      <c r="E329" s="129">
        <v>47027</v>
      </c>
      <c r="F329" s="124">
        <v>-3283.7660000000001</v>
      </c>
      <c r="G329" s="125">
        <v>5.0136970558880695E-3</v>
      </c>
    </row>
    <row r="330" spans="1:7" ht="15" x14ac:dyDescent="0.25">
      <c r="A330">
        <v>13908</v>
      </c>
      <c r="B330">
        <v>13916</v>
      </c>
      <c r="C330" t="s">
        <v>2911</v>
      </c>
      <c r="D330" s="129">
        <v>45231</v>
      </c>
      <c r="E330" s="129">
        <v>47058</v>
      </c>
      <c r="F330" s="124">
        <v>-431.78100000000001</v>
      </c>
      <c r="G330" s="125">
        <v>6.5924890156253716E-4</v>
      </c>
    </row>
    <row r="331" spans="1:7" ht="15" x14ac:dyDescent="0.25">
      <c r="A331">
        <v>13908</v>
      </c>
      <c r="B331">
        <v>13916</v>
      </c>
      <c r="C331" t="s">
        <v>2911</v>
      </c>
      <c r="D331" s="129">
        <v>45261</v>
      </c>
      <c r="E331" s="129">
        <v>47088</v>
      </c>
      <c r="F331" s="124">
        <v>-860.04300000000001</v>
      </c>
      <c r="G331" s="125">
        <v>1.3131249477085587E-3</v>
      </c>
    </row>
    <row r="332" spans="1:7" ht="15" x14ac:dyDescent="0.25">
      <c r="A332">
        <v>13908</v>
      </c>
      <c r="B332">
        <v>13916</v>
      </c>
      <c r="C332" t="s">
        <v>2911</v>
      </c>
      <c r="D332" s="129">
        <v>45292</v>
      </c>
      <c r="E332" s="129">
        <v>47119</v>
      </c>
      <c r="F332" s="124">
        <v>-2918.098</v>
      </c>
      <c r="G332" s="125">
        <v>4.4553903510155301E-3</v>
      </c>
    </row>
    <row r="333" spans="1:7" ht="15" x14ac:dyDescent="0.25">
      <c r="A333">
        <v>13908</v>
      </c>
      <c r="B333">
        <v>13916</v>
      </c>
      <c r="C333" t="s">
        <v>2911</v>
      </c>
      <c r="D333" s="129">
        <v>45323</v>
      </c>
      <c r="E333" s="129">
        <v>47150</v>
      </c>
      <c r="F333" s="124">
        <v>-544.55399999999997</v>
      </c>
      <c r="G333" s="125">
        <v>8.3143219905805455E-4</v>
      </c>
    </row>
    <row r="334" spans="1:7" ht="15" x14ac:dyDescent="0.25">
      <c r="A334">
        <v>13908</v>
      </c>
      <c r="B334">
        <v>13916</v>
      </c>
      <c r="C334" t="s">
        <v>2911</v>
      </c>
      <c r="D334" s="129">
        <v>45352</v>
      </c>
      <c r="E334" s="129">
        <v>47178</v>
      </c>
      <c r="F334" s="124">
        <v>-940.22500000000002</v>
      </c>
      <c r="G334" s="125">
        <v>1.4355478783726855E-3</v>
      </c>
    </row>
    <row r="335" spans="1:7" ht="15" x14ac:dyDescent="0.25">
      <c r="A335">
        <v>13908</v>
      </c>
      <c r="B335">
        <v>13916</v>
      </c>
      <c r="C335" t="s">
        <v>2911</v>
      </c>
      <c r="D335" s="129">
        <v>45383</v>
      </c>
      <c r="E335" s="129">
        <v>47209</v>
      </c>
      <c r="F335" s="124">
        <v>-244.554</v>
      </c>
      <c r="G335" s="125">
        <v>3.7338825903114012E-4</v>
      </c>
    </row>
    <row r="336" spans="1:7" ht="15" x14ac:dyDescent="0.25">
      <c r="A336">
        <v>13908</v>
      </c>
      <c r="B336">
        <v>13916</v>
      </c>
      <c r="C336" t="s">
        <v>2911</v>
      </c>
      <c r="D336" s="129">
        <v>45413</v>
      </c>
      <c r="E336" s="129">
        <v>47239</v>
      </c>
      <c r="F336" s="124">
        <v>-482.06299999999999</v>
      </c>
      <c r="G336" s="125">
        <v>7.3602011953731482E-4</v>
      </c>
    </row>
    <row r="337" spans="1:7" ht="15" x14ac:dyDescent="0.25">
      <c r="A337">
        <v>13908</v>
      </c>
      <c r="B337">
        <v>13916</v>
      </c>
      <c r="C337" t="s">
        <v>2911</v>
      </c>
      <c r="D337" s="129">
        <v>45444</v>
      </c>
      <c r="E337" s="129">
        <v>47270</v>
      </c>
      <c r="F337" s="124">
        <v>-1147.4870000000001</v>
      </c>
      <c r="G337" s="125">
        <v>1.7519982220322134E-3</v>
      </c>
    </row>
    <row r="338" spans="1:7" ht="15" x14ac:dyDescent="0.25">
      <c r="A338">
        <v>13908</v>
      </c>
      <c r="B338">
        <v>13916</v>
      </c>
      <c r="C338" t="s">
        <v>2911</v>
      </c>
      <c r="D338" s="129">
        <v>45474</v>
      </c>
      <c r="E338" s="129">
        <v>47300</v>
      </c>
      <c r="F338" s="124">
        <v>-1182.902</v>
      </c>
      <c r="G338" s="125">
        <v>1.8060703091523907E-3</v>
      </c>
    </row>
    <row r="339" spans="1:7" ht="15" x14ac:dyDescent="0.25">
      <c r="A339">
        <v>13908</v>
      </c>
      <c r="B339">
        <v>13916</v>
      </c>
      <c r="C339" t="s">
        <v>2911</v>
      </c>
      <c r="D339" s="129">
        <v>45505</v>
      </c>
      <c r="E339" s="129">
        <v>47331</v>
      </c>
      <c r="F339" s="124">
        <v>-961.58100000000002</v>
      </c>
      <c r="G339" s="125">
        <v>1.4681544996500682E-3</v>
      </c>
    </row>
    <row r="340" spans="1:7" ht="15" x14ac:dyDescent="0.25">
      <c r="A340">
        <v>13908</v>
      </c>
      <c r="B340">
        <v>13916</v>
      </c>
      <c r="C340" t="s">
        <v>2911</v>
      </c>
      <c r="D340" s="129">
        <v>45536</v>
      </c>
      <c r="E340" s="129">
        <v>47362</v>
      </c>
      <c r="F340" s="124">
        <v>-1005.653</v>
      </c>
      <c r="G340" s="125">
        <v>1.5354442080662888E-3</v>
      </c>
    </row>
    <row r="341" spans="1:7" ht="15" x14ac:dyDescent="0.25">
      <c r="A341">
        <v>13908</v>
      </c>
      <c r="B341">
        <v>13916</v>
      </c>
      <c r="C341" t="s">
        <v>2911</v>
      </c>
      <c r="D341" s="129">
        <v>45566</v>
      </c>
      <c r="E341" s="129">
        <v>47392</v>
      </c>
      <c r="F341" s="124">
        <v>-1173.941</v>
      </c>
      <c r="G341" s="125">
        <v>1.7923885366637868E-3</v>
      </c>
    </row>
    <row r="342" spans="1:7" ht="15" x14ac:dyDescent="0.25">
      <c r="A342">
        <v>13908</v>
      </c>
      <c r="B342">
        <v>13916</v>
      </c>
      <c r="C342" t="s">
        <v>2911</v>
      </c>
      <c r="D342" s="129">
        <v>45597</v>
      </c>
      <c r="E342" s="129">
        <v>47423</v>
      </c>
      <c r="F342" s="124">
        <v>-475.75299999999999</v>
      </c>
      <c r="G342" s="125">
        <v>7.2638592866541547E-4</v>
      </c>
    </row>
    <row r="343" spans="1:7" ht="15" x14ac:dyDescent="0.25">
      <c r="A343">
        <v>13908</v>
      </c>
      <c r="B343">
        <v>13916</v>
      </c>
      <c r="C343" t="s">
        <v>2911</v>
      </c>
      <c r="D343" s="129">
        <v>45627</v>
      </c>
      <c r="E343" s="129">
        <v>47453</v>
      </c>
      <c r="F343" s="124">
        <v>-827.50900000000001</v>
      </c>
      <c r="G343" s="125">
        <v>1.2634516092257732E-3</v>
      </c>
    </row>
    <row r="344" spans="1:7" ht="15" x14ac:dyDescent="0.25">
      <c r="A344">
        <v>13908</v>
      </c>
      <c r="B344">
        <v>13916</v>
      </c>
      <c r="C344" t="s">
        <v>2911</v>
      </c>
      <c r="D344" s="129">
        <v>45658</v>
      </c>
      <c r="E344" s="129">
        <v>47484</v>
      </c>
      <c r="F344" s="124">
        <v>-719.31700000000001</v>
      </c>
      <c r="G344" s="125">
        <v>1.0982626426944667E-3</v>
      </c>
    </row>
    <row r="345" spans="1:7" ht="15" x14ac:dyDescent="0.25">
      <c r="A345">
        <v>13908</v>
      </c>
      <c r="B345">
        <v>13916</v>
      </c>
      <c r="C345" t="s">
        <v>2911</v>
      </c>
      <c r="D345" s="129">
        <v>45689</v>
      </c>
      <c r="E345" s="129">
        <v>47515</v>
      </c>
      <c r="F345" s="124">
        <v>-998.65</v>
      </c>
      <c r="G345" s="125">
        <v>1.524751935692927E-3</v>
      </c>
    </row>
    <row r="346" spans="1:7" ht="15" x14ac:dyDescent="0.25">
      <c r="A346">
        <v>13908</v>
      </c>
      <c r="B346">
        <v>13916</v>
      </c>
      <c r="C346" t="s">
        <v>2911</v>
      </c>
      <c r="D346" s="129">
        <v>45717</v>
      </c>
      <c r="E346" s="129">
        <v>47543</v>
      </c>
      <c r="F346" s="124">
        <v>-590.47299999999996</v>
      </c>
      <c r="G346" s="125">
        <v>9.0154193133170745E-4</v>
      </c>
    </row>
    <row r="347" spans="1:7" ht="15" x14ac:dyDescent="0.25">
      <c r="A347">
        <v>13908</v>
      </c>
      <c r="B347">
        <v>13916</v>
      </c>
      <c r="C347" t="s">
        <v>2911</v>
      </c>
      <c r="D347" s="129">
        <v>45748</v>
      </c>
      <c r="E347" s="129">
        <v>47574</v>
      </c>
      <c r="F347" s="124">
        <v>-426.98599999999999</v>
      </c>
      <c r="G347" s="125">
        <v>6.5192783258777363E-4</v>
      </c>
    </row>
    <row r="348" spans="1:7" ht="15" x14ac:dyDescent="0.25">
      <c r="A348">
        <v>13908</v>
      </c>
      <c r="B348">
        <v>13916</v>
      </c>
      <c r="C348" t="s">
        <v>2911</v>
      </c>
      <c r="D348" s="129">
        <v>45778</v>
      </c>
      <c r="E348" s="129">
        <v>47604</v>
      </c>
      <c r="F348" s="124">
        <v>-1623.1980000000001</v>
      </c>
      <c r="G348" s="125">
        <v>2.4783200245460249E-3</v>
      </c>
    </row>
    <row r="349" spans="1:7" ht="15" x14ac:dyDescent="0.25">
      <c r="A349">
        <v>13908</v>
      </c>
      <c r="B349">
        <v>13916</v>
      </c>
      <c r="C349" t="s">
        <v>2911</v>
      </c>
      <c r="D349" s="129">
        <v>45809</v>
      </c>
      <c r="E349" s="129">
        <v>47635</v>
      </c>
      <c r="F349" s="124">
        <v>-1067.8989999999999</v>
      </c>
      <c r="G349" s="125">
        <v>1.6304822183693397E-3</v>
      </c>
    </row>
    <row r="350" spans="1:7" ht="15" x14ac:dyDescent="0.25">
      <c r="A350">
        <v>13908</v>
      </c>
      <c r="B350">
        <v>13916</v>
      </c>
      <c r="C350" t="s">
        <v>2911</v>
      </c>
      <c r="D350" s="129">
        <v>45839</v>
      </c>
      <c r="E350" s="129">
        <v>47665</v>
      </c>
      <c r="F350" s="124">
        <v>-771.65300000000002</v>
      </c>
      <c r="G350" s="125">
        <v>1.1781699348452955E-3</v>
      </c>
    </row>
    <row r="351" spans="1:7" ht="15" x14ac:dyDescent="0.25">
      <c r="A351">
        <v>13908</v>
      </c>
      <c r="B351">
        <v>13916</v>
      </c>
      <c r="C351" t="s">
        <v>2911</v>
      </c>
      <c r="D351" s="129">
        <v>45870</v>
      </c>
      <c r="E351" s="129">
        <v>47696</v>
      </c>
      <c r="F351" s="124">
        <v>-297.59800000000001</v>
      </c>
      <c r="G351" s="125">
        <v>4.5437653488043231E-4</v>
      </c>
    </row>
    <row r="352" spans="1:7" ht="15" x14ac:dyDescent="0.25">
      <c r="A352">
        <v>13908</v>
      </c>
      <c r="B352">
        <v>13916</v>
      </c>
      <c r="C352" t="s">
        <v>2911</v>
      </c>
      <c r="D352" s="129">
        <v>45901</v>
      </c>
      <c r="E352" s="129">
        <v>47727</v>
      </c>
      <c r="F352" s="124">
        <v>-643.71600000000001</v>
      </c>
      <c r="G352" s="125">
        <v>9.8283404299455098E-4</v>
      </c>
    </row>
    <row r="353" spans="1:7" ht="15" x14ac:dyDescent="0.25">
      <c r="A353">
        <v>13908</v>
      </c>
      <c r="B353">
        <v>13916</v>
      </c>
      <c r="C353" t="s">
        <v>2911</v>
      </c>
      <c r="D353" s="129">
        <v>45931</v>
      </c>
      <c r="E353" s="129">
        <v>47757</v>
      </c>
      <c r="F353" s="124">
        <v>-345.94400000000002</v>
      </c>
      <c r="G353" s="125">
        <v>5.2819184262890297E-4</v>
      </c>
    </row>
    <row r="354" spans="1:7" ht="15" x14ac:dyDescent="0.25">
      <c r="A354">
        <v>13908</v>
      </c>
      <c r="B354">
        <v>13916</v>
      </c>
      <c r="C354" t="s">
        <v>2911</v>
      </c>
      <c r="D354" s="129">
        <v>45962</v>
      </c>
      <c r="E354" s="129">
        <v>47788</v>
      </c>
      <c r="F354" s="124">
        <v>-327.98399999999998</v>
      </c>
      <c r="G354" s="125">
        <v>5.0077027875262503E-4</v>
      </c>
    </row>
    <row r="355" spans="1:7" ht="15" x14ac:dyDescent="0.25">
      <c r="A355">
        <v>13908</v>
      </c>
      <c r="B355">
        <v>13916</v>
      </c>
      <c r="C355" t="s">
        <v>2911</v>
      </c>
      <c r="D355" s="129">
        <v>45992</v>
      </c>
      <c r="E355" s="129">
        <v>47818</v>
      </c>
      <c r="F355" s="124">
        <v>-865.79600000000005</v>
      </c>
      <c r="G355" s="125">
        <v>1.3219087036651415E-3</v>
      </c>
    </row>
    <row r="356" spans="1:7" ht="15" x14ac:dyDescent="0.25">
      <c r="A356">
        <v>13908</v>
      </c>
      <c r="B356">
        <v>13916</v>
      </c>
      <c r="C356" t="s">
        <v>2911</v>
      </c>
      <c r="D356" s="129">
        <v>46023</v>
      </c>
      <c r="E356" s="129">
        <v>47849</v>
      </c>
      <c r="F356" s="124">
        <v>-5.8170000000000002</v>
      </c>
      <c r="G356" s="125">
        <v>8.8814719971218715E-6</v>
      </c>
    </row>
    <row r="357" spans="1:7" ht="15" x14ac:dyDescent="0.25">
      <c r="A357">
        <v>13908</v>
      </c>
      <c r="B357">
        <v>13916</v>
      </c>
      <c r="C357" t="s">
        <v>2911</v>
      </c>
      <c r="D357" s="129">
        <v>46054</v>
      </c>
      <c r="E357" s="129">
        <v>47880</v>
      </c>
      <c r="F357" s="124">
        <v>-97.656000000000006</v>
      </c>
      <c r="G357" s="125">
        <v>1.4910246335756119E-4</v>
      </c>
    </row>
    <row r="358" spans="1:7" ht="15" x14ac:dyDescent="0.25">
      <c r="A358">
        <v>13908</v>
      </c>
      <c r="B358">
        <v>13916</v>
      </c>
      <c r="C358" t="s">
        <v>2911</v>
      </c>
      <c r="D358" s="129">
        <v>46082</v>
      </c>
      <c r="E358" s="129">
        <v>47908</v>
      </c>
      <c r="F358" s="124">
        <v>-29.89</v>
      </c>
      <c r="G358" s="125">
        <v>4.5636444558014914E-5</v>
      </c>
    </row>
    <row r="359" spans="1:7" ht="15" x14ac:dyDescent="0.25">
      <c r="A359">
        <v>13908</v>
      </c>
      <c r="B359">
        <v>13916</v>
      </c>
      <c r="C359" t="s">
        <v>2911</v>
      </c>
      <c r="D359" s="129">
        <v>46113</v>
      </c>
      <c r="E359" s="129">
        <v>47939</v>
      </c>
      <c r="F359" s="124">
        <v>0</v>
      </c>
      <c r="G359" s="125">
        <v>0</v>
      </c>
    </row>
    <row r="360" spans="1:7" ht="15" x14ac:dyDescent="0.25">
      <c r="A360">
        <v>13908</v>
      </c>
      <c r="B360">
        <v>13916</v>
      </c>
      <c r="C360" t="s">
        <v>2911</v>
      </c>
      <c r="D360" s="129">
        <v>46143</v>
      </c>
      <c r="E360" s="129">
        <v>47969</v>
      </c>
      <c r="F360" s="124">
        <v>100.36199999999999</v>
      </c>
      <c r="G360" s="125">
        <v>-1.5323401969660394E-4</v>
      </c>
    </row>
    <row r="361" spans="1:7" ht="15" x14ac:dyDescent="0.25">
      <c r="A361">
        <v>13908</v>
      </c>
      <c r="B361">
        <v>13916</v>
      </c>
      <c r="C361" t="s">
        <v>2911</v>
      </c>
      <c r="D361" s="129">
        <v>46174</v>
      </c>
      <c r="E361" s="129">
        <v>48000</v>
      </c>
      <c r="F361" s="124">
        <v>113.804</v>
      </c>
      <c r="G361" s="125">
        <v>-1.7375744183607659E-4</v>
      </c>
    </row>
    <row r="362" spans="1:7" ht="15" x14ac:dyDescent="0.25">
      <c r="A362">
        <v>13908</v>
      </c>
      <c r="B362">
        <v>14339</v>
      </c>
      <c r="C362" t="s">
        <v>2911</v>
      </c>
      <c r="D362" s="129">
        <v>44835</v>
      </c>
      <c r="E362" s="129">
        <v>46661</v>
      </c>
      <c r="F362" s="124">
        <v>-2.8000000000000001E-2</v>
      </c>
      <c r="G362" s="125">
        <v>4.2750767735845353E-8</v>
      </c>
    </row>
    <row r="363" spans="1:7" ht="15" x14ac:dyDescent="0.25">
      <c r="A363">
        <v>13908</v>
      </c>
      <c r="B363">
        <v>14339</v>
      </c>
      <c r="C363" t="s">
        <v>2911</v>
      </c>
      <c r="D363" s="129">
        <v>44866</v>
      </c>
      <c r="E363" s="129">
        <v>46692</v>
      </c>
      <c r="F363" s="124">
        <v>0</v>
      </c>
      <c r="G363" s="125">
        <v>0</v>
      </c>
    </row>
    <row r="364" spans="1:7" ht="15" x14ac:dyDescent="0.25">
      <c r="A364">
        <v>13908</v>
      </c>
      <c r="B364">
        <v>14339</v>
      </c>
      <c r="C364" t="s">
        <v>2911</v>
      </c>
      <c r="D364" s="129">
        <v>44896</v>
      </c>
      <c r="E364" s="129">
        <v>46722</v>
      </c>
      <c r="F364" s="124">
        <v>0</v>
      </c>
      <c r="G364" s="125">
        <v>0</v>
      </c>
    </row>
    <row r="365" spans="1:7" ht="15" x14ac:dyDescent="0.25">
      <c r="A365">
        <v>13908</v>
      </c>
      <c r="B365">
        <v>14339</v>
      </c>
      <c r="C365" t="s">
        <v>2911</v>
      </c>
      <c r="D365" s="129">
        <v>44927</v>
      </c>
      <c r="E365" s="129">
        <v>46753</v>
      </c>
      <c r="F365" s="124">
        <v>0</v>
      </c>
      <c r="G365" s="125">
        <v>0</v>
      </c>
    </row>
    <row r="366" spans="1:7" ht="15" x14ac:dyDescent="0.25">
      <c r="A366">
        <v>13908</v>
      </c>
      <c r="B366">
        <v>14339</v>
      </c>
      <c r="C366" t="s">
        <v>2911</v>
      </c>
      <c r="D366" s="129">
        <v>44958</v>
      </c>
      <c r="E366" s="129">
        <v>46784</v>
      </c>
      <c r="F366" s="124">
        <v>0</v>
      </c>
      <c r="G366" s="125">
        <v>0</v>
      </c>
    </row>
    <row r="367" spans="1:7" ht="15" x14ac:dyDescent="0.25">
      <c r="A367">
        <v>13908</v>
      </c>
      <c r="B367">
        <v>14339</v>
      </c>
      <c r="C367" t="s">
        <v>2911</v>
      </c>
      <c r="D367" s="129">
        <v>44986</v>
      </c>
      <c r="E367" s="129">
        <v>46813</v>
      </c>
      <c r="F367" s="124">
        <v>0</v>
      </c>
      <c r="G367" s="125">
        <v>0</v>
      </c>
    </row>
    <row r="368" spans="1:7" ht="15" x14ac:dyDescent="0.25">
      <c r="A368">
        <v>13908</v>
      </c>
      <c r="B368">
        <v>14339</v>
      </c>
      <c r="C368" t="s">
        <v>2911</v>
      </c>
      <c r="D368" s="129">
        <v>45017</v>
      </c>
      <c r="E368" s="129">
        <v>46844</v>
      </c>
      <c r="F368" s="124">
        <v>-0.33500000000000002</v>
      </c>
      <c r="G368" s="125">
        <v>5.1148239969672123E-7</v>
      </c>
    </row>
    <row r="369" spans="1:7" ht="15" x14ac:dyDescent="0.25">
      <c r="A369">
        <v>13908</v>
      </c>
      <c r="B369">
        <v>14339</v>
      </c>
      <c r="C369" t="s">
        <v>2911</v>
      </c>
      <c r="D369" s="129">
        <v>45047</v>
      </c>
      <c r="E369" s="129">
        <v>46874</v>
      </c>
      <c r="F369" s="124">
        <v>-18.449000000000002</v>
      </c>
      <c r="G369" s="125">
        <v>2.8168175498521818E-5</v>
      </c>
    </row>
    <row r="370" spans="1:7" ht="15" x14ac:dyDescent="0.25">
      <c r="A370">
        <v>13908</v>
      </c>
      <c r="B370">
        <v>14339</v>
      </c>
      <c r="C370" t="s">
        <v>2911</v>
      </c>
      <c r="D370" s="129">
        <v>45078</v>
      </c>
      <c r="E370" s="129">
        <v>46905</v>
      </c>
      <c r="F370" s="124">
        <v>-2.1999999999999999E-2</v>
      </c>
      <c r="G370" s="125">
        <v>3.3589888935307057E-8</v>
      </c>
    </row>
    <row r="371" spans="1:7" ht="15" x14ac:dyDescent="0.25">
      <c r="A371">
        <v>13908</v>
      </c>
      <c r="B371">
        <v>14339</v>
      </c>
      <c r="C371" t="s">
        <v>2911</v>
      </c>
      <c r="D371" s="129">
        <v>45108</v>
      </c>
      <c r="E371" s="129">
        <v>46935</v>
      </c>
      <c r="F371" s="124">
        <v>-57.822000000000003</v>
      </c>
      <c r="G371" s="125">
        <v>8.8283389000787496E-5</v>
      </c>
    </row>
    <row r="372" spans="1:7" ht="15" x14ac:dyDescent="0.25">
      <c r="A372">
        <v>13908</v>
      </c>
      <c r="B372">
        <v>14339</v>
      </c>
      <c r="C372" t="s">
        <v>2911</v>
      </c>
      <c r="D372" s="129">
        <v>45139</v>
      </c>
      <c r="E372" s="129">
        <v>46966</v>
      </c>
      <c r="F372" s="124">
        <v>-39.813000000000002</v>
      </c>
      <c r="G372" s="125">
        <v>6.0787011280971822E-5</v>
      </c>
    </row>
    <row r="373" spans="1:7" ht="15" x14ac:dyDescent="0.25">
      <c r="A373">
        <v>13908</v>
      </c>
      <c r="B373">
        <v>14339</v>
      </c>
      <c r="C373" t="s">
        <v>2911</v>
      </c>
      <c r="D373" s="129">
        <v>45170</v>
      </c>
      <c r="E373" s="129">
        <v>46997</v>
      </c>
      <c r="F373" s="124">
        <v>-86.540999999999997</v>
      </c>
      <c r="G373" s="125">
        <v>1.3213193537956402E-4</v>
      </c>
    </row>
    <row r="374" spans="1:7" ht="15" x14ac:dyDescent="0.25">
      <c r="A374">
        <v>13908</v>
      </c>
      <c r="B374">
        <v>14339</v>
      </c>
      <c r="C374" t="s">
        <v>2911</v>
      </c>
      <c r="D374" s="129">
        <v>45200</v>
      </c>
      <c r="E374" s="129">
        <v>47027</v>
      </c>
      <c r="F374" s="124">
        <v>-7.74</v>
      </c>
      <c r="G374" s="125">
        <v>1.1817533652694394E-5</v>
      </c>
    </row>
    <row r="375" spans="1:7" ht="15" x14ac:dyDescent="0.25">
      <c r="A375">
        <v>13908</v>
      </c>
      <c r="B375">
        <v>14339</v>
      </c>
      <c r="C375" t="s">
        <v>2911</v>
      </c>
      <c r="D375" s="129">
        <v>45231</v>
      </c>
      <c r="E375" s="129">
        <v>47058</v>
      </c>
      <c r="F375" s="124">
        <v>-103.33</v>
      </c>
      <c r="G375" s="125">
        <v>1.5776560107660356E-4</v>
      </c>
    </row>
    <row r="376" spans="1:7" ht="15" x14ac:dyDescent="0.25">
      <c r="A376">
        <v>13908</v>
      </c>
      <c r="B376">
        <v>14339</v>
      </c>
      <c r="C376" t="s">
        <v>2911</v>
      </c>
      <c r="D376" s="129">
        <v>45261</v>
      </c>
      <c r="E376" s="129">
        <v>47088</v>
      </c>
      <c r="F376" s="124">
        <v>0</v>
      </c>
      <c r="G376" s="125">
        <v>0</v>
      </c>
    </row>
    <row r="377" spans="1:7" ht="15" x14ac:dyDescent="0.25">
      <c r="A377">
        <v>13908</v>
      </c>
      <c r="B377">
        <v>14339</v>
      </c>
      <c r="C377" t="s">
        <v>2911</v>
      </c>
      <c r="D377" s="129">
        <v>45292</v>
      </c>
      <c r="E377" s="129">
        <v>47119</v>
      </c>
      <c r="F377" s="124">
        <v>-65.504000000000005</v>
      </c>
      <c r="G377" s="125">
        <v>1.0001236749174335E-4</v>
      </c>
    </row>
    <row r="378" spans="1:7" ht="15" x14ac:dyDescent="0.25">
      <c r="A378">
        <v>13908</v>
      </c>
      <c r="B378">
        <v>14339</v>
      </c>
      <c r="C378" t="s">
        <v>2911</v>
      </c>
      <c r="D378" s="129">
        <v>45323</v>
      </c>
      <c r="E378" s="129">
        <v>47150</v>
      </c>
      <c r="F378" s="124">
        <v>-20.466999999999999</v>
      </c>
      <c r="G378" s="125">
        <v>3.1249284401769528E-5</v>
      </c>
    </row>
    <row r="379" spans="1:7" ht="15" x14ac:dyDescent="0.25">
      <c r="A379">
        <v>13908</v>
      </c>
      <c r="B379">
        <v>14339</v>
      </c>
      <c r="C379" t="s">
        <v>2911</v>
      </c>
      <c r="D379" s="129">
        <v>45352</v>
      </c>
      <c r="E379" s="129">
        <v>47178</v>
      </c>
      <c r="F379" s="124">
        <v>-66.409000000000006</v>
      </c>
      <c r="G379" s="125">
        <v>1.0139413337749122E-4</v>
      </c>
    </row>
    <row r="380" spans="1:7" ht="15" x14ac:dyDescent="0.25">
      <c r="A380">
        <v>13908</v>
      </c>
      <c r="B380">
        <v>14339</v>
      </c>
      <c r="C380" t="s">
        <v>2911</v>
      </c>
      <c r="D380" s="129">
        <v>45383</v>
      </c>
      <c r="E380" s="129">
        <v>47209</v>
      </c>
      <c r="F380" s="124">
        <v>-5.6109999999999998</v>
      </c>
      <c r="G380" s="125">
        <v>8.5669484916367239E-6</v>
      </c>
    </row>
    <row r="381" spans="1:7" ht="15" x14ac:dyDescent="0.25">
      <c r="A381">
        <v>13908</v>
      </c>
      <c r="B381">
        <v>14339</v>
      </c>
      <c r="C381" t="s">
        <v>2911</v>
      </c>
      <c r="D381" s="129">
        <v>45413</v>
      </c>
      <c r="E381" s="129">
        <v>47239</v>
      </c>
      <c r="F381" s="124">
        <v>-2.1000000000000001E-2</v>
      </c>
      <c r="G381" s="125">
        <v>3.2063075801884015E-8</v>
      </c>
    </row>
    <row r="382" spans="1:7" ht="15" x14ac:dyDescent="0.25">
      <c r="A382">
        <v>13908</v>
      </c>
      <c r="B382">
        <v>14339</v>
      </c>
      <c r="C382" t="s">
        <v>2911</v>
      </c>
      <c r="D382" s="129">
        <v>45444</v>
      </c>
      <c r="E382" s="129">
        <v>47270</v>
      </c>
      <c r="F382" s="124">
        <v>-10.977</v>
      </c>
      <c r="G382" s="125">
        <v>1.6759827765584799E-5</v>
      </c>
    </row>
    <row r="383" spans="1:7" ht="15" x14ac:dyDescent="0.25">
      <c r="A383">
        <v>13908</v>
      </c>
      <c r="B383">
        <v>14339</v>
      </c>
      <c r="C383" t="s">
        <v>2911</v>
      </c>
      <c r="D383" s="129">
        <v>45474</v>
      </c>
      <c r="E383" s="129">
        <v>47300</v>
      </c>
      <c r="F383" s="124">
        <v>-104.46299999999999</v>
      </c>
      <c r="G383" s="125">
        <v>1.5949548035677189E-4</v>
      </c>
    </row>
    <row r="384" spans="1:7" ht="15" x14ac:dyDescent="0.25">
      <c r="A384">
        <v>13908</v>
      </c>
      <c r="B384">
        <v>14339</v>
      </c>
      <c r="C384" t="s">
        <v>2911</v>
      </c>
      <c r="D384" s="129">
        <v>45505</v>
      </c>
      <c r="E384" s="129">
        <v>47331</v>
      </c>
      <c r="F384" s="124">
        <v>-176.72200000000001</v>
      </c>
      <c r="G384" s="125">
        <v>2.6982147056478793E-4</v>
      </c>
    </row>
    <row r="385" spans="1:7" ht="15" x14ac:dyDescent="0.25">
      <c r="A385">
        <v>13908</v>
      </c>
      <c r="B385">
        <v>14339</v>
      </c>
      <c r="C385" t="s">
        <v>2911</v>
      </c>
      <c r="D385" s="129">
        <v>45536</v>
      </c>
      <c r="E385" s="129">
        <v>47362</v>
      </c>
      <c r="F385" s="124">
        <v>-192.059</v>
      </c>
      <c r="G385" s="125">
        <v>2.932382035920972E-4</v>
      </c>
    </row>
    <row r="386" spans="1:7" ht="15" x14ac:dyDescent="0.25">
      <c r="A386">
        <v>13908</v>
      </c>
      <c r="B386">
        <v>14339</v>
      </c>
      <c r="C386" t="s">
        <v>2911</v>
      </c>
      <c r="D386" s="129">
        <v>45566</v>
      </c>
      <c r="E386" s="129">
        <v>47392</v>
      </c>
      <c r="F386" s="124">
        <v>-253.37799999999999</v>
      </c>
      <c r="G386" s="125">
        <v>3.8686085812046509E-4</v>
      </c>
    </row>
    <row r="387" spans="1:7" ht="15" x14ac:dyDescent="0.25">
      <c r="A387">
        <v>13908</v>
      </c>
      <c r="B387">
        <v>14339</v>
      </c>
      <c r="C387" t="s">
        <v>2911</v>
      </c>
      <c r="D387" s="129">
        <v>45597</v>
      </c>
      <c r="E387" s="129">
        <v>47423</v>
      </c>
      <c r="F387" s="124">
        <v>-175.96100000000001</v>
      </c>
      <c r="G387" s="125">
        <v>2.68659565770253E-4</v>
      </c>
    </row>
    <row r="388" spans="1:7" ht="15" x14ac:dyDescent="0.25">
      <c r="A388">
        <v>13908</v>
      </c>
      <c r="B388">
        <v>14339</v>
      </c>
      <c r="C388" t="s">
        <v>2911</v>
      </c>
      <c r="D388" s="129">
        <v>45627</v>
      </c>
      <c r="E388" s="129">
        <v>47453</v>
      </c>
      <c r="F388" s="124">
        <v>-374.399</v>
      </c>
      <c r="G388" s="125">
        <v>5.7163731034045586E-4</v>
      </c>
    </row>
    <row r="389" spans="1:7" ht="15" x14ac:dyDescent="0.25">
      <c r="A389">
        <v>13908</v>
      </c>
      <c r="B389">
        <v>14339</v>
      </c>
      <c r="C389" t="s">
        <v>2911</v>
      </c>
      <c r="D389" s="129">
        <v>45658</v>
      </c>
      <c r="E389" s="129">
        <v>47484</v>
      </c>
      <c r="F389" s="124">
        <v>-555.17100000000005</v>
      </c>
      <c r="G389" s="125">
        <v>8.4764237409560715E-4</v>
      </c>
    </row>
    <row r="390" spans="1:7" ht="15" x14ac:dyDescent="0.25">
      <c r="A390">
        <v>13908</v>
      </c>
      <c r="B390">
        <v>14339</v>
      </c>
      <c r="C390" t="s">
        <v>2911</v>
      </c>
      <c r="D390" s="129">
        <v>45689</v>
      </c>
      <c r="E390" s="129">
        <v>47515</v>
      </c>
      <c r="F390" s="124">
        <v>-304.94200000000001</v>
      </c>
      <c r="G390" s="125">
        <v>4.6558945053229119E-4</v>
      </c>
    </row>
    <row r="391" spans="1:7" ht="15" x14ac:dyDescent="0.25">
      <c r="A391">
        <v>13908</v>
      </c>
      <c r="B391">
        <v>14339</v>
      </c>
      <c r="C391" t="s">
        <v>2911</v>
      </c>
      <c r="D391" s="129">
        <v>45717</v>
      </c>
      <c r="E391" s="129">
        <v>47543</v>
      </c>
      <c r="F391" s="124">
        <v>-275.04899999999998</v>
      </c>
      <c r="G391" s="125">
        <v>4.1994842553487596E-4</v>
      </c>
    </row>
    <row r="392" spans="1:7" ht="15" x14ac:dyDescent="0.25">
      <c r="A392">
        <v>13908</v>
      </c>
      <c r="B392">
        <v>14339</v>
      </c>
      <c r="C392" t="s">
        <v>2911</v>
      </c>
      <c r="D392" s="129">
        <v>45748</v>
      </c>
      <c r="E392" s="129">
        <v>47574</v>
      </c>
      <c r="F392" s="124">
        <v>-532.08900000000006</v>
      </c>
      <c r="G392" s="125">
        <v>8.1240047334993641E-4</v>
      </c>
    </row>
    <row r="393" spans="1:7" ht="15" x14ac:dyDescent="0.25">
      <c r="A393">
        <v>13908</v>
      </c>
      <c r="B393">
        <v>14339</v>
      </c>
      <c r="C393" t="s">
        <v>2911</v>
      </c>
      <c r="D393" s="129">
        <v>45778</v>
      </c>
      <c r="E393" s="129">
        <v>47604</v>
      </c>
      <c r="F393" s="124">
        <v>-331.50200000000001</v>
      </c>
      <c r="G393" s="125">
        <v>5.0614160735600738E-4</v>
      </c>
    </row>
    <row r="394" spans="1:7" ht="15" x14ac:dyDescent="0.25">
      <c r="A394">
        <v>13908</v>
      </c>
      <c r="B394">
        <v>14339</v>
      </c>
      <c r="C394" t="s">
        <v>2911</v>
      </c>
      <c r="D394" s="129">
        <v>45809</v>
      </c>
      <c r="E394" s="129">
        <v>47635</v>
      </c>
      <c r="F394" s="124">
        <v>-326.75299999999999</v>
      </c>
      <c r="G394" s="125">
        <v>4.9889077178538125E-4</v>
      </c>
    </row>
    <row r="395" spans="1:7" ht="15" x14ac:dyDescent="0.25">
      <c r="A395">
        <v>13908</v>
      </c>
      <c r="B395">
        <v>14339</v>
      </c>
      <c r="C395" t="s">
        <v>2911</v>
      </c>
      <c r="D395" s="129">
        <v>45839</v>
      </c>
      <c r="E395" s="129">
        <v>47665</v>
      </c>
      <c r="F395" s="124">
        <v>-228.572</v>
      </c>
      <c r="G395" s="125">
        <v>3.4898673153277297E-4</v>
      </c>
    </row>
    <row r="396" spans="1:7" ht="15" x14ac:dyDescent="0.25">
      <c r="A396">
        <v>13908</v>
      </c>
      <c r="B396">
        <v>14339</v>
      </c>
      <c r="C396" t="s">
        <v>2911</v>
      </c>
      <c r="D396" s="129">
        <v>45870</v>
      </c>
      <c r="E396" s="129">
        <v>47696</v>
      </c>
      <c r="F396" s="124">
        <v>-289.274</v>
      </c>
      <c r="G396" s="125">
        <v>4.4166734235781882E-4</v>
      </c>
    </row>
    <row r="397" spans="1:7" ht="15" x14ac:dyDescent="0.25">
      <c r="A397">
        <v>13908</v>
      </c>
      <c r="B397">
        <v>14339</v>
      </c>
      <c r="C397" t="s">
        <v>2911</v>
      </c>
      <c r="D397" s="129">
        <v>45901</v>
      </c>
      <c r="E397" s="129">
        <v>47727</v>
      </c>
      <c r="F397" s="124">
        <v>-203.42</v>
      </c>
      <c r="G397" s="125">
        <v>3.1058432760091643E-4</v>
      </c>
    </row>
    <row r="398" spans="1:7" ht="15" x14ac:dyDescent="0.25">
      <c r="A398">
        <v>13908</v>
      </c>
      <c r="B398">
        <v>14339</v>
      </c>
      <c r="C398" t="s">
        <v>2911</v>
      </c>
      <c r="D398" s="129">
        <v>45931</v>
      </c>
      <c r="E398" s="129">
        <v>47757</v>
      </c>
      <c r="F398" s="124">
        <v>-100.935</v>
      </c>
      <c r="G398" s="125">
        <v>1.5410888362205538E-4</v>
      </c>
    </row>
    <row r="399" spans="1:7" ht="15" x14ac:dyDescent="0.25">
      <c r="A399">
        <v>13908</v>
      </c>
      <c r="B399">
        <v>14339</v>
      </c>
      <c r="C399" t="s">
        <v>2911</v>
      </c>
      <c r="D399" s="129">
        <v>45962</v>
      </c>
      <c r="E399" s="129">
        <v>47788</v>
      </c>
      <c r="F399" s="124">
        <v>-115.78700000000001</v>
      </c>
      <c r="G399" s="125">
        <v>1.7678511227965448E-4</v>
      </c>
    </row>
    <row r="400" spans="1:7" ht="15" x14ac:dyDescent="0.25">
      <c r="A400">
        <v>13908</v>
      </c>
      <c r="B400">
        <v>14339</v>
      </c>
      <c r="C400" t="s">
        <v>2911</v>
      </c>
      <c r="D400" s="129">
        <v>45992</v>
      </c>
      <c r="E400" s="129">
        <v>47818</v>
      </c>
      <c r="F400" s="124">
        <v>-76.75</v>
      </c>
      <c r="G400" s="125">
        <v>1.1718290799021895E-4</v>
      </c>
    </row>
    <row r="401" spans="1:7" ht="15" x14ac:dyDescent="0.25">
      <c r="A401">
        <v>13908</v>
      </c>
      <c r="B401">
        <v>14339</v>
      </c>
      <c r="C401" t="s">
        <v>2911</v>
      </c>
      <c r="D401" s="129">
        <v>46023</v>
      </c>
      <c r="E401" s="129">
        <v>47849</v>
      </c>
      <c r="F401" s="124">
        <v>-63.231999999999999</v>
      </c>
      <c r="G401" s="125">
        <v>9.654344805260618E-5</v>
      </c>
    </row>
    <row r="402" spans="1:7" ht="15" x14ac:dyDescent="0.25">
      <c r="A402">
        <v>13908</v>
      </c>
      <c r="B402">
        <v>14339</v>
      </c>
      <c r="C402" t="s">
        <v>2911</v>
      </c>
      <c r="D402" s="129">
        <v>46054</v>
      </c>
      <c r="E402" s="129">
        <v>47880</v>
      </c>
      <c r="F402" s="124">
        <v>-7.4189999999999996</v>
      </c>
      <c r="G402" s="125">
        <v>1.1327426636865595E-5</v>
      </c>
    </row>
    <row r="403" spans="1:7" ht="15" x14ac:dyDescent="0.25">
      <c r="A403">
        <v>13908</v>
      </c>
      <c r="B403">
        <v>14339</v>
      </c>
      <c r="C403" t="s">
        <v>2911</v>
      </c>
      <c r="D403" s="129">
        <v>46082</v>
      </c>
      <c r="E403" s="129">
        <v>47908</v>
      </c>
      <c r="F403" s="124">
        <v>-5.3010000000000002</v>
      </c>
      <c r="G403" s="125">
        <v>8.0936364202755782E-6</v>
      </c>
    </row>
    <row r="404" spans="1:7" ht="15" x14ac:dyDescent="0.25">
      <c r="A404">
        <v>13908</v>
      </c>
      <c r="B404">
        <v>14339</v>
      </c>
      <c r="C404" t="s">
        <v>2911</v>
      </c>
      <c r="D404" s="129">
        <v>46113</v>
      </c>
      <c r="E404" s="129">
        <v>47939</v>
      </c>
      <c r="F404" s="124">
        <v>0</v>
      </c>
      <c r="G404" s="125">
        <v>0</v>
      </c>
    </row>
    <row r="405" spans="1:7" ht="15" x14ac:dyDescent="0.25">
      <c r="A405">
        <v>13908</v>
      </c>
      <c r="B405">
        <v>14339</v>
      </c>
      <c r="C405" t="s">
        <v>2911</v>
      </c>
      <c r="D405" s="129">
        <v>46143</v>
      </c>
      <c r="E405" s="129">
        <v>47969</v>
      </c>
      <c r="F405" s="124">
        <v>5.6070000000000002</v>
      </c>
      <c r="G405" s="125">
        <v>-8.5608412391030319E-6</v>
      </c>
    </row>
    <row r="406" spans="1:7" ht="15" x14ac:dyDescent="0.25">
      <c r="A406">
        <v>13908</v>
      </c>
      <c r="B406">
        <v>14339</v>
      </c>
      <c r="C406" t="s">
        <v>2911</v>
      </c>
      <c r="D406" s="129">
        <v>46174</v>
      </c>
      <c r="E406" s="129">
        <v>48000</v>
      </c>
      <c r="F406" s="124">
        <v>24.006</v>
      </c>
      <c r="G406" s="125">
        <v>-3.6652676080953693E-5</v>
      </c>
    </row>
    <row r="407" spans="1:7" ht="15" x14ac:dyDescent="0.25">
      <c r="A407">
        <v>13908</v>
      </c>
      <c r="B407">
        <v>14340</v>
      </c>
      <c r="C407" t="s">
        <v>2911</v>
      </c>
      <c r="D407" s="129">
        <v>44835</v>
      </c>
      <c r="E407" s="129">
        <v>46661</v>
      </c>
      <c r="F407" s="124">
        <v>-4.3999999999999997E-2</v>
      </c>
      <c r="G407" s="125">
        <v>6.7179777870614115E-8</v>
      </c>
    </row>
    <row r="408" spans="1:7" ht="15" x14ac:dyDescent="0.25">
      <c r="A408">
        <v>13908</v>
      </c>
      <c r="B408">
        <v>14340</v>
      </c>
      <c r="C408" t="s">
        <v>2911</v>
      </c>
      <c r="D408" s="129">
        <v>44866</v>
      </c>
      <c r="E408" s="129">
        <v>46692</v>
      </c>
      <c r="F408" s="124">
        <v>0</v>
      </c>
      <c r="G408" s="125">
        <v>0</v>
      </c>
    </row>
    <row r="409" spans="1:7" ht="15" x14ac:dyDescent="0.25">
      <c r="A409">
        <v>13908</v>
      </c>
      <c r="B409">
        <v>14340</v>
      </c>
      <c r="C409" t="s">
        <v>2911</v>
      </c>
      <c r="D409" s="129">
        <v>44896</v>
      </c>
      <c r="E409" s="129">
        <v>46722</v>
      </c>
      <c r="F409" s="124">
        <v>0</v>
      </c>
      <c r="G409" s="125">
        <v>0</v>
      </c>
    </row>
    <row r="410" spans="1:7" ht="15" x14ac:dyDescent="0.25">
      <c r="A410">
        <v>13908</v>
      </c>
      <c r="B410">
        <v>14340</v>
      </c>
      <c r="C410" t="s">
        <v>2911</v>
      </c>
      <c r="D410" s="129">
        <v>44927</v>
      </c>
      <c r="E410" s="129">
        <v>46753</v>
      </c>
      <c r="F410" s="124">
        <v>0</v>
      </c>
      <c r="G410" s="125">
        <v>0</v>
      </c>
    </row>
    <row r="411" spans="1:7" ht="15" x14ac:dyDescent="0.25">
      <c r="A411">
        <v>13908</v>
      </c>
      <c r="B411">
        <v>14340</v>
      </c>
      <c r="C411" t="s">
        <v>2911</v>
      </c>
      <c r="D411" s="129">
        <v>44958</v>
      </c>
      <c r="E411" s="129">
        <v>46784</v>
      </c>
      <c r="F411" s="124">
        <v>0</v>
      </c>
      <c r="G411" s="125">
        <v>0</v>
      </c>
    </row>
    <row r="412" spans="1:7" ht="15" x14ac:dyDescent="0.25">
      <c r="A412">
        <v>13908</v>
      </c>
      <c r="B412">
        <v>14340</v>
      </c>
      <c r="C412" t="s">
        <v>2911</v>
      </c>
      <c r="D412" s="129">
        <v>44986</v>
      </c>
      <c r="E412" s="129">
        <v>46813</v>
      </c>
      <c r="F412" s="124">
        <v>0</v>
      </c>
      <c r="G412" s="125">
        <v>0</v>
      </c>
    </row>
    <row r="413" spans="1:7" ht="15" x14ac:dyDescent="0.25">
      <c r="A413">
        <v>13908</v>
      </c>
      <c r="B413">
        <v>14340</v>
      </c>
      <c r="C413" t="s">
        <v>2911</v>
      </c>
      <c r="D413" s="129">
        <v>45017</v>
      </c>
      <c r="E413" s="129">
        <v>46844</v>
      </c>
      <c r="F413" s="124">
        <v>-1.08</v>
      </c>
      <c r="G413" s="125">
        <v>1.6489581840968923E-6</v>
      </c>
    </row>
    <row r="414" spans="1:7" ht="15" x14ac:dyDescent="0.25">
      <c r="A414">
        <v>13908</v>
      </c>
      <c r="B414">
        <v>14340</v>
      </c>
      <c r="C414" t="s">
        <v>2911</v>
      </c>
      <c r="D414" s="129">
        <v>45047</v>
      </c>
      <c r="E414" s="129">
        <v>46874</v>
      </c>
      <c r="F414" s="124">
        <v>-28.495000000000001</v>
      </c>
      <c r="G414" s="125">
        <v>4.3506540236889762E-5</v>
      </c>
    </row>
    <row r="415" spans="1:7" ht="15" x14ac:dyDescent="0.25">
      <c r="A415">
        <v>13908</v>
      </c>
      <c r="B415">
        <v>14340</v>
      </c>
      <c r="C415" t="s">
        <v>2911</v>
      </c>
      <c r="D415" s="129">
        <v>45078</v>
      </c>
      <c r="E415" s="129">
        <v>46905</v>
      </c>
      <c r="F415" s="124">
        <v>-17.013000000000002</v>
      </c>
      <c r="G415" s="125">
        <v>2.597567183892632E-5</v>
      </c>
    </row>
    <row r="416" spans="1:7" ht="15" x14ac:dyDescent="0.25">
      <c r="A416">
        <v>13908</v>
      </c>
      <c r="B416">
        <v>14340</v>
      </c>
      <c r="C416" t="s">
        <v>2911</v>
      </c>
      <c r="D416" s="129">
        <v>45108</v>
      </c>
      <c r="E416" s="129">
        <v>46935</v>
      </c>
      <c r="F416" s="124">
        <v>-32.804000000000002</v>
      </c>
      <c r="G416" s="125">
        <v>5.0085578028809678E-5</v>
      </c>
    </row>
    <row r="417" spans="1:7" ht="15" x14ac:dyDescent="0.25">
      <c r="A417">
        <v>13908</v>
      </c>
      <c r="B417">
        <v>14340</v>
      </c>
      <c r="C417" t="s">
        <v>2911</v>
      </c>
      <c r="D417" s="129">
        <v>45139</v>
      </c>
      <c r="E417" s="129">
        <v>46966</v>
      </c>
      <c r="F417" s="124">
        <v>-20.869</v>
      </c>
      <c r="G417" s="125">
        <v>3.1863063281405591E-5</v>
      </c>
    </row>
    <row r="418" spans="1:7" ht="15" x14ac:dyDescent="0.25">
      <c r="A418">
        <v>13908</v>
      </c>
      <c r="B418">
        <v>14340</v>
      </c>
      <c r="C418" t="s">
        <v>2911</v>
      </c>
      <c r="D418" s="129">
        <v>45170</v>
      </c>
      <c r="E418" s="129">
        <v>46997</v>
      </c>
      <c r="F418" s="124">
        <v>-87.527000000000001</v>
      </c>
      <c r="G418" s="125">
        <v>1.3363737312911914E-4</v>
      </c>
    </row>
    <row r="419" spans="1:7" ht="15" x14ac:dyDescent="0.25">
      <c r="A419">
        <v>13908</v>
      </c>
      <c r="B419">
        <v>14340</v>
      </c>
      <c r="C419" t="s">
        <v>2911</v>
      </c>
      <c r="D419" s="129">
        <v>45200</v>
      </c>
      <c r="E419" s="129">
        <v>47027</v>
      </c>
      <c r="F419" s="124">
        <v>-48.930999999999997</v>
      </c>
      <c r="G419" s="125">
        <v>7.470849343152317E-5</v>
      </c>
    </row>
    <row r="420" spans="1:7" ht="15" x14ac:dyDescent="0.25">
      <c r="A420">
        <v>13908</v>
      </c>
      <c r="B420">
        <v>14340</v>
      </c>
      <c r="C420" t="s">
        <v>2911</v>
      </c>
      <c r="D420" s="129">
        <v>45231</v>
      </c>
      <c r="E420" s="129">
        <v>47058</v>
      </c>
      <c r="F420" s="124">
        <v>-53.484999999999999</v>
      </c>
      <c r="G420" s="125">
        <v>8.1661600441131727E-5</v>
      </c>
    </row>
    <row r="421" spans="1:7" ht="15" x14ac:dyDescent="0.25">
      <c r="A421">
        <v>13908</v>
      </c>
      <c r="B421">
        <v>14340</v>
      </c>
      <c r="C421" t="s">
        <v>2911</v>
      </c>
      <c r="D421" s="129">
        <v>45261</v>
      </c>
      <c r="E421" s="129">
        <v>47088</v>
      </c>
      <c r="F421" s="124">
        <v>-56.792000000000002</v>
      </c>
      <c r="G421" s="125">
        <v>8.6710771473361758E-5</v>
      </c>
    </row>
    <row r="422" spans="1:7" ht="15" x14ac:dyDescent="0.25">
      <c r="A422">
        <v>13908</v>
      </c>
      <c r="B422">
        <v>14340</v>
      </c>
      <c r="C422" t="s">
        <v>2911</v>
      </c>
      <c r="D422" s="129">
        <v>45292</v>
      </c>
      <c r="E422" s="129">
        <v>47119</v>
      </c>
      <c r="F422" s="124">
        <v>0</v>
      </c>
      <c r="G422" s="125">
        <v>0</v>
      </c>
    </row>
    <row r="423" spans="1:7" ht="15" x14ac:dyDescent="0.25">
      <c r="A423">
        <v>13908</v>
      </c>
      <c r="B423">
        <v>14340</v>
      </c>
      <c r="C423" t="s">
        <v>2911</v>
      </c>
      <c r="D423" s="129">
        <v>45323</v>
      </c>
      <c r="E423" s="129">
        <v>47150</v>
      </c>
      <c r="F423" s="124">
        <v>-31.667000000000002</v>
      </c>
      <c r="G423" s="125">
        <v>4.8349591496107669E-5</v>
      </c>
    </row>
    <row r="424" spans="1:7" ht="15" x14ac:dyDescent="0.25">
      <c r="A424">
        <v>13908</v>
      </c>
      <c r="B424">
        <v>14340</v>
      </c>
      <c r="C424" t="s">
        <v>2911</v>
      </c>
      <c r="D424" s="129">
        <v>45352</v>
      </c>
      <c r="E424" s="129">
        <v>47178</v>
      </c>
      <c r="F424" s="124">
        <v>-120.31</v>
      </c>
      <c r="G424" s="125">
        <v>1.8369088808212693E-4</v>
      </c>
    </row>
    <row r="425" spans="1:7" ht="15" x14ac:dyDescent="0.25">
      <c r="A425">
        <v>13908</v>
      </c>
      <c r="B425">
        <v>14340</v>
      </c>
      <c r="C425" t="s">
        <v>2911</v>
      </c>
      <c r="D425" s="129">
        <v>45383</v>
      </c>
      <c r="E425" s="129">
        <v>47209</v>
      </c>
      <c r="F425" s="124">
        <v>-80.593000000000004</v>
      </c>
      <c r="G425" s="125">
        <v>1.2305045086196374E-4</v>
      </c>
    </row>
    <row r="426" spans="1:7" ht="15" x14ac:dyDescent="0.25">
      <c r="A426">
        <v>13908</v>
      </c>
      <c r="B426">
        <v>14340</v>
      </c>
      <c r="C426" t="s">
        <v>2911</v>
      </c>
      <c r="D426" s="129">
        <v>45413</v>
      </c>
      <c r="E426" s="129">
        <v>47239</v>
      </c>
      <c r="F426" s="124">
        <v>-0.153</v>
      </c>
      <c r="G426" s="125">
        <v>2.3360240941372637E-7</v>
      </c>
    </row>
    <row r="427" spans="1:7" ht="15" x14ac:dyDescent="0.25">
      <c r="A427">
        <v>13908</v>
      </c>
      <c r="B427">
        <v>14340</v>
      </c>
      <c r="C427" t="s">
        <v>2911</v>
      </c>
      <c r="D427" s="129">
        <v>45444</v>
      </c>
      <c r="E427" s="129">
        <v>47270</v>
      </c>
      <c r="F427" s="124">
        <v>-79.397000000000006</v>
      </c>
      <c r="G427" s="125">
        <v>1.2122438235438977E-4</v>
      </c>
    </row>
    <row r="428" spans="1:7" ht="15" x14ac:dyDescent="0.25">
      <c r="A428">
        <v>13908</v>
      </c>
      <c r="B428">
        <v>14340</v>
      </c>
      <c r="C428" t="s">
        <v>2911</v>
      </c>
      <c r="D428" s="129">
        <v>45474</v>
      </c>
      <c r="E428" s="129">
        <v>47300</v>
      </c>
      <c r="F428" s="124">
        <v>-65.308000000000007</v>
      </c>
      <c r="G428" s="125">
        <v>9.9713112117592444E-5</v>
      </c>
    </row>
    <row r="429" spans="1:7" ht="15" x14ac:dyDescent="0.25">
      <c r="A429">
        <v>13908</v>
      </c>
      <c r="B429">
        <v>14340</v>
      </c>
      <c r="C429" t="s">
        <v>2911</v>
      </c>
      <c r="D429" s="129">
        <v>45505</v>
      </c>
      <c r="E429" s="129">
        <v>47331</v>
      </c>
      <c r="F429" s="124">
        <v>-47.66</v>
      </c>
      <c r="G429" s="125">
        <v>7.2767913938942474E-5</v>
      </c>
    </row>
    <row r="430" spans="1:7" ht="15" x14ac:dyDescent="0.25">
      <c r="A430">
        <v>13908</v>
      </c>
      <c r="B430">
        <v>14340</v>
      </c>
      <c r="C430" t="s">
        <v>2911</v>
      </c>
      <c r="D430" s="129">
        <v>45536</v>
      </c>
      <c r="E430" s="129">
        <v>47362</v>
      </c>
      <c r="F430" s="124">
        <v>-66.742999999999995</v>
      </c>
      <c r="G430" s="125">
        <v>1.019040889640545E-4</v>
      </c>
    </row>
    <row r="431" spans="1:7" ht="15" x14ac:dyDescent="0.25">
      <c r="A431">
        <v>13908</v>
      </c>
      <c r="B431">
        <v>14340</v>
      </c>
      <c r="C431" t="s">
        <v>2911</v>
      </c>
      <c r="D431" s="129">
        <v>45566</v>
      </c>
      <c r="E431" s="129">
        <v>47392</v>
      </c>
      <c r="F431" s="124">
        <v>-145.80600000000001</v>
      </c>
      <c r="G431" s="125">
        <v>2.2261851573188098E-4</v>
      </c>
    </row>
    <row r="432" spans="1:7" ht="15" x14ac:dyDescent="0.25">
      <c r="A432">
        <v>13908</v>
      </c>
      <c r="B432">
        <v>14340</v>
      </c>
      <c r="C432" t="s">
        <v>2911</v>
      </c>
      <c r="D432" s="129">
        <v>45597</v>
      </c>
      <c r="E432" s="129">
        <v>47423</v>
      </c>
      <c r="F432" s="124">
        <v>-15.779</v>
      </c>
      <c r="G432" s="125">
        <v>2.4091584432282276E-5</v>
      </c>
    </row>
    <row r="433" spans="1:7" ht="15" x14ac:dyDescent="0.25">
      <c r="A433">
        <v>13908</v>
      </c>
      <c r="B433">
        <v>14340</v>
      </c>
      <c r="C433" t="s">
        <v>2911</v>
      </c>
      <c r="D433" s="129">
        <v>45627</v>
      </c>
      <c r="E433" s="129">
        <v>47453</v>
      </c>
      <c r="F433" s="124">
        <v>-45.804000000000002</v>
      </c>
      <c r="G433" s="125">
        <v>6.99341487633093E-5</v>
      </c>
    </row>
    <row r="434" spans="1:7" ht="15" x14ac:dyDescent="0.25">
      <c r="A434">
        <v>13908</v>
      </c>
      <c r="B434">
        <v>14340</v>
      </c>
      <c r="C434" t="s">
        <v>2911</v>
      </c>
      <c r="D434" s="129">
        <v>45658</v>
      </c>
      <c r="E434" s="129">
        <v>47484</v>
      </c>
      <c r="F434" s="124">
        <v>-12.542</v>
      </c>
      <c r="G434" s="125">
        <v>1.9149290319391871E-5</v>
      </c>
    </row>
    <row r="435" spans="1:7" ht="15" x14ac:dyDescent="0.25">
      <c r="A435">
        <v>13908</v>
      </c>
      <c r="B435">
        <v>14340</v>
      </c>
      <c r="C435" t="s">
        <v>2911</v>
      </c>
      <c r="D435" s="129">
        <v>45689</v>
      </c>
      <c r="E435" s="129">
        <v>47515</v>
      </c>
      <c r="F435" s="124">
        <v>-45.905000000000001</v>
      </c>
      <c r="G435" s="125">
        <v>7.0088356889785029E-5</v>
      </c>
    </row>
    <row r="436" spans="1:7" ht="15" x14ac:dyDescent="0.25">
      <c r="A436">
        <v>13908</v>
      </c>
      <c r="B436">
        <v>14340</v>
      </c>
      <c r="C436" t="s">
        <v>2911</v>
      </c>
      <c r="D436" s="129">
        <v>45717</v>
      </c>
      <c r="E436" s="129">
        <v>47543</v>
      </c>
      <c r="F436" s="124">
        <v>-24.125</v>
      </c>
      <c r="G436" s="125">
        <v>3.6834366843831035E-5</v>
      </c>
    </row>
    <row r="437" spans="1:7" ht="15" x14ac:dyDescent="0.25">
      <c r="A437">
        <v>13908</v>
      </c>
      <c r="B437">
        <v>14340</v>
      </c>
      <c r="C437" t="s">
        <v>2911</v>
      </c>
      <c r="D437" s="129">
        <v>45748</v>
      </c>
      <c r="E437" s="129">
        <v>47574</v>
      </c>
      <c r="F437" s="124">
        <v>-22.988</v>
      </c>
      <c r="G437" s="125">
        <v>3.5098380311129033E-5</v>
      </c>
    </row>
    <row r="438" spans="1:7" ht="15" x14ac:dyDescent="0.25">
      <c r="A438">
        <v>13908</v>
      </c>
      <c r="B438">
        <v>14340</v>
      </c>
      <c r="C438" t="s">
        <v>2911</v>
      </c>
      <c r="D438" s="129">
        <v>45778</v>
      </c>
      <c r="E438" s="129">
        <v>47604</v>
      </c>
      <c r="F438" s="124">
        <v>0</v>
      </c>
      <c r="G438" s="125">
        <v>0</v>
      </c>
    </row>
    <row r="439" spans="1:7" ht="15" x14ac:dyDescent="0.25">
      <c r="A439">
        <v>13908</v>
      </c>
      <c r="B439">
        <v>14340</v>
      </c>
      <c r="C439" t="s">
        <v>2911</v>
      </c>
      <c r="D439" s="129">
        <v>45809</v>
      </c>
      <c r="E439" s="129">
        <v>47635</v>
      </c>
      <c r="F439" s="124">
        <v>-8.7059999999999995</v>
      </c>
      <c r="G439" s="125">
        <v>1.3292435139581057E-5</v>
      </c>
    </row>
    <row r="440" spans="1:7" ht="15" x14ac:dyDescent="0.25">
      <c r="A440">
        <v>13908</v>
      </c>
      <c r="B440">
        <v>14340</v>
      </c>
      <c r="C440" t="s">
        <v>2911</v>
      </c>
      <c r="D440" s="129">
        <v>45839</v>
      </c>
      <c r="E440" s="129">
        <v>47665</v>
      </c>
      <c r="F440" s="124">
        <v>16.981000000000002</v>
      </c>
      <c r="G440" s="125">
        <v>-2.5926813818656784E-5</v>
      </c>
    </row>
    <row r="441" spans="1:7" ht="15" x14ac:dyDescent="0.25">
      <c r="A441">
        <v>13908</v>
      </c>
      <c r="B441">
        <v>14340</v>
      </c>
      <c r="C441" t="s">
        <v>2911</v>
      </c>
      <c r="D441" s="129">
        <v>45870</v>
      </c>
      <c r="E441" s="129">
        <v>47696</v>
      </c>
      <c r="F441" s="124">
        <v>-2.3E-2</v>
      </c>
      <c r="G441" s="125">
        <v>3.5116702068730107E-8</v>
      </c>
    </row>
    <row r="442" spans="1:7" ht="15" x14ac:dyDescent="0.25">
      <c r="A442">
        <v>13908</v>
      </c>
      <c r="B442">
        <v>14340</v>
      </c>
      <c r="C442" t="s">
        <v>2911</v>
      </c>
      <c r="D442" s="129">
        <v>45901</v>
      </c>
      <c r="E442" s="129">
        <v>47727</v>
      </c>
      <c r="F442" s="124">
        <v>-2.1349999999999998</v>
      </c>
      <c r="G442" s="125">
        <v>3.2597460398582076E-6</v>
      </c>
    </row>
    <row r="443" spans="1:7" ht="15" x14ac:dyDescent="0.25">
      <c r="A443">
        <v>13908</v>
      </c>
      <c r="B443">
        <v>14340</v>
      </c>
      <c r="C443" t="s">
        <v>2911</v>
      </c>
      <c r="D443" s="129">
        <v>45931</v>
      </c>
      <c r="E443" s="129">
        <v>47757</v>
      </c>
      <c r="F443" s="124">
        <v>-3.2130000000000001</v>
      </c>
      <c r="G443" s="125">
        <v>4.9056505976882538E-6</v>
      </c>
    </row>
    <row r="444" spans="1:7" ht="15" x14ac:dyDescent="0.25">
      <c r="A444">
        <v>13908</v>
      </c>
      <c r="B444">
        <v>14340</v>
      </c>
      <c r="C444" t="s">
        <v>2911</v>
      </c>
      <c r="D444" s="129">
        <v>45962</v>
      </c>
      <c r="E444" s="129">
        <v>47788</v>
      </c>
      <c r="F444" s="124">
        <v>16.295999999999999</v>
      </c>
      <c r="G444" s="125">
        <v>-2.4880946822261994E-5</v>
      </c>
    </row>
    <row r="445" spans="1:7" ht="15" x14ac:dyDescent="0.25">
      <c r="A445">
        <v>13908</v>
      </c>
      <c r="B445">
        <v>14340</v>
      </c>
      <c r="C445" t="s">
        <v>2911</v>
      </c>
      <c r="D445" s="129">
        <v>45992</v>
      </c>
      <c r="E445" s="129">
        <v>47818</v>
      </c>
      <c r="F445" s="124">
        <v>22.72</v>
      </c>
      <c r="G445" s="125">
        <v>-3.4689194391371651E-5</v>
      </c>
    </row>
    <row r="446" spans="1:7" ht="15" x14ac:dyDescent="0.25">
      <c r="A446">
        <v>13908</v>
      </c>
      <c r="B446">
        <v>14340</v>
      </c>
      <c r="C446" t="s">
        <v>2911</v>
      </c>
      <c r="D446" s="129">
        <v>46023</v>
      </c>
      <c r="E446" s="129">
        <v>47849</v>
      </c>
      <c r="F446" s="124">
        <v>4.4749999999999996</v>
      </c>
      <c r="G446" s="125">
        <v>-6.8324887720681401E-6</v>
      </c>
    </row>
    <row r="447" spans="1:7" ht="15" x14ac:dyDescent="0.25">
      <c r="A447">
        <v>13908</v>
      </c>
      <c r="B447">
        <v>14340</v>
      </c>
      <c r="C447" t="s">
        <v>2911</v>
      </c>
      <c r="D447" s="129">
        <v>46054</v>
      </c>
      <c r="E447" s="129">
        <v>47880</v>
      </c>
      <c r="F447" s="124">
        <v>0.502</v>
      </c>
      <c r="G447" s="125">
        <v>-7.6646019297837017E-7</v>
      </c>
    </row>
    <row r="448" spans="1:7" ht="15" x14ac:dyDescent="0.25">
      <c r="A448">
        <v>13908</v>
      </c>
      <c r="B448">
        <v>14340</v>
      </c>
      <c r="C448" t="s">
        <v>2911</v>
      </c>
      <c r="D448" s="129">
        <v>46082</v>
      </c>
      <c r="E448" s="129">
        <v>47908</v>
      </c>
      <c r="F448" s="124">
        <v>0.24</v>
      </c>
      <c r="G448" s="125">
        <v>-3.6643515202153156E-7</v>
      </c>
    </row>
    <row r="449" spans="1:7" ht="15" x14ac:dyDescent="0.25">
      <c r="A449">
        <v>13908</v>
      </c>
      <c r="B449">
        <v>14340</v>
      </c>
      <c r="C449" t="s">
        <v>2911</v>
      </c>
      <c r="D449" s="129">
        <v>46113</v>
      </c>
      <c r="E449" s="129">
        <v>47939</v>
      </c>
      <c r="F449" s="124">
        <v>0</v>
      </c>
      <c r="G449" s="125">
        <v>0</v>
      </c>
    </row>
    <row r="450" spans="1:7" ht="15" x14ac:dyDescent="0.25">
      <c r="A450">
        <v>13908</v>
      </c>
      <c r="B450">
        <v>14340</v>
      </c>
      <c r="C450" t="s">
        <v>2911</v>
      </c>
      <c r="D450" s="129">
        <v>46143</v>
      </c>
      <c r="E450" s="129">
        <v>47969</v>
      </c>
      <c r="F450" s="124">
        <v>0</v>
      </c>
      <c r="G450" s="125">
        <v>0</v>
      </c>
    </row>
    <row r="451" spans="1:7" ht="15" x14ac:dyDescent="0.25">
      <c r="A451">
        <v>13908</v>
      </c>
      <c r="B451">
        <v>14340</v>
      </c>
      <c r="C451" t="s">
        <v>2911</v>
      </c>
      <c r="D451" s="129">
        <v>46174</v>
      </c>
      <c r="E451" s="129">
        <v>48000</v>
      </c>
      <c r="F451" s="124">
        <v>2.359</v>
      </c>
      <c r="G451" s="125">
        <v>-3.6017521817449706E-6</v>
      </c>
    </row>
    <row r="452" spans="1:7" ht="15" x14ac:dyDescent="0.25">
      <c r="A452">
        <v>13908</v>
      </c>
      <c r="B452">
        <v>15263</v>
      </c>
      <c r="C452" t="s">
        <v>2911</v>
      </c>
      <c r="D452" s="129">
        <v>44835</v>
      </c>
      <c r="E452" s="129">
        <v>46661</v>
      </c>
      <c r="F452" s="124">
        <v>0</v>
      </c>
      <c r="G452" s="125">
        <v>0</v>
      </c>
    </row>
    <row r="453" spans="1:7" ht="15" x14ac:dyDescent="0.25">
      <c r="A453">
        <v>13908</v>
      </c>
      <c r="B453">
        <v>15263</v>
      </c>
      <c r="C453" t="s">
        <v>2911</v>
      </c>
      <c r="D453" s="129">
        <v>44866</v>
      </c>
      <c r="E453" s="129">
        <v>46692</v>
      </c>
      <c r="F453" s="124">
        <v>0</v>
      </c>
      <c r="G453" s="125">
        <v>0</v>
      </c>
    </row>
    <row r="454" spans="1:7" ht="15" x14ac:dyDescent="0.25">
      <c r="A454">
        <v>13908</v>
      </c>
      <c r="B454">
        <v>15263</v>
      </c>
      <c r="C454" t="s">
        <v>2911</v>
      </c>
      <c r="D454" s="129">
        <v>44896</v>
      </c>
      <c r="E454" s="129">
        <v>46722</v>
      </c>
      <c r="F454" s="124">
        <v>0</v>
      </c>
      <c r="G454" s="125">
        <v>0</v>
      </c>
    </row>
    <row r="455" spans="1:7" ht="15" x14ac:dyDescent="0.25">
      <c r="A455">
        <v>13908</v>
      </c>
      <c r="B455">
        <v>15263</v>
      </c>
      <c r="C455" t="s">
        <v>2911</v>
      </c>
      <c r="D455" s="129">
        <v>44927</v>
      </c>
      <c r="E455" s="129">
        <v>46753</v>
      </c>
      <c r="F455" s="124">
        <v>0</v>
      </c>
      <c r="G455" s="125">
        <v>0</v>
      </c>
    </row>
    <row r="456" spans="1:7" ht="15" x14ac:dyDescent="0.25">
      <c r="A456">
        <v>13908</v>
      </c>
      <c r="B456">
        <v>15263</v>
      </c>
      <c r="C456" t="s">
        <v>2911</v>
      </c>
      <c r="D456" s="129">
        <v>44958</v>
      </c>
      <c r="E456" s="129">
        <v>46784</v>
      </c>
      <c r="F456" s="124">
        <v>0</v>
      </c>
      <c r="G456" s="125">
        <v>0</v>
      </c>
    </row>
    <row r="457" spans="1:7" ht="15" x14ac:dyDescent="0.25">
      <c r="A457">
        <v>13908</v>
      </c>
      <c r="B457">
        <v>15263</v>
      </c>
      <c r="C457" t="s">
        <v>2911</v>
      </c>
      <c r="D457" s="129">
        <v>44986</v>
      </c>
      <c r="E457" s="129">
        <v>46813</v>
      </c>
      <c r="F457" s="124">
        <v>0</v>
      </c>
      <c r="G457" s="125">
        <v>0</v>
      </c>
    </row>
    <row r="458" spans="1:7" ht="15" x14ac:dyDescent="0.25">
      <c r="A458">
        <v>13908</v>
      </c>
      <c r="B458">
        <v>15263</v>
      </c>
      <c r="C458" t="s">
        <v>2911</v>
      </c>
      <c r="D458" s="129">
        <v>45017</v>
      </c>
      <c r="E458" s="129">
        <v>46844</v>
      </c>
      <c r="F458" s="124">
        <v>0</v>
      </c>
      <c r="G458" s="125">
        <v>0</v>
      </c>
    </row>
    <row r="459" spans="1:7" ht="15" x14ac:dyDescent="0.25">
      <c r="A459">
        <v>13908</v>
      </c>
      <c r="B459">
        <v>15263</v>
      </c>
      <c r="C459" t="s">
        <v>2911</v>
      </c>
      <c r="D459" s="129">
        <v>45047</v>
      </c>
      <c r="E459" s="129">
        <v>46874</v>
      </c>
      <c r="F459" s="124">
        <v>0</v>
      </c>
      <c r="G459" s="125">
        <v>0</v>
      </c>
    </row>
    <row r="460" spans="1:7" ht="15" x14ac:dyDescent="0.25">
      <c r="A460">
        <v>13908</v>
      </c>
      <c r="B460">
        <v>15263</v>
      </c>
      <c r="C460" t="s">
        <v>2911</v>
      </c>
      <c r="D460" s="129">
        <v>45078</v>
      </c>
      <c r="E460" s="129">
        <v>46905</v>
      </c>
      <c r="F460" s="124">
        <v>0</v>
      </c>
      <c r="G460" s="125">
        <v>0</v>
      </c>
    </row>
    <row r="461" spans="1:7" ht="15" x14ac:dyDescent="0.25">
      <c r="A461">
        <v>13908</v>
      </c>
      <c r="B461">
        <v>15263</v>
      </c>
      <c r="C461" t="s">
        <v>2911</v>
      </c>
      <c r="D461" s="129">
        <v>45108</v>
      </c>
      <c r="E461" s="129">
        <v>46935</v>
      </c>
      <c r="F461" s="124">
        <v>0</v>
      </c>
      <c r="G461" s="125">
        <v>0</v>
      </c>
    </row>
    <row r="462" spans="1:7" ht="15" x14ac:dyDescent="0.25">
      <c r="A462">
        <v>13908</v>
      </c>
      <c r="B462">
        <v>15263</v>
      </c>
      <c r="C462" t="s">
        <v>2911</v>
      </c>
      <c r="D462" s="129">
        <v>45139</v>
      </c>
      <c r="E462" s="129">
        <v>46966</v>
      </c>
      <c r="F462" s="124">
        <v>0</v>
      </c>
      <c r="G462" s="125">
        <v>0</v>
      </c>
    </row>
    <row r="463" spans="1:7" ht="15" x14ac:dyDescent="0.25">
      <c r="A463">
        <v>13908</v>
      </c>
      <c r="B463">
        <v>15263</v>
      </c>
      <c r="C463" t="s">
        <v>2911</v>
      </c>
      <c r="D463" s="129">
        <v>45170</v>
      </c>
      <c r="E463" s="129">
        <v>46997</v>
      </c>
      <c r="F463" s="124">
        <v>0</v>
      </c>
      <c r="G463" s="125">
        <v>0</v>
      </c>
    </row>
    <row r="464" spans="1:7" ht="15" x14ac:dyDescent="0.25">
      <c r="A464">
        <v>13908</v>
      </c>
      <c r="B464">
        <v>15263</v>
      </c>
      <c r="C464" t="s">
        <v>2911</v>
      </c>
      <c r="D464" s="129">
        <v>45200</v>
      </c>
      <c r="E464" s="129">
        <v>47027</v>
      </c>
      <c r="F464" s="124">
        <v>0</v>
      </c>
      <c r="G464" s="125">
        <v>0</v>
      </c>
    </row>
    <row r="465" spans="1:7" ht="15" x14ac:dyDescent="0.25">
      <c r="A465">
        <v>13908</v>
      </c>
      <c r="B465">
        <v>15263</v>
      </c>
      <c r="C465" t="s">
        <v>2911</v>
      </c>
      <c r="D465" s="129">
        <v>45231</v>
      </c>
      <c r="E465" s="129">
        <v>47058</v>
      </c>
      <c r="F465" s="124">
        <v>0</v>
      </c>
      <c r="G465" s="125">
        <v>0</v>
      </c>
    </row>
    <row r="466" spans="1:7" ht="15" x14ac:dyDescent="0.25">
      <c r="A466">
        <v>13908</v>
      </c>
      <c r="B466">
        <v>15263</v>
      </c>
      <c r="C466" t="s">
        <v>2911</v>
      </c>
      <c r="D466" s="129">
        <v>45261</v>
      </c>
      <c r="E466" s="129">
        <v>47088</v>
      </c>
      <c r="F466" s="124">
        <v>0</v>
      </c>
      <c r="G466" s="125">
        <v>0</v>
      </c>
    </row>
    <row r="467" spans="1:7" ht="15" x14ac:dyDescent="0.25">
      <c r="A467">
        <v>13908</v>
      </c>
      <c r="B467">
        <v>15263</v>
      </c>
      <c r="C467" t="s">
        <v>2911</v>
      </c>
      <c r="D467" s="129">
        <v>45292</v>
      </c>
      <c r="E467" s="129">
        <v>47119</v>
      </c>
      <c r="F467" s="124">
        <v>0</v>
      </c>
      <c r="G467" s="125">
        <v>0</v>
      </c>
    </row>
    <row r="468" spans="1:7" ht="15" x14ac:dyDescent="0.25">
      <c r="A468">
        <v>13908</v>
      </c>
      <c r="B468">
        <v>15263</v>
      </c>
      <c r="C468" t="s">
        <v>2911</v>
      </c>
      <c r="D468" s="129">
        <v>45323</v>
      </c>
      <c r="E468" s="129">
        <v>47150</v>
      </c>
      <c r="F468" s="124">
        <v>0</v>
      </c>
      <c r="G468" s="125">
        <v>0</v>
      </c>
    </row>
    <row r="469" spans="1:7" ht="15" x14ac:dyDescent="0.25">
      <c r="A469">
        <v>13908</v>
      </c>
      <c r="B469">
        <v>15263</v>
      </c>
      <c r="C469" t="s">
        <v>2911</v>
      </c>
      <c r="D469" s="129">
        <v>45352</v>
      </c>
      <c r="E469" s="129">
        <v>47178</v>
      </c>
      <c r="F469" s="124">
        <v>0</v>
      </c>
      <c r="G469" s="125">
        <v>0</v>
      </c>
    </row>
    <row r="470" spans="1:7" ht="15" x14ac:dyDescent="0.25">
      <c r="A470">
        <v>13908</v>
      </c>
      <c r="B470">
        <v>15263</v>
      </c>
      <c r="C470" t="s">
        <v>2911</v>
      </c>
      <c r="D470" s="129">
        <v>45383</v>
      </c>
      <c r="E470" s="129">
        <v>47209</v>
      </c>
      <c r="F470" s="124">
        <v>0</v>
      </c>
      <c r="G470" s="125">
        <v>0</v>
      </c>
    </row>
    <row r="471" spans="1:7" ht="15" x14ac:dyDescent="0.25">
      <c r="A471">
        <v>13908</v>
      </c>
      <c r="B471">
        <v>15263</v>
      </c>
      <c r="C471" t="s">
        <v>2911</v>
      </c>
      <c r="D471" s="129">
        <v>45413</v>
      </c>
      <c r="E471" s="129">
        <v>47239</v>
      </c>
      <c r="F471" s="124">
        <v>0</v>
      </c>
      <c r="G471" s="125">
        <v>0</v>
      </c>
    </row>
    <row r="472" spans="1:7" ht="15" x14ac:dyDescent="0.25">
      <c r="A472">
        <v>13908</v>
      </c>
      <c r="B472">
        <v>15263</v>
      </c>
      <c r="C472" t="s">
        <v>2911</v>
      </c>
      <c r="D472" s="129">
        <v>45444</v>
      </c>
      <c r="E472" s="129">
        <v>47270</v>
      </c>
      <c r="F472" s="124">
        <v>0</v>
      </c>
      <c r="G472" s="125">
        <v>0</v>
      </c>
    </row>
    <row r="473" spans="1:7" ht="15" x14ac:dyDescent="0.25">
      <c r="A473">
        <v>13908</v>
      </c>
      <c r="B473">
        <v>15263</v>
      </c>
      <c r="C473" t="s">
        <v>2911</v>
      </c>
      <c r="D473" s="129">
        <v>45474</v>
      </c>
      <c r="E473" s="129">
        <v>47300</v>
      </c>
      <c r="F473" s="124">
        <v>-182.38200000000001</v>
      </c>
      <c r="G473" s="125">
        <v>2.784632328999624E-4</v>
      </c>
    </row>
    <row r="474" spans="1:7" ht="15" x14ac:dyDescent="0.25">
      <c r="A474">
        <v>13908</v>
      </c>
      <c r="B474">
        <v>15263</v>
      </c>
      <c r="C474" t="s">
        <v>2911</v>
      </c>
      <c r="D474" s="129">
        <v>45505</v>
      </c>
      <c r="E474" s="129">
        <v>47331</v>
      </c>
      <c r="F474" s="124">
        <v>-2235.509</v>
      </c>
      <c r="G474" s="125">
        <v>3.4132045010854253E-3</v>
      </c>
    </row>
    <row r="475" spans="1:7" ht="15" x14ac:dyDescent="0.25">
      <c r="A475">
        <v>13908</v>
      </c>
      <c r="B475">
        <v>15263</v>
      </c>
      <c r="C475" t="s">
        <v>2911</v>
      </c>
      <c r="D475" s="129">
        <v>45536</v>
      </c>
      <c r="E475" s="129">
        <v>47362</v>
      </c>
      <c r="F475" s="124">
        <v>-680.64300000000003</v>
      </c>
      <c r="G475" s="125">
        <v>1.0392146715724638E-3</v>
      </c>
    </row>
    <row r="476" spans="1:7" ht="15" x14ac:dyDescent="0.25">
      <c r="A476">
        <v>13908</v>
      </c>
      <c r="B476">
        <v>15263</v>
      </c>
      <c r="C476" t="s">
        <v>2911</v>
      </c>
      <c r="D476" s="129">
        <v>45566</v>
      </c>
      <c r="E476" s="129">
        <v>47392</v>
      </c>
      <c r="F476" s="124">
        <v>-1111.4929999999999</v>
      </c>
      <c r="G476" s="125">
        <v>1.697042110107784E-3</v>
      </c>
    </row>
    <row r="477" spans="1:7" ht="15" x14ac:dyDescent="0.25">
      <c r="A477">
        <v>13908</v>
      </c>
      <c r="B477">
        <v>15263</v>
      </c>
      <c r="C477" t="s">
        <v>2911</v>
      </c>
      <c r="D477" s="129">
        <v>45597</v>
      </c>
      <c r="E477" s="129">
        <v>47423</v>
      </c>
      <c r="F477" s="124">
        <v>-1730.2629999999999</v>
      </c>
      <c r="G477" s="125">
        <v>2.6417882726759634E-3</v>
      </c>
    </row>
    <row r="478" spans="1:7" ht="15" x14ac:dyDescent="0.25">
      <c r="A478">
        <v>13908</v>
      </c>
      <c r="B478">
        <v>15263</v>
      </c>
      <c r="C478" t="s">
        <v>2911</v>
      </c>
      <c r="D478" s="129">
        <v>45627</v>
      </c>
      <c r="E478" s="129">
        <v>47453</v>
      </c>
      <c r="F478" s="124">
        <v>-1686.6020000000001</v>
      </c>
      <c r="G478" s="125">
        <v>2.5751260844575799E-3</v>
      </c>
    </row>
    <row r="479" spans="1:7" ht="15" x14ac:dyDescent="0.25">
      <c r="A479">
        <v>13908</v>
      </c>
      <c r="B479">
        <v>15263</v>
      </c>
      <c r="C479" t="s">
        <v>2911</v>
      </c>
      <c r="D479" s="129">
        <v>45658</v>
      </c>
      <c r="E479" s="129">
        <v>47484</v>
      </c>
      <c r="F479" s="124">
        <v>-2165.846</v>
      </c>
      <c r="G479" s="125">
        <v>3.3068421177717753E-3</v>
      </c>
    </row>
    <row r="480" spans="1:7" ht="15" x14ac:dyDescent="0.25">
      <c r="A480">
        <v>13908</v>
      </c>
      <c r="B480">
        <v>15263</v>
      </c>
      <c r="C480" t="s">
        <v>2911</v>
      </c>
      <c r="D480" s="129">
        <v>45689</v>
      </c>
      <c r="E480" s="129">
        <v>47515</v>
      </c>
      <c r="F480" s="124">
        <v>-1290.0260000000001</v>
      </c>
      <c r="G480" s="125">
        <v>1.9696286392572012E-3</v>
      </c>
    </row>
    <row r="481" spans="1:7" ht="15" x14ac:dyDescent="0.25">
      <c r="A481">
        <v>13908</v>
      </c>
      <c r="B481">
        <v>15263</v>
      </c>
      <c r="C481" t="s">
        <v>2911</v>
      </c>
      <c r="D481" s="129">
        <v>45717</v>
      </c>
      <c r="E481" s="129">
        <v>47543</v>
      </c>
      <c r="F481" s="124">
        <v>-1812.212</v>
      </c>
      <c r="G481" s="125">
        <v>2.7669090821468489E-3</v>
      </c>
    </row>
    <row r="482" spans="1:7" ht="15" x14ac:dyDescent="0.25">
      <c r="A482">
        <v>13908</v>
      </c>
      <c r="B482">
        <v>15263</v>
      </c>
      <c r="C482" t="s">
        <v>2911</v>
      </c>
      <c r="D482" s="129">
        <v>45748</v>
      </c>
      <c r="E482" s="129">
        <v>47574</v>
      </c>
      <c r="F482" s="124">
        <v>-1677.0650000000001</v>
      </c>
      <c r="G482" s="125">
        <v>2.5605648676041244E-3</v>
      </c>
    </row>
    <row r="483" spans="1:7" ht="15" x14ac:dyDescent="0.25">
      <c r="A483">
        <v>13908</v>
      </c>
      <c r="B483">
        <v>15263</v>
      </c>
      <c r="C483" t="s">
        <v>2911</v>
      </c>
      <c r="D483" s="129">
        <v>45778</v>
      </c>
      <c r="E483" s="129">
        <v>47604</v>
      </c>
      <c r="F483" s="124">
        <v>-1243.481</v>
      </c>
      <c r="G483" s="125">
        <v>1.8985631219620254E-3</v>
      </c>
    </row>
    <row r="484" spans="1:7" ht="15" x14ac:dyDescent="0.25">
      <c r="A484">
        <v>13908</v>
      </c>
      <c r="B484">
        <v>15263</v>
      </c>
      <c r="C484" t="s">
        <v>2911</v>
      </c>
      <c r="D484" s="129">
        <v>45809</v>
      </c>
      <c r="E484" s="129">
        <v>47635</v>
      </c>
      <c r="F484" s="124">
        <v>-1510.942</v>
      </c>
      <c r="G484" s="125">
        <v>2.3069260894404875E-3</v>
      </c>
    </row>
    <row r="485" spans="1:7" ht="15" x14ac:dyDescent="0.25">
      <c r="A485">
        <v>13908</v>
      </c>
      <c r="B485">
        <v>15263</v>
      </c>
      <c r="C485" t="s">
        <v>2911</v>
      </c>
      <c r="D485" s="129">
        <v>45839</v>
      </c>
      <c r="E485" s="129">
        <v>47665</v>
      </c>
      <c r="F485" s="124">
        <v>-856.44799999999998</v>
      </c>
      <c r="G485" s="125">
        <v>1.3076360544939027E-3</v>
      </c>
    </row>
    <row r="486" spans="1:7" ht="15" x14ac:dyDescent="0.25">
      <c r="A486">
        <v>13908</v>
      </c>
      <c r="B486">
        <v>15263</v>
      </c>
      <c r="C486" t="s">
        <v>2911</v>
      </c>
      <c r="D486" s="129">
        <v>45870</v>
      </c>
      <c r="E486" s="129">
        <v>47696</v>
      </c>
      <c r="F486" s="124">
        <v>-1350.1990000000001</v>
      </c>
      <c r="G486" s="125">
        <v>2.0615015659346662E-3</v>
      </c>
    </row>
    <row r="487" spans="1:7" ht="15" x14ac:dyDescent="0.25">
      <c r="A487">
        <v>13908</v>
      </c>
      <c r="B487">
        <v>15263</v>
      </c>
      <c r="C487" t="s">
        <v>2911</v>
      </c>
      <c r="D487" s="129">
        <v>45901</v>
      </c>
      <c r="E487" s="129">
        <v>47727</v>
      </c>
      <c r="F487" s="124">
        <v>-425.62599999999998</v>
      </c>
      <c r="G487" s="125">
        <v>6.4985136672631827E-4</v>
      </c>
    </row>
    <row r="488" spans="1:7" ht="15" x14ac:dyDescent="0.25">
      <c r="A488">
        <v>13908</v>
      </c>
      <c r="B488">
        <v>15263</v>
      </c>
      <c r="C488" t="s">
        <v>2911</v>
      </c>
      <c r="D488" s="129">
        <v>45931</v>
      </c>
      <c r="E488" s="129">
        <v>47757</v>
      </c>
      <c r="F488" s="124">
        <v>-411.27</v>
      </c>
      <c r="G488" s="125">
        <v>6.2793243738289704E-4</v>
      </c>
    </row>
    <row r="489" spans="1:7" ht="15" x14ac:dyDescent="0.25">
      <c r="A489">
        <v>13908</v>
      </c>
      <c r="B489">
        <v>15263</v>
      </c>
      <c r="C489" t="s">
        <v>2911</v>
      </c>
      <c r="D489" s="129">
        <v>45962</v>
      </c>
      <c r="E489" s="129">
        <v>47788</v>
      </c>
      <c r="F489" s="124">
        <v>-456.572</v>
      </c>
      <c r="G489" s="125">
        <v>6.9710012595322797E-4</v>
      </c>
    </row>
    <row r="490" spans="1:7" ht="15" x14ac:dyDescent="0.25">
      <c r="A490">
        <v>13908</v>
      </c>
      <c r="B490">
        <v>15263</v>
      </c>
      <c r="C490" t="s">
        <v>2911</v>
      </c>
      <c r="D490" s="129">
        <v>45992</v>
      </c>
      <c r="E490" s="129">
        <v>47818</v>
      </c>
      <c r="F490" s="124">
        <v>-243.25800000000001</v>
      </c>
      <c r="G490" s="125">
        <v>3.7140950921022385E-4</v>
      </c>
    </row>
    <row r="491" spans="1:7" ht="15" x14ac:dyDescent="0.25">
      <c r="A491">
        <v>13908</v>
      </c>
      <c r="B491">
        <v>15263</v>
      </c>
      <c r="C491" t="s">
        <v>2911</v>
      </c>
      <c r="D491" s="129">
        <v>46023</v>
      </c>
      <c r="E491" s="129">
        <v>47849</v>
      </c>
      <c r="F491" s="124">
        <v>-390.04899999999998</v>
      </c>
      <c r="G491" s="125">
        <v>5.9553193587852653E-4</v>
      </c>
    </row>
    <row r="492" spans="1:7" ht="15" x14ac:dyDescent="0.25">
      <c r="A492">
        <v>13908</v>
      </c>
      <c r="B492">
        <v>15263</v>
      </c>
      <c r="C492" t="s">
        <v>2911</v>
      </c>
      <c r="D492" s="129">
        <v>46054</v>
      </c>
      <c r="E492" s="129">
        <v>47880</v>
      </c>
      <c r="F492" s="124">
        <v>-223.566</v>
      </c>
      <c r="G492" s="125">
        <v>3.4134350498685721E-4</v>
      </c>
    </row>
    <row r="493" spans="1:7" ht="15" x14ac:dyDescent="0.25">
      <c r="A493">
        <v>13908</v>
      </c>
      <c r="B493">
        <v>15263</v>
      </c>
      <c r="C493" t="s">
        <v>2911</v>
      </c>
      <c r="D493" s="129">
        <v>46082</v>
      </c>
      <c r="E493" s="129">
        <v>47908</v>
      </c>
      <c r="F493" s="124">
        <v>-30.658999999999999</v>
      </c>
      <c r="G493" s="125">
        <v>4.6810563857617235E-5</v>
      </c>
    </row>
    <row r="494" spans="1:7" ht="15" x14ac:dyDescent="0.25">
      <c r="A494">
        <v>13908</v>
      </c>
      <c r="B494">
        <v>15263</v>
      </c>
      <c r="C494" t="s">
        <v>2911</v>
      </c>
      <c r="D494" s="129">
        <v>46113</v>
      </c>
      <c r="E494" s="129">
        <v>47939</v>
      </c>
      <c r="F494" s="124">
        <v>0</v>
      </c>
      <c r="G494" s="125">
        <v>0</v>
      </c>
    </row>
    <row r="495" spans="1:7" ht="15" x14ac:dyDescent="0.25">
      <c r="A495">
        <v>13908</v>
      </c>
      <c r="B495">
        <v>15263</v>
      </c>
      <c r="C495" t="s">
        <v>2911</v>
      </c>
      <c r="D495" s="129">
        <v>46143</v>
      </c>
      <c r="E495" s="129">
        <v>47969</v>
      </c>
      <c r="F495" s="124">
        <v>78.213999999999999</v>
      </c>
      <c r="G495" s="125">
        <v>-1.1941816241755029E-4</v>
      </c>
    </row>
    <row r="496" spans="1:7" ht="15" x14ac:dyDescent="0.25">
      <c r="A496">
        <v>13908</v>
      </c>
      <c r="B496">
        <v>15263</v>
      </c>
      <c r="C496" t="s">
        <v>2911</v>
      </c>
      <c r="D496" s="129">
        <v>46174</v>
      </c>
      <c r="E496" s="129">
        <v>48000</v>
      </c>
      <c r="F496" s="124">
        <v>114.834</v>
      </c>
      <c r="G496" s="125">
        <v>-1.7533005936350233E-4</v>
      </c>
    </row>
    <row r="497" spans="1:7" ht="15" x14ac:dyDescent="0.25">
      <c r="A497">
        <v>13908</v>
      </c>
      <c r="B497">
        <v>15264</v>
      </c>
      <c r="C497" t="s">
        <v>2911</v>
      </c>
      <c r="D497" s="129">
        <v>44835</v>
      </c>
      <c r="E497" s="129">
        <v>46661</v>
      </c>
      <c r="F497" s="124">
        <v>0</v>
      </c>
      <c r="G497" s="125">
        <v>0</v>
      </c>
    </row>
    <row r="498" spans="1:7" ht="15" x14ac:dyDescent="0.25">
      <c r="A498">
        <v>13908</v>
      </c>
      <c r="B498">
        <v>15264</v>
      </c>
      <c r="C498" t="s">
        <v>2911</v>
      </c>
      <c r="D498" s="129">
        <v>44866</v>
      </c>
      <c r="E498" s="129">
        <v>46692</v>
      </c>
      <c r="F498" s="124">
        <v>0</v>
      </c>
      <c r="G498" s="125">
        <v>0</v>
      </c>
    </row>
    <row r="499" spans="1:7" ht="15" x14ac:dyDescent="0.25">
      <c r="A499">
        <v>13908</v>
      </c>
      <c r="B499">
        <v>15264</v>
      </c>
      <c r="C499" t="s">
        <v>2911</v>
      </c>
      <c r="D499" s="129">
        <v>44896</v>
      </c>
      <c r="E499" s="129">
        <v>46722</v>
      </c>
      <c r="F499" s="124">
        <v>0</v>
      </c>
      <c r="G499" s="125">
        <v>0</v>
      </c>
    </row>
    <row r="500" spans="1:7" ht="15" x14ac:dyDescent="0.25">
      <c r="A500">
        <v>13908</v>
      </c>
      <c r="B500">
        <v>15264</v>
      </c>
      <c r="C500" t="s">
        <v>2911</v>
      </c>
      <c r="D500" s="129">
        <v>44927</v>
      </c>
      <c r="E500" s="129">
        <v>46753</v>
      </c>
      <c r="F500" s="124">
        <v>0</v>
      </c>
      <c r="G500" s="125">
        <v>0</v>
      </c>
    </row>
    <row r="501" spans="1:7" ht="15" x14ac:dyDescent="0.25">
      <c r="A501">
        <v>13908</v>
      </c>
      <c r="B501">
        <v>15264</v>
      </c>
      <c r="C501" t="s">
        <v>2911</v>
      </c>
      <c r="D501" s="129">
        <v>44958</v>
      </c>
      <c r="E501" s="129">
        <v>46784</v>
      </c>
      <c r="F501" s="124">
        <v>0</v>
      </c>
      <c r="G501" s="125">
        <v>0</v>
      </c>
    </row>
    <row r="502" spans="1:7" ht="15" x14ac:dyDescent="0.25">
      <c r="A502">
        <v>13908</v>
      </c>
      <c r="B502">
        <v>15264</v>
      </c>
      <c r="C502" t="s">
        <v>2911</v>
      </c>
      <c r="D502" s="129">
        <v>44986</v>
      </c>
      <c r="E502" s="129">
        <v>46813</v>
      </c>
      <c r="F502" s="124">
        <v>0</v>
      </c>
      <c r="G502" s="125">
        <v>0</v>
      </c>
    </row>
    <row r="503" spans="1:7" ht="15" x14ac:dyDescent="0.25">
      <c r="A503">
        <v>13908</v>
      </c>
      <c r="B503">
        <v>15264</v>
      </c>
      <c r="C503" t="s">
        <v>2911</v>
      </c>
      <c r="D503" s="129">
        <v>45017</v>
      </c>
      <c r="E503" s="129">
        <v>46844</v>
      </c>
      <c r="F503" s="124">
        <v>0</v>
      </c>
      <c r="G503" s="125">
        <v>0</v>
      </c>
    </row>
    <row r="504" spans="1:7" ht="15" x14ac:dyDescent="0.25">
      <c r="A504">
        <v>13908</v>
      </c>
      <c r="B504">
        <v>15264</v>
      </c>
      <c r="C504" t="s">
        <v>2911</v>
      </c>
      <c r="D504" s="129">
        <v>45047</v>
      </c>
      <c r="E504" s="129">
        <v>46874</v>
      </c>
      <c r="F504" s="124">
        <v>0</v>
      </c>
      <c r="G504" s="125">
        <v>0</v>
      </c>
    </row>
    <row r="505" spans="1:7" ht="15" x14ac:dyDescent="0.25">
      <c r="A505">
        <v>13908</v>
      </c>
      <c r="B505">
        <v>15264</v>
      </c>
      <c r="C505" t="s">
        <v>2911</v>
      </c>
      <c r="D505" s="129">
        <v>45078</v>
      </c>
      <c r="E505" s="129">
        <v>46905</v>
      </c>
      <c r="F505" s="124">
        <v>0</v>
      </c>
      <c r="G505" s="125">
        <v>0</v>
      </c>
    </row>
    <row r="506" spans="1:7" ht="15" x14ac:dyDescent="0.25">
      <c r="A506">
        <v>13908</v>
      </c>
      <c r="B506">
        <v>15264</v>
      </c>
      <c r="C506" t="s">
        <v>2911</v>
      </c>
      <c r="D506" s="129">
        <v>45108</v>
      </c>
      <c r="E506" s="129">
        <v>46935</v>
      </c>
      <c r="F506" s="124">
        <v>0</v>
      </c>
      <c r="G506" s="125">
        <v>0</v>
      </c>
    </row>
    <row r="507" spans="1:7" ht="15" x14ac:dyDescent="0.25">
      <c r="A507">
        <v>13908</v>
      </c>
      <c r="B507">
        <v>15264</v>
      </c>
      <c r="C507" t="s">
        <v>2911</v>
      </c>
      <c r="D507" s="129">
        <v>45139</v>
      </c>
      <c r="E507" s="129">
        <v>46966</v>
      </c>
      <c r="F507" s="124">
        <v>0</v>
      </c>
      <c r="G507" s="125">
        <v>0</v>
      </c>
    </row>
    <row r="508" spans="1:7" ht="15" x14ac:dyDescent="0.25">
      <c r="A508">
        <v>13908</v>
      </c>
      <c r="B508">
        <v>15264</v>
      </c>
      <c r="C508" t="s">
        <v>2911</v>
      </c>
      <c r="D508" s="129">
        <v>45170</v>
      </c>
      <c r="E508" s="129">
        <v>46997</v>
      </c>
      <c r="F508" s="124">
        <v>0</v>
      </c>
      <c r="G508" s="125">
        <v>0</v>
      </c>
    </row>
    <row r="509" spans="1:7" ht="15" x14ac:dyDescent="0.25">
      <c r="A509">
        <v>13908</v>
      </c>
      <c r="B509">
        <v>15264</v>
      </c>
      <c r="C509" t="s">
        <v>2911</v>
      </c>
      <c r="D509" s="129">
        <v>45200</v>
      </c>
      <c r="E509" s="129">
        <v>47027</v>
      </c>
      <c r="F509" s="124">
        <v>0</v>
      </c>
      <c r="G509" s="125">
        <v>0</v>
      </c>
    </row>
    <row r="510" spans="1:7" ht="15" x14ac:dyDescent="0.25">
      <c r="A510">
        <v>13908</v>
      </c>
      <c r="B510">
        <v>15264</v>
      </c>
      <c r="C510" t="s">
        <v>2911</v>
      </c>
      <c r="D510" s="129">
        <v>45231</v>
      </c>
      <c r="E510" s="129">
        <v>47058</v>
      </c>
      <c r="F510" s="124">
        <v>0</v>
      </c>
      <c r="G510" s="125">
        <v>0</v>
      </c>
    </row>
    <row r="511" spans="1:7" ht="15" x14ac:dyDescent="0.25">
      <c r="A511">
        <v>13908</v>
      </c>
      <c r="B511">
        <v>15264</v>
      </c>
      <c r="C511" t="s">
        <v>2911</v>
      </c>
      <c r="D511" s="129">
        <v>45261</v>
      </c>
      <c r="E511" s="129">
        <v>47088</v>
      </c>
      <c r="F511" s="124">
        <v>0</v>
      </c>
      <c r="G511" s="125">
        <v>0</v>
      </c>
    </row>
    <row r="512" spans="1:7" ht="15" x14ac:dyDescent="0.25">
      <c r="A512">
        <v>13908</v>
      </c>
      <c r="B512">
        <v>15264</v>
      </c>
      <c r="C512" t="s">
        <v>2911</v>
      </c>
      <c r="D512" s="129">
        <v>45292</v>
      </c>
      <c r="E512" s="129">
        <v>47119</v>
      </c>
      <c r="F512" s="124">
        <v>0</v>
      </c>
      <c r="G512" s="125">
        <v>0</v>
      </c>
    </row>
    <row r="513" spans="1:7" ht="15" x14ac:dyDescent="0.25">
      <c r="A513">
        <v>13908</v>
      </c>
      <c r="B513">
        <v>15264</v>
      </c>
      <c r="C513" t="s">
        <v>2911</v>
      </c>
      <c r="D513" s="129">
        <v>45323</v>
      </c>
      <c r="E513" s="129">
        <v>47150</v>
      </c>
      <c r="F513" s="124">
        <v>0</v>
      </c>
      <c r="G513" s="125">
        <v>0</v>
      </c>
    </row>
    <row r="514" spans="1:7" ht="15" x14ac:dyDescent="0.25">
      <c r="A514">
        <v>13908</v>
      </c>
      <c r="B514">
        <v>15264</v>
      </c>
      <c r="C514" t="s">
        <v>2911</v>
      </c>
      <c r="D514" s="129">
        <v>45352</v>
      </c>
      <c r="E514" s="129">
        <v>47178</v>
      </c>
      <c r="F514" s="124">
        <v>0</v>
      </c>
      <c r="G514" s="125">
        <v>0</v>
      </c>
    </row>
    <row r="515" spans="1:7" ht="15" x14ac:dyDescent="0.25">
      <c r="A515">
        <v>13908</v>
      </c>
      <c r="B515">
        <v>15264</v>
      </c>
      <c r="C515" t="s">
        <v>2911</v>
      </c>
      <c r="D515" s="129">
        <v>45383</v>
      </c>
      <c r="E515" s="129">
        <v>47209</v>
      </c>
      <c r="F515" s="124">
        <v>0</v>
      </c>
      <c r="G515" s="125">
        <v>0</v>
      </c>
    </row>
    <row r="516" spans="1:7" ht="15" x14ac:dyDescent="0.25">
      <c r="A516">
        <v>13908</v>
      </c>
      <c r="B516">
        <v>15264</v>
      </c>
      <c r="C516" t="s">
        <v>2911</v>
      </c>
      <c r="D516" s="129">
        <v>45413</v>
      </c>
      <c r="E516" s="129">
        <v>47239</v>
      </c>
      <c r="F516" s="124">
        <v>0</v>
      </c>
      <c r="G516" s="125">
        <v>0</v>
      </c>
    </row>
    <row r="517" spans="1:7" ht="15" x14ac:dyDescent="0.25">
      <c r="A517">
        <v>13908</v>
      </c>
      <c r="B517">
        <v>15264</v>
      </c>
      <c r="C517" t="s">
        <v>2911</v>
      </c>
      <c r="D517" s="129">
        <v>45444</v>
      </c>
      <c r="E517" s="129">
        <v>47270</v>
      </c>
      <c r="F517" s="124">
        <v>0</v>
      </c>
      <c r="G517" s="125">
        <v>0</v>
      </c>
    </row>
    <row r="518" spans="1:7" ht="15" x14ac:dyDescent="0.25">
      <c r="A518">
        <v>13908</v>
      </c>
      <c r="B518">
        <v>15264</v>
      </c>
      <c r="C518" t="s">
        <v>2911</v>
      </c>
      <c r="D518" s="129">
        <v>45474</v>
      </c>
      <c r="E518" s="129">
        <v>47300</v>
      </c>
      <c r="F518" s="124">
        <v>-0.443</v>
      </c>
      <c r="G518" s="125">
        <v>6.7637821810641039E-7</v>
      </c>
    </row>
    <row r="519" spans="1:7" ht="15" x14ac:dyDescent="0.25">
      <c r="A519">
        <v>13908</v>
      </c>
      <c r="B519">
        <v>15264</v>
      </c>
      <c r="C519" t="s">
        <v>2911</v>
      </c>
      <c r="D519" s="129">
        <v>45505</v>
      </c>
      <c r="E519" s="129">
        <v>47331</v>
      </c>
      <c r="F519" s="124">
        <v>-88.796000000000006</v>
      </c>
      <c r="G519" s="125">
        <v>1.3557489899543299E-4</v>
      </c>
    </row>
    <row r="520" spans="1:7" ht="15" x14ac:dyDescent="0.25">
      <c r="A520">
        <v>13908</v>
      </c>
      <c r="B520">
        <v>15264</v>
      </c>
      <c r="C520" t="s">
        <v>2911</v>
      </c>
      <c r="D520" s="129">
        <v>45536</v>
      </c>
      <c r="E520" s="129">
        <v>47362</v>
      </c>
      <c r="F520" s="124">
        <v>-78.007000000000005</v>
      </c>
      <c r="G520" s="125">
        <v>1.1910211209893173E-4</v>
      </c>
    </row>
    <row r="521" spans="1:7" ht="15" x14ac:dyDescent="0.25">
      <c r="A521">
        <v>13908</v>
      </c>
      <c r="B521">
        <v>15264</v>
      </c>
      <c r="C521" t="s">
        <v>2911</v>
      </c>
      <c r="D521" s="129">
        <v>45566</v>
      </c>
      <c r="E521" s="129">
        <v>47392</v>
      </c>
      <c r="F521" s="124">
        <v>-9.5109999999999992</v>
      </c>
      <c r="G521" s="125">
        <v>1.452151971198661E-5</v>
      </c>
    </row>
    <row r="522" spans="1:7" ht="15" x14ac:dyDescent="0.25">
      <c r="A522">
        <v>13908</v>
      </c>
      <c r="B522">
        <v>15264</v>
      </c>
      <c r="C522" t="s">
        <v>2911</v>
      </c>
      <c r="D522" s="129">
        <v>45597</v>
      </c>
      <c r="E522" s="129">
        <v>47423</v>
      </c>
      <c r="F522" s="124">
        <v>-108.76900000000001</v>
      </c>
      <c r="G522" s="125">
        <v>1.6606993770929153E-4</v>
      </c>
    </row>
    <row r="523" spans="1:7" ht="15" x14ac:dyDescent="0.25">
      <c r="A523">
        <v>13908</v>
      </c>
      <c r="B523">
        <v>15264</v>
      </c>
      <c r="C523" t="s">
        <v>2911</v>
      </c>
      <c r="D523" s="129">
        <v>45627</v>
      </c>
      <c r="E523" s="129">
        <v>47453</v>
      </c>
      <c r="F523" s="124">
        <v>-37.597999999999999</v>
      </c>
      <c r="G523" s="125">
        <v>5.7405120190439764E-5</v>
      </c>
    </row>
    <row r="524" spans="1:7" ht="15" x14ac:dyDescent="0.25">
      <c r="A524">
        <v>13908</v>
      </c>
      <c r="B524">
        <v>15264</v>
      </c>
      <c r="C524" t="s">
        <v>2911</v>
      </c>
      <c r="D524" s="129">
        <v>45658</v>
      </c>
      <c r="E524" s="129">
        <v>47484</v>
      </c>
      <c r="F524" s="124">
        <v>-44.164000000000001</v>
      </c>
      <c r="G524" s="125">
        <v>6.74301752244955E-5</v>
      </c>
    </row>
    <row r="525" spans="1:7" ht="15" x14ac:dyDescent="0.25">
      <c r="A525">
        <v>13908</v>
      </c>
      <c r="B525">
        <v>15264</v>
      </c>
      <c r="C525" t="s">
        <v>2911</v>
      </c>
      <c r="D525" s="129">
        <v>45689</v>
      </c>
      <c r="E525" s="129">
        <v>47515</v>
      </c>
      <c r="F525" s="124">
        <v>-33.563000000000002</v>
      </c>
      <c r="G525" s="125">
        <v>5.1244429197077773E-5</v>
      </c>
    </row>
    <row r="526" spans="1:7" ht="15" x14ac:dyDescent="0.25">
      <c r="A526">
        <v>13908</v>
      </c>
      <c r="B526">
        <v>15264</v>
      </c>
      <c r="C526" t="s">
        <v>2911</v>
      </c>
      <c r="D526" s="129">
        <v>45717</v>
      </c>
      <c r="E526" s="129">
        <v>47543</v>
      </c>
      <c r="F526" s="124">
        <v>-25.213000000000001</v>
      </c>
      <c r="G526" s="125">
        <v>3.8495539532995317E-5</v>
      </c>
    </row>
    <row r="527" spans="1:7" ht="15" x14ac:dyDescent="0.25">
      <c r="A527">
        <v>13908</v>
      </c>
      <c r="B527">
        <v>15264</v>
      </c>
      <c r="C527" t="s">
        <v>2911</v>
      </c>
      <c r="D527" s="129">
        <v>45748</v>
      </c>
      <c r="E527" s="129">
        <v>47574</v>
      </c>
      <c r="F527" s="124">
        <v>-93.534000000000006</v>
      </c>
      <c r="G527" s="125">
        <v>1.4280893962159141E-4</v>
      </c>
    </row>
    <row r="528" spans="1:7" ht="15" x14ac:dyDescent="0.25">
      <c r="A528">
        <v>13908</v>
      </c>
      <c r="B528">
        <v>15264</v>
      </c>
      <c r="C528" t="s">
        <v>2911</v>
      </c>
      <c r="D528" s="129">
        <v>45778</v>
      </c>
      <c r="E528" s="129">
        <v>47604</v>
      </c>
      <c r="F528" s="124">
        <v>-49.186999999999998</v>
      </c>
      <c r="G528" s="125">
        <v>7.5099357593679474E-5</v>
      </c>
    </row>
    <row r="529" spans="1:7" ht="15" x14ac:dyDescent="0.25">
      <c r="A529">
        <v>13908</v>
      </c>
      <c r="B529">
        <v>15264</v>
      </c>
      <c r="C529" t="s">
        <v>2911</v>
      </c>
      <c r="D529" s="129">
        <v>45809</v>
      </c>
      <c r="E529" s="129">
        <v>47635</v>
      </c>
      <c r="F529" s="124">
        <v>-4.8810000000000002</v>
      </c>
      <c r="G529" s="125">
        <v>7.452374904237899E-6</v>
      </c>
    </row>
    <row r="530" spans="1:7" ht="15" x14ac:dyDescent="0.25">
      <c r="A530">
        <v>13908</v>
      </c>
      <c r="B530">
        <v>15264</v>
      </c>
      <c r="C530" t="s">
        <v>2911</v>
      </c>
      <c r="D530" s="129">
        <v>45839</v>
      </c>
      <c r="E530" s="129">
        <v>47665</v>
      </c>
      <c r="F530" s="124">
        <v>-0.124</v>
      </c>
      <c r="G530" s="125">
        <v>1.8932482854445798E-7</v>
      </c>
    </row>
    <row r="531" spans="1:7" ht="15" x14ac:dyDescent="0.25">
      <c r="A531">
        <v>13908</v>
      </c>
      <c r="B531">
        <v>15264</v>
      </c>
      <c r="C531" t="s">
        <v>2911</v>
      </c>
      <c r="D531" s="129">
        <v>45870</v>
      </c>
      <c r="E531" s="129">
        <v>47696</v>
      </c>
      <c r="F531" s="124">
        <v>-27.45</v>
      </c>
      <c r="G531" s="125">
        <v>4.1911020512462672E-5</v>
      </c>
    </row>
    <row r="532" spans="1:7" ht="15" x14ac:dyDescent="0.25">
      <c r="A532">
        <v>13908</v>
      </c>
      <c r="B532">
        <v>15264</v>
      </c>
      <c r="C532" t="s">
        <v>2911</v>
      </c>
      <c r="D532" s="129">
        <v>45901</v>
      </c>
      <c r="E532" s="129">
        <v>47727</v>
      </c>
      <c r="F532" s="124">
        <v>-30.225999999999999</v>
      </c>
      <c r="G532" s="125">
        <v>4.6149453770845052E-5</v>
      </c>
    </row>
    <row r="533" spans="1:7" ht="15" x14ac:dyDescent="0.25">
      <c r="A533">
        <v>13908</v>
      </c>
      <c r="B533">
        <v>15264</v>
      </c>
      <c r="C533" t="s">
        <v>2911</v>
      </c>
      <c r="D533" s="129">
        <v>45931</v>
      </c>
      <c r="E533" s="129">
        <v>47757</v>
      </c>
      <c r="F533" s="124">
        <v>-32.343000000000004</v>
      </c>
      <c r="G533" s="125">
        <v>4.9381717174301656E-5</v>
      </c>
    </row>
    <row r="534" spans="1:7" ht="15" x14ac:dyDescent="0.25">
      <c r="A534">
        <v>13908</v>
      </c>
      <c r="B534">
        <v>15264</v>
      </c>
      <c r="C534" t="s">
        <v>2911</v>
      </c>
      <c r="D534" s="129">
        <v>45962</v>
      </c>
      <c r="E534" s="129">
        <v>47788</v>
      </c>
      <c r="F534" s="124">
        <v>-20.259</v>
      </c>
      <c r="G534" s="125">
        <v>3.0931707270017535E-5</v>
      </c>
    </row>
    <row r="535" spans="1:7" ht="15" x14ac:dyDescent="0.25">
      <c r="A535">
        <v>13908</v>
      </c>
      <c r="B535">
        <v>15264</v>
      </c>
      <c r="C535" t="s">
        <v>2911</v>
      </c>
      <c r="D535" s="129">
        <v>45992</v>
      </c>
      <c r="E535" s="129">
        <v>47818</v>
      </c>
      <c r="F535" s="124">
        <v>-5.3230000000000004</v>
      </c>
      <c r="G535" s="125">
        <v>8.127226309210887E-6</v>
      </c>
    </row>
    <row r="536" spans="1:7" ht="15" x14ac:dyDescent="0.25">
      <c r="A536">
        <v>13908</v>
      </c>
      <c r="B536">
        <v>15264</v>
      </c>
      <c r="C536" t="s">
        <v>2911</v>
      </c>
      <c r="D536" s="129">
        <v>46023</v>
      </c>
      <c r="E536" s="129">
        <v>47849</v>
      </c>
      <c r="F536" s="124">
        <v>-18.596</v>
      </c>
      <c r="G536" s="125">
        <v>2.8392617029135006E-5</v>
      </c>
    </row>
    <row r="537" spans="1:7" ht="15" x14ac:dyDescent="0.25">
      <c r="A537">
        <v>13908</v>
      </c>
      <c r="B537">
        <v>15264</v>
      </c>
      <c r="C537" t="s">
        <v>2911</v>
      </c>
      <c r="D537" s="129">
        <v>46054</v>
      </c>
      <c r="E537" s="129">
        <v>47880</v>
      </c>
      <c r="F537" s="124">
        <v>-11.811999999999999</v>
      </c>
      <c r="G537" s="125">
        <v>1.8034716731993045E-5</v>
      </c>
    </row>
    <row r="538" spans="1:7" ht="15" x14ac:dyDescent="0.25">
      <c r="A538">
        <v>13908</v>
      </c>
      <c r="B538">
        <v>15264</v>
      </c>
      <c r="C538" t="s">
        <v>2911</v>
      </c>
      <c r="D538" s="129">
        <v>46082</v>
      </c>
      <c r="E538" s="129">
        <v>47908</v>
      </c>
      <c r="F538" s="124">
        <v>-8.0000000000000002E-3</v>
      </c>
      <c r="G538" s="125">
        <v>1.2214505067384386E-8</v>
      </c>
    </row>
    <row r="539" spans="1:7" ht="15" x14ac:dyDescent="0.25">
      <c r="A539">
        <v>13908</v>
      </c>
      <c r="B539">
        <v>15264</v>
      </c>
      <c r="C539" t="s">
        <v>2911</v>
      </c>
      <c r="D539" s="129">
        <v>46113</v>
      </c>
      <c r="E539" s="129">
        <v>47939</v>
      </c>
      <c r="F539" s="124">
        <v>0</v>
      </c>
      <c r="G539" s="125">
        <v>0</v>
      </c>
    </row>
    <row r="540" spans="1:7" ht="15" x14ac:dyDescent="0.25">
      <c r="A540">
        <v>13908</v>
      </c>
      <c r="B540">
        <v>15264</v>
      </c>
      <c r="C540" t="s">
        <v>2911</v>
      </c>
      <c r="D540" s="129">
        <v>46143</v>
      </c>
      <c r="E540" s="129">
        <v>47969</v>
      </c>
      <c r="F540" s="124">
        <v>0</v>
      </c>
      <c r="G540" s="125">
        <v>0</v>
      </c>
    </row>
    <row r="541" spans="1:7" ht="15" x14ac:dyDescent="0.25">
      <c r="A541">
        <v>13908</v>
      </c>
      <c r="B541">
        <v>15264</v>
      </c>
      <c r="C541" t="s">
        <v>2911</v>
      </c>
      <c r="D541" s="129">
        <v>46174</v>
      </c>
      <c r="E541" s="129">
        <v>48000</v>
      </c>
      <c r="F541" s="124">
        <v>3.569</v>
      </c>
      <c r="G541" s="125">
        <v>-5.4491960731868588E-6</v>
      </c>
    </row>
    <row r="542" spans="1:7" ht="15" x14ac:dyDescent="0.25">
      <c r="A542">
        <v>13908</v>
      </c>
      <c r="B542">
        <v>15265</v>
      </c>
      <c r="C542" t="s">
        <v>2911</v>
      </c>
      <c r="D542" s="129">
        <v>44835</v>
      </c>
      <c r="E542" s="129">
        <v>46661</v>
      </c>
      <c r="F542" s="124">
        <v>0</v>
      </c>
      <c r="G542" s="125">
        <v>0</v>
      </c>
    </row>
    <row r="543" spans="1:7" ht="15" x14ac:dyDescent="0.25">
      <c r="A543">
        <v>13908</v>
      </c>
      <c r="B543">
        <v>15265</v>
      </c>
      <c r="C543" t="s">
        <v>2911</v>
      </c>
      <c r="D543" s="129">
        <v>44866</v>
      </c>
      <c r="E543" s="129">
        <v>46692</v>
      </c>
      <c r="F543" s="124">
        <v>0</v>
      </c>
      <c r="G543" s="125">
        <v>0</v>
      </c>
    </row>
    <row r="544" spans="1:7" ht="15" x14ac:dyDescent="0.25">
      <c r="A544">
        <v>13908</v>
      </c>
      <c r="B544">
        <v>15265</v>
      </c>
      <c r="C544" t="s">
        <v>2911</v>
      </c>
      <c r="D544" s="129">
        <v>44896</v>
      </c>
      <c r="E544" s="129">
        <v>46722</v>
      </c>
      <c r="F544" s="124">
        <v>0</v>
      </c>
      <c r="G544" s="125">
        <v>0</v>
      </c>
    </row>
    <row r="545" spans="1:7" ht="15" x14ac:dyDescent="0.25">
      <c r="A545">
        <v>13908</v>
      </c>
      <c r="B545">
        <v>15265</v>
      </c>
      <c r="C545" t="s">
        <v>2911</v>
      </c>
      <c r="D545" s="129">
        <v>44927</v>
      </c>
      <c r="E545" s="129">
        <v>46753</v>
      </c>
      <c r="F545" s="124">
        <v>0</v>
      </c>
      <c r="G545" s="125">
        <v>0</v>
      </c>
    </row>
    <row r="546" spans="1:7" ht="15" x14ac:dyDescent="0.25">
      <c r="A546">
        <v>13908</v>
      </c>
      <c r="B546">
        <v>15265</v>
      </c>
      <c r="C546" t="s">
        <v>2911</v>
      </c>
      <c r="D546" s="129">
        <v>44958</v>
      </c>
      <c r="E546" s="129">
        <v>46784</v>
      </c>
      <c r="F546" s="124">
        <v>0</v>
      </c>
      <c r="G546" s="125">
        <v>0</v>
      </c>
    </row>
    <row r="547" spans="1:7" ht="15" x14ac:dyDescent="0.25">
      <c r="A547">
        <v>13908</v>
      </c>
      <c r="B547">
        <v>15265</v>
      </c>
      <c r="C547" t="s">
        <v>2911</v>
      </c>
      <c r="D547" s="129">
        <v>44986</v>
      </c>
      <c r="E547" s="129">
        <v>46813</v>
      </c>
      <c r="F547" s="124">
        <v>0</v>
      </c>
      <c r="G547" s="125">
        <v>0</v>
      </c>
    </row>
    <row r="548" spans="1:7" ht="15" x14ac:dyDescent="0.25">
      <c r="A548">
        <v>13908</v>
      </c>
      <c r="B548">
        <v>15265</v>
      </c>
      <c r="C548" t="s">
        <v>2911</v>
      </c>
      <c r="D548" s="129">
        <v>45017</v>
      </c>
      <c r="E548" s="129">
        <v>46844</v>
      </c>
      <c r="F548" s="124">
        <v>0</v>
      </c>
      <c r="G548" s="125">
        <v>0</v>
      </c>
    </row>
    <row r="549" spans="1:7" ht="15" x14ac:dyDescent="0.25">
      <c r="A549">
        <v>13908</v>
      </c>
      <c r="B549">
        <v>15265</v>
      </c>
      <c r="C549" t="s">
        <v>2911</v>
      </c>
      <c r="D549" s="129">
        <v>45047</v>
      </c>
      <c r="E549" s="129">
        <v>46874</v>
      </c>
      <c r="F549" s="124">
        <v>0</v>
      </c>
      <c r="G549" s="125">
        <v>0</v>
      </c>
    </row>
    <row r="550" spans="1:7" ht="15" x14ac:dyDescent="0.25">
      <c r="A550">
        <v>13908</v>
      </c>
      <c r="B550">
        <v>15265</v>
      </c>
      <c r="C550" t="s">
        <v>2911</v>
      </c>
      <c r="D550" s="129">
        <v>45078</v>
      </c>
      <c r="E550" s="129">
        <v>46905</v>
      </c>
      <c r="F550" s="124">
        <v>0</v>
      </c>
      <c r="G550" s="125">
        <v>0</v>
      </c>
    </row>
    <row r="551" spans="1:7" ht="15" x14ac:dyDescent="0.25">
      <c r="A551">
        <v>13908</v>
      </c>
      <c r="B551">
        <v>15265</v>
      </c>
      <c r="C551" t="s">
        <v>2911</v>
      </c>
      <c r="D551" s="129">
        <v>45108</v>
      </c>
      <c r="E551" s="129">
        <v>46935</v>
      </c>
      <c r="F551" s="124">
        <v>0</v>
      </c>
      <c r="G551" s="125">
        <v>0</v>
      </c>
    </row>
    <row r="552" spans="1:7" ht="15" x14ac:dyDescent="0.25">
      <c r="A552">
        <v>13908</v>
      </c>
      <c r="B552">
        <v>15265</v>
      </c>
      <c r="C552" t="s">
        <v>2911</v>
      </c>
      <c r="D552" s="129">
        <v>45139</v>
      </c>
      <c r="E552" s="129">
        <v>46966</v>
      </c>
      <c r="F552" s="124">
        <v>0</v>
      </c>
      <c r="G552" s="125">
        <v>0</v>
      </c>
    </row>
    <row r="553" spans="1:7" ht="15" x14ac:dyDescent="0.25">
      <c r="A553">
        <v>13908</v>
      </c>
      <c r="B553">
        <v>15265</v>
      </c>
      <c r="C553" t="s">
        <v>2911</v>
      </c>
      <c r="D553" s="129">
        <v>45170</v>
      </c>
      <c r="E553" s="129">
        <v>46997</v>
      </c>
      <c r="F553" s="124">
        <v>0</v>
      </c>
      <c r="G553" s="125">
        <v>0</v>
      </c>
    </row>
    <row r="554" spans="1:7" ht="15" x14ac:dyDescent="0.25">
      <c r="A554">
        <v>13908</v>
      </c>
      <c r="B554">
        <v>15265</v>
      </c>
      <c r="C554" t="s">
        <v>2911</v>
      </c>
      <c r="D554" s="129">
        <v>45200</v>
      </c>
      <c r="E554" s="129">
        <v>47027</v>
      </c>
      <c r="F554" s="124">
        <v>0</v>
      </c>
      <c r="G554" s="125">
        <v>0</v>
      </c>
    </row>
    <row r="555" spans="1:7" ht="15" x14ac:dyDescent="0.25">
      <c r="A555">
        <v>13908</v>
      </c>
      <c r="B555">
        <v>15265</v>
      </c>
      <c r="C555" t="s">
        <v>2911</v>
      </c>
      <c r="D555" s="129">
        <v>45231</v>
      </c>
      <c r="E555" s="129">
        <v>47058</v>
      </c>
      <c r="F555" s="124">
        <v>0</v>
      </c>
      <c r="G555" s="125">
        <v>0</v>
      </c>
    </row>
    <row r="556" spans="1:7" ht="15" x14ac:dyDescent="0.25">
      <c r="A556">
        <v>13908</v>
      </c>
      <c r="B556">
        <v>15265</v>
      </c>
      <c r="C556" t="s">
        <v>2911</v>
      </c>
      <c r="D556" s="129">
        <v>45261</v>
      </c>
      <c r="E556" s="129">
        <v>47088</v>
      </c>
      <c r="F556" s="124">
        <v>0</v>
      </c>
      <c r="G556" s="125">
        <v>0</v>
      </c>
    </row>
    <row r="557" spans="1:7" ht="15" x14ac:dyDescent="0.25">
      <c r="A557">
        <v>13908</v>
      </c>
      <c r="B557">
        <v>15265</v>
      </c>
      <c r="C557" t="s">
        <v>2911</v>
      </c>
      <c r="D557" s="129">
        <v>45292</v>
      </c>
      <c r="E557" s="129">
        <v>47119</v>
      </c>
      <c r="F557" s="124">
        <v>0</v>
      </c>
      <c r="G557" s="125">
        <v>0</v>
      </c>
    </row>
    <row r="558" spans="1:7" ht="15" x14ac:dyDescent="0.25">
      <c r="A558">
        <v>13908</v>
      </c>
      <c r="B558">
        <v>15265</v>
      </c>
      <c r="C558" t="s">
        <v>2911</v>
      </c>
      <c r="D558" s="129">
        <v>45323</v>
      </c>
      <c r="E558" s="129">
        <v>47150</v>
      </c>
      <c r="F558" s="124">
        <v>0</v>
      </c>
      <c r="G558" s="125">
        <v>0</v>
      </c>
    </row>
    <row r="559" spans="1:7" ht="15" x14ac:dyDescent="0.25">
      <c r="A559">
        <v>13908</v>
      </c>
      <c r="B559">
        <v>15265</v>
      </c>
      <c r="C559" t="s">
        <v>2911</v>
      </c>
      <c r="D559" s="129">
        <v>45352</v>
      </c>
      <c r="E559" s="129">
        <v>47178</v>
      </c>
      <c r="F559" s="124">
        <v>0</v>
      </c>
      <c r="G559" s="125">
        <v>0</v>
      </c>
    </row>
    <row r="560" spans="1:7" ht="15" x14ac:dyDescent="0.25">
      <c r="A560">
        <v>13908</v>
      </c>
      <c r="B560">
        <v>15265</v>
      </c>
      <c r="C560" t="s">
        <v>2911</v>
      </c>
      <c r="D560" s="129">
        <v>45383</v>
      </c>
      <c r="E560" s="129">
        <v>47209</v>
      </c>
      <c r="F560" s="124">
        <v>0</v>
      </c>
      <c r="G560" s="125">
        <v>0</v>
      </c>
    </row>
    <row r="561" spans="1:7" ht="15" x14ac:dyDescent="0.25">
      <c r="A561">
        <v>13908</v>
      </c>
      <c r="B561">
        <v>15265</v>
      </c>
      <c r="C561" t="s">
        <v>2911</v>
      </c>
      <c r="D561" s="129">
        <v>45413</v>
      </c>
      <c r="E561" s="129">
        <v>47239</v>
      </c>
      <c r="F561" s="124">
        <v>0</v>
      </c>
      <c r="G561" s="125">
        <v>0</v>
      </c>
    </row>
    <row r="562" spans="1:7" ht="15" x14ac:dyDescent="0.25">
      <c r="A562">
        <v>13908</v>
      </c>
      <c r="B562">
        <v>15265</v>
      </c>
      <c r="C562" t="s">
        <v>2911</v>
      </c>
      <c r="D562" s="129">
        <v>45444</v>
      </c>
      <c r="E562" s="129">
        <v>47270</v>
      </c>
      <c r="F562" s="124">
        <v>0</v>
      </c>
      <c r="G562" s="125">
        <v>0</v>
      </c>
    </row>
    <row r="563" spans="1:7" ht="15" x14ac:dyDescent="0.25">
      <c r="A563">
        <v>13908</v>
      </c>
      <c r="B563">
        <v>15265</v>
      </c>
      <c r="C563" t="s">
        <v>2911</v>
      </c>
      <c r="D563" s="129">
        <v>45474</v>
      </c>
      <c r="E563" s="129">
        <v>47300</v>
      </c>
      <c r="F563" s="124">
        <v>-3.0000000000000001E-3</v>
      </c>
      <c r="G563" s="125">
        <v>4.5804394002691445E-9</v>
      </c>
    </row>
    <row r="564" spans="1:7" ht="15" x14ac:dyDescent="0.25">
      <c r="A564">
        <v>13908</v>
      </c>
      <c r="B564">
        <v>15265</v>
      </c>
      <c r="C564" t="s">
        <v>2911</v>
      </c>
      <c r="D564" s="129">
        <v>45505</v>
      </c>
      <c r="E564" s="129">
        <v>47331</v>
      </c>
      <c r="F564" s="124">
        <v>-0.58399999999999996</v>
      </c>
      <c r="G564" s="125">
        <v>8.9165886991906013E-7</v>
      </c>
    </row>
    <row r="565" spans="1:7" ht="15" x14ac:dyDescent="0.25">
      <c r="A565">
        <v>13908</v>
      </c>
      <c r="B565">
        <v>15265</v>
      </c>
      <c r="C565" t="s">
        <v>2911</v>
      </c>
      <c r="D565" s="129">
        <v>45536</v>
      </c>
      <c r="E565" s="129">
        <v>47362</v>
      </c>
      <c r="F565" s="124">
        <v>-22.423999999999999</v>
      </c>
      <c r="G565" s="125">
        <v>3.423725770387843E-5</v>
      </c>
    </row>
    <row r="566" spans="1:7" ht="15" x14ac:dyDescent="0.25">
      <c r="A566">
        <v>13908</v>
      </c>
      <c r="B566">
        <v>15265</v>
      </c>
      <c r="C566" t="s">
        <v>2911</v>
      </c>
      <c r="D566" s="129">
        <v>45566</v>
      </c>
      <c r="E566" s="129">
        <v>47392</v>
      </c>
      <c r="F566" s="124">
        <v>-11.624000000000001</v>
      </c>
      <c r="G566" s="125">
        <v>1.7747675862909514E-5</v>
      </c>
    </row>
    <row r="567" spans="1:7" ht="15" x14ac:dyDescent="0.25">
      <c r="A567">
        <v>13908</v>
      </c>
      <c r="B567">
        <v>15265</v>
      </c>
      <c r="C567" t="s">
        <v>2911</v>
      </c>
      <c r="D567" s="129">
        <v>45597</v>
      </c>
      <c r="E567" s="129">
        <v>47423</v>
      </c>
      <c r="F567" s="124">
        <v>-41.268999999999998</v>
      </c>
      <c r="G567" s="125">
        <v>6.3010051203235779E-5</v>
      </c>
    </row>
    <row r="568" spans="1:7" ht="15" x14ac:dyDescent="0.25">
      <c r="A568">
        <v>13908</v>
      </c>
      <c r="B568">
        <v>15265</v>
      </c>
      <c r="C568" t="s">
        <v>2911</v>
      </c>
      <c r="D568" s="129">
        <v>45627</v>
      </c>
      <c r="E568" s="129">
        <v>47453</v>
      </c>
      <c r="F568" s="124">
        <v>-35.146999999999998</v>
      </c>
      <c r="G568" s="125">
        <v>5.3662901200419874E-5</v>
      </c>
    </row>
    <row r="569" spans="1:7" ht="15" x14ac:dyDescent="0.25">
      <c r="A569">
        <v>13908</v>
      </c>
      <c r="B569">
        <v>15265</v>
      </c>
      <c r="C569" t="s">
        <v>2911</v>
      </c>
      <c r="D569" s="129">
        <v>45658</v>
      </c>
      <c r="E569" s="129">
        <v>47484</v>
      </c>
      <c r="F569" s="124">
        <v>-19.199000000000002</v>
      </c>
      <c r="G569" s="125">
        <v>2.9313285348589106E-5</v>
      </c>
    </row>
    <row r="570" spans="1:7" ht="15" x14ac:dyDescent="0.25">
      <c r="A570">
        <v>13908</v>
      </c>
      <c r="B570">
        <v>15265</v>
      </c>
      <c r="C570" t="s">
        <v>2911</v>
      </c>
      <c r="D570" s="129">
        <v>45689</v>
      </c>
      <c r="E570" s="129">
        <v>47515</v>
      </c>
      <c r="F570" s="124">
        <v>-15.317</v>
      </c>
      <c r="G570" s="125">
        <v>2.3386196764640828E-5</v>
      </c>
    </row>
    <row r="571" spans="1:7" ht="15" x14ac:dyDescent="0.25">
      <c r="A571">
        <v>13908</v>
      </c>
      <c r="B571">
        <v>15265</v>
      </c>
      <c r="C571" t="s">
        <v>2911</v>
      </c>
      <c r="D571" s="129">
        <v>45717</v>
      </c>
      <c r="E571" s="129">
        <v>47543</v>
      </c>
      <c r="F571" s="124">
        <v>-10.584</v>
      </c>
      <c r="G571" s="125">
        <v>1.6159790204149543E-5</v>
      </c>
    </row>
    <row r="572" spans="1:7" ht="15" x14ac:dyDescent="0.25">
      <c r="A572">
        <v>13908</v>
      </c>
      <c r="B572">
        <v>15265</v>
      </c>
      <c r="C572" t="s">
        <v>2911</v>
      </c>
      <c r="D572" s="129">
        <v>45748</v>
      </c>
      <c r="E572" s="129">
        <v>47574</v>
      </c>
      <c r="F572" s="124">
        <v>2.5720000000000001</v>
      </c>
      <c r="G572" s="125">
        <v>-3.9269633791640797E-6</v>
      </c>
    </row>
    <row r="573" spans="1:7" ht="15" x14ac:dyDescent="0.25">
      <c r="A573">
        <v>13908</v>
      </c>
      <c r="B573">
        <v>15265</v>
      </c>
      <c r="C573" t="s">
        <v>2911</v>
      </c>
      <c r="D573" s="129">
        <v>45778</v>
      </c>
      <c r="E573" s="129">
        <v>47604</v>
      </c>
      <c r="F573" s="124">
        <v>-7.9000000000000001E-2</v>
      </c>
      <c r="G573" s="125">
        <v>1.206182375404208E-7</v>
      </c>
    </row>
    <row r="574" spans="1:7" ht="15" x14ac:dyDescent="0.25">
      <c r="A574">
        <v>13908</v>
      </c>
      <c r="B574">
        <v>15265</v>
      </c>
      <c r="C574" t="s">
        <v>2911</v>
      </c>
      <c r="D574" s="129">
        <v>45809</v>
      </c>
      <c r="E574" s="129">
        <v>47635</v>
      </c>
      <c r="F574" s="124">
        <v>0</v>
      </c>
      <c r="G574" s="125">
        <v>0</v>
      </c>
    </row>
    <row r="575" spans="1:7" ht="15" x14ac:dyDescent="0.25">
      <c r="A575">
        <v>13908</v>
      </c>
      <c r="B575">
        <v>15265</v>
      </c>
      <c r="C575" t="s">
        <v>2911</v>
      </c>
      <c r="D575" s="129">
        <v>45839</v>
      </c>
      <c r="E575" s="129">
        <v>47665</v>
      </c>
      <c r="F575" s="124">
        <v>3.6960000000000002</v>
      </c>
      <c r="G575" s="125">
        <v>-5.6431013411315865E-6</v>
      </c>
    </row>
    <row r="576" spans="1:7" ht="15" x14ac:dyDescent="0.25">
      <c r="A576">
        <v>13908</v>
      </c>
      <c r="B576">
        <v>15265</v>
      </c>
      <c r="C576" t="s">
        <v>2911</v>
      </c>
      <c r="D576" s="129">
        <v>45870</v>
      </c>
      <c r="E576" s="129">
        <v>47696</v>
      </c>
      <c r="F576" s="124">
        <v>-1E-3</v>
      </c>
      <c r="G576" s="125">
        <v>1.5268131334230482E-9</v>
      </c>
    </row>
    <row r="577" spans="1:7" ht="15" x14ac:dyDescent="0.25">
      <c r="A577">
        <v>13908</v>
      </c>
      <c r="B577">
        <v>15265</v>
      </c>
      <c r="C577" t="s">
        <v>2911</v>
      </c>
      <c r="D577" s="129">
        <v>45901</v>
      </c>
      <c r="E577" s="129">
        <v>47727</v>
      </c>
      <c r="F577" s="124">
        <v>-0.06</v>
      </c>
      <c r="G577" s="125">
        <v>9.160878800538289E-8</v>
      </c>
    </row>
    <row r="578" spans="1:7" ht="15" x14ac:dyDescent="0.25">
      <c r="A578">
        <v>13908</v>
      </c>
      <c r="B578">
        <v>15265</v>
      </c>
      <c r="C578" t="s">
        <v>2911</v>
      </c>
      <c r="D578" s="129">
        <v>45931</v>
      </c>
      <c r="E578" s="129">
        <v>47757</v>
      </c>
      <c r="F578" s="124">
        <v>1.097</v>
      </c>
      <c r="G578" s="125">
        <v>-1.6749140073650838E-6</v>
      </c>
    </row>
    <row r="579" spans="1:7" ht="15" x14ac:dyDescent="0.25">
      <c r="A579">
        <v>13908</v>
      </c>
      <c r="B579">
        <v>15265</v>
      </c>
      <c r="C579" t="s">
        <v>2911</v>
      </c>
      <c r="D579" s="129">
        <v>45962</v>
      </c>
      <c r="E579" s="129">
        <v>47788</v>
      </c>
      <c r="F579" s="124">
        <v>-2.4E-2</v>
      </c>
      <c r="G579" s="125">
        <v>3.6643515202153156E-8</v>
      </c>
    </row>
    <row r="580" spans="1:7" ht="15" x14ac:dyDescent="0.25">
      <c r="A580">
        <v>13908</v>
      </c>
      <c r="B580">
        <v>15265</v>
      </c>
      <c r="C580" t="s">
        <v>2911</v>
      </c>
      <c r="D580" s="129">
        <v>45992</v>
      </c>
      <c r="E580" s="129">
        <v>47818</v>
      </c>
      <c r="F580" s="124">
        <v>2.028</v>
      </c>
      <c r="G580" s="125">
        <v>-3.0963770345819417E-6</v>
      </c>
    </row>
    <row r="581" spans="1:7" ht="15" x14ac:dyDescent="0.25">
      <c r="A581">
        <v>13908</v>
      </c>
      <c r="B581">
        <v>15265</v>
      </c>
      <c r="C581" t="s">
        <v>2911</v>
      </c>
      <c r="D581" s="129">
        <v>46023</v>
      </c>
      <c r="E581" s="129">
        <v>47849</v>
      </c>
      <c r="F581" s="124">
        <v>6.1349999999999998</v>
      </c>
      <c r="G581" s="125">
        <v>-9.3669985735504012E-6</v>
      </c>
    </row>
    <row r="582" spans="1:7" ht="15" x14ac:dyDescent="0.25">
      <c r="A582">
        <v>13908</v>
      </c>
      <c r="B582">
        <v>15265</v>
      </c>
      <c r="C582" t="s">
        <v>2911</v>
      </c>
      <c r="D582" s="129">
        <v>46054</v>
      </c>
      <c r="E582" s="129">
        <v>47880</v>
      </c>
      <c r="F582" s="124">
        <v>-0.155</v>
      </c>
      <c r="G582" s="125">
        <v>2.3665603568057246E-7</v>
      </c>
    </row>
    <row r="583" spans="1:7" ht="15" x14ac:dyDescent="0.25">
      <c r="A583">
        <v>13908</v>
      </c>
      <c r="B583">
        <v>15265</v>
      </c>
      <c r="C583" t="s">
        <v>2911</v>
      </c>
      <c r="D583" s="129">
        <v>46082</v>
      </c>
      <c r="E583" s="129">
        <v>47908</v>
      </c>
      <c r="F583" s="124">
        <v>-0.08</v>
      </c>
      <c r="G583" s="125">
        <v>1.2214505067384386E-7</v>
      </c>
    </row>
    <row r="584" spans="1:7" ht="15" x14ac:dyDescent="0.25">
      <c r="A584">
        <v>13908</v>
      </c>
      <c r="B584">
        <v>15265</v>
      </c>
      <c r="C584" t="s">
        <v>2911</v>
      </c>
      <c r="D584" s="129">
        <v>46113</v>
      </c>
      <c r="E584" s="129">
        <v>47939</v>
      </c>
      <c r="F584" s="124">
        <v>0</v>
      </c>
      <c r="G584" s="125">
        <v>0</v>
      </c>
    </row>
    <row r="585" spans="1:7" ht="15" x14ac:dyDescent="0.25">
      <c r="A585">
        <v>13908</v>
      </c>
      <c r="B585">
        <v>15265</v>
      </c>
      <c r="C585" t="s">
        <v>2911</v>
      </c>
      <c r="D585" s="129">
        <v>46143</v>
      </c>
      <c r="E585" s="129">
        <v>47969</v>
      </c>
      <c r="F585" s="124">
        <v>0</v>
      </c>
      <c r="G585" s="125">
        <v>0</v>
      </c>
    </row>
    <row r="586" spans="1:7" ht="15" x14ac:dyDescent="0.25">
      <c r="A586">
        <v>13908</v>
      </c>
      <c r="B586">
        <v>15265</v>
      </c>
      <c r="C586" t="s">
        <v>2911</v>
      </c>
      <c r="D586" s="129">
        <v>46174</v>
      </c>
      <c r="E586" s="129">
        <v>48000</v>
      </c>
      <c r="F586" s="124">
        <v>0.38700000000000001</v>
      </c>
      <c r="G586" s="125">
        <v>-5.9087668263471963E-7</v>
      </c>
    </row>
    <row r="587" spans="1:7" ht="15" x14ac:dyDescent="0.25">
      <c r="A587">
        <v>13908</v>
      </c>
      <c r="B587">
        <v>15266</v>
      </c>
      <c r="C587" t="s">
        <v>2911</v>
      </c>
      <c r="D587" s="129">
        <v>44835</v>
      </c>
      <c r="E587" s="129">
        <v>46661</v>
      </c>
      <c r="F587" s="124">
        <v>0</v>
      </c>
      <c r="G587" s="125">
        <v>0</v>
      </c>
    </row>
    <row r="588" spans="1:7" ht="15" x14ac:dyDescent="0.25">
      <c r="A588">
        <v>13908</v>
      </c>
      <c r="B588">
        <v>15266</v>
      </c>
      <c r="C588" t="s">
        <v>2911</v>
      </c>
      <c r="D588" s="129">
        <v>44866</v>
      </c>
      <c r="E588" s="129">
        <v>46692</v>
      </c>
      <c r="F588" s="124">
        <v>0</v>
      </c>
      <c r="G588" s="125">
        <v>0</v>
      </c>
    </row>
    <row r="589" spans="1:7" ht="15" x14ac:dyDescent="0.25">
      <c r="A589">
        <v>13908</v>
      </c>
      <c r="B589">
        <v>15266</v>
      </c>
      <c r="C589" t="s">
        <v>2911</v>
      </c>
      <c r="D589" s="129">
        <v>44896</v>
      </c>
      <c r="E589" s="129">
        <v>46722</v>
      </c>
      <c r="F589" s="124">
        <v>0</v>
      </c>
      <c r="G589" s="125">
        <v>0</v>
      </c>
    </row>
    <row r="590" spans="1:7" ht="15" x14ac:dyDescent="0.25">
      <c r="A590">
        <v>13908</v>
      </c>
      <c r="B590">
        <v>15266</v>
      </c>
      <c r="C590" t="s">
        <v>2911</v>
      </c>
      <c r="D590" s="129">
        <v>44927</v>
      </c>
      <c r="E590" s="129">
        <v>46753</v>
      </c>
      <c r="F590" s="124">
        <v>0</v>
      </c>
      <c r="G590" s="125">
        <v>0</v>
      </c>
    </row>
    <row r="591" spans="1:7" ht="15" x14ac:dyDescent="0.25">
      <c r="A591">
        <v>13908</v>
      </c>
      <c r="B591">
        <v>15266</v>
      </c>
      <c r="C591" t="s">
        <v>2911</v>
      </c>
      <c r="D591" s="129">
        <v>44958</v>
      </c>
      <c r="E591" s="129">
        <v>46784</v>
      </c>
      <c r="F591" s="124">
        <v>0</v>
      </c>
      <c r="G591" s="125">
        <v>0</v>
      </c>
    </row>
    <row r="592" spans="1:7" ht="15" x14ac:dyDescent="0.25">
      <c r="A592">
        <v>13908</v>
      </c>
      <c r="B592">
        <v>15266</v>
      </c>
      <c r="C592" t="s">
        <v>2911</v>
      </c>
      <c r="D592" s="129">
        <v>44986</v>
      </c>
      <c r="E592" s="129">
        <v>46813</v>
      </c>
      <c r="F592" s="124">
        <v>0</v>
      </c>
      <c r="G592" s="125">
        <v>0</v>
      </c>
    </row>
    <row r="593" spans="1:7" ht="15" x14ac:dyDescent="0.25">
      <c r="A593">
        <v>13908</v>
      </c>
      <c r="B593">
        <v>15266</v>
      </c>
      <c r="C593" t="s">
        <v>2911</v>
      </c>
      <c r="D593" s="129">
        <v>45017</v>
      </c>
      <c r="E593" s="129">
        <v>46844</v>
      </c>
      <c r="F593" s="124">
        <v>0</v>
      </c>
      <c r="G593" s="125">
        <v>0</v>
      </c>
    </row>
    <row r="594" spans="1:7" ht="15" x14ac:dyDescent="0.25">
      <c r="A594">
        <v>13908</v>
      </c>
      <c r="B594">
        <v>15266</v>
      </c>
      <c r="C594" t="s">
        <v>2911</v>
      </c>
      <c r="D594" s="129">
        <v>45047</v>
      </c>
      <c r="E594" s="129">
        <v>46874</v>
      </c>
      <c r="F594" s="124">
        <v>0</v>
      </c>
      <c r="G594" s="125">
        <v>0</v>
      </c>
    </row>
    <row r="595" spans="1:7" ht="15" x14ac:dyDescent="0.25">
      <c r="A595">
        <v>13908</v>
      </c>
      <c r="B595">
        <v>15266</v>
      </c>
      <c r="C595" t="s">
        <v>2911</v>
      </c>
      <c r="D595" s="129">
        <v>45078</v>
      </c>
      <c r="E595" s="129">
        <v>46905</v>
      </c>
      <c r="F595" s="124">
        <v>0</v>
      </c>
      <c r="G595" s="125">
        <v>0</v>
      </c>
    </row>
    <row r="596" spans="1:7" ht="15" x14ac:dyDescent="0.25">
      <c r="A596">
        <v>13908</v>
      </c>
      <c r="B596">
        <v>15266</v>
      </c>
      <c r="C596" t="s">
        <v>2911</v>
      </c>
      <c r="D596" s="129">
        <v>45108</v>
      </c>
      <c r="E596" s="129">
        <v>46935</v>
      </c>
      <c r="F596" s="124">
        <v>0</v>
      </c>
      <c r="G596" s="125">
        <v>0</v>
      </c>
    </row>
    <row r="597" spans="1:7" ht="15" x14ac:dyDescent="0.25">
      <c r="A597">
        <v>13908</v>
      </c>
      <c r="B597">
        <v>15266</v>
      </c>
      <c r="C597" t="s">
        <v>2911</v>
      </c>
      <c r="D597" s="129">
        <v>45139</v>
      </c>
      <c r="E597" s="129">
        <v>46966</v>
      </c>
      <c r="F597" s="124">
        <v>0</v>
      </c>
      <c r="G597" s="125">
        <v>0</v>
      </c>
    </row>
    <row r="598" spans="1:7" ht="15" x14ac:dyDescent="0.25">
      <c r="A598">
        <v>13908</v>
      </c>
      <c r="B598">
        <v>15266</v>
      </c>
      <c r="C598" t="s">
        <v>2911</v>
      </c>
      <c r="D598" s="129">
        <v>45170</v>
      </c>
      <c r="E598" s="129">
        <v>46997</v>
      </c>
      <c r="F598" s="124">
        <v>0</v>
      </c>
      <c r="G598" s="125">
        <v>0</v>
      </c>
    </row>
    <row r="599" spans="1:7" ht="15" x14ac:dyDescent="0.25">
      <c r="A599">
        <v>13908</v>
      </c>
      <c r="B599">
        <v>15266</v>
      </c>
      <c r="C599" t="s">
        <v>2911</v>
      </c>
      <c r="D599" s="129">
        <v>45200</v>
      </c>
      <c r="E599" s="129">
        <v>47027</v>
      </c>
      <c r="F599" s="124">
        <v>0</v>
      </c>
      <c r="G599" s="125">
        <v>0</v>
      </c>
    </row>
    <row r="600" spans="1:7" ht="15" x14ac:dyDescent="0.25">
      <c r="A600">
        <v>13908</v>
      </c>
      <c r="B600">
        <v>15266</v>
      </c>
      <c r="C600" t="s">
        <v>2911</v>
      </c>
      <c r="D600" s="129">
        <v>45231</v>
      </c>
      <c r="E600" s="129">
        <v>47058</v>
      </c>
      <c r="F600" s="124">
        <v>0</v>
      </c>
      <c r="G600" s="125">
        <v>0</v>
      </c>
    </row>
    <row r="601" spans="1:7" ht="15" x14ac:dyDescent="0.25">
      <c r="A601">
        <v>13908</v>
      </c>
      <c r="B601">
        <v>15266</v>
      </c>
      <c r="C601" t="s">
        <v>2911</v>
      </c>
      <c r="D601" s="129">
        <v>45261</v>
      </c>
      <c r="E601" s="129">
        <v>47088</v>
      </c>
      <c r="F601" s="124">
        <v>0</v>
      </c>
      <c r="G601" s="125">
        <v>0</v>
      </c>
    </row>
    <row r="602" spans="1:7" ht="15" x14ac:dyDescent="0.25">
      <c r="A602">
        <v>13908</v>
      </c>
      <c r="B602">
        <v>15266</v>
      </c>
      <c r="C602" t="s">
        <v>2911</v>
      </c>
      <c r="D602" s="129">
        <v>45292</v>
      </c>
      <c r="E602" s="129">
        <v>47119</v>
      </c>
      <c r="F602" s="124">
        <v>0</v>
      </c>
      <c r="G602" s="125">
        <v>0</v>
      </c>
    </row>
    <row r="603" spans="1:7" ht="15" x14ac:dyDescent="0.25">
      <c r="A603">
        <v>13908</v>
      </c>
      <c r="B603">
        <v>15266</v>
      </c>
      <c r="C603" t="s">
        <v>2911</v>
      </c>
      <c r="D603" s="129">
        <v>45323</v>
      </c>
      <c r="E603" s="129">
        <v>47150</v>
      </c>
      <c r="F603" s="124">
        <v>0</v>
      </c>
      <c r="G603" s="125">
        <v>0</v>
      </c>
    </row>
    <row r="604" spans="1:7" ht="15" x14ac:dyDescent="0.25">
      <c r="A604">
        <v>13908</v>
      </c>
      <c r="B604">
        <v>15266</v>
      </c>
      <c r="C604" t="s">
        <v>2911</v>
      </c>
      <c r="D604" s="129">
        <v>45352</v>
      </c>
      <c r="E604" s="129">
        <v>47178</v>
      </c>
      <c r="F604" s="124">
        <v>0</v>
      </c>
      <c r="G604" s="125">
        <v>0</v>
      </c>
    </row>
    <row r="605" spans="1:7" ht="15" x14ac:dyDescent="0.25">
      <c r="A605">
        <v>13908</v>
      </c>
      <c r="B605">
        <v>15266</v>
      </c>
      <c r="C605" t="s">
        <v>2911</v>
      </c>
      <c r="D605" s="129">
        <v>45383</v>
      </c>
      <c r="E605" s="129">
        <v>47209</v>
      </c>
      <c r="F605" s="124">
        <v>0</v>
      </c>
      <c r="G605" s="125">
        <v>0</v>
      </c>
    </row>
    <row r="606" spans="1:7" ht="15" x14ac:dyDescent="0.25">
      <c r="A606">
        <v>13908</v>
      </c>
      <c r="B606">
        <v>15266</v>
      </c>
      <c r="C606" t="s">
        <v>2911</v>
      </c>
      <c r="D606" s="129">
        <v>45413</v>
      </c>
      <c r="E606" s="129">
        <v>47239</v>
      </c>
      <c r="F606" s="124">
        <v>0</v>
      </c>
      <c r="G606" s="125">
        <v>0</v>
      </c>
    </row>
    <row r="607" spans="1:7" ht="15" x14ac:dyDescent="0.25">
      <c r="A607">
        <v>13908</v>
      </c>
      <c r="B607">
        <v>15266</v>
      </c>
      <c r="C607" t="s">
        <v>2911</v>
      </c>
      <c r="D607" s="129">
        <v>45444</v>
      </c>
      <c r="E607" s="129">
        <v>47270</v>
      </c>
      <c r="F607" s="124">
        <v>0</v>
      </c>
      <c r="G607" s="125">
        <v>0</v>
      </c>
    </row>
    <row r="608" spans="1:7" ht="15" x14ac:dyDescent="0.25">
      <c r="A608">
        <v>13908</v>
      </c>
      <c r="B608">
        <v>15266</v>
      </c>
      <c r="C608" t="s">
        <v>2911</v>
      </c>
      <c r="D608" s="129">
        <v>45474</v>
      </c>
      <c r="E608" s="129">
        <v>47300</v>
      </c>
      <c r="F608" s="124">
        <v>-9.1660000000000004</v>
      </c>
      <c r="G608" s="125">
        <v>1.3994769180955661E-5</v>
      </c>
    </row>
    <row r="609" spans="1:7" ht="15" x14ac:dyDescent="0.25">
      <c r="A609">
        <v>13908</v>
      </c>
      <c r="B609">
        <v>15266</v>
      </c>
      <c r="C609" t="s">
        <v>2911</v>
      </c>
      <c r="D609" s="129">
        <v>45505</v>
      </c>
      <c r="E609" s="129">
        <v>47331</v>
      </c>
      <c r="F609" s="124">
        <v>-1838.768</v>
      </c>
      <c r="G609" s="125">
        <v>2.8074551317180314E-3</v>
      </c>
    </row>
    <row r="610" spans="1:7" ht="15" x14ac:dyDescent="0.25">
      <c r="A610">
        <v>13908</v>
      </c>
      <c r="B610">
        <v>15266</v>
      </c>
      <c r="C610" t="s">
        <v>2911</v>
      </c>
      <c r="D610" s="129">
        <v>45536</v>
      </c>
      <c r="E610" s="129">
        <v>47362</v>
      </c>
      <c r="F610" s="124">
        <v>-1367.027</v>
      </c>
      <c r="G610" s="125">
        <v>2.0871947773439094E-3</v>
      </c>
    </row>
    <row r="611" spans="1:7" ht="15" x14ac:dyDescent="0.25">
      <c r="A611">
        <v>13908</v>
      </c>
      <c r="B611">
        <v>15266</v>
      </c>
      <c r="C611" t="s">
        <v>2911</v>
      </c>
      <c r="D611" s="129">
        <v>45566</v>
      </c>
      <c r="E611" s="129">
        <v>47392</v>
      </c>
      <c r="F611" s="124">
        <v>-2413.4180000000001</v>
      </c>
      <c r="G611" s="125">
        <v>3.6848382988395865E-3</v>
      </c>
    </row>
    <row r="612" spans="1:7" ht="15" x14ac:dyDescent="0.25">
      <c r="A612">
        <v>13908</v>
      </c>
      <c r="B612">
        <v>15266</v>
      </c>
      <c r="C612" t="s">
        <v>2911</v>
      </c>
      <c r="D612" s="129">
        <v>45597</v>
      </c>
      <c r="E612" s="129">
        <v>47423</v>
      </c>
      <c r="F612" s="124">
        <v>-1937.7090000000001</v>
      </c>
      <c r="G612" s="125">
        <v>2.9585195499520415E-3</v>
      </c>
    </row>
    <row r="613" spans="1:7" ht="15" x14ac:dyDescent="0.25">
      <c r="A613">
        <v>13908</v>
      </c>
      <c r="B613">
        <v>15266</v>
      </c>
      <c r="C613" t="s">
        <v>2911</v>
      </c>
      <c r="D613" s="129">
        <v>45627</v>
      </c>
      <c r="E613" s="129">
        <v>47453</v>
      </c>
      <c r="F613" s="124">
        <v>-1999.9449999999999</v>
      </c>
      <c r="G613" s="125">
        <v>3.0535422921237581E-3</v>
      </c>
    </row>
    <row r="614" spans="1:7" ht="15" x14ac:dyDescent="0.25">
      <c r="A614">
        <v>13908</v>
      </c>
      <c r="B614">
        <v>15266</v>
      </c>
      <c r="C614" t="s">
        <v>2911</v>
      </c>
      <c r="D614" s="129">
        <v>45658</v>
      </c>
      <c r="E614" s="129">
        <v>47484</v>
      </c>
      <c r="F614" s="124">
        <v>-2415.3209999999999</v>
      </c>
      <c r="G614" s="125">
        <v>3.6877438242324903E-3</v>
      </c>
    </row>
    <row r="615" spans="1:7" ht="15" x14ac:dyDescent="0.25">
      <c r="A615">
        <v>13908</v>
      </c>
      <c r="B615">
        <v>15266</v>
      </c>
      <c r="C615" t="s">
        <v>2911</v>
      </c>
      <c r="D615" s="129">
        <v>45689</v>
      </c>
      <c r="E615" s="129">
        <v>47515</v>
      </c>
      <c r="F615" s="124">
        <v>-1344.7190000000001</v>
      </c>
      <c r="G615" s="125">
        <v>2.0531346299635079E-3</v>
      </c>
    </row>
    <row r="616" spans="1:7" ht="15" x14ac:dyDescent="0.25">
      <c r="A616">
        <v>13908</v>
      </c>
      <c r="B616">
        <v>15266</v>
      </c>
      <c r="C616" t="s">
        <v>2911</v>
      </c>
      <c r="D616" s="129">
        <v>45717</v>
      </c>
      <c r="E616" s="129">
        <v>47543</v>
      </c>
      <c r="F616" s="124">
        <v>-1204.4059999999999</v>
      </c>
      <c r="G616" s="125">
        <v>1.8389028987735197E-3</v>
      </c>
    </row>
    <row r="617" spans="1:7" ht="15" x14ac:dyDescent="0.25">
      <c r="A617">
        <v>13908</v>
      </c>
      <c r="B617">
        <v>15266</v>
      </c>
      <c r="C617" t="s">
        <v>2911</v>
      </c>
      <c r="D617" s="129">
        <v>45748</v>
      </c>
      <c r="E617" s="129">
        <v>47574</v>
      </c>
      <c r="F617" s="124">
        <v>-1286.3489999999999</v>
      </c>
      <c r="G617" s="125">
        <v>1.9640145473656047E-3</v>
      </c>
    </row>
    <row r="618" spans="1:7" ht="15" x14ac:dyDescent="0.25">
      <c r="A618">
        <v>13908</v>
      </c>
      <c r="B618">
        <v>15266</v>
      </c>
      <c r="C618" t="s">
        <v>2911</v>
      </c>
      <c r="D618" s="129">
        <v>45778</v>
      </c>
      <c r="E618" s="129">
        <v>47604</v>
      </c>
      <c r="F618" s="124">
        <v>-813.197</v>
      </c>
      <c r="G618" s="125">
        <v>1.2415998596602225E-3</v>
      </c>
    </row>
    <row r="619" spans="1:7" ht="15" x14ac:dyDescent="0.25">
      <c r="A619">
        <v>13908</v>
      </c>
      <c r="B619">
        <v>15266</v>
      </c>
      <c r="C619" t="s">
        <v>2911</v>
      </c>
      <c r="D619" s="129">
        <v>45809</v>
      </c>
      <c r="E619" s="129">
        <v>47635</v>
      </c>
      <c r="F619" s="124">
        <v>-1078.337</v>
      </c>
      <c r="G619" s="125">
        <v>1.6464190938560094E-3</v>
      </c>
    </row>
    <row r="620" spans="1:7" ht="15" x14ac:dyDescent="0.25">
      <c r="A620">
        <v>13908</v>
      </c>
      <c r="B620">
        <v>15266</v>
      </c>
      <c r="C620" t="s">
        <v>2911</v>
      </c>
      <c r="D620" s="129">
        <v>45839</v>
      </c>
      <c r="E620" s="129">
        <v>47665</v>
      </c>
      <c r="F620" s="124">
        <v>-345.11099999999999</v>
      </c>
      <c r="G620" s="125">
        <v>5.2692000728876156E-4</v>
      </c>
    </row>
    <row r="621" spans="1:7" ht="15" x14ac:dyDescent="0.25">
      <c r="A621">
        <v>13908</v>
      </c>
      <c r="B621">
        <v>15266</v>
      </c>
      <c r="C621" t="s">
        <v>2911</v>
      </c>
      <c r="D621" s="129">
        <v>45870</v>
      </c>
      <c r="E621" s="129">
        <v>47696</v>
      </c>
      <c r="F621" s="124">
        <v>-117.44</v>
      </c>
      <c r="G621" s="125">
        <v>1.7930893438920277E-4</v>
      </c>
    </row>
    <row r="622" spans="1:7" ht="15" x14ac:dyDescent="0.25">
      <c r="A622">
        <v>13908</v>
      </c>
      <c r="B622">
        <v>15266</v>
      </c>
      <c r="C622" t="s">
        <v>2911</v>
      </c>
      <c r="D622" s="129">
        <v>45901</v>
      </c>
      <c r="E622" s="129">
        <v>47727</v>
      </c>
      <c r="F622" s="124">
        <v>-334.16699999999997</v>
      </c>
      <c r="G622" s="125">
        <v>5.1021056435657968E-4</v>
      </c>
    </row>
    <row r="623" spans="1:7" ht="15" x14ac:dyDescent="0.25">
      <c r="A623">
        <v>13908</v>
      </c>
      <c r="B623">
        <v>15266</v>
      </c>
      <c r="C623" t="s">
        <v>2911</v>
      </c>
      <c r="D623" s="129">
        <v>45931</v>
      </c>
      <c r="E623" s="129">
        <v>47757</v>
      </c>
      <c r="F623" s="124">
        <v>-481.99700000000001</v>
      </c>
      <c r="G623" s="125">
        <v>7.35919349870509E-4</v>
      </c>
    </row>
    <row r="624" spans="1:7" ht="15" x14ac:dyDescent="0.25">
      <c r="A624">
        <v>13908</v>
      </c>
      <c r="B624">
        <v>15266</v>
      </c>
      <c r="C624" t="s">
        <v>2911</v>
      </c>
      <c r="D624" s="129">
        <v>45962</v>
      </c>
      <c r="E624" s="129">
        <v>47788</v>
      </c>
      <c r="F624" s="124">
        <v>-4.3890000000000002</v>
      </c>
      <c r="G624" s="125">
        <v>6.7011828425937588E-6</v>
      </c>
    </row>
    <row r="625" spans="1:7" ht="15" x14ac:dyDescent="0.25">
      <c r="A625">
        <v>13908</v>
      </c>
      <c r="B625">
        <v>15266</v>
      </c>
      <c r="C625" t="s">
        <v>2911</v>
      </c>
      <c r="D625" s="129">
        <v>45992</v>
      </c>
      <c r="E625" s="129">
        <v>47818</v>
      </c>
      <c r="F625" s="124">
        <v>-3.3450000000000002</v>
      </c>
      <c r="G625" s="125">
        <v>5.107189931300097E-6</v>
      </c>
    </row>
    <row r="626" spans="1:7" ht="15" x14ac:dyDescent="0.25">
      <c r="A626">
        <v>13908</v>
      </c>
      <c r="B626">
        <v>15266</v>
      </c>
      <c r="C626" t="s">
        <v>2911</v>
      </c>
      <c r="D626" s="129">
        <v>46023</v>
      </c>
      <c r="E626" s="129">
        <v>47849</v>
      </c>
      <c r="F626" s="124">
        <v>46.119</v>
      </c>
      <c r="G626" s="125">
        <v>-7.0415094900337557E-5</v>
      </c>
    </row>
    <row r="627" spans="1:7" ht="15" x14ac:dyDescent="0.25">
      <c r="A627">
        <v>13908</v>
      </c>
      <c r="B627">
        <v>15266</v>
      </c>
      <c r="C627" t="s">
        <v>2911</v>
      </c>
      <c r="D627" s="129">
        <v>46054</v>
      </c>
      <c r="E627" s="129">
        <v>47880</v>
      </c>
      <c r="F627" s="124">
        <v>33.747999999999998</v>
      </c>
      <c r="G627" s="125">
        <v>-5.1526889626761026E-5</v>
      </c>
    </row>
    <row r="628" spans="1:7" ht="15" x14ac:dyDescent="0.25">
      <c r="A628">
        <v>13908</v>
      </c>
      <c r="B628">
        <v>15266</v>
      </c>
      <c r="C628" t="s">
        <v>2911</v>
      </c>
      <c r="D628" s="129">
        <v>46082</v>
      </c>
      <c r="E628" s="129">
        <v>47908</v>
      </c>
      <c r="F628" s="124">
        <v>-5.8999999999999997E-2</v>
      </c>
      <c r="G628" s="125">
        <v>9.008197487195984E-8</v>
      </c>
    </row>
    <row r="629" spans="1:7" ht="15" x14ac:dyDescent="0.25">
      <c r="A629">
        <v>13908</v>
      </c>
      <c r="B629">
        <v>15266</v>
      </c>
      <c r="C629" t="s">
        <v>2911</v>
      </c>
      <c r="D629" s="129">
        <v>46113</v>
      </c>
      <c r="E629" s="129">
        <v>47939</v>
      </c>
      <c r="F629" s="124">
        <v>0</v>
      </c>
      <c r="G629" s="125">
        <v>0</v>
      </c>
    </row>
    <row r="630" spans="1:7" ht="15" x14ac:dyDescent="0.25">
      <c r="A630">
        <v>13908</v>
      </c>
      <c r="B630">
        <v>15266</v>
      </c>
      <c r="C630" t="s">
        <v>2911</v>
      </c>
      <c r="D630" s="129">
        <v>46143</v>
      </c>
      <c r="E630" s="129">
        <v>47969</v>
      </c>
      <c r="F630" s="124">
        <v>0</v>
      </c>
      <c r="G630" s="125">
        <v>0</v>
      </c>
    </row>
    <row r="631" spans="1:7" ht="15" x14ac:dyDescent="0.25">
      <c r="A631">
        <v>13908</v>
      </c>
      <c r="B631">
        <v>15266</v>
      </c>
      <c r="C631" t="s">
        <v>2911</v>
      </c>
      <c r="D631" s="129">
        <v>46174</v>
      </c>
      <c r="E631" s="129">
        <v>48000</v>
      </c>
      <c r="F631" s="124">
        <v>68.027000000000001</v>
      </c>
      <c r="G631" s="125">
        <v>-1.038645170273697E-4</v>
      </c>
    </row>
    <row r="632" spans="1:7" ht="15" x14ac:dyDescent="0.25">
      <c r="A632">
        <v>13908</v>
      </c>
      <c r="B632">
        <v>15267</v>
      </c>
      <c r="C632" t="s">
        <v>2911</v>
      </c>
      <c r="D632" s="129">
        <v>44835</v>
      </c>
      <c r="E632" s="129">
        <v>46661</v>
      </c>
      <c r="F632" s="124">
        <v>0</v>
      </c>
      <c r="G632" s="125">
        <v>0</v>
      </c>
    </row>
    <row r="633" spans="1:7" ht="15" x14ac:dyDescent="0.25">
      <c r="A633">
        <v>13908</v>
      </c>
      <c r="B633">
        <v>15267</v>
      </c>
      <c r="C633" t="s">
        <v>2911</v>
      </c>
      <c r="D633" s="129">
        <v>44866</v>
      </c>
      <c r="E633" s="129">
        <v>46692</v>
      </c>
      <c r="F633" s="124">
        <v>0</v>
      </c>
      <c r="G633" s="125">
        <v>0</v>
      </c>
    </row>
    <row r="634" spans="1:7" ht="15" x14ac:dyDescent="0.25">
      <c r="A634">
        <v>13908</v>
      </c>
      <c r="B634">
        <v>15267</v>
      </c>
      <c r="C634" t="s">
        <v>2911</v>
      </c>
      <c r="D634" s="129">
        <v>44896</v>
      </c>
      <c r="E634" s="129">
        <v>46722</v>
      </c>
      <c r="F634" s="124">
        <v>0</v>
      </c>
      <c r="G634" s="125">
        <v>0</v>
      </c>
    </row>
    <row r="635" spans="1:7" ht="15" x14ac:dyDescent="0.25">
      <c r="A635">
        <v>13908</v>
      </c>
      <c r="B635">
        <v>15267</v>
      </c>
      <c r="C635" t="s">
        <v>2911</v>
      </c>
      <c r="D635" s="129">
        <v>44927</v>
      </c>
      <c r="E635" s="129">
        <v>46753</v>
      </c>
      <c r="F635" s="124">
        <v>0</v>
      </c>
      <c r="G635" s="125">
        <v>0</v>
      </c>
    </row>
    <row r="636" spans="1:7" ht="15" x14ac:dyDescent="0.25">
      <c r="A636">
        <v>13908</v>
      </c>
      <c r="B636">
        <v>15267</v>
      </c>
      <c r="C636" t="s">
        <v>2911</v>
      </c>
      <c r="D636" s="129">
        <v>44958</v>
      </c>
      <c r="E636" s="129">
        <v>46784</v>
      </c>
      <c r="F636" s="124">
        <v>0</v>
      </c>
      <c r="G636" s="125">
        <v>0</v>
      </c>
    </row>
    <row r="637" spans="1:7" ht="15" x14ac:dyDescent="0.25">
      <c r="A637">
        <v>13908</v>
      </c>
      <c r="B637">
        <v>15267</v>
      </c>
      <c r="C637" t="s">
        <v>2911</v>
      </c>
      <c r="D637" s="129">
        <v>44986</v>
      </c>
      <c r="E637" s="129">
        <v>46813</v>
      </c>
      <c r="F637" s="124">
        <v>0</v>
      </c>
      <c r="G637" s="125">
        <v>0</v>
      </c>
    </row>
    <row r="638" spans="1:7" ht="15" x14ac:dyDescent="0.25">
      <c r="A638">
        <v>13908</v>
      </c>
      <c r="B638">
        <v>15267</v>
      </c>
      <c r="C638" t="s">
        <v>2911</v>
      </c>
      <c r="D638" s="129">
        <v>45017</v>
      </c>
      <c r="E638" s="129">
        <v>46844</v>
      </c>
      <c r="F638" s="124">
        <v>0</v>
      </c>
      <c r="G638" s="125">
        <v>0</v>
      </c>
    </row>
    <row r="639" spans="1:7" ht="15" x14ac:dyDescent="0.25">
      <c r="A639">
        <v>13908</v>
      </c>
      <c r="B639">
        <v>15267</v>
      </c>
      <c r="C639" t="s">
        <v>2911</v>
      </c>
      <c r="D639" s="129">
        <v>45047</v>
      </c>
      <c r="E639" s="129">
        <v>46874</v>
      </c>
      <c r="F639" s="124">
        <v>0</v>
      </c>
      <c r="G639" s="125">
        <v>0</v>
      </c>
    </row>
    <row r="640" spans="1:7" ht="15" x14ac:dyDescent="0.25">
      <c r="A640">
        <v>13908</v>
      </c>
      <c r="B640">
        <v>15267</v>
      </c>
      <c r="C640" t="s">
        <v>2911</v>
      </c>
      <c r="D640" s="129">
        <v>45078</v>
      </c>
      <c r="E640" s="129">
        <v>46905</v>
      </c>
      <c r="F640" s="124">
        <v>0</v>
      </c>
      <c r="G640" s="125">
        <v>0</v>
      </c>
    </row>
    <row r="641" spans="1:7" ht="15" x14ac:dyDescent="0.25">
      <c r="A641">
        <v>13908</v>
      </c>
      <c r="B641">
        <v>15267</v>
      </c>
      <c r="C641" t="s">
        <v>2911</v>
      </c>
      <c r="D641" s="129">
        <v>45108</v>
      </c>
      <c r="E641" s="129">
        <v>46935</v>
      </c>
      <c r="F641" s="124">
        <v>0</v>
      </c>
      <c r="G641" s="125">
        <v>0</v>
      </c>
    </row>
    <row r="642" spans="1:7" ht="15" x14ac:dyDescent="0.25">
      <c r="A642">
        <v>13908</v>
      </c>
      <c r="B642">
        <v>15267</v>
      </c>
      <c r="C642" t="s">
        <v>2911</v>
      </c>
      <c r="D642" s="129">
        <v>45139</v>
      </c>
      <c r="E642" s="129">
        <v>46966</v>
      </c>
      <c r="F642" s="124">
        <v>0</v>
      </c>
      <c r="G642" s="125">
        <v>0</v>
      </c>
    </row>
    <row r="643" spans="1:7" ht="15" x14ac:dyDescent="0.25">
      <c r="A643">
        <v>13908</v>
      </c>
      <c r="B643">
        <v>15267</v>
      </c>
      <c r="C643" t="s">
        <v>2911</v>
      </c>
      <c r="D643" s="129">
        <v>45170</v>
      </c>
      <c r="E643" s="129">
        <v>46997</v>
      </c>
      <c r="F643" s="124">
        <v>0</v>
      </c>
      <c r="G643" s="125">
        <v>0</v>
      </c>
    </row>
    <row r="644" spans="1:7" ht="15" x14ac:dyDescent="0.25">
      <c r="A644">
        <v>13908</v>
      </c>
      <c r="B644">
        <v>15267</v>
      </c>
      <c r="C644" t="s">
        <v>2911</v>
      </c>
      <c r="D644" s="129">
        <v>45200</v>
      </c>
      <c r="E644" s="129">
        <v>47027</v>
      </c>
      <c r="F644" s="124">
        <v>0</v>
      </c>
      <c r="G644" s="125">
        <v>0</v>
      </c>
    </row>
    <row r="645" spans="1:7" ht="15" x14ac:dyDescent="0.25">
      <c r="A645">
        <v>13908</v>
      </c>
      <c r="B645">
        <v>15267</v>
      </c>
      <c r="C645" t="s">
        <v>2911</v>
      </c>
      <c r="D645" s="129">
        <v>45231</v>
      </c>
      <c r="E645" s="129">
        <v>47058</v>
      </c>
      <c r="F645" s="124">
        <v>0</v>
      </c>
      <c r="G645" s="125">
        <v>0</v>
      </c>
    </row>
    <row r="646" spans="1:7" ht="15" x14ac:dyDescent="0.25">
      <c r="A646">
        <v>13908</v>
      </c>
      <c r="B646">
        <v>15267</v>
      </c>
      <c r="C646" t="s">
        <v>2911</v>
      </c>
      <c r="D646" s="129">
        <v>45261</v>
      </c>
      <c r="E646" s="129">
        <v>47088</v>
      </c>
      <c r="F646" s="124">
        <v>0</v>
      </c>
      <c r="G646" s="125">
        <v>0</v>
      </c>
    </row>
    <row r="647" spans="1:7" ht="15" x14ac:dyDescent="0.25">
      <c r="A647">
        <v>13908</v>
      </c>
      <c r="B647">
        <v>15267</v>
      </c>
      <c r="C647" t="s">
        <v>2911</v>
      </c>
      <c r="D647" s="129">
        <v>45292</v>
      </c>
      <c r="E647" s="129">
        <v>47119</v>
      </c>
      <c r="F647" s="124">
        <v>0</v>
      </c>
      <c r="G647" s="125">
        <v>0</v>
      </c>
    </row>
    <row r="648" spans="1:7" ht="15" x14ac:dyDescent="0.25">
      <c r="A648">
        <v>13908</v>
      </c>
      <c r="B648">
        <v>15267</v>
      </c>
      <c r="C648" t="s">
        <v>2911</v>
      </c>
      <c r="D648" s="129">
        <v>45323</v>
      </c>
      <c r="E648" s="129">
        <v>47150</v>
      </c>
      <c r="F648" s="124">
        <v>0</v>
      </c>
      <c r="G648" s="125">
        <v>0</v>
      </c>
    </row>
    <row r="649" spans="1:7" ht="15" x14ac:dyDescent="0.25">
      <c r="A649">
        <v>13908</v>
      </c>
      <c r="B649">
        <v>15267</v>
      </c>
      <c r="C649" t="s">
        <v>2911</v>
      </c>
      <c r="D649" s="129">
        <v>45352</v>
      </c>
      <c r="E649" s="129">
        <v>47178</v>
      </c>
      <c r="F649" s="124">
        <v>0</v>
      </c>
      <c r="G649" s="125">
        <v>0</v>
      </c>
    </row>
    <row r="650" spans="1:7" ht="15" x14ac:dyDescent="0.25">
      <c r="A650">
        <v>13908</v>
      </c>
      <c r="B650">
        <v>15267</v>
      </c>
      <c r="C650" t="s">
        <v>2911</v>
      </c>
      <c r="D650" s="129">
        <v>45383</v>
      </c>
      <c r="E650" s="129">
        <v>47209</v>
      </c>
      <c r="F650" s="124">
        <v>0</v>
      </c>
      <c r="G650" s="125">
        <v>0</v>
      </c>
    </row>
    <row r="651" spans="1:7" ht="15" x14ac:dyDescent="0.25">
      <c r="A651">
        <v>13908</v>
      </c>
      <c r="B651">
        <v>15267</v>
      </c>
      <c r="C651" t="s">
        <v>2911</v>
      </c>
      <c r="D651" s="129">
        <v>45413</v>
      </c>
      <c r="E651" s="129">
        <v>47239</v>
      </c>
      <c r="F651" s="124">
        <v>0</v>
      </c>
      <c r="G651" s="125">
        <v>0</v>
      </c>
    </row>
    <row r="652" spans="1:7" ht="15" x14ac:dyDescent="0.25">
      <c r="A652">
        <v>13908</v>
      </c>
      <c r="B652">
        <v>15267</v>
      </c>
      <c r="C652" t="s">
        <v>2911</v>
      </c>
      <c r="D652" s="129">
        <v>45444</v>
      </c>
      <c r="E652" s="129">
        <v>47270</v>
      </c>
      <c r="F652" s="124">
        <v>0</v>
      </c>
      <c r="G652" s="125">
        <v>0</v>
      </c>
    </row>
    <row r="653" spans="1:7" ht="15" x14ac:dyDescent="0.25">
      <c r="A653">
        <v>13908</v>
      </c>
      <c r="B653">
        <v>15267</v>
      </c>
      <c r="C653" t="s">
        <v>2911</v>
      </c>
      <c r="D653" s="129">
        <v>45474</v>
      </c>
      <c r="E653" s="129">
        <v>47300</v>
      </c>
      <c r="F653" s="124">
        <v>-86.718000000000004</v>
      </c>
      <c r="G653" s="125">
        <v>1.3240218130417989E-4</v>
      </c>
    </row>
    <row r="654" spans="1:7" ht="15" x14ac:dyDescent="0.25">
      <c r="A654">
        <v>13908</v>
      </c>
      <c r="B654">
        <v>15267</v>
      </c>
      <c r="C654" t="s">
        <v>2911</v>
      </c>
      <c r="D654" s="129">
        <v>45505</v>
      </c>
      <c r="E654" s="129">
        <v>47331</v>
      </c>
      <c r="F654" s="124">
        <v>0</v>
      </c>
      <c r="G654" s="125">
        <v>0</v>
      </c>
    </row>
    <row r="655" spans="1:7" ht="15" x14ac:dyDescent="0.25">
      <c r="A655">
        <v>13908</v>
      </c>
      <c r="B655">
        <v>15267</v>
      </c>
      <c r="C655" t="s">
        <v>2911</v>
      </c>
      <c r="D655" s="129">
        <v>45536</v>
      </c>
      <c r="E655" s="129">
        <v>47362</v>
      </c>
      <c r="F655" s="124">
        <v>0</v>
      </c>
      <c r="G655" s="125">
        <v>0</v>
      </c>
    </row>
    <row r="656" spans="1:7" ht="15" x14ac:dyDescent="0.25">
      <c r="A656">
        <v>13908</v>
      </c>
      <c r="B656">
        <v>15267</v>
      </c>
      <c r="C656" t="s">
        <v>2911</v>
      </c>
      <c r="D656" s="129">
        <v>45566</v>
      </c>
      <c r="E656" s="129">
        <v>47392</v>
      </c>
      <c r="F656" s="124">
        <v>0</v>
      </c>
      <c r="G656" s="125">
        <v>0</v>
      </c>
    </row>
    <row r="657" spans="1:7" ht="15" x14ac:dyDescent="0.25">
      <c r="A657">
        <v>13908</v>
      </c>
      <c r="B657">
        <v>15267</v>
      </c>
      <c r="C657" t="s">
        <v>2911</v>
      </c>
      <c r="D657" s="129">
        <v>45597</v>
      </c>
      <c r="E657" s="129">
        <v>47423</v>
      </c>
      <c r="F657" s="124">
        <v>-5.5129999999999999</v>
      </c>
      <c r="G657" s="125">
        <v>8.4173208045612647E-6</v>
      </c>
    </row>
    <row r="658" spans="1:7" ht="15" x14ac:dyDescent="0.25">
      <c r="A658">
        <v>13908</v>
      </c>
      <c r="B658">
        <v>15267</v>
      </c>
      <c r="C658" t="s">
        <v>2911</v>
      </c>
      <c r="D658" s="129">
        <v>45627</v>
      </c>
      <c r="E658" s="129">
        <v>47453</v>
      </c>
      <c r="F658" s="124">
        <v>0</v>
      </c>
      <c r="G658" s="125">
        <v>0</v>
      </c>
    </row>
    <row r="659" spans="1:7" ht="15" x14ac:dyDescent="0.25">
      <c r="A659">
        <v>13908</v>
      </c>
      <c r="B659">
        <v>15267</v>
      </c>
      <c r="C659" t="s">
        <v>2911</v>
      </c>
      <c r="D659" s="129">
        <v>45658</v>
      </c>
      <c r="E659" s="129">
        <v>47484</v>
      </c>
      <c r="F659" s="124">
        <v>0</v>
      </c>
      <c r="G659" s="125">
        <v>0</v>
      </c>
    </row>
    <row r="660" spans="1:7" ht="15" x14ac:dyDescent="0.25">
      <c r="A660">
        <v>13908</v>
      </c>
      <c r="B660">
        <v>15267</v>
      </c>
      <c r="C660" t="s">
        <v>2911</v>
      </c>
      <c r="D660" s="129">
        <v>45689</v>
      </c>
      <c r="E660" s="129">
        <v>47515</v>
      </c>
      <c r="F660" s="124">
        <v>0</v>
      </c>
      <c r="G660" s="125">
        <v>0</v>
      </c>
    </row>
    <row r="661" spans="1:7" ht="15" x14ac:dyDescent="0.25">
      <c r="A661">
        <v>13908</v>
      </c>
      <c r="B661">
        <v>15267</v>
      </c>
      <c r="C661" t="s">
        <v>2911</v>
      </c>
      <c r="D661" s="129">
        <v>45717</v>
      </c>
      <c r="E661" s="129">
        <v>47543</v>
      </c>
      <c r="F661" s="124">
        <v>-0.68300000000000005</v>
      </c>
      <c r="G661" s="125">
        <v>1.042813370127942E-6</v>
      </c>
    </row>
    <row r="662" spans="1:7" ht="15" x14ac:dyDescent="0.25">
      <c r="A662">
        <v>13908</v>
      </c>
      <c r="B662">
        <v>15267</v>
      </c>
      <c r="C662" t="s">
        <v>2911</v>
      </c>
      <c r="D662" s="129">
        <v>45748</v>
      </c>
      <c r="E662" s="129">
        <v>47574</v>
      </c>
      <c r="F662" s="124">
        <v>0</v>
      </c>
      <c r="G662" s="125">
        <v>0</v>
      </c>
    </row>
    <row r="663" spans="1:7" ht="15" x14ac:dyDescent="0.25">
      <c r="A663">
        <v>13908</v>
      </c>
      <c r="B663">
        <v>15267</v>
      </c>
      <c r="C663" t="s">
        <v>2911</v>
      </c>
      <c r="D663" s="129">
        <v>45778</v>
      </c>
      <c r="E663" s="129">
        <v>47604</v>
      </c>
      <c r="F663" s="124">
        <v>0</v>
      </c>
      <c r="G663" s="125">
        <v>0</v>
      </c>
    </row>
    <row r="664" spans="1:7" ht="15" x14ac:dyDescent="0.25">
      <c r="A664">
        <v>13908</v>
      </c>
      <c r="B664">
        <v>15267</v>
      </c>
      <c r="C664" t="s">
        <v>2911</v>
      </c>
      <c r="D664" s="129">
        <v>45809</v>
      </c>
      <c r="E664" s="129">
        <v>47635</v>
      </c>
      <c r="F664" s="124">
        <v>0</v>
      </c>
      <c r="G664" s="125">
        <v>0</v>
      </c>
    </row>
    <row r="665" spans="1:7" ht="15" x14ac:dyDescent="0.25">
      <c r="A665">
        <v>13908</v>
      </c>
      <c r="B665">
        <v>15267</v>
      </c>
      <c r="C665" t="s">
        <v>2911</v>
      </c>
      <c r="D665" s="129">
        <v>45839</v>
      </c>
      <c r="E665" s="129">
        <v>47665</v>
      </c>
      <c r="F665" s="124">
        <v>-170.28700000000001</v>
      </c>
      <c r="G665" s="125">
        <v>2.599964280512106E-4</v>
      </c>
    </row>
    <row r="666" spans="1:7" ht="15" x14ac:dyDescent="0.25">
      <c r="A666">
        <v>13908</v>
      </c>
      <c r="B666">
        <v>15267</v>
      </c>
      <c r="C666" t="s">
        <v>2911</v>
      </c>
      <c r="D666" s="129">
        <v>45870</v>
      </c>
      <c r="E666" s="129">
        <v>47696</v>
      </c>
      <c r="F666" s="124">
        <v>-97.786000000000001</v>
      </c>
      <c r="G666" s="125">
        <v>1.493009490649062E-4</v>
      </c>
    </row>
    <row r="667" spans="1:7" ht="15" x14ac:dyDescent="0.25">
      <c r="A667">
        <v>13908</v>
      </c>
      <c r="B667">
        <v>15267</v>
      </c>
      <c r="C667" t="s">
        <v>2911</v>
      </c>
      <c r="D667" s="129">
        <v>45901</v>
      </c>
      <c r="E667" s="129">
        <v>47727</v>
      </c>
      <c r="F667" s="124">
        <v>0</v>
      </c>
      <c r="G667" s="125">
        <v>0</v>
      </c>
    </row>
    <row r="668" spans="1:7" ht="15" x14ac:dyDescent="0.25">
      <c r="A668">
        <v>13908</v>
      </c>
      <c r="B668">
        <v>15267</v>
      </c>
      <c r="C668" t="s">
        <v>2911</v>
      </c>
      <c r="D668" s="129">
        <v>45931</v>
      </c>
      <c r="E668" s="129">
        <v>47757</v>
      </c>
      <c r="F668" s="124">
        <v>-17.053000000000001</v>
      </c>
      <c r="G668" s="125">
        <v>2.6036744364263244E-5</v>
      </c>
    </row>
    <row r="669" spans="1:7" ht="15" x14ac:dyDescent="0.25">
      <c r="A669">
        <v>13908</v>
      </c>
      <c r="B669">
        <v>15267</v>
      </c>
      <c r="C669" t="s">
        <v>2911</v>
      </c>
      <c r="D669" s="129">
        <v>45962</v>
      </c>
      <c r="E669" s="129">
        <v>47788</v>
      </c>
      <c r="F669" s="124">
        <v>-57.828000000000003</v>
      </c>
      <c r="G669" s="125">
        <v>8.8292549879588031E-5</v>
      </c>
    </row>
    <row r="670" spans="1:7" ht="15" x14ac:dyDescent="0.25">
      <c r="A670">
        <v>13908</v>
      </c>
      <c r="B670">
        <v>15267</v>
      </c>
      <c r="C670" t="s">
        <v>2911</v>
      </c>
      <c r="D670" s="129">
        <v>45992</v>
      </c>
      <c r="E670" s="129">
        <v>47818</v>
      </c>
      <c r="F670" s="124">
        <v>-4.5540000000000003</v>
      </c>
      <c r="G670" s="125">
        <v>6.9531070096085617E-6</v>
      </c>
    </row>
    <row r="671" spans="1:7" ht="15" x14ac:dyDescent="0.25">
      <c r="A671">
        <v>13908</v>
      </c>
      <c r="B671">
        <v>15267</v>
      </c>
      <c r="C671" t="s">
        <v>2911</v>
      </c>
      <c r="D671" s="129">
        <v>46023</v>
      </c>
      <c r="E671" s="129">
        <v>47849</v>
      </c>
      <c r="F671" s="124">
        <v>-37.948</v>
      </c>
      <c r="G671" s="125">
        <v>5.7939504787137832E-5</v>
      </c>
    </row>
    <row r="672" spans="1:7" ht="15" x14ac:dyDescent="0.25">
      <c r="A672">
        <v>13908</v>
      </c>
      <c r="B672">
        <v>15267</v>
      </c>
      <c r="C672" t="s">
        <v>2911</v>
      </c>
      <c r="D672" s="129">
        <v>46054</v>
      </c>
      <c r="E672" s="129">
        <v>47880</v>
      </c>
      <c r="F672" s="124">
        <v>-36.448999999999998</v>
      </c>
      <c r="G672" s="125">
        <v>5.5650811900136684E-5</v>
      </c>
    </row>
    <row r="673" spans="1:7" ht="15" x14ac:dyDescent="0.25">
      <c r="A673">
        <v>13908</v>
      </c>
      <c r="B673">
        <v>15267</v>
      </c>
      <c r="C673" t="s">
        <v>2911</v>
      </c>
      <c r="D673" s="129">
        <v>46082</v>
      </c>
      <c r="E673" s="129">
        <v>47908</v>
      </c>
      <c r="F673" s="124">
        <v>-2.069</v>
      </c>
      <c r="G673" s="125">
        <v>3.1589763730522868E-6</v>
      </c>
    </row>
    <row r="674" spans="1:7" ht="15" x14ac:dyDescent="0.25">
      <c r="A674">
        <v>13908</v>
      </c>
      <c r="B674">
        <v>15267</v>
      </c>
      <c r="C674" t="s">
        <v>2911</v>
      </c>
      <c r="D674" s="129">
        <v>46113</v>
      </c>
      <c r="E674" s="129">
        <v>47939</v>
      </c>
      <c r="F674" s="124">
        <v>0</v>
      </c>
      <c r="G674" s="125">
        <v>0</v>
      </c>
    </row>
    <row r="675" spans="1:7" ht="15" x14ac:dyDescent="0.25">
      <c r="A675">
        <v>13908</v>
      </c>
      <c r="B675">
        <v>15267</v>
      </c>
      <c r="C675" t="s">
        <v>2911</v>
      </c>
      <c r="D675" s="129">
        <v>46143</v>
      </c>
      <c r="E675" s="129">
        <v>47969</v>
      </c>
      <c r="F675" s="124">
        <v>9.0259999999999998</v>
      </c>
      <c r="G675" s="125">
        <v>-1.3781015342276432E-5</v>
      </c>
    </row>
    <row r="676" spans="1:7" ht="15" x14ac:dyDescent="0.25">
      <c r="A676">
        <v>13908</v>
      </c>
      <c r="B676">
        <v>15267</v>
      </c>
      <c r="C676" t="s">
        <v>2911</v>
      </c>
      <c r="D676" s="129">
        <v>46174</v>
      </c>
      <c r="E676" s="129">
        <v>48000</v>
      </c>
      <c r="F676" s="124">
        <v>6.1769999999999996</v>
      </c>
      <c r="G676" s="125">
        <v>-9.4311247251541685E-6</v>
      </c>
    </row>
  </sheetData>
  <sheetProtection formatColumns="0"/>
  <autoFilter ref="A1:G676" xr:uid="{00000000-0001-0000-0F00-000000000000}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"/>
  <sheetViews>
    <sheetView rightToLeft="1" zoomScale="70" zoomScaleNormal="70" workbookViewId="0">
      <selection activeCell="A2" sqref="A2"/>
    </sheetView>
  </sheetViews>
  <sheetFormatPr defaultColWidth="0" defaultRowHeight="14" x14ac:dyDescent="0.3"/>
  <cols>
    <col min="1" max="2" width="10.58203125" bestFit="1" customWidth="1"/>
    <col min="3" max="3" width="13.4140625" bestFit="1" customWidth="1"/>
    <col min="4" max="4" width="10.75" bestFit="1" customWidth="1"/>
    <col min="5" max="5" width="10.4140625" bestFit="1" customWidth="1"/>
    <col min="6" max="6" width="12.25" bestFit="1" customWidth="1"/>
    <col min="7" max="7" width="9.4140625" bestFit="1" customWidth="1"/>
    <col min="8" max="8" width="9.1640625" bestFit="1" customWidth="1"/>
    <col min="9" max="9" width="24.58203125" bestFit="1" customWidth="1"/>
    <col min="10" max="10" width="10" bestFit="1" customWidth="1"/>
    <col min="11" max="11" width="9.25" bestFit="1" customWidth="1"/>
    <col min="12" max="12" width="8.83203125" bestFit="1" customWidth="1"/>
    <col min="13" max="13" width="11" bestFit="1" customWidth="1"/>
    <col min="14" max="14" width="11.58203125" customWidth="1"/>
    <col min="15" max="15" width="5" bestFit="1" customWidth="1"/>
    <col min="16" max="16" width="13.4140625" bestFit="1" customWidth="1"/>
    <col min="17" max="17" width="11.58203125" customWidth="1"/>
    <col min="18" max="18" width="11.25" bestFit="1" customWidth="1"/>
    <col min="19" max="19" width="5.58203125" bestFit="1" customWidth="1"/>
    <col min="20" max="20" width="9.58203125" bestFit="1" customWidth="1"/>
    <col min="21" max="21" width="9" bestFit="1" customWidth="1"/>
    <col min="22" max="22" width="10.75" bestFit="1" customWidth="1"/>
    <col min="23" max="23" width="10.58203125" bestFit="1" customWidth="1"/>
    <col min="24" max="24" width="7.1640625" bestFit="1" customWidth="1"/>
    <col min="25" max="25" width="11.75" bestFit="1" customWidth="1"/>
    <col min="26" max="26" width="10.1640625" bestFit="1" customWidth="1"/>
    <col min="27" max="27" width="10" bestFit="1" customWidth="1"/>
    <col min="28" max="28" width="7.83203125" bestFit="1" customWidth="1"/>
    <col min="29" max="29" width="8.25" bestFit="1" customWidth="1"/>
    <col min="30" max="30" width="11" bestFit="1" customWidth="1"/>
    <col min="31" max="31" width="11.58203125" customWidth="1"/>
    <col min="32" max="32" width="12.75" bestFit="1" customWidth="1"/>
    <col min="33" max="33" width="9.83203125" bestFit="1" customWidth="1"/>
    <col min="34" max="34" width="8.4140625" bestFit="1" customWidth="1"/>
    <col min="35" max="36" width="10.83203125" bestFit="1" customWidth="1"/>
    <col min="37" max="37" width="8.1640625" bestFit="1" customWidth="1"/>
    <col min="38" max="38" width="10.1640625" bestFit="1" customWidth="1"/>
    <col min="39" max="39" width="11.1640625" bestFit="1" customWidth="1"/>
    <col min="40" max="40" width="10" bestFit="1" customWidth="1"/>
    <col min="41" max="16384" width="9" hidden="1"/>
  </cols>
  <sheetData>
    <row r="1" spans="1:40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8</v>
      </c>
      <c r="M1" s="13" t="s">
        <v>593</v>
      </c>
      <c r="N1" s="13" t="s">
        <v>11</v>
      </c>
      <c r="O1" s="13" t="s">
        <v>5</v>
      </c>
      <c r="P1" s="13" t="s">
        <v>7</v>
      </c>
      <c r="Q1" s="13" t="s">
        <v>1098</v>
      </c>
      <c r="R1" s="13" t="s">
        <v>387</v>
      </c>
      <c r="S1" s="13" t="s">
        <v>12</v>
      </c>
      <c r="T1" s="13" t="s">
        <v>275</v>
      </c>
      <c r="U1" s="13" t="s">
        <v>301</v>
      </c>
      <c r="V1" s="13" t="s">
        <v>412</v>
      </c>
      <c r="W1" s="13" t="s">
        <v>13</v>
      </c>
      <c r="X1" s="13" t="s">
        <v>608</v>
      </c>
      <c r="Y1" s="13" t="s">
        <v>884</v>
      </c>
      <c r="Z1" s="13" t="s">
        <v>654</v>
      </c>
      <c r="AA1" s="13" t="s">
        <v>876</v>
      </c>
      <c r="AB1" s="13" t="s">
        <v>363</v>
      </c>
      <c r="AC1" s="13" t="s">
        <v>710</v>
      </c>
      <c r="AD1" s="13" t="s">
        <v>15</v>
      </c>
      <c r="AE1" s="13" t="s">
        <v>1099</v>
      </c>
      <c r="AF1" s="13" t="s">
        <v>747</v>
      </c>
      <c r="AG1" s="13" t="s">
        <v>10</v>
      </c>
      <c r="AH1" s="13" t="s">
        <v>14</v>
      </c>
      <c r="AI1" s="13" t="s">
        <v>1105</v>
      </c>
      <c r="AJ1" s="13" t="s">
        <v>1106</v>
      </c>
      <c r="AK1" s="13" t="s">
        <v>760</v>
      </c>
      <c r="AL1" s="13" t="s">
        <v>25</v>
      </c>
      <c r="AM1" s="13" t="s">
        <v>18</v>
      </c>
      <c r="AN1" s="13" t="s">
        <v>29</v>
      </c>
    </row>
    <row r="2" spans="1:40" x14ac:dyDescent="0.3">
      <c r="A2">
        <v>13908</v>
      </c>
      <c r="B2">
        <v>13908</v>
      </c>
      <c r="C2" t="s">
        <v>1357</v>
      </c>
      <c r="D2">
        <v>520036104</v>
      </c>
      <c r="E2" t="s">
        <v>420</v>
      </c>
      <c r="F2" t="s">
        <v>2599</v>
      </c>
      <c r="G2">
        <v>11020132</v>
      </c>
      <c r="H2" t="s">
        <v>77</v>
      </c>
      <c r="I2" t="s">
        <v>224</v>
      </c>
      <c r="J2" t="s">
        <v>52</v>
      </c>
      <c r="K2" t="s">
        <v>52</v>
      </c>
      <c r="L2" t="s">
        <v>138</v>
      </c>
      <c r="M2" t="s">
        <v>61</v>
      </c>
      <c r="N2" s="127">
        <v>45657</v>
      </c>
      <c r="O2" t="s">
        <v>1389</v>
      </c>
      <c r="P2" t="s">
        <v>69</v>
      </c>
      <c r="Q2" t="s">
        <v>56</v>
      </c>
      <c r="R2" t="s">
        <v>1258</v>
      </c>
      <c r="S2" s="126">
        <v>0.16500000000000001</v>
      </c>
      <c r="T2" t="s">
        <v>276</v>
      </c>
      <c r="U2" t="s">
        <v>353</v>
      </c>
      <c r="V2" s="127">
        <v>46537</v>
      </c>
      <c r="W2" s="125">
        <v>7.0999999999999994E-2</v>
      </c>
      <c r="X2" s="125">
        <v>7.0999999999999994E-2</v>
      </c>
      <c r="Y2" t="s">
        <v>607</v>
      </c>
      <c r="AA2" t="s">
        <v>749</v>
      </c>
      <c r="AB2" t="s">
        <v>297</v>
      </c>
      <c r="AD2" s="127">
        <v>46203</v>
      </c>
      <c r="AE2" s="127">
        <v>46203</v>
      </c>
      <c r="AF2" s="124">
        <v>4740000</v>
      </c>
      <c r="AG2" s="124">
        <v>1</v>
      </c>
      <c r="AH2" s="124">
        <v>100.82</v>
      </c>
      <c r="AI2" s="124">
        <v>4778.8680000000004</v>
      </c>
      <c r="AJ2" s="124"/>
      <c r="AK2" s="124"/>
      <c r="AL2" t="s">
        <v>16</v>
      </c>
      <c r="AM2" s="125">
        <v>1</v>
      </c>
      <c r="AN2" s="125">
        <f>AI2/'סכום נכסים'!$B$30</f>
        <v>8.6038410027022914E-4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7"/>
  <sheetViews>
    <sheetView rightToLeft="1" topLeftCell="L1" zoomScale="55" zoomScaleNormal="55" workbookViewId="0">
      <selection activeCell="AL4" sqref="AL4"/>
    </sheetView>
  </sheetViews>
  <sheetFormatPr defaultColWidth="0" defaultRowHeight="14" x14ac:dyDescent="0.3"/>
  <cols>
    <col min="1" max="2" width="10.58203125" bestFit="1" customWidth="1"/>
    <col min="3" max="3" width="38.83203125" bestFit="1" customWidth="1"/>
    <col min="4" max="4" width="10.75" bestFit="1" customWidth="1"/>
    <col min="5" max="5" width="22.75" bestFit="1" customWidth="1"/>
    <col min="6" max="6" width="16" bestFit="1" customWidth="1"/>
    <col min="7" max="7" width="12.4140625" bestFit="1" customWidth="1"/>
    <col min="8" max="8" width="9.1640625" bestFit="1" customWidth="1"/>
    <col min="9" max="9" width="32.83203125" bestFit="1" customWidth="1"/>
    <col min="10" max="10" width="10" bestFit="1" customWidth="1"/>
    <col min="11" max="11" width="9.25" bestFit="1" customWidth="1"/>
    <col min="12" max="12" width="7.83203125" bestFit="1" customWidth="1"/>
    <col min="13" max="13" width="15.4140625" bestFit="1" customWidth="1"/>
    <col min="14" max="14" width="11" bestFit="1" customWidth="1"/>
    <col min="15" max="15" width="11.58203125" customWidth="1"/>
    <col min="16" max="16" width="6.58203125" bestFit="1" customWidth="1"/>
    <col min="17" max="17" width="13.4140625" bestFit="1" customWidth="1"/>
    <col min="18" max="18" width="11.58203125" customWidth="1"/>
    <col min="19" max="19" width="11.25" bestFit="1" customWidth="1"/>
    <col min="20" max="20" width="6.58203125" bestFit="1" customWidth="1"/>
    <col min="21" max="21" width="10.75" bestFit="1" customWidth="1"/>
    <col min="22" max="22" width="7.1640625" bestFit="1" customWidth="1"/>
    <col min="23" max="23" width="10.58203125" bestFit="1" customWidth="1"/>
    <col min="24" max="24" width="11.75" bestFit="1" customWidth="1"/>
    <col min="25" max="25" width="10.1640625" bestFit="1" customWidth="1"/>
    <col min="26" max="26" width="10" bestFit="1" customWidth="1"/>
    <col min="27" max="27" width="7.83203125" bestFit="1" customWidth="1"/>
    <col min="28" max="28" width="11" bestFit="1" customWidth="1"/>
    <col min="29" max="29" width="11.58203125" customWidth="1"/>
    <col min="30" max="30" width="13.83203125" bestFit="1" customWidth="1"/>
    <col min="31" max="31" width="9.83203125" bestFit="1" customWidth="1"/>
    <col min="32" max="32" width="8.4140625" bestFit="1" customWidth="1"/>
    <col min="33" max="34" width="10.83203125" bestFit="1" customWidth="1"/>
    <col min="35" max="35" width="8.1640625" bestFit="1" customWidth="1"/>
    <col min="36" max="36" width="10.1640625" bestFit="1" customWidth="1"/>
    <col min="37" max="37" width="11.1640625" bestFit="1" customWidth="1"/>
    <col min="38" max="38" width="10" bestFit="1" customWidth="1"/>
    <col min="39" max="16384" width="9" hidden="1"/>
  </cols>
  <sheetData>
    <row r="1" spans="1:38" s="2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596</v>
      </c>
      <c r="M1" s="13" t="s">
        <v>8</v>
      </c>
      <c r="N1" s="13" t="s">
        <v>593</v>
      </c>
      <c r="O1" s="13" t="s">
        <v>11</v>
      </c>
      <c r="P1" s="13" t="s">
        <v>5</v>
      </c>
      <c r="Q1" s="13" t="s">
        <v>7</v>
      </c>
      <c r="R1" s="13" t="s">
        <v>1098</v>
      </c>
      <c r="S1" s="13" t="s">
        <v>387</v>
      </c>
      <c r="T1" s="13" t="s">
        <v>12</v>
      </c>
      <c r="U1" s="13" t="s">
        <v>412</v>
      </c>
      <c r="V1" s="13" t="s">
        <v>608</v>
      </c>
      <c r="W1" s="13" t="s">
        <v>13</v>
      </c>
      <c r="X1" s="13" t="s">
        <v>884</v>
      </c>
      <c r="Y1" s="13" t="s">
        <v>654</v>
      </c>
      <c r="Z1" s="13" t="s">
        <v>876</v>
      </c>
      <c r="AA1" s="13" t="s">
        <v>363</v>
      </c>
      <c r="AB1" s="13" t="s">
        <v>15</v>
      </c>
      <c r="AC1" s="13" t="s">
        <v>1099</v>
      </c>
      <c r="AD1" s="13" t="s">
        <v>747</v>
      </c>
      <c r="AE1" s="13" t="s">
        <v>10</v>
      </c>
      <c r="AF1" s="13" t="s">
        <v>14</v>
      </c>
      <c r="AG1" s="13" t="s">
        <v>1105</v>
      </c>
      <c r="AH1" s="13" t="s">
        <v>1106</v>
      </c>
      <c r="AI1" s="13" t="s">
        <v>760</v>
      </c>
      <c r="AJ1" s="13" t="s">
        <v>25</v>
      </c>
      <c r="AK1" s="13" t="s">
        <v>18</v>
      </c>
      <c r="AL1" s="13" t="s">
        <v>29</v>
      </c>
    </row>
    <row r="2" spans="1:38" x14ac:dyDescent="0.3">
      <c r="A2">
        <v>13908</v>
      </c>
      <c r="B2">
        <v>13908</v>
      </c>
      <c r="C2" t="s">
        <v>1426</v>
      </c>
      <c r="D2">
        <v>520010869</v>
      </c>
      <c r="E2" t="s">
        <v>420</v>
      </c>
      <c r="F2" t="s">
        <v>2600</v>
      </c>
      <c r="G2" t="s">
        <v>2601</v>
      </c>
      <c r="H2" t="s">
        <v>75</v>
      </c>
      <c r="I2" t="s">
        <v>225</v>
      </c>
      <c r="J2" t="s">
        <v>52</v>
      </c>
      <c r="K2" t="s">
        <v>52</v>
      </c>
      <c r="L2" t="s">
        <v>911</v>
      </c>
      <c r="M2" t="s">
        <v>1211</v>
      </c>
      <c r="N2" t="s">
        <v>61</v>
      </c>
      <c r="O2" s="127">
        <v>45753</v>
      </c>
      <c r="P2" t="s">
        <v>1257</v>
      </c>
      <c r="Q2" t="s">
        <v>64</v>
      </c>
      <c r="R2" t="s">
        <v>56</v>
      </c>
      <c r="S2" t="s">
        <v>1258</v>
      </c>
      <c r="T2" s="126">
        <v>4.8899999999999997</v>
      </c>
      <c r="U2" s="127">
        <v>50034</v>
      </c>
      <c r="V2" s="125">
        <v>2.5600000000000001E-2</v>
      </c>
      <c r="W2" s="125">
        <v>4.9000000000000002E-2</v>
      </c>
      <c r="X2" t="s">
        <v>607</v>
      </c>
      <c r="Z2" t="s">
        <v>749</v>
      </c>
      <c r="AA2" t="s">
        <v>297</v>
      </c>
      <c r="AB2" s="127">
        <v>46203</v>
      </c>
      <c r="AC2" s="127">
        <v>46203</v>
      </c>
      <c r="AD2" s="124">
        <v>3735417.21</v>
      </c>
      <c r="AE2" s="124">
        <v>1</v>
      </c>
      <c r="AF2" s="124">
        <v>166.62</v>
      </c>
      <c r="AG2" s="124">
        <v>6223.9521599999998</v>
      </c>
      <c r="AH2" s="124"/>
      <c r="AI2" s="124"/>
      <c r="AJ2" t="s">
        <v>16</v>
      </c>
      <c r="AK2" s="125">
        <v>5.0240755762000003E-2</v>
      </c>
      <c r="AL2" s="125">
        <f>AG2/'סכום נכסים'!$B$30</f>
        <v>1.1205560562264011E-3</v>
      </c>
    </row>
    <row r="3" spans="1:38" x14ac:dyDescent="0.3">
      <c r="A3">
        <v>13908</v>
      </c>
      <c r="B3">
        <v>13908</v>
      </c>
      <c r="C3" t="s">
        <v>1426</v>
      </c>
      <c r="D3">
        <v>520010869</v>
      </c>
      <c r="E3" t="s">
        <v>420</v>
      </c>
      <c r="F3" t="s">
        <v>2602</v>
      </c>
      <c r="G3" t="s">
        <v>2603</v>
      </c>
      <c r="H3" t="s">
        <v>75</v>
      </c>
      <c r="I3" t="s">
        <v>225</v>
      </c>
      <c r="J3" t="s">
        <v>52</v>
      </c>
      <c r="K3" t="s">
        <v>52</v>
      </c>
      <c r="L3" t="s">
        <v>911</v>
      </c>
      <c r="M3" t="s">
        <v>1211</v>
      </c>
      <c r="N3" t="s">
        <v>61</v>
      </c>
      <c r="O3" s="127">
        <v>45657</v>
      </c>
      <c r="P3" t="s">
        <v>1257</v>
      </c>
      <c r="Q3" t="s">
        <v>64</v>
      </c>
      <c r="R3" t="s">
        <v>56</v>
      </c>
      <c r="S3" t="s">
        <v>1258</v>
      </c>
      <c r="T3" s="126">
        <v>8.75</v>
      </c>
      <c r="U3" s="127">
        <v>54253</v>
      </c>
      <c r="V3" s="125">
        <v>2.8199999999999999E-2</v>
      </c>
      <c r="W3" s="125">
        <v>4.1000000000000002E-2</v>
      </c>
      <c r="X3" t="s">
        <v>607</v>
      </c>
      <c r="Z3" t="s">
        <v>749</v>
      </c>
      <c r="AA3" t="s">
        <v>297</v>
      </c>
      <c r="AB3" s="127">
        <v>46203</v>
      </c>
      <c r="AC3" s="127">
        <v>46203</v>
      </c>
      <c r="AD3" s="124">
        <v>353846.21</v>
      </c>
      <c r="AE3" s="124">
        <v>1</v>
      </c>
      <c r="AF3" s="124">
        <v>144.82</v>
      </c>
      <c r="AG3" s="124">
        <v>512.44007999999997</v>
      </c>
      <c r="AH3" s="124"/>
      <c r="AI3" s="124"/>
      <c r="AJ3" t="s">
        <v>16</v>
      </c>
      <c r="AK3" s="125">
        <v>4.1364998049999999E-3</v>
      </c>
      <c r="AL3" s="125">
        <f>AG3/'סכום נכסים'!$B$30</f>
        <v>9.2259358737927939E-5</v>
      </c>
    </row>
    <row r="4" spans="1:38" x14ac:dyDescent="0.3">
      <c r="A4">
        <v>13908</v>
      </c>
      <c r="B4">
        <v>13908</v>
      </c>
      <c r="C4" t="s">
        <v>2604</v>
      </c>
      <c r="D4">
        <v>510687403</v>
      </c>
      <c r="E4" t="s">
        <v>420</v>
      </c>
      <c r="F4" t="s">
        <v>2605</v>
      </c>
      <c r="G4" t="s">
        <v>2606</v>
      </c>
      <c r="H4" t="s">
        <v>75</v>
      </c>
      <c r="I4" t="s">
        <v>224</v>
      </c>
      <c r="J4" t="s">
        <v>52</v>
      </c>
      <c r="K4" t="s">
        <v>52</v>
      </c>
      <c r="L4" t="s">
        <v>911</v>
      </c>
      <c r="M4" t="s">
        <v>620</v>
      </c>
      <c r="N4" t="s">
        <v>61</v>
      </c>
      <c r="O4" s="127">
        <v>45657</v>
      </c>
      <c r="P4" t="s">
        <v>1515</v>
      </c>
      <c r="Q4" t="s">
        <v>69</v>
      </c>
      <c r="R4" t="s">
        <v>56</v>
      </c>
      <c r="S4" t="s">
        <v>1258</v>
      </c>
      <c r="T4" s="126">
        <v>0.99</v>
      </c>
      <c r="U4" s="127">
        <v>46568</v>
      </c>
      <c r="V4" s="125">
        <v>4.6399999999999997E-2</v>
      </c>
      <c r="W4" s="125">
        <v>3.1E-2</v>
      </c>
      <c r="X4" t="s">
        <v>607</v>
      </c>
      <c r="Z4" t="s">
        <v>749</v>
      </c>
      <c r="AA4" t="s">
        <v>297</v>
      </c>
      <c r="AB4" s="127">
        <v>46203</v>
      </c>
      <c r="AC4" s="127">
        <v>46203</v>
      </c>
      <c r="AD4" s="124">
        <v>923076.97</v>
      </c>
      <c r="AE4" s="124">
        <v>1</v>
      </c>
      <c r="AF4" s="124">
        <v>99.43</v>
      </c>
      <c r="AG4" s="124">
        <v>917.81542999999999</v>
      </c>
      <c r="AH4" s="124"/>
      <c r="AI4" s="124"/>
      <c r="AJ4" t="s">
        <v>16</v>
      </c>
      <c r="AK4" s="125">
        <v>7.4087556689999999E-3</v>
      </c>
      <c r="AL4" s="125">
        <f>AG4/'סכום נכסים'!$B$30</f>
        <v>1.652428572947994E-4</v>
      </c>
    </row>
    <row r="5" spans="1:38" x14ac:dyDescent="0.3">
      <c r="A5">
        <v>13908</v>
      </c>
      <c r="B5">
        <v>13908</v>
      </c>
      <c r="C5" t="s">
        <v>2607</v>
      </c>
      <c r="D5">
        <v>520042185</v>
      </c>
      <c r="E5" t="s">
        <v>420</v>
      </c>
      <c r="F5" t="s">
        <v>2608</v>
      </c>
      <c r="G5" t="s">
        <v>2609</v>
      </c>
      <c r="H5" t="s">
        <v>75</v>
      </c>
      <c r="I5" t="s">
        <v>224</v>
      </c>
      <c r="J5" t="s">
        <v>52</v>
      </c>
      <c r="K5" t="s">
        <v>52</v>
      </c>
      <c r="L5" t="s">
        <v>911</v>
      </c>
      <c r="M5" t="s">
        <v>623</v>
      </c>
      <c r="N5" t="s">
        <v>61</v>
      </c>
      <c r="O5" s="127">
        <v>45657</v>
      </c>
      <c r="P5" t="s">
        <v>1755</v>
      </c>
      <c r="Q5" t="s">
        <v>69</v>
      </c>
      <c r="R5" t="s">
        <v>56</v>
      </c>
      <c r="S5" t="s">
        <v>1258</v>
      </c>
      <c r="T5" s="126">
        <v>3.8</v>
      </c>
      <c r="U5" s="127">
        <v>49202</v>
      </c>
      <c r="V5" s="125">
        <v>5.0099999999999999E-2</v>
      </c>
      <c r="W5" s="125">
        <v>3.7400000000000003E-2</v>
      </c>
      <c r="X5" t="s">
        <v>607</v>
      </c>
      <c r="Z5" t="s">
        <v>749</v>
      </c>
      <c r="AA5" t="s">
        <v>297</v>
      </c>
      <c r="AB5" s="127">
        <v>46203</v>
      </c>
      <c r="AC5" s="127">
        <v>46203</v>
      </c>
      <c r="AD5" s="124">
        <v>1595937.8</v>
      </c>
      <c r="AE5" s="124">
        <v>1</v>
      </c>
      <c r="AF5" s="124">
        <v>101.13</v>
      </c>
      <c r="AG5" s="124">
        <v>1613.9719</v>
      </c>
      <c r="AH5" s="124"/>
      <c r="AI5" s="124"/>
      <c r="AJ5" t="s">
        <v>16</v>
      </c>
      <c r="AK5" s="125">
        <v>1.3028244103999999E-2</v>
      </c>
      <c r="AL5" s="125">
        <f>AG5/'סכום נכסים'!$B$30</f>
        <v>2.905783882381627E-4</v>
      </c>
    </row>
    <row r="6" spans="1:38" x14ac:dyDescent="0.3">
      <c r="A6">
        <v>13908</v>
      </c>
      <c r="B6">
        <v>13908</v>
      </c>
      <c r="C6" t="s">
        <v>2320</v>
      </c>
      <c r="D6">
        <v>880326081</v>
      </c>
      <c r="E6" t="s">
        <v>743</v>
      </c>
      <c r="F6" t="s">
        <v>2610</v>
      </c>
      <c r="G6" t="s">
        <v>2611</v>
      </c>
      <c r="H6" t="s">
        <v>75</v>
      </c>
      <c r="I6" t="s">
        <v>224</v>
      </c>
      <c r="J6" t="s">
        <v>52</v>
      </c>
      <c r="K6" t="s">
        <v>306</v>
      </c>
      <c r="L6" t="s">
        <v>911</v>
      </c>
      <c r="M6" t="s">
        <v>616</v>
      </c>
      <c r="N6" t="s">
        <v>61</v>
      </c>
      <c r="O6" s="127">
        <v>45657</v>
      </c>
      <c r="P6" t="s">
        <v>1349</v>
      </c>
      <c r="Q6" t="s">
        <v>64</v>
      </c>
      <c r="R6" t="s">
        <v>56</v>
      </c>
      <c r="S6" t="s">
        <v>1258</v>
      </c>
      <c r="T6" s="126">
        <v>2.79</v>
      </c>
      <c r="U6" s="127">
        <v>48014</v>
      </c>
      <c r="V6" s="125">
        <v>5.9400000000000001E-2</v>
      </c>
      <c r="W6" s="125">
        <v>3.3500000000000002E-2</v>
      </c>
      <c r="X6" t="s">
        <v>607</v>
      </c>
      <c r="Z6" t="s">
        <v>749</v>
      </c>
      <c r="AA6" t="s">
        <v>297</v>
      </c>
      <c r="AB6" s="127">
        <v>46203</v>
      </c>
      <c r="AC6" s="127">
        <v>46203</v>
      </c>
      <c r="AD6" s="124">
        <v>83333.33</v>
      </c>
      <c r="AE6" s="124">
        <v>1</v>
      </c>
      <c r="AF6" s="124">
        <v>97.65</v>
      </c>
      <c r="AG6" s="124">
        <v>81.375</v>
      </c>
      <c r="AH6" s="124"/>
      <c r="AI6" s="124"/>
      <c r="AJ6" t="s">
        <v>16</v>
      </c>
      <c r="AK6" s="125">
        <v>6.5687225600000003E-4</v>
      </c>
      <c r="AL6" s="125">
        <f>AG6/'סכום נכסים'!$B$30</f>
        <v>1.4650698901808941E-5</v>
      </c>
    </row>
    <row r="7" spans="1:38" x14ac:dyDescent="0.3">
      <c r="A7">
        <v>13908</v>
      </c>
      <c r="B7">
        <v>13908</v>
      </c>
      <c r="C7" t="s">
        <v>2612</v>
      </c>
      <c r="D7">
        <v>500102868</v>
      </c>
      <c r="E7" t="s">
        <v>420</v>
      </c>
      <c r="F7" t="s">
        <v>2613</v>
      </c>
      <c r="G7" t="s">
        <v>2614</v>
      </c>
      <c r="H7" t="s">
        <v>75</v>
      </c>
      <c r="I7" t="s">
        <v>225</v>
      </c>
      <c r="J7" t="s">
        <v>52</v>
      </c>
      <c r="K7" t="s">
        <v>52</v>
      </c>
      <c r="L7" t="s">
        <v>911</v>
      </c>
      <c r="M7" t="s">
        <v>1211</v>
      </c>
      <c r="N7" t="s">
        <v>61</v>
      </c>
      <c r="O7" s="127">
        <v>45657</v>
      </c>
      <c r="P7" t="s">
        <v>1755</v>
      </c>
      <c r="Q7" t="s">
        <v>69</v>
      </c>
      <c r="R7" t="s">
        <v>56</v>
      </c>
      <c r="S7" t="s">
        <v>1258</v>
      </c>
      <c r="T7" s="126">
        <v>2.98</v>
      </c>
      <c r="U7" s="127">
        <v>48213</v>
      </c>
      <c r="V7" s="125">
        <v>2.58E-2</v>
      </c>
      <c r="W7" s="125">
        <v>1.55E-2</v>
      </c>
      <c r="X7" t="s">
        <v>607</v>
      </c>
      <c r="Z7" t="s">
        <v>749</v>
      </c>
      <c r="AA7" t="s">
        <v>297</v>
      </c>
      <c r="AB7" s="127">
        <v>46203</v>
      </c>
      <c r="AC7" s="127">
        <v>46203</v>
      </c>
      <c r="AD7" s="124">
        <v>349762.4</v>
      </c>
      <c r="AE7" s="124">
        <v>1</v>
      </c>
      <c r="AF7" s="124">
        <v>110.35</v>
      </c>
      <c r="AG7" s="124">
        <v>385.96280999999999</v>
      </c>
      <c r="AH7" s="124"/>
      <c r="AI7" s="124"/>
      <c r="AJ7" t="s">
        <v>16</v>
      </c>
      <c r="AK7" s="125">
        <v>3.1155546779999999E-3</v>
      </c>
      <c r="AL7" s="125">
        <f>AG7/'סכום נכסים'!$B$30</f>
        <v>6.9488478237862895E-5</v>
      </c>
    </row>
    <row r="8" spans="1:38" x14ac:dyDescent="0.3">
      <c r="A8">
        <v>13908</v>
      </c>
      <c r="B8">
        <v>13908</v>
      </c>
      <c r="C8" t="s">
        <v>2612</v>
      </c>
      <c r="D8">
        <v>500102868</v>
      </c>
      <c r="E8" t="s">
        <v>420</v>
      </c>
      <c r="F8" t="s">
        <v>2615</v>
      </c>
      <c r="G8" t="s">
        <v>2616</v>
      </c>
      <c r="H8" t="s">
        <v>75</v>
      </c>
      <c r="I8" t="s">
        <v>225</v>
      </c>
      <c r="J8" t="s">
        <v>52</v>
      </c>
      <c r="K8" t="s">
        <v>52</v>
      </c>
      <c r="L8" t="s">
        <v>911</v>
      </c>
      <c r="M8" t="s">
        <v>1211</v>
      </c>
      <c r="N8" t="s">
        <v>61</v>
      </c>
      <c r="O8" s="127">
        <v>45657</v>
      </c>
      <c r="P8" t="s">
        <v>1755</v>
      </c>
      <c r="Q8" t="s">
        <v>69</v>
      </c>
      <c r="R8" t="s">
        <v>56</v>
      </c>
      <c r="S8" t="s">
        <v>1258</v>
      </c>
      <c r="T8" s="126">
        <v>5.94</v>
      </c>
      <c r="U8" s="127">
        <v>50040</v>
      </c>
      <c r="V8" s="125">
        <v>2.47E-2</v>
      </c>
      <c r="W8" s="125">
        <v>1.7500000000000002E-2</v>
      </c>
      <c r="X8" t="s">
        <v>607</v>
      </c>
      <c r="Z8" t="s">
        <v>749</v>
      </c>
      <c r="AA8" t="s">
        <v>297</v>
      </c>
      <c r="AB8" s="127">
        <v>46203</v>
      </c>
      <c r="AC8" s="127">
        <v>46203</v>
      </c>
      <c r="AD8" s="124">
        <v>2793368.29</v>
      </c>
      <c r="AE8" s="124">
        <v>1</v>
      </c>
      <c r="AF8" s="124">
        <v>108.39</v>
      </c>
      <c r="AG8" s="124">
        <v>3027.73189</v>
      </c>
      <c r="AH8" s="124"/>
      <c r="AI8" s="124"/>
      <c r="AJ8" t="s">
        <v>16</v>
      </c>
      <c r="AK8" s="125">
        <v>2.4440345055E-2</v>
      </c>
      <c r="AL8" s="125">
        <f>AG8/'סכום נכסים'!$B$30</f>
        <v>5.4511076222175004E-4</v>
      </c>
    </row>
    <row r="9" spans="1:38" x14ac:dyDescent="0.3">
      <c r="A9">
        <v>13908</v>
      </c>
      <c r="B9">
        <v>13908</v>
      </c>
      <c r="C9" t="s">
        <v>563</v>
      </c>
      <c r="D9">
        <v>520030677</v>
      </c>
      <c r="E9" t="s">
        <v>420</v>
      </c>
      <c r="F9" t="s">
        <v>2617</v>
      </c>
      <c r="G9" t="s">
        <v>2618</v>
      </c>
      <c r="H9" t="s">
        <v>75</v>
      </c>
      <c r="I9" t="s">
        <v>224</v>
      </c>
      <c r="J9" t="s">
        <v>52</v>
      </c>
      <c r="K9" t="s">
        <v>52</v>
      </c>
      <c r="L9" t="s">
        <v>911</v>
      </c>
      <c r="M9" t="s">
        <v>262</v>
      </c>
      <c r="N9" t="s">
        <v>61</v>
      </c>
      <c r="O9" s="127">
        <v>45657</v>
      </c>
      <c r="P9" t="s">
        <v>1496</v>
      </c>
      <c r="Q9" t="s">
        <v>69</v>
      </c>
      <c r="R9" t="s">
        <v>56</v>
      </c>
      <c r="S9" t="s">
        <v>1258</v>
      </c>
      <c r="T9" s="126">
        <v>1.45</v>
      </c>
      <c r="U9" s="127">
        <v>47848</v>
      </c>
      <c r="V9" s="125">
        <v>7.2599999999999998E-2</v>
      </c>
      <c r="W9" s="125">
        <v>7.7499999999999999E-2</v>
      </c>
      <c r="X9" t="s">
        <v>607</v>
      </c>
      <c r="Z9" t="s">
        <v>749</v>
      </c>
      <c r="AA9" t="s">
        <v>297</v>
      </c>
      <c r="AB9" s="127">
        <v>46203</v>
      </c>
      <c r="AC9" s="127">
        <v>46203</v>
      </c>
      <c r="AD9" s="124">
        <v>105000</v>
      </c>
      <c r="AE9" s="124">
        <v>1</v>
      </c>
      <c r="AF9" s="124">
        <v>103.97</v>
      </c>
      <c r="AG9" s="124">
        <v>109.16849999999999</v>
      </c>
      <c r="AH9" s="124"/>
      <c r="AI9" s="124"/>
      <c r="AJ9" t="s">
        <v>16</v>
      </c>
      <c r="AK9" s="125">
        <v>8.8122591600000005E-4</v>
      </c>
      <c r="AL9" s="125">
        <f>AG9/'סכום נכסים'!$B$30</f>
        <v>1.9654621481562267E-5</v>
      </c>
    </row>
    <row r="10" spans="1:38" x14ac:dyDescent="0.3">
      <c r="A10">
        <v>13908</v>
      </c>
      <c r="B10">
        <v>13908</v>
      </c>
      <c r="C10" t="s">
        <v>2619</v>
      </c>
      <c r="D10">
        <v>512905423</v>
      </c>
      <c r="E10" t="s">
        <v>420</v>
      </c>
      <c r="F10" t="s">
        <v>2620</v>
      </c>
      <c r="G10" t="s">
        <v>2621</v>
      </c>
      <c r="H10" t="s">
        <v>75</v>
      </c>
      <c r="I10" t="s">
        <v>224</v>
      </c>
      <c r="J10" t="s">
        <v>52</v>
      </c>
      <c r="K10" t="s">
        <v>52</v>
      </c>
      <c r="L10" t="s">
        <v>911</v>
      </c>
      <c r="M10" t="s">
        <v>1212</v>
      </c>
      <c r="N10" t="s">
        <v>61</v>
      </c>
      <c r="O10" s="127">
        <v>45657</v>
      </c>
      <c r="P10" t="s">
        <v>1389</v>
      </c>
      <c r="Q10" t="s">
        <v>69</v>
      </c>
      <c r="R10" t="s">
        <v>56</v>
      </c>
      <c r="S10" t="s">
        <v>1258</v>
      </c>
      <c r="T10" s="126">
        <v>2.06</v>
      </c>
      <c r="U10" s="127">
        <v>47073</v>
      </c>
      <c r="V10" s="125">
        <v>6.6699999999999995E-2</v>
      </c>
      <c r="W10" s="125">
        <v>7.3300000000000004E-2</v>
      </c>
      <c r="X10" t="s">
        <v>607</v>
      </c>
      <c r="Z10" t="s">
        <v>749</v>
      </c>
      <c r="AA10" t="s">
        <v>297</v>
      </c>
      <c r="AB10" s="127">
        <v>46203</v>
      </c>
      <c r="AC10" s="127">
        <v>46203</v>
      </c>
      <c r="AD10" s="124">
        <v>300000</v>
      </c>
      <c r="AE10" s="124">
        <v>1</v>
      </c>
      <c r="AF10" s="124">
        <v>112.57</v>
      </c>
      <c r="AG10" s="124">
        <v>337.71</v>
      </c>
      <c r="AH10" s="124"/>
      <c r="AI10" s="124"/>
      <c r="AJ10" t="s">
        <v>16</v>
      </c>
      <c r="AK10" s="125">
        <v>2.7260501350000002E-3</v>
      </c>
      <c r="AL10" s="125">
        <f>AG10/'סכום נכסים'!$B$30</f>
        <v>6.0801075589921932E-5</v>
      </c>
    </row>
    <row r="11" spans="1:38" x14ac:dyDescent="0.3">
      <c r="A11">
        <v>13908</v>
      </c>
      <c r="B11">
        <v>13908</v>
      </c>
      <c r="C11" t="s">
        <v>1667</v>
      </c>
      <c r="D11">
        <v>520018078</v>
      </c>
      <c r="E11" t="s">
        <v>420</v>
      </c>
      <c r="F11" t="s">
        <v>2622</v>
      </c>
      <c r="G11" t="s">
        <v>2623</v>
      </c>
      <c r="H11" t="s">
        <v>75</v>
      </c>
      <c r="I11" t="s">
        <v>224</v>
      </c>
      <c r="J11" t="s">
        <v>52</v>
      </c>
      <c r="K11" t="s">
        <v>52</v>
      </c>
      <c r="L11" t="s">
        <v>911</v>
      </c>
      <c r="M11" t="s">
        <v>251</v>
      </c>
      <c r="N11" t="s">
        <v>61</v>
      </c>
      <c r="O11" s="127">
        <v>45657</v>
      </c>
      <c r="P11" t="s">
        <v>1472</v>
      </c>
      <c r="Q11" t="s">
        <v>64</v>
      </c>
      <c r="R11" t="s">
        <v>56</v>
      </c>
      <c r="S11" t="s">
        <v>1258</v>
      </c>
      <c r="T11" s="126">
        <v>0.48</v>
      </c>
      <c r="U11" s="127">
        <v>46380</v>
      </c>
      <c r="V11" s="125">
        <v>6.3899999999999998E-2</v>
      </c>
      <c r="W11" s="125">
        <v>6.8000000000000005E-2</v>
      </c>
      <c r="X11" t="s">
        <v>607</v>
      </c>
      <c r="Z11" t="s">
        <v>749</v>
      </c>
      <c r="AA11" t="s">
        <v>297</v>
      </c>
      <c r="AB11" s="127">
        <v>46203</v>
      </c>
      <c r="AC11" s="127">
        <v>46203</v>
      </c>
      <c r="AD11" s="124">
        <v>39847.74</v>
      </c>
      <c r="AE11" s="124">
        <v>1</v>
      </c>
      <c r="AF11" s="124">
        <v>100.3</v>
      </c>
      <c r="AG11" s="124">
        <v>39.967280000000002</v>
      </c>
      <c r="AH11" s="124"/>
      <c r="AI11" s="124"/>
      <c r="AJ11" t="s">
        <v>16</v>
      </c>
      <c r="AK11" s="125">
        <v>3.22622395E-4</v>
      </c>
      <c r="AL11" s="125">
        <f>AG11/'סכום נכסים'!$B$30</f>
        <v>7.1956815386087932E-6</v>
      </c>
    </row>
    <row r="12" spans="1:38" x14ac:dyDescent="0.3">
      <c r="A12">
        <v>13908</v>
      </c>
      <c r="B12">
        <v>13908</v>
      </c>
      <c r="C12" t="s">
        <v>2624</v>
      </c>
      <c r="D12">
        <v>516041118</v>
      </c>
      <c r="E12" t="s">
        <v>420</v>
      </c>
      <c r="F12" t="s">
        <v>2625</v>
      </c>
      <c r="G12" t="s">
        <v>2626</v>
      </c>
      <c r="H12" t="s">
        <v>75</v>
      </c>
      <c r="I12" t="s">
        <v>225</v>
      </c>
      <c r="J12" t="s">
        <v>52</v>
      </c>
      <c r="K12" t="s">
        <v>52</v>
      </c>
      <c r="L12" t="s">
        <v>911</v>
      </c>
      <c r="M12" t="s">
        <v>1211</v>
      </c>
      <c r="N12" t="s">
        <v>61</v>
      </c>
      <c r="O12" s="127">
        <v>45657</v>
      </c>
      <c r="P12" t="s">
        <v>1349</v>
      </c>
      <c r="Q12" t="s">
        <v>64</v>
      </c>
      <c r="R12" t="s">
        <v>56</v>
      </c>
      <c r="S12" t="s">
        <v>1258</v>
      </c>
      <c r="T12" s="126">
        <v>2.08</v>
      </c>
      <c r="U12" s="127">
        <v>47483</v>
      </c>
      <c r="V12" s="125">
        <v>2.86E-2</v>
      </c>
      <c r="W12" s="125">
        <v>3.6400000000000002E-2</v>
      </c>
      <c r="X12" t="s">
        <v>607</v>
      </c>
      <c r="Z12" t="s">
        <v>749</v>
      </c>
      <c r="AA12" t="s">
        <v>297</v>
      </c>
      <c r="AB12" s="127">
        <v>46203</v>
      </c>
      <c r="AC12" s="127">
        <v>46203</v>
      </c>
      <c r="AD12" s="124">
        <v>1049999.98</v>
      </c>
      <c r="AE12" s="124">
        <v>1</v>
      </c>
      <c r="AF12" s="124">
        <v>109.78</v>
      </c>
      <c r="AG12" s="124">
        <v>1152.6899800000001</v>
      </c>
      <c r="AH12" s="124"/>
      <c r="AI12" s="124"/>
      <c r="AJ12" t="s">
        <v>16</v>
      </c>
      <c r="AK12" s="125">
        <v>9.3047013000000008E-3</v>
      </c>
      <c r="AL12" s="125">
        <f>AG12/'סכום נכסים'!$B$30</f>
        <v>2.0752950935928936E-4</v>
      </c>
    </row>
    <row r="13" spans="1:38" x14ac:dyDescent="0.3">
      <c r="A13">
        <v>13908</v>
      </c>
      <c r="B13">
        <v>13908</v>
      </c>
      <c r="C13" t="s">
        <v>1667</v>
      </c>
      <c r="D13">
        <v>520018078</v>
      </c>
      <c r="E13" t="s">
        <v>420</v>
      </c>
      <c r="F13" t="s">
        <v>2627</v>
      </c>
      <c r="G13" t="s">
        <v>2628</v>
      </c>
      <c r="H13" t="s">
        <v>75</v>
      </c>
      <c r="I13" t="s">
        <v>224</v>
      </c>
      <c r="J13" t="s">
        <v>52</v>
      </c>
      <c r="K13" t="s">
        <v>52</v>
      </c>
      <c r="L13" t="s">
        <v>911</v>
      </c>
      <c r="M13" t="s">
        <v>251</v>
      </c>
      <c r="N13" t="s">
        <v>61</v>
      </c>
      <c r="O13" s="127">
        <v>45657</v>
      </c>
      <c r="P13" t="s">
        <v>1472</v>
      </c>
      <c r="Q13" t="s">
        <v>64</v>
      </c>
      <c r="R13" t="s">
        <v>56</v>
      </c>
      <c r="S13" t="s">
        <v>1258</v>
      </c>
      <c r="T13" s="126">
        <v>3.72</v>
      </c>
      <c r="U13" s="127">
        <v>47720</v>
      </c>
      <c r="V13" s="125">
        <v>5.4300000000000001E-2</v>
      </c>
      <c r="W13" s="125">
        <v>6.8000000000000005E-2</v>
      </c>
      <c r="X13" t="s">
        <v>607</v>
      </c>
      <c r="Z13" t="s">
        <v>749</v>
      </c>
      <c r="AA13" t="s">
        <v>297</v>
      </c>
      <c r="AB13" s="127">
        <v>46203</v>
      </c>
      <c r="AC13" s="127">
        <v>46203</v>
      </c>
      <c r="AD13" s="124">
        <v>2204319.56</v>
      </c>
      <c r="AE13" s="124">
        <v>1</v>
      </c>
      <c r="AF13" s="124">
        <v>101.24</v>
      </c>
      <c r="AG13" s="124">
        <v>2231.6531199999999</v>
      </c>
      <c r="AH13" s="124"/>
      <c r="AI13" s="124"/>
      <c r="AJ13" t="s">
        <v>16</v>
      </c>
      <c r="AK13" s="125">
        <v>1.8014267535999998E-2</v>
      </c>
      <c r="AL13" s="125">
        <f>AG13/'סכום נכסים'!$B$30</f>
        <v>4.0178528927069121E-4</v>
      </c>
    </row>
    <row r="14" spans="1:38" x14ac:dyDescent="0.3">
      <c r="A14">
        <v>13908</v>
      </c>
      <c r="B14">
        <v>13908</v>
      </c>
      <c r="C14" t="s">
        <v>2629</v>
      </c>
      <c r="D14">
        <v>515759777</v>
      </c>
      <c r="E14" t="s">
        <v>420</v>
      </c>
      <c r="F14" t="s">
        <v>2630</v>
      </c>
      <c r="G14" t="s">
        <v>2631</v>
      </c>
      <c r="H14" t="s">
        <v>75</v>
      </c>
      <c r="I14" t="s">
        <v>225</v>
      </c>
      <c r="J14" t="s">
        <v>52</v>
      </c>
      <c r="K14" t="s">
        <v>52</v>
      </c>
      <c r="L14" t="s">
        <v>911</v>
      </c>
      <c r="M14" t="s">
        <v>618</v>
      </c>
      <c r="N14" t="s">
        <v>61</v>
      </c>
      <c r="O14" s="127">
        <v>45657</v>
      </c>
      <c r="P14" t="s">
        <v>290</v>
      </c>
      <c r="Q14" t="s">
        <v>290</v>
      </c>
      <c r="R14" t="s">
        <v>290</v>
      </c>
      <c r="S14" t="s">
        <v>1258</v>
      </c>
      <c r="T14" s="126">
        <v>0.4</v>
      </c>
      <c r="U14" s="127">
        <v>46356</v>
      </c>
      <c r="V14" s="125">
        <v>4.6199999999999998E-2</v>
      </c>
      <c r="W14" s="125">
        <v>7.0000000000000007E-2</v>
      </c>
      <c r="X14" t="s">
        <v>607</v>
      </c>
      <c r="Z14" t="s">
        <v>749</v>
      </c>
      <c r="AA14" t="s">
        <v>297</v>
      </c>
      <c r="AB14" s="127">
        <v>46203</v>
      </c>
      <c r="AC14" s="127">
        <v>46203</v>
      </c>
      <c r="AD14" s="124">
        <v>221118.21</v>
      </c>
      <c r="AE14" s="124">
        <v>1</v>
      </c>
      <c r="AF14" s="124">
        <v>100.58</v>
      </c>
      <c r="AG14" s="124">
        <v>222.4007</v>
      </c>
      <c r="AH14" s="124"/>
      <c r="AI14" s="124"/>
      <c r="AJ14" t="s">
        <v>16</v>
      </c>
      <c r="AK14" s="125">
        <v>1.7952546809999999E-3</v>
      </c>
      <c r="AL14" s="125">
        <f>AG14/'סכום נכסים'!$B$30</f>
        <v>4.0040868709696344E-5</v>
      </c>
    </row>
    <row r="15" spans="1:38" x14ac:dyDescent="0.3">
      <c r="A15">
        <v>13908</v>
      </c>
      <c r="B15">
        <v>13908</v>
      </c>
      <c r="C15" t="s">
        <v>2632</v>
      </c>
      <c r="D15">
        <v>514189596</v>
      </c>
      <c r="E15" t="s">
        <v>420</v>
      </c>
      <c r="F15" t="s">
        <v>2633</v>
      </c>
      <c r="G15" t="s">
        <v>2634</v>
      </c>
      <c r="H15" t="s">
        <v>75</v>
      </c>
      <c r="I15" t="s">
        <v>225</v>
      </c>
      <c r="J15" t="s">
        <v>52</v>
      </c>
      <c r="K15" t="s">
        <v>52</v>
      </c>
      <c r="L15" t="s">
        <v>911</v>
      </c>
      <c r="M15" t="s">
        <v>620</v>
      </c>
      <c r="N15" t="s">
        <v>61</v>
      </c>
      <c r="O15" s="127">
        <v>45657</v>
      </c>
      <c r="P15" t="s">
        <v>1395</v>
      </c>
      <c r="Q15" t="s">
        <v>64</v>
      </c>
      <c r="R15" t="s">
        <v>56</v>
      </c>
      <c r="S15" t="s">
        <v>1258</v>
      </c>
      <c r="T15" s="126">
        <v>2.3199999999999998</v>
      </c>
      <c r="U15" s="127">
        <v>47118</v>
      </c>
      <c r="V15" s="125">
        <v>3.2099999999999997E-2</v>
      </c>
      <c r="W15" s="125">
        <v>3.8399999999999997E-2</v>
      </c>
      <c r="X15" t="s">
        <v>607</v>
      </c>
      <c r="Z15" t="s">
        <v>749</v>
      </c>
      <c r="AA15" t="s">
        <v>297</v>
      </c>
      <c r="AB15" s="127">
        <v>46203</v>
      </c>
      <c r="AC15" s="127">
        <v>46203</v>
      </c>
      <c r="AD15" s="124">
        <v>1950000</v>
      </c>
      <c r="AE15" s="124">
        <v>1</v>
      </c>
      <c r="AF15" s="124">
        <v>106.64</v>
      </c>
      <c r="AG15" s="124">
        <v>2079.48</v>
      </c>
      <c r="AH15" s="124"/>
      <c r="AI15" s="124"/>
      <c r="AJ15" t="s">
        <v>16</v>
      </c>
      <c r="AK15" s="125">
        <v>1.6785901321999998E-2</v>
      </c>
      <c r="AL15" s="125">
        <f>AG15/'סכום נכסים'!$B$30</f>
        <v>3.7438814565079765E-4</v>
      </c>
    </row>
    <row r="16" spans="1:38" x14ac:dyDescent="0.3">
      <c r="A16">
        <v>13908</v>
      </c>
      <c r="B16">
        <v>13908</v>
      </c>
      <c r="C16" t="s">
        <v>1553</v>
      </c>
      <c r="D16">
        <v>520000118</v>
      </c>
      <c r="E16" t="s">
        <v>420</v>
      </c>
      <c r="F16" t="s">
        <v>2635</v>
      </c>
      <c r="G16" t="s">
        <v>2636</v>
      </c>
      <c r="H16" t="s">
        <v>75</v>
      </c>
      <c r="I16" t="s">
        <v>224</v>
      </c>
      <c r="J16" t="s">
        <v>52</v>
      </c>
      <c r="K16" t="s">
        <v>52</v>
      </c>
      <c r="L16" t="s">
        <v>911</v>
      </c>
      <c r="M16" t="s">
        <v>251</v>
      </c>
      <c r="N16" t="s">
        <v>61</v>
      </c>
      <c r="O16" s="127">
        <v>45657</v>
      </c>
      <c r="P16" t="s">
        <v>1349</v>
      </c>
      <c r="Q16" t="s">
        <v>64</v>
      </c>
      <c r="R16" t="s">
        <v>56</v>
      </c>
      <c r="S16" t="s">
        <v>1258</v>
      </c>
      <c r="T16" s="126">
        <v>1.21</v>
      </c>
      <c r="U16" s="127">
        <v>46660</v>
      </c>
      <c r="V16" s="125">
        <v>4.3200000000000002E-2</v>
      </c>
      <c r="W16" s="125">
        <v>0.06</v>
      </c>
      <c r="X16" t="s">
        <v>607</v>
      </c>
      <c r="Z16" t="s">
        <v>749</v>
      </c>
      <c r="AA16" t="s">
        <v>297</v>
      </c>
      <c r="AB16" s="127">
        <v>46203</v>
      </c>
      <c r="AC16" s="127">
        <v>46203</v>
      </c>
      <c r="AD16" s="124">
        <v>1556755.04</v>
      </c>
      <c r="AE16" s="124">
        <v>1</v>
      </c>
      <c r="AF16" s="124">
        <v>102.59</v>
      </c>
      <c r="AG16" s="124">
        <v>1597.075</v>
      </c>
      <c r="AH16" s="124"/>
      <c r="AI16" s="124"/>
      <c r="AJ16" t="s">
        <v>16</v>
      </c>
      <c r="AK16" s="125">
        <v>1.2891849574000001E-2</v>
      </c>
      <c r="AL16" s="125">
        <f>AG16/'סכום נכסים'!$B$30</f>
        <v>2.8753628201052557E-4</v>
      </c>
    </row>
    <row r="17" spans="1:38" x14ac:dyDescent="0.3">
      <c r="A17">
        <v>13908</v>
      </c>
      <c r="B17">
        <v>13908</v>
      </c>
      <c r="C17" t="s">
        <v>2637</v>
      </c>
      <c r="D17">
        <v>2624970</v>
      </c>
      <c r="E17" t="s">
        <v>743</v>
      </c>
      <c r="F17" t="s">
        <v>2638</v>
      </c>
      <c r="G17" t="s">
        <v>2639</v>
      </c>
      <c r="H17" t="s">
        <v>75</v>
      </c>
      <c r="I17" t="s">
        <v>224</v>
      </c>
      <c r="J17" t="s">
        <v>52</v>
      </c>
      <c r="K17" t="s">
        <v>200</v>
      </c>
      <c r="L17" t="s">
        <v>911</v>
      </c>
      <c r="M17" t="s">
        <v>138</v>
      </c>
      <c r="N17" t="s">
        <v>61</v>
      </c>
      <c r="O17" s="127">
        <v>45657</v>
      </c>
      <c r="P17" t="s">
        <v>290</v>
      </c>
      <c r="Q17" t="s">
        <v>290</v>
      </c>
      <c r="R17" t="s">
        <v>290</v>
      </c>
      <c r="S17" t="s">
        <v>1258</v>
      </c>
      <c r="T17" s="126">
        <v>2.5099999999999998</v>
      </c>
      <c r="U17" s="127">
        <v>47238</v>
      </c>
      <c r="V17" s="125">
        <v>0.1016</v>
      </c>
      <c r="W17" s="125">
        <v>9.5000000000000001E-2</v>
      </c>
      <c r="X17" t="s">
        <v>607</v>
      </c>
      <c r="Z17" t="s">
        <v>749</v>
      </c>
      <c r="AA17" t="s">
        <v>297</v>
      </c>
      <c r="AB17" s="127">
        <v>46203</v>
      </c>
      <c r="AC17" s="127">
        <v>46203</v>
      </c>
      <c r="AD17" s="124">
        <v>5330000</v>
      </c>
      <c r="AE17" s="124">
        <v>1</v>
      </c>
      <c r="AF17" s="124">
        <v>100.54</v>
      </c>
      <c r="AG17" s="124">
        <v>5358.7820000000002</v>
      </c>
      <c r="AH17" s="124"/>
      <c r="AI17" s="124"/>
      <c r="AJ17" t="s">
        <v>16</v>
      </c>
      <c r="AK17" s="125">
        <v>4.3256961288000002E-2</v>
      </c>
      <c r="AL17" s="125">
        <f>AG17/'סכום נכסים'!$B$30</f>
        <v>9.6479141704987434E-4</v>
      </c>
    </row>
    <row r="18" spans="1:38" x14ac:dyDescent="0.3">
      <c r="A18">
        <v>13908</v>
      </c>
      <c r="B18">
        <v>13908</v>
      </c>
      <c r="C18" t="s">
        <v>1667</v>
      </c>
      <c r="D18">
        <v>520018078</v>
      </c>
      <c r="E18" t="s">
        <v>420</v>
      </c>
      <c r="F18" t="s">
        <v>2640</v>
      </c>
      <c r="G18" t="s">
        <v>2641</v>
      </c>
      <c r="H18" t="s">
        <v>75</v>
      </c>
      <c r="I18" t="s">
        <v>225</v>
      </c>
      <c r="J18" t="s">
        <v>52</v>
      </c>
      <c r="K18" t="s">
        <v>52</v>
      </c>
      <c r="L18" t="s">
        <v>911</v>
      </c>
      <c r="M18" t="s">
        <v>251</v>
      </c>
      <c r="N18" t="s">
        <v>61</v>
      </c>
      <c r="O18" s="127">
        <v>45657</v>
      </c>
      <c r="P18" t="s">
        <v>1472</v>
      </c>
      <c r="Q18" t="s">
        <v>64</v>
      </c>
      <c r="R18" t="s">
        <v>56</v>
      </c>
      <c r="S18" t="s">
        <v>1258</v>
      </c>
      <c r="T18" s="126">
        <v>2.41</v>
      </c>
      <c r="U18" s="127">
        <v>49453</v>
      </c>
      <c r="V18" s="125">
        <v>3.3399999999999999E-2</v>
      </c>
      <c r="W18" s="125">
        <v>3.6900000000000002E-2</v>
      </c>
      <c r="X18" t="s">
        <v>607</v>
      </c>
      <c r="Z18" t="s">
        <v>749</v>
      </c>
      <c r="AA18" t="s">
        <v>297</v>
      </c>
      <c r="AB18" s="127">
        <v>46203</v>
      </c>
      <c r="AC18" s="127">
        <v>46203</v>
      </c>
      <c r="AD18" s="124">
        <v>13303246.560000001</v>
      </c>
      <c r="AE18" s="124">
        <v>1</v>
      </c>
      <c r="AF18" s="124">
        <v>104.59</v>
      </c>
      <c r="AG18" s="124">
        <v>13913.86558</v>
      </c>
      <c r="AH18" s="124"/>
      <c r="AI18" s="124"/>
      <c r="AJ18" t="s">
        <v>16</v>
      </c>
      <c r="AK18" s="125">
        <v>0.11231498963</v>
      </c>
      <c r="AL18" s="125">
        <f>AG18/'סכום נכסים'!$B$30</f>
        <v>2.5050427671007465E-3</v>
      </c>
    </row>
    <row r="19" spans="1:38" x14ac:dyDescent="0.3">
      <c r="A19">
        <v>13908</v>
      </c>
      <c r="B19">
        <v>13908</v>
      </c>
      <c r="C19" t="s">
        <v>2629</v>
      </c>
      <c r="D19">
        <v>515759777</v>
      </c>
      <c r="E19" t="s">
        <v>420</v>
      </c>
      <c r="F19" t="s">
        <v>2642</v>
      </c>
      <c r="G19" t="s">
        <v>2643</v>
      </c>
      <c r="H19" t="s">
        <v>75</v>
      </c>
      <c r="I19" t="s">
        <v>224</v>
      </c>
      <c r="J19" t="s">
        <v>52</v>
      </c>
      <c r="K19" t="s">
        <v>52</v>
      </c>
      <c r="L19" t="s">
        <v>911</v>
      </c>
      <c r="M19" t="s">
        <v>618</v>
      </c>
      <c r="N19" t="s">
        <v>61</v>
      </c>
      <c r="O19" s="127">
        <v>45657</v>
      </c>
      <c r="P19" t="s">
        <v>290</v>
      </c>
      <c r="Q19" t="s">
        <v>290</v>
      </c>
      <c r="R19" t="s">
        <v>290</v>
      </c>
      <c r="S19" t="s">
        <v>1258</v>
      </c>
      <c r="T19" s="126">
        <v>1.1599999999999999</v>
      </c>
      <c r="U19" s="127">
        <v>46754</v>
      </c>
      <c r="V19" s="125">
        <v>6.2199999999999998E-2</v>
      </c>
      <c r="W19" s="125">
        <v>7.5079999999999994E-2</v>
      </c>
      <c r="X19" t="s">
        <v>607</v>
      </c>
      <c r="Z19" t="s">
        <v>749</v>
      </c>
      <c r="AA19" t="s">
        <v>297</v>
      </c>
      <c r="AB19" s="127">
        <v>46203</v>
      </c>
      <c r="AC19" s="127">
        <v>46203</v>
      </c>
      <c r="AD19" s="124">
        <v>1987964.18</v>
      </c>
      <c r="AE19" s="124">
        <v>1</v>
      </c>
      <c r="AF19" s="124">
        <v>99.68</v>
      </c>
      <c r="AG19" s="124">
        <v>1981.6026899999999</v>
      </c>
      <c r="AH19" s="124"/>
      <c r="AI19" s="124"/>
      <c r="AJ19" t="s">
        <v>16</v>
      </c>
      <c r="AK19" s="125">
        <v>1.5995819729999999E-2</v>
      </c>
      <c r="AL19" s="125">
        <f>AG19/'סכום נכסים'!$B$30</f>
        <v>3.5676638223292956E-4</v>
      </c>
    </row>
    <row r="20" spans="1:38" x14ac:dyDescent="0.3">
      <c r="A20">
        <v>13908</v>
      </c>
      <c r="B20">
        <v>13908</v>
      </c>
      <c r="C20" t="s">
        <v>2912</v>
      </c>
      <c r="D20">
        <v>517014023</v>
      </c>
      <c r="E20" t="s">
        <v>420</v>
      </c>
      <c r="F20" t="s">
        <v>2644</v>
      </c>
      <c r="G20" t="s">
        <v>2645</v>
      </c>
      <c r="H20" t="s">
        <v>75</v>
      </c>
      <c r="I20" t="s">
        <v>225</v>
      </c>
      <c r="J20" t="s">
        <v>52</v>
      </c>
      <c r="K20" t="s">
        <v>52</v>
      </c>
      <c r="L20" t="s">
        <v>911</v>
      </c>
      <c r="M20" t="s">
        <v>618</v>
      </c>
      <c r="N20" t="s">
        <v>61</v>
      </c>
      <c r="O20" s="127">
        <v>45657</v>
      </c>
      <c r="P20" t="s">
        <v>1372</v>
      </c>
      <c r="Q20" t="s">
        <v>69</v>
      </c>
      <c r="R20" t="s">
        <v>56</v>
      </c>
      <c r="S20" t="s">
        <v>1258</v>
      </c>
      <c r="T20" s="126">
        <v>9.9499999999999993</v>
      </c>
      <c r="U20" s="127">
        <v>56300</v>
      </c>
      <c r="V20" s="125">
        <v>4.7199999999999999E-2</v>
      </c>
      <c r="W20" s="125">
        <v>0.05</v>
      </c>
      <c r="X20" t="s">
        <v>607</v>
      </c>
      <c r="Z20" t="s">
        <v>749</v>
      </c>
      <c r="AA20" t="s">
        <v>297</v>
      </c>
      <c r="AB20" s="127">
        <v>46203</v>
      </c>
      <c r="AC20" s="127">
        <v>46203</v>
      </c>
      <c r="AD20" s="124">
        <v>4403722.79</v>
      </c>
      <c r="AE20" s="124">
        <v>1</v>
      </c>
      <c r="AF20" s="124">
        <v>107.66</v>
      </c>
      <c r="AG20" s="124">
        <v>4741.0479599999999</v>
      </c>
      <c r="AH20" s="124"/>
      <c r="AI20" s="124"/>
      <c r="AJ20" t="s">
        <v>16</v>
      </c>
      <c r="AK20" s="125">
        <v>3.8270511483000001E-2</v>
      </c>
      <c r="AL20" s="125">
        <f>AG20/'סכום נכסים'!$B$30</f>
        <v>8.5357500634095876E-4</v>
      </c>
    </row>
    <row r="21" spans="1:38" x14ac:dyDescent="0.3">
      <c r="A21">
        <v>13908</v>
      </c>
      <c r="B21">
        <v>13908</v>
      </c>
      <c r="C21" t="s">
        <v>2646</v>
      </c>
      <c r="D21">
        <v>540333101</v>
      </c>
      <c r="E21" t="s">
        <v>423</v>
      </c>
      <c r="F21" t="s">
        <v>2647</v>
      </c>
      <c r="G21" t="s">
        <v>2648</v>
      </c>
      <c r="H21" t="s">
        <v>75</v>
      </c>
      <c r="I21" t="s">
        <v>225</v>
      </c>
      <c r="J21" t="s">
        <v>52</v>
      </c>
      <c r="K21" t="s">
        <v>52</v>
      </c>
      <c r="L21" t="s">
        <v>911</v>
      </c>
      <c r="M21" t="s">
        <v>616</v>
      </c>
      <c r="N21" t="s">
        <v>61</v>
      </c>
      <c r="O21" s="127">
        <v>45659</v>
      </c>
      <c r="P21" t="s">
        <v>1422</v>
      </c>
      <c r="Q21" t="s">
        <v>69</v>
      </c>
      <c r="R21" t="s">
        <v>56</v>
      </c>
      <c r="S21" t="s">
        <v>1258</v>
      </c>
      <c r="T21" s="126">
        <v>7.83</v>
      </c>
      <c r="U21" s="127">
        <v>52596</v>
      </c>
      <c r="V21" s="125">
        <v>3.6600000000000001E-2</v>
      </c>
      <c r="W21" s="125">
        <v>3.9E-2</v>
      </c>
      <c r="X21" t="s">
        <v>607</v>
      </c>
      <c r="Z21" t="s">
        <v>749</v>
      </c>
      <c r="AA21" t="s">
        <v>297</v>
      </c>
      <c r="AB21" s="127">
        <v>46203</v>
      </c>
      <c r="AC21" s="127">
        <v>46203</v>
      </c>
      <c r="AD21" s="124">
        <v>3054999.99</v>
      </c>
      <c r="AE21" s="124">
        <v>1</v>
      </c>
      <c r="AF21" s="124">
        <v>105.74</v>
      </c>
      <c r="AG21" s="124">
        <v>3230.3569900000002</v>
      </c>
      <c r="AH21" s="124"/>
      <c r="AI21" s="124"/>
      <c r="AJ21" t="s">
        <v>16</v>
      </c>
      <c r="AK21" s="125">
        <v>2.6075967871E-2</v>
      </c>
      <c r="AL21" s="125">
        <f>AG21/'סכום נכסים'!$B$30</f>
        <v>5.8159124554032376E-4</v>
      </c>
    </row>
    <row r="22" spans="1:38" x14ac:dyDescent="0.3">
      <c r="A22">
        <v>13908</v>
      </c>
      <c r="B22">
        <v>13908</v>
      </c>
      <c r="C22" t="s">
        <v>1667</v>
      </c>
      <c r="D22">
        <v>520018078</v>
      </c>
      <c r="E22" t="s">
        <v>420</v>
      </c>
      <c r="F22" t="s">
        <v>2649</v>
      </c>
      <c r="G22" t="s">
        <v>2650</v>
      </c>
      <c r="H22" t="s">
        <v>75</v>
      </c>
      <c r="I22" t="s">
        <v>224</v>
      </c>
      <c r="J22" t="s">
        <v>52</v>
      </c>
      <c r="K22" t="s">
        <v>52</v>
      </c>
      <c r="L22" t="s">
        <v>911</v>
      </c>
      <c r="M22" t="s">
        <v>251</v>
      </c>
      <c r="N22" t="s">
        <v>61</v>
      </c>
      <c r="O22" s="127">
        <v>45798</v>
      </c>
      <c r="P22" t="s">
        <v>1472</v>
      </c>
      <c r="Q22" t="s">
        <v>64</v>
      </c>
      <c r="R22" t="s">
        <v>56</v>
      </c>
      <c r="S22" t="s">
        <v>1258</v>
      </c>
      <c r="T22" s="126">
        <v>2.76</v>
      </c>
      <c r="U22" s="127">
        <v>47293</v>
      </c>
      <c r="V22" s="125">
        <v>5.4699999999999999E-2</v>
      </c>
      <c r="W22" s="125">
        <v>5.9499999999999997E-2</v>
      </c>
      <c r="X22" t="s">
        <v>607</v>
      </c>
      <c r="Z22" t="s">
        <v>749</v>
      </c>
      <c r="AA22" t="s">
        <v>297</v>
      </c>
      <c r="AB22" s="127">
        <v>46203</v>
      </c>
      <c r="AC22" s="127">
        <v>46203</v>
      </c>
      <c r="AD22" s="124">
        <v>13587090.17</v>
      </c>
      <c r="AE22" s="124">
        <v>1</v>
      </c>
      <c r="AF22" s="124">
        <v>100.36</v>
      </c>
      <c r="AG22" s="124">
        <v>13636.00369</v>
      </c>
      <c r="AH22" s="124"/>
      <c r="AI22" s="124"/>
      <c r="AJ22" t="s">
        <v>16</v>
      </c>
      <c r="AK22" s="125">
        <v>0.110072043188</v>
      </c>
      <c r="AL22" s="125">
        <f>AG22/'סכום נכסים'!$B$30</f>
        <v>2.4550167039772124E-3</v>
      </c>
    </row>
    <row r="23" spans="1:38" x14ac:dyDescent="0.3">
      <c r="A23">
        <v>13908</v>
      </c>
      <c r="B23">
        <v>13908</v>
      </c>
      <c r="C23" t="s">
        <v>2604</v>
      </c>
      <c r="D23">
        <v>510687403</v>
      </c>
      <c r="E23" t="s">
        <v>420</v>
      </c>
      <c r="F23" t="s">
        <v>2651</v>
      </c>
      <c r="G23" t="s">
        <v>2652</v>
      </c>
      <c r="H23" t="s">
        <v>75</v>
      </c>
      <c r="I23" t="s">
        <v>225</v>
      </c>
      <c r="J23" t="s">
        <v>52</v>
      </c>
      <c r="K23" t="s">
        <v>52</v>
      </c>
      <c r="L23" t="s">
        <v>911</v>
      </c>
      <c r="M23" t="s">
        <v>620</v>
      </c>
      <c r="N23" t="s">
        <v>61</v>
      </c>
      <c r="O23" s="127">
        <v>45832</v>
      </c>
      <c r="P23" t="s">
        <v>1353</v>
      </c>
      <c r="Q23" t="s">
        <v>64</v>
      </c>
      <c r="R23" t="s">
        <v>56</v>
      </c>
      <c r="S23" t="s">
        <v>1258</v>
      </c>
      <c r="T23" s="126">
        <v>4.6900000000000004</v>
      </c>
      <c r="U23" s="127">
        <v>49491</v>
      </c>
      <c r="V23" s="125">
        <v>2.7900000000000001E-2</v>
      </c>
      <c r="W23" s="125">
        <v>3.4000000000000002E-2</v>
      </c>
      <c r="X23" t="s">
        <v>607</v>
      </c>
      <c r="Z23" t="s">
        <v>749</v>
      </c>
      <c r="AA23" t="s">
        <v>297</v>
      </c>
      <c r="AB23" s="127">
        <v>46203</v>
      </c>
      <c r="AC23" s="127">
        <v>46203</v>
      </c>
      <c r="AD23" s="124">
        <v>1037000</v>
      </c>
      <c r="AE23" s="124">
        <v>1</v>
      </c>
      <c r="AF23" s="124">
        <v>104.95</v>
      </c>
      <c r="AG23" s="124">
        <v>1088.3315</v>
      </c>
      <c r="AH23" s="124"/>
      <c r="AI23" s="124"/>
      <c r="AJ23" t="s">
        <v>16</v>
      </c>
      <c r="AK23" s="125">
        <v>8.7851891650000003E-3</v>
      </c>
      <c r="AL23" s="125">
        <f>AG23/'סכום נכסים'!$B$30</f>
        <v>1.9594245298745411E-4</v>
      </c>
    </row>
    <row r="24" spans="1:38" x14ac:dyDescent="0.3">
      <c r="A24">
        <v>13908</v>
      </c>
      <c r="B24">
        <v>13908</v>
      </c>
      <c r="C24" t="s">
        <v>567</v>
      </c>
      <c r="D24">
        <v>520004078</v>
      </c>
      <c r="E24" t="s">
        <v>420</v>
      </c>
      <c r="F24" t="s">
        <v>2653</v>
      </c>
      <c r="G24" t="s">
        <v>2654</v>
      </c>
      <c r="H24" t="s">
        <v>75</v>
      </c>
      <c r="I24" t="s">
        <v>224</v>
      </c>
      <c r="J24" t="s">
        <v>52</v>
      </c>
      <c r="K24" t="s">
        <v>52</v>
      </c>
      <c r="L24" t="s">
        <v>911</v>
      </c>
      <c r="M24" t="s">
        <v>262</v>
      </c>
      <c r="N24" t="s">
        <v>61</v>
      </c>
      <c r="O24" s="127">
        <v>45846</v>
      </c>
      <c r="P24" t="s">
        <v>290</v>
      </c>
      <c r="Q24" t="s">
        <v>290</v>
      </c>
      <c r="R24" t="s">
        <v>290</v>
      </c>
      <c r="S24" t="s">
        <v>1258</v>
      </c>
      <c r="T24" s="126">
        <v>2.58</v>
      </c>
      <c r="U24" s="127">
        <v>47202</v>
      </c>
      <c r="V24" s="125">
        <v>4.82E-2</v>
      </c>
      <c r="W24" s="125">
        <v>5.33E-2</v>
      </c>
      <c r="X24" t="s">
        <v>607</v>
      </c>
      <c r="Z24" t="s">
        <v>749</v>
      </c>
      <c r="AA24" t="s">
        <v>297</v>
      </c>
      <c r="AB24" s="127">
        <v>46203</v>
      </c>
      <c r="AC24" s="127">
        <v>46203</v>
      </c>
      <c r="AD24" s="124">
        <v>349742.18</v>
      </c>
      <c r="AE24" s="124">
        <v>1</v>
      </c>
      <c r="AF24" s="124">
        <v>100.24</v>
      </c>
      <c r="AG24" s="124">
        <v>350.58156000000002</v>
      </c>
      <c r="AH24" s="124"/>
      <c r="AI24" s="124"/>
      <c r="AJ24" t="s">
        <v>16</v>
      </c>
      <c r="AK24" s="125">
        <v>2.8299514640000001E-3</v>
      </c>
      <c r="AL24" s="125">
        <f>AG24/'סכום נכסים'!$B$30</f>
        <v>6.3118462378942752E-5</v>
      </c>
    </row>
    <row r="25" spans="1:38" x14ac:dyDescent="0.3">
      <c r="A25">
        <v>13908</v>
      </c>
      <c r="B25">
        <v>13908</v>
      </c>
      <c r="C25" t="s">
        <v>2629</v>
      </c>
      <c r="D25">
        <v>515759777</v>
      </c>
      <c r="E25" t="s">
        <v>420</v>
      </c>
      <c r="F25" t="s">
        <v>2655</v>
      </c>
      <c r="G25" t="s">
        <v>2656</v>
      </c>
      <c r="H25" t="s">
        <v>75</v>
      </c>
      <c r="I25" t="s">
        <v>224</v>
      </c>
      <c r="J25" t="s">
        <v>52</v>
      </c>
      <c r="K25" t="s">
        <v>52</v>
      </c>
      <c r="L25" t="s">
        <v>911</v>
      </c>
      <c r="M25" t="s">
        <v>618</v>
      </c>
      <c r="N25" t="s">
        <v>61</v>
      </c>
      <c r="O25" s="127">
        <v>45858</v>
      </c>
      <c r="P25" t="s">
        <v>290</v>
      </c>
      <c r="Q25" t="s">
        <v>290</v>
      </c>
      <c r="R25" t="s">
        <v>290</v>
      </c>
      <c r="S25" t="s">
        <v>1258</v>
      </c>
      <c r="T25" s="126">
        <v>3.35</v>
      </c>
      <c r="U25" s="127">
        <v>47574</v>
      </c>
      <c r="V25" s="125">
        <v>7.0900000000000005E-2</v>
      </c>
      <c r="W25" s="125">
        <v>6.0999999999999999E-2</v>
      </c>
      <c r="X25" t="s">
        <v>607</v>
      </c>
      <c r="Z25" t="s">
        <v>749</v>
      </c>
      <c r="AA25" t="s">
        <v>297</v>
      </c>
      <c r="AB25" s="127">
        <v>46203</v>
      </c>
      <c r="AC25" s="127">
        <v>46203</v>
      </c>
      <c r="AD25" s="124">
        <v>620446.56999999995</v>
      </c>
      <c r="AE25" s="124">
        <v>1</v>
      </c>
      <c r="AF25" s="124">
        <v>96.34</v>
      </c>
      <c r="AG25" s="124">
        <v>597.73823000000004</v>
      </c>
      <c r="AH25" s="124"/>
      <c r="AI25" s="124"/>
      <c r="AJ25" t="s">
        <v>16</v>
      </c>
      <c r="AK25" s="125">
        <v>4.8250403680000003E-3</v>
      </c>
      <c r="AL25" s="125">
        <f>AG25/'סכום נכסים'!$B$30</f>
        <v>1.0761637886120088E-4</v>
      </c>
    </row>
    <row r="26" spans="1:38" x14ac:dyDescent="0.3">
      <c r="A26">
        <v>13908</v>
      </c>
      <c r="B26">
        <v>13908</v>
      </c>
      <c r="C26" t="s">
        <v>2913</v>
      </c>
      <c r="D26">
        <v>517112074</v>
      </c>
      <c r="E26" t="s">
        <v>420</v>
      </c>
      <c r="F26" t="s">
        <v>2657</v>
      </c>
      <c r="G26" t="s">
        <v>2658</v>
      </c>
      <c r="H26" t="s">
        <v>75</v>
      </c>
      <c r="I26" t="s">
        <v>225</v>
      </c>
      <c r="J26" t="s">
        <v>52</v>
      </c>
      <c r="K26" t="s">
        <v>52</v>
      </c>
      <c r="L26" t="s">
        <v>911</v>
      </c>
      <c r="M26" t="s">
        <v>618</v>
      </c>
      <c r="N26" t="s">
        <v>61</v>
      </c>
      <c r="O26" s="127">
        <v>45867</v>
      </c>
      <c r="P26" t="s">
        <v>1372</v>
      </c>
      <c r="Q26" t="s">
        <v>69</v>
      </c>
      <c r="R26" t="s">
        <v>56</v>
      </c>
      <c r="S26" t="s">
        <v>1258</v>
      </c>
      <c r="T26" s="126">
        <v>9.81</v>
      </c>
      <c r="U26" s="127">
        <v>56421</v>
      </c>
      <c r="V26" s="125">
        <v>5.04E-2</v>
      </c>
      <c r="W26" s="125">
        <v>5.2499999999999998E-2</v>
      </c>
      <c r="X26" t="s">
        <v>607</v>
      </c>
      <c r="Z26" t="s">
        <v>749</v>
      </c>
      <c r="AA26" t="s">
        <v>297</v>
      </c>
      <c r="AB26" s="127">
        <v>46203</v>
      </c>
      <c r="AC26" s="127">
        <v>46203</v>
      </c>
      <c r="AD26" s="124">
        <v>504516.22</v>
      </c>
      <c r="AE26" s="124">
        <v>1</v>
      </c>
      <c r="AF26" s="124">
        <v>104.96</v>
      </c>
      <c r="AG26" s="124">
        <v>529.54021999999998</v>
      </c>
      <c r="AH26" s="124"/>
      <c r="AI26" s="124"/>
      <c r="AJ26" t="s">
        <v>16</v>
      </c>
      <c r="AK26" s="125">
        <v>4.2745349210000002E-3</v>
      </c>
      <c r="AL26" s="125">
        <f>AG26/'סכום נכסים'!$B$30</f>
        <v>9.5338056155055799E-5</v>
      </c>
    </row>
    <row r="27" spans="1:38" x14ac:dyDescent="0.3">
      <c r="A27">
        <v>13908</v>
      </c>
      <c r="B27">
        <v>13908</v>
      </c>
      <c r="C27" t="s">
        <v>2913</v>
      </c>
      <c r="D27">
        <v>517112074</v>
      </c>
      <c r="E27" t="s">
        <v>420</v>
      </c>
      <c r="F27" t="s">
        <v>2659</v>
      </c>
      <c r="G27" t="s">
        <v>2660</v>
      </c>
      <c r="H27" t="s">
        <v>75</v>
      </c>
      <c r="I27" t="s">
        <v>224</v>
      </c>
      <c r="J27" t="s">
        <v>52</v>
      </c>
      <c r="K27" t="s">
        <v>52</v>
      </c>
      <c r="L27" t="s">
        <v>911</v>
      </c>
      <c r="M27" t="s">
        <v>618</v>
      </c>
      <c r="N27" t="s">
        <v>61</v>
      </c>
      <c r="O27" s="127">
        <v>45867</v>
      </c>
      <c r="P27" t="s">
        <v>1372</v>
      </c>
      <c r="Q27" t="s">
        <v>69</v>
      </c>
      <c r="R27" t="s">
        <v>56</v>
      </c>
      <c r="S27" t="s">
        <v>1258</v>
      </c>
      <c r="T27" s="126">
        <v>7.4</v>
      </c>
      <c r="U27" s="127">
        <v>56421</v>
      </c>
      <c r="V27" s="125">
        <v>7.2400000000000006E-2</v>
      </c>
      <c r="W27" s="125">
        <v>7.0499999999999993E-2</v>
      </c>
      <c r="X27" t="s">
        <v>607</v>
      </c>
      <c r="Z27" t="s">
        <v>749</v>
      </c>
      <c r="AA27" t="s">
        <v>297</v>
      </c>
      <c r="AB27" s="127">
        <v>46203</v>
      </c>
      <c r="AC27" s="127">
        <v>46203</v>
      </c>
      <c r="AD27" s="124">
        <v>298333.58</v>
      </c>
      <c r="AE27" s="124">
        <v>1</v>
      </c>
      <c r="AF27" s="124">
        <v>100.86</v>
      </c>
      <c r="AG27" s="124">
        <v>300.89924999999999</v>
      </c>
      <c r="AH27" s="124"/>
      <c r="AI27" s="124"/>
      <c r="AJ27" t="s">
        <v>16</v>
      </c>
      <c r="AK27" s="125">
        <v>2.4289077640000001E-3</v>
      </c>
      <c r="AL27" s="125">
        <f>AG27/'סכום נכסים'!$B$30</f>
        <v>5.4173693536468622E-5</v>
      </c>
    </row>
    <row r="28" spans="1:38" x14ac:dyDescent="0.3">
      <c r="A28">
        <v>13908</v>
      </c>
      <c r="B28">
        <v>13908</v>
      </c>
      <c r="C28" t="s">
        <v>1553</v>
      </c>
      <c r="D28">
        <v>520000118</v>
      </c>
      <c r="E28" t="s">
        <v>420</v>
      </c>
      <c r="F28" t="s">
        <v>2661</v>
      </c>
      <c r="G28" t="s">
        <v>2662</v>
      </c>
      <c r="H28" t="s">
        <v>75</v>
      </c>
      <c r="I28" t="s">
        <v>224</v>
      </c>
      <c r="J28" t="s">
        <v>52</v>
      </c>
      <c r="K28" t="s">
        <v>52</v>
      </c>
      <c r="L28" t="s">
        <v>911</v>
      </c>
      <c r="M28" t="s">
        <v>251</v>
      </c>
      <c r="N28" t="s">
        <v>61</v>
      </c>
      <c r="O28" s="127">
        <v>45896</v>
      </c>
      <c r="P28" t="s">
        <v>1349</v>
      </c>
      <c r="Q28" t="s">
        <v>64</v>
      </c>
      <c r="R28" t="s">
        <v>56</v>
      </c>
      <c r="S28" t="s">
        <v>1258</v>
      </c>
      <c r="T28" s="126">
        <v>2.2200000000000002</v>
      </c>
      <c r="U28" s="127">
        <v>47064</v>
      </c>
      <c r="V28" s="125">
        <v>5.5300000000000002E-2</v>
      </c>
      <c r="W28" s="125">
        <v>0.06</v>
      </c>
      <c r="X28" t="s">
        <v>607</v>
      </c>
      <c r="Z28" t="s">
        <v>749</v>
      </c>
      <c r="AA28" t="s">
        <v>297</v>
      </c>
      <c r="AB28" s="127">
        <v>46203</v>
      </c>
      <c r="AC28" s="127">
        <v>46203</v>
      </c>
      <c r="AD28" s="124">
        <v>18984110</v>
      </c>
      <c r="AE28" s="124">
        <v>1</v>
      </c>
      <c r="AF28" s="124">
        <v>100.93</v>
      </c>
      <c r="AG28" s="124">
        <v>19160.662219999998</v>
      </c>
      <c r="AH28" s="124"/>
      <c r="AI28" s="124"/>
      <c r="AJ28" t="s">
        <v>16</v>
      </c>
      <c r="AK28" s="125">
        <v>0.15466798684899999</v>
      </c>
      <c r="AL28" s="125">
        <f>AG28/'סכום נכסים'!$B$30</f>
        <v>3.4496724171365414E-3</v>
      </c>
    </row>
    <row r="29" spans="1:38" x14ac:dyDescent="0.3">
      <c r="A29">
        <v>13908</v>
      </c>
      <c r="B29">
        <v>13908</v>
      </c>
      <c r="C29" t="s">
        <v>2629</v>
      </c>
      <c r="D29">
        <v>515759777</v>
      </c>
      <c r="E29" t="s">
        <v>420</v>
      </c>
      <c r="F29" t="s">
        <v>2663</v>
      </c>
      <c r="G29" t="s">
        <v>2664</v>
      </c>
      <c r="H29" t="s">
        <v>75</v>
      </c>
      <c r="I29" t="s">
        <v>224</v>
      </c>
      <c r="J29" t="s">
        <v>52</v>
      </c>
      <c r="K29" t="s">
        <v>52</v>
      </c>
      <c r="L29" t="s">
        <v>911</v>
      </c>
      <c r="M29" t="s">
        <v>618</v>
      </c>
      <c r="N29" t="s">
        <v>61</v>
      </c>
      <c r="O29" s="127">
        <v>45985</v>
      </c>
      <c r="P29" t="s">
        <v>290</v>
      </c>
      <c r="Q29" t="s">
        <v>290</v>
      </c>
      <c r="R29" t="s">
        <v>290</v>
      </c>
      <c r="S29" t="s">
        <v>1258</v>
      </c>
      <c r="T29" s="126">
        <v>4.0599999999999996</v>
      </c>
      <c r="U29" s="127">
        <v>47881</v>
      </c>
      <c r="V29" s="125">
        <v>6.1100000000000002E-2</v>
      </c>
      <c r="W29" s="125">
        <v>6.0999999999999999E-2</v>
      </c>
      <c r="X29" t="s">
        <v>607</v>
      </c>
      <c r="Z29" t="s">
        <v>749</v>
      </c>
      <c r="AA29" t="s">
        <v>297</v>
      </c>
      <c r="AB29" s="127">
        <v>46203</v>
      </c>
      <c r="AC29" s="127">
        <v>46203</v>
      </c>
      <c r="AD29" s="124">
        <v>1315157.93</v>
      </c>
      <c r="AE29" s="124">
        <v>1</v>
      </c>
      <c r="AF29" s="124">
        <v>100</v>
      </c>
      <c r="AG29" s="124">
        <v>1315.1579300000001</v>
      </c>
      <c r="AH29" s="124"/>
      <c r="AI29" s="124"/>
      <c r="AJ29" t="s">
        <v>16</v>
      </c>
      <c r="AK29" s="125">
        <v>1.0616169058999999E-2</v>
      </c>
      <c r="AL29" s="125">
        <f>AG29/'סכום נכסים'!$B$30</f>
        <v>2.3678012707534652E-4</v>
      </c>
    </row>
    <row r="30" spans="1:38" x14ac:dyDescent="0.3">
      <c r="A30">
        <v>13908</v>
      </c>
      <c r="B30">
        <v>13908</v>
      </c>
      <c r="C30" t="s">
        <v>2914</v>
      </c>
      <c r="D30">
        <v>517112686</v>
      </c>
      <c r="E30" t="s">
        <v>420</v>
      </c>
      <c r="F30" t="s">
        <v>2665</v>
      </c>
      <c r="G30" t="s">
        <v>2666</v>
      </c>
      <c r="H30" t="s">
        <v>75</v>
      </c>
      <c r="I30" t="s">
        <v>225</v>
      </c>
      <c r="J30" t="s">
        <v>52</v>
      </c>
      <c r="K30" t="s">
        <v>52</v>
      </c>
      <c r="L30" t="s">
        <v>911</v>
      </c>
      <c r="M30" t="s">
        <v>618</v>
      </c>
      <c r="N30" t="s">
        <v>61</v>
      </c>
      <c r="O30" s="127">
        <v>46076</v>
      </c>
      <c r="P30" t="s">
        <v>1372</v>
      </c>
      <c r="Q30" t="s">
        <v>69</v>
      </c>
      <c r="R30" t="s">
        <v>56</v>
      </c>
      <c r="S30" t="s">
        <v>1258</v>
      </c>
      <c r="T30" s="126">
        <v>10.119999999999999</v>
      </c>
      <c r="U30" s="127">
        <v>56694</v>
      </c>
      <c r="V30" s="125">
        <v>5.62E-2</v>
      </c>
      <c r="W30" s="125">
        <v>5.8999999999999997E-2</v>
      </c>
      <c r="X30" t="s">
        <v>607</v>
      </c>
      <c r="Z30" t="s">
        <v>749</v>
      </c>
      <c r="AA30" t="s">
        <v>297</v>
      </c>
      <c r="AB30" s="127">
        <v>46203</v>
      </c>
      <c r="AC30" s="127">
        <v>46203</v>
      </c>
      <c r="AD30" s="124">
        <v>1583660.75</v>
      </c>
      <c r="AE30" s="124">
        <v>1</v>
      </c>
      <c r="AF30" s="124">
        <v>105.94</v>
      </c>
      <c r="AG30" s="124">
        <v>1677.7302</v>
      </c>
      <c r="AH30" s="124"/>
      <c r="AI30" s="124"/>
      <c r="AJ30" t="s">
        <v>16</v>
      </c>
      <c r="AK30" s="125">
        <v>1.3542911487999999E-2</v>
      </c>
      <c r="AL30" s="125">
        <f>AG30/'סכום נכסים'!$B$30</f>
        <v>3.0205738861654926E-4</v>
      </c>
    </row>
    <row r="31" spans="1:38" x14ac:dyDescent="0.3">
      <c r="A31">
        <v>13908</v>
      </c>
      <c r="B31">
        <v>13908</v>
      </c>
      <c r="C31" t="s">
        <v>2914</v>
      </c>
      <c r="D31">
        <v>517112686</v>
      </c>
      <c r="E31" t="s">
        <v>420</v>
      </c>
      <c r="F31" t="s">
        <v>2667</v>
      </c>
      <c r="G31" t="s">
        <v>2668</v>
      </c>
      <c r="H31" t="s">
        <v>75</v>
      </c>
      <c r="I31" t="s">
        <v>224</v>
      </c>
      <c r="J31" t="s">
        <v>52</v>
      </c>
      <c r="K31" t="s">
        <v>52</v>
      </c>
      <c r="L31" t="s">
        <v>911</v>
      </c>
      <c r="M31" t="s">
        <v>618</v>
      </c>
      <c r="N31" t="s">
        <v>61</v>
      </c>
      <c r="O31" s="127">
        <v>46076</v>
      </c>
      <c r="P31" t="s">
        <v>1372</v>
      </c>
      <c r="Q31" t="s">
        <v>69</v>
      </c>
      <c r="R31" t="s">
        <v>56</v>
      </c>
      <c r="S31" t="s">
        <v>1258</v>
      </c>
      <c r="T31" s="126">
        <v>8.25</v>
      </c>
      <c r="U31" s="127">
        <v>56694</v>
      </c>
      <c r="V31" s="125">
        <v>7.46E-2</v>
      </c>
      <c r="W31" s="125">
        <v>7.1499999999999994E-2</v>
      </c>
      <c r="X31" t="s">
        <v>607</v>
      </c>
      <c r="Z31" t="s">
        <v>749</v>
      </c>
      <c r="AA31" t="s">
        <v>297</v>
      </c>
      <c r="AB31" s="127">
        <v>46203</v>
      </c>
      <c r="AC31" s="127">
        <v>46203</v>
      </c>
      <c r="AD31" s="124">
        <v>344895.96</v>
      </c>
      <c r="AE31" s="124">
        <v>1</v>
      </c>
      <c r="AF31" s="124">
        <v>100.37</v>
      </c>
      <c r="AG31" s="124">
        <v>346.17207999999999</v>
      </c>
      <c r="AH31" s="124"/>
      <c r="AI31" s="124"/>
      <c r="AJ31" t="s">
        <v>16</v>
      </c>
      <c r="AK31" s="125">
        <v>2.794357423E-3</v>
      </c>
      <c r="AL31" s="125">
        <f>AG31/'סכום נכסים'!$B$30</f>
        <v>6.2324582639544299E-5</v>
      </c>
    </row>
    <row r="32" spans="1:38" x14ac:dyDescent="0.3">
      <c r="A32">
        <v>13908</v>
      </c>
      <c r="B32">
        <v>13908</v>
      </c>
      <c r="C32" t="s">
        <v>1667</v>
      </c>
      <c r="D32">
        <v>520018078</v>
      </c>
      <c r="E32" t="s">
        <v>420</v>
      </c>
      <c r="F32" t="s">
        <v>2669</v>
      </c>
      <c r="G32" t="s">
        <v>2670</v>
      </c>
      <c r="H32" t="s">
        <v>75</v>
      </c>
      <c r="I32" t="s">
        <v>224</v>
      </c>
      <c r="J32" t="s">
        <v>52</v>
      </c>
      <c r="K32" t="s">
        <v>52</v>
      </c>
      <c r="L32" t="s">
        <v>911</v>
      </c>
      <c r="M32" t="s">
        <v>251</v>
      </c>
      <c r="N32" t="s">
        <v>61</v>
      </c>
      <c r="O32" s="127">
        <v>46086</v>
      </c>
      <c r="P32" t="s">
        <v>290</v>
      </c>
      <c r="Q32" t="s">
        <v>290</v>
      </c>
      <c r="R32" t="s">
        <v>290</v>
      </c>
      <c r="S32" t="s">
        <v>1258</v>
      </c>
      <c r="T32" s="126">
        <v>3.8</v>
      </c>
      <c r="U32" s="127">
        <v>47750</v>
      </c>
      <c r="V32" s="125">
        <v>5.57E-2</v>
      </c>
      <c r="W32" s="125">
        <v>5.8500000000000003E-2</v>
      </c>
      <c r="X32" t="s">
        <v>607</v>
      </c>
      <c r="Z32" t="s">
        <v>749</v>
      </c>
      <c r="AA32" t="s">
        <v>297</v>
      </c>
      <c r="AB32" s="127">
        <v>46203</v>
      </c>
      <c r="AC32" s="127">
        <v>46203</v>
      </c>
      <c r="AD32" s="124">
        <v>10748231.859999999</v>
      </c>
      <c r="AE32" s="124">
        <v>1</v>
      </c>
      <c r="AF32" s="124">
        <v>100.05</v>
      </c>
      <c r="AG32" s="124">
        <v>10753.60598</v>
      </c>
      <c r="AH32" s="124"/>
      <c r="AI32" s="124"/>
      <c r="AJ32" t="s">
        <v>16</v>
      </c>
      <c r="AK32" s="125">
        <v>8.6804859309999996E-2</v>
      </c>
      <c r="AL32" s="125">
        <f>AG32/'סכום נכסים'!$B$30</f>
        <v>1.9360718073323758E-3</v>
      </c>
    </row>
    <row r="33" spans="1:38" x14ac:dyDescent="0.3">
      <c r="A33">
        <v>13908</v>
      </c>
      <c r="B33">
        <v>13908</v>
      </c>
      <c r="C33" t="s">
        <v>2671</v>
      </c>
      <c r="D33">
        <v>520021874</v>
      </c>
      <c r="E33" t="s">
        <v>420</v>
      </c>
      <c r="F33" t="s">
        <v>2672</v>
      </c>
      <c r="G33" t="s">
        <v>2673</v>
      </c>
      <c r="H33" t="s">
        <v>75</v>
      </c>
      <c r="I33" t="s">
        <v>224</v>
      </c>
      <c r="J33" t="s">
        <v>52</v>
      </c>
      <c r="K33" t="s">
        <v>52</v>
      </c>
      <c r="L33" t="s">
        <v>911</v>
      </c>
      <c r="M33" t="s">
        <v>675</v>
      </c>
      <c r="N33" t="s">
        <v>61</v>
      </c>
      <c r="O33" s="127">
        <v>46188</v>
      </c>
      <c r="P33" t="s">
        <v>1422</v>
      </c>
      <c r="Q33" t="s">
        <v>69</v>
      </c>
      <c r="R33" t="s">
        <v>56</v>
      </c>
      <c r="S33" t="s">
        <v>1258</v>
      </c>
      <c r="T33" s="126">
        <v>5.8</v>
      </c>
      <c r="U33" s="127">
        <v>49856</v>
      </c>
      <c r="V33" s="125">
        <v>5.11E-2</v>
      </c>
      <c r="W33" s="125">
        <v>5.1200000000000002E-2</v>
      </c>
      <c r="X33" t="s">
        <v>607</v>
      </c>
      <c r="Z33" t="s">
        <v>749</v>
      </c>
      <c r="AA33" t="s">
        <v>297</v>
      </c>
      <c r="AB33" s="127">
        <v>46203</v>
      </c>
      <c r="AC33" s="127">
        <v>46203</v>
      </c>
      <c r="AD33" s="124">
        <v>12500000</v>
      </c>
      <c r="AE33" s="124">
        <v>1</v>
      </c>
      <c r="AF33" s="124">
        <v>100.65</v>
      </c>
      <c r="AG33" s="124">
        <v>12581.25</v>
      </c>
      <c r="AH33" s="124"/>
      <c r="AI33" s="124"/>
      <c r="AJ33" t="s">
        <v>16</v>
      </c>
      <c r="AK33" s="125">
        <v>0.101557899575</v>
      </c>
      <c r="AL33" s="125">
        <f>AG33/'סכום נכסים'!$B$30</f>
        <v>2.2651195767543317E-3</v>
      </c>
    </row>
    <row r="34" spans="1:38" x14ac:dyDescent="0.3">
      <c r="A34">
        <v>13908</v>
      </c>
      <c r="B34">
        <v>13908</v>
      </c>
      <c r="C34" t="s">
        <v>2915</v>
      </c>
      <c r="D34">
        <v>517182549</v>
      </c>
      <c r="E34" t="s">
        <v>420</v>
      </c>
      <c r="F34" t="s">
        <v>2674</v>
      </c>
      <c r="G34" t="s">
        <v>2675</v>
      </c>
      <c r="H34" t="s">
        <v>75</v>
      </c>
      <c r="I34" t="s">
        <v>225</v>
      </c>
      <c r="J34" t="s">
        <v>52</v>
      </c>
      <c r="K34" t="s">
        <v>52</v>
      </c>
      <c r="L34" t="s">
        <v>911</v>
      </c>
      <c r="M34" t="s">
        <v>618</v>
      </c>
      <c r="N34" t="s">
        <v>61</v>
      </c>
      <c r="O34" s="127">
        <v>46202</v>
      </c>
      <c r="P34" t="s">
        <v>2676</v>
      </c>
      <c r="Q34" t="s">
        <v>64</v>
      </c>
      <c r="R34" t="s">
        <v>56</v>
      </c>
      <c r="S34" t="s">
        <v>1258</v>
      </c>
      <c r="T34" s="126">
        <v>9.14</v>
      </c>
      <c r="U34" s="127">
        <v>55904</v>
      </c>
      <c r="V34" s="125">
        <v>6.4199999999999993E-2</v>
      </c>
      <c r="W34" s="125">
        <v>7.0000000000000007E-2</v>
      </c>
      <c r="X34" t="s">
        <v>607</v>
      </c>
      <c r="Z34" t="s">
        <v>749</v>
      </c>
      <c r="AA34" t="s">
        <v>297</v>
      </c>
      <c r="AB34" s="127">
        <v>46203</v>
      </c>
      <c r="AC34" s="127">
        <v>46203</v>
      </c>
      <c r="AD34" s="124">
        <v>6591200</v>
      </c>
      <c r="AE34" s="124">
        <v>1</v>
      </c>
      <c r="AF34" s="124">
        <v>107.98</v>
      </c>
      <c r="AG34" s="124">
        <v>7117.1777599999996</v>
      </c>
      <c r="AH34" s="124"/>
      <c r="AI34" s="124"/>
      <c r="AJ34" t="s">
        <v>16</v>
      </c>
      <c r="AK34" s="125">
        <v>5.7451018318000001E-2</v>
      </c>
      <c r="AL34" s="125">
        <f>AG34/'סכום נכסים'!$B$30</f>
        <v>1.2813717774797053E-3</v>
      </c>
    </row>
    <row r="35" spans="1:38" x14ac:dyDescent="0.3">
      <c r="A35">
        <v>13908</v>
      </c>
      <c r="B35">
        <v>13908</v>
      </c>
      <c r="C35" t="s">
        <v>2915</v>
      </c>
      <c r="D35">
        <v>517182549</v>
      </c>
      <c r="E35" t="s">
        <v>420</v>
      </c>
      <c r="F35" t="s">
        <v>2677</v>
      </c>
      <c r="G35" t="s">
        <v>2678</v>
      </c>
      <c r="H35" t="s">
        <v>75</v>
      </c>
      <c r="I35" t="s">
        <v>224</v>
      </c>
      <c r="J35" t="s">
        <v>52</v>
      </c>
      <c r="K35" t="s">
        <v>52</v>
      </c>
      <c r="L35" t="s">
        <v>911</v>
      </c>
      <c r="M35" t="s">
        <v>618</v>
      </c>
      <c r="N35" t="s">
        <v>61</v>
      </c>
      <c r="O35" s="127">
        <v>46202</v>
      </c>
      <c r="P35" t="s">
        <v>2676</v>
      </c>
      <c r="Q35" t="s">
        <v>64</v>
      </c>
      <c r="R35" t="s">
        <v>56</v>
      </c>
      <c r="S35" t="s">
        <v>1258</v>
      </c>
      <c r="T35" s="126">
        <v>8.44</v>
      </c>
      <c r="U35" s="127">
        <v>55904</v>
      </c>
      <c r="V35" s="125">
        <v>8.6300000000000002E-2</v>
      </c>
      <c r="W35" s="125">
        <v>9.2499999999999999E-2</v>
      </c>
      <c r="X35" t="s">
        <v>607</v>
      </c>
      <c r="Z35" t="s">
        <v>749</v>
      </c>
      <c r="AA35" t="s">
        <v>297</v>
      </c>
      <c r="AB35" s="127">
        <v>46203</v>
      </c>
      <c r="AC35" s="127">
        <v>46203</v>
      </c>
      <c r="AD35" s="124">
        <v>2208800</v>
      </c>
      <c r="AE35" s="124">
        <v>1</v>
      </c>
      <c r="AF35" s="124">
        <v>109.17</v>
      </c>
      <c r="AG35" s="124">
        <v>2411.3469599999999</v>
      </c>
      <c r="AH35" s="124"/>
      <c r="AI35" s="124"/>
      <c r="AJ35" t="s">
        <v>16</v>
      </c>
      <c r="AK35" s="125">
        <v>1.9464785485999999E-2</v>
      </c>
      <c r="AL35" s="125">
        <f>AG35/'סכום נכסים'!$B$30</f>
        <v>4.3413724434718682E-4</v>
      </c>
    </row>
    <row r="36" spans="1:38" x14ac:dyDescent="0.3">
      <c r="A36">
        <v>13908</v>
      </c>
      <c r="B36">
        <v>13908</v>
      </c>
      <c r="C36" t="s">
        <v>2679</v>
      </c>
      <c r="D36">
        <v>520037664</v>
      </c>
      <c r="E36" t="s">
        <v>420</v>
      </c>
      <c r="F36" t="s">
        <v>2680</v>
      </c>
      <c r="G36" t="s">
        <v>2681</v>
      </c>
      <c r="H36" t="s">
        <v>75</v>
      </c>
      <c r="I36" t="s">
        <v>224</v>
      </c>
      <c r="J36" t="s">
        <v>52</v>
      </c>
      <c r="K36" t="s">
        <v>52</v>
      </c>
      <c r="L36" t="s">
        <v>911</v>
      </c>
      <c r="M36" t="s">
        <v>675</v>
      </c>
      <c r="N36" t="s">
        <v>61</v>
      </c>
      <c r="O36" s="127">
        <v>45657</v>
      </c>
      <c r="P36" t="s">
        <v>1389</v>
      </c>
      <c r="Q36" t="s">
        <v>69</v>
      </c>
      <c r="R36" t="s">
        <v>56</v>
      </c>
      <c r="S36" t="s">
        <v>1258</v>
      </c>
      <c r="T36" s="126">
        <v>1.1200000000000001</v>
      </c>
      <c r="U36" s="127">
        <v>46798</v>
      </c>
      <c r="V36" s="125">
        <v>4.7699999999999999E-2</v>
      </c>
      <c r="W36" s="125">
        <v>2.1000000000000001E-2</v>
      </c>
      <c r="X36" t="s">
        <v>607</v>
      </c>
      <c r="Z36" t="s">
        <v>749</v>
      </c>
      <c r="AA36" t="s">
        <v>297</v>
      </c>
      <c r="AB36" s="127">
        <v>46203</v>
      </c>
      <c r="AC36" s="127">
        <v>46203</v>
      </c>
      <c r="AD36" s="124">
        <v>445992.48</v>
      </c>
      <c r="AE36" s="124">
        <v>1</v>
      </c>
      <c r="AF36" s="124">
        <v>99.04</v>
      </c>
      <c r="AG36" s="124">
        <v>441.71095000000003</v>
      </c>
      <c r="AH36" s="124"/>
      <c r="AI36" s="124"/>
      <c r="AJ36" t="s">
        <v>16</v>
      </c>
      <c r="AK36" s="125">
        <v>3.565562746E-3</v>
      </c>
      <c r="AL36" s="125">
        <f>AG36/'סכום נכסים'!$B$30</f>
        <v>7.9525334931883072E-5</v>
      </c>
    </row>
    <row r="37" spans="1:38" x14ac:dyDescent="0.3">
      <c r="A37">
        <v>13908</v>
      </c>
      <c r="B37">
        <v>13908</v>
      </c>
      <c r="C37" t="s">
        <v>2682</v>
      </c>
      <c r="D37">
        <v>516481561</v>
      </c>
      <c r="E37" t="s">
        <v>420</v>
      </c>
      <c r="F37" t="s">
        <v>2683</v>
      </c>
      <c r="G37">
        <v>11022551</v>
      </c>
      <c r="H37" t="s">
        <v>77</v>
      </c>
      <c r="I37" t="s">
        <v>298</v>
      </c>
      <c r="J37" t="s">
        <v>52</v>
      </c>
      <c r="K37" t="s">
        <v>52</v>
      </c>
      <c r="L37" t="s">
        <v>911</v>
      </c>
      <c r="M37" t="s">
        <v>254</v>
      </c>
      <c r="N37" t="s">
        <v>61</v>
      </c>
      <c r="O37" s="127">
        <v>46021</v>
      </c>
      <c r="P37" t="s">
        <v>290</v>
      </c>
      <c r="Q37" t="s">
        <v>290</v>
      </c>
      <c r="R37" t="s">
        <v>290</v>
      </c>
      <c r="S37" t="s">
        <v>1258</v>
      </c>
      <c r="T37" s="126">
        <v>7.992</v>
      </c>
      <c r="U37" s="127">
        <v>48939</v>
      </c>
      <c r="V37" s="125">
        <v>9.0999999999999998E-2</v>
      </c>
      <c r="W37" s="125">
        <v>0.12</v>
      </c>
      <c r="X37" t="s">
        <v>607</v>
      </c>
      <c r="Z37" t="s">
        <v>749</v>
      </c>
      <c r="AA37" t="s">
        <v>297</v>
      </c>
      <c r="AB37" s="127">
        <v>46203</v>
      </c>
      <c r="AC37" s="127">
        <v>46203</v>
      </c>
      <c r="AD37" s="124">
        <v>1730769.23</v>
      </c>
      <c r="AE37" s="124">
        <v>1</v>
      </c>
      <c r="AF37" s="124">
        <v>104.9</v>
      </c>
      <c r="AG37" s="124">
        <v>1815.57692</v>
      </c>
      <c r="AH37" s="124"/>
      <c r="AI37" s="124"/>
      <c r="AJ37" t="s">
        <v>16</v>
      </c>
      <c r="AK37" s="125">
        <v>1.4655632668000001E-2</v>
      </c>
      <c r="AL37" s="125">
        <f>AG37/'סכום נכסים'!$B$30</f>
        <v>3.2687521705675773E-4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9"/>
  <sheetViews>
    <sheetView rightToLeft="1" topLeftCell="F1" workbookViewId="0"/>
  </sheetViews>
  <sheetFormatPr defaultColWidth="0" defaultRowHeight="14" x14ac:dyDescent="0.3"/>
  <cols>
    <col min="1" max="2" width="10.58203125" bestFit="1" customWidth="1"/>
    <col min="3" max="3" width="34.83203125" bestFit="1" customWidth="1"/>
    <col min="4" max="4" width="13.25" bestFit="1" customWidth="1"/>
    <col min="5" max="5" width="24.75" bestFit="1" customWidth="1"/>
    <col min="6" max="6" width="25.58203125" bestFit="1" customWidth="1"/>
    <col min="7" max="7" width="9.4140625" bestFit="1" customWidth="1"/>
    <col min="8" max="8" width="9.1640625" bestFit="1" customWidth="1"/>
    <col min="9" max="9" width="14" bestFit="1" customWidth="1"/>
    <col min="10" max="10" width="10" bestFit="1" customWidth="1"/>
    <col min="11" max="11" width="9.25" bestFit="1" customWidth="1"/>
    <col min="12" max="12" width="7.83203125" bestFit="1" customWidth="1"/>
    <col min="13" max="13" width="41.25" bestFit="1" customWidth="1"/>
    <col min="14" max="14" width="11" bestFit="1" customWidth="1"/>
    <col min="15" max="15" width="11.58203125" customWidth="1"/>
    <col min="16" max="16" width="11.25" bestFit="1" customWidth="1"/>
    <col min="17" max="17" width="14.25" bestFit="1" customWidth="1"/>
    <col min="18" max="18" width="7.83203125" bestFit="1" customWidth="1"/>
    <col min="19" max="19" width="11" bestFit="1" customWidth="1"/>
    <col min="20" max="20" width="11.58203125" customWidth="1"/>
    <col min="21" max="21" width="12.75" bestFit="1" customWidth="1"/>
    <col min="22" max="22" width="9.83203125" bestFit="1" customWidth="1"/>
    <col min="23" max="23" width="12.75" bestFit="1" customWidth="1"/>
    <col min="24" max="24" width="10.83203125" bestFit="1" customWidth="1"/>
    <col min="25" max="25" width="11.1640625" bestFit="1" customWidth="1"/>
    <col min="26" max="26" width="10" bestFit="1" customWidth="1"/>
    <col min="27" max="16384" width="9" hidden="1"/>
  </cols>
  <sheetData>
    <row r="1" spans="1:26" s="2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596</v>
      </c>
      <c r="M1" s="13" t="s">
        <v>8</v>
      </c>
      <c r="N1" s="13" t="s">
        <v>593</v>
      </c>
      <c r="O1" s="13" t="s">
        <v>11</v>
      </c>
      <c r="P1" s="13" t="s">
        <v>387</v>
      </c>
      <c r="Q1" s="13" t="s">
        <v>876</v>
      </c>
      <c r="R1" s="13" t="s">
        <v>363</v>
      </c>
      <c r="S1" s="13" t="s">
        <v>15</v>
      </c>
      <c r="T1" s="13" t="s">
        <v>1099</v>
      </c>
      <c r="U1" s="13" t="s">
        <v>747</v>
      </c>
      <c r="V1" s="13" t="s">
        <v>10</v>
      </c>
      <c r="W1" s="13" t="s">
        <v>14</v>
      </c>
      <c r="X1" s="13" t="s">
        <v>1105</v>
      </c>
      <c r="Y1" s="13" t="s">
        <v>18</v>
      </c>
      <c r="Z1" s="13" t="s">
        <v>29</v>
      </c>
    </row>
    <row r="2" spans="1:26" x14ac:dyDescent="0.3">
      <c r="A2">
        <v>13908</v>
      </c>
      <c r="B2">
        <v>13908</v>
      </c>
      <c r="C2" t="s">
        <v>2691</v>
      </c>
      <c r="D2">
        <v>515599009</v>
      </c>
      <c r="E2" t="s">
        <v>420</v>
      </c>
      <c r="F2" t="s">
        <v>2684</v>
      </c>
      <c r="G2">
        <v>11019400</v>
      </c>
      <c r="H2" t="s">
        <v>77</v>
      </c>
      <c r="I2" t="s">
        <v>452</v>
      </c>
      <c r="J2" t="s">
        <v>52</v>
      </c>
      <c r="K2" t="s">
        <v>151</v>
      </c>
      <c r="L2" t="s">
        <v>911</v>
      </c>
      <c r="M2" t="s">
        <v>248</v>
      </c>
      <c r="N2" t="s">
        <v>61</v>
      </c>
      <c r="O2" s="127">
        <v>45657</v>
      </c>
      <c r="P2" t="s">
        <v>1260</v>
      </c>
      <c r="Q2" t="s">
        <v>293</v>
      </c>
      <c r="R2" t="s">
        <v>297</v>
      </c>
      <c r="S2" s="127">
        <v>46203</v>
      </c>
      <c r="T2" s="127">
        <v>46203</v>
      </c>
      <c r="U2" s="124">
        <v>617</v>
      </c>
      <c r="V2" s="124">
        <v>2.9780000000000002</v>
      </c>
      <c r="W2" s="124">
        <v>4310.8685999999998</v>
      </c>
      <c r="X2" s="124">
        <v>79.209019999999995</v>
      </c>
      <c r="Y2" s="125">
        <v>1.1538533230000001E-3</v>
      </c>
      <c r="Z2" s="125">
        <f>X2/'סכום נכסים'!$B$30</f>
        <v>1.42607373557894E-5</v>
      </c>
    </row>
    <row r="3" spans="1:26" x14ac:dyDescent="0.3">
      <c r="A3">
        <v>13908</v>
      </c>
      <c r="B3">
        <v>13908</v>
      </c>
      <c r="C3" t="s">
        <v>2685</v>
      </c>
      <c r="D3">
        <v>540300662</v>
      </c>
      <c r="E3" t="s">
        <v>423</v>
      </c>
      <c r="F3" t="s">
        <v>2686</v>
      </c>
      <c r="G3">
        <v>11019989</v>
      </c>
      <c r="H3" t="s">
        <v>77</v>
      </c>
      <c r="I3" t="s">
        <v>452</v>
      </c>
      <c r="J3" t="s">
        <v>52</v>
      </c>
      <c r="K3" t="s">
        <v>306</v>
      </c>
      <c r="L3" t="s">
        <v>911</v>
      </c>
      <c r="M3" t="s">
        <v>1211</v>
      </c>
      <c r="N3" t="s">
        <v>61</v>
      </c>
      <c r="O3" s="127">
        <v>45657</v>
      </c>
      <c r="P3" t="s">
        <v>1260</v>
      </c>
      <c r="Q3" t="s">
        <v>295</v>
      </c>
      <c r="R3" t="s">
        <v>297</v>
      </c>
      <c r="S3" s="127">
        <v>46203</v>
      </c>
      <c r="T3" s="127">
        <v>46203</v>
      </c>
      <c r="U3" s="124">
        <v>178442.41</v>
      </c>
      <c r="V3" s="124">
        <v>2.9780000000000002</v>
      </c>
      <c r="W3" s="124">
        <v>144.232</v>
      </c>
      <c r="X3" s="124">
        <v>766.45101</v>
      </c>
      <c r="Y3" s="125">
        <v>1.1165042125E-2</v>
      </c>
      <c r="Z3" s="125">
        <f>X3/'סכום נכסים'!$B$30</f>
        <v>1.3799131146540527E-4</v>
      </c>
    </row>
    <row r="4" spans="1:26" x14ac:dyDescent="0.3">
      <c r="A4">
        <v>13908</v>
      </c>
      <c r="B4">
        <v>13908</v>
      </c>
      <c r="C4" t="s">
        <v>2699</v>
      </c>
      <c r="D4">
        <v>516491776</v>
      </c>
      <c r="E4" t="s">
        <v>420</v>
      </c>
      <c r="F4" t="s">
        <v>2688</v>
      </c>
      <c r="G4">
        <v>11021113</v>
      </c>
      <c r="H4" t="s">
        <v>77</v>
      </c>
      <c r="I4" t="s">
        <v>452</v>
      </c>
      <c r="J4" t="s">
        <v>52</v>
      </c>
      <c r="K4" t="s">
        <v>52</v>
      </c>
      <c r="L4" t="s">
        <v>911</v>
      </c>
      <c r="M4" t="s">
        <v>1212</v>
      </c>
      <c r="N4" t="s">
        <v>61</v>
      </c>
      <c r="O4" s="127">
        <v>45657</v>
      </c>
      <c r="P4" t="s">
        <v>1258</v>
      </c>
      <c r="Q4" t="s">
        <v>293</v>
      </c>
      <c r="R4" t="s">
        <v>297</v>
      </c>
      <c r="S4" s="127">
        <v>46203</v>
      </c>
      <c r="T4" s="127">
        <v>46203</v>
      </c>
      <c r="U4" s="124">
        <v>648150.93999999994</v>
      </c>
      <c r="V4" s="124">
        <v>1</v>
      </c>
      <c r="W4" s="124">
        <v>358.4271</v>
      </c>
      <c r="X4" s="124">
        <v>2323.1486199999999</v>
      </c>
      <c r="Y4" s="125">
        <v>3.3841761402000001E-2</v>
      </c>
      <c r="Z4" s="125">
        <f>X4/'סכום נכסים'!$B$30</f>
        <v>4.1825807601564313E-4</v>
      </c>
    </row>
    <row r="5" spans="1:26" x14ac:dyDescent="0.3">
      <c r="A5">
        <v>13908</v>
      </c>
      <c r="B5">
        <v>13908</v>
      </c>
      <c r="C5" t="s">
        <v>2689</v>
      </c>
      <c r="D5">
        <v>515859049</v>
      </c>
      <c r="E5" t="s">
        <v>420</v>
      </c>
      <c r="F5" t="s">
        <v>2690</v>
      </c>
      <c r="G5">
        <v>11021257</v>
      </c>
      <c r="H5" t="s">
        <v>77</v>
      </c>
      <c r="I5" t="s">
        <v>452</v>
      </c>
      <c r="J5" t="s">
        <v>52</v>
      </c>
      <c r="K5" t="s">
        <v>306</v>
      </c>
      <c r="L5" t="s">
        <v>911</v>
      </c>
      <c r="M5" t="s">
        <v>248</v>
      </c>
      <c r="N5" t="s">
        <v>61</v>
      </c>
      <c r="O5" s="127">
        <v>45657</v>
      </c>
      <c r="P5" t="s">
        <v>1260</v>
      </c>
      <c r="Q5" t="s">
        <v>295</v>
      </c>
      <c r="R5" t="s">
        <v>297</v>
      </c>
      <c r="S5" s="127">
        <v>46203</v>
      </c>
      <c r="T5" s="127">
        <v>46203</v>
      </c>
      <c r="U5" s="124">
        <v>96312</v>
      </c>
      <c r="V5" s="124">
        <v>2.9780000000000002</v>
      </c>
      <c r="W5" s="124">
        <v>994.37490000000003</v>
      </c>
      <c r="X5" s="124">
        <v>2852.0376099999999</v>
      </c>
      <c r="Y5" s="125">
        <v>4.1546191008E-2</v>
      </c>
      <c r="Z5" s="125">
        <f>X5/'סכום נכסים'!$B$30</f>
        <v>5.1347888517044296E-4</v>
      </c>
    </row>
    <row r="6" spans="1:26" x14ac:dyDescent="0.3">
      <c r="A6">
        <v>13908</v>
      </c>
      <c r="B6">
        <v>13908</v>
      </c>
      <c r="C6" t="s">
        <v>2691</v>
      </c>
      <c r="D6">
        <v>515599009</v>
      </c>
      <c r="E6" t="s">
        <v>420</v>
      </c>
      <c r="F6" t="s">
        <v>2692</v>
      </c>
      <c r="G6">
        <v>11021301</v>
      </c>
      <c r="H6" t="s">
        <v>77</v>
      </c>
      <c r="I6" t="s">
        <v>452</v>
      </c>
      <c r="J6" t="s">
        <v>52</v>
      </c>
      <c r="K6" t="s">
        <v>306</v>
      </c>
      <c r="L6" t="s">
        <v>911</v>
      </c>
      <c r="M6" t="s">
        <v>1208</v>
      </c>
      <c r="N6" t="s">
        <v>61</v>
      </c>
      <c r="O6" s="127">
        <v>45657</v>
      </c>
      <c r="P6" t="s">
        <v>1260</v>
      </c>
      <c r="Q6" t="s">
        <v>295</v>
      </c>
      <c r="R6" t="s">
        <v>297</v>
      </c>
      <c r="S6" s="127">
        <v>46203</v>
      </c>
      <c r="T6" s="127">
        <v>46203</v>
      </c>
      <c r="U6" s="124">
        <v>650000</v>
      </c>
      <c r="V6" s="124">
        <v>2.9780000000000002</v>
      </c>
      <c r="W6" s="124">
        <v>296.35210000000001</v>
      </c>
      <c r="X6" s="124">
        <v>5736.4876000000004</v>
      </c>
      <c r="Y6" s="125">
        <v>8.3564539510999999E-2</v>
      </c>
      <c r="Z6" s="125">
        <f>X6/'סכום נכסים'!$B$30</f>
        <v>1.0327932728916819E-3</v>
      </c>
    </row>
    <row r="7" spans="1:26" x14ac:dyDescent="0.3">
      <c r="A7">
        <v>13908</v>
      </c>
      <c r="B7">
        <v>13908</v>
      </c>
      <c r="C7" t="s">
        <v>2693</v>
      </c>
      <c r="D7">
        <v>515446821</v>
      </c>
      <c r="E7" t="s">
        <v>420</v>
      </c>
      <c r="F7" t="s">
        <v>2694</v>
      </c>
      <c r="G7">
        <v>11021306</v>
      </c>
      <c r="H7" t="s">
        <v>77</v>
      </c>
      <c r="I7" t="s">
        <v>452</v>
      </c>
      <c r="J7" t="s">
        <v>52</v>
      </c>
      <c r="K7" t="s">
        <v>306</v>
      </c>
      <c r="L7" t="s">
        <v>911</v>
      </c>
      <c r="M7" t="s">
        <v>1212</v>
      </c>
      <c r="N7" t="s">
        <v>61</v>
      </c>
      <c r="O7" s="127">
        <v>45657</v>
      </c>
      <c r="P7" t="s">
        <v>1260</v>
      </c>
      <c r="Q7" t="s">
        <v>295</v>
      </c>
      <c r="R7" t="s">
        <v>297</v>
      </c>
      <c r="S7" s="127">
        <v>46203</v>
      </c>
      <c r="T7" s="127">
        <v>46203</v>
      </c>
      <c r="U7" s="124">
        <v>300000</v>
      </c>
      <c r="V7" s="124">
        <v>2.9780000000000002</v>
      </c>
      <c r="W7" s="124">
        <v>173.14269999999999</v>
      </c>
      <c r="X7" s="124">
        <v>1546.85688</v>
      </c>
      <c r="Y7" s="125">
        <v>2.2533367432999999E-2</v>
      </c>
      <c r="Z7" s="125">
        <f>X7/'סכום נכסים'!$B$30</f>
        <v>2.7849504630502744E-4</v>
      </c>
    </row>
    <row r="8" spans="1:26" x14ac:dyDescent="0.3">
      <c r="A8">
        <v>13908</v>
      </c>
      <c r="B8">
        <v>13908</v>
      </c>
      <c r="C8" t="s">
        <v>2695</v>
      </c>
      <c r="D8">
        <v>513591115</v>
      </c>
      <c r="E8" t="s">
        <v>420</v>
      </c>
      <c r="F8" t="s">
        <v>2696</v>
      </c>
      <c r="G8">
        <v>11022486</v>
      </c>
      <c r="H8" t="s">
        <v>77</v>
      </c>
      <c r="I8" t="s">
        <v>452</v>
      </c>
      <c r="J8" t="s">
        <v>52</v>
      </c>
      <c r="K8" t="s">
        <v>52</v>
      </c>
      <c r="L8" t="s">
        <v>911</v>
      </c>
      <c r="M8" t="s">
        <v>619</v>
      </c>
      <c r="N8" t="s">
        <v>61</v>
      </c>
      <c r="O8" s="127">
        <v>45875</v>
      </c>
      <c r="P8" t="s">
        <v>1258</v>
      </c>
      <c r="Q8" t="s">
        <v>295</v>
      </c>
      <c r="R8" t="s">
        <v>297</v>
      </c>
      <c r="S8" s="127">
        <v>46203</v>
      </c>
      <c r="T8" s="127">
        <v>46203</v>
      </c>
      <c r="U8" s="124">
        <v>9000000</v>
      </c>
      <c r="V8" s="124">
        <v>1</v>
      </c>
      <c r="W8" s="124">
        <v>148.52359999999999</v>
      </c>
      <c r="X8" s="124">
        <v>13367.124</v>
      </c>
      <c r="Y8" s="125">
        <v>0.19472151594000001</v>
      </c>
      <c r="Z8" s="125">
        <f>X8/'סכום נכסים'!$B$30</f>
        <v>2.4066077899495414E-3</v>
      </c>
    </row>
    <row r="9" spans="1:26" x14ac:dyDescent="0.3">
      <c r="A9">
        <v>13908</v>
      </c>
      <c r="B9">
        <v>13908</v>
      </c>
      <c r="C9" t="s">
        <v>2697</v>
      </c>
      <c r="D9">
        <v>516961604</v>
      </c>
      <c r="E9" t="s">
        <v>420</v>
      </c>
      <c r="F9" t="s">
        <v>2698</v>
      </c>
      <c r="G9">
        <v>11022516</v>
      </c>
      <c r="H9" t="s">
        <v>77</v>
      </c>
      <c r="I9" t="s">
        <v>452</v>
      </c>
      <c r="J9" t="s">
        <v>52</v>
      </c>
      <c r="K9" t="s">
        <v>52</v>
      </c>
      <c r="L9" t="s">
        <v>911</v>
      </c>
      <c r="M9" t="s">
        <v>1212</v>
      </c>
      <c r="N9" t="s">
        <v>61</v>
      </c>
      <c r="O9" s="127">
        <v>45897</v>
      </c>
      <c r="P9" t="s">
        <v>1258</v>
      </c>
      <c r="Q9" t="s">
        <v>295</v>
      </c>
      <c r="R9" t="s">
        <v>297</v>
      </c>
      <c r="S9" s="127">
        <v>46203</v>
      </c>
      <c r="T9" s="127">
        <v>46203</v>
      </c>
      <c r="U9" s="124">
        <v>16293.33</v>
      </c>
      <c r="V9" s="124">
        <v>1</v>
      </c>
      <c r="W9" s="124">
        <v>14400</v>
      </c>
      <c r="X9" s="124">
        <v>2346.2395200000001</v>
      </c>
      <c r="Y9" s="125">
        <v>3.4178131069000001E-2</v>
      </c>
      <c r="Z9" s="125">
        <f>X9/'סכום נכסים'!$B$30</f>
        <v>4.2241534573326872E-4</v>
      </c>
    </row>
    <row r="10" spans="1:26" x14ac:dyDescent="0.3">
      <c r="A10">
        <v>13908</v>
      </c>
      <c r="B10">
        <v>13908</v>
      </c>
      <c r="C10" t="s">
        <v>2699</v>
      </c>
      <c r="D10">
        <v>516491776</v>
      </c>
      <c r="E10" t="s">
        <v>420</v>
      </c>
      <c r="F10" t="s">
        <v>2687</v>
      </c>
      <c r="G10">
        <v>11022519</v>
      </c>
      <c r="H10" t="s">
        <v>77</v>
      </c>
      <c r="I10" t="s">
        <v>452</v>
      </c>
      <c r="J10" t="s">
        <v>52</v>
      </c>
      <c r="K10" t="s">
        <v>52</v>
      </c>
      <c r="L10" t="s">
        <v>911</v>
      </c>
      <c r="M10" t="s">
        <v>1212</v>
      </c>
      <c r="N10" t="s">
        <v>61</v>
      </c>
      <c r="O10" s="127">
        <v>45930</v>
      </c>
      <c r="P10" t="s">
        <v>1258</v>
      </c>
      <c r="Q10" t="s">
        <v>295</v>
      </c>
      <c r="R10" t="s">
        <v>297</v>
      </c>
      <c r="S10" s="127">
        <v>46203</v>
      </c>
      <c r="T10" s="127">
        <v>46203</v>
      </c>
      <c r="U10" s="124">
        <v>1825568.12</v>
      </c>
      <c r="V10" s="124">
        <v>1</v>
      </c>
      <c r="W10" s="124">
        <v>100</v>
      </c>
      <c r="X10" s="124">
        <v>1825.5681199999999</v>
      </c>
      <c r="Y10" s="125">
        <v>2.6593408706999999E-2</v>
      </c>
      <c r="Z10" s="125">
        <f>X10/'סכום נכסים'!$B$30</f>
        <v>3.2867402581703736E-4</v>
      </c>
    </row>
    <row r="11" spans="1:26" x14ac:dyDescent="0.3">
      <c r="A11">
        <v>13908</v>
      </c>
      <c r="B11">
        <v>13908</v>
      </c>
      <c r="C11" t="s">
        <v>2685</v>
      </c>
      <c r="D11">
        <v>540300662</v>
      </c>
      <c r="E11" t="s">
        <v>423</v>
      </c>
      <c r="F11" t="s">
        <v>2700</v>
      </c>
      <c r="G11">
        <v>11022827</v>
      </c>
      <c r="H11" t="s">
        <v>77</v>
      </c>
      <c r="I11" t="s">
        <v>452</v>
      </c>
      <c r="J11" t="s">
        <v>52</v>
      </c>
      <c r="K11" t="s">
        <v>306</v>
      </c>
      <c r="L11" t="s">
        <v>911</v>
      </c>
      <c r="M11" t="s">
        <v>262</v>
      </c>
      <c r="N11" t="s">
        <v>61</v>
      </c>
      <c r="O11" s="127">
        <v>45853</v>
      </c>
      <c r="P11" t="s">
        <v>1260</v>
      </c>
      <c r="Q11" t="s">
        <v>295</v>
      </c>
      <c r="R11" t="s">
        <v>297</v>
      </c>
      <c r="S11" s="127">
        <v>46203</v>
      </c>
      <c r="T11" s="127">
        <v>46203</v>
      </c>
      <c r="U11" s="124">
        <v>15624.83</v>
      </c>
      <c r="V11" s="124">
        <v>2.9780000000000002</v>
      </c>
      <c r="W11" s="124">
        <v>82.155100000000004</v>
      </c>
      <c r="X11" s="124">
        <v>38.227379999999997</v>
      </c>
      <c r="Y11" s="125">
        <v>5.5686573800000001E-4</v>
      </c>
      <c r="Z11" s="125">
        <f>X11/'סכום נכסים'!$B$30</f>
        <v>6.8824311420587782E-6</v>
      </c>
    </row>
    <row r="12" spans="1:26" x14ac:dyDescent="0.3">
      <c r="A12">
        <v>13908</v>
      </c>
      <c r="B12">
        <v>13908</v>
      </c>
      <c r="C12" t="s">
        <v>2701</v>
      </c>
      <c r="D12">
        <v>514234202</v>
      </c>
      <c r="E12" t="s">
        <v>420</v>
      </c>
      <c r="F12" t="s">
        <v>2702</v>
      </c>
      <c r="G12">
        <v>11022831</v>
      </c>
      <c r="H12" t="s">
        <v>77</v>
      </c>
      <c r="I12" t="s">
        <v>452</v>
      </c>
      <c r="J12" t="s">
        <v>52</v>
      </c>
      <c r="K12" t="s">
        <v>306</v>
      </c>
      <c r="L12" t="s">
        <v>911</v>
      </c>
      <c r="M12" t="s">
        <v>248</v>
      </c>
      <c r="N12" t="s">
        <v>61</v>
      </c>
      <c r="O12" s="127">
        <v>45880</v>
      </c>
      <c r="P12" t="s">
        <v>1260</v>
      </c>
      <c r="Q12" t="s">
        <v>295</v>
      </c>
      <c r="R12" t="s">
        <v>297</v>
      </c>
      <c r="S12" s="127">
        <v>46203</v>
      </c>
      <c r="T12" s="127">
        <v>46203</v>
      </c>
      <c r="U12" s="124">
        <v>362900</v>
      </c>
      <c r="V12" s="124">
        <v>2.9780000000000002</v>
      </c>
      <c r="W12" s="124">
        <v>100</v>
      </c>
      <c r="X12" s="124">
        <v>1080.7162000000001</v>
      </c>
      <c r="Y12" s="125">
        <v>1.5743004759999998E-2</v>
      </c>
      <c r="Z12" s="125">
        <f>X12/'סכום נכסים'!$B$30</f>
        <v>1.9457139962527969E-4</v>
      </c>
    </row>
    <row r="13" spans="1:26" x14ac:dyDescent="0.3">
      <c r="A13">
        <v>13908</v>
      </c>
      <c r="B13">
        <v>13908</v>
      </c>
      <c r="C13" t="s">
        <v>2703</v>
      </c>
      <c r="D13">
        <v>514301712</v>
      </c>
      <c r="E13" t="s">
        <v>420</v>
      </c>
      <c r="F13" t="s">
        <v>2703</v>
      </c>
      <c r="G13">
        <v>11150030</v>
      </c>
      <c r="H13" t="s">
        <v>77</v>
      </c>
      <c r="I13" t="s">
        <v>452</v>
      </c>
      <c r="J13" t="s">
        <v>52</v>
      </c>
      <c r="K13" t="s">
        <v>52</v>
      </c>
      <c r="L13" t="s">
        <v>911</v>
      </c>
      <c r="M13" t="s">
        <v>616</v>
      </c>
      <c r="N13" t="s">
        <v>61</v>
      </c>
      <c r="O13" s="127">
        <v>46198</v>
      </c>
      <c r="P13" t="s">
        <v>1258</v>
      </c>
      <c r="Q13" t="s">
        <v>295</v>
      </c>
      <c r="R13" t="s">
        <v>297</v>
      </c>
      <c r="S13" s="127">
        <v>46203</v>
      </c>
      <c r="T13" s="127">
        <v>46203</v>
      </c>
      <c r="U13" s="124">
        <v>2240</v>
      </c>
      <c r="V13" s="124">
        <v>1</v>
      </c>
      <c r="W13" s="124">
        <v>1000000</v>
      </c>
      <c r="X13" s="124">
        <v>22400</v>
      </c>
      <c r="Y13" s="125">
        <v>0.32630519153300003</v>
      </c>
      <c r="Z13" s="125">
        <f>X13/'סכום נכסים'!$B$30</f>
        <v>4.0328805579173E-3</v>
      </c>
    </row>
    <row r="14" spans="1:26" x14ac:dyDescent="0.3">
      <c r="A14">
        <v>13908</v>
      </c>
      <c r="B14">
        <v>13908</v>
      </c>
      <c r="C14" t="s">
        <v>2701</v>
      </c>
      <c r="D14">
        <v>514234202</v>
      </c>
      <c r="E14" t="s">
        <v>420</v>
      </c>
      <c r="F14" t="s">
        <v>2704</v>
      </c>
      <c r="G14">
        <v>11019758</v>
      </c>
      <c r="H14" t="s">
        <v>77</v>
      </c>
      <c r="I14" t="s">
        <v>452</v>
      </c>
      <c r="J14" t="s">
        <v>60</v>
      </c>
      <c r="K14" t="s">
        <v>306</v>
      </c>
      <c r="L14" t="s">
        <v>911</v>
      </c>
      <c r="M14" t="s">
        <v>858</v>
      </c>
      <c r="N14" t="s">
        <v>61</v>
      </c>
      <c r="O14" s="127">
        <v>45699</v>
      </c>
      <c r="P14" t="s">
        <v>1260</v>
      </c>
      <c r="Q14" t="s">
        <v>295</v>
      </c>
      <c r="R14" t="s">
        <v>297</v>
      </c>
      <c r="S14" s="127">
        <v>46203</v>
      </c>
      <c r="T14" s="127">
        <v>46203</v>
      </c>
      <c r="U14" s="124">
        <v>66260.84</v>
      </c>
      <c r="V14" s="124">
        <v>2.9780000000000002</v>
      </c>
      <c r="W14" s="124">
        <v>1129</v>
      </c>
      <c r="X14" s="124">
        <v>2227.7967800000001</v>
      </c>
      <c r="Y14" s="125">
        <v>3.2452752454999997E-2</v>
      </c>
      <c r="Z14" s="125">
        <f>X14/'סכום נכסים'!$B$30</f>
        <v>4.0109099647556986E-4</v>
      </c>
    </row>
    <row r="15" spans="1:26" x14ac:dyDescent="0.3">
      <c r="A15">
        <v>13908</v>
      </c>
      <c r="B15">
        <v>13908</v>
      </c>
      <c r="C15" t="s">
        <v>2705</v>
      </c>
      <c r="D15" t="s">
        <v>2706</v>
      </c>
      <c r="E15" t="s">
        <v>743</v>
      </c>
      <c r="F15" t="s">
        <v>2707</v>
      </c>
      <c r="G15">
        <v>11021270</v>
      </c>
      <c r="H15" t="s">
        <v>77</v>
      </c>
      <c r="I15" t="s">
        <v>452</v>
      </c>
      <c r="J15" t="s">
        <v>60</v>
      </c>
      <c r="K15" t="s">
        <v>306</v>
      </c>
      <c r="L15" t="s">
        <v>911</v>
      </c>
      <c r="M15" t="s">
        <v>860</v>
      </c>
      <c r="N15" t="s">
        <v>61</v>
      </c>
      <c r="O15" s="127">
        <v>45657</v>
      </c>
      <c r="P15" t="s">
        <v>1260</v>
      </c>
      <c r="Q15" t="s">
        <v>295</v>
      </c>
      <c r="R15" t="s">
        <v>297</v>
      </c>
      <c r="S15" s="127">
        <v>46203</v>
      </c>
      <c r="T15" s="127">
        <v>46203</v>
      </c>
      <c r="U15" s="124">
        <v>900000</v>
      </c>
      <c r="V15" s="124">
        <v>2.9780000000000002</v>
      </c>
      <c r="W15" s="124">
        <v>100</v>
      </c>
      <c r="X15" s="124">
        <v>2680.2</v>
      </c>
      <c r="Y15" s="125">
        <v>3.9042998853999998E-2</v>
      </c>
      <c r="Z15" s="125">
        <f>X15/'סכום נכסים'!$B$30</f>
        <v>4.8254136032722976E-4</v>
      </c>
    </row>
    <row r="16" spans="1:26" x14ac:dyDescent="0.3">
      <c r="A16">
        <v>13908</v>
      </c>
      <c r="B16">
        <v>13908</v>
      </c>
      <c r="C16" t="s">
        <v>2708</v>
      </c>
      <c r="D16">
        <v>20213498049</v>
      </c>
      <c r="E16" t="s">
        <v>743</v>
      </c>
      <c r="F16" t="s">
        <v>2709</v>
      </c>
      <c r="G16">
        <v>11022807</v>
      </c>
      <c r="H16" t="s">
        <v>77</v>
      </c>
      <c r="I16" t="s">
        <v>452</v>
      </c>
      <c r="J16" t="s">
        <v>60</v>
      </c>
      <c r="K16" t="s">
        <v>306</v>
      </c>
      <c r="L16" t="s">
        <v>911</v>
      </c>
      <c r="M16" t="s">
        <v>128</v>
      </c>
      <c r="N16" t="s">
        <v>61</v>
      </c>
      <c r="O16" s="127">
        <v>45775</v>
      </c>
      <c r="P16" t="s">
        <v>1260</v>
      </c>
      <c r="Q16" t="s">
        <v>295</v>
      </c>
      <c r="R16" t="s">
        <v>297</v>
      </c>
      <c r="S16" s="127">
        <v>46203</v>
      </c>
      <c r="T16" s="127">
        <v>46203</v>
      </c>
      <c r="U16" s="124">
        <v>1007</v>
      </c>
      <c r="V16" s="124">
        <v>2.9780000000000002</v>
      </c>
      <c r="W16" s="124">
        <v>5250</v>
      </c>
      <c r="X16" s="124">
        <v>157.43941000000001</v>
      </c>
      <c r="Y16" s="125">
        <v>2.2934507509999999E-3</v>
      </c>
      <c r="Z16" s="125">
        <f>X16/'סכום נכסים'!$B$30</f>
        <v>2.8345282841025473E-5</v>
      </c>
    </row>
    <row r="17" spans="1:26" x14ac:dyDescent="0.3">
      <c r="A17">
        <v>13908</v>
      </c>
      <c r="B17">
        <v>13908</v>
      </c>
      <c r="C17" t="s">
        <v>2710</v>
      </c>
      <c r="D17">
        <v>7310928</v>
      </c>
      <c r="E17" t="s">
        <v>743</v>
      </c>
      <c r="F17" t="s">
        <v>2711</v>
      </c>
      <c r="G17">
        <v>11022824</v>
      </c>
      <c r="H17" t="s">
        <v>77</v>
      </c>
      <c r="I17" t="s">
        <v>452</v>
      </c>
      <c r="J17" t="s">
        <v>60</v>
      </c>
      <c r="K17" t="s">
        <v>306</v>
      </c>
      <c r="L17" t="s">
        <v>911</v>
      </c>
      <c r="M17" t="s">
        <v>856</v>
      </c>
      <c r="N17" t="s">
        <v>61</v>
      </c>
      <c r="O17" s="127">
        <v>45806</v>
      </c>
      <c r="P17" t="s">
        <v>1260</v>
      </c>
      <c r="Q17" t="s">
        <v>295</v>
      </c>
      <c r="R17" t="s">
        <v>297</v>
      </c>
      <c r="S17" s="127">
        <v>46203</v>
      </c>
      <c r="T17" s="127">
        <v>46203</v>
      </c>
      <c r="U17" s="124">
        <v>1214083.3500000001</v>
      </c>
      <c r="V17" s="124">
        <v>2.9780000000000002</v>
      </c>
      <c r="W17" s="124">
        <v>74.13</v>
      </c>
      <c r="X17" s="124">
        <v>2680.1999599999999</v>
      </c>
      <c r="Y17" s="125">
        <v>3.9042998272000001E-2</v>
      </c>
      <c r="Z17" s="125">
        <f>X17/'סכום נכסים'!$B$30</f>
        <v>4.8254135312565736E-4</v>
      </c>
    </row>
    <row r="18" spans="1:26" x14ac:dyDescent="0.3">
      <c r="A18">
        <v>13908</v>
      </c>
      <c r="B18">
        <v>13908</v>
      </c>
      <c r="C18" t="s">
        <v>2712</v>
      </c>
      <c r="D18" t="s">
        <v>2713</v>
      </c>
      <c r="E18" t="s">
        <v>743</v>
      </c>
      <c r="F18" t="s">
        <v>2712</v>
      </c>
      <c r="G18">
        <v>11150005</v>
      </c>
      <c r="H18" t="s">
        <v>77</v>
      </c>
      <c r="I18" t="s">
        <v>452</v>
      </c>
      <c r="J18" t="s">
        <v>60</v>
      </c>
      <c r="K18" t="s">
        <v>52</v>
      </c>
      <c r="L18" t="s">
        <v>911</v>
      </c>
      <c r="M18" t="s">
        <v>128</v>
      </c>
      <c r="N18" t="s">
        <v>61</v>
      </c>
      <c r="O18" s="127">
        <v>46110</v>
      </c>
      <c r="P18" t="s">
        <v>1260</v>
      </c>
      <c r="Q18" t="s">
        <v>295</v>
      </c>
      <c r="R18" t="s">
        <v>297</v>
      </c>
      <c r="S18" s="127">
        <v>46203</v>
      </c>
      <c r="T18" s="127">
        <v>46203</v>
      </c>
      <c r="U18" s="124">
        <v>606000.23</v>
      </c>
      <c r="V18" s="124">
        <v>2.9780000000000002</v>
      </c>
      <c r="W18" s="124">
        <v>100</v>
      </c>
      <c r="X18" s="124">
        <v>1804.66868</v>
      </c>
      <c r="Y18" s="125">
        <v>2.6288962467E-2</v>
      </c>
      <c r="Z18" s="125">
        <f>X18/'סכום נכסים'!$B$30</f>
        <v>3.2491130504706594E-4</v>
      </c>
    </row>
    <row r="19" spans="1:26" x14ac:dyDescent="0.3">
      <c r="A19">
        <v>13908</v>
      </c>
      <c r="B19">
        <v>13908</v>
      </c>
      <c r="C19" t="s">
        <v>2714</v>
      </c>
      <c r="D19">
        <v>540300233</v>
      </c>
      <c r="E19" t="s">
        <v>423</v>
      </c>
      <c r="F19" t="s">
        <v>2715</v>
      </c>
      <c r="G19">
        <v>11150023</v>
      </c>
      <c r="H19" t="s">
        <v>77</v>
      </c>
      <c r="I19" t="s">
        <v>452</v>
      </c>
      <c r="J19" t="s">
        <v>60</v>
      </c>
      <c r="K19" t="s">
        <v>306</v>
      </c>
      <c r="L19" t="s">
        <v>911</v>
      </c>
      <c r="M19" t="s">
        <v>860</v>
      </c>
      <c r="N19" t="s">
        <v>61</v>
      </c>
      <c r="O19" s="127">
        <v>46174</v>
      </c>
      <c r="P19" t="s">
        <v>1260</v>
      </c>
      <c r="Q19" t="s">
        <v>295</v>
      </c>
      <c r="R19" t="s">
        <v>297</v>
      </c>
      <c r="S19" s="127">
        <v>46203</v>
      </c>
      <c r="T19" s="127">
        <v>46203</v>
      </c>
      <c r="U19" s="124">
        <v>1590000</v>
      </c>
      <c r="V19" s="124">
        <v>2.9780000000000002</v>
      </c>
      <c r="W19" s="124">
        <v>100</v>
      </c>
      <c r="X19" s="124">
        <v>4735.0200000000004</v>
      </c>
      <c r="Y19" s="125">
        <v>6.8975964643000001E-2</v>
      </c>
      <c r="Z19" s="125">
        <f>X19/'סכום נכסים'!$B$30</f>
        <v>8.5248973657810613E-4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83"/>
  <sheetViews>
    <sheetView rightToLeft="1" topLeftCell="B1" workbookViewId="0">
      <selection activeCell="F2" sqref="F2"/>
    </sheetView>
  </sheetViews>
  <sheetFormatPr defaultColWidth="0" defaultRowHeight="14" x14ac:dyDescent="0.3"/>
  <cols>
    <col min="1" max="2" width="10.58203125" bestFit="1" customWidth="1"/>
    <col min="3" max="3" width="51.83203125" bestFit="1" customWidth="1"/>
    <col min="4" max="4" width="16.83203125" bestFit="1" customWidth="1"/>
    <col min="5" max="5" width="24.75" bestFit="1" customWidth="1"/>
    <col min="6" max="6" width="43" bestFit="1" customWidth="1"/>
    <col min="7" max="7" width="16.25" bestFit="1" customWidth="1"/>
    <col min="8" max="8" width="9.1640625" bestFit="1" customWidth="1"/>
    <col min="9" max="9" width="20.4140625" bestFit="1" customWidth="1"/>
    <col min="10" max="10" width="30.83203125" bestFit="1" customWidth="1"/>
    <col min="11" max="11" width="10" bestFit="1" customWidth="1"/>
    <col min="12" max="12" width="10.1640625" bestFit="1" customWidth="1"/>
    <col min="13" max="13" width="11.4140625" bestFit="1" customWidth="1"/>
    <col min="14" max="14" width="26.1640625" bestFit="1" customWidth="1"/>
    <col min="15" max="15" width="11" bestFit="1" customWidth="1"/>
    <col min="16" max="16" width="11.58203125" customWidth="1"/>
    <col min="17" max="17" width="11.25" bestFit="1" customWidth="1"/>
    <col min="18" max="18" width="14.25" bestFit="1" customWidth="1"/>
    <col min="19" max="19" width="10" bestFit="1" customWidth="1"/>
    <col min="20" max="20" width="11" bestFit="1" customWidth="1"/>
    <col min="21" max="21" width="9.83203125" bestFit="1" customWidth="1"/>
    <col min="22" max="22" width="12" bestFit="1" customWidth="1"/>
    <col min="23" max="23" width="10.83203125" bestFit="1" customWidth="1"/>
    <col min="24" max="25" width="11.1640625" bestFit="1" customWidth="1"/>
    <col min="26" max="26" width="10" bestFit="1" customWidth="1"/>
    <col min="27" max="16384" width="9" hidden="1"/>
  </cols>
  <sheetData>
    <row r="1" spans="1:26" s="2" customFormat="1" ht="52" x14ac:dyDescent="0.3">
      <c r="A1" s="13" t="s">
        <v>636</v>
      </c>
      <c r="B1" s="13" t="s">
        <v>0</v>
      </c>
      <c r="C1" s="13" t="s">
        <v>753</v>
      </c>
      <c r="D1" s="13" t="s">
        <v>763</v>
      </c>
      <c r="E1" s="13" t="s">
        <v>754</v>
      </c>
      <c r="F1" s="13" t="s">
        <v>726</v>
      </c>
      <c r="G1" s="13" t="s">
        <v>725</v>
      </c>
      <c r="H1" s="13" t="s">
        <v>730</v>
      </c>
      <c r="I1" s="13" t="s">
        <v>1</v>
      </c>
      <c r="J1" s="13" t="s">
        <v>282</v>
      </c>
      <c r="K1" s="13" t="s">
        <v>591</v>
      </c>
      <c r="L1" s="13" t="s">
        <v>718</v>
      </c>
      <c r="M1" s="13" t="s">
        <v>731</v>
      </c>
      <c r="N1" s="13" t="s">
        <v>592</v>
      </c>
      <c r="O1" s="13" t="s">
        <v>593</v>
      </c>
      <c r="P1" s="17" t="s">
        <v>11</v>
      </c>
      <c r="Q1" s="13" t="s">
        <v>387</v>
      </c>
      <c r="R1" s="13" t="s">
        <v>876</v>
      </c>
      <c r="S1" s="13" t="s">
        <v>363</v>
      </c>
      <c r="T1" s="13" t="s">
        <v>15</v>
      </c>
      <c r="U1" s="13" t="s">
        <v>10</v>
      </c>
      <c r="V1" s="88" t="s">
        <v>894</v>
      </c>
      <c r="W1" s="13" t="s">
        <v>1105</v>
      </c>
      <c r="X1" s="13" t="s">
        <v>715</v>
      </c>
      <c r="Y1" s="13" t="s">
        <v>18</v>
      </c>
      <c r="Z1" s="13" t="s">
        <v>29</v>
      </c>
    </row>
    <row r="2" spans="1:26" x14ac:dyDescent="0.3">
      <c r="A2">
        <v>13908</v>
      </c>
      <c r="B2">
        <v>13908</v>
      </c>
      <c r="C2" t="s">
        <v>2716</v>
      </c>
      <c r="F2" t="s">
        <v>2717</v>
      </c>
      <c r="G2">
        <v>11020474</v>
      </c>
      <c r="H2" t="s">
        <v>77</v>
      </c>
      <c r="I2" t="s">
        <v>885</v>
      </c>
      <c r="K2" t="s">
        <v>52</v>
      </c>
      <c r="N2" t="s">
        <v>52</v>
      </c>
      <c r="O2" t="s">
        <v>61</v>
      </c>
      <c r="P2" s="127">
        <v>45657</v>
      </c>
      <c r="Q2" t="s">
        <v>1260</v>
      </c>
      <c r="R2" t="s">
        <v>295</v>
      </c>
      <c r="S2" t="s">
        <v>297</v>
      </c>
      <c r="T2" s="127">
        <v>46203</v>
      </c>
      <c r="U2" s="124">
        <v>2.9780000000000002</v>
      </c>
      <c r="V2">
        <v>145.31472800537301</v>
      </c>
      <c r="W2" s="124">
        <v>432.74725999999998</v>
      </c>
      <c r="X2" s="125">
        <v>0</v>
      </c>
      <c r="Y2" s="125">
        <v>1.466288178E-3</v>
      </c>
      <c r="Z2" s="125">
        <f>W2/'סכום נכסים'!$B$30</f>
        <v>7.7911518363659945E-5</v>
      </c>
    </row>
    <row r="3" spans="1:26" x14ac:dyDescent="0.3">
      <c r="A3">
        <v>13908</v>
      </c>
      <c r="B3">
        <v>13908</v>
      </c>
      <c r="C3" t="s">
        <v>2718</v>
      </c>
      <c r="F3" t="s">
        <v>2719</v>
      </c>
      <c r="G3">
        <v>11020490</v>
      </c>
      <c r="H3" t="s">
        <v>77</v>
      </c>
      <c r="I3" t="s">
        <v>885</v>
      </c>
      <c r="K3" t="s">
        <v>52</v>
      </c>
      <c r="N3" t="s">
        <v>306</v>
      </c>
      <c r="O3" t="s">
        <v>61</v>
      </c>
      <c r="P3" s="127">
        <v>45657</v>
      </c>
      <c r="Q3" t="s">
        <v>1260</v>
      </c>
      <c r="R3" t="s">
        <v>295</v>
      </c>
      <c r="S3" t="s">
        <v>297</v>
      </c>
      <c r="T3" s="127">
        <v>46203</v>
      </c>
      <c r="U3" s="124">
        <v>2.9780000000000002</v>
      </c>
      <c r="V3">
        <v>53.219049697782999</v>
      </c>
      <c r="W3" s="124">
        <v>158.48633000000001</v>
      </c>
      <c r="X3" s="125">
        <v>0</v>
      </c>
      <c r="Y3" s="125">
        <v>5.3700312700000002E-4</v>
      </c>
      <c r="Z3" s="125">
        <f>W3/'סכום נכסים'!$B$30</f>
        <v>2.8533769596101134E-5</v>
      </c>
    </row>
    <row r="4" spans="1:26" x14ac:dyDescent="0.3">
      <c r="A4">
        <v>13908</v>
      </c>
      <c r="B4">
        <v>13908</v>
      </c>
      <c r="C4" t="s">
        <v>2720</v>
      </c>
      <c r="F4" t="s">
        <v>2721</v>
      </c>
      <c r="G4">
        <v>11021133</v>
      </c>
      <c r="H4" t="s">
        <v>77</v>
      </c>
      <c r="I4" t="s">
        <v>728</v>
      </c>
      <c r="K4" t="s">
        <v>52</v>
      </c>
      <c r="N4" t="s">
        <v>1117</v>
      </c>
      <c r="O4" t="s">
        <v>61</v>
      </c>
      <c r="P4" s="127">
        <v>45657</v>
      </c>
      <c r="Q4" t="s">
        <v>1258</v>
      </c>
      <c r="R4" t="s">
        <v>295</v>
      </c>
      <c r="S4" t="s">
        <v>297</v>
      </c>
      <c r="T4" s="127">
        <v>46203</v>
      </c>
      <c r="U4" s="124">
        <v>1</v>
      </c>
      <c r="V4">
        <v>3625.7626799999998</v>
      </c>
      <c r="W4" s="124">
        <v>3625.7626799999998</v>
      </c>
      <c r="X4" s="125">
        <v>0</v>
      </c>
      <c r="Y4" s="125">
        <v>1.2285260811000001E-2</v>
      </c>
      <c r="Z4" s="125">
        <f>W4/'סכום נכסים'!$B$30</f>
        <v>6.5277981338366623E-4</v>
      </c>
    </row>
    <row r="5" spans="1:26" x14ac:dyDescent="0.3">
      <c r="A5">
        <v>13908</v>
      </c>
      <c r="B5">
        <v>13908</v>
      </c>
      <c r="C5" t="s">
        <v>2722</v>
      </c>
      <c r="F5" t="s">
        <v>2723</v>
      </c>
      <c r="G5">
        <v>11021279</v>
      </c>
      <c r="H5" t="s">
        <v>77</v>
      </c>
      <c r="I5" t="s">
        <v>885</v>
      </c>
      <c r="K5" t="s">
        <v>52</v>
      </c>
      <c r="N5" t="s">
        <v>52</v>
      </c>
      <c r="O5" t="s">
        <v>61</v>
      </c>
      <c r="P5" s="127">
        <v>45657</v>
      </c>
      <c r="Q5" t="s">
        <v>1260</v>
      </c>
      <c r="R5" t="s">
        <v>295</v>
      </c>
      <c r="S5" t="s">
        <v>297</v>
      </c>
      <c r="T5" s="127">
        <v>46203</v>
      </c>
      <c r="U5" s="124">
        <v>2.9780000000000002</v>
      </c>
      <c r="V5">
        <v>328.94491605104099</v>
      </c>
      <c r="W5" s="124">
        <v>979.59795999999994</v>
      </c>
      <c r="X5" s="125">
        <v>0</v>
      </c>
      <c r="Y5" s="125">
        <v>3.3191958460000001E-3</v>
      </c>
      <c r="Z5" s="125">
        <f>W5/'סכום נכסים'!$B$30</f>
        <v>1.7636614140443968E-4</v>
      </c>
    </row>
    <row r="6" spans="1:26" x14ac:dyDescent="0.3">
      <c r="A6">
        <v>13908</v>
      </c>
      <c r="B6">
        <v>13908</v>
      </c>
      <c r="C6" t="s">
        <v>2724</v>
      </c>
      <c r="F6" t="s">
        <v>2725</v>
      </c>
      <c r="G6">
        <v>11022492</v>
      </c>
      <c r="H6" t="s">
        <v>77</v>
      </c>
      <c r="I6" t="s">
        <v>885</v>
      </c>
      <c r="K6" t="s">
        <v>52</v>
      </c>
      <c r="N6" t="s">
        <v>52</v>
      </c>
      <c r="O6" t="s">
        <v>61</v>
      </c>
      <c r="P6" s="127">
        <v>45960</v>
      </c>
      <c r="Q6" t="s">
        <v>1258</v>
      </c>
      <c r="R6" t="s">
        <v>295</v>
      </c>
      <c r="S6" t="s">
        <v>297</v>
      </c>
      <c r="T6" s="127">
        <v>46203</v>
      </c>
      <c r="U6" s="124">
        <v>1</v>
      </c>
      <c r="V6">
        <v>15501.769829999999</v>
      </c>
      <c r="W6" s="124">
        <v>15501.769829999999</v>
      </c>
      <c r="X6" s="125">
        <v>0</v>
      </c>
      <c r="Y6" s="125">
        <v>5.2525027754000003E-2</v>
      </c>
      <c r="Z6" s="125">
        <f>W6/'סכום נכסים'!$B$30</f>
        <v>2.7909279536033915E-3</v>
      </c>
    </row>
    <row r="7" spans="1:26" x14ac:dyDescent="0.3">
      <c r="A7">
        <v>13908</v>
      </c>
      <c r="B7">
        <v>13908</v>
      </c>
      <c r="C7" t="s">
        <v>2726</v>
      </c>
      <c r="F7" t="s">
        <v>2727</v>
      </c>
      <c r="G7">
        <v>11022538</v>
      </c>
      <c r="H7" t="s">
        <v>77</v>
      </c>
      <c r="I7" t="s">
        <v>885</v>
      </c>
      <c r="K7" t="s">
        <v>52</v>
      </c>
      <c r="N7" t="s">
        <v>52</v>
      </c>
      <c r="O7" t="s">
        <v>61</v>
      </c>
      <c r="P7" s="127">
        <v>46139</v>
      </c>
      <c r="Q7" t="s">
        <v>1258</v>
      </c>
      <c r="R7" t="s">
        <v>295</v>
      </c>
      <c r="S7" t="s">
        <v>297</v>
      </c>
      <c r="T7" s="127">
        <v>46203</v>
      </c>
      <c r="U7" s="124">
        <v>1</v>
      </c>
      <c r="V7">
        <v>593.13478999999995</v>
      </c>
      <c r="W7" s="124">
        <v>593.13478999999995</v>
      </c>
      <c r="X7" s="125">
        <v>0</v>
      </c>
      <c r="Y7" s="125">
        <v>2.0097331880000002E-3</v>
      </c>
      <c r="Z7" s="125">
        <f>W7/'סכום נכסים'!$B$30</f>
        <v>1.0678757869711431E-4</v>
      </c>
    </row>
    <row r="8" spans="1:26" x14ac:dyDescent="0.3">
      <c r="A8">
        <v>13908</v>
      </c>
      <c r="B8">
        <v>13908</v>
      </c>
      <c r="C8" t="s">
        <v>2728</v>
      </c>
      <c r="F8" t="s">
        <v>2729</v>
      </c>
      <c r="G8">
        <v>11022549</v>
      </c>
      <c r="H8" t="s">
        <v>77</v>
      </c>
      <c r="I8" t="s">
        <v>885</v>
      </c>
      <c r="K8" t="s">
        <v>52</v>
      </c>
      <c r="N8" t="s">
        <v>52</v>
      </c>
      <c r="O8" t="s">
        <v>61</v>
      </c>
      <c r="P8" s="127">
        <v>46019</v>
      </c>
      <c r="Q8" t="s">
        <v>1258</v>
      </c>
      <c r="R8" t="s">
        <v>295</v>
      </c>
      <c r="S8" t="s">
        <v>297</v>
      </c>
      <c r="T8" s="127">
        <v>46203</v>
      </c>
      <c r="U8" s="124">
        <v>1</v>
      </c>
      <c r="V8">
        <v>4741.4829300000001</v>
      </c>
      <c r="W8" s="124">
        <v>4741.4829300000001</v>
      </c>
      <c r="X8" s="125">
        <v>0</v>
      </c>
      <c r="Y8" s="125">
        <v>1.6065683159000001E-2</v>
      </c>
      <c r="Z8" s="125">
        <f>W8/'סכום נכסים'!$B$30</f>
        <v>8.5365331803989976E-4</v>
      </c>
    </row>
    <row r="9" spans="1:26" x14ac:dyDescent="0.3">
      <c r="A9">
        <v>13908</v>
      </c>
      <c r="B9">
        <v>13908</v>
      </c>
      <c r="C9" t="s">
        <v>2730</v>
      </c>
      <c r="F9" t="s">
        <v>2731</v>
      </c>
      <c r="G9">
        <v>11022557</v>
      </c>
      <c r="H9" t="s">
        <v>77</v>
      </c>
      <c r="I9" t="s">
        <v>885</v>
      </c>
      <c r="K9" t="s">
        <v>52</v>
      </c>
      <c r="N9" t="s">
        <v>52</v>
      </c>
      <c r="O9" t="s">
        <v>61</v>
      </c>
      <c r="P9" s="127">
        <v>46056</v>
      </c>
      <c r="Q9" t="s">
        <v>1258</v>
      </c>
      <c r="R9" t="s">
        <v>295</v>
      </c>
      <c r="S9" t="s">
        <v>297</v>
      </c>
      <c r="T9" s="127">
        <v>46203</v>
      </c>
      <c r="U9" s="124">
        <v>1</v>
      </c>
      <c r="V9">
        <v>7153.8450000000003</v>
      </c>
      <c r="W9" s="124">
        <v>7153.8450000000003</v>
      </c>
      <c r="X9" s="125">
        <v>0</v>
      </c>
      <c r="Y9" s="125">
        <v>2.4239548856999998E-2</v>
      </c>
      <c r="Z9" s="125">
        <f>W9/'סכום נכסים'!$B$30</f>
        <v>1.2879733220916914E-3</v>
      </c>
    </row>
    <row r="10" spans="1:26" x14ac:dyDescent="0.3">
      <c r="A10">
        <v>13908</v>
      </c>
      <c r="B10">
        <v>13908</v>
      </c>
      <c r="C10" t="s">
        <v>2732</v>
      </c>
      <c r="F10" t="s">
        <v>2733</v>
      </c>
      <c r="G10">
        <v>11022778</v>
      </c>
      <c r="H10" t="s">
        <v>77</v>
      </c>
      <c r="I10" t="s">
        <v>728</v>
      </c>
      <c r="K10" t="s">
        <v>52</v>
      </c>
      <c r="N10" t="s">
        <v>306</v>
      </c>
      <c r="O10" t="s">
        <v>61</v>
      </c>
      <c r="P10" s="127">
        <v>45673</v>
      </c>
      <c r="Q10" t="s">
        <v>1260</v>
      </c>
      <c r="R10" t="s">
        <v>295</v>
      </c>
      <c r="S10" t="s">
        <v>297</v>
      </c>
      <c r="T10" s="127">
        <v>46203</v>
      </c>
      <c r="U10" s="124">
        <v>2.9780000000000002</v>
      </c>
      <c r="V10">
        <v>603.75</v>
      </c>
      <c r="W10" s="124">
        <v>1797.9675</v>
      </c>
      <c r="X10" s="125">
        <v>0</v>
      </c>
      <c r="Y10" s="125">
        <v>6.0920974740000002E-3</v>
      </c>
      <c r="Z10" s="125">
        <f>W10/'סכום נכסים'!$B$30</f>
        <v>3.2370482921951664E-4</v>
      </c>
    </row>
    <row r="11" spans="1:26" x14ac:dyDescent="0.3">
      <c r="A11">
        <v>13908</v>
      </c>
      <c r="B11">
        <v>13908</v>
      </c>
      <c r="C11" t="s">
        <v>2734</v>
      </c>
      <c r="F11" t="s">
        <v>2735</v>
      </c>
      <c r="G11">
        <v>11022812</v>
      </c>
      <c r="H11" t="s">
        <v>77</v>
      </c>
      <c r="I11" t="s">
        <v>885</v>
      </c>
      <c r="K11" t="s">
        <v>52</v>
      </c>
      <c r="N11" t="s">
        <v>52</v>
      </c>
      <c r="O11" t="s">
        <v>61</v>
      </c>
      <c r="P11" s="127">
        <v>45771</v>
      </c>
      <c r="Q11" t="s">
        <v>1260</v>
      </c>
      <c r="R11" t="s">
        <v>295</v>
      </c>
      <c r="S11" t="s">
        <v>297</v>
      </c>
      <c r="T11" s="127">
        <v>46203</v>
      </c>
      <c r="U11" s="124">
        <v>2.9780000000000002</v>
      </c>
      <c r="V11">
        <v>1132.6930926796499</v>
      </c>
      <c r="W11" s="124">
        <v>3373.16003</v>
      </c>
      <c r="X11" s="125">
        <v>0</v>
      </c>
      <c r="Y11" s="125">
        <v>1.1429361043E-2</v>
      </c>
      <c r="Z11" s="125">
        <f>W11/'סכום נכסים'!$B$30</f>
        <v>6.0730140641655078E-4</v>
      </c>
    </row>
    <row r="12" spans="1:26" x14ac:dyDescent="0.3">
      <c r="A12">
        <v>13908</v>
      </c>
      <c r="B12">
        <v>13908</v>
      </c>
      <c r="C12" t="s">
        <v>2736</v>
      </c>
      <c r="F12" t="s">
        <v>2737</v>
      </c>
      <c r="G12">
        <v>11022813</v>
      </c>
      <c r="H12" t="s">
        <v>77</v>
      </c>
      <c r="I12" t="s">
        <v>885</v>
      </c>
      <c r="K12" t="s">
        <v>52</v>
      </c>
      <c r="N12" t="s">
        <v>52</v>
      </c>
      <c r="O12" t="s">
        <v>61</v>
      </c>
      <c r="P12" s="127">
        <v>45771</v>
      </c>
      <c r="Q12" t="s">
        <v>1260</v>
      </c>
      <c r="R12" t="s">
        <v>295</v>
      </c>
      <c r="S12" t="s">
        <v>297</v>
      </c>
      <c r="T12" s="127">
        <v>46203</v>
      </c>
      <c r="U12" s="124">
        <v>2.9780000000000002</v>
      </c>
      <c r="V12">
        <v>120.70455674949601</v>
      </c>
      <c r="W12" s="124">
        <v>359.45817</v>
      </c>
      <c r="X12" s="125">
        <v>0</v>
      </c>
      <c r="Y12" s="125">
        <v>1.217960953E-3</v>
      </c>
      <c r="Z12" s="125">
        <f>W12/'סכום נכסים'!$B$30</f>
        <v>6.4716601123996956E-5</v>
      </c>
    </row>
    <row r="13" spans="1:26" x14ac:dyDescent="0.3">
      <c r="A13">
        <v>13908</v>
      </c>
      <c r="B13">
        <v>13908</v>
      </c>
      <c r="C13" t="s">
        <v>2722</v>
      </c>
      <c r="F13" t="s">
        <v>2738</v>
      </c>
      <c r="G13">
        <v>11022819</v>
      </c>
      <c r="H13" t="s">
        <v>77</v>
      </c>
      <c r="I13" t="s">
        <v>728</v>
      </c>
      <c r="K13" t="s">
        <v>52</v>
      </c>
      <c r="N13" t="s">
        <v>52</v>
      </c>
      <c r="O13" t="s">
        <v>61</v>
      </c>
      <c r="P13" s="127">
        <v>45797</v>
      </c>
      <c r="Q13" t="s">
        <v>1260</v>
      </c>
      <c r="R13" t="s">
        <v>295</v>
      </c>
      <c r="S13" t="s">
        <v>297</v>
      </c>
      <c r="T13" s="127">
        <v>46203</v>
      </c>
      <c r="U13" s="124">
        <v>2.9780000000000002</v>
      </c>
      <c r="V13">
        <v>56.659264607117997</v>
      </c>
      <c r="W13" s="124">
        <v>168.73129</v>
      </c>
      <c r="X13" s="125">
        <v>0</v>
      </c>
      <c r="Y13" s="125">
        <v>5.7171637700000001E-4</v>
      </c>
      <c r="Z13" s="125">
        <f>W13/'סכום נכסים'!$B$30</f>
        <v>3.0378265131844006E-5</v>
      </c>
    </row>
    <row r="14" spans="1:26" x14ac:dyDescent="0.3">
      <c r="A14">
        <v>13908</v>
      </c>
      <c r="B14">
        <v>13908</v>
      </c>
      <c r="C14" t="s">
        <v>2739</v>
      </c>
      <c r="F14" t="s">
        <v>2740</v>
      </c>
      <c r="G14">
        <v>11022828</v>
      </c>
      <c r="H14" t="s">
        <v>77</v>
      </c>
      <c r="I14" t="s">
        <v>885</v>
      </c>
      <c r="K14" t="s">
        <v>52</v>
      </c>
      <c r="N14" t="s">
        <v>52</v>
      </c>
      <c r="O14" t="s">
        <v>61</v>
      </c>
      <c r="P14" s="127">
        <v>45868</v>
      </c>
      <c r="Q14" t="s">
        <v>1260</v>
      </c>
      <c r="R14" t="s">
        <v>295</v>
      </c>
      <c r="S14" t="s">
        <v>297</v>
      </c>
      <c r="T14" s="127">
        <v>46203</v>
      </c>
      <c r="U14" s="124">
        <v>2.9780000000000002</v>
      </c>
      <c r="V14">
        <v>1100</v>
      </c>
      <c r="W14" s="124">
        <v>3275.8</v>
      </c>
      <c r="X14" s="125">
        <v>0</v>
      </c>
      <c r="Y14" s="125">
        <v>1.1099473659999999E-2</v>
      </c>
      <c r="Z14" s="125">
        <f>W14/'סכום נכסים'!$B$30</f>
        <v>5.8977277373328091E-4</v>
      </c>
    </row>
    <row r="15" spans="1:26" x14ac:dyDescent="0.3">
      <c r="A15">
        <v>13908</v>
      </c>
      <c r="B15">
        <v>13908</v>
      </c>
      <c r="C15" t="s">
        <v>2741</v>
      </c>
      <c r="F15" t="s">
        <v>2742</v>
      </c>
      <c r="G15">
        <v>11022834</v>
      </c>
      <c r="H15" t="s">
        <v>77</v>
      </c>
      <c r="I15" t="s">
        <v>728</v>
      </c>
      <c r="K15" t="s">
        <v>52</v>
      </c>
      <c r="N15" t="s">
        <v>306</v>
      </c>
      <c r="O15" t="s">
        <v>61</v>
      </c>
      <c r="P15" s="127">
        <v>46086</v>
      </c>
      <c r="Q15" t="s">
        <v>1260</v>
      </c>
      <c r="R15" t="s">
        <v>295</v>
      </c>
      <c r="S15" t="s">
        <v>297</v>
      </c>
      <c r="T15" s="127">
        <v>46203</v>
      </c>
      <c r="U15" s="124">
        <v>2.9780000000000002</v>
      </c>
      <c r="V15">
        <v>125.598394895903</v>
      </c>
      <c r="W15" s="124">
        <v>374.03201999999999</v>
      </c>
      <c r="X15" s="125">
        <v>0</v>
      </c>
      <c r="Y15" s="125">
        <v>1.2673418870000001E-3</v>
      </c>
      <c r="Z15" s="125">
        <f>W15/'סכום נכסים'!$B$30</f>
        <v>6.7340467031095304E-5</v>
      </c>
    </row>
    <row r="16" spans="1:26" x14ac:dyDescent="0.3">
      <c r="A16">
        <v>13908</v>
      </c>
      <c r="B16">
        <v>13908</v>
      </c>
      <c r="C16" t="s">
        <v>2743</v>
      </c>
      <c r="F16" t="s">
        <v>2744</v>
      </c>
      <c r="G16">
        <v>11022851</v>
      </c>
      <c r="H16" t="s">
        <v>77</v>
      </c>
      <c r="I16" t="s">
        <v>728</v>
      </c>
      <c r="K16" t="s">
        <v>52</v>
      </c>
      <c r="N16" t="s">
        <v>306</v>
      </c>
      <c r="O16" t="s">
        <v>61</v>
      </c>
      <c r="P16" s="127">
        <v>46013</v>
      </c>
      <c r="Q16" t="s">
        <v>1260</v>
      </c>
      <c r="R16" t="s">
        <v>295</v>
      </c>
      <c r="S16" t="s">
        <v>297</v>
      </c>
      <c r="T16" s="127">
        <v>46203</v>
      </c>
      <c r="U16" s="124">
        <v>2.9780000000000002</v>
      </c>
      <c r="V16">
        <v>140.97484889187399</v>
      </c>
      <c r="W16" s="124">
        <v>419.82310000000001</v>
      </c>
      <c r="X16" s="125">
        <v>0</v>
      </c>
      <c r="Y16" s="125">
        <v>1.4224969290000001E-3</v>
      </c>
      <c r="Z16" s="125">
        <f>W16/'סכום נכסים'!$B$30</f>
        <v>7.5584661506900472E-5</v>
      </c>
    </row>
    <row r="17" spans="1:26" x14ac:dyDescent="0.3">
      <c r="A17">
        <v>13908</v>
      </c>
      <c r="B17">
        <v>13908</v>
      </c>
      <c r="C17" t="s">
        <v>2745</v>
      </c>
      <c r="F17" t="s">
        <v>2746</v>
      </c>
      <c r="G17">
        <v>11022864</v>
      </c>
      <c r="H17" t="s">
        <v>77</v>
      </c>
      <c r="I17" t="s">
        <v>885</v>
      </c>
      <c r="K17" t="s">
        <v>52</v>
      </c>
      <c r="N17" t="s">
        <v>306</v>
      </c>
      <c r="O17" t="s">
        <v>61</v>
      </c>
      <c r="P17" s="127">
        <v>46006</v>
      </c>
      <c r="Q17" t="s">
        <v>1260</v>
      </c>
      <c r="R17" t="s">
        <v>295</v>
      </c>
      <c r="S17" t="s">
        <v>297</v>
      </c>
      <c r="T17" s="127">
        <v>46203</v>
      </c>
      <c r="U17" s="124">
        <v>2.9780000000000002</v>
      </c>
      <c r="V17">
        <v>2555.9450000000002</v>
      </c>
      <c r="W17" s="124">
        <v>7611.6042100000004</v>
      </c>
      <c r="X17" s="125">
        <v>0</v>
      </c>
      <c r="Y17" s="125">
        <v>2.5790585639999999E-2</v>
      </c>
      <c r="Z17" s="125">
        <f>W17/'סכום נכסים'!$B$30</f>
        <v>1.3703879746906462E-3</v>
      </c>
    </row>
    <row r="18" spans="1:26" x14ac:dyDescent="0.3">
      <c r="A18">
        <v>13908</v>
      </c>
      <c r="B18">
        <v>13908</v>
      </c>
      <c r="C18" t="s">
        <v>2747</v>
      </c>
      <c r="F18" t="s">
        <v>2748</v>
      </c>
      <c r="G18">
        <v>11150004</v>
      </c>
      <c r="H18" t="s">
        <v>77</v>
      </c>
      <c r="I18" t="s">
        <v>273</v>
      </c>
      <c r="K18" t="s">
        <v>52</v>
      </c>
      <c r="N18" t="s">
        <v>52</v>
      </c>
      <c r="O18" t="s">
        <v>61</v>
      </c>
      <c r="P18" s="127">
        <v>46092</v>
      </c>
      <c r="Q18" t="s">
        <v>1258</v>
      </c>
      <c r="R18" t="s">
        <v>293</v>
      </c>
      <c r="S18" t="s">
        <v>297</v>
      </c>
      <c r="T18" s="127">
        <v>46203</v>
      </c>
      <c r="U18" s="124">
        <v>1</v>
      </c>
      <c r="V18">
        <v>43.94567</v>
      </c>
      <c r="W18" s="124">
        <v>43.94567</v>
      </c>
      <c r="X18" s="125">
        <v>0</v>
      </c>
      <c r="Y18" s="125">
        <v>1.4890219300000001E-4</v>
      </c>
      <c r="Z18" s="125">
        <f>W18/'סכום נכסים'!$B$30</f>
        <v>7.9119481315914973E-6</v>
      </c>
    </row>
    <row r="19" spans="1:26" x14ac:dyDescent="0.3">
      <c r="A19">
        <v>13908</v>
      </c>
      <c r="B19">
        <v>13908</v>
      </c>
      <c r="C19" t="s">
        <v>2749</v>
      </c>
      <c r="F19" t="s">
        <v>2750</v>
      </c>
      <c r="G19">
        <v>11150016</v>
      </c>
      <c r="H19" t="s">
        <v>77</v>
      </c>
      <c r="I19" t="s">
        <v>728</v>
      </c>
      <c r="K19" t="s">
        <v>52</v>
      </c>
      <c r="N19" t="s">
        <v>192</v>
      </c>
      <c r="O19" t="s">
        <v>61</v>
      </c>
      <c r="P19" s="127">
        <v>46155</v>
      </c>
      <c r="Q19" t="s">
        <v>1265</v>
      </c>
      <c r="R19" t="s">
        <v>293</v>
      </c>
      <c r="S19" t="s">
        <v>297</v>
      </c>
      <c r="T19" s="127">
        <v>46203</v>
      </c>
      <c r="U19" s="124">
        <v>3.3944999999999999</v>
      </c>
      <c r="V19">
        <v>186.2</v>
      </c>
      <c r="W19" s="124">
        <v>632.05589999999995</v>
      </c>
      <c r="X19" s="125">
        <v>0</v>
      </c>
      <c r="Y19" s="125">
        <v>2.141610542E-3</v>
      </c>
      <c r="Z19" s="125">
        <f>W19/'סכום נכסים'!$B$30</f>
        <v>1.1379490851013041E-4</v>
      </c>
    </row>
    <row r="20" spans="1:26" x14ac:dyDescent="0.3">
      <c r="A20">
        <v>13908</v>
      </c>
      <c r="B20">
        <v>13908</v>
      </c>
      <c r="C20" t="s">
        <v>2751</v>
      </c>
      <c r="F20" t="s">
        <v>2752</v>
      </c>
      <c r="G20">
        <v>11150019</v>
      </c>
      <c r="H20" t="s">
        <v>77</v>
      </c>
      <c r="I20" t="s">
        <v>885</v>
      </c>
      <c r="K20" t="s">
        <v>52</v>
      </c>
      <c r="N20" t="s">
        <v>52</v>
      </c>
      <c r="O20" t="s">
        <v>61</v>
      </c>
      <c r="P20" s="127">
        <v>46168</v>
      </c>
      <c r="Q20" t="s">
        <v>1260</v>
      </c>
      <c r="R20" t="s">
        <v>295</v>
      </c>
      <c r="S20" t="s">
        <v>297</v>
      </c>
      <c r="T20" s="127">
        <v>46203</v>
      </c>
      <c r="U20" s="124">
        <v>2.9780000000000002</v>
      </c>
      <c r="V20">
        <v>1800</v>
      </c>
      <c r="W20" s="124">
        <v>5360.4</v>
      </c>
      <c r="X20" s="125">
        <v>0</v>
      </c>
      <c r="Y20" s="125">
        <v>1.8162775079999999E-2</v>
      </c>
      <c r="Z20" s="125">
        <f>W20/'סכום נכסים'!$B$30</f>
        <v>9.6508272065445953E-4</v>
      </c>
    </row>
    <row r="21" spans="1:26" x14ac:dyDescent="0.3">
      <c r="A21">
        <v>13908</v>
      </c>
      <c r="B21">
        <v>13908</v>
      </c>
      <c r="C21" t="s">
        <v>2753</v>
      </c>
      <c r="F21" t="s">
        <v>2754</v>
      </c>
      <c r="G21">
        <v>11150021</v>
      </c>
      <c r="H21" t="s">
        <v>77</v>
      </c>
      <c r="I21" t="s">
        <v>885</v>
      </c>
      <c r="K21" t="s">
        <v>52</v>
      </c>
      <c r="N21" t="s">
        <v>52</v>
      </c>
      <c r="O21" t="s">
        <v>61</v>
      </c>
      <c r="P21" s="127">
        <v>46174</v>
      </c>
      <c r="Q21" t="s">
        <v>1260</v>
      </c>
      <c r="R21" t="s">
        <v>295</v>
      </c>
      <c r="S21" t="s">
        <v>297</v>
      </c>
      <c r="T21" s="127">
        <v>46203</v>
      </c>
      <c r="U21" s="124">
        <v>2.9780000000000002</v>
      </c>
      <c r="V21">
        <v>1900</v>
      </c>
      <c r="W21" s="124">
        <v>5658.2</v>
      </c>
      <c r="X21" s="125">
        <v>0</v>
      </c>
      <c r="Y21" s="125">
        <v>1.9171818140000001E-2</v>
      </c>
      <c r="Z21" s="125">
        <f>W21/'סכום נכסים'!$B$30</f>
        <v>1.0186984273574851E-3</v>
      </c>
    </row>
    <row r="22" spans="1:26" x14ac:dyDescent="0.3">
      <c r="A22">
        <v>13908</v>
      </c>
      <c r="B22">
        <v>13908</v>
      </c>
      <c r="C22" t="s">
        <v>2755</v>
      </c>
      <c r="F22" t="s">
        <v>2756</v>
      </c>
      <c r="G22">
        <v>11019351</v>
      </c>
      <c r="H22" t="s">
        <v>77</v>
      </c>
      <c r="I22" t="s">
        <v>237</v>
      </c>
      <c r="K22" t="s">
        <v>60</v>
      </c>
      <c r="N22" t="s">
        <v>305</v>
      </c>
      <c r="O22" t="s">
        <v>61</v>
      </c>
      <c r="P22" s="127">
        <v>45657</v>
      </c>
      <c r="Q22" t="s">
        <v>1265</v>
      </c>
      <c r="R22" t="s">
        <v>295</v>
      </c>
      <c r="S22" t="s">
        <v>297</v>
      </c>
      <c r="T22" s="127">
        <v>46203</v>
      </c>
      <c r="U22" s="124">
        <v>3.3944999999999999</v>
      </c>
      <c r="V22">
        <v>1038.5612314037401</v>
      </c>
      <c r="W22" s="124">
        <v>3525.3960999999999</v>
      </c>
      <c r="X22" s="125">
        <v>0</v>
      </c>
      <c r="Y22" s="125">
        <v>1.1945186260999999E-2</v>
      </c>
      <c r="Z22" s="125">
        <f>W22/'סכום נכסים'!$B$30</f>
        <v>6.3470988351104797E-4</v>
      </c>
    </row>
    <row r="23" spans="1:26" x14ac:dyDescent="0.3">
      <c r="A23">
        <v>13908</v>
      </c>
      <c r="B23">
        <v>13908</v>
      </c>
      <c r="C23" t="s">
        <v>2757</v>
      </c>
      <c r="F23" t="s">
        <v>2758</v>
      </c>
      <c r="G23">
        <v>11019352</v>
      </c>
      <c r="H23" t="s">
        <v>77</v>
      </c>
      <c r="I23" t="s">
        <v>885</v>
      </c>
      <c r="K23" t="s">
        <v>60</v>
      </c>
      <c r="N23" t="s">
        <v>188</v>
      </c>
      <c r="O23" t="s">
        <v>61</v>
      </c>
      <c r="P23" s="127">
        <v>45657</v>
      </c>
      <c r="Q23" t="s">
        <v>1265</v>
      </c>
      <c r="R23" t="s">
        <v>295</v>
      </c>
      <c r="S23" t="s">
        <v>297</v>
      </c>
      <c r="T23" s="127">
        <v>46203</v>
      </c>
      <c r="U23" s="124">
        <v>3.3944999999999999</v>
      </c>
      <c r="V23">
        <v>270.59803800265098</v>
      </c>
      <c r="W23" s="124">
        <v>918.54503999999997</v>
      </c>
      <c r="X23" s="125">
        <v>0</v>
      </c>
      <c r="Y23" s="125">
        <v>3.1123287369999998E-3</v>
      </c>
      <c r="Z23" s="125">
        <f>W23/'סכום נכסים'!$B$30</f>
        <v>1.6537421577622182E-4</v>
      </c>
    </row>
    <row r="24" spans="1:26" x14ac:dyDescent="0.3">
      <c r="A24">
        <v>13908</v>
      </c>
      <c r="B24">
        <v>13908</v>
      </c>
      <c r="C24" t="s">
        <v>2759</v>
      </c>
      <c r="F24" t="s">
        <v>2760</v>
      </c>
      <c r="G24" t="s">
        <v>2761</v>
      </c>
      <c r="H24" t="s">
        <v>75</v>
      </c>
      <c r="I24" t="s">
        <v>885</v>
      </c>
      <c r="K24" t="s">
        <v>60</v>
      </c>
      <c r="N24" t="s">
        <v>306</v>
      </c>
      <c r="O24" t="s">
        <v>61</v>
      </c>
      <c r="P24" s="127">
        <v>46198</v>
      </c>
      <c r="Q24" t="s">
        <v>1260</v>
      </c>
      <c r="R24" t="s">
        <v>295</v>
      </c>
      <c r="S24" t="s">
        <v>297</v>
      </c>
      <c r="T24" s="127">
        <v>46203</v>
      </c>
      <c r="U24" s="124">
        <v>2.9780000000000002</v>
      </c>
      <c r="V24">
        <v>984</v>
      </c>
      <c r="W24" s="124">
        <v>2930.3519999999999</v>
      </c>
      <c r="X24" s="125">
        <v>0</v>
      </c>
      <c r="Y24" s="125">
        <v>9.9289837100000004E-3</v>
      </c>
      <c r="Z24" s="125">
        <f>W24/'סכום נכסים'!$B$30</f>
        <v>5.2757855395777127E-4</v>
      </c>
    </row>
    <row r="25" spans="1:26" x14ac:dyDescent="0.3">
      <c r="A25">
        <v>13908</v>
      </c>
      <c r="B25">
        <v>13908</v>
      </c>
      <c r="C25" t="s">
        <v>2762</v>
      </c>
      <c r="F25" t="s">
        <v>2763</v>
      </c>
      <c r="G25">
        <v>11019991</v>
      </c>
      <c r="H25" t="s">
        <v>77</v>
      </c>
      <c r="I25" t="s">
        <v>885</v>
      </c>
      <c r="K25" t="s">
        <v>60</v>
      </c>
      <c r="N25" t="s">
        <v>306</v>
      </c>
      <c r="O25" t="s">
        <v>61</v>
      </c>
      <c r="P25" s="127">
        <v>45657</v>
      </c>
      <c r="Q25" t="s">
        <v>1260</v>
      </c>
      <c r="R25" t="s">
        <v>295</v>
      </c>
      <c r="S25" t="s">
        <v>297</v>
      </c>
      <c r="T25" s="127">
        <v>46203</v>
      </c>
      <c r="U25" s="124">
        <v>2.9780000000000002</v>
      </c>
      <c r="V25">
        <v>273.49663196776402</v>
      </c>
      <c r="W25" s="124">
        <v>814.47297000000003</v>
      </c>
      <c r="X25" s="125">
        <v>0</v>
      </c>
      <c r="Y25" s="125">
        <v>2.759698784E-3</v>
      </c>
      <c r="Z25" s="125">
        <f>W25/'סכום נכסים'!$B$30</f>
        <v>1.466371520384893E-4</v>
      </c>
    </row>
    <row r="26" spans="1:26" x14ac:dyDescent="0.3">
      <c r="A26">
        <v>13908</v>
      </c>
      <c r="B26">
        <v>13908</v>
      </c>
      <c r="C26" t="s">
        <v>2783</v>
      </c>
      <c r="F26" t="s">
        <v>2765</v>
      </c>
      <c r="G26">
        <v>11019995</v>
      </c>
      <c r="H26" t="s">
        <v>77</v>
      </c>
      <c r="I26" t="s">
        <v>885</v>
      </c>
      <c r="K26" t="s">
        <v>60</v>
      </c>
      <c r="N26" t="s">
        <v>306</v>
      </c>
      <c r="O26" t="s">
        <v>61</v>
      </c>
      <c r="P26" s="127">
        <v>45657</v>
      </c>
      <c r="Q26" t="s">
        <v>1260</v>
      </c>
      <c r="R26" t="s">
        <v>295</v>
      </c>
      <c r="S26" t="s">
        <v>297</v>
      </c>
      <c r="T26" s="127">
        <v>46203</v>
      </c>
      <c r="U26" s="124">
        <v>2.9780000000000002</v>
      </c>
      <c r="V26">
        <v>132.04107454667599</v>
      </c>
      <c r="W26" s="124">
        <v>393.21832000000001</v>
      </c>
      <c r="X26" s="125">
        <v>0</v>
      </c>
      <c r="Y26" s="125">
        <v>1.332351299E-3</v>
      </c>
      <c r="Z26" s="125">
        <f>W26/'סכום נכסים'!$B$30</f>
        <v>7.079475525646891E-5</v>
      </c>
    </row>
    <row r="27" spans="1:26" x14ac:dyDescent="0.3">
      <c r="A27">
        <v>13908</v>
      </c>
      <c r="B27">
        <v>13908</v>
      </c>
      <c r="C27" t="s">
        <v>2766</v>
      </c>
      <c r="F27" t="s">
        <v>2767</v>
      </c>
      <c r="G27">
        <v>11020002</v>
      </c>
      <c r="H27" t="s">
        <v>77</v>
      </c>
      <c r="I27" t="s">
        <v>885</v>
      </c>
      <c r="K27" t="s">
        <v>60</v>
      </c>
      <c r="N27" t="s">
        <v>306</v>
      </c>
      <c r="O27" t="s">
        <v>61</v>
      </c>
      <c r="P27" s="127">
        <v>45657</v>
      </c>
      <c r="Q27" t="s">
        <v>1260</v>
      </c>
      <c r="R27" t="s">
        <v>295</v>
      </c>
      <c r="S27" t="s">
        <v>297</v>
      </c>
      <c r="T27" s="127">
        <v>46203</v>
      </c>
      <c r="U27" s="124">
        <v>2.9780000000000002</v>
      </c>
      <c r="V27">
        <v>60.163801208865003</v>
      </c>
      <c r="W27" s="124">
        <v>179.1678</v>
      </c>
      <c r="X27" s="125">
        <v>0</v>
      </c>
      <c r="Y27" s="125">
        <v>6.0707866000000001E-4</v>
      </c>
      <c r="Z27" s="125">
        <f>W27/'סכום נכסים'!$B$30</f>
        <v>3.2257247197536393E-5</v>
      </c>
    </row>
    <row r="28" spans="1:26" x14ac:dyDescent="0.3">
      <c r="A28">
        <v>13908</v>
      </c>
      <c r="B28">
        <v>13908</v>
      </c>
      <c r="C28" t="s">
        <v>2768</v>
      </c>
      <c r="F28" t="s">
        <v>2769</v>
      </c>
      <c r="G28">
        <v>11020009</v>
      </c>
      <c r="H28" t="s">
        <v>77</v>
      </c>
      <c r="I28" t="s">
        <v>274</v>
      </c>
      <c r="K28" t="s">
        <v>60</v>
      </c>
      <c r="N28" t="s">
        <v>108</v>
      </c>
      <c r="O28" t="s">
        <v>61</v>
      </c>
      <c r="P28" s="127">
        <v>45657</v>
      </c>
      <c r="Q28" t="s">
        <v>1260</v>
      </c>
      <c r="R28" t="s">
        <v>295</v>
      </c>
      <c r="S28" t="s">
        <v>297</v>
      </c>
      <c r="T28" s="127">
        <v>46203</v>
      </c>
      <c r="U28" s="124">
        <v>2.9780000000000002</v>
      </c>
      <c r="V28">
        <v>352.89618871725997</v>
      </c>
      <c r="W28" s="124">
        <v>1050.9248500000001</v>
      </c>
      <c r="X28" s="125">
        <v>0</v>
      </c>
      <c r="Y28" s="125">
        <v>3.5608745010000001E-3</v>
      </c>
      <c r="Z28" s="125">
        <f>W28/'סכום נכסים'!$B$30</f>
        <v>1.8920778550880158E-4</v>
      </c>
    </row>
    <row r="29" spans="1:26" x14ac:dyDescent="0.3">
      <c r="A29">
        <v>13908</v>
      </c>
      <c r="B29">
        <v>13908</v>
      </c>
      <c r="C29" t="s">
        <v>2770</v>
      </c>
      <c r="F29" t="s">
        <v>2771</v>
      </c>
      <c r="G29">
        <v>11020012</v>
      </c>
      <c r="H29" t="s">
        <v>77</v>
      </c>
      <c r="I29" t="s">
        <v>237</v>
      </c>
      <c r="K29" t="s">
        <v>60</v>
      </c>
      <c r="N29" t="s">
        <v>306</v>
      </c>
      <c r="O29" t="s">
        <v>61</v>
      </c>
      <c r="P29" s="127">
        <v>45657</v>
      </c>
      <c r="Q29" t="s">
        <v>1260</v>
      </c>
      <c r="R29" t="s">
        <v>295</v>
      </c>
      <c r="S29" t="s">
        <v>297</v>
      </c>
      <c r="T29" s="127">
        <v>46203</v>
      </c>
      <c r="U29" s="124">
        <v>2.9780000000000002</v>
      </c>
      <c r="V29">
        <v>568.99935191403597</v>
      </c>
      <c r="W29" s="124">
        <v>1694.4800700000001</v>
      </c>
      <c r="X29" s="125">
        <v>0</v>
      </c>
      <c r="Y29" s="125">
        <v>5.7414484720000004E-3</v>
      </c>
      <c r="Z29" s="125">
        <f>W29/'סכום נכסים'!$B$30</f>
        <v>3.0507302366434582E-4</v>
      </c>
    </row>
    <row r="30" spans="1:26" x14ac:dyDescent="0.3">
      <c r="A30">
        <v>13908</v>
      </c>
      <c r="B30">
        <v>13908</v>
      </c>
      <c r="C30" t="s">
        <v>2772</v>
      </c>
      <c r="F30" t="s">
        <v>2773</v>
      </c>
      <c r="G30">
        <v>11020456</v>
      </c>
      <c r="H30" t="s">
        <v>77</v>
      </c>
      <c r="I30" t="s">
        <v>885</v>
      </c>
      <c r="K30" t="s">
        <v>60</v>
      </c>
      <c r="N30" t="s">
        <v>169</v>
      </c>
      <c r="O30" t="s">
        <v>61</v>
      </c>
      <c r="P30" s="127">
        <v>45657</v>
      </c>
      <c r="Q30" t="s">
        <v>1260</v>
      </c>
      <c r="R30" t="s">
        <v>295</v>
      </c>
      <c r="S30" t="s">
        <v>297</v>
      </c>
      <c r="T30" s="127">
        <v>46203</v>
      </c>
      <c r="U30" s="124">
        <v>2.9780000000000002</v>
      </c>
      <c r="V30">
        <v>884.03423774345197</v>
      </c>
      <c r="W30" s="124">
        <v>2632.6539600000001</v>
      </c>
      <c r="X30" s="125">
        <v>0</v>
      </c>
      <c r="Y30" s="125">
        <v>8.9202861240000007E-3</v>
      </c>
      <c r="Z30" s="125">
        <f>W30/'סכום נכסים'!$B$30</f>
        <v>4.7398120406285667E-4</v>
      </c>
    </row>
    <row r="31" spans="1:26" x14ac:dyDescent="0.3">
      <c r="A31">
        <v>13908</v>
      </c>
      <c r="B31">
        <v>13908</v>
      </c>
      <c r="C31" t="s">
        <v>2774</v>
      </c>
      <c r="F31" t="s">
        <v>2775</v>
      </c>
      <c r="G31">
        <v>11020463</v>
      </c>
      <c r="H31" t="s">
        <v>77</v>
      </c>
      <c r="I31" t="s">
        <v>728</v>
      </c>
      <c r="K31" t="s">
        <v>60</v>
      </c>
      <c r="N31" t="s">
        <v>52</v>
      </c>
      <c r="O31" t="s">
        <v>61</v>
      </c>
      <c r="P31" s="127">
        <v>45657</v>
      </c>
      <c r="Q31" t="s">
        <v>1260</v>
      </c>
      <c r="R31" t="s">
        <v>295</v>
      </c>
      <c r="S31" t="s">
        <v>297</v>
      </c>
      <c r="T31" s="127">
        <v>46203</v>
      </c>
      <c r="U31" s="124">
        <v>2.9780000000000002</v>
      </c>
      <c r="V31">
        <v>227.548767629281</v>
      </c>
      <c r="W31" s="124">
        <v>677.64022999999997</v>
      </c>
      <c r="X31" s="125">
        <v>0</v>
      </c>
      <c r="Y31" s="125">
        <v>2.2960650470000002E-3</v>
      </c>
      <c r="Z31" s="125">
        <f>W31/'סכום נכסים'!$B$30</f>
        <v>1.2200187985846462E-4</v>
      </c>
    </row>
    <row r="32" spans="1:26" x14ac:dyDescent="0.3">
      <c r="A32">
        <v>13908</v>
      </c>
      <c r="B32">
        <v>13908</v>
      </c>
      <c r="C32" t="s">
        <v>2776</v>
      </c>
      <c r="F32" t="s">
        <v>2777</v>
      </c>
      <c r="G32">
        <v>11020470</v>
      </c>
      <c r="H32" t="s">
        <v>77</v>
      </c>
      <c r="I32" t="s">
        <v>885</v>
      </c>
      <c r="K32" t="s">
        <v>60</v>
      </c>
      <c r="N32" t="s">
        <v>306</v>
      </c>
      <c r="O32" t="s">
        <v>61</v>
      </c>
      <c r="P32" s="127">
        <v>45657</v>
      </c>
      <c r="Q32" t="s">
        <v>1260</v>
      </c>
      <c r="R32" t="s">
        <v>295</v>
      </c>
      <c r="S32" t="s">
        <v>297</v>
      </c>
      <c r="T32" s="127">
        <v>46203</v>
      </c>
      <c r="U32" s="124">
        <v>2.9780000000000002</v>
      </c>
      <c r="V32">
        <v>256.33676964405601</v>
      </c>
      <c r="W32" s="124">
        <v>763.37090000000001</v>
      </c>
      <c r="X32" s="125">
        <v>0</v>
      </c>
      <c r="Y32" s="125">
        <v>2.5865483839999999E-3</v>
      </c>
      <c r="Z32" s="125">
        <f>W32/'סכום נכסים'!$B$30</f>
        <v>1.3743677058436748E-4</v>
      </c>
    </row>
    <row r="33" spans="1:26" x14ac:dyDescent="0.3">
      <c r="A33">
        <v>13908</v>
      </c>
      <c r="B33">
        <v>13908</v>
      </c>
      <c r="C33" t="s">
        <v>2778</v>
      </c>
      <c r="F33" t="s">
        <v>2779</v>
      </c>
      <c r="G33">
        <v>11020471</v>
      </c>
      <c r="H33" t="s">
        <v>77</v>
      </c>
      <c r="I33" t="s">
        <v>237</v>
      </c>
      <c r="K33" t="s">
        <v>60</v>
      </c>
      <c r="N33" t="s">
        <v>169</v>
      </c>
      <c r="O33" t="s">
        <v>61</v>
      </c>
      <c r="P33" s="127">
        <v>45657</v>
      </c>
      <c r="Q33" t="s">
        <v>1265</v>
      </c>
      <c r="R33" t="s">
        <v>295</v>
      </c>
      <c r="S33" t="s">
        <v>297</v>
      </c>
      <c r="T33" s="127">
        <v>46203</v>
      </c>
      <c r="U33" s="124">
        <v>3.3944999999999999</v>
      </c>
      <c r="V33">
        <v>1102.6050346148199</v>
      </c>
      <c r="W33" s="124">
        <v>3742.79279</v>
      </c>
      <c r="X33" s="125">
        <v>0</v>
      </c>
      <c r="Y33" s="125">
        <v>1.2681796808999999E-2</v>
      </c>
      <c r="Z33" s="125">
        <f>W33/'סכום נכסים'!$B$30</f>
        <v>6.738498337100022E-4</v>
      </c>
    </row>
    <row r="34" spans="1:26" x14ac:dyDescent="0.3">
      <c r="A34">
        <v>13908</v>
      </c>
      <c r="B34">
        <v>13908</v>
      </c>
      <c r="C34" t="s">
        <v>2766</v>
      </c>
      <c r="F34" t="s">
        <v>2780</v>
      </c>
      <c r="G34">
        <v>11020475</v>
      </c>
      <c r="H34" t="s">
        <v>77</v>
      </c>
      <c r="I34" t="s">
        <v>885</v>
      </c>
      <c r="K34" t="s">
        <v>60</v>
      </c>
      <c r="N34" t="s">
        <v>306</v>
      </c>
      <c r="O34" t="s">
        <v>61</v>
      </c>
      <c r="P34" s="127">
        <v>45657</v>
      </c>
      <c r="Q34" t="s">
        <v>1260</v>
      </c>
      <c r="R34" t="s">
        <v>295</v>
      </c>
      <c r="S34" t="s">
        <v>297</v>
      </c>
      <c r="T34" s="127">
        <v>46203</v>
      </c>
      <c r="U34" s="124">
        <v>2.9780000000000002</v>
      </c>
      <c r="V34">
        <v>1374.02772330423</v>
      </c>
      <c r="W34" s="124">
        <v>4091.8545600000002</v>
      </c>
      <c r="X34" s="125">
        <v>0</v>
      </c>
      <c r="Y34" s="125">
        <v>1.3864531384E-2</v>
      </c>
      <c r="Z34" s="125">
        <f>W34/'סכום נכסים'!$B$30</f>
        <v>7.3669467414505573E-4</v>
      </c>
    </row>
    <row r="35" spans="1:26" x14ac:dyDescent="0.3">
      <c r="A35">
        <v>13908</v>
      </c>
      <c r="B35">
        <v>13908</v>
      </c>
      <c r="C35" t="s">
        <v>2781</v>
      </c>
      <c r="F35" t="s">
        <v>2782</v>
      </c>
      <c r="G35">
        <v>11020481</v>
      </c>
      <c r="H35" t="s">
        <v>77</v>
      </c>
      <c r="I35" t="s">
        <v>728</v>
      </c>
      <c r="K35" t="s">
        <v>60</v>
      </c>
      <c r="N35" t="s">
        <v>306</v>
      </c>
      <c r="O35" t="s">
        <v>61</v>
      </c>
      <c r="P35" s="127">
        <v>45657</v>
      </c>
      <c r="Q35" t="s">
        <v>1260</v>
      </c>
      <c r="R35" t="s">
        <v>295</v>
      </c>
      <c r="S35" t="s">
        <v>297</v>
      </c>
      <c r="T35" s="127">
        <v>46203</v>
      </c>
      <c r="U35" s="124">
        <v>2.9780000000000002</v>
      </c>
      <c r="V35">
        <v>0.68900940228300001</v>
      </c>
      <c r="W35" s="124">
        <v>2.0518700000000001</v>
      </c>
      <c r="X35" s="125">
        <v>0</v>
      </c>
      <c r="Y35" s="125">
        <v>6.9524015567117303E-6</v>
      </c>
      <c r="Z35" s="125">
        <f>W35/'סכום נכסים'!$B$30</f>
        <v>3.6941726028454335E-7</v>
      </c>
    </row>
    <row r="36" spans="1:26" x14ac:dyDescent="0.3">
      <c r="A36">
        <v>13908</v>
      </c>
      <c r="B36">
        <v>13908</v>
      </c>
      <c r="C36" t="s">
        <v>2783</v>
      </c>
      <c r="F36" t="s">
        <v>2784</v>
      </c>
      <c r="G36">
        <v>11020502</v>
      </c>
      <c r="H36" t="s">
        <v>77</v>
      </c>
      <c r="I36" t="s">
        <v>885</v>
      </c>
      <c r="K36" t="s">
        <v>60</v>
      </c>
      <c r="N36" t="s">
        <v>108</v>
      </c>
      <c r="O36" t="s">
        <v>61</v>
      </c>
      <c r="P36" s="127">
        <v>45657</v>
      </c>
      <c r="Q36" t="s">
        <v>1260</v>
      </c>
      <c r="R36" t="s">
        <v>295</v>
      </c>
      <c r="S36" t="s">
        <v>297</v>
      </c>
      <c r="T36" s="127">
        <v>46203</v>
      </c>
      <c r="U36" s="124">
        <v>2.9780000000000002</v>
      </c>
      <c r="V36">
        <v>813.35268300873099</v>
      </c>
      <c r="W36" s="124">
        <v>2422.1642900000002</v>
      </c>
      <c r="X36" s="125">
        <v>0</v>
      </c>
      <c r="Y36" s="125">
        <v>8.2070788010000003E-3</v>
      </c>
      <c r="Z36" s="125">
        <f>W36/'סכום נכסים'!$B$30</f>
        <v>4.3608478898315007E-4</v>
      </c>
    </row>
    <row r="37" spans="1:26" x14ac:dyDescent="0.3">
      <c r="A37">
        <v>13908</v>
      </c>
      <c r="B37">
        <v>13908</v>
      </c>
      <c r="C37" t="s">
        <v>2785</v>
      </c>
      <c r="F37" t="s">
        <v>2786</v>
      </c>
      <c r="G37">
        <v>11020508</v>
      </c>
      <c r="H37" t="s">
        <v>77</v>
      </c>
      <c r="I37" t="s">
        <v>885</v>
      </c>
      <c r="K37" t="s">
        <v>60</v>
      </c>
      <c r="N37" t="s">
        <v>306</v>
      </c>
      <c r="O37" t="s">
        <v>61</v>
      </c>
      <c r="P37" s="127">
        <v>45657</v>
      </c>
      <c r="Q37" t="s">
        <v>1260</v>
      </c>
      <c r="R37" t="s">
        <v>295</v>
      </c>
      <c r="S37" t="s">
        <v>297</v>
      </c>
      <c r="T37" s="127">
        <v>46203</v>
      </c>
      <c r="U37" s="124">
        <v>2.9780000000000002</v>
      </c>
      <c r="V37">
        <v>940.72580591000701</v>
      </c>
      <c r="W37" s="124">
        <v>2801.4814500000002</v>
      </c>
      <c r="X37" s="125">
        <v>0</v>
      </c>
      <c r="Y37" s="125">
        <v>9.4923284580000003E-3</v>
      </c>
      <c r="Z37" s="125">
        <f>W37/'סכום נכסים'!$B$30</f>
        <v>5.0437678897638245E-4</v>
      </c>
    </row>
    <row r="38" spans="1:26" x14ac:dyDescent="0.3">
      <c r="A38">
        <v>13908</v>
      </c>
      <c r="B38">
        <v>13908</v>
      </c>
      <c r="C38" t="s">
        <v>2787</v>
      </c>
      <c r="F38" t="s">
        <v>2787</v>
      </c>
      <c r="G38">
        <v>11020523</v>
      </c>
      <c r="H38" t="s">
        <v>77</v>
      </c>
      <c r="I38" t="s">
        <v>885</v>
      </c>
      <c r="K38" t="s">
        <v>60</v>
      </c>
      <c r="N38" t="s">
        <v>306</v>
      </c>
      <c r="O38" t="s">
        <v>61</v>
      </c>
      <c r="P38" s="127">
        <v>45657</v>
      </c>
      <c r="Q38" t="s">
        <v>1260</v>
      </c>
      <c r="R38" t="s">
        <v>295</v>
      </c>
      <c r="S38" t="s">
        <v>297</v>
      </c>
      <c r="T38" s="127">
        <v>46203</v>
      </c>
      <c r="U38" s="124">
        <v>2.9780000000000002</v>
      </c>
      <c r="V38">
        <v>1496.944919409</v>
      </c>
      <c r="W38" s="124">
        <v>4457.9019699999999</v>
      </c>
      <c r="X38" s="125">
        <v>0</v>
      </c>
      <c r="Y38" s="125">
        <v>1.5104818821E-2</v>
      </c>
      <c r="Z38" s="125">
        <f>W38/'סכום נכסים'!$B$30</f>
        <v>8.0259759749617098E-4</v>
      </c>
    </row>
    <row r="39" spans="1:26" x14ac:dyDescent="0.3">
      <c r="A39">
        <v>13908</v>
      </c>
      <c r="B39">
        <v>13908</v>
      </c>
      <c r="C39" t="s">
        <v>2787</v>
      </c>
      <c r="F39" t="s">
        <v>2788</v>
      </c>
      <c r="G39">
        <v>11020525</v>
      </c>
      <c r="H39" t="s">
        <v>77</v>
      </c>
      <c r="I39" t="s">
        <v>885</v>
      </c>
      <c r="K39" t="s">
        <v>60</v>
      </c>
      <c r="N39" t="s">
        <v>169</v>
      </c>
      <c r="O39" t="s">
        <v>61</v>
      </c>
      <c r="P39" s="127">
        <v>45657</v>
      </c>
      <c r="Q39" t="s">
        <v>1260</v>
      </c>
      <c r="R39" t="s">
        <v>295</v>
      </c>
      <c r="S39" t="s">
        <v>297</v>
      </c>
      <c r="T39" s="127">
        <v>46203</v>
      </c>
      <c r="U39" s="124">
        <v>2.9780000000000002</v>
      </c>
      <c r="V39">
        <v>1774.4904600402999</v>
      </c>
      <c r="W39" s="124">
        <v>5284.4325900000003</v>
      </c>
      <c r="X39" s="125">
        <v>0</v>
      </c>
      <c r="Y39" s="125">
        <v>1.7905372837E-2</v>
      </c>
      <c r="Z39" s="125">
        <f>W39/'סכום נכסים'!$B$30</f>
        <v>9.5140560052837345E-4</v>
      </c>
    </row>
    <row r="40" spans="1:26" x14ac:dyDescent="0.3">
      <c r="A40">
        <v>13908</v>
      </c>
      <c r="B40">
        <v>13908</v>
      </c>
      <c r="C40" t="s">
        <v>2789</v>
      </c>
      <c r="F40" t="s">
        <v>2790</v>
      </c>
      <c r="G40">
        <v>11021256</v>
      </c>
      <c r="H40" t="s">
        <v>77</v>
      </c>
      <c r="I40" t="s">
        <v>885</v>
      </c>
      <c r="K40" t="s">
        <v>60</v>
      </c>
      <c r="N40" t="s">
        <v>52</v>
      </c>
      <c r="O40" t="s">
        <v>61</v>
      </c>
      <c r="P40" s="127">
        <v>45657</v>
      </c>
      <c r="Q40" t="s">
        <v>1260</v>
      </c>
      <c r="R40" t="s">
        <v>295</v>
      </c>
      <c r="S40" t="s">
        <v>297</v>
      </c>
      <c r="T40" s="127">
        <v>46203</v>
      </c>
      <c r="U40" s="124">
        <v>2.9780000000000002</v>
      </c>
      <c r="V40">
        <v>698.61516789791801</v>
      </c>
      <c r="W40" s="124">
        <v>2080.47597</v>
      </c>
      <c r="X40" s="125">
        <v>0</v>
      </c>
      <c r="Y40" s="125">
        <v>7.0493278680000002E-3</v>
      </c>
      <c r="Z40" s="125">
        <f>W40/'סכום נכסים'!$B$30</f>
        <v>3.7456745940299716E-4</v>
      </c>
    </row>
    <row r="41" spans="1:26" x14ac:dyDescent="0.3">
      <c r="A41">
        <v>13908</v>
      </c>
      <c r="B41">
        <v>13908</v>
      </c>
      <c r="C41" t="s">
        <v>2791</v>
      </c>
      <c r="F41" t="s">
        <v>2792</v>
      </c>
      <c r="G41">
        <v>11021278</v>
      </c>
      <c r="H41" t="s">
        <v>77</v>
      </c>
      <c r="I41" t="s">
        <v>885</v>
      </c>
      <c r="K41" t="s">
        <v>60</v>
      </c>
      <c r="N41" t="s">
        <v>306</v>
      </c>
      <c r="O41" t="s">
        <v>61</v>
      </c>
      <c r="P41" s="127">
        <v>45657</v>
      </c>
      <c r="Q41" t="s">
        <v>1260</v>
      </c>
      <c r="R41" t="s">
        <v>295</v>
      </c>
      <c r="S41" t="s">
        <v>297</v>
      </c>
      <c r="T41" s="127">
        <v>46203</v>
      </c>
      <c r="U41" s="124">
        <v>2.9780000000000002</v>
      </c>
      <c r="V41">
        <v>703.76989926124895</v>
      </c>
      <c r="W41" s="124">
        <v>2095.8267599999999</v>
      </c>
      <c r="X41" s="125">
        <v>0</v>
      </c>
      <c r="Y41" s="125">
        <v>7.1013413269999997E-3</v>
      </c>
      <c r="Z41" s="125">
        <f>W41/'סכום נכסים'!$B$30</f>
        <v>3.7733120505208963E-4</v>
      </c>
    </row>
    <row r="42" spans="1:26" x14ac:dyDescent="0.3">
      <c r="A42">
        <v>13908</v>
      </c>
      <c r="B42">
        <v>13908</v>
      </c>
      <c r="C42" t="s">
        <v>2793</v>
      </c>
      <c r="F42" t="s">
        <v>2794</v>
      </c>
      <c r="G42">
        <v>11021280</v>
      </c>
      <c r="H42" t="s">
        <v>77</v>
      </c>
      <c r="I42" t="s">
        <v>885</v>
      </c>
      <c r="K42" t="s">
        <v>60</v>
      </c>
      <c r="N42" t="s">
        <v>200</v>
      </c>
      <c r="O42" t="s">
        <v>61</v>
      </c>
      <c r="P42" s="127">
        <v>45657</v>
      </c>
      <c r="Q42" t="s">
        <v>1260</v>
      </c>
      <c r="R42" t="s">
        <v>295</v>
      </c>
      <c r="S42" t="s">
        <v>297</v>
      </c>
      <c r="T42" s="127">
        <v>46203</v>
      </c>
      <c r="U42" s="124">
        <v>2.9780000000000002</v>
      </c>
      <c r="V42">
        <v>2477.1305674949599</v>
      </c>
      <c r="W42" s="124">
        <v>7376.8948300000002</v>
      </c>
      <c r="X42" s="125">
        <v>0</v>
      </c>
      <c r="Y42" s="125">
        <v>2.4995314078999999E-2</v>
      </c>
      <c r="Z42" s="125">
        <f>W42/'סכום נכסים'!$B$30</f>
        <v>1.3281310597190914E-3</v>
      </c>
    </row>
    <row r="43" spans="1:26" x14ac:dyDescent="0.3">
      <c r="A43">
        <v>13908</v>
      </c>
      <c r="B43">
        <v>13908</v>
      </c>
      <c r="C43" t="s">
        <v>2795</v>
      </c>
      <c r="F43" t="s">
        <v>2796</v>
      </c>
      <c r="G43">
        <v>11021293</v>
      </c>
      <c r="H43" t="s">
        <v>77</v>
      </c>
      <c r="I43" t="s">
        <v>885</v>
      </c>
      <c r="K43" t="s">
        <v>60</v>
      </c>
      <c r="N43" t="s">
        <v>306</v>
      </c>
      <c r="O43" t="s">
        <v>61</v>
      </c>
      <c r="P43" s="127">
        <v>45657</v>
      </c>
      <c r="Q43" t="s">
        <v>1260</v>
      </c>
      <c r="R43" t="s">
        <v>295</v>
      </c>
      <c r="S43" t="s">
        <v>297</v>
      </c>
      <c r="T43" s="127">
        <v>46203</v>
      </c>
      <c r="U43" s="124">
        <v>2.9780000000000002</v>
      </c>
      <c r="V43">
        <v>919.36630960376101</v>
      </c>
      <c r="W43" s="124">
        <v>2737.8728700000001</v>
      </c>
      <c r="X43" s="125">
        <v>0</v>
      </c>
      <c r="Y43" s="125">
        <v>9.2768019430000005E-3</v>
      </c>
      <c r="Z43" s="125">
        <f>W43/'סכום נכסים'!$B$30</f>
        <v>4.9292474408358213E-4</v>
      </c>
    </row>
    <row r="44" spans="1:26" x14ac:dyDescent="0.3">
      <c r="A44">
        <v>13908</v>
      </c>
      <c r="B44">
        <v>13908</v>
      </c>
      <c r="C44" t="s">
        <v>2781</v>
      </c>
      <c r="F44" t="s">
        <v>2797</v>
      </c>
      <c r="G44">
        <v>11021294</v>
      </c>
      <c r="H44" t="s">
        <v>77</v>
      </c>
      <c r="I44" t="s">
        <v>728</v>
      </c>
      <c r="K44" t="s">
        <v>60</v>
      </c>
      <c r="N44" t="s">
        <v>306</v>
      </c>
      <c r="O44" t="s">
        <v>61</v>
      </c>
      <c r="P44" s="127">
        <v>45657</v>
      </c>
      <c r="Q44" t="s">
        <v>1260</v>
      </c>
      <c r="R44" t="s">
        <v>295</v>
      </c>
      <c r="S44" t="s">
        <v>297</v>
      </c>
      <c r="T44" s="127">
        <v>46203</v>
      </c>
      <c r="U44" s="124">
        <v>2.9780000000000002</v>
      </c>
      <c r="V44">
        <v>4.4472128945599998</v>
      </c>
      <c r="W44" s="124">
        <v>13.2438</v>
      </c>
      <c r="X44" s="125">
        <v>0</v>
      </c>
      <c r="Y44" s="125">
        <v>4.48742930774264E-5</v>
      </c>
      <c r="Z44" s="125">
        <f>W44/'סכום נכסים'!$B$30</f>
        <v>2.3844046220064794E-6</v>
      </c>
    </row>
    <row r="45" spans="1:26" x14ac:dyDescent="0.3">
      <c r="A45">
        <v>13908</v>
      </c>
      <c r="B45">
        <v>13908</v>
      </c>
      <c r="C45" t="s">
        <v>2798</v>
      </c>
      <c r="F45" t="s">
        <v>2799</v>
      </c>
      <c r="G45">
        <v>11021307</v>
      </c>
      <c r="H45" t="s">
        <v>77</v>
      </c>
      <c r="I45" t="s">
        <v>885</v>
      </c>
      <c r="K45" t="s">
        <v>60</v>
      </c>
      <c r="N45" t="s">
        <v>306</v>
      </c>
      <c r="O45" t="s">
        <v>61</v>
      </c>
      <c r="P45" s="127">
        <v>45657</v>
      </c>
      <c r="Q45" t="s">
        <v>1260</v>
      </c>
      <c r="R45" t="s">
        <v>295</v>
      </c>
      <c r="S45" t="s">
        <v>297</v>
      </c>
      <c r="T45" s="127">
        <v>46203</v>
      </c>
      <c r="U45" s="124">
        <v>2.9780000000000002</v>
      </c>
      <c r="V45">
        <v>407.06444929482899</v>
      </c>
      <c r="W45" s="124">
        <v>1212.23793</v>
      </c>
      <c r="X45" s="125">
        <v>0</v>
      </c>
      <c r="Y45" s="125">
        <v>4.1074555750000002E-3</v>
      </c>
      <c r="Z45" s="125">
        <f>W45/'סכום נכסים'!$B$30</f>
        <v>2.1825048122620149E-4</v>
      </c>
    </row>
    <row r="46" spans="1:26" x14ac:dyDescent="0.3">
      <c r="A46">
        <v>13908</v>
      </c>
      <c r="B46">
        <v>13908</v>
      </c>
      <c r="C46" t="s">
        <v>2798</v>
      </c>
      <c r="F46" t="s">
        <v>2800</v>
      </c>
      <c r="G46">
        <v>11021308</v>
      </c>
      <c r="H46" t="s">
        <v>77</v>
      </c>
      <c r="I46" t="s">
        <v>885</v>
      </c>
      <c r="K46" t="s">
        <v>60</v>
      </c>
      <c r="N46" t="s">
        <v>306</v>
      </c>
      <c r="O46" t="s">
        <v>61</v>
      </c>
      <c r="P46" s="127">
        <v>45657</v>
      </c>
      <c r="Q46" t="s">
        <v>1260</v>
      </c>
      <c r="R46" t="s">
        <v>295</v>
      </c>
      <c r="S46" t="s">
        <v>297</v>
      </c>
      <c r="T46" s="127">
        <v>46203</v>
      </c>
      <c r="U46" s="124">
        <v>2.9780000000000002</v>
      </c>
      <c r="V46">
        <v>3907.5049361987899</v>
      </c>
      <c r="W46" s="124">
        <v>11636.5497</v>
      </c>
      <c r="X46" s="125">
        <v>0</v>
      </c>
      <c r="Y46" s="125">
        <v>3.9428407378999997E-2</v>
      </c>
      <c r="Z46" s="125">
        <f>W46/'סכום נכסים'!$B$30</f>
        <v>2.0950363859985888E-3</v>
      </c>
    </row>
    <row r="47" spans="1:26" x14ac:dyDescent="0.3">
      <c r="A47">
        <v>13908</v>
      </c>
      <c r="B47">
        <v>13908</v>
      </c>
      <c r="C47" t="s">
        <v>2801</v>
      </c>
      <c r="F47" t="s">
        <v>2802</v>
      </c>
      <c r="G47">
        <v>11022776</v>
      </c>
      <c r="H47" t="s">
        <v>77</v>
      </c>
      <c r="I47" t="s">
        <v>885</v>
      </c>
      <c r="K47" t="s">
        <v>60</v>
      </c>
      <c r="N47" t="s">
        <v>306</v>
      </c>
      <c r="O47" t="s">
        <v>61</v>
      </c>
      <c r="P47" s="127">
        <v>45664</v>
      </c>
      <c r="Q47" t="s">
        <v>1260</v>
      </c>
      <c r="R47" t="s">
        <v>295</v>
      </c>
      <c r="S47" t="s">
        <v>297</v>
      </c>
      <c r="T47" s="127">
        <v>46203</v>
      </c>
      <c r="U47" s="124">
        <v>2.9780000000000002</v>
      </c>
      <c r="V47">
        <v>1357.82177971793</v>
      </c>
      <c r="W47" s="124">
        <v>4043.5932600000001</v>
      </c>
      <c r="X47" s="125">
        <v>0</v>
      </c>
      <c r="Y47" s="125">
        <v>1.3701006435E-2</v>
      </c>
      <c r="Z47" s="125">
        <f>W47/'סכום נכסים'!$B$30</f>
        <v>7.2800574296336758E-4</v>
      </c>
    </row>
    <row r="48" spans="1:26" x14ac:dyDescent="0.3">
      <c r="A48">
        <v>13908</v>
      </c>
      <c r="B48">
        <v>13908</v>
      </c>
      <c r="C48" t="s">
        <v>2803</v>
      </c>
      <c r="F48" t="s">
        <v>2804</v>
      </c>
      <c r="G48">
        <v>11022777</v>
      </c>
      <c r="H48" t="s">
        <v>77</v>
      </c>
      <c r="I48" t="s">
        <v>728</v>
      </c>
      <c r="K48" t="s">
        <v>60</v>
      </c>
      <c r="N48" t="s">
        <v>52</v>
      </c>
      <c r="O48" t="s">
        <v>61</v>
      </c>
      <c r="P48" s="127">
        <v>45666</v>
      </c>
      <c r="Q48" t="s">
        <v>1260</v>
      </c>
      <c r="R48" t="s">
        <v>295</v>
      </c>
      <c r="S48" t="s">
        <v>297</v>
      </c>
      <c r="T48" s="127">
        <v>46203</v>
      </c>
      <c r="U48" s="124">
        <v>2.9780000000000002</v>
      </c>
      <c r="V48">
        <v>536.78125251846905</v>
      </c>
      <c r="W48" s="124">
        <v>1598.53457</v>
      </c>
      <c r="X48" s="125">
        <v>0</v>
      </c>
      <c r="Y48" s="125">
        <v>5.4163539760000001E-3</v>
      </c>
      <c r="Z48" s="125">
        <f>W48/'סכום נכסים'!$B$30</f>
        <v>2.8779906198712907E-4</v>
      </c>
    </row>
    <row r="49" spans="1:26" x14ac:dyDescent="0.3">
      <c r="A49">
        <v>13908</v>
      </c>
      <c r="B49">
        <v>13908</v>
      </c>
      <c r="C49" t="s">
        <v>2823</v>
      </c>
      <c r="F49" t="s">
        <v>2805</v>
      </c>
      <c r="G49">
        <v>11022784</v>
      </c>
      <c r="H49" t="s">
        <v>77</v>
      </c>
      <c r="I49" t="s">
        <v>885</v>
      </c>
      <c r="K49" t="s">
        <v>60</v>
      </c>
      <c r="N49" t="s">
        <v>306</v>
      </c>
      <c r="O49" t="s">
        <v>61</v>
      </c>
      <c r="P49" s="127">
        <v>45694</v>
      </c>
      <c r="Q49" t="s">
        <v>1260</v>
      </c>
      <c r="R49" t="s">
        <v>295</v>
      </c>
      <c r="S49" t="s">
        <v>296</v>
      </c>
      <c r="T49" s="127">
        <v>46203</v>
      </c>
      <c r="U49" s="124">
        <v>2.9780000000000002</v>
      </c>
      <c r="V49">
        <v>779.61122565480196</v>
      </c>
      <c r="W49" s="124">
        <v>2321.6822299999999</v>
      </c>
      <c r="X49" s="125">
        <v>0</v>
      </c>
      <c r="Y49" s="125">
        <v>7.8666129669999994E-3</v>
      </c>
      <c r="Z49" s="125">
        <f>W49/'סכום נכסים'!$B$30</f>
        <v>4.179940681709411E-4</v>
      </c>
    </row>
    <row r="50" spans="1:26" x14ac:dyDescent="0.3">
      <c r="A50">
        <v>13908</v>
      </c>
      <c r="B50">
        <v>13908</v>
      </c>
      <c r="C50" t="s">
        <v>2806</v>
      </c>
      <c r="F50" t="s">
        <v>2807</v>
      </c>
      <c r="G50">
        <v>11022785</v>
      </c>
      <c r="H50" t="s">
        <v>77</v>
      </c>
      <c r="I50" t="s">
        <v>885</v>
      </c>
      <c r="K50" t="s">
        <v>60</v>
      </c>
      <c r="N50" t="s">
        <v>306</v>
      </c>
      <c r="O50" t="s">
        <v>61</v>
      </c>
      <c r="P50" s="127">
        <v>45713</v>
      </c>
      <c r="Q50" t="s">
        <v>1260</v>
      </c>
      <c r="R50" t="s">
        <v>295</v>
      </c>
      <c r="S50" t="s">
        <v>297</v>
      </c>
      <c r="T50" s="127">
        <v>46203</v>
      </c>
      <c r="U50" s="124">
        <v>2.9780000000000002</v>
      </c>
      <c r="V50">
        <v>7466.2224278038902</v>
      </c>
      <c r="W50" s="124">
        <v>22234.410390000001</v>
      </c>
      <c r="X50" s="125">
        <v>0</v>
      </c>
      <c r="Y50" s="125">
        <v>7.5337399254000001E-2</v>
      </c>
      <c r="Z50" s="125">
        <f>W50/'סכום נכסים'!$B$30</f>
        <v>4.0030679186868487E-3</v>
      </c>
    </row>
    <row r="51" spans="1:26" x14ac:dyDescent="0.3">
      <c r="A51">
        <v>13908</v>
      </c>
      <c r="B51">
        <v>13908</v>
      </c>
      <c r="C51" t="s">
        <v>2808</v>
      </c>
      <c r="F51" t="s">
        <v>2809</v>
      </c>
      <c r="G51">
        <v>11022791</v>
      </c>
      <c r="H51" t="s">
        <v>77</v>
      </c>
      <c r="I51" t="s">
        <v>885</v>
      </c>
      <c r="K51" t="s">
        <v>60</v>
      </c>
      <c r="N51" t="s">
        <v>306</v>
      </c>
      <c r="O51" t="s">
        <v>61</v>
      </c>
      <c r="P51" s="127">
        <v>45714</v>
      </c>
      <c r="Q51" t="s">
        <v>1260</v>
      </c>
      <c r="R51" t="s">
        <v>295</v>
      </c>
      <c r="S51" t="s">
        <v>297</v>
      </c>
      <c r="T51" s="127">
        <v>46203</v>
      </c>
      <c r="U51" s="124">
        <v>2.9780000000000002</v>
      </c>
      <c r="V51">
        <v>601.14764271322997</v>
      </c>
      <c r="W51" s="124">
        <v>1790.21768</v>
      </c>
      <c r="X51" s="125">
        <v>0</v>
      </c>
      <c r="Y51" s="125">
        <v>6.0658385690000004E-3</v>
      </c>
      <c r="Z51" s="125">
        <f>W51/'סכום נכסים'!$B$30</f>
        <v>3.2230955696927745E-4</v>
      </c>
    </row>
    <row r="52" spans="1:26" x14ac:dyDescent="0.3">
      <c r="A52">
        <v>13908</v>
      </c>
      <c r="B52">
        <v>13908</v>
      </c>
      <c r="C52" t="s">
        <v>2808</v>
      </c>
      <c r="F52" t="s">
        <v>2810</v>
      </c>
      <c r="G52">
        <v>11022792</v>
      </c>
      <c r="H52" t="s">
        <v>77</v>
      </c>
      <c r="I52" t="s">
        <v>885</v>
      </c>
      <c r="K52" t="s">
        <v>60</v>
      </c>
      <c r="N52" t="s">
        <v>306</v>
      </c>
      <c r="O52" t="s">
        <v>61</v>
      </c>
      <c r="P52" s="127">
        <v>45714</v>
      </c>
      <c r="Q52" t="s">
        <v>1260</v>
      </c>
      <c r="R52" t="s">
        <v>295</v>
      </c>
      <c r="S52" t="s">
        <v>297</v>
      </c>
      <c r="T52" s="127">
        <v>46203</v>
      </c>
      <c r="U52" s="124">
        <v>2.9780000000000002</v>
      </c>
      <c r="V52">
        <v>578.70770315648099</v>
      </c>
      <c r="W52" s="124">
        <v>1723.3915400000001</v>
      </c>
      <c r="X52" s="125">
        <v>0</v>
      </c>
      <c r="Y52" s="125">
        <v>5.8394099160000001E-3</v>
      </c>
      <c r="Z52" s="125">
        <f>W52/'סכום נכסים'!$B$30</f>
        <v>3.1027822479219445E-4</v>
      </c>
    </row>
    <row r="53" spans="1:26" x14ac:dyDescent="0.3">
      <c r="A53">
        <v>13908</v>
      </c>
      <c r="B53">
        <v>13908</v>
      </c>
      <c r="C53" t="s">
        <v>2811</v>
      </c>
      <c r="F53" t="s">
        <v>2812</v>
      </c>
      <c r="G53">
        <v>11022794</v>
      </c>
      <c r="H53" t="s">
        <v>77</v>
      </c>
      <c r="I53" t="s">
        <v>728</v>
      </c>
      <c r="K53" t="s">
        <v>60</v>
      </c>
      <c r="N53" t="s">
        <v>306</v>
      </c>
      <c r="O53" t="s">
        <v>61</v>
      </c>
      <c r="P53" s="127">
        <v>45721</v>
      </c>
      <c r="Q53" t="s">
        <v>1260</v>
      </c>
      <c r="R53" t="s">
        <v>295</v>
      </c>
      <c r="S53" t="s">
        <v>297</v>
      </c>
      <c r="T53" s="127">
        <v>46203</v>
      </c>
      <c r="U53" s="124">
        <v>2.9780000000000002</v>
      </c>
      <c r="V53">
        <v>1371.35163868368</v>
      </c>
      <c r="W53" s="124">
        <v>4083.8851800000002</v>
      </c>
      <c r="X53" s="125">
        <v>0</v>
      </c>
      <c r="Y53" s="125">
        <v>1.3837528538E-2</v>
      </c>
      <c r="Z53" s="125">
        <f>W53/'סכום נכסים'!$B$30</f>
        <v>7.3525987246377651E-4</v>
      </c>
    </row>
    <row r="54" spans="1:26" x14ac:dyDescent="0.3">
      <c r="A54">
        <v>13908</v>
      </c>
      <c r="B54">
        <v>13908</v>
      </c>
      <c r="C54" t="s">
        <v>2813</v>
      </c>
      <c r="F54" t="s">
        <v>2814</v>
      </c>
      <c r="G54">
        <v>11022809</v>
      </c>
      <c r="H54" t="s">
        <v>77</v>
      </c>
      <c r="I54" t="s">
        <v>728</v>
      </c>
      <c r="K54" t="s">
        <v>60</v>
      </c>
      <c r="N54" t="s">
        <v>306</v>
      </c>
      <c r="O54" t="s">
        <v>61</v>
      </c>
      <c r="P54" s="127">
        <v>46191</v>
      </c>
      <c r="Q54" t="s">
        <v>1260</v>
      </c>
      <c r="R54" t="s">
        <v>295</v>
      </c>
      <c r="S54" t="s">
        <v>297</v>
      </c>
      <c r="T54" s="127">
        <v>46203</v>
      </c>
      <c r="U54" s="124">
        <v>2.9780000000000002</v>
      </c>
      <c r="V54">
        <v>155.58947951645399</v>
      </c>
      <c r="W54" s="124">
        <v>463.34546999999998</v>
      </c>
      <c r="X54" s="125">
        <v>0</v>
      </c>
      <c r="Y54" s="125">
        <v>1.569964845E-3</v>
      </c>
      <c r="Z54" s="125">
        <f>W54/'סכום נכסים'!$B$30</f>
        <v>8.3420398998305964E-5</v>
      </c>
    </row>
    <row r="55" spans="1:26" x14ac:dyDescent="0.3">
      <c r="A55">
        <v>13908</v>
      </c>
      <c r="B55">
        <v>13908</v>
      </c>
      <c r="C55" t="s">
        <v>2815</v>
      </c>
      <c r="F55" t="s">
        <v>2816</v>
      </c>
      <c r="G55">
        <v>11022818</v>
      </c>
      <c r="H55" t="s">
        <v>77</v>
      </c>
      <c r="I55" t="s">
        <v>885</v>
      </c>
      <c r="K55" t="s">
        <v>60</v>
      </c>
      <c r="N55" t="s">
        <v>306</v>
      </c>
      <c r="O55" t="s">
        <v>61</v>
      </c>
      <c r="P55" s="127">
        <v>46015</v>
      </c>
      <c r="Q55" t="s">
        <v>1260</v>
      </c>
      <c r="R55" t="s">
        <v>295</v>
      </c>
      <c r="S55" t="s">
        <v>297</v>
      </c>
      <c r="T55" s="127">
        <v>46203</v>
      </c>
      <c r="U55" s="124">
        <v>2.9780000000000002</v>
      </c>
      <c r="V55">
        <v>787.46276359973103</v>
      </c>
      <c r="W55" s="124">
        <v>2345.0641099999998</v>
      </c>
      <c r="X55" s="125">
        <v>0</v>
      </c>
      <c r="Y55" s="125">
        <v>7.9458383659999996E-3</v>
      </c>
      <c r="Z55" s="125">
        <f>W55/'סכום נכסים'!$B$30</f>
        <v>4.2220372572717124E-4</v>
      </c>
    </row>
    <row r="56" spans="1:26" x14ac:dyDescent="0.3">
      <c r="A56">
        <v>13908</v>
      </c>
      <c r="B56">
        <v>13908</v>
      </c>
      <c r="C56" t="s">
        <v>2817</v>
      </c>
      <c r="F56" t="s">
        <v>2818</v>
      </c>
      <c r="G56">
        <v>11022823</v>
      </c>
      <c r="H56" t="s">
        <v>77</v>
      </c>
      <c r="I56" t="s">
        <v>885</v>
      </c>
      <c r="K56" t="s">
        <v>60</v>
      </c>
      <c r="N56" t="s">
        <v>306</v>
      </c>
      <c r="O56" t="s">
        <v>61</v>
      </c>
      <c r="P56" s="127">
        <v>46056</v>
      </c>
      <c r="Q56" t="s">
        <v>1260</v>
      </c>
      <c r="R56" t="s">
        <v>295</v>
      </c>
      <c r="S56" t="s">
        <v>297</v>
      </c>
      <c r="T56" s="127">
        <v>46203</v>
      </c>
      <c r="U56" s="124">
        <v>2.9780000000000002</v>
      </c>
      <c r="V56">
        <v>933.81198119543296</v>
      </c>
      <c r="W56" s="124">
        <v>2780.8920800000001</v>
      </c>
      <c r="X56" s="125">
        <v>0</v>
      </c>
      <c r="Y56" s="125">
        <v>9.42256499E-3</v>
      </c>
      <c r="Z56" s="125">
        <f>W56/'סכום נכסים'!$B$30</f>
        <v>5.0066989299545539E-4</v>
      </c>
    </row>
    <row r="57" spans="1:26" x14ac:dyDescent="0.3">
      <c r="A57">
        <v>13908</v>
      </c>
      <c r="B57">
        <v>13908</v>
      </c>
      <c r="C57" t="s">
        <v>2819</v>
      </c>
      <c r="F57" t="s">
        <v>2820</v>
      </c>
      <c r="G57">
        <v>11022830</v>
      </c>
      <c r="H57" t="s">
        <v>77</v>
      </c>
      <c r="I57" t="s">
        <v>237</v>
      </c>
      <c r="K57" t="s">
        <v>60</v>
      </c>
      <c r="N57" t="s">
        <v>306</v>
      </c>
      <c r="O57" t="s">
        <v>61</v>
      </c>
      <c r="P57" s="127">
        <v>46112</v>
      </c>
      <c r="Q57" t="s">
        <v>1260</v>
      </c>
      <c r="R57" t="s">
        <v>295</v>
      </c>
      <c r="S57" t="s">
        <v>297</v>
      </c>
      <c r="T57" s="127">
        <v>46203</v>
      </c>
      <c r="U57" s="124">
        <v>2.9780000000000002</v>
      </c>
      <c r="V57">
        <v>509.18076897246499</v>
      </c>
      <c r="W57" s="124">
        <v>1516.34033</v>
      </c>
      <c r="X57" s="125">
        <v>0</v>
      </c>
      <c r="Y57" s="125">
        <v>5.1378532120000004E-3</v>
      </c>
      <c r="Z57" s="125">
        <f>W57/'סכום נכסים'!$B$30</f>
        <v>2.7300086768048673E-4</v>
      </c>
    </row>
    <row r="58" spans="1:26" x14ac:dyDescent="0.3">
      <c r="A58">
        <v>13908</v>
      </c>
      <c r="B58">
        <v>13908</v>
      </c>
      <c r="C58" t="s">
        <v>2821</v>
      </c>
      <c r="F58" t="s">
        <v>2822</v>
      </c>
      <c r="G58">
        <v>11022833</v>
      </c>
      <c r="H58" t="s">
        <v>77</v>
      </c>
      <c r="I58" t="s">
        <v>885</v>
      </c>
      <c r="K58" t="s">
        <v>60</v>
      </c>
      <c r="N58" t="s">
        <v>306</v>
      </c>
      <c r="O58" t="s">
        <v>61</v>
      </c>
      <c r="P58" s="127">
        <v>45890</v>
      </c>
      <c r="Q58" t="s">
        <v>1260</v>
      </c>
      <c r="R58" t="s">
        <v>295</v>
      </c>
      <c r="S58" t="s">
        <v>297</v>
      </c>
      <c r="T58" s="127">
        <v>46203</v>
      </c>
      <c r="U58" s="124">
        <v>2.9780000000000002</v>
      </c>
      <c r="V58">
        <v>2448.6591605104099</v>
      </c>
      <c r="W58" s="124">
        <v>7292.1069799999996</v>
      </c>
      <c r="X58" s="125">
        <v>0</v>
      </c>
      <c r="Y58" s="125">
        <v>2.4708025322000001E-2</v>
      </c>
      <c r="Z58" s="125">
        <f>W58/'סכום נכסים'!$B$30</f>
        <v>1.3128659136560285E-3</v>
      </c>
    </row>
    <row r="59" spans="1:26" x14ac:dyDescent="0.3">
      <c r="A59">
        <v>13908</v>
      </c>
      <c r="B59">
        <v>13908</v>
      </c>
      <c r="C59" t="s">
        <v>2823</v>
      </c>
      <c r="F59" t="s">
        <v>2824</v>
      </c>
      <c r="G59">
        <v>11022854</v>
      </c>
      <c r="H59" t="s">
        <v>77</v>
      </c>
      <c r="I59" t="s">
        <v>237</v>
      </c>
      <c r="K59" t="s">
        <v>60</v>
      </c>
      <c r="N59" t="s">
        <v>306</v>
      </c>
      <c r="O59" t="s">
        <v>61</v>
      </c>
      <c r="P59" s="127">
        <v>45986</v>
      </c>
      <c r="Q59" t="s">
        <v>1260</v>
      </c>
      <c r="R59" t="s">
        <v>295</v>
      </c>
      <c r="S59" t="s">
        <v>297</v>
      </c>
      <c r="T59" s="127">
        <v>46203</v>
      </c>
      <c r="U59" s="124">
        <v>2.9780000000000002</v>
      </c>
      <c r="V59">
        <v>480.82965413028899</v>
      </c>
      <c r="W59" s="124">
        <v>1431.9107100000001</v>
      </c>
      <c r="X59" s="125">
        <v>0</v>
      </c>
      <c r="Y59" s="125">
        <v>4.8517782549999996E-3</v>
      </c>
      <c r="Z59" s="125">
        <f>W59/'סכום נכסים'!$B$30</f>
        <v>2.5780021709966776E-4</v>
      </c>
    </row>
    <row r="60" spans="1:26" x14ac:dyDescent="0.3">
      <c r="A60">
        <v>13908</v>
      </c>
      <c r="B60">
        <v>13908</v>
      </c>
      <c r="C60" t="s">
        <v>2823</v>
      </c>
      <c r="F60" t="s">
        <v>2825</v>
      </c>
      <c r="G60">
        <v>11022855</v>
      </c>
      <c r="H60" t="s">
        <v>77</v>
      </c>
      <c r="I60" t="s">
        <v>237</v>
      </c>
      <c r="K60" t="s">
        <v>60</v>
      </c>
      <c r="N60" t="s">
        <v>306</v>
      </c>
      <c r="O60" t="s">
        <v>61</v>
      </c>
      <c r="P60" s="127">
        <v>45987</v>
      </c>
      <c r="Q60" t="s">
        <v>1260</v>
      </c>
      <c r="R60" t="s">
        <v>295</v>
      </c>
      <c r="S60" t="s">
        <v>297</v>
      </c>
      <c r="T60" s="127">
        <v>46203</v>
      </c>
      <c r="U60" s="124">
        <v>2.9780000000000002</v>
      </c>
      <c r="V60">
        <v>1144.2413364674301</v>
      </c>
      <c r="W60" s="124">
        <v>3407.5506999999998</v>
      </c>
      <c r="X60" s="125">
        <v>0</v>
      </c>
      <c r="Y60" s="125">
        <v>1.1545887794999999E-2</v>
      </c>
      <c r="Z60" s="125">
        <f>W60/'סכום נכסים'!$B$30</f>
        <v>6.1349307893515562E-4</v>
      </c>
    </row>
    <row r="61" spans="1:26" x14ac:dyDescent="0.3">
      <c r="A61">
        <v>13908</v>
      </c>
      <c r="B61">
        <v>13908</v>
      </c>
      <c r="C61" t="s">
        <v>2826</v>
      </c>
      <c r="F61" t="s">
        <v>2827</v>
      </c>
      <c r="G61">
        <v>11022858</v>
      </c>
      <c r="H61" t="s">
        <v>77</v>
      </c>
      <c r="I61" t="s">
        <v>885</v>
      </c>
      <c r="K61" t="s">
        <v>60</v>
      </c>
      <c r="N61" t="s">
        <v>306</v>
      </c>
      <c r="O61" t="s">
        <v>61</v>
      </c>
      <c r="P61" s="127">
        <v>45992</v>
      </c>
      <c r="Q61" t="s">
        <v>1260</v>
      </c>
      <c r="R61" t="s">
        <v>295</v>
      </c>
      <c r="S61" t="s">
        <v>297</v>
      </c>
      <c r="T61" s="127">
        <v>46203</v>
      </c>
      <c r="U61" s="124">
        <v>2.9780000000000002</v>
      </c>
      <c r="V61">
        <v>2370.1656010745501</v>
      </c>
      <c r="W61" s="124">
        <v>7058.3531599999997</v>
      </c>
      <c r="X61" s="125">
        <v>0</v>
      </c>
      <c r="Y61" s="125">
        <v>2.3915991508000001E-2</v>
      </c>
      <c r="Z61" s="125">
        <f>W61/'סכום נכסים'!$B$30</f>
        <v>1.2707810370481312E-3</v>
      </c>
    </row>
    <row r="62" spans="1:26" x14ac:dyDescent="0.3">
      <c r="A62">
        <v>13908</v>
      </c>
      <c r="B62">
        <v>13908</v>
      </c>
      <c r="C62" t="s">
        <v>2828</v>
      </c>
      <c r="F62" t="s">
        <v>2829</v>
      </c>
      <c r="G62">
        <v>11022859</v>
      </c>
      <c r="H62" t="s">
        <v>77</v>
      </c>
      <c r="I62" t="s">
        <v>885</v>
      </c>
      <c r="K62" t="s">
        <v>60</v>
      </c>
      <c r="N62" t="s">
        <v>306</v>
      </c>
      <c r="O62" t="s">
        <v>61</v>
      </c>
      <c r="P62" s="127">
        <v>46015</v>
      </c>
      <c r="Q62" t="s">
        <v>1260</v>
      </c>
      <c r="R62" t="s">
        <v>295</v>
      </c>
      <c r="S62" t="s">
        <v>297</v>
      </c>
      <c r="T62" s="127">
        <v>46203</v>
      </c>
      <c r="U62" s="124">
        <v>2.9780000000000002</v>
      </c>
      <c r="V62">
        <v>121.66342175957</v>
      </c>
      <c r="W62" s="124">
        <v>362.31367</v>
      </c>
      <c r="X62" s="125">
        <v>0</v>
      </c>
      <c r="Y62" s="125">
        <v>1.2276363130000001E-3</v>
      </c>
      <c r="Z62" s="125">
        <f>W62/'סכום נכסים'!$B$30</f>
        <v>6.5230703375476092E-5</v>
      </c>
    </row>
    <row r="63" spans="1:26" x14ac:dyDescent="0.3">
      <c r="A63">
        <v>13908</v>
      </c>
      <c r="B63">
        <v>13908</v>
      </c>
      <c r="C63" t="s">
        <v>2830</v>
      </c>
      <c r="F63" t="s">
        <v>2831</v>
      </c>
      <c r="G63">
        <v>11022861</v>
      </c>
      <c r="H63" t="s">
        <v>77</v>
      </c>
      <c r="I63" t="s">
        <v>728</v>
      </c>
      <c r="K63" t="s">
        <v>60</v>
      </c>
      <c r="N63" t="s">
        <v>306</v>
      </c>
      <c r="O63" t="s">
        <v>61</v>
      </c>
      <c r="P63" s="127">
        <v>46063</v>
      </c>
      <c r="Q63" t="s">
        <v>1260</v>
      </c>
      <c r="R63" t="s">
        <v>295</v>
      </c>
      <c r="S63" t="s">
        <v>297</v>
      </c>
      <c r="T63" s="127">
        <v>46203</v>
      </c>
      <c r="U63" s="124">
        <v>2.9780000000000002</v>
      </c>
      <c r="V63">
        <v>603.97146406984598</v>
      </c>
      <c r="W63" s="124">
        <v>1798.6270199999999</v>
      </c>
      <c r="X63" s="125">
        <v>0</v>
      </c>
      <c r="Y63" s="125">
        <v>6.0943321420000003E-3</v>
      </c>
      <c r="Z63" s="125">
        <f>W63/'סכום נכסים'!$B$30</f>
        <v>3.238235687456576E-4</v>
      </c>
    </row>
    <row r="64" spans="1:26" x14ac:dyDescent="0.3">
      <c r="A64">
        <v>13908</v>
      </c>
      <c r="B64">
        <v>13908</v>
      </c>
      <c r="C64" t="s">
        <v>2832</v>
      </c>
      <c r="F64" t="s">
        <v>2833</v>
      </c>
      <c r="G64">
        <v>11022868</v>
      </c>
      <c r="H64" t="s">
        <v>77</v>
      </c>
      <c r="I64" t="s">
        <v>728</v>
      </c>
      <c r="K64" t="s">
        <v>60</v>
      </c>
      <c r="N64" t="s">
        <v>306</v>
      </c>
      <c r="O64" t="s">
        <v>61</v>
      </c>
      <c r="P64" s="127">
        <v>46040</v>
      </c>
      <c r="Q64" t="s">
        <v>1260</v>
      </c>
      <c r="R64" t="s">
        <v>295</v>
      </c>
      <c r="S64" t="s">
        <v>297</v>
      </c>
      <c r="T64" s="127">
        <v>46203</v>
      </c>
      <c r="U64" s="124">
        <v>2.9780000000000002</v>
      </c>
      <c r="V64">
        <v>854.00939892545296</v>
      </c>
      <c r="W64" s="124">
        <v>2543.23999</v>
      </c>
      <c r="X64" s="125">
        <v>0</v>
      </c>
      <c r="Y64" s="125">
        <v>8.6173225709999992E-3</v>
      </c>
      <c r="Z64" s="125">
        <f>W64/'סכום נכסים'!$B$30</f>
        <v>4.5788317454414234E-4</v>
      </c>
    </row>
    <row r="65" spans="1:26" x14ac:dyDescent="0.3">
      <c r="A65">
        <v>13908</v>
      </c>
      <c r="B65">
        <v>13908</v>
      </c>
      <c r="C65" t="s">
        <v>2834</v>
      </c>
      <c r="F65" t="s">
        <v>2835</v>
      </c>
      <c r="G65">
        <v>11150000</v>
      </c>
      <c r="H65" t="s">
        <v>77</v>
      </c>
      <c r="I65" t="s">
        <v>885</v>
      </c>
      <c r="K65" t="s">
        <v>60</v>
      </c>
      <c r="N65" t="s">
        <v>306</v>
      </c>
      <c r="O65" t="s">
        <v>61</v>
      </c>
      <c r="P65" s="127">
        <v>46040</v>
      </c>
      <c r="Q65" t="s">
        <v>1260</v>
      </c>
      <c r="R65" t="s">
        <v>295</v>
      </c>
      <c r="S65" t="s">
        <v>296</v>
      </c>
      <c r="T65" s="127">
        <v>46203</v>
      </c>
      <c r="U65" s="124">
        <v>2.9780000000000002</v>
      </c>
      <c r="V65">
        <v>479.14965077233001</v>
      </c>
      <c r="W65" s="124">
        <v>1426.9076600000001</v>
      </c>
      <c r="X65" s="125">
        <v>0</v>
      </c>
      <c r="Y65" s="125">
        <v>4.8348262980000001E-3</v>
      </c>
      <c r="Z65" s="125">
        <f>W65/'סכום נכסים'!$B$30</f>
        <v>2.5689947142666381E-4</v>
      </c>
    </row>
    <row r="66" spans="1:26" x14ac:dyDescent="0.3">
      <c r="A66">
        <v>13908</v>
      </c>
      <c r="B66">
        <v>13908</v>
      </c>
      <c r="C66" t="s">
        <v>2836</v>
      </c>
      <c r="F66" t="s">
        <v>2837</v>
      </c>
      <c r="G66">
        <v>11150001</v>
      </c>
      <c r="H66" t="s">
        <v>77</v>
      </c>
      <c r="I66" t="s">
        <v>885</v>
      </c>
      <c r="K66" t="s">
        <v>60</v>
      </c>
      <c r="N66" t="s">
        <v>306</v>
      </c>
      <c r="O66" t="s">
        <v>61</v>
      </c>
      <c r="P66" s="127">
        <v>46071</v>
      </c>
      <c r="Q66" t="s">
        <v>1260</v>
      </c>
      <c r="R66" t="s">
        <v>295</v>
      </c>
      <c r="S66" t="s">
        <v>297</v>
      </c>
      <c r="T66" s="127">
        <v>46203</v>
      </c>
      <c r="U66" s="124">
        <v>2.9780000000000002</v>
      </c>
      <c r="V66">
        <v>1004.05600067159</v>
      </c>
      <c r="W66" s="124">
        <v>2990.0787700000001</v>
      </c>
      <c r="X66" s="125">
        <v>0</v>
      </c>
      <c r="Y66" s="125">
        <v>1.0131357392999999E-2</v>
      </c>
      <c r="Z66" s="125">
        <f>W66/'סכום נכסים'!$B$30</f>
        <v>5.3833172045420874E-4</v>
      </c>
    </row>
    <row r="67" spans="1:26" x14ac:dyDescent="0.3">
      <c r="A67">
        <v>13908</v>
      </c>
      <c r="B67">
        <v>13908</v>
      </c>
      <c r="C67" t="s">
        <v>2838</v>
      </c>
      <c r="F67" t="s">
        <v>2839</v>
      </c>
      <c r="G67">
        <v>11150006</v>
      </c>
      <c r="H67" t="s">
        <v>77</v>
      </c>
      <c r="I67" t="s">
        <v>237</v>
      </c>
      <c r="K67" t="s">
        <v>60</v>
      </c>
      <c r="N67" t="s">
        <v>306</v>
      </c>
      <c r="O67" t="s">
        <v>61</v>
      </c>
      <c r="P67" s="127">
        <v>46111</v>
      </c>
      <c r="Q67" t="s">
        <v>1260</v>
      </c>
      <c r="R67" t="s">
        <v>295</v>
      </c>
      <c r="S67" t="s">
        <v>297</v>
      </c>
      <c r="T67" s="127">
        <v>46203</v>
      </c>
      <c r="U67" s="124">
        <v>2.9780000000000002</v>
      </c>
      <c r="V67">
        <v>10054.965862995299</v>
      </c>
      <c r="W67" s="124">
        <v>29943.688340000001</v>
      </c>
      <c r="X67" s="125">
        <v>0</v>
      </c>
      <c r="Y67" s="125">
        <v>0.101458935229</v>
      </c>
      <c r="Z67" s="125">
        <f>W67/'סכום נכסים'!$B$30</f>
        <v>5.3910410061928996E-3</v>
      </c>
    </row>
    <row r="68" spans="1:26" x14ac:dyDescent="0.3">
      <c r="A68">
        <v>13908</v>
      </c>
      <c r="B68">
        <v>13908</v>
      </c>
      <c r="C68" t="s">
        <v>2840</v>
      </c>
      <c r="F68" t="s">
        <v>2841</v>
      </c>
      <c r="G68">
        <v>11150007</v>
      </c>
      <c r="H68" t="s">
        <v>77</v>
      </c>
      <c r="I68" t="s">
        <v>728</v>
      </c>
      <c r="K68" t="s">
        <v>60</v>
      </c>
      <c r="N68" t="s">
        <v>309</v>
      </c>
      <c r="O68" t="s">
        <v>61</v>
      </c>
      <c r="P68" s="127">
        <v>46112</v>
      </c>
      <c r="Q68" t="s">
        <v>1260</v>
      </c>
      <c r="R68" t="s">
        <v>295</v>
      </c>
      <c r="S68" t="s">
        <v>297</v>
      </c>
      <c r="T68" s="127">
        <v>46203</v>
      </c>
      <c r="U68" s="124">
        <v>2.9780000000000002</v>
      </c>
      <c r="V68">
        <v>2442.82008730692</v>
      </c>
      <c r="W68" s="124">
        <v>7274.7182199999997</v>
      </c>
      <c r="X68" s="125">
        <v>0</v>
      </c>
      <c r="Y68" s="125">
        <v>2.4649106560000002E-2</v>
      </c>
      <c r="Z68" s="125">
        <f>W68/'סכום נכסים'!$B$30</f>
        <v>1.3097352532930691E-3</v>
      </c>
    </row>
    <row r="69" spans="1:26" x14ac:dyDescent="0.3">
      <c r="A69">
        <v>13908</v>
      </c>
      <c r="B69">
        <v>13908</v>
      </c>
      <c r="C69" t="s">
        <v>2842</v>
      </c>
      <c r="F69" t="s">
        <v>2843</v>
      </c>
      <c r="G69">
        <v>11150008</v>
      </c>
      <c r="H69" t="s">
        <v>101</v>
      </c>
      <c r="I69" t="s">
        <v>237</v>
      </c>
      <c r="K69" t="s">
        <v>60</v>
      </c>
      <c r="N69" t="s">
        <v>200</v>
      </c>
      <c r="O69" t="s">
        <v>61</v>
      </c>
      <c r="P69" s="127">
        <v>46128</v>
      </c>
      <c r="Q69" t="s">
        <v>1264</v>
      </c>
      <c r="R69" t="s">
        <v>295</v>
      </c>
      <c r="S69" t="s">
        <v>297</v>
      </c>
      <c r="T69" s="127">
        <v>46203</v>
      </c>
      <c r="U69" s="124">
        <v>2.0916999999999999</v>
      </c>
      <c r="V69">
        <v>635</v>
      </c>
      <c r="W69" s="124">
        <v>1328.2294999999999</v>
      </c>
      <c r="X69" s="125">
        <v>0</v>
      </c>
      <c r="Y69" s="125">
        <v>4.5004726629999997E-3</v>
      </c>
      <c r="Z69" s="125">
        <f>W69/'סכום נכסים'!$B$30</f>
        <v>2.3913352352688465E-4</v>
      </c>
    </row>
    <row r="70" spans="1:26" x14ac:dyDescent="0.3">
      <c r="A70">
        <v>13908</v>
      </c>
      <c r="B70">
        <v>13908</v>
      </c>
      <c r="C70" t="s">
        <v>2844</v>
      </c>
      <c r="F70" t="s">
        <v>2845</v>
      </c>
      <c r="G70">
        <v>11150009</v>
      </c>
      <c r="H70" t="s">
        <v>77</v>
      </c>
      <c r="I70" t="s">
        <v>273</v>
      </c>
      <c r="K70" t="s">
        <v>60</v>
      </c>
      <c r="N70" t="s">
        <v>305</v>
      </c>
      <c r="O70" t="s">
        <v>61</v>
      </c>
      <c r="P70" s="127">
        <v>46139</v>
      </c>
      <c r="Q70" t="s">
        <v>1260</v>
      </c>
      <c r="R70" t="s">
        <v>295</v>
      </c>
      <c r="S70" t="s">
        <v>297</v>
      </c>
      <c r="T70" s="127">
        <v>46203</v>
      </c>
      <c r="U70" s="124">
        <v>2.9780000000000002</v>
      </c>
      <c r="V70">
        <v>3440.4965010073902</v>
      </c>
      <c r="W70" s="124">
        <v>10245.798580000001</v>
      </c>
      <c r="X70" s="125">
        <v>0</v>
      </c>
      <c r="Y70" s="125">
        <v>3.4716091173999999E-2</v>
      </c>
      <c r="Z70" s="125">
        <f>W70/'סכום נכסים'!$B$30</f>
        <v>1.844646513107977E-3</v>
      </c>
    </row>
    <row r="71" spans="1:26" x14ac:dyDescent="0.3">
      <c r="A71">
        <v>13908</v>
      </c>
      <c r="B71">
        <v>13908</v>
      </c>
      <c r="C71" t="s">
        <v>2846</v>
      </c>
      <c r="F71" t="s">
        <v>2846</v>
      </c>
      <c r="G71">
        <v>11150012</v>
      </c>
      <c r="H71" t="s">
        <v>77</v>
      </c>
      <c r="I71" t="s">
        <v>885</v>
      </c>
      <c r="K71" t="s">
        <v>60</v>
      </c>
      <c r="N71" t="s">
        <v>52</v>
      </c>
      <c r="O71" t="s">
        <v>61</v>
      </c>
      <c r="P71" s="127">
        <v>46128</v>
      </c>
      <c r="Q71" t="s">
        <v>1260</v>
      </c>
      <c r="R71" t="s">
        <v>295</v>
      </c>
      <c r="S71" t="s">
        <v>297</v>
      </c>
      <c r="T71" s="127">
        <v>46203</v>
      </c>
      <c r="U71" s="124">
        <v>2.9780000000000002</v>
      </c>
      <c r="V71">
        <v>101.633435191404</v>
      </c>
      <c r="W71" s="124">
        <v>302.66437000000002</v>
      </c>
      <c r="X71" s="125">
        <v>0</v>
      </c>
      <c r="Y71" s="125">
        <v>1.0255251239999999E-3</v>
      </c>
      <c r="Z71" s="125">
        <f>W71/'סכום נכסים'!$B$30</f>
        <v>5.4491484524432509E-5</v>
      </c>
    </row>
    <row r="72" spans="1:26" x14ac:dyDescent="0.3">
      <c r="A72">
        <v>13908</v>
      </c>
      <c r="B72">
        <v>13908</v>
      </c>
      <c r="C72" t="s">
        <v>2838</v>
      </c>
      <c r="F72" t="s">
        <v>2847</v>
      </c>
      <c r="G72">
        <v>11150020</v>
      </c>
      <c r="H72" t="s">
        <v>77</v>
      </c>
      <c r="I72" t="s">
        <v>728</v>
      </c>
      <c r="K72" t="s">
        <v>60</v>
      </c>
      <c r="N72" t="s">
        <v>306</v>
      </c>
      <c r="O72" t="s">
        <v>61</v>
      </c>
      <c r="P72" s="127">
        <v>46173</v>
      </c>
      <c r="Q72" t="s">
        <v>1260</v>
      </c>
      <c r="R72" t="s">
        <v>295</v>
      </c>
      <c r="S72" t="s">
        <v>297</v>
      </c>
      <c r="T72" s="127">
        <v>46203</v>
      </c>
      <c r="U72" s="124">
        <v>2.9780000000000002</v>
      </c>
      <c r="V72">
        <v>2458.2363398253901</v>
      </c>
      <c r="W72" s="124">
        <v>7320.6278199999997</v>
      </c>
      <c r="X72" s="125">
        <v>0</v>
      </c>
      <c r="Y72" s="125">
        <v>2.4804663186000001E-2</v>
      </c>
      <c r="Z72" s="125">
        <f>W72/'סכום נכסים'!$B$30</f>
        <v>1.318000786027969E-3</v>
      </c>
    </row>
    <row r="73" spans="1:26" x14ac:dyDescent="0.3">
      <c r="A73">
        <v>13908</v>
      </c>
      <c r="B73">
        <v>13908</v>
      </c>
      <c r="C73" t="s">
        <v>2848</v>
      </c>
      <c r="F73" t="s">
        <v>2849</v>
      </c>
      <c r="G73">
        <v>11150022</v>
      </c>
      <c r="H73" t="s">
        <v>77</v>
      </c>
      <c r="I73" t="s">
        <v>728</v>
      </c>
      <c r="K73" t="s">
        <v>60</v>
      </c>
      <c r="N73" t="s">
        <v>306</v>
      </c>
      <c r="O73" t="s">
        <v>61</v>
      </c>
      <c r="P73" s="127">
        <v>46177</v>
      </c>
      <c r="Q73" t="s">
        <v>1260</v>
      </c>
      <c r="R73" t="s">
        <v>293</v>
      </c>
      <c r="S73" t="s">
        <v>297</v>
      </c>
      <c r="T73" s="127">
        <v>46203</v>
      </c>
      <c r="U73" s="124">
        <v>2.9780000000000002</v>
      </c>
      <c r="V73">
        <v>153.571198791135</v>
      </c>
      <c r="W73" s="124">
        <v>457.33503000000002</v>
      </c>
      <c r="X73" s="125">
        <v>0</v>
      </c>
      <c r="Y73" s="125">
        <v>1.5495995230000001E-3</v>
      </c>
      <c r="Z73" s="125">
        <f>W73/'סכום נכסים'!$B$30</f>
        <v>8.2338283524175231E-5</v>
      </c>
    </row>
    <row r="74" spans="1:26" x14ac:dyDescent="0.3">
      <c r="A74">
        <v>13908</v>
      </c>
      <c r="B74">
        <v>13908</v>
      </c>
      <c r="C74" t="s">
        <v>2836</v>
      </c>
      <c r="F74" t="s">
        <v>2850</v>
      </c>
      <c r="G74">
        <v>11150027</v>
      </c>
      <c r="H74" t="s">
        <v>77</v>
      </c>
      <c r="I74" t="s">
        <v>885</v>
      </c>
      <c r="K74" t="s">
        <v>60</v>
      </c>
      <c r="N74" t="s">
        <v>309</v>
      </c>
      <c r="O74" t="s">
        <v>61</v>
      </c>
      <c r="P74" s="127">
        <v>46176</v>
      </c>
      <c r="Q74" t="s">
        <v>1260</v>
      </c>
      <c r="R74" t="s">
        <v>295</v>
      </c>
      <c r="S74" t="s">
        <v>297</v>
      </c>
      <c r="T74" s="127">
        <v>46203</v>
      </c>
      <c r="U74" s="124">
        <v>2.9780000000000002</v>
      </c>
      <c r="V74">
        <v>1000</v>
      </c>
      <c r="W74" s="124">
        <v>2978</v>
      </c>
      <c r="X74" s="125">
        <v>0</v>
      </c>
      <c r="Y74" s="125">
        <v>1.00904306E-2</v>
      </c>
      <c r="Z74" s="125">
        <f>W74/'סכום נכסים'!$B$30</f>
        <v>5.3615706703025537E-4</v>
      </c>
    </row>
    <row r="75" spans="1:26" x14ac:dyDescent="0.3">
      <c r="A75">
        <v>13908</v>
      </c>
      <c r="B75">
        <v>13908</v>
      </c>
      <c r="C75" t="s">
        <v>2851</v>
      </c>
      <c r="F75" t="s">
        <v>2852</v>
      </c>
      <c r="G75">
        <v>11150028</v>
      </c>
      <c r="H75" t="s">
        <v>77</v>
      </c>
      <c r="I75" t="s">
        <v>728</v>
      </c>
      <c r="K75" t="s">
        <v>60</v>
      </c>
      <c r="N75" t="s">
        <v>306</v>
      </c>
      <c r="O75" t="s">
        <v>61</v>
      </c>
      <c r="P75" s="127">
        <v>46195</v>
      </c>
      <c r="Q75" t="s">
        <v>1260</v>
      </c>
      <c r="R75" t="s">
        <v>295</v>
      </c>
      <c r="S75" t="s">
        <v>297</v>
      </c>
      <c r="T75" s="127">
        <v>46203</v>
      </c>
      <c r="U75" s="124">
        <v>2.9780000000000002</v>
      </c>
      <c r="V75">
        <v>812.40251846877095</v>
      </c>
      <c r="W75" s="124">
        <v>2419.3346999999999</v>
      </c>
      <c r="X75" s="125">
        <v>0</v>
      </c>
      <c r="Y75" s="125">
        <v>8.1974912320000003E-3</v>
      </c>
      <c r="Z75" s="125">
        <f>W75/'סכום נכסים'!$B$30</f>
        <v>4.3557535155020909E-4</v>
      </c>
    </row>
    <row r="76" spans="1:26" x14ac:dyDescent="0.3">
      <c r="A76">
        <v>13908</v>
      </c>
      <c r="B76">
        <v>13908</v>
      </c>
      <c r="C76" t="s">
        <v>2853</v>
      </c>
      <c r="F76" t="s">
        <v>2854</v>
      </c>
      <c r="G76">
        <v>11150032</v>
      </c>
      <c r="H76" t="s">
        <v>77</v>
      </c>
      <c r="I76" t="s">
        <v>885</v>
      </c>
      <c r="K76" t="s">
        <v>60</v>
      </c>
      <c r="N76" t="s">
        <v>309</v>
      </c>
      <c r="O76" t="s">
        <v>61</v>
      </c>
      <c r="P76" s="127">
        <v>46198</v>
      </c>
      <c r="Q76" t="s">
        <v>1260</v>
      </c>
      <c r="R76" t="s">
        <v>295</v>
      </c>
      <c r="S76" t="s">
        <v>297</v>
      </c>
      <c r="T76" s="127">
        <v>46203</v>
      </c>
      <c r="U76" s="124">
        <v>2.9780000000000002</v>
      </c>
      <c r="V76">
        <v>8500</v>
      </c>
      <c r="W76" s="124">
        <v>25313</v>
      </c>
      <c r="X76" s="125">
        <v>2.1250000000000002E-3</v>
      </c>
      <c r="Y76" s="125">
        <v>8.5768660102000002E-2</v>
      </c>
      <c r="Z76" s="125">
        <f>W76/'סכום נכסים'!$B$30</f>
        <v>4.5573350697571706E-3</v>
      </c>
    </row>
    <row r="77" spans="1:26" x14ac:dyDescent="0.3">
      <c r="A77">
        <v>13908</v>
      </c>
      <c r="B77">
        <v>13908</v>
      </c>
      <c r="C77" t="s">
        <v>2855</v>
      </c>
      <c r="F77" t="s">
        <v>2856</v>
      </c>
      <c r="G77" t="s">
        <v>2857</v>
      </c>
      <c r="H77" t="s">
        <v>75</v>
      </c>
      <c r="I77" t="s">
        <v>274</v>
      </c>
      <c r="K77" t="s">
        <v>60</v>
      </c>
      <c r="N77" t="s">
        <v>52</v>
      </c>
      <c r="O77" t="s">
        <v>54</v>
      </c>
      <c r="P77" s="127">
        <v>45923</v>
      </c>
      <c r="Q77" t="s">
        <v>1260</v>
      </c>
      <c r="R77" t="s">
        <v>295</v>
      </c>
      <c r="S77" t="s">
        <v>297</v>
      </c>
      <c r="T77" s="127">
        <v>46203</v>
      </c>
      <c r="U77" s="124">
        <v>2.9780000000000002</v>
      </c>
      <c r="V77">
        <v>22.073586299529001</v>
      </c>
      <c r="W77" s="124">
        <v>65.735140000000001</v>
      </c>
      <c r="X77" s="125">
        <v>0</v>
      </c>
      <c r="Y77" s="125">
        <v>2.2273198999999999E-4</v>
      </c>
      <c r="Z77" s="125">
        <f>W77/'סכום נכסים'!$B$30</f>
        <v>1.1834909289195172E-5</v>
      </c>
    </row>
    <row r="78" spans="1:26" x14ac:dyDescent="0.3">
      <c r="A78">
        <v>13908</v>
      </c>
      <c r="B78">
        <v>13908</v>
      </c>
      <c r="C78" t="s">
        <v>2855</v>
      </c>
      <c r="F78" t="s">
        <v>2858</v>
      </c>
      <c r="G78" t="s">
        <v>2859</v>
      </c>
      <c r="H78" t="s">
        <v>75</v>
      </c>
      <c r="I78" t="s">
        <v>274</v>
      </c>
      <c r="K78" t="s">
        <v>60</v>
      </c>
      <c r="N78" t="s">
        <v>52</v>
      </c>
      <c r="O78" t="s">
        <v>54</v>
      </c>
      <c r="P78" s="127">
        <v>45923</v>
      </c>
      <c r="Q78" t="s">
        <v>1260</v>
      </c>
      <c r="R78" t="s">
        <v>295</v>
      </c>
      <c r="S78" t="s">
        <v>297</v>
      </c>
      <c r="T78" s="127">
        <v>46203</v>
      </c>
      <c r="U78" s="124">
        <v>2.9780000000000002</v>
      </c>
      <c r="V78">
        <v>41.353438549361996</v>
      </c>
      <c r="W78" s="124">
        <v>123.15054000000001</v>
      </c>
      <c r="X78" s="125">
        <v>0</v>
      </c>
      <c r="Y78" s="125">
        <v>4.1727400100000003E-4</v>
      </c>
      <c r="Z78" s="125">
        <f>W78/'סכום נכסים'!$B$30</f>
        <v>2.2171938324241821E-5</v>
      </c>
    </row>
    <row r="79" spans="1:26" x14ac:dyDescent="0.3">
      <c r="A79">
        <v>13908</v>
      </c>
      <c r="B79">
        <v>13908</v>
      </c>
      <c r="C79" t="s">
        <v>2855</v>
      </c>
      <c r="F79" t="s">
        <v>2860</v>
      </c>
      <c r="G79" t="s">
        <v>2861</v>
      </c>
      <c r="H79" t="s">
        <v>77</v>
      </c>
      <c r="I79" t="s">
        <v>885</v>
      </c>
      <c r="K79" t="s">
        <v>60</v>
      </c>
      <c r="N79" t="s">
        <v>52</v>
      </c>
      <c r="O79" t="s">
        <v>54</v>
      </c>
      <c r="P79" s="127">
        <v>45923</v>
      </c>
      <c r="Q79" t="s">
        <v>1260</v>
      </c>
      <c r="R79" t="s">
        <v>295</v>
      </c>
      <c r="S79" t="s">
        <v>297</v>
      </c>
      <c r="T79" s="127">
        <v>46203</v>
      </c>
      <c r="U79" s="124">
        <v>2.9780000000000002</v>
      </c>
      <c r="V79">
        <v>58.514963062458001</v>
      </c>
      <c r="W79" s="124">
        <v>174.25756000000001</v>
      </c>
      <c r="X79" s="125">
        <v>0</v>
      </c>
      <c r="Y79" s="125">
        <v>5.9044117299999999E-4</v>
      </c>
      <c r="Z79" s="125">
        <f>W79/'סכום נכסים'!$B$30</f>
        <v>3.1373210972951226E-5</v>
      </c>
    </row>
    <row r="80" spans="1:26" x14ac:dyDescent="0.3">
      <c r="A80">
        <v>13908</v>
      </c>
      <c r="B80">
        <v>13908</v>
      </c>
      <c r="C80" t="s">
        <v>2855</v>
      </c>
      <c r="F80" t="s">
        <v>2862</v>
      </c>
      <c r="G80" t="s">
        <v>2863</v>
      </c>
      <c r="H80" t="s">
        <v>75</v>
      </c>
      <c r="I80" t="s">
        <v>274</v>
      </c>
      <c r="K80" t="s">
        <v>60</v>
      </c>
      <c r="N80" t="s">
        <v>52</v>
      </c>
      <c r="O80" t="s">
        <v>54</v>
      </c>
      <c r="P80" s="127">
        <v>45923</v>
      </c>
      <c r="Q80" t="s">
        <v>1260</v>
      </c>
      <c r="R80" t="s">
        <v>295</v>
      </c>
      <c r="S80" t="s">
        <v>297</v>
      </c>
      <c r="T80" s="127">
        <v>46203</v>
      </c>
      <c r="U80" s="124">
        <v>2.9780000000000002</v>
      </c>
      <c r="V80">
        <v>114.65064472800501</v>
      </c>
      <c r="W80" s="124">
        <v>341.42962</v>
      </c>
      <c r="X80" s="125">
        <v>0</v>
      </c>
      <c r="Y80" s="125">
        <v>1.156874373E-3</v>
      </c>
      <c r="Z80" s="125">
        <f>W80/'סכום נכסים'!$B$30</f>
        <v>6.1470753410495171E-5</v>
      </c>
    </row>
    <row r="81" spans="1:26" x14ac:dyDescent="0.3">
      <c r="A81">
        <v>13908</v>
      </c>
      <c r="B81">
        <v>13908</v>
      </c>
      <c r="C81" t="s">
        <v>2855</v>
      </c>
      <c r="F81" t="s">
        <v>2864</v>
      </c>
      <c r="G81" t="s">
        <v>2865</v>
      </c>
      <c r="H81" t="s">
        <v>75</v>
      </c>
      <c r="I81" t="s">
        <v>274</v>
      </c>
      <c r="K81" t="s">
        <v>60</v>
      </c>
      <c r="N81" t="s">
        <v>52</v>
      </c>
      <c r="O81" t="s">
        <v>54</v>
      </c>
      <c r="P81" s="127">
        <v>45923</v>
      </c>
      <c r="Q81" t="s">
        <v>1258</v>
      </c>
      <c r="R81" t="s">
        <v>295</v>
      </c>
      <c r="S81" t="s">
        <v>297</v>
      </c>
      <c r="T81" s="127">
        <v>46203</v>
      </c>
      <c r="U81" s="124">
        <v>1</v>
      </c>
      <c r="V81">
        <v>670.63106000000005</v>
      </c>
      <c r="W81" s="124">
        <v>670.63106000000005</v>
      </c>
      <c r="X81" s="125">
        <v>0</v>
      </c>
      <c r="Y81" s="125">
        <v>2.2723157039999998E-3</v>
      </c>
      <c r="Z81" s="125">
        <f>W81/'סכום נכסים'!$B$30</f>
        <v>1.2073995372363708E-4</v>
      </c>
    </row>
    <row r="82" spans="1:26" x14ac:dyDescent="0.3">
      <c r="A82">
        <v>13908</v>
      </c>
      <c r="B82">
        <v>13908</v>
      </c>
      <c r="C82" t="s">
        <v>2855</v>
      </c>
      <c r="F82" t="s">
        <v>2866</v>
      </c>
      <c r="G82" t="s">
        <v>2867</v>
      </c>
      <c r="H82" t="s">
        <v>75</v>
      </c>
      <c r="I82" t="s">
        <v>885</v>
      </c>
      <c r="K82" t="s">
        <v>60</v>
      </c>
      <c r="N82" t="s">
        <v>306</v>
      </c>
      <c r="O82" t="s">
        <v>54</v>
      </c>
      <c r="P82" s="127">
        <v>45963</v>
      </c>
      <c r="Q82" t="s">
        <v>1260</v>
      </c>
      <c r="R82" t="s">
        <v>295</v>
      </c>
      <c r="S82" t="s">
        <v>297</v>
      </c>
      <c r="T82" s="127">
        <v>46203</v>
      </c>
      <c r="U82" s="124">
        <v>2.9780000000000002</v>
      </c>
      <c r="V82">
        <v>158.99737071860301</v>
      </c>
      <c r="W82" s="124">
        <v>473.49417</v>
      </c>
      <c r="X82" s="125">
        <v>0</v>
      </c>
      <c r="Y82" s="125">
        <v>1.6043519339999999E-3</v>
      </c>
      <c r="Z82" s="125">
        <f>W82/'סכום נכסים'!$B$30</f>
        <v>8.5247563950008429E-5</v>
      </c>
    </row>
    <row r="83" spans="1:26" x14ac:dyDescent="0.3">
      <c r="A83">
        <v>13908</v>
      </c>
      <c r="B83">
        <v>13908</v>
      </c>
      <c r="C83" t="s">
        <v>2868</v>
      </c>
      <c r="F83" t="s">
        <v>2869</v>
      </c>
      <c r="G83" t="s">
        <v>2989</v>
      </c>
      <c r="H83" t="s">
        <v>77</v>
      </c>
      <c r="I83" t="s">
        <v>274</v>
      </c>
      <c r="K83" t="s">
        <v>60</v>
      </c>
      <c r="N83" t="s">
        <v>306</v>
      </c>
      <c r="O83" t="s">
        <v>61</v>
      </c>
      <c r="P83" s="127">
        <v>46174</v>
      </c>
      <c r="Q83" t="s">
        <v>1260</v>
      </c>
      <c r="R83" t="s">
        <v>295</v>
      </c>
      <c r="S83" t="s">
        <v>297</v>
      </c>
      <c r="T83" s="127">
        <v>46203</v>
      </c>
      <c r="U83" s="124">
        <v>2.9780000000000002</v>
      </c>
      <c r="V83">
        <v>1574.4</v>
      </c>
      <c r="W83" s="124">
        <v>4688.5631999999996</v>
      </c>
      <c r="X83" s="125">
        <v>0</v>
      </c>
      <c r="Y83" s="125">
        <v>1.5886373937000001E-2</v>
      </c>
      <c r="Z83" s="125">
        <f>W83/'סכום נכסים'!$B$30</f>
        <v>8.4412568633243396E-4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2"/>
  <sheetViews>
    <sheetView rightToLeft="1" workbookViewId="0"/>
  </sheetViews>
  <sheetFormatPr defaultColWidth="0" defaultRowHeight="14" x14ac:dyDescent="0.3"/>
  <cols>
    <col min="1" max="2" width="10.58203125" bestFit="1" customWidth="1"/>
    <col min="3" max="3" width="29" bestFit="1" customWidth="1"/>
    <col min="4" max="4" width="10.75" bestFit="1" customWidth="1"/>
    <col min="5" max="5" width="10.4140625" bestFit="1" customWidth="1"/>
    <col min="6" max="6" width="26.4140625" bestFit="1" customWidth="1"/>
    <col min="7" max="7" width="9.4140625" bestFit="1" customWidth="1"/>
    <col min="8" max="8" width="9.1640625" bestFit="1" customWidth="1"/>
    <col min="9" max="9" width="10" bestFit="1" customWidth="1"/>
    <col min="10" max="10" width="9.25" bestFit="1" customWidth="1"/>
    <col min="11" max="11" width="7.83203125" bestFit="1" customWidth="1"/>
    <col min="12" max="12" width="12.4140625" bestFit="1" customWidth="1"/>
    <col min="13" max="13" width="15.4140625" bestFit="1" customWidth="1"/>
    <col min="14" max="14" width="11.58203125" customWidth="1"/>
    <col min="15" max="15" width="11" bestFit="1" customWidth="1"/>
    <col min="16" max="16" width="11.58203125" customWidth="1"/>
    <col min="17" max="17" width="11.25" bestFit="1" customWidth="1"/>
    <col min="18" max="18" width="13.75" bestFit="1" customWidth="1"/>
    <col min="19" max="19" width="7.83203125" bestFit="1" customWidth="1"/>
    <col min="20" max="20" width="11" bestFit="1" customWidth="1"/>
    <col min="21" max="21" width="12.75" bestFit="1" customWidth="1"/>
    <col min="22" max="22" width="8.83203125" bestFit="1" customWidth="1"/>
    <col min="23" max="23" width="12.75" bestFit="1" customWidth="1"/>
    <col min="24" max="24" width="11.1640625" bestFit="1" customWidth="1"/>
    <col min="25" max="25" width="9.83203125" bestFit="1" customWidth="1"/>
    <col min="26" max="26" width="10.83203125" bestFit="1" customWidth="1"/>
    <col min="27" max="27" width="11.1640625" bestFit="1" customWidth="1"/>
    <col min="28" max="28" width="10" bestFit="1" customWidth="1"/>
    <col min="29" max="29" width="11.58203125" hidden="1" customWidth="1"/>
    <col min="30" max="16384" width="9" hidden="1"/>
  </cols>
  <sheetData>
    <row r="1" spans="1:28" s="2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591</v>
      </c>
      <c r="J1" s="13" t="s">
        <v>592</v>
      </c>
      <c r="K1" s="13" t="s">
        <v>596</v>
      </c>
      <c r="L1" s="13" t="s">
        <v>717</v>
      </c>
      <c r="M1" s="13" t="s">
        <v>8</v>
      </c>
      <c r="N1" s="13" t="s">
        <v>651</v>
      </c>
      <c r="O1" s="13" t="s">
        <v>593</v>
      </c>
      <c r="P1" s="13" t="s">
        <v>11</v>
      </c>
      <c r="Q1" s="13" t="s">
        <v>387</v>
      </c>
      <c r="R1" s="13" t="s">
        <v>876</v>
      </c>
      <c r="S1" s="13" t="s">
        <v>363</v>
      </c>
      <c r="T1" s="13" t="s">
        <v>15</v>
      </c>
      <c r="U1" s="13" t="s">
        <v>22</v>
      </c>
      <c r="V1" s="13" t="s">
        <v>600</v>
      </c>
      <c r="W1" s="13" t="s">
        <v>747</v>
      </c>
      <c r="X1" s="13" t="s">
        <v>14</v>
      </c>
      <c r="Y1" s="13" t="s">
        <v>10</v>
      </c>
      <c r="Z1" s="13" t="s">
        <v>1105</v>
      </c>
      <c r="AA1" s="13" t="s">
        <v>18</v>
      </c>
      <c r="AB1" s="13" t="s">
        <v>29</v>
      </c>
    </row>
    <row r="2" spans="1:28" x14ac:dyDescent="0.3">
      <c r="A2">
        <v>13908</v>
      </c>
      <c r="B2">
        <v>13908</v>
      </c>
      <c r="C2" t="s">
        <v>2298</v>
      </c>
      <c r="D2">
        <v>512726712</v>
      </c>
      <c r="E2" t="s">
        <v>420</v>
      </c>
      <c r="F2" t="s">
        <v>2870</v>
      </c>
      <c r="G2">
        <v>11019773</v>
      </c>
      <c r="H2" t="s">
        <v>77</v>
      </c>
      <c r="I2" t="s">
        <v>52</v>
      </c>
      <c r="J2" t="s">
        <v>52</v>
      </c>
      <c r="K2" t="s">
        <v>911</v>
      </c>
      <c r="L2" t="s">
        <v>2300</v>
      </c>
      <c r="M2" t="s">
        <v>138</v>
      </c>
      <c r="N2" s="127">
        <v>46329</v>
      </c>
      <c r="O2" t="s">
        <v>61</v>
      </c>
      <c r="P2" s="127">
        <v>45657</v>
      </c>
      <c r="Q2" t="s">
        <v>1258</v>
      </c>
      <c r="R2" t="s">
        <v>101</v>
      </c>
      <c r="S2" t="s">
        <v>297</v>
      </c>
      <c r="T2" s="127">
        <v>46203</v>
      </c>
      <c r="U2" s="124">
        <v>1004.64</v>
      </c>
      <c r="V2">
        <v>1</v>
      </c>
      <c r="W2" s="124">
        <v>100000</v>
      </c>
      <c r="X2" s="124">
        <v>12.757300000000001</v>
      </c>
      <c r="Y2" s="124">
        <v>1</v>
      </c>
      <c r="Z2" s="124">
        <v>12.757300000000001</v>
      </c>
      <c r="AA2" s="125">
        <v>1.421268436E-3</v>
      </c>
      <c r="AB2" s="125">
        <f>Z2/'סכום נכסים'!$B$30</f>
        <v>2.2968154973892133E-6</v>
      </c>
    </row>
    <row r="3" spans="1:28" x14ac:dyDescent="0.3">
      <c r="A3">
        <v>13908</v>
      </c>
      <c r="B3">
        <v>13908</v>
      </c>
      <c r="C3" t="s">
        <v>1999</v>
      </c>
      <c r="D3">
        <v>520025990</v>
      </c>
      <c r="E3" t="s">
        <v>420</v>
      </c>
      <c r="F3" t="s">
        <v>2871</v>
      </c>
      <c r="G3">
        <v>11019774</v>
      </c>
      <c r="H3" t="s">
        <v>77</v>
      </c>
      <c r="I3" t="s">
        <v>52</v>
      </c>
      <c r="J3" t="s">
        <v>52</v>
      </c>
      <c r="K3" t="s">
        <v>911</v>
      </c>
      <c r="L3" t="s">
        <v>2872</v>
      </c>
      <c r="M3" t="s">
        <v>84</v>
      </c>
      <c r="N3" s="127">
        <v>46802</v>
      </c>
      <c r="O3" t="s">
        <v>61</v>
      </c>
      <c r="P3" s="127">
        <v>46078</v>
      </c>
      <c r="Q3" t="s">
        <v>1258</v>
      </c>
      <c r="R3" t="s">
        <v>101</v>
      </c>
      <c r="S3" t="s">
        <v>297</v>
      </c>
      <c r="T3" s="127">
        <v>46203</v>
      </c>
      <c r="U3" s="124">
        <v>3000</v>
      </c>
      <c r="V3">
        <v>1</v>
      </c>
      <c r="W3" s="124">
        <v>120000</v>
      </c>
      <c r="X3" s="124">
        <v>115.4366</v>
      </c>
      <c r="Y3" s="124">
        <v>1</v>
      </c>
      <c r="Z3" s="124">
        <v>138.52392</v>
      </c>
      <c r="AA3" s="125">
        <v>1.5432707170999999E-2</v>
      </c>
      <c r="AB3" s="125">
        <f>Z3/'סכום נכסים'!$B$30</f>
        <v>2.4939751061361226E-5</v>
      </c>
    </row>
    <row r="4" spans="1:28" x14ac:dyDescent="0.3">
      <c r="A4">
        <v>13908</v>
      </c>
      <c r="B4">
        <v>13908</v>
      </c>
      <c r="C4" t="s">
        <v>1509</v>
      </c>
      <c r="D4">
        <v>516046307</v>
      </c>
      <c r="E4" t="s">
        <v>420</v>
      </c>
      <c r="F4" t="s">
        <v>2873</v>
      </c>
      <c r="G4">
        <v>11019939</v>
      </c>
      <c r="H4" t="s">
        <v>77</v>
      </c>
      <c r="I4" t="s">
        <v>52</v>
      </c>
      <c r="J4" t="s">
        <v>52</v>
      </c>
      <c r="K4" t="s">
        <v>911</v>
      </c>
      <c r="L4" t="s">
        <v>2362</v>
      </c>
      <c r="M4" t="s">
        <v>616</v>
      </c>
      <c r="N4" s="127">
        <v>46747</v>
      </c>
      <c r="O4" t="s">
        <v>61</v>
      </c>
      <c r="P4" s="127">
        <v>45657</v>
      </c>
      <c r="Q4" t="s">
        <v>1258</v>
      </c>
      <c r="R4" t="s">
        <v>101</v>
      </c>
      <c r="S4" t="s">
        <v>297</v>
      </c>
      <c r="T4" s="127">
        <v>46203</v>
      </c>
      <c r="U4" s="124">
        <v>4560</v>
      </c>
      <c r="V4">
        <v>1</v>
      </c>
      <c r="W4" s="124">
        <v>52500</v>
      </c>
      <c r="X4" s="124">
        <v>4494.701</v>
      </c>
      <c r="Y4" s="124">
        <v>1</v>
      </c>
      <c r="Z4" s="124">
        <v>2359.7180199999998</v>
      </c>
      <c r="AA4" s="125">
        <v>0.262892049327</v>
      </c>
      <c r="AB4" s="125">
        <f>Z4/'סכום נכסים'!$B$30</f>
        <v>4.2484200558147797E-4</v>
      </c>
    </row>
    <row r="5" spans="1:28" x14ac:dyDescent="0.3">
      <c r="A5">
        <v>13908</v>
      </c>
      <c r="B5">
        <v>13908</v>
      </c>
      <c r="C5" t="s">
        <v>1473</v>
      </c>
      <c r="D5">
        <v>515434074</v>
      </c>
      <c r="E5" t="s">
        <v>420</v>
      </c>
      <c r="F5" t="s">
        <v>2874</v>
      </c>
      <c r="G5">
        <v>11021157</v>
      </c>
      <c r="H5" t="s">
        <v>77</v>
      </c>
      <c r="I5" t="s">
        <v>52</v>
      </c>
      <c r="J5" t="s">
        <v>52</v>
      </c>
      <c r="K5" t="s">
        <v>911</v>
      </c>
      <c r="L5" t="s">
        <v>2324</v>
      </c>
      <c r="M5" t="s">
        <v>620</v>
      </c>
      <c r="N5" s="127">
        <v>47360</v>
      </c>
      <c r="O5" t="s">
        <v>61</v>
      </c>
      <c r="P5" s="127">
        <v>46056</v>
      </c>
      <c r="Q5" t="s">
        <v>1258</v>
      </c>
      <c r="R5" t="s">
        <v>101</v>
      </c>
      <c r="S5" t="s">
        <v>297</v>
      </c>
      <c r="T5" s="127">
        <v>46203</v>
      </c>
      <c r="U5" s="124">
        <v>1100</v>
      </c>
      <c r="V5">
        <v>1</v>
      </c>
      <c r="W5" s="124">
        <v>218100</v>
      </c>
      <c r="X5" s="124">
        <v>109.9423</v>
      </c>
      <c r="Y5" s="124">
        <v>1</v>
      </c>
      <c r="Z5" s="124">
        <v>239.78416000000001</v>
      </c>
      <c r="AA5" s="125">
        <v>2.6713933055999999E-2</v>
      </c>
      <c r="AB5" s="125">
        <f>Z5/'סכום נכסים'!$B$30</f>
        <v>4.317057486430943E-5</v>
      </c>
    </row>
    <row r="6" spans="1:28" x14ac:dyDescent="0.3">
      <c r="A6">
        <v>13908</v>
      </c>
      <c r="B6">
        <v>13908</v>
      </c>
      <c r="C6" t="s">
        <v>2390</v>
      </c>
      <c r="D6">
        <v>514160530</v>
      </c>
      <c r="E6" t="s">
        <v>420</v>
      </c>
      <c r="F6" t="s">
        <v>2875</v>
      </c>
      <c r="G6">
        <v>11022283</v>
      </c>
      <c r="H6" t="s">
        <v>77</v>
      </c>
      <c r="I6" t="s">
        <v>52</v>
      </c>
      <c r="J6" t="s">
        <v>52</v>
      </c>
      <c r="K6" t="s">
        <v>911</v>
      </c>
      <c r="L6" t="s">
        <v>2392</v>
      </c>
      <c r="M6" t="s">
        <v>256</v>
      </c>
      <c r="N6" s="127">
        <v>46947</v>
      </c>
      <c r="O6" t="s">
        <v>61</v>
      </c>
      <c r="P6" s="127">
        <v>45851</v>
      </c>
      <c r="Q6" t="s">
        <v>1258</v>
      </c>
      <c r="R6" t="s">
        <v>101</v>
      </c>
      <c r="S6" t="s">
        <v>297</v>
      </c>
      <c r="T6" s="127">
        <v>46203</v>
      </c>
      <c r="U6" s="124">
        <v>130</v>
      </c>
      <c r="V6">
        <v>1</v>
      </c>
      <c r="W6" s="124">
        <v>303100</v>
      </c>
      <c r="X6" s="124">
        <v>10.6648</v>
      </c>
      <c r="Y6" s="124">
        <v>1</v>
      </c>
      <c r="Z6" s="124">
        <v>32.325009999999999</v>
      </c>
      <c r="AA6" s="125">
        <v>3.6012727160000002E-3</v>
      </c>
      <c r="AB6" s="125">
        <f>Z6/'סכום נכסים'!$B$30</f>
        <v>5.8197725162268884E-6</v>
      </c>
    </row>
    <row r="7" spans="1:28" x14ac:dyDescent="0.3">
      <c r="A7">
        <v>13908</v>
      </c>
      <c r="B7">
        <v>13908</v>
      </c>
      <c r="C7" t="s">
        <v>1532</v>
      </c>
      <c r="D7">
        <v>511996803</v>
      </c>
      <c r="E7" t="s">
        <v>420</v>
      </c>
      <c r="F7" t="s">
        <v>2876</v>
      </c>
      <c r="G7">
        <v>11022448</v>
      </c>
      <c r="H7" t="s">
        <v>77</v>
      </c>
      <c r="I7" t="s">
        <v>52</v>
      </c>
      <c r="J7" t="s">
        <v>52</v>
      </c>
      <c r="K7" t="s">
        <v>911</v>
      </c>
      <c r="L7" t="s">
        <v>2402</v>
      </c>
      <c r="M7" t="s">
        <v>138</v>
      </c>
      <c r="N7" s="127">
        <v>46239</v>
      </c>
      <c r="O7" t="s">
        <v>61</v>
      </c>
      <c r="P7" s="127">
        <v>45698</v>
      </c>
      <c r="Q7" t="s">
        <v>1258</v>
      </c>
      <c r="R7" t="s">
        <v>101</v>
      </c>
      <c r="S7" t="s">
        <v>297</v>
      </c>
      <c r="T7" s="127">
        <v>46203</v>
      </c>
      <c r="U7" s="124">
        <v>7000</v>
      </c>
      <c r="V7">
        <v>1</v>
      </c>
      <c r="W7" s="124">
        <v>6000</v>
      </c>
      <c r="X7" s="124">
        <v>0.1008</v>
      </c>
      <c r="Y7" s="124">
        <v>1</v>
      </c>
      <c r="Z7" s="124">
        <v>6.0499999999999998E-3</v>
      </c>
      <c r="AA7" s="125">
        <v>6.7401989769572205E-7</v>
      </c>
      <c r="AB7" s="125">
        <f>Z7/'סכום נכסים'!$B$30</f>
        <v>1.0892378292589137E-9</v>
      </c>
    </row>
    <row r="8" spans="1:28" x14ac:dyDescent="0.3">
      <c r="A8">
        <v>13908</v>
      </c>
      <c r="B8">
        <v>13908</v>
      </c>
      <c r="C8" t="s">
        <v>1887</v>
      </c>
      <c r="D8">
        <v>513609131</v>
      </c>
      <c r="E8" t="s">
        <v>420</v>
      </c>
      <c r="F8" t="s">
        <v>2877</v>
      </c>
      <c r="G8">
        <v>11022462</v>
      </c>
      <c r="H8" t="s">
        <v>77</v>
      </c>
      <c r="I8" t="s">
        <v>52</v>
      </c>
      <c r="J8" t="s">
        <v>52</v>
      </c>
      <c r="K8" t="s">
        <v>911</v>
      </c>
      <c r="L8" t="s">
        <v>2878</v>
      </c>
      <c r="M8" t="s">
        <v>620</v>
      </c>
      <c r="N8" s="127">
        <v>47188</v>
      </c>
      <c r="O8" t="s">
        <v>61</v>
      </c>
      <c r="P8" s="127">
        <v>45746</v>
      </c>
      <c r="Q8" t="s">
        <v>1258</v>
      </c>
      <c r="R8" t="s">
        <v>101</v>
      </c>
      <c r="S8" t="s">
        <v>297</v>
      </c>
      <c r="T8" s="127">
        <v>46203</v>
      </c>
      <c r="U8" s="124">
        <v>6061.5</v>
      </c>
      <c r="V8">
        <v>1</v>
      </c>
      <c r="W8" s="124">
        <v>53969.25</v>
      </c>
      <c r="X8" s="124">
        <v>1470.0721000000001</v>
      </c>
      <c r="Y8" s="124">
        <v>1</v>
      </c>
      <c r="Z8" s="124">
        <v>793.38688999999999</v>
      </c>
      <c r="AA8" s="125">
        <v>8.8389843046000005E-2</v>
      </c>
      <c r="AB8" s="125">
        <f>Z8/'סכום נכסים'!$B$30</f>
        <v>1.4284082873158356E-4</v>
      </c>
    </row>
    <row r="9" spans="1:28" x14ac:dyDescent="0.3">
      <c r="A9">
        <v>13908</v>
      </c>
      <c r="B9">
        <v>13908</v>
      </c>
      <c r="C9" t="s">
        <v>2879</v>
      </c>
      <c r="D9">
        <v>513754812</v>
      </c>
      <c r="E9" t="s">
        <v>420</v>
      </c>
      <c r="F9" t="s">
        <v>2879</v>
      </c>
      <c r="G9">
        <v>11022502</v>
      </c>
      <c r="H9" t="s">
        <v>77</v>
      </c>
      <c r="I9" t="s">
        <v>52</v>
      </c>
      <c r="J9" t="s">
        <v>52</v>
      </c>
      <c r="K9" t="s">
        <v>911</v>
      </c>
      <c r="L9" t="s">
        <v>2236</v>
      </c>
      <c r="M9" t="s">
        <v>252</v>
      </c>
      <c r="N9" s="127">
        <v>47309</v>
      </c>
      <c r="O9" t="s">
        <v>61</v>
      </c>
      <c r="P9" s="127">
        <v>45853</v>
      </c>
      <c r="Q9" t="s">
        <v>1258</v>
      </c>
      <c r="R9" t="s">
        <v>101</v>
      </c>
      <c r="S9" t="s">
        <v>297</v>
      </c>
      <c r="T9" s="127">
        <v>46203</v>
      </c>
      <c r="U9" s="124">
        <v>16000</v>
      </c>
      <c r="V9">
        <v>1</v>
      </c>
      <c r="W9" s="124">
        <v>2965</v>
      </c>
      <c r="X9" s="124">
        <v>716.0489</v>
      </c>
      <c r="Y9" s="124">
        <v>1</v>
      </c>
      <c r="Z9" s="124">
        <v>21.23085</v>
      </c>
      <c r="AA9" s="125">
        <v>2.3652917920000001E-3</v>
      </c>
      <c r="AB9" s="125">
        <f>Z9/'סכום נכסים'!$B$30</f>
        <v>3.8223875979043981E-6</v>
      </c>
    </row>
    <row r="10" spans="1:28" x14ac:dyDescent="0.3">
      <c r="A10">
        <v>13908</v>
      </c>
      <c r="B10">
        <v>13908</v>
      </c>
      <c r="C10" t="s">
        <v>2344</v>
      </c>
      <c r="D10">
        <v>515846558</v>
      </c>
      <c r="E10" t="s">
        <v>420</v>
      </c>
      <c r="F10" t="s">
        <v>2880</v>
      </c>
      <c r="G10">
        <v>11022534</v>
      </c>
      <c r="H10" t="s">
        <v>77</v>
      </c>
      <c r="I10" t="s">
        <v>52</v>
      </c>
      <c r="J10" t="s">
        <v>52</v>
      </c>
      <c r="K10" t="s">
        <v>911</v>
      </c>
      <c r="L10" t="s">
        <v>2346</v>
      </c>
      <c r="M10" t="s">
        <v>675</v>
      </c>
      <c r="N10" s="127">
        <v>47141</v>
      </c>
      <c r="O10" t="s">
        <v>61</v>
      </c>
      <c r="P10" s="127">
        <v>45953</v>
      </c>
      <c r="Q10" t="s">
        <v>1258</v>
      </c>
      <c r="R10" t="s">
        <v>101</v>
      </c>
      <c r="S10" t="s">
        <v>297</v>
      </c>
      <c r="T10" s="127">
        <v>46203</v>
      </c>
      <c r="U10" s="124">
        <v>140</v>
      </c>
      <c r="V10">
        <v>1</v>
      </c>
      <c r="W10" s="124">
        <v>2000000</v>
      </c>
      <c r="X10" s="124">
        <v>153.83840000000001</v>
      </c>
      <c r="Y10" s="124">
        <v>1</v>
      </c>
      <c r="Z10" s="124">
        <v>3076.768</v>
      </c>
      <c r="AA10" s="125">
        <v>0.34277733100699997</v>
      </c>
      <c r="AB10" s="125">
        <f>Z10/'סכום נכסים'!$B$30</f>
        <v>5.5393918966170066E-4</v>
      </c>
    </row>
    <row r="11" spans="1:28" x14ac:dyDescent="0.3">
      <c r="A11">
        <v>13908</v>
      </c>
      <c r="B11">
        <v>13908</v>
      </c>
      <c r="C11" t="s">
        <v>1556</v>
      </c>
      <c r="D11">
        <v>520020116</v>
      </c>
      <c r="E11" t="s">
        <v>420</v>
      </c>
      <c r="F11" t="s">
        <v>2881</v>
      </c>
      <c r="G11">
        <v>11022539</v>
      </c>
      <c r="H11" t="s">
        <v>77</v>
      </c>
      <c r="I11" t="s">
        <v>52</v>
      </c>
      <c r="J11" t="s">
        <v>52</v>
      </c>
      <c r="K11" t="s">
        <v>911</v>
      </c>
      <c r="L11" t="s">
        <v>2882</v>
      </c>
      <c r="M11" t="s">
        <v>84</v>
      </c>
      <c r="N11" s="127">
        <v>46508</v>
      </c>
      <c r="O11" t="s">
        <v>61</v>
      </c>
      <c r="P11" s="127">
        <v>45970</v>
      </c>
      <c r="Q11" t="s">
        <v>1258</v>
      </c>
      <c r="R11" t="s">
        <v>101</v>
      </c>
      <c r="S11" t="s">
        <v>297</v>
      </c>
      <c r="T11" s="127">
        <v>46203</v>
      </c>
      <c r="U11" s="124">
        <v>5000</v>
      </c>
      <c r="V11">
        <v>1</v>
      </c>
      <c r="W11" s="124">
        <v>22500</v>
      </c>
      <c r="X11" s="124">
        <v>104.3575</v>
      </c>
      <c r="Y11" s="124">
        <v>1</v>
      </c>
      <c r="Z11" s="124">
        <v>23.480440000000002</v>
      </c>
      <c r="AA11" s="125">
        <v>2.6159146719999999E-3</v>
      </c>
      <c r="AB11" s="125">
        <f>Z11/'סכום נכסים'!$B$30</f>
        <v>4.2274022306849864E-6</v>
      </c>
    </row>
    <row r="12" spans="1:28" x14ac:dyDescent="0.3">
      <c r="A12">
        <v>13908</v>
      </c>
      <c r="B12">
        <v>13908</v>
      </c>
      <c r="C12" t="s">
        <v>2703</v>
      </c>
      <c r="D12">
        <v>514301712</v>
      </c>
      <c r="E12" t="s">
        <v>420</v>
      </c>
      <c r="F12" t="s">
        <v>2883</v>
      </c>
      <c r="G12">
        <v>11022296</v>
      </c>
      <c r="H12" t="s">
        <v>77</v>
      </c>
      <c r="I12" t="s">
        <v>60</v>
      </c>
      <c r="J12" t="s">
        <v>52</v>
      </c>
      <c r="K12" t="s">
        <v>911</v>
      </c>
      <c r="L12" t="s">
        <v>2884</v>
      </c>
      <c r="M12" t="s">
        <v>128</v>
      </c>
      <c r="N12" s="127">
        <v>48024</v>
      </c>
      <c r="O12" t="s">
        <v>61</v>
      </c>
      <c r="P12" s="127">
        <v>46202</v>
      </c>
      <c r="Q12" t="s">
        <v>1258</v>
      </c>
      <c r="R12" t="s">
        <v>295</v>
      </c>
      <c r="S12" t="s">
        <v>297</v>
      </c>
      <c r="T12" s="127">
        <v>46203</v>
      </c>
      <c r="U12" s="124">
        <v>1000000</v>
      </c>
      <c r="V12">
        <v>1</v>
      </c>
      <c r="W12" s="124">
        <v>746.67</v>
      </c>
      <c r="X12" s="124">
        <v>305090</v>
      </c>
      <c r="Y12" s="124">
        <v>1</v>
      </c>
      <c r="Z12" s="124">
        <v>2278.0155</v>
      </c>
      <c r="AA12" s="125">
        <v>0.253789714753</v>
      </c>
      <c r="AB12" s="125">
        <f>Z12/'סכום נכסים'!$B$30</f>
        <v>4.1013234020465433E-4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" x14ac:dyDescent="0.3"/>
  <cols>
    <col min="1" max="23" width="11.58203125" customWidth="1"/>
    <col min="24" max="24" width="11" bestFit="1" customWidth="1"/>
    <col min="25" max="25" width="8.58203125" bestFit="1" customWidth="1"/>
    <col min="26" max="28" width="11.58203125" customWidth="1"/>
    <col min="29" max="29" width="11.58203125" hidden="1" customWidth="1"/>
    <col min="30" max="16384" width="9" hidden="1"/>
  </cols>
  <sheetData>
    <row r="1" spans="1:28" s="2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8</v>
      </c>
      <c r="M1" s="13" t="s">
        <v>9</v>
      </c>
      <c r="N1" s="13" t="s">
        <v>651</v>
      </c>
      <c r="O1" s="13" t="s">
        <v>593</v>
      </c>
      <c r="P1" s="13" t="s">
        <v>11</v>
      </c>
      <c r="Q1" s="13" t="s">
        <v>387</v>
      </c>
      <c r="R1" s="13" t="s">
        <v>876</v>
      </c>
      <c r="S1" s="13" t="s">
        <v>363</v>
      </c>
      <c r="T1" s="13" t="s">
        <v>15</v>
      </c>
      <c r="U1" s="13" t="s">
        <v>22</v>
      </c>
      <c r="V1" s="13" t="s">
        <v>600</v>
      </c>
      <c r="W1" s="13" t="s">
        <v>747</v>
      </c>
      <c r="X1" s="13" t="s">
        <v>14</v>
      </c>
      <c r="Y1" s="13" t="s">
        <v>10</v>
      </c>
      <c r="Z1" s="13" t="s">
        <v>1105</v>
      </c>
      <c r="AA1" s="13" t="s">
        <v>18</v>
      </c>
      <c r="AB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3"/>
  <sheetViews>
    <sheetView rightToLeft="1" workbookViewId="0">
      <selection activeCell="A10" sqref="A10"/>
    </sheetView>
  </sheetViews>
  <sheetFormatPr defaultColWidth="0" defaultRowHeight="14" x14ac:dyDescent="0.3"/>
  <cols>
    <col min="1" max="2" width="10.58203125" bestFit="1" customWidth="1"/>
    <col min="3" max="3" width="31.25" bestFit="1" customWidth="1"/>
    <col min="4" max="4" width="11" bestFit="1" customWidth="1"/>
    <col min="5" max="5" width="10.83203125" bestFit="1" customWidth="1"/>
    <col min="6" max="6" width="10.4140625" bestFit="1" customWidth="1"/>
    <col min="7" max="7" width="13.58203125" bestFit="1" customWidth="1"/>
    <col min="8" max="8" width="10.83203125" bestFit="1" customWidth="1"/>
    <col min="9" max="9" width="11.1640625" bestFit="1" customWidth="1"/>
    <col min="10" max="10" width="10" bestFit="1" customWidth="1"/>
    <col min="11" max="11" width="11" bestFit="1" customWidth="1"/>
    <col min="12" max="12" width="10.83203125" bestFit="1" customWidth="1"/>
    <col min="13" max="13" width="10.4140625" bestFit="1" customWidth="1"/>
    <col min="14" max="14" width="13.83203125" bestFit="1" customWidth="1"/>
    <col min="15" max="15" width="10.58203125" bestFit="1" customWidth="1"/>
    <col min="16" max="16" width="11.1640625" bestFit="1" customWidth="1"/>
    <col min="17" max="17" width="10" bestFit="1" customWidth="1"/>
    <col min="18" max="18" width="9.83203125" bestFit="1" customWidth="1"/>
    <col min="19" max="19" width="10" bestFit="1" customWidth="1"/>
    <col min="20" max="20" width="9.25" bestFit="1" customWidth="1"/>
    <col min="21" max="21" width="19" bestFit="1" customWidth="1"/>
    <col min="22" max="22" width="10.75" bestFit="1" customWidth="1"/>
    <col min="23" max="23" width="10.1640625" bestFit="1" customWidth="1"/>
    <col min="24" max="24" width="15.4140625" bestFit="1" customWidth="1"/>
    <col min="25" max="25" width="11" bestFit="1" customWidth="1"/>
    <col min="26" max="27" width="10.75" bestFit="1" customWidth="1"/>
    <col min="28" max="28" width="7.25" bestFit="1" customWidth="1"/>
    <col min="29" max="29" width="11.58203125" customWidth="1"/>
    <col min="30" max="30" width="10.1640625" bestFit="1" customWidth="1"/>
    <col min="31" max="31" width="9.58203125" bestFit="1" customWidth="1"/>
    <col min="32" max="33" width="9" bestFit="1" customWidth="1"/>
    <col min="34" max="34" width="11.1640625" bestFit="1" customWidth="1"/>
    <col min="35" max="36" width="10.58203125" bestFit="1" customWidth="1"/>
    <col min="37" max="37" width="9" bestFit="1" customWidth="1"/>
    <col min="38" max="38" width="10.83203125" bestFit="1" customWidth="1"/>
    <col min="39" max="40" width="11.1640625" bestFit="1" customWidth="1"/>
    <col min="41" max="41" width="10" bestFit="1" customWidth="1"/>
    <col min="42" max="16384" width="9" hidden="1"/>
  </cols>
  <sheetData>
    <row r="1" spans="1:41" s="7" customFormat="1" ht="52" x14ac:dyDescent="0.3">
      <c r="A1" s="13" t="s">
        <v>636</v>
      </c>
      <c r="B1" s="13" t="s">
        <v>0</v>
      </c>
      <c r="C1" s="13" t="s">
        <v>1</v>
      </c>
      <c r="D1" s="13" t="s">
        <v>409</v>
      </c>
      <c r="E1" s="13" t="s">
        <v>768</v>
      </c>
      <c r="F1" s="13" t="s">
        <v>1213</v>
      </c>
      <c r="G1" s="13" t="s">
        <v>318</v>
      </c>
      <c r="H1" s="13" t="s">
        <v>322</v>
      </c>
      <c r="I1" s="13" t="s">
        <v>320</v>
      </c>
      <c r="J1" s="13" t="s">
        <v>321</v>
      </c>
      <c r="K1" s="13" t="s">
        <v>410</v>
      </c>
      <c r="L1" s="13" t="s">
        <v>769</v>
      </c>
      <c r="M1" s="13" t="s">
        <v>1214</v>
      </c>
      <c r="N1" s="13" t="s">
        <v>319</v>
      </c>
      <c r="O1" s="13" t="s">
        <v>323</v>
      </c>
      <c r="P1" s="13" t="s">
        <v>1250</v>
      </c>
      <c r="Q1" s="13" t="s">
        <v>1251</v>
      </c>
      <c r="R1" s="13" t="s">
        <v>1111</v>
      </c>
      <c r="S1" s="13" t="s">
        <v>591</v>
      </c>
      <c r="T1" s="13" t="s">
        <v>592</v>
      </c>
      <c r="U1" s="13" t="s">
        <v>451</v>
      </c>
      <c r="V1" s="13" t="s">
        <v>335</v>
      </c>
      <c r="W1" s="13" t="s">
        <v>450</v>
      </c>
      <c r="X1" s="13" t="s">
        <v>98</v>
      </c>
      <c r="Y1" s="13" t="s">
        <v>593</v>
      </c>
      <c r="Z1" s="13" t="s">
        <v>356</v>
      </c>
      <c r="AA1" s="13" t="s">
        <v>357</v>
      </c>
      <c r="AB1" s="13" t="s">
        <v>599</v>
      </c>
      <c r="AC1" s="13" t="s">
        <v>300</v>
      </c>
      <c r="AD1" s="13" t="s">
        <v>359</v>
      </c>
      <c r="AE1" s="13" t="s">
        <v>716</v>
      </c>
      <c r="AF1" s="13" t="s">
        <v>301</v>
      </c>
      <c r="AG1" s="13" t="s">
        <v>302</v>
      </c>
      <c r="AH1" s="13" t="s">
        <v>340</v>
      </c>
      <c r="AI1" s="13" t="s">
        <v>358</v>
      </c>
      <c r="AJ1" s="13" t="s">
        <v>604</v>
      </c>
      <c r="AK1" s="13" t="s">
        <v>355</v>
      </c>
      <c r="AL1" s="13" t="s">
        <v>447</v>
      </c>
      <c r="AM1" s="13" t="s">
        <v>427</v>
      </c>
      <c r="AN1" s="13" t="s">
        <v>18</v>
      </c>
      <c r="AO1" s="13" t="s">
        <v>29</v>
      </c>
    </row>
    <row r="2" spans="1:41" x14ac:dyDescent="0.3">
      <c r="A2">
        <v>13908</v>
      </c>
      <c r="B2">
        <v>13908</v>
      </c>
      <c r="C2" t="s">
        <v>343</v>
      </c>
      <c r="D2">
        <v>903776</v>
      </c>
      <c r="E2" t="s">
        <v>1260</v>
      </c>
      <c r="F2" s="124">
        <v>3.3660000000000001</v>
      </c>
      <c r="G2" s="124">
        <v>-2800000</v>
      </c>
      <c r="H2" s="124">
        <v>-2817.8821759570201</v>
      </c>
      <c r="I2" s="125">
        <v>4.7339078423865526E-2</v>
      </c>
      <c r="J2" s="125">
        <f>H2/'סכום נכסים'!$B$30</f>
        <v>-5.0732956437137336E-4</v>
      </c>
      <c r="K2">
        <v>903776</v>
      </c>
      <c r="L2" t="s">
        <v>1258</v>
      </c>
      <c r="M2" s="124">
        <v>1</v>
      </c>
      <c r="N2" s="124">
        <v>9424800</v>
      </c>
      <c r="O2" s="124">
        <v>9424.7999999999993</v>
      </c>
      <c r="P2" s="125">
        <v>7.4001481777909606E-2</v>
      </c>
      <c r="Q2" s="125">
        <f>O2/'סכום נכסים'!$B$30</f>
        <v>1.6968344947437038E-3</v>
      </c>
      <c r="R2" s="124">
        <v>1033.14688</v>
      </c>
      <c r="S2" t="s">
        <v>52</v>
      </c>
      <c r="T2" t="s">
        <v>52</v>
      </c>
      <c r="U2" t="s">
        <v>71</v>
      </c>
      <c r="V2" t="s">
        <v>101</v>
      </c>
      <c r="W2" t="s">
        <v>674</v>
      </c>
      <c r="X2" t="s">
        <v>2885</v>
      </c>
      <c r="Y2" t="s">
        <v>61</v>
      </c>
      <c r="Z2" s="127">
        <v>45868</v>
      </c>
      <c r="AA2" s="127">
        <v>46233</v>
      </c>
      <c r="AB2" t="s">
        <v>353</v>
      </c>
      <c r="AC2" t="s">
        <v>354</v>
      </c>
      <c r="AD2" t="s">
        <v>61</v>
      </c>
      <c r="AE2" t="s">
        <v>333</v>
      </c>
      <c r="AF2" t="s">
        <v>353</v>
      </c>
      <c r="AG2" t="s">
        <v>353</v>
      </c>
      <c r="AH2" s="125"/>
      <c r="AI2" s="124">
        <v>336.6</v>
      </c>
      <c r="AJ2" s="124"/>
      <c r="AL2" s="125"/>
      <c r="AM2" t="s">
        <v>2886</v>
      </c>
      <c r="AN2" s="125">
        <v>0.11041649263099999</v>
      </c>
      <c r="AO2" s="125">
        <f>R2/'סכום נכסים'!$B$30</f>
        <v>1.8600705204575526E-4</v>
      </c>
    </row>
    <row r="3" spans="1:41" x14ac:dyDescent="0.3">
      <c r="A3">
        <v>13908</v>
      </c>
      <c r="B3">
        <v>13908</v>
      </c>
      <c r="C3" t="s">
        <v>343</v>
      </c>
      <c r="D3">
        <v>903784</v>
      </c>
      <c r="E3" t="s">
        <v>1265</v>
      </c>
      <c r="F3" s="124">
        <v>3.8824999999999998</v>
      </c>
      <c r="G3" s="124">
        <v>-2400000</v>
      </c>
      <c r="H3" s="124">
        <v>-2362.7412255118602</v>
      </c>
      <c r="I3" s="125">
        <v>3.9692927235972585E-2</v>
      </c>
      <c r="J3" s="125">
        <f>H3/'סכום נכסים'!$B$30</f>
        <v>-4.2538630141769981E-4</v>
      </c>
      <c r="K3">
        <v>903784</v>
      </c>
      <c r="L3" t="s">
        <v>1258</v>
      </c>
      <c r="M3" s="124">
        <v>1</v>
      </c>
      <c r="N3" s="124">
        <v>9318000</v>
      </c>
      <c r="O3" s="124">
        <v>9318</v>
      </c>
      <c r="P3" s="125">
        <v>7.3162911383431131E-2</v>
      </c>
      <c r="Q3" s="125">
        <f>O3/'סכום נכסים'!$B$30</f>
        <v>1.6776062963693482E-3</v>
      </c>
      <c r="R3" s="124">
        <v>1297.67491</v>
      </c>
      <c r="S3" t="s">
        <v>52</v>
      </c>
      <c r="T3" t="s">
        <v>52</v>
      </c>
      <c r="U3" t="s">
        <v>71</v>
      </c>
      <c r="V3" t="s">
        <v>101</v>
      </c>
      <c r="W3" t="s">
        <v>674</v>
      </c>
      <c r="X3" t="s">
        <v>2887</v>
      </c>
      <c r="Y3" t="s">
        <v>61</v>
      </c>
      <c r="Z3" s="127">
        <v>45868</v>
      </c>
      <c r="AA3" s="127">
        <v>46233</v>
      </c>
      <c r="AB3" t="s">
        <v>353</v>
      </c>
      <c r="AC3" t="s">
        <v>354</v>
      </c>
      <c r="AD3" t="s">
        <v>61</v>
      </c>
      <c r="AE3" t="s">
        <v>333</v>
      </c>
      <c r="AF3" t="s">
        <v>353</v>
      </c>
      <c r="AG3" t="s">
        <v>353</v>
      </c>
      <c r="AH3" s="125"/>
      <c r="AI3" s="124">
        <v>388.25</v>
      </c>
      <c r="AJ3" s="124"/>
      <c r="AL3" s="125"/>
      <c r="AM3" t="s">
        <v>2886</v>
      </c>
      <c r="AN3" s="125">
        <v>0.13868764926999999</v>
      </c>
      <c r="AO3" s="125">
        <f>R3/'סכום נכסים'!$B$30</f>
        <v>2.3363249620696796E-4</v>
      </c>
    </row>
    <row r="4" spans="1:41" x14ac:dyDescent="0.3">
      <c r="A4">
        <v>13908</v>
      </c>
      <c r="B4">
        <v>13908</v>
      </c>
      <c r="C4" t="s">
        <v>343</v>
      </c>
      <c r="D4">
        <v>975548</v>
      </c>
      <c r="E4" t="s">
        <v>1260</v>
      </c>
      <c r="F4" s="124">
        <v>3.4169999999999998</v>
      </c>
      <c r="G4" s="124">
        <v>-5700000</v>
      </c>
      <c r="H4" s="124">
        <v>-5695.8195332437899</v>
      </c>
      <c r="I4" s="125">
        <v>9.5687055290322232E-2</v>
      </c>
      <c r="J4" s="125">
        <f>H4/'סכום נכסים'!$B$30</f>
        <v>-1.0254714221885925E-3</v>
      </c>
      <c r="K4">
        <v>975548</v>
      </c>
      <c r="L4" t="s">
        <v>1258</v>
      </c>
      <c r="M4" s="124">
        <v>1</v>
      </c>
      <c r="N4" s="124">
        <v>19476900</v>
      </c>
      <c r="O4" s="124">
        <v>19476.900000000001</v>
      </c>
      <c r="P4" s="125">
        <v>0.15292838685597229</v>
      </c>
      <c r="Q4" s="125">
        <f>O4/'סכום נכסים'!$B$30</f>
        <v>3.5066076490401546E-3</v>
      </c>
      <c r="R4" s="124">
        <v>2514.7494299999998</v>
      </c>
      <c r="S4" t="s">
        <v>52</v>
      </c>
      <c r="T4" t="s">
        <v>52</v>
      </c>
      <c r="U4" t="s">
        <v>71</v>
      </c>
      <c r="V4" t="s">
        <v>101</v>
      </c>
      <c r="W4" t="s">
        <v>674</v>
      </c>
      <c r="X4" t="s">
        <v>2885</v>
      </c>
      <c r="Y4" t="s">
        <v>61</v>
      </c>
      <c r="Z4" s="127">
        <v>45876</v>
      </c>
      <c r="AA4" s="127">
        <v>46244</v>
      </c>
      <c r="AB4" t="s">
        <v>353</v>
      </c>
      <c r="AC4" t="s">
        <v>354</v>
      </c>
      <c r="AD4" t="s">
        <v>61</v>
      </c>
      <c r="AE4" t="s">
        <v>333</v>
      </c>
      <c r="AF4" t="s">
        <v>353</v>
      </c>
      <c r="AG4" t="s">
        <v>353</v>
      </c>
      <c r="AH4" s="125"/>
      <c r="AI4" s="124">
        <v>341.7</v>
      </c>
      <c r="AJ4" s="124"/>
      <c r="AL4" s="125"/>
      <c r="AM4" t="s">
        <v>2886</v>
      </c>
      <c r="AN4" s="125">
        <v>0.26876121612699999</v>
      </c>
      <c r="AO4" s="125">
        <f>R4/'סכום נכסים'!$B$30</f>
        <v>4.527537537625273E-4</v>
      </c>
    </row>
    <row r="5" spans="1:41" x14ac:dyDescent="0.3">
      <c r="A5">
        <v>13908</v>
      </c>
      <c r="B5">
        <v>13908</v>
      </c>
      <c r="C5" t="s">
        <v>343</v>
      </c>
      <c r="D5">
        <v>8493604</v>
      </c>
      <c r="E5" t="s">
        <v>1260</v>
      </c>
      <c r="F5" s="124">
        <v>2.9790000000000001</v>
      </c>
      <c r="G5" s="124">
        <v>-2760000</v>
      </c>
      <c r="H5" s="124">
        <v>-2437.3063700470102</v>
      </c>
      <c r="I5" s="125">
        <v>4.0945586149448092E-2</v>
      </c>
      <c r="J5" s="125">
        <f>H5/'סכום נכסים'!$B$30</f>
        <v>-4.3881095863618642E-4</v>
      </c>
      <c r="K5">
        <v>8493604</v>
      </c>
      <c r="L5" t="s">
        <v>1258</v>
      </c>
      <c r="M5" s="124">
        <v>1</v>
      </c>
      <c r="N5" s="124">
        <v>8222040</v>
      </c>
      <c r="O5" s="124">
        <v>8222.0400000000009</v>
      </c>
      <c r="P5" s="125">
        <v>6.4557671593799756E-2</v>
      </c>
      <c r="Q5" s="125">
        <f>O5/'סכום נכסים'!$B$30</f>
        <v>1.4802904135008197E-3</v>
      </c>
      <c r="R5" s="124">
        <v>963.74162999999999</v>
      </c>
      <c r="S5" t="s">
        <v>52</v>
      </c>
      <c r="T5" t="s">
        <v>52</v>
      </c>
      <c r="U5" t="s">
        <v>71</v>
      </c>
      <c r="V5" t="s">
        <v>101</v>
      </c>
      <c r="W5" t="s">
        <v>674</v>
      </c>
      <c r="X5" t="s">
        <v>2885</v>
      </c>
      <c r="Y5" t="s">
        <v>61</v>
      </c>
      <c r="Z5" s="127">
        <v>46198</v>
      </c>
      <c r="AA5" s="127">
        <v>46230</v>
      </c>
      <c r="AB5" t="s">
        <v>353</v>
      </c>
      <c r="AC5" t="s">
        <v>354</v>
      </c>
      <c r="AD5" t="s">
        <v>61</v>
      </c>
      <c r="AE5" t="s">
        <v>333</v>
      </c>
      <c r="AF5" t="s">
        <v>353</v>
      </c>
      <c r="AG5" t="s">
        <v>353</v>
      </c>
      <c r="AH5" s="125"/>
      <c r="AI5" s="124">
        <v>297.89999999999998</v>
      </c>
      <c r="AJ5" s="124"/>
      <c r="AL5" s="125"/>
      <c r="AM5" t="s">
        <v>2888</v>
      </c>
      <c r="AN5" s="125">
        <v>0.102998879101</v>
      </c>
      <c r="AO5" s="125">
        <f>R5/'סכום נכסים'!$B$30</f>
        <v>1.7351137868225572E-4</v>
      </c>
    </row>
    <row r="6" spans="1:41" x14ac:dyDescent="0.3">
      <c r="A6">
        <v>13908</v>
      </c>
      <c r="B6">
        <v>13908</v>
      </c>
      <c r="C6" t="s">
        <v>343</v>
      </c>
      <c r="D6">
        <v>8493613</v>
      </c>
      <c r="E6" t="s">
        <v>1265</v>
      </c>
      <c r="F6" s="124">
        <v>3.3767999999999998</v>
      </c>
      <c r="G6" s="124">
        <v>-2370000</v>
      </c>
      <c r="H6" s="124">
        <v>-1961.6321726322001</v>
      </c>
      <c r="I6" s="125">
        <v>3.2954486192267894E-2</v>
      </c>
      <c r="J6" s="125">
        <f>H6/'סכום נכסים'!$B$30</f>
        <v>-3.5317090405328003E-4</v>
      </c>
      <c r="K6">
        <v>8493613</v>
      </c>
      <c r="L6" t="s">
        <v>1258</v>
      </c>
      <c r="M6" s="124">
        <v>1</v>
      </c>
      <c r="N6" s="124">
        <v>8003016</v>
      </c>
      <c r="O6" s="124">
        <v>8003.0159999999996</v>
      </c>
      <c r="P6" s="125">
        <v>6.2837942735370411E-2</v>
      </c>
      <c r="Q6" s="125">
        <f>O6/'סכום נכסים'!$B$30</f>
        <v>1.4408574835312981E-3</v>
      </c>
      <c r="R6" s="124">
        <v>1344.25559</v>
      </c>
      <c r="S6" t="s">
        <v>52</v>
      </c>
      <c r="T6" t="s">
        <v>52</v>
      </c>
      <c r="U6" t="s">
        <v>71</v>
      </c>
      <c r="V6" t="s">
        <v>101</v>
      </c>
      <c r="W6" t="s">
        <v>674</v>
      </c>
      <c r="X6" t="s">
        <v>2887</v>
      </c>
      <c r="Y6" t="s">
        <v>61</v>
      </c>
      <c r="Z6" s="127">
        <v>46198</v>
      </c>
      <c r="AA6" s="127">
        <v>46230</v>
      </c>
      <c r="AB6" t="s">
        <v>353</v>
      </c>
      <c r="AC6" t="s">
        <v>354</v>
      </c>
      <c r="AD6" t="s">
        <v>61</v>
      </c>
      <c r="AE6" t="s">
        <v>333</v>
      </c>
      <c r="AF6" t="s">
        <v>353</v>
      </c>
      <c r="AG6" t="s">
        <v>353</v>
      </c>
      <c r="AH6" s="125"/>
      <c r="AI6" s="124">
        <v>337.68</v>
      </c>
      <c r="AJ6" s="124"/>
      <c r="AL6" s="125"/>
      <c r="AM6" t="s">
        <v>2888</v>
      </c>
      <c r="AN6" s="125">
        <v>0.14366591074400001</v>
      </c>
      <c r="AO6" s="125">
        <f>R6/'סכום נכסים'!$B$30</f>
        <v>2.4201884972243969E-4</v>
      </c>
    </row>
    <row r="7" spans="1:41" x14ac:dyDescent="0.3">
      <c r="A7">
        <v>13908</v>
      </c>
      <c r="B7">
        <v>13908</v>
      </c>
      <c r="C7" t="s">
        <v>343</v>
      </c>
      <c r="D7">
        <v>8504482</v>
      </c>
      <c r="E7" t="s">
        <v>1260</v>
      </c>
      <c r="F7" s="124">
        <v>2.9790000000000001</v>
      </c>
      <c r="G7" s="124">
        <v>-2750000</v>
      </c>
      <c r="H7" s="124">
        <v>-2399.46137004701</v>
      </c>
      <c r="I7" s="125">
        <v>4.0309808174684922E-2</v>
      </c>
      <c r="J7" s="125">
        <f>H7/'סכום נכסים'!$B$30</f>
        <v>-4.3199737092572296E-4</v>
      </c>
      <c r="K7">
        <v>8504482</v>
      </c>
      <c r="L7" t="s">
        <v>1258</v>
      </c>
      <c r="M7" s="124">
        <v>1</v>
      </c>
      <c r="N7" s="124">
        <v>8192250</v>
      </c>
      <c r="O7" s="124">
        <v>8192.25</v>
      </c>
      <c r="P7" s="125">
        <v>6.4323766986575839E-2</v>
      </c>
      <c r="Q7" s="125">
        <f>O7/'סכום נכסים'!$B$30</f>
        <v>1.4749270424374108E-3</v>
      </c>
      <c r="R7" s="124">
        <v>1046.6540399999999</v>
      </c>
      <c r="S7" t="s">
        <v>52</v>
      </c>
      <c r="T7" t="s">
        <v>52</v>
      </c>
      <c r="U7" t="s">
        <v>71</v>
      </c>
      <c r="V7" t="s">
        <v>101</v>
      </c>
      <c r="W7" t="s">
        <v>674</v>
      </c>
      <c r="X7" t="s">
        <v>2885</v>
      </c>
      <c r="Y7" t="s">
        <v>61</v>
      </c>
      <c r="Z7" s="127">
        <v>46198</v>
      </c>
      <c r="AA7" s="127">
        <v>46238</v>
      </c>
      <c r="AB7" t="s">
        <v>353</v>
      </c>
      <c r="AC7" t="s">
        <v>354</v>
      </c>
      <c r="AD7" t="s">
        <v>61</v>
      </c>
      <c r="AE7" t="s">
        <v>333</v>
      </c>
      <c r="AF7" t="s">
        <v>353</v>
      </c>
      <c r="AG7" t="s">
        <v>353</v>
      </c>
      <c r="AH7" s="125"/>
      <c r="AI7" s="124">
        <v>297.89999999999998</v>
      </c>
      <c r="AJ7" s="124"/>
      <c r="AL7" s="125"/>
      <c r="AM7" t="s">
        <v>2888</v>
      </c>
      <c r="AN7" s="125">
        <v>0.111860056234</v>
      </c>
      <c r="AO7" s="125">
        <f>R7/'סכום נכסים'!$B$30</f>
        <v>1.8843887182060695E-4</v>
      </c>
    </row>
    <row r="8" spans="1:41" x14ac:dyDescent="0.3">
      <c r="A8">
        <v>13908</v>
      </c>
      <c r="B8">
        <v>13908</v>
      </c>
      <c r="C8" t="s">
        <v>343</v>
      </c>
      <c r="D8">
        <v>8504486</v>
      </c>
      <c r="E8" t="s">
        <v>1265</v>
      </c>
      <c r="F8" s="124">
        <v>3.3767999999999998</v>
      </c>
      <c r="G8" s="124">
        <v>-2400000</v>
      </c>
      <c r="H8" s="124">
        <v>-2016.34055972897</v>
      </c>
      <c r="I8" s="125">
        <v>3.3873561038375542E-2</v>
      </c>
      <c r="J8" s="125">
        <f>H8/'סכום נכסים'!$B$30</f>
        <v>-3.6302056435138613E-4</v>
      </c>
      <c r="K8">
        <v>8504486</v>
      </c>
      <c r="L8" t="s">
        <v>1258</v>
      </c>
      <c r="M8" s="124">
        <v>1</v>
      </c>
      <c r="N8" s="124">
        <v>8104320</v>
      </c>
      <c r="O8" s="124">
        <v>8104.32</v>
      </c>
      <c r="P8" s="125">
        <v>6.3633359732020667E-2</v>
      </c>
      <c r="Q8" s="125">
        <f>O8/'סכום נכסים'!$B$30</f>
        <v>1.4590961858544792E-3</v>
      </c>
      <c r="R8" s="124">
        <v>1259.8519699999999</v>
      </c>
      <c r="S8" t="s">
        <v>52</v>
      </c>
      <c r="T8" t="s">
        <v>52</v>
      </c>
      <c r="U8" t="s">
        <v>71</v>
      </c>
      <c r="V8" t="s">
        <v>101</v>
      </c>
      <c r="W8" t="s">
        <v>674</v>
      </c>
      <c r="X8" t="s">
        <v>2887</v>
      </c>
      <c r="Y8" t="s">
        <v>61</v>
      </c>
      <c r="Z8" s="127">
        <v>46198</v>
      </c>
      <c r="AA8" s="127">
        <v>46238</v>
      </c>
      <c r="AB8" t="s">
        <v>353</v>
      </c>
      <c r="AC8" t="s">
        <v>354</v>
      </c>
      <c r="AD8" t="s">
        <v>61</v>
      </c>
      <c r="AE8" t="s">
        <v>333</v>
      </c>
      <c r="AF8" t="s">
        <v>353</v>
      </c>
      <c r="AG8" t="s">
        <v>353</v>
      </c>
      <c r="AH8" s="125"/>
      <c r="AI8" s="124">
        <v>337.68</v>
      </c>
      <c r="AJ8" s="124"/>
      <c r="AL8" s="125"/>
      <c r="AM8" t="s">
        <v>2888</v>
      </c>
      <c r="AN8" s="125">
        <v>0.134645362101</v>
      </c>
      <c r="AO8" s="125">
        <f>R8/'סכום נכסים'!$B$30</f>
        <v>2.2682288016369684E-4</v>
      </c>
    </row>
    <row r="9" spans="1:41" x14ac:dyDescent="0.3">
      <c r="A9">
        <v>13908</v>
      </c>
      <c r="B9">
        <v>13908</v>
      </c>
      <c r="C9" t="s">
        <v>343</v>
      </c>
      <c r="D9">
        <v>450223</v>
      </c>
      <c r="E9" t="s">
        <v>1260</v>
      </c>
      <c r="F9" s="124">
        <v>2.9790000000000001</v>
      </c>
      <c r="G9" s="124">
        <v>-2900000</v>
      </c>
      <c r="H9" s="124">
        <v>-2893.22992276696</v>
      </c>
      <c r="I9" s="125">
        <v>4.8604884682811003E-2</v>
      </c>
      <c r="J9" s="125">
        <f>H9/'סכום נכסים'!$B$30</f>
        <v>-5.2089512076390382E-4</v>
      </c>
      <c r="K9">
        <v>450223</v>
      </c>
      <c r="L9" t="s">
        <v>1258</v>
      </c>
      <c r="M9" s="124">
        <v>1</v>
      </c>
      <c r="N9" s="124">
        <v>8639100</v>
      </c>
      <c r="O9" s="124">
        <v>8639.1</v>
      </c>
      <c r="P9" s="125">
        <v>6.7832336094934526E-2</v>
      </c>
      <c r="Q9" s="125">
        <f>O9/'סכום נכסים'!$B$30</f>
        <v>1.5553776083885424E-3</v>
      </c>
      <c r="R9" s="124">
        <v>23.06129</v>
      </c>
      <c r="S9" t="s">
        <v>52</v>
      </c>
      <c r="T9" t="s">
        <v>52</v>
      </c>
      <c r="U9" t="s">
        <v>71</v>
      </c>
      <c r="V9" t="s">
        <v>101</v>
      </c>
      <c r="W9" t="s">
        <v>674</v>
      </c>
      <c r="X9" t="s">
        <v>2885</v>
      </c>
      <c r="Y9" t="s">
        <v>61</v>
      </c>
      <c r="Z9" s="127">
        <v>46198</v>
      </c>
      <c r="AA9" s="127">
        <v>46288</v>
      </c>
      <c r="AB9" t="s">
        <v>353</v>
      </c>
      <c r="AC9" t="s">
        <v>354</v>
      </c>
      <c r="AD9" t="s">
        <v>61</v>
      </c>
      <c r="AE9" t="s">
        <v>333</v>
      </c>
      <c r="AF9" t="s">
        <v>353</v>
      </c>
      <c r="AG9" t="s">
        <v>353</v>
      </c>
      <c r="AH9" s="125"/>
      <c r="AI9" s="124">
        <v>297.89999999999998</v>
      </c>
      <c r="AJ9" s="124"/>
      <c r="AL9" s="125"/>
      <c r="AM9" t="s">
        <v>2886</v>
      </c>
      <c r="AN9" s="125">
        <v>2.4646512569999998E-3</v>
      </c>
      <c r="AO9" s="125">
        <f>R9/'סכום נכסים'!$B$30</f>
        <v>4.1519387536380651E-6</v>
      </c>
    </row>
    <row r="10" spans="1:41" x14ac:dyDescent="0.3">
      <c r="A10">
        <v>13908</v>
      </c>
      <c r="B10">
        <v>13908</v>
      </c>
      <c r="C10" t="s">
        <v>343</v>
      </c>
      <c r="D10">
        <v>450284</v>
      </c>
      <c r="E10" t="s">
        <v>1260</v>
      </c>
      <c r="F10" s="124">
        <v>2.9790000000000001</v>
      </c>
      <c r="G10" s="124">
        <v>-2800000</v>
      </c>
      <c r="H10" s="124">
        <v>-2793.8635728677</v>
      </c>
      <c r="I10" s="125">
        <v>4.6935577331811924E-2</v>
      </c>
      <c r="J10" s="125">
        <f>H10/'סכום נכסים'!$B$30</f>
        <v>-5.0300527162908538E-4</v>
      </c>
      <c r="K10">
        <v>450284</v>
      </c>
      <c r="L10" t="s">
        <v>1258</v>
      </c>
      <c r="M10" s="124">
        <v>1</v>
      </c>
      <c r="N10" s="124">
        <v>8341200</v>
      </c>
      <c r="O10" s="124">
        <v>8341.2000000000007</v>
      </c>
      <c r="P10" s="125">
        <v>6.5493290022695411E-2</v>
      </c>
      <c r="Q10" s="125">
        <f>O10/'סכום נכסים'!$B$30</f>
        <v>1.5017438977544548E-3</v>
      </c>
      <c r="R10" s="124">
        <v>21.074280000000002</v>
      </c>
      <c r="S10" t="s">
        <v>52</v>
      </c>
      <c r="T10" t="s">
        <v>52</v>
      </c>
      <c r="U10" t="s">
        <v>71</v>
      </c>
      <c r="V10" t="s">
        <v>101</v>
      </c>
      <c r="W10" t="s">
        <v>674</v>
      </c>
      <c r="X10" t="s">
        <v>2885</v>
      </c>
      <c r="Y10" t="s">
        <v>61</v>
      </c>
      <c r="Z10" s="127">
        <v>46198</v>
      </c>
      <c r="AA10" s="127">
        <v>46351</v>
      </c>
      <c r="AB10" t="s">
        <v>353</v>
      </c>
      <c r="AC10" t="s">
        <v>354</v>
      </c>
      <c r="AD10" t="s">
        <v>61</v>
      </c>
      <c r="AE10" t="s">
        <v>333</v>
      </c>
      <c r="AF10" t="s">
        <v>353</v>
      </c>
      <c r="AG10" t="s">
        <v>353</v>
      </c>
      <c r="AH10" s="125"/>
      <c r="AI10" s="124">
        <v>297.89999999999998</v>
      </c>
      <c r="AJ10" s="124"/>
      <c r="AL10" s="125"/>
      <c r="AM10" t="s">
        <v>2886</v>
      </c>
      <c r="AN10" s="125">
        <v>2.2522916410000001E-3</v>
      </c>
      <c r="AO10" s="125">
        <f>R10/'סכום נכסים'!$B$30</f>
        <v>3.7941988430404197E-6</v>
      </c>
    </row>
    <row r="11" spans="1:41" x14ac:dyDescent="0.3">
      <c r="A11">
        <v>13908</v>
      </c>
      <c r="B11">
        <v>13908</v>
      </c>
      <c r="C11" t="s">
        <v>343</v>
      </c>
      <c r="D11">
        <v>450343</v>
      </c>
      <c r="E11" t="s">
        <v>1260</v>
      </c>
      <c r="F11" s="124">
        <v>2.9790000000000001</v>
      </c>
      <c r="G11" s="124">
        <v>-2800000</v>
      </c>
      <c r="H11" s="124">
        <v>-2794.5589456010698</v>
      </c>
      <c r="I11" s="125">
        <v>4.6947259262532695E-2</v>
      </c>
      <c r="J11" s="125">
        <f>H11/'סכום נכסים'!$B$30</f>
        <v>-5.0313046605662609E-4</v>
      </c>
      <c r="K11">
        <v>450343</v>
      </c>
      <c r="L11" t="s">
        <v>1258</v>
      </c>
      <c r="M11" s="124">
        <v>1</v>
      </c>
      <c r="N11" s="124">
        <v>8341200</v>
      </c>
      <c r="O11" s="124">
        <v>8341.2000000000007</v>
      </c>
      <c r="P11" s="125">
        <v>6.5493290022695411E-2</v>
      </c>
      <c r="Q11" s="125">
        <f>O11/'סכום נכסים'!$B$30</f>
        <v>1.5017438977544548E-3</v>
      </c>
      <c r="R11" s="124">
        <v>19.00346</v>
      </c>
      <c r="S11" t="s">
        <v>52</v>
      </c>
      <c r="T11" t="s">
        <v>52</v>
      </c>
      <c r="U11" t="s">
        <v>71</v>
      </c>
      <c r="V11" t="s">
        <v>101</v>
      </c>
      <c r="W11" t="s">
        <v>674</v>
      </c>
      <c r="X11" t="s">
        <v>2885</v>
      </c>
      <c r="Y11" t="s">
        <v>61</v>
      </c>
      <c r="Z11" s="127">
        <v>46198</v>
      </c>
      <c r="AA11" s="127">
        <v>46561</v>
      </c>
      <c r="AB11" t="s">
        <v>353</v>
      </c>
      <c r="AC11" t="s">
        <v>354</v>
      </c>
      <c r="AD11" t="s">
        <v>61</v>
      </c>
      <c r="AE11" t="s">
        <v>333</v>
      </c>
      <c r="AF11" t="s">
        <v>353</v>
      </c>
      <c r="AG11" t="s">
        <v>353</v>
      </c>
      <c r="AH11" s="125"/>
      <c r="AI11" s="124">
        <v>297.89999999999998</v>
      </c>
      <c r="AJ11" s="124"/>
      <c r="AL11" s="125"/>
      <c r="AM11" t="s">
        <v>2886</v>
      </c>
      <c r="AN11" s="125">
        <v>2.0309749189999999E-3</v>
      </c>
      <c r="AO11" s="125">
        <f>R11/'סכום נכסים'!$B$30</f>
        <v>3.4213698378196028E-6</v>
      </c>
    </row>
    <row r="12" spans="1:41" x14ac:dyDescent="0.3">
      <c r="A12">
        <v>13908</v>
      </c>
      <c r="B12">
        <v>13908</v>
      </c>
      <c r="C12" t="s">
        <v>391</v>
      </c>
      <c r="D12" t="s">
        <v>2889</v>
      </c>
      <c r="E12" t="s">
        <v>1260</v>
      </c>
      <c r="F12" s="124">
        <v>2.907</v>
      </c>
      <c r="G12" s="124">
        <v>-117806</v>
      </c>
      <c r="H12" s="124">
        <v>-15432.586000671599</v>
      </c>
      <c r="I12" s="125">
        <v>0.25926009440785969</v>
      </c>
      <c r="J12" s="125">
        <f>H12/'סכום נכסים'!$B$30</f>
        <v>-2.7784721446649642E-3</v>
      </c>
      <c r="K12" t="s">
        <v>2890</v>
      </c>
      <c r="L12" t="s">
        <v>1260</v>
      </c>
      <c r="M12" s="124">
        <v>2.907</v>
      </c>
      <c r="N12" s="124">
        <v>117806</v>
      </c>
      <c r="O12" s="124">
        <v>15459.681380120899</v>
      </c>
      <c r="P12" s="125">
        <v>0.12138605911460244</v>
      </c>
      <c r="Q12" s="125">
        <f>O12/'סכום נכסים'!$B$30</f>
        <v>2.7833503781020388E-3</v>
      </c>
      <c r="R12" s="124">
        <v>80.690039999999996</v>
      </c>
      <c r="S12" t="s">
        <v>52</v>
      </c>
      <c r="T12" t="s">
        <v>306</v>
      </c>
      <c r="U12" t="s">
        <v>96</v>
      </c>
      <c r="V12" t="s">
        <v>389</v>
      </c>
      <c r="W12" t="s">
        <v>672</v>
      </c>
      <c r="X12" t="s">
        <v>2891</v>
      </c>
      <c r="Y12" t="s">
        <v>61</v>
      </c>
      <c r="Z12" s="127">
        <v>46152</v>
      </c>
      <c r="AA12" s="127">
        <v>46377</v>
      </c>
      <c r="AB12" t="s">
        <v>350</v>
      </c>
      <c r="AC12" t="s">
        <v>361</v>
      </c>
      <c r="AD12" t="s">
        <v>61</v>
      </c>
      <c r="AE12" t="s">
        <v>333</v>
      </c>
      <c r="AF12" t="s">
        <v>317</v>
      </c>
      <c r="AG12" t="s">
        <v>350</v>
      </c>
      <c r="AH12" s="125"/>
      <c r="AI12" s="124">
        <v>9574</v>
      </c>
      <c r="AJ12" s="124"/>
      <c r="AL12" s="125"/>
      <c r="AM12" t="s">
        <v>2892</v>
      </c>
      <c r="AN12" s="125">
        <v>8.6236636620000001E-3</v>
      </c>
      <c r="AO12" s="125">
        <f>R12/'סכום נכסים'!$B$30</f>
        <v>1.452737917560577E-5</v>
      </c>
    </row>
    <row r="13" spans="1:41" x14ac:dyDescent="0.3">
      <c r="A13">
        <v>13908</v>
      </c>
      <c r="B13">
        <v>13908</v>
      </c>
      <c r="C13" t="s">
        <v>391</v>
      </c>
      <c r="D13" t="s">
        <v>2893</v>
      </c>
      <c r="E13" t="s">
        <v>1260</v>
      </c>
      <c r="F13" s="124">
        <v>2.907</v>
      </c>
      <c r="G13" s="124">
        <v>-132119</v>
      </c>
      <c r="H13" s="124">
        <v>-15920.0752619208</v>
      </c>
      <c r="I13" s="125">
        <v>0.2674496818100478</v>
      </c>
      <c r="J13" s="125">
        <f>H13/'סכום נכסים'!$B$30</f>
        <v>-2.8662393751955608E-3</v>
      </c>
      <c r="K13" t="s">
        <v>2894</v>
      </c>
      <c r="L13" t="s">
        <v>1260</v>
      </c>
      <c r="M13" s="124">
        <v>2.907</v>
      </c>
      <c r="N13" s="124">
        <v>132119</v>
      </c>
      <c r="O13" s="124">
        <v>15837.104529885801</v>
      </c>
      <c r="P13" s="125">
        <v>0.12434950367999255</v>
      </c>
      <c r="Q13" s="125">
        <f>O13/'סכום נכסים'!$B$30</f>
        <v>2.8513013817982342E-3</v>
      </c>
      <c r="R13" s="124">
        <v>-247.08684</v>
      </c>
      <c r="S13" t="s">
        <v>52</v>
      </c>
      <c r="T13" t="s">
        <v>306</v>
      </c>
      <c r="U13" t="s">
        <v>96</v>
      </c>
      <c r="V13" t="s">
        <v>389</v>
      </c>
      <c r="W13" t="s">
        <v>672</v>
      </c>
      <c r="X13" t="s">
        <v>2895</v>
      </c>
      <c r="Y13" t="s">
        <v>61</v>
      </c>
      <c r="Z13" s="127">
        <v>46152</v>
      </c>
      <c r="AA13" s="127">
        <v>46422</v>
      </c>
      <c r="AB13" t="s">
        <v>350</v>
      </c>
      <c r="AC13" t="s">
        <v>361</v>
      </c>
      <c r="AD13" t="s">
        <v>61</v>
      </c>
      <c r="AE13" t="s">
        <v>333</v>
      </c>
      <c r="AF13" t="s">
        <v>317</v>
      </c>
      <c r="AG13" t="s">
        <v>350</v>
      </c>
      <c r="AH13" s="125"/>
      <c r="AI13" s="124">
        <v>9574</v>
      </c>
      <c r="AJ13" s="124"/>
      <c r="AL13" s="125"/>
      <c r="AM13" t="s">
        <v>2892</v>
      </c>
      <c r="AN13" s="125">
        <v>-2.6407147692000001E-2</v>
      </c>
      <c r="AO13" s="125">
        <f>R13/'סכום נכסים'!$B$30</f>
        <v>-4.4485344337197439E-5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32"/>
  <sheetViews>
    <sheetView rightToLeft="1" topLeftCell="AK1" zoomScale="90" zoomScaleNormal="90" workbookViewId="0">
      <selection activeCell="AZ2" sqref="AZ2"/>
    </sheetView>
  </sheetViews>
  <sheetFormatPr defaultColWidth="0" defaultRowHeight="14" x14ac:dyDescent="0.3"/>
  <cols>
    <col min="1" max="2" width="10.58203125" bestFit="1" customWidth="1"/>
    <col min="3" max="3" width="14.1640625" bestFit="1" customWidth="1"/>
    <col min="4" max="4" width="24.75" bestFit="1" customWidth="1"/>
    <col min="5" max="5" width="25.75" bestFit="1" customWidth="1"/>
    <col min="6" max="6" width="11.4140625" bestFit="1" customWidth="1"/>
    <col min="7" max="7" width="11" bestFit="1" customWidth="1"/>
    <col min="8" max="8" width="54.75" bestFit="1" customWidth="1"/>
    <col min="9" max="9" width="10" bestFit="1" customWidth="1"/>
    <col min="10" max="10" width="9.25" bestFit="1" customWidth="1"/>
    <col min="11" max="11" width="27.25" bestFit="1" customWidth="1"/>
    <col min="12" max="12" width="11" bestFit="1" customWidth="1"/>
    <col min="13" max="14" width="10.58203125" bestFit="1" customWidth="1"/>
    <col min="15" max="15" width="10.75" bestFit="1" customWidth="1"/>
    <col min="16" max="16" width="5.58203125" bestFit="1" customWidth="1"/>
    <col min="17" max="17" width="13.4140625" bestFit="1" customWidth="1"/>
    <col min="18" max="18" width="11.1640625" bestFit="1" customWidth="1"/>
    <col min="19" max="19" width="11.25" bestFit="1" customWidth="1"/>
    <col min="20" max="20" width="5.58203125" bestFit="1" customWidth="1"/>
    <col min="21" max="21" width="9.75" bestFit="1" customWidth="1"/>
    <col min="22" max="22" width="10.58203125" bestFit="1" customWidth="1"/>
    <col min="23" max="23" width="13.4140625" bestFit="1" customWidth="1"/>
    <col min="24" max="24" width="14" bestFit="1" customWidth="1"/>
    <col min="25" max="25" width="10.4140625" bestFit="1" customWidth="1"/>
    <col min="26" max="26" width="7.1640625" bestFit="1" customWidth="1"/>
    <col min="27" max="27" width="10.75" bestFit="1" customWidth="1"/>
    <col min="28" max="28" width="11.75" bestFit="1" customWidth="1"/>
    <col min="29" max="29" width="24.75" bestFit="1" customWidth="1"/>
    <col min="30" max="30" width="14.75" bestFit="1" customWidth="1"/>
    <col min="31" max="31" width="8.4140625" bestFit="1" customWidth="1"/>
    <col min="32" max="32" width="10.58203125" bestFit="1" customWidth="1"/>
    <col min="33" max="33" width="9" bestFit="1" customWidth="1"/>
    <col min="34" max="34" width="11.75" bestFit="1" customWidth="1"/>
    <col min="35" max="35" width="50.4140625" bestFit="1" customWidth="1"/>
    <col min="36" max="36" width="10.4140625" bestFit="1" customWidth="1"/>
    <col min="37" max="37" width="10" bestFit="1" customWidth="1"/>
    <col min="38" max="38" width="8.25" bestFit="1" customWidth="1"/>
    <col min="39" max="39" width="7.83203125" bestFit="1" customWidth="1"/>
    <col min="40" max="40" width="11" bestFit="1" customWidth="1"/>
    <col min="41" max="41" width="11.58203125" customWidth="1"/>
    <col min="42" max="42" width="11.1640625" bestFit="1" customWidth="1"/>
    <col min="43" max="43" width="12.75" bestFit="1" customWidth="1"/>
    <col min="44" max="44" width="10.4140625" bestFit="1" customWidth="1"/>
    <col min="45" max="45" width="9.83203125" bestFit="1" customWidth="1"/>
    <col min="46" max="46" width="10.83203125" bestFit="1" customWidth="1"/>
    <col min="47" max="47" width="9.1640625" bestFit="1" customWidth="1"/>
    <col min="48" max="48" width="10.83203125" bestFit="1" customWidth="1"/>
    <col min="49" max="49" width="8.1640625" bestFit="1" customWidth="1"/>
    <col min="50" max="51" width="10.1640625" bestFit="1" customWidth="1"/>
    <col min="52" max="52" width="11.1640625" bestFit="1" customWidth="1"/>
    <col min="53" max="53" width="10" bestFit="1" customWidth="1"/>
    <col min="54" max="16384" width="9" hidden="1"/>
  </cols>
  <sheetData>
    <row r="1" spans="1:53" s="2" customFormat="1" ht="52" x14ac:dyDescent="0.3">
      <c r="A1" s="13" t="s">
        <v>636</v>
      </c>
      <c r="B1" s="13" t="s">
        <v>0</v>
      </c>
      <c r="C1" s="13" t="s">
        <v>704</v>
      </c>
      <c r="D1" s="13" t="s">
        <v>705</v>
      </c>
      <c r="E1" s="13" t="s">
        <v>706</v>
      </c>
      <c r="F1" s="13" t="s">
        <v>707</v>
      </c>
      <c r="G1" s="13" t="s">
        <v>1</v>
      </c>
      <c r="H1" s="13" t="s">
        <v>875</v>
      </c>
      <c r="I1" s="13" t="s">
        <v>591</v>
      </c>
      <c r="J1" s="13" t="s">
        <v>592</v>
      </c>
      <c r="K1" s="13" t="s">
        <v>8</v>
      </c>
      <c r="L1" s="13" t="s">
        <v>593</v>
      </c>
      <c r="M1" s="13" t="s">
        <v>289</v>
      </c>
      <c r="N1" s="13" t="s">
        <v>579</v>
      </c>
      <c r="O1" s="13" t="s">
        <v>711</v>
      </c>
      <c r="P1" s="13" t="s">
        <v>5</v>
      </c>
      <c r="Q1" s="13" t="s">
        <v>7</v>
      </c>
      <c r="R1" s="13" t="s">
        <v>1100</v>
      </c>
      <c r="S1" s="13" t="s">
        <v>387</v>
      </c>
      <c r="T1" s="13" t="s">
        <v>12</v>
      </c>
      <c r="U1" s="13" t="s">
        <v>431</v>
      </c>
      <c r="V1" s="13" t="s">
        <v>13</v>
      </c>
      <c r="W1" s="13" t="s">
        <v>275</v>
      </c>
      <c r="X1" s="13" t="s">
        <v>301</v>
      </c>
      <c r="Y1" s="13" t="s">
        <v>656</v>
      </c>
      <c r="Z1" s="13" t="s">
        <v>608</v>
      </c>
      <c r="AA1" s="13" t="s">
        <v>412</v>
      </c>
      <c r="AB1" s="13" t="s">
        <v>884</v>
      </c>
      <c r="AC1" s="13" t="s">
        <v>19</v>
      </c>
      <c r="AD1" s="13" t="s">
        <v>744</v>
      </c>
      <c r="AE1" s="13" t="s">
        <v>643</v>
      </c>
      <c r="AF1" s="13" t="s">
        <v>644</v>
      </c>
      <c r="AG1" s="13" t="s">
        <v>809</v>
      </c>
      <c r="AH1" s="13" t="s">
        <v>411</v>
      </c>
      <c r="AI1" s="13" t="s">
        <v>20</v>
      </c>
      <c r="AJ1" s="13" t="s">
        <v>657</v>
      </c>
      <c r="AK1" s="13" t="s">
        <v>876</v>
      </c>
      <c r="AL1" s="13" t="s">
        <v>710</v>
      </c>
      <c r="AM1" s="13" t="s">
        <v>363</v>
      </c>
      <c r="AN1" s="13" t="s">
        <v>15</v>
      </c>
      <c r="AO1" s="13" t="s">
        <v>1099</v>
      </c>
      <c r="AP1" s="13" t="s">
        <v>609</v>
      </c>
      <c r="AQ1" s="13" t="s">
        <v>901</v>
      </c>
      <c r="AR1" s="13" t="s">
        <v>708</v>
      </c>
      <c r="AS1" s="13" t="s">
        <v>10</v>
      </c>
      <c r="AT1" s="13" t="s">
        <v>1105</v>
      </c>
      <c r="AU1" s="13" t="s">
        <v>759</v>
      </c>
      <c r="AV1" s="13" t="s">
        <v>1106</v>
      </c>
      <c r="AW1" s="13" t="s">
        <v>760</v>
      </c>
      <c r="AX1" s="13" t="s">
        <v>654</v>
      </c>
      <c r="AY1" s="13" t="s">
        <v>25</v>
      </c>
      <c r="AZ1" s="13" t="s">
        <v>18</v>
      </c>
      <c r="BA1" s="13" t="s">
        <v>29</v>
      </c>
    </row>
    <row r="2" spans="1:53" x14ac:dyDescent="0.3">
      <c r="A2">
        <v>13908</v>
      </c>
      <c r="B2">
        <v>13908</v>
      </c>
      <c r="E2" t="s">
        <v>2992</v>
      </c>
      <c r="F2">
        <v>11020447</v>
      </c>
      <c r="G2" t="s">
        <v>241</v>
      </c>
      <c r="H2" t="s">
        <v>812</v>
      </c>
      <c r="I2" t="s">
        <v>52</v>
      </c>
      <c r="K2" t="s">
        <v>620</v>
      </c>
      <c r="L2" t="s">
        <v>61</v>
      </c>
      <c r="M2" t="s">
        <v>61</v>
      </c>
      <c r="O2" s="127">
        <v>45657</v>
      </c>
      <c r="P2" t="s">
        <v>290</v>
      </c>
      <c r="Q2" t="s">
        <v>290</v>
      </c>
      <c r="R2" t="s">
        <v>290</v>
      </c>
      <c r="S2" t="s">
        <v>1258</v>
      </c>
      <c r="T2" s="126">
        <v>0.65</v>
      </c>
      <c r="U2" t="s">
        <v>2896</v>
      </c>
      <c r="V2" s="125">
        <v>0.11</v>
      </c>
      <c r="Y2" s="125"/>
      <c r="Z2" s="125">
        <v>7.3200000000000001E-2</v>
      </c>
      <c r="AA2" s="127">
        <v>46445</v>
      </c>
      <c r="AB2" t="s">
        <v>606</v>
      </c>
      <c r="AD2" s="142"/>
      <c r="AE2" s="125"/>
      <c r="AF2" s="127"/>
      <c r="AJ2" t="s">
        <v>54</v>
      </c>
      <c r="AK2" t="s">
        <v>749</v>
      </c>
      <c r="AM2" t="s">
        <v>297</v>
      </c>
      <c r="AN2" s="127">
        <v>46203</v>
      </c>
      <c r="AO2" s="127">
        <v>46203</v>
      </c>
      <c r="AP2" s="125"/>
      <c r="AQ2" s="124">
        <v>-0.03</v>
      </c>
      <c r="AR2" s="124">
        <v>102.39</v>
      </c>
      <c r="AS2" s="124">
        <v>1</v>
      </c>
      <c r="AT2" s="124">
        <v>-3.0000000000000001E-5</v>
      </c>
      <c r="AU2" s="124">
        <v>-3.0000000000000001E-5</v>
      </c>
      <c r="AV2" s="124"/>
      <c r="AW2" s="124"/>
      <c r="AY2" t="s">
        <v>16</v>
      </c>
      <c r="AZ2" s="125">
        <v>-4.50027696932106E-10</v>
      </c>
      <c r="BA2" s="125">
        <f>AT2/'סכום נכסים'!$B$30</f>
        <v>-5.4011793186392414E-12</v>
      </c>
    </row>
    <row r="3" spans="1:53" x14ac:dyDescent="0.3">
      <c r="A3">
        <v>13908</v>
      </c>
      <c r="B3">
        <v>13908</v>
      </c>
      <c r="E3" t="s">
        <v>2993</v>
      </c>
      <c r="F3">
        <v>11021112</v>
      </c>
      <c r="G3" t="s">
        <v>241</v>
      </c>
      <c r="I3" t="s">
        <v>52</v>
      </c>
      <c r="K3" t="s">
        <v>1212</v>
      </c>
      <c r="L3" t="s">
        <v>61</v>
      </c>
      <c r="M3" t="s">
        <v>61</v>
      </c>
      <c r="O3" s="127">
        <v>45657</v>
      </c>
      <c r="P3" t="s">
        <v>290</v>
      </c>
      <c r="Q3" t="s">
        <v>290</v>
      </c>
      <c r="R3" t="s">
        <v>290</v>
      </c>
      <c r="S3" t="s">
        <v>1258</v>
      </c>
      <c r="T3" s="126">
        <v>1.51</v>
      </c>
      <c r="U3" t="s">
        <v>432</v>
      </c>
      <c r="V3" s="125">
        <v>0.107</v>
      </c>
      <c r="Y3" s="125"/>
      <c r="Z3" s="125">
        <v>9.8900000000000002E-2</v>
      </c>
      <c r="AA3" s="127">
        <v>47223</v>
      </c>
      <c r="AB3" t="s">
        <v>606</v>
      </c>
      <c r="AD3" s="142"/>
      <c r="AE3" s="125"/>
      <c r="AF3" s="127"/>
      <c r="AJ3" t="s">
        <v>54</v>
      </c>
      <c r="AK3" t="s">
        <v>749</v>
      </c>
      <c r="AM3" t="s">
        <v>297</v>
      </c>
      <c r="AN3" s="127">
        <v>46203</v>
      </c>
      <c r="AO3" s="127">
        <v>46203</v>
      </c>
      <c r="AP3" s="125"/>
      <c r="AQ3" s="124">
        <v>1302000</v>
      </c>
      <c r="AR3" s="124">
        <v>102.91</v>
      </c>
      <c r="AS3" s="124">
        <v>1</v>
      </c>
      <c r="AT3" s="124">
        <v>1339.8882000000001</v>
      </c>
      <c r="AU3" s="124">
        <v>1339.8882000000001</v>
      </c>
      <c r="AV3" s="124"/>
      <c r="AW3" s="124"/>
      <c r="AY3" t="s">
        <v>16</v>
      </c>
      <c r="AZ3" s="125">
        <v>2.0099560026E-2</v>
      </c>
      <c r="BA3" s="125">
        <f>AT3/'סכום נכסים'!$B$30</f>
        <v>2.4123254783762533E-4</v>
      </c>
    </row>
    <row r="4" spans="1:53" x14ac:dyDescent="0.3">
      <c r="A4">
        <v>13908</v>
      </c>
      <c r="B4">
        <v>13908</v>
      </c>
      <c r="E4" t="s">
        <v>2994</v>
      </c>
      <c r="F4">
        <v>11021122</v>
      </c>
      <c r="G4" t="s">
        <v>241</v>
      </c>
      <c r="H4" t="s">
        <v>789</v>
      </c>
      <c r="I4" t="s">
        <v>52</v>
      </c>
      <c r="K4" t="s">
        <v>138</v>
      </c>
      <c r="L4" t="s">
        <v>61</v>
      </c>
      <c r="M4" t="s">
        <v>61</v>
      </c>
      <c r="O4" s="127">
        <v>45657</v>
      </c>
      <c r="P4" t="s">
        <v>290</v>
      </c>
      <c r="Q4" t="s">
        <v>290</v>
      </c>
      <c r="R4" t="s">
        <v>290</v>
      </c>
      <c r="S4" t="s">
        <v>1258</v>
      </c>
      <c r="T4" s="126">
        <v>1.83</v>
      </c>
      <c r="U4" t="s">
        <v>2896</v>
      </c>
      <c r="V4" s="125">
        <v>0.1085</v>
      </c>
      <c r="Y4" s="125"/>
      <c r="Z4" s="125">
        <v>0.1027</v>
      </c>
      <c r="AA4" s="127">
        <v>46935</v>
      </c>
      <c r="AB4" t="s">
        <v>606</v>
      </c>
      <c r="AD4" s="142"/>
      <c r="AE4" s="125"/>
      <c r="AF4" s="127">
        <v>45443</v>
      </c>
      <c r="AJ4" t="s">
        <v>54</v>
      </c>
      <c r="AK4" t="s">
        <v>749</v>
      </c>
      <c r="AM4" t="s">
        <v>297</v>
      </c>
      <c r="AN4" s="127">
        <v>46203</v>
      </c>
      <c r="AO4" s="127">
        <v>46203</v>
      </c>
      <c r="AP4" s="125"/>
      <c r="AQ4" s="124">
        <v>1227272.73</v>
      </c>
      <c r="AR4" s="124">
        <v>101.76</v>
      </c>
      <c r="AS4" s="124">
        <v>1</v>
      </c>
      <c r="AT4" s="124">
        <v>1248.87273</v>
      </c>
      <c r="AU4" s="124">
        <v>1248.87273</v>
      </c>
      <c r="AV4" s="124"/>
      <c r="AW4" s="124"/>
      <c r="AY4" t="s">
        <v>16</v>
      </c>
      <c r="AZ4" s="125">
        <v>1.8734243947999999E-2</v>
      </c>
      <c r="BA4" s="125">
        <f>AT4/'סכום נכסים'!$B$30</f>
        <v>2.2484618536295099E-4</v>
      </c>
    </row>
    <row r="5" spans="1:53" x14ac:dyDescent="0.3">
      <c r="A5">
        <v>13908</v>
      </c>
      <c r="B5">
        <v>13908</v>
      </c>
      <c r="E5" t="s">
        <v>2995</v>
      </c>
      <c r="F5">
        <v>11021130</v>
      </c>
      <c r="G5" t="s">
        <v>241</v>
      </c>
      <c r="H5" t="s">
        <v>789</v>
      </c>
      <c r="I5" t="s">
        <v>52</v>
      </c>
      <c r="K5" t="s">
        <v>138</v>
      </c>
      <c r="L5" t="s">
        <v>61</v>
      </c>
      <c r="M5" t="s">
        <v>61</v>
      </c>
      <c r="O5" s="127">
        <v>45657</v>
      </c>
      <c r="P5" t="s">
        <v>290</v>
      </c>
      <c r="Q5" t="s">
        <v>290</v>
      </c>
      <c r="R5" t="s">
        <v>290</v>
      </c>
      <c r="S5" t="s">
        <v>1258</v>
      </c>
      <c r="T5" s="126">
        <v>1.04</v>
      </c>
      <c r="U5" t="s">
        <v>2896</v>
      </c>
      <c r="V5" s="125">
        <v>9.2499999999999999E-2</v>
      </c>
      <c r="Y5" s="125"/>
      <c r="Z5" s="125">
        <v>9.6699999999999994E-2</v>
      </c>
      <c r="AA5" s="127">
        <v>46599</v>
      </c>
      <c r="AB5" t="s">
        <v>606</v>
      </c>
      <c r="AD5" s="142"/>
      <c r="AE5" s="125"/>
      <c r="AF5" s="127">
        <v>45493</v>
      </c>
      <c r="AJ5" t="s">
        <v>54</v>
      </c>
      <c r="AK5" t="s">
        <v>749</v>
      </c>
      <c r="AM5" t="s">
        <v>297</v>
      </c>
      <c r="AN5" s="127">
        <v>46203</v>
      </c>
      <c r="AO5" s="127">
        <v>46203</v>
      </c>
      <c r="AP5" s="125"/>
      <c r="AQ5" s="124">
        <v>3078571</v>
      </c>
      <c r="AR5" s="124">
        <v>99.71</v>
      </c>
      <c r="AS5" s="124">
        <v>1</v>
      </c>
      <c r="AT5" s="124">
        <v>3069.6431400000001</v>
      </c>
      <c r="AU5" s="124">
        <v>3069.6431400000001</v>
      </c>
      <c r="AV5" s="124"/>
      <c r="AW5" s="124"/>
      <c r="AY5" t="s">
        <v>16</v>
      </c>
      <c r="AZ5" s="125">
        <v>4.6047481089000003E-2</v>
      </c>
      <c r="BA5" s="125">
        <f>AT5/'סכום נכסים'!$B$30</f>
        <v>5.5265643477902734E-4</v>
      </c>
    </row>
    <row r="6" spans="1:53" x14ac:dyDescent="0.3">
      <c r="A6">
        <v>13908</v>
      </c>
      <c r="B6">
        <v>13908</v>
      </c>
      <c r="E6" t="s">
        <v>2996</v>
      </c>
      <c r="F6">
        <v>11021131</v>
      </c>
      <c r="G6" t="s">
        <v>241</v>
      </c>
      <c r="I6" t="s">
        <v>52</v>
      </c>
      <c r="K6" t="s">
        <v>1212</v>
      </c>
      <c r="L6" t="s">
        <v>61</v>
      </c>
      <c r="M6" t="s">
        <v>61</v>
      </c>
      <c r="O6" s="127">
        <v>45657</v>
      </c>
      <c r="P6" t="s">
        <v>290</v>
      </c>
      <c r="Q6" t="s">
        <v>290</v>
      </c>
      <c r="R6" t="s">
        <v>290</v>
      </c>
      <c r="S6" t="s">
        <v>1258</v>
      </c>
      <c r="T6" s="126">
        <v>1.5</v>
      </c>
      <c r="U6" t="s">
        <v>432</v>
      </c>
      <c r="V6" s="125">
        <v>0.107</v>
      </c>
      <c r="Y6" s="125"/>
      <c r="Z6" s="125">
        <v>4.4999999999999998E-2</v>
      </c>
      <c r="AA6" s="127">
        <v>47223</v>
      </c>
      <c r="AB6" t="s">
        <v>606</v>
      </c>
      <c r="AD6" s="142"/>
      <c r="AE6" s="125"/>
      <c r="AF6" s="127"/>
      <c r="AJ6" t="s">
        <v>54</v>
      </c>
      <c r="AK6" t="s">
        <v>749</v>
      </c>
      <c r="AM6" t="s">
        <v>297</v>
      </c>
      <c r="AN6" s="127">
        <v>46203</v>
      </c>
      <c r="AO6" s="127">
        <v>46203</v>
      </c>
      <c r="AP6" s="125"/>
      <c r="AQ6" s="124">
        <v>1302000</v>
      </c>
      <c r="AR6" s="124">
        <v>102.78</v>
      </c>
      <c r="AS6" s="124">
        <v>1</v>
      </c>
      <c r="AT6" s="124">
        <v>1338.1956</v>
      </c>
      <c r="AU6" s="124">
        <v>1338.1956</v>
      </c>
      <c r="AV6" s="124"/>
      <c r="AW6" s="124"/>
      <c r="AY6" t="s">
        <v>16</v>
      </c>
      <c r="AZ6" s="125">
        <v>2.0074169462999999E-2</v>
      </c>
      <c r="BA6" s="125">
        <f>AT6/'סכום נכסים'!$B$30</f>
        <v>2.4092781330046768E-4</v>
      </c>
    </row>
    <row r="7" spans="1:53" x14ac:dyDescent="0.3">
      <c r="A7">
        <v>13908</v>
      </c>
      <c r="B7">
        <v>13908</v>
      </c>
      <c r="E7" t="s">
        <v>2997</v>
      </c>
      <c r="F7">
        <v>11021161</v>
      </c>
      <c r="G7" t="s">
        <v>241</v>
      </c>
      <c r="I7" t="s">
        <v>52</v>
      </c>
      <c r="K7" t="s">
        <v>1212</v>
      </c>
      <c r="L7" t="s">
        <v>61</v>
      </c>
      <c r="M7" t="s">
        <v>61</v>
      </c>
      <c r="O7" s="127">
        <v>46111</v>
      </c>
      <c r="P7" t="s">
        <v>290</v>
      </c>
      <c r="Q7" t="s">
        <v>290</v>
      </c>
      <c r="R7" t="s">
        <v>290</v>
      </c>
      <c r="S7" t="s">
        <v>1258</v>
      </c>
      <c r="T7" s="126">
        <v>2.88</v>
      </c>
      <c r="U7" t="s">
        <v>432</v>
      </c>
      <c r="V7" s="125">
        <v>0.10100000000000001</v>
      </c>
      <c r="Y7" s="125"/>
      <c r="Z7" s="125">
        <v>9.6000000000000002E-2</v>
      </c>
      <c r="AA7" s="127">
        <v>47937</v>
      </c>
      <c r="AB7" t="s">
        <v>607</v>
      </c>
      <c r="AD7" s="142"/>
      <c r="AE7" s="125"/>
      <c r="AF7" s="127"/>
      <c r="AJ7" t="s">
        <v>54</v>
      </c>
      <c r="AK7" t="s">
        <v>749</v>
      </c>
      <c r="AM7" t="s">
        <v>297</v>
      </c>
      <c r="AN7" s="127">
        <v>46203</v>
      </c>
      <c r="AO7" s="127">
        <v>46203</v>
      </c>
      <c r="AP7" s="125"/>
      <c r="AQ7" s="124">
        <v>1700000</v>
      </c>
      <c r="AR7" s="124">
        <v>102.31</v>
      </c>
      <c r="AS7" s="124">
        <v>1</v>
      </c>
      <c r="AT7" s="124">
        <v>1739.27</v>
      </c>
      <c r="AU7" s="124">
        <v>1739.27</v>
      </c>
      <c r="AV7" s="124"/>
      <c r="AW7" s="124"/>
      <c r="AY7" t="s">
        <v>16</v>
      </c>
      <c r="AZ7" s="125">
        <v>2.6090655748E-2</v>
      </c>
      <c r="BA7" s="125">
        <f>AT7/'סכום נכסים'!$B$30</f>
        <v>3.1313697178432244E-4</v>
      </c>
    </row>
    <row r="8" spans="1:53" x14ac:dyDescent="0.3">
      <c r="A8">
        <v>13908</v>
      </c>
      <c r="B8">
        <v>13908</v>
      </c>
      <c r="E8" t="s">
        <v>2998</v>
      </c>
      <c r="F8">
        <v>11022433</v>
      </c>
      <c r="G8" t="s">
        <v>241</v>
      </c>
      <c r="H8" t="s">
        <v>812</v>
      </c>
      <c r="I8" t="s">
        <v>52</v>
      </c>
      <c r="K8" t="s">
        <v>620</v>
      </c>
      <c r="L8" t="s">
        <v>61</v>
      </c>
      <c r="M8" t="s">
        <v>61</v>
      </c>
      <c r="O8" s="127">
        <v>45657</v>
      </c>
      <c r="P8" t="s">
        <v>290</v>
      </c>
      <c r="Q8" t="s">
        <v>290</v>
      </c>
      <c r="R8" t="s">
        <v>290</v>
      </c>
      <c r="S8" t="s">
        <v>1258</v>
      </c>
      <c r="T8" s="126">
        <v>0.65</v>
      </c>
      <c r="U8" t="s">
        <v>2896</v>
      </c>
      <c r="V8" s="125">
        <v>0.11</v>
      </c>
      <c r="Y8" s="125"/>
      <c r="Z8" s="125">
        <v>0.15029999999999999</v>
      </c>
      <c r="AA8" s="127">
        <v>46445</v>
      </c>
      <c r="AB8" t="s">
        <v>606</v>
      </c>
      <c r="AD8" s="142"/>
      <c r="AE8" s="125"/>
      <c r="AF8" s="127"/>
      <c r="AJ8" t="s">
        <v>54</v>
      </c>
      <c r="AK8" t="s">
        <v>749</v>
      </c>
      <c r="AM8" t="s">
        <v>297</v>
      </c>
      <c r="AN8" s="127">
        <v>46203</v>
      </c>
      <c r="AO8" s="127">
        <v>46203</v>
      </c>
      <c r="AP8" s="125"/>
      <c r="AQ8" s="124">
        <v>-0.03</v>
      </c>
      <c r="AR8" s="124">
        <v>98.05</v>
      </c>
      <c r="AS8" s="124">
        <v>1</v>
      </c>
      <c r="AT8" s="124">
        <v>-3.0000000000000001E-5</v>
      </c>
      <c r="AU8" s="124">
        <v>-3.0000000000000001E-5</v>
      </c>
      <c r="AV8" s="124"/>
      <c r="AW8" s="124"/>
      <c r="AY8" t="s">
        <v>16</v>
      </c>
      <c r="AZ8" s="125">
        <v>-4.50027696932106E-10</v>
      </c>
      <c r="BA8" s="125">
        <f>AT8/'סכום נכסים'!$B$30</f>
        <v>-5.4011793186392414E-12</v>
      </c>
    </row>
    <row r="9" spans="1:53" x14ac:dyDescent="0.3">
      <c r="A9">
        <v>13908</v>
      </c>
      <c r="B9">
        <v>13908</v>
      </c>
      <c r="E9" t="s">
        <v>2999</v>
      </c>
      <c r="F9">
        <v>11022434</v>
      </c>
      <c r="G9" t="s">
        <v>241</v>
      </c>
      <c r="H9" t="s">
        <v>812</v>
      </c>
      <c r="I9" t="s">
        <v>52</v>
      </c>
      <c r="K9" t="s">
        <v>138</v>
      </c>
      <c r="L9" t="s">
        <v>61</v>
      </c>
      <c r="M9" t="s">
        <v>61</v>
      </c>
      <c r="O9" s="127">
        <v>45657</v>
      </c>
      <c r="P9" t="s">
        <v>290</v>
      </c>
      <c r="Q9" t="s">
        <v>290</v>
      </c>
      <c r="R9" t="s">
        <v>290</v>
      </c>
      <c r="S9" t="s">
        <v>1258</v>
      </c>
      <c r="T9" s="126">
        <v>1.04</v>
      </c>
      <c r="U9" t="s">
        <v>2896</v>
      </c>
      <c r="V9" s="125">
        <v>9.2499999999999999E-2</v>
      </c>
      <c r="Y9" s="125"/>
      <c r="Z9" s="125">
        <v>0.12509999999999999</v>
      </c>
      <c r="AA9" s="127">
        <v>46599</v>
      </c>
      <c r="AB9" t="s">
        <v>606</v>
      </c>
      <c r="AD9" s="142"/>
      <c r="AE9" s="125"/>
      <c r="AF9" s="127">
        <v>45493</v>
      </c>
      <c r="AJ9" t="s">
        <v>54</v>
      </c>
      <c r="AK9" t="s">
        <v>749</v>
      </c>
      <c r="AM9" t="s">
        <v>297</v>
      </c>
      <c r="AN9" s="127">
        <v>46203</v>
      </c>
      <c r="AO9" s="127">
        <v>46203</v>
      </c>
      <c r="AP9" s="125"/>
      <c r="AQ9" s="124">
        <v>1231429</v>
      </c>
      <c r="AR9" s="124">
        <v>97.38</v>
      </c>
      <c r="AS9" s="124">
        <v>1</v>
      </c>
      <c r="AT9" s="124">
        <v>1199.1655599999999</v>
      </c>
      <c r="AU9" s="124">
        <v>1199.1655599999999</v>
      </c>
      <c r="AV9" s="124"/>
      <c r="AW9" s="124"/>
      <c r="AY9" t="s">
        <v>16</v>
      </c>
      <c r="AZ9" s="125">
        <v>1.7988590506000001E-2</v>
      </c>
      <c r="BA9" s="125">
        <f>AT9/'סכום נכסים'!$B$30</f>
        <v>2.1589694074321478E-4</v>
      </c>
    </row>
    <row r="10" spans="1:53" x14ac:dyDescent="0.3">
      <c r="A10">
        <v>13908</v>
      </c>
      <c r="B10">
        <v>13908</v>
      </c>
      <c r="E10" t="s">
        <v>3000</v>
      </c>
      <c r="F10">
        <v>11022435</v>
      </c>
      <c r="G10" t="s">
        <v>241</v>
      </c>
      <c r="H10" t="s">
        <v>800</v>
      </c>
      <c r="I10" t="s">
        <v>52</v>
      </c>
      <c r="K10" t="s">
        <v>138</v>
      </c>
      <c r="L10" t="s">
        <v>61</v>
      </c>
      <c r="M10" t="s">
        <v>61</v>
      </c>
      <c r="O10" s="127">
        <v>45665</v>
      </c>
      <c r="P10" t="s">
        <v>290</v>
      </c>
      <c r="Q10" t="s">
        <v>290</v>
      </c>
      <c r="R10" t="s">
        <v>290</v>
      </c>
      <c r="S10" t="s">
        <v>1258</v>
      </c>
      <c r="T10" s="126">
        <v>2.92</v>
      </c>
      <c r="U10" t="s">
        <v>2896</v>
      </c>
      <c r="V10" s="125">
        <v>3.7999999999999999E-2</v>
      </c>
      <c r="Y10" s="125"/>
      <c r="Z10" s="125">
        <v>7.5499999999999998E-2</v>
      </c>
      <c r="AA10" s="127">
        <v>47269</v>
      </c>
      <c r="AB10" t="s">
        <v>607</v>
      </c>
      <c r="AD10" s="142"/>
      <c r="AE10" s="125"/>
      <c r="AF10" s="127"/>
      <c r="AJ10" t="s">
        <v>61</v>
      </c>
      <c r="AK10" t="s">
        <v>749</v>
      </c>
      <c r="AM10" t="s">
        <v>297</v>
      </c>
      <c r="AN10" s="127">
        <v>46203</v>
      </c>
      <c r="AO10" s="127">
        <v>46203</v>
      </c>
      <c r="AP10" s="125"/>
      <c r="AQ10" s="124">
        <v>74343.09</v>
      </c>
      <c r="AR10" s="124">
        <v>100.7</v>
      </c>
      <c r="AS10" s="124">
        <v>1</v>
      </c>
      <c r="AT10" s="124">
        <v>74.863489999999999</v>
      </c>
      <c r="AU10" s="124">
        <v>74.863489999999999</v>
      </c>
      <c r="AV10" s="124"/>
      <c r="AW10" s="124"/>
      <c r="AY10" t="s">
        <v>16</v>
      </c>
      <c r="AZ10" s="125">
        <v>1.123021466E-3</v>
      </c>
      <c r="BA10" s="125">
        <f>AT10/'סכום נכסים'!$B$30</f>
        <v>1.3478371130305187E-5</v>
      </c>
    </row>
    <row r="11" spans="1:53" x14ac:dyDescent="0.3">
      <c r="A11">
        <v>13908</v>
      </c>
      <c r="B11">
        <v>13908</v>
      </c>
      <c r="E11" t="s">
        <v>3001</v>
      </c>
      <c r="F11">
        <v>11022458</v>
      </c>
      <c r="G11" t="s">
        <v>241</v>
      </c>
      <c r="I11" t="s">
        <v>52</v>
      </c>
      <c r="K11" t="s">
        <v>620</v>
      </c>
      <c r="L11" t="s">
        <v>61</v>
      </c>
      <c r="M11" t="s">
        <v>61</v>
      </c>
      <c r="O11" s="127">
        <v>45739</v>
      </c>
      <c r="P11" t="s">
        <v>290</v>
      </c>
      <c r="Q11" t="s">
        <v>290</v>
      </c>
      <c r="R11" t="s">
        <v>290</v>
      </c>
      <c r="S11" t="s">
        <v>1258</v>
      </c>
      <c r="T11" s="126">
        <v>1.61</v>
      </c>
      <c r="U11" t="s">
        <v>2896</v>
      </c>
      <c r="V11" s="125">
        <v>0.1</v>
      </c>
      <c r="Y11" s="125"/>
      <c r="Z11" s="125">
        <v>0.1358</v>
      </c>
      <c r="AA11" s="127">
        <v>46835</v>
      </c>
      <c r="AB11" t="s">
        <v>607</v>
      </c>
      <c r="AD11" s="142"/>
      <c r="AE11" s="125"/>
      <c r="AF11" s="127"/>
      <c r="AJ11" t="s">
        <v>54</v>
      </c>
      <c r="AK11" t="s">
        <v>749</v>
      </c>
      <c r="AM11" t="s">
        <v>297</v>
      </c>
      <c r="AN11" s="127">
        <v>46203</v>
      </c>
      <c r="AO11" s="127">
        <v>46203</v>
      </c>
      <c r="AP11" s="125"/>
      <c r="AQ11" s="124">
        <v>6250000</v>
      </c>
      <c r="AR11" s="124">
        <v>95.74</v>
      </c>
      <c r="AS11" s="124">
        <v>1</v>
      </c>
      <c r="AT11" s="124">
        <v>5983.75</v>
      </c>
      <c r="AU11" s="124">
        <v>5983.75</v>
      </c>
      <c r="AV11" s="124"/>
      <c r="AW11" s="124"/>
      <c r="AY11" t="s">
        <v>16</v>
      </c>
      <c r="AZ11" s="125">
        <v>8.9761774382999995E-2</v>
      </c>
      <c r="BA11" s="125">
        <f>AT11/'סכום נכסים'!$B$30</f>
        <v>1.0773102249302519E-3</v>
      </c>
    </row>
    <row r="12" spans="1:53" x14ac:dyDescent="0.3">
      <c r="A12">
        <v>13908</v>
      </c>
      <c r="B12">
        <v>13908</v>
      </c>
      <c r="E12" t="s">
        <v>3002</v>
      </c>
      <c r="F12">
        <v>11022460</v>
      </c>
      <c r="G12" t="s">
        <v>241</v>
      </c>
      <c r="H12" t="s">
        <v>800</v>
      </c>
      <c r="I12" t="s">
        <v>52</v>
      </c>
      <c r="K12" t="s">
        <v>138</v>
      </c>
      <c r="L12" t="s">
        <v>61</v>
      </c>
      <c r="M12" t="s">
        <v>61</v>
      </c>
      <c r="O12" s="127">
        <v>45741</v>
      </c>
      <c r="P12" t="s">
        <v>290</v>
      </c>
      <c r="Q12" t="s">
        <v>290</v>
      </c>
      <c r="R12" t="s">
        <v>290</v>
      </c>
      <c r="S12" t="s">
        <v>1258</v>
      </c>
      <c r="T12" s="126">
        <v>2.92</v>
      </c>
      <c r="U12" t="s">
        <v>2896</v>
      </c>
      <c r="V12" s="125">
        <v>0.09</v>
      </c>
      <c r="Y12" s="125"/>
      <c r="Z12" s="125">
        <v>0.1108</v>
      </c>
      <c r="AA12" s="127">
        <v>47269</v>
      </c>
      <c r="AB12" t="s">
        <v>607</v>
      </c>
      <c r="AD12" s="142"/>
      <c r="AE12" s="125"/>
      <c r="AF12" s="127"/>
      <c r="AJ12" t="s">
        <v>61</v>
      </c>
      <c r="AK12" t="s">
        <v>749</v>
      </c>
      <c r="AM12" t="s">
        <v>297</v>
      </c>
      <c r="AN12" s="127">
        <v>46203</v>
      </c>
      <c r="AO12" s="127">
        <v>46203</v>
      </c>
      <c r="AP12" s="125"/>
      <c r="AQ12" s="124">
        <v>530769.23</v>
      </c>
      <c r="AR12" s="124">
        <v>95.92</v>
      </c>
      <c r="AS12" s="124">
        <v>1</v>
      </c>
      <c r="AT12" s="124">
        <v>509.11385000000001</v>
      </c>
      <c r="AU12" s="124">
        <v>509.11385000000001</v>
      </c>
      <c r="AV12" s="124"/>
      <c r="AW12" s="124"/>
      <c r="AY12" t="s">
        <v>16</v>
      </c>
      <c r="AZ12" s="125">
        <v>7.6371777790000001E-3</v>
      </c>
      <c r="BA12" s="125">
        <f>AT12/'סכום נכסים'!$B$30</f>
        <v>9.1660506581760034E-5</v>
      </c>
    </row>
    <row r="13" spans="1:53" x14ac:dyDescent="0.3">
      <c r="A13">
        <v>13908</v>
      </c>
      <c r="B13">
        <v>13908</v>
      </c>
      <c r="E13" t="s">
        <v>3003</v>
      </c>
      <c r="F13">
        <v>11022466</v>
      </c>
      <c r="G13" t="s">
        <v>241</v>
      </c>
      <c r="I13" t="s">
        <v>52</v>
      </c>
      <c r="K13" t="s">
        <v>154</v>
      </c>
      <c r="L13" t="s">
        <v>61</v>
      </c>
      <c r="M13" t="s">
        <v>61</v>
      </c>
      <c r="O13" s="127">
        <v>45748</v>
      </c>
      <c r="P13" t="s">
        <v>290</v>
      </c>
      <c r="Q13" t="s">
        <v>290</v>
      </c>
      <c r="R13" t="s">
        <v>290</v>
      </c>
      <c r="S13" t="s">
        <v>1258</v>
      </c>
      <c r="T13" s="126">
        <v>2.92</v>
      </c>
      <c r="U13" t="s">
        <v>432</v>
      </c>
      <c r="V13" s="125">
        <v>5.7500000000000002E-2</v>
      </c>
      <c r="Y13" s="125"/>
      <c r="Z13" s="125">
        <v>2.1000000000000001E-2</v>
      </c>
      <c r="AA13" s="127">
        <v>47269</v>
      </c>
      <c r="AB13" t="s">
        <v>607</v>
      </c>
      <c r="AD13" s="142"/>
      <c r="AE13" s="125"/>
      <c r="AF13" s="127"/>
      <c r="AJ13" t="s">
        <v>54</v>
      </c>
      <c r="AK13" t="s">
        <v>749</v>
      </c>
      <c r="AM13" t="s">
        <v>297</v>
      </c>
      <c r="AN13" s="127">
        <v>46203</v>
      </c>
      <c r="AO13" s="127">
        <v>46203</v>
      </c>
      <c r="AP13" s="125"/>
      <c r="AQ13" s="124">
        <v>2957142.85</v>
      </c>
      <c r="AR13" s="124">
        <v>99.7</v>
      </c>
      <c r="AS13" s="124">
        <v>1</v>
      </c>
      <c r="AT13" s="124">
        <v>2948.27142</v>
      </c>
      <c r="AU13" s="124">
        <v>2948.27142</v>
      </c>
      <c r="AV13" s="124"/>
      <c r="AW13" s="124"/>
      <c r="AY13" t="s">
        <v>16</v>
      </c>
      <c r="AZ13" s="125">
        <v>4.4226793234999999E-2</v>
      </c>
      <c r="BA13" s="125">
        <f>AT13/'סכום נכסים'!$B$30</f>
        <v>5.3080475398130497E-4</v>
      </c>
    </row>
    <row r="14" spans="1:53" x14ac:dyDescent="0.3">
      <c r="A14">
        <v>13908</v>
      </c>
      <c r="B14">
        <v>13908</v>
      </c>
      <c r="E14" t="s">
        <v>3004</v>
      </c>
      <c r="F14">
        <v>11022468</v>
      </c>
      <c r="G14" t="s">
        <v>241</v>
      </c>
      <c r="I14" t="s">
        <v>52</v>
      </c>
      <c r="K14" t="s">
        <v>1212</v>
      </c>
      <c r="L14" t="s">
        <v>61</v>
      </c>
      <c r="M14" t="s">
        <v>61</v>
      </c>
      <c r="O14" s="127">
        <v>45755</v>
      </c>
      <c r="P14" t="s">
        <v>290</v>
      </c>
      <c r="Q14" t="s">
        <v>290</v>
      </c>
      <c r="R14" t="s">
        <v>290</v>
      </c>
      <c r="S14" t="s">
        <v>1258</v>
      </c>
      <c r="T14" s="126">
        <v>2.1</v>
      </c>
      <c r="U14" t="s">
        <v>432</v>
      </c>
      <c r="V14" s="125">
        <v>0.10100000000000001</v>
      </c>
      <c r="Y14" s="125"/>
      <c r="Z14" s="125">
        <v>0.12620000000000001</v>
      </c>
      <c r="AA14" s="127">
        <v>47580</v>
      </c>
      <c r="AB14" t="s">
        <v>606</v>
      </c>
      <c r="AD14" s="142"/>
      <c r="AE14" s="125"/>
      <c r="AF14" s="127"/>
      <c r="AJ14" t="s">
        <v>54</v>
      </c>
      <c r="AK14" t="s">
        <v>749</v>
      </c>
      <c r="AM14" t="s">
        <v>297</v>
      </c>
      <c r="AN14" s="127">
        <v>46203</v>
      </c>
      <c r="AO14" s="127">
        <v>46203</v>
      </c>
      <c r="AP14" s="125"/>
      <c r="AQ14" s="124">
        <v>1302000</v>
      </c>
      <c r="AR14" s="124">
        <v>97.65</v>
      </c>
      <c r="AS14" s="124">
        <v>1</v>
      </c>
      <c r="AT14" s="124">
        <v>1271.403</v>
      </c>
      <c r="AU14" s="124">
        <v>1271.403</v>
      </c>
      <c r="AV14" s="124"/>
      <c r="AW14" s="124"/>
      <c r="AY14" t="s">
        <v>16</v>
      </c>
      <c r="AZ14" s="125">
        <v>1.9072218798000001E-2</v>
      </c>
      <c r="BA14" s="125">
        <f>AT14/'סכום נכסים'!$B$30</f>
        <v>2.2890251964186292E-4</v>
      </c>
    </row>
    <row r="15" spans="1:53" x14ac:dyDescent="0.3">
      <c r="A15">
        <v>13908</v>
      </c>
      <c r="B15">
        <v>13908</v>
      </c>
      <c r="E15" t="s">
        <v>3005</v>
      </c>
      <c r="F15">
        <v>11022473</v>
      </c>
      <c r="G15" t="s">
        <v>241</v>
      </c>
      <c r="H15" t="s">
        <v>800</v>
      </c>
      <c r="I15" t="s">
        <v>52</v>
      </c>
      <c r="K15" t="s">
        <v>138</v>
      </c>
      <c r="L15" t="s">
        <v>61</v>
      </c>
      <c r="M15" t="s">
        <v>61</v>
      </c>
      <c r="O15" s="127">
        <v>45781</v>
      </c>
      <c r="P15" t="s">
        <v>290</v>
      </c>
      <c r="Q15" t="s">
        <v>290</v>
      </c>
      <c r="R15" t="s">
        <v>290</v>
      </c>
      <c r="S15" t="s">
        <v>1258</v>
      </c>
      <c r="T15" s="126">
        <v>3.17</v>
      </c>
      <c r="U15" t="s">
        <v>2896</v>
      </c>
      <c r="V15" s="125">
        <v>0.09</v>
      </c>
      <c r="Y15" s="125"/>
      <c r="Z15" s="125">
        <v>3.8899999999999997E-2</v>
      </c>
      <c r="AA15" s="127">
        <v>47269</v>
      </c>
      <c r="AB15" t="s">
        <v>607</v>
      </c>
      <c r="AD15" s="142"/>
      <c r="AE15" s="125"/>
      <c r="AF15" s="127"/>
      <c r="AJ15" t="s">
        <v>61</v>
      </c>
      <c r="AK15" t="s">
        <v>749</v>
      </c>
      <c r="AM15" t="s">
        <v>297</v>
      </c>
      <c r="AN15" s="127">
        <v>46203</v>
      </c>
      <c r="AO15" s="127">
        <v>46203</v>
      </c>
      <c r="AP15" s="125"/>
      <c r="AQ15" s="124">
        <v>815665.03</v>
      </c>
      <c r="AR15" s="124">
        <v>99.97</v>
      </c>
      <c r="AS15" s="124">
        <v>1</v>
      </c>
      <c r="AT15" s="124">
        <v>815.42033000000004</v>
      </c>
      <c r="AU15" s="124">
        <v>815.42033000000004</v>
      </c>
      <c r="AV15" s="124"/>
      <c r="AW15" s="124"/>
      <c r="AY15" t="s">
        <v>16</v>
      </c>
      <c r="AZ15" s="125">
        <v>1.2232057770999999E-2</v>
      </c>
      <c r="BA15" s="125">
        <f>AT15/'סכום נכסים'!$B$30</f>
        <v>1.4680771407979951E-4</v>
      </c>
    </row>
    <row r="16" spans="1:53" x14ac:dyDescent="0.3">
      <c r="A16">
        <v>13908</v>
      </c>
      <c r="B16">
        <v>13908</v>
      </c>
      <c r="E16" t="s">
        <v>3006</v>
      </c>
      <c r="F16">
        <v>11022481</v>
      </c>
      <c r="G16" t="s">
        <v>241</v>
      </c>
      <c r="H16" t="s">
        <v>789</v>
      </c>
      <c r="I16" t="s">
        <v>52</v>
      </c>
      <c r="K16" t="s">
        <v>138</v>
      </c>
      <c r="L16" t="s">
        <v>61</v>
      </c>
      <c r="M16" t="s">
        <v>61</v>
      </c>
      <c r="O16" s="127">
        <v>45803</v>
      </c>
      <c r="P16" t="s">
        <v>290</v>
      </c>
      <c r="Q16" t="s">
        <v>290</v>
      </c>
      <c r="R16" t="s">
        <v>290</v>
      </c>
      <c r="S16" t="s">
        <v>1258</v>
      </c>
      <c r="T16" s="126">
        <v>1.82</v>
      </c>
      <c r="U16" t="s">
        <v>2896</v>
      </c>
      <c r="V16" s="125">
        <v>0.1085</v>
      </c>
      <c r="Y16" s="125"/>
      <c r="Z16" s="125">
        <v>9.9699999999999997E-2</v>
      </c>
      <c r="AA16" s="127">
        <v>46936</v>
      </c>
      <c r="AB16" t="s">
        <v>606</v>
      </c>
      <c r="AD16" s="142"/>
      <c r="AE16" s="125"/>
      <c r="AF16" s="127">
        <v>45443</v>
      </c>
      <c r="AJ16" t="s">
        <v>54</v>
      </c>
      <c r="AK16" t="s">
        <v>749</v>
      </c>
      <c r="AM16" t="s">
        <v>297</v>
      </c>
      <c r="AN16" s="127">
        <v>46203</v>
      </c>
      <c r="AO16" s="127">
        <v>46203</v>
      </c>
      <c r="AP16" s="125"/>
      <c r="AQ16" s="124">
        <v>1227272.73</v>
      </c>
      <c r="AR16" s="124">
        <v>94.62</v>
      </c>
      <c r="AS16" s="124">
        <v>1</v>
      </c>
      <c r="AT16" s="124">
        <v>1161.2454600000001</v>
      </c>
      <c r="AU16" s="124">
        <v>1161.2454600000001</v>
      </c>
      <c r="AV16" s="124"/>
      <c r="AW16" s="124"/>
      <c r="AY16" t="s">
        <v>16</v>
      </c>
      <c r="AZ16" s="125">
        <v>1.7419753997E-2</v>
      </c>
      <c r="BA16" s="125">
        <f>AT16/'סכום נכסים'!$B$30</f>
        <v>2.0906983208052375E-4</v>
      </c>
    </row>
    <row r="17" spans="1:53" x14ac:dyDescent="0.3">
      <c r="A17">
        <v>13908</v>
      </c>
      <c r="B17">
        <v>13908</v>
      </c>
      <c r="E17" t="s">
        <v>3007</v>
      </c>
      <c r="F17">
        <v>11022535</v>
      </c>
      <c r="G17" t="s">
        <v>241</v>
      </c>
      <c r="I17" t="s">
        <v>52</v>
      </c>
      <c r="K17" t="s">
        <v>1212</v>
      </c>
      <c r="L17" t="s">
        <v>61</v>
      </c>
      <c r="M17" t="s">
        <v>61</v>
      </c>
      <c r="O17" s="127">
        <v>45959</v>
      </c>
      <c r="P17" t="s">
        <v>290</v>
      </c>
      <c r="Q17" t="s">
        <v>290</v>
      </c>
      <c r="R17" t="s">
        <v>290</v>
      </c>
      <c r="S17" t="s">
        <v>1258</v>
      </c>
      <c r="T17" s="126">
        <v>3.64</v>
      </c>
      <c r="U17" t="s">
        <v>432</v>
      </c>
      <c r="V17" s="125">
        <v>0.09</v>
      </c>
      <c r="Y17" s="125"/>
      <c r="Z17" s="125">
        <v>0.1067</v>
      </c>
      <c r="AA17" s="127">
        <v>47788</v>
      </c>
      <c r="AB17" t="s">
        <v>606</v>
      </c>
      <c r="AD17" s="142"/>
      <c r="AE17" s="125"/>
      <c r="AF17" s="127"/>
      <c r="AJ17" t="s">
        <v>54</v>
      </c>
      <c r="AK17" t="s">
        <v>749</v>
      </c>
      <c r="AM17" t="s">
        <v>297</v>
      </c>
      <c r="AN17" s="127">
        <v>46203</v>
      </c>
      <c r="AO17" s="127">
        <v>46203</v>
      </c>
      <c r="AP17" s="125"/>
      <c r="AQ17" s="124">
        <v>3400000</v>
      </c>
      <c r="AR17" s="124">
        <v>99.97</v>
      </c>
      <c r="AS17" s="124">
        <v>1</v>
      </c>
      <c r="AT17" s="124">
        <v>3398.98</v>
      </c>
      <c r="AU17" s="124">
        <v>3398.98</v>
      </c>
      <c r="AV17" s="124"/>
      <c r="AW17" s="124"/>
      <c r="AY17" t="s">
        <v>16</v>
      </c>
      <c r="AZ17" s="125">
        <v>5.0987838043E-2</v>
      </c>
      <c r="BA17" s="125">
        <f>AT17/'סכום נכסים'!$B$30</f>
        <v>6.1195001601561363E-4</v>
      </c>
    </row>
    <row r="18" spans="1:53" x14ac:dyDescent="0.3">
      <c r="A18">
        <v>13908</v>
      </c>
      <c r="B18">
        <v>13908</v>
      </c>
      <c r="E18" t="s">
        <v>3008</v>
      </c>
      <c r="F18">
        <v>11022536</v>
      </c>
      <c r="G18" t="s">
        <v>241</v>
      </c>
      <c r="H18" t="s">
        <v>812</v>
      </c>
      <c r="I18" t="s">
        <v>52</v>
      </c>
      <c r="K18" t="s">
        <v>138</v>
      </c>
      <c r="L18" t="s">
        <v>61</v>
      </c>
      <c r="M18" t="s">
        <v>61</v>
      </c>
      <c r="O18" s="127">
        <v>45960</v>
      </c>
      <c r="P18" t="s">
        <v>290</v>
      </c>
      <c r="Q18" t="s">
        <v>290</v>
      </c>
      <c r="R18" t="s">
        <v>290</v>
      </c>
      <c r="S18" t="s">
        <v>1258</v>
      </c>
      <c r="T18" s="126">
        <v>2.09</v>
      </c>
      <c r="U18" t="s">
        <v>2896</v>
      </c>
      <c r="V18" s="125">
        <v>9.4E-2</v>
      </c>
      <c r="Y18" s="125"/>
      <c r="Z18" s="125">
        <v>0.11749999999999999</v>
      </c>
      <c r="AA18" s="127">
        <v>47056</v>
      </c>
      <c r="AB18" t="s">
        <v>607</v>
      </c>
      <c r="AD18" s="142"/>
      <c r="AE18" s="125"/>
      <c r="AF18" s="127"/>
      <c r="AJ18" t="s">
        <v>54</v>
      </c>
      <c r="AK18" t="s">
        <v>749</v>
      </c>
      <c r="AM18" t="s">
        <v>297</v>
      </c>
      <c r="AN18" s="127">
        <v>46203</v>
      </c>
      <c r="AO18" s="127">
        <v>46203</v>
      </c>
      <c r="AP18" s="125"/>
      <c r="AQ18" s="124">
        <v>4000000</v>
      </c>
      <c r="AR18" s="124">
        <v>96.9</v>
      </c>
      <c r="AS18" s="124">
        <v>1</v>
      </c>
      <c r="AT18" s="124">
        <v>3876</v>
      </c>
      <c r="AU18" s="124">
        <v>3876</v>
      </c>
      <c r="AV18" s="124"/>
      <c r="AW18" s="124"/>
      <c r="AY18" t="s">
        <v>16</v>
      </c>
      <c r="AZ18" s="125">
        <v>5.8143578442999999E-2</v>
      </c>
      <c r="BA18" s="125">
        <f>AT18/'סכום נכסים'!$B$30</f>
        <v>6.9783236796819E-4</v>
      </c>
    </row>
    <row r="19" spans="1:53" x14ac:dyDescent="0.3">
      <c r="A19">
        <v>13908</v>
      </c>
      <c r="B19">
        <v>13908</v>
      </c>
      <c r="E19" t="s">
        <v>3009</v>
      </c>
      <c r="F19">
        <v>11022540</v>
      </c>
      <c r="G19" t="s">
        <v>241</v>
      </c>
      <c r="I19" t="s">
        <v>52</v>
      </c>
      <c r="K19" t="s">
        <v>1212</v>
      </c>
      <c r="L19" t="s">
        <v>61</v>
      </c>
      <c r="M19" t="s">
        <v>61</v>
      </c>
      <c r="O19" s="127">
        <v>45971</v>
      </c>
      <c r="P19" t="s">
        <v>290</v>
      </c>
      <c r="Q19" t="s">
        <v>290</v>
      </c>
      <c r="R19" t="s">
        <v>290</v>
      </c>
      <c r="S19" t="s">
        <v>1258</v>
      </c>
      <c r="T19" s="126">
        <v>2.1</v>
      </c>
      <c r="U19" t="s">
        <v>432</v>
      </c>
      <c r="V19" s="125">
        <v>0.107</v>
      </c>
      <c r="Y19" s="125"/>
      <c r="Z19" s="125">
        <v>0.12189999999999999</v>
      </c>
      <c r="AA19" s="127">
        <v>47580</v>
      </c>
      <c r="AB19" t="s">
        <v>606</v>
      </c>
      <c r="AD19" s="142"/>
      <c r="AE19" s="125"/>
      <c r="AF19" s="127"/>
      <c r="AJ19" t="s">
        <v>54</v>
      </c>
      <c r="AK19" t="s">
        <v>749</v>
      </c>
      <c r="AM19" t="s">
        <v>297</v>
      </c>
      <c r="AN19" s="127">
        <v>46203</v>
      </c>
      <c r="AO19" s="127">
        <v>46203</v>
      </c>
      <c r="AP19" s="125"/>
      <c r="AQ19" s="124">
        <v>1302000</v>
      </c>
      <c r="AR19" s="124">
        <v>98.42</v>
      </c>
      <c r="AS19" s="124">
        <v>1</v>
      </c>
      <c r="AT19" s="124">
        <v>1281.4284</v>
      </c>
      <c r="AU19" s="124">
        <v>1281.4284</v>
      </c>
      <c r="AV19" s="124"/>
      <c r="AW19" s="124"/>
      <c r="AY19" t="s">
        <v>16</v>
      </c>
      <c r="AZ19" s="125">
        <v>1.9222609054000001E-2</v>
      </c>
      <c r="BA19" s="125">
        <f>AT19/'סכום נכסים'!$B$30</f>
        <v>2.3070748574656577E-4</v>
      </c>
    </row>
    <row r="20" spans="1:53" x14ac:dyDescent="0.3">
      <c r="A20">
        <v>13908</v>
      </c>
      <c r="B20">
        <v>13908</v>
      </c>
      <c r="E20" t="s">
        <v>3010</v>
      </c>
      <c r="F20">
        <v>11022552</v>
      </c>
      <c r="G20" t="s">
        <v>241</v>
      </c>
      <c r="I20" t="s">
        <v>52</v>
      </c>
      <c r="K20" t="s">
        <v>138</v>
      </c>
      <c r="L20" t="s">
        <v>61</v>
      </c>
      <c r="M20" t="s">
        <v>61</v>
      </c>
      <c r="O20" s="127">
        <v>46021</v>
      </c>
      <c r="P20" t="s">
        <v>290</v>
      </c>
      <c r="Q20" t="s">
        <v>290</v>
      </c>
      <c r="R20" t="s">
        <v>290</v>
      </c>
      <c r="S20" t="s">
        <v>1258</v>
      </c>
      <c r="T20" s="126">
        <v>7.5</v>
      </c>
      <c r="U20" t="s">
        <v>2896</v>
      </c>
      <c r="V20" s="125">
        <v>0.12</v>
      </c>
      <c r="Y20" s="125"/>
      <c r="Z20" s="125">
        <v>0.1249</v>
      </c>
      <c r="AA20" s="127">
        <v>48939</v>
      </c>
      <c r="AB20" t="s">
        <v>607</v>
      </c>
      <c r="AD20" s="142"/>
      <c r="AE20" s="125"/>
      <c r="AF20" s="127"/>
      <c r="AJ20" t="s">
        <v>61</v>
      </c>
      <c r="AK20" t="s">
        <v>749</v>
      </c>
      <c r="AM20" t="s">
        <v>297</v>
      </c>
      <c r="AN20" s="127">
        <v>46203</v>
      </c>
      <c r="AO20" s="127">
        <v>46203</v>
      </c>
      <c r="AP20" s="125"/>
      <c r="AQ20" s="124">
        <v>769230.77</v>
      </c>
      <c r="AR20" s="124">
        <v>105.38</v>
      </c>
      <c r="AS20" s="124">
        <v>1</v>
      </c>
      <c r="AT20" s="124">
        <v>810.61539000000005</v>
      </c>
      <c r="AU20" s="124">
        <v>810.61539000000005</v>
      </c>
      <c r="AV20" s="124"/>
      <c r="AW20" s="124"/>
      <c r="AY20" t="s">
        <v>16</v>
      </c>
      <c r="AZ20" s="125">
        <v>1.2159979235E-2</v>
      </c>
      <c r="BA20" s="125">
        <f>AT20/'סכום נכסים'!$B$30</f>
        <v>1.4594263599462278E-4</v>
      </c>
    </row>
    <row r="21" spans="1:53" x14ac:dyDescent="0.3">
      <c r="A21">
        <v>13908</v>
      </c>
      <c r="B21">
        <v>13908</v>
      </c>
      <c r="E21" t="s">
        <v>3011</v>
      </c>
      <c r="F21">
        <v>11022553</v>
      </c>
      <c r="G21" t="s">
        <v>241</v>
      </c>
      <c r="H21" t="s">
        <v>800</v>
      </c>
      <c r="I21" t="s">
        <v>52</v>
      </c>
      <c r="K21" t="s">
        <v>138</v>
      </c>
      <c r="L21" t="s">
        <v>61</v>
      </c>
      <c r="M21" t="s">
        <v>61</v>
      </c>
      <c r="O21" s="127">
        <v>46044</v>
      </c>
      <c r="P21" t="s">
        <v>290</v>
      </c>
      <c r="Q21" t="s">
        <v>290</v>
      </c>
      <c r="R21" t="s">
        <v>290</v>
      </c>
      <c r="S21" t="s">
        <v>1258</v>
      </c>
      <c r="T21" s="126">
        <v>4.57</v>
      </c>
      <c r="U21" t="s">
        <v>2896</v>
      </c>
      <c r="V21" s="125">
        <v>3.7999999999999999E-2</v>
      </c>
      <c r="Y21" s="125"/>
      <c r="Z21" s="125">
        <v>4.2599999999999999E-2</v>
      </c>
      <c r="AA21" s="127">
        <v>47870</v>
      </c>
      <c r="AB21" t="s">
        <v>607</v>
      </c>
      <c r="AD21" s="142"/>
      <c r="AE21" s="125"/>
      <c r="AF21" s="127"/>
      <c r="AJ21" t="s">
        <v>54</v>
      </c>
      <c r="AK21" t="s">
        <v>749</v>
      </c>
      <c r="AM21" t="s">
        <v>297</v>
      </c>
      <c r="AN21" s="127">
        <v>46203</v>
      </c>
      <c r="AO21" s="127">
        <v>46203</v>
      </c>
      <c r="AP21" s="125"/>
      <c r="AQ21" s="124">
        <v>3184615.38</v>
      </c>
      <c r="AR21" s="124">
        <v>99.3</v>
      </c>
      <c r="AS21" s="124">
        <v>1</v>
      </c>
      <c r="AT21" s="124">
        <v>3162.3230699999999</v>
      </c>
      <c r="AU21" s="124">
        <v>3162.3230699999999</v>
      </c>
      <c r="AV21" s="124"/>
      <c r="AW21" s="124"/>
      <c r="AY21" t="s">
        <v>16</v>
      </c>
      <c r="AZ21" s="125">
        <v>4.7437765604000003E-2</v>
      </c>
      <c r="BA21" s="125">
        <f>AT21/'סכום נכסים'!$B$30</f>
        <v>5.6934246548465844E-4</v>
      </c>
    </row>
    <row r="22" spans="1:53" x14ac:dyDescent="0.3">
      <c r="A22">
        <v>13908</v>
      </c>
      <c r="B22">
        <v>13908</v>
      </c>
      <c r="E22" t="s">
        <v>3012</v>
      </c>
      <c r="F22">
        <v>11022556</v>
      </c>
      <c r="G22" t="s">
        <v>241</v>
      </c>
      <c r="I22" t="s">
        <v>52</v>
      </c>
      <c r="K22" t="s">
        <v>1211</v>
      </c>
      <c r="L22" t="s">
        <v>61</v>
      </c>
      <c r="M22" t="s">
        <v>61</v>
      </c>
      <c r="O22" s="127">
        <v>46051</v>
      </c>
      <c r="P22" t="s">
        <v>290</v>
      </c>
      <c r="Q22" t="s">
        <v>290</v>
      </c>
      <c r="R22" t="s">
        <v>290</v>
      </c>
      <c r="S22" t="s">
        <v>1258</v>
      </c>
      <c r="T22" s="126">
        <v>4.59</v>
      </c>
      <c r="U22" t="s">
        <v>2896</v>
      </c>
      <c r="V22" s="125">
        <v>8.5000000000000006E-2</v>
      </c>
      <c r="Y22" s="125"/>
      <c r="Z22" s="125">
        <v>8.48E-2</v>
      </c>
      <c r="AA22" s="127">
        <v>47876</v>
      </c>
      <c r="AB22" t="s">
        <v>607</v>
      </c>
      <c r="AD22" s="142"/>
      <c r="AE22" s="125"/>
      <c r="AF22" s="127">
        <v>46049</v>
      </c>
      <c r="AJ22" t="s">
        <v>54</v>
      </c>
      <c r="AK22" t="s">
        <v>749</v>
      </c>
      <c r="AM22" t="s">
        <v>297</v>
      </c>
      <c r="AN22" s="127">
        <v>46203</v>
      </c>
      <c r="AO22" s="127">
        <v>46203</v>
      </c>
      <c r="AP22" s="125"/>
      <c r="AQ22" s="124">
        <v>219496.05</v>
      </c>
      <c r="AR22" s="124">
        <v>102.86</v>
      </c>
      <c r="AS22" s="124">
        <v>1</v>
      </c>
      <c r="AT22" s="124">
        <v>225.77364</v>
      </c>
      <c r="AU22" s="124">
        <v>225.77364</v>
      </c>
      <c r="AV22" s="124"/>
      <c r="AW22" s="124"/>
      <c r="AY22" t="s">
        <v>16</v>
      </c>
      <c r="AZ22" s="125">
        <v>3.3868130410000001E-3</v>
      </c>
      <c r="BA22" s="125">
        <f>AT22/'סכום נכסים'!$B$30</f>
        <v>4.064813050206338E-5</v>
      </c>
    </row>
    <row r="23" spans="1:53" x14ac:dyDescent="0.3">
      <c r="A23">
        <v>13908</v>
      </c>
      <c r="B23">
        <v>13908</v>
      </c>
      <c r="E23" t="s">
        <v>3013</v>
      </c>
      <c r="F23">
        <v>11022808</v>
      </c>
      <c r="G23" t="s">
        <v>241</v>
      </c>
      <c r="I23" t="s">
        <v>52</v>
      </c>
      <c r="K23" t="s">
        <v>1212</v>
      </c>
      <c r="L23" t="s">
        <v>61</v>
      </c>
      <c r="M23" t="s">
        <v>61</v>
      </c>
      <c r="O23" s="127">
        <v>45750</v>
      </c>
      <c r="P23" t="s">
        <v>290</v>
      </c>
      <c r="Q23" t="s">
        <v>290</v>
      </c>
      <c r="R23" t="s">
        <v>290</v>
      </c>
      <c r="S23" t="s">
        <v>1260</v>
      </c>
      <c r="T23" s="126">
        <v>1.95</v>
      </c>
      <c r="U23" t="s">
        <v>432</v>
      </c>
      <c r="V23" s="125">
        <v>5.2499999999999998E-2</v>
      </c>
      <c r="Y23" s="125"/>
      <c r="Z23" s="125">
        <v>4.24E-2</v>
      </c>
      <c r="AA23" s="127">
        <v>47715</v>
      </c>
      <c r="AB23" t="s">
        <v>607</v>
      </c>
      <c r="AD23" s="142"/>
      <c r="AE23" s="125"/>
      <c r="AF23" s="127"/>
      <c r="AJ23" t="s">
        <v>54</v>
      </c>
      <c r="AK23" t="s">
        <v>749</v>
      </c>
      <c r="AM23" t="s">
        <v>297</v>
      </c>
      <c r="AN23" s="127">
        <v>46203</v>
      </c>
      <c r="AO23" s="127">
        <v>46203</v>
      </c>
      <c r="AP23" s="125"/>
      <c r="AQ23" s="124">
        <v>1860388.59</v>
      </c>
      <c r="AR23" s="124">
        <v>98.85</v>
      </c>
      <c r="AS23" s="124">
        <v>2.9780000000000002</v>
      </c>
      <c r="AT23" s="124">
        <v>5476.5244899999998</v>
      </c>
      <c r="AU23" s="124">
        <v>1838.99412021491</v>
      </c>
      <c r="AV23" s="124"/>
      <c r="AW23" s="124"/>
      <c r="AY23" t="s">
        <v>16</v>
      </c>
      <c r="AZ23" s="125">
        <v>8.2152923446999995E-2</v>
      </c>
      <c r="BA23" s="125">
        <f>AT23/'סכום נכסים'!$B$30</f>
        <v>9.8598969378031059E-4</v>
      </c>
    </row>
    <row r="24" spans="1:53" x14ac:dyDescent="0.3">
      <c r="A24">
        <v>13908</v>
      </c>
      <c r="B24">
        <v>13908</v>
      </c>
      <c r="E24" t="s">
        <v>3014</v>
      </c>
      <c r="F24">
        <v>11150015</v>
      </c>
      <c r="G24" t="s">
        <v>241</v>
      </c>
      <c r="I24" t="s">
        <v>52</v>
      </c>
      <c r="K24" t="s">
        <v>1212</v>
      </c>
      <c r="L24" t="s">
        <v>61</v>
      </c>
      <c r="M24" t="s">
        <v>61</v>
      </c>
      <c r="O24" s="127">
        <v>46142</v>
      </c>
      <c r="P24" t="s">
        <v>290</v>
      </c>
      <c r="Q24" t="s">
        <v>290</v>
      </c>
      <c r="R24" t="s">
        <v>290</v>
      </c>
      <c r="S24" t="s">
        <v>1258</v>
      </c>
      <c r="T24" s="126">
        <v>3.82</v>
      </c>
      <c r="U24" t="s">
        <v>432</v>
      </c>
      <c r="V24" s="125">
        <v>0.10100000000000001</v>
      </c>
      <c r="Y24" s="125"/>
      <c r="Z24" s="125">
        <v>0.1056</v>
      </c>
      <c r="AA24" s="127">
        <v>47937</v>
      </c>
      <c r="AB24" t="s">
        <v>607</v>
      </c>
      <c r="AD24" s="142"/>
      <c r="AE24" s="125"/>
      <c r="AF24" s="127">
        <v>46098</v>
      </c>
      <c r="AJ24" t="s">
        <v>54</v>
      </c>
      <c r="AK24" t="s">
        <v>749</v>
      </c>
      <c r="AM24" t="s">
        <v>297</v>
      </c>
      <c r="AN24" s="127">
        <v>46203</v>
      </c>
      <c r="AO24" s="127">
        <v>46203</v>
      </c>
      <c r="AP24" s="125"/>
      <c r="AQ24" s="124">
        <v>1700000</v>
      </c>
      <c r="AR24" s="124">
        <v>101.99</v>
      </c>
      <c r="AS24" s="124">
        <v>1</v>
      </c>
      <c r="AT24" s="124">
        <v>1733.83</v>
      </c>
      <c r="AU24" s="124">
        <v>1733.83</v>
      </c>
      <c r="AV24" s="124"/>
      <c r="AW24" s="124"/>
      <c r="AY24" t="s">
        <v>16</v>
      </c>
      <c r="AZ24" s="125">
        <v>2.6009050725E-2</v>
      </c>
      <c r="BA24" s="125">
        <f>AT24/'סכום נכסים'!$B$30</f>
        <v>3.1215755793454251E-4</v>
      </c>
    </row>
    <row r="25" spans="1:53" x14ac:dyDescent="0.3">
      <c r="A25">
        <v>13908</v>
      </c>
      <c r="B25">
        <v>13908</v>
      </c>
      <c r="E25" t="s">
        <v>3015</v>
      </c>
      <c r="F25">
        <v>11150017</v>
      </c>
      <c r="G25" t="s">
        <v>241</v>
      </c>
      <c r="I25" t="s">
        <v>52</v>
      </c>
      <c r="K25" t="s">
        <v>1212</v>
      </c>
      <c r="L25" t="s">
        <v>61</v>
      </c>
      <c r="M25" t="s">
        <v>61</v>
      </c>
      <c r="O25" s="127">
        <v>46155</v>
      </c>
      <c r="P25" t="s">
        <v>290</v>
      </c>
      <c r="Q25" t="s">
        <v>290</v>
      </c>
      <c r="R25" t="s">
        <v>290</v>
      </c>
      <c r="S25" t="s">
        <v>1265</v>
      </c>
      <c r="T25" s="126">
        <v>4.4000000000000004</v>
      </c>
      <c r="U25" t="s">
        <v>2896</v>
      </c>
      <c r="V25" s="125">
        <v>5.7500000000000002E-2</v>
      </c>
      <c r="Y25" s="125"/>
      <c r="Z25" s="125">
        <v>5.1799999999999999E-2</v>
      </c>
      <c r="AA25" s="127">
        <v>47981</v>
      </c>
      <c r="AB25" t="s">
        <v>607</v>
      </c>
      <c r="AD25" s="142"/>
      <c r="AE25" s="125"/>
      <c r="AF25" s="127">
        <v>46155</v>
      </c>
      <c r="AJ25" t="s">
        <v>54</v>
      </c>
      <c r="AK25" t="s">
        <v>749</v>
      </c>
      <c r="AM25" t="s">
        <v>297</v>
      </c>
      <c r="AN25" s="127">
        <v>46203</v>
      </c>
      <c r="AO25" s="127">
        <v>46203</v>
      </c>
      <c r="AP25" s="125"/>
      <c r="AQ25" s="124">
        <v>193800</v>
      </c>
      <c r="AR25" s="124">
        <v>101.5</v>
      </c>
      <c r="AS25" s="124">
        <v>3.3944999999999999</v>
      </c>
      <c r="AT25" s="124">
        <v>667.72190999999998</v>
      </c>
      <c r="AU25" s="124">
        <v>196.706999558109</v>
      </c>
      <c r="AV25" s="124"/>
      <c r="AW25" s="124"/>
      <c r="AY25" t="s">
        <v>16</v>
      </c>
      <c r="AZ25" s="125">
        <v>1.0016445111E-2</v>
      </c>
      <c r="BA25" s="125">
        <f>AT25/'סכום נכסים'!$B$30</f>
        <v>1.2021619236314309E-4</v>
      </c>
    </row>
    <row r="26" spans="1:53" x14ac:dyDescent="0.3">
      <c r="A26">
        <v>13908</v>
      </c>
      <c r="B26">
        <v>13908</v>
      </c>
      <c r="E26" t="s">
        <v>3016</v>
      </c>
      <c r="F26">
        <v>11150029</v>
      </c>
      <c r="G26" t="s">
        <v>241</v>
      </c>
      <c r="I26" t="s">
        <v>52</v>
      </c>
      <c r="K26" t="s">
        <v>1212</v>
      </c>
      <c r="L26" t="s">
        <v>61</v>
      </c>
      <c r="M26" t="s">
        <v>61</v>
      </c>
      <c r="O26" s="127">
        <v>46198</v>
      </c>
      <c r="P26" t="s">
        <v>290</v>
      </c>
      <c r="Q26" t="s">
        <v>290</v>
      </c>
      <c r="R26" t="s">
        <v>290</v>
      </c>
      <c r="S26" t="s">
        <v>1258</v>
      </c>
      <c r="T26" s="126">
        <v>3.82</v>
      </c>
      <c r="U26" t="s">
        <v>432</v>
      </c>
      <c r="V26" s="125">
        <v>0.10100000000000001</v>
      </c>
      <c r="Y26" s="125"/>
      <c r="Z26" s="125">
        <v>0.1056</v>
      </c>
      <c r="AA26" s="127">
        <v>47937</v>
      </c>
      <c r="AB26" t="s">
        <v>607</v>
      </c>
      <c r="AD26" s="142"/>
      <c r="AE26" s="125"/>
      <c r="AF26" s="127">
        <v>46098</v>
      </c>
      <c r="AJ26" t="s">
        <v>54</v>
      </c>
      <c r="AK26" t="s">
        <v>749</v>
      </c>
      <c r="AM26" t="s">
        <v>297</v>
      </c>
      <c r="AN26" s="127">
        <v>46203</v>
      </c>
      <c r="AO26" s="127">
        <v>46203</v>
      </c>
      <c r="AP26" s="125"/>
      <c r="AQ26" s="124">
        <v>1600000</v>
      </c>
      <c r="AR26" s="124">
        <v>99.75</v>
      </c>
      <c r="AS26" s="124">
        <v>1</v>
      </c>
      <c r="AT26" s="124">
        <v>1596</v>
      </c>
      <c r="AU26" s="124">
        <v>1596</v>
      </c>
      <c r="AV26" s="124"/>
      <c r="AW26" s="124"/>
      <c r="AY26" t="s">
        <v>16</v>
      </c>
      <c r="AZ26" s="125">
        <v>2.3941473476000001E-2</v>
      </c>
      <c r="BA26" s="125">
        <f>AT26/'סכום נכסים'!$B$30</f>
        <v>2.8734273975160763E-4</v>
      </c>
    </row>
    <row r="27" spans="1:53" x14ac:dyDescent="0.3">
      <c r="A27">
        <v>13908</v>
      </c>
      <c r="B27">
        <v>13908</v>
      </c>
      <c r="E27" t="s">
        <v>3017</v>
      </c>
      <c r="F27">
        <v>11021291</v>
      </c>
      <c r="G27" t="s">
        <v>241</v>
      </c>
      <c r="H27" t="s">
        <v>1191</v>
      </c>
      <c r="I27" t="s">
        <v>60</v>
      </c>
      <c r="K27" t="s">
        <v>855</v>
      </c>
      <c r="L27" t="s">
        <v>61</v>
      </c>
      <c r="M27" t="s">
        <v>61</v>
      </c>
      <c r="O27" s="127">
        <v>45657</v>
      </c>
      <c r="P27" t="s">
        <v>1389</v>
      </c>
      <c r="Q27" t="s">
        <v>69</v>
      </c>
      <c r="R27" t="s">
        <v>63</v>
      </c>
      <c r="S27" t="s">
        <v>1260</v>
      </c>
      <c r="T27" s="126">
        <v>1.43</v>
      </c>
      <c r="U27" t="s">
        <v>432</v>
      </c>
      <c r="V27" s="125">
        <v>4.9599999999999998E-2</v>
      </c>
      <c r="Y27" s="125"/>
      <c r="Z27" s="125">
        <v>7.9399999999999998E-2</v>
      </c>
      <c r="AA27" s="127">
        <v>46660</v>
      </c>
      <c r="AB27" t="s">
        <v>606</v>
      </c>
      <c r="AD27" s="142"/>
      <c r="AE27" s="125"/>
      <c r="AF27" s="127"/>
      <c r="AJ27" t="s">
        <v>54</v>
      </c>
      <c r="AK27" t="s">
        <v>749</v>
      </c>
      <c r="AM27" t="s">
        <v>297</v>
      </c>
      <c r="AN27" s="127">
        <v>46203</v>
      </c>
      <c r="AO27" s="127">
        <v>46203</v>
      </c>
      <c r="AP27" s="125"/>
      <c r="AQ27" s="124">
        <v>1620000</v>
      </c>
      <c r="AR27" s="124">
        <v>99.93</v>
      </c>
      <c r="AS27" s="124">
        <v>2.9780000000000002</v>
      </c>
      <c r="AT27" s="124">
        <v>4820.9829499999996</v>
      </c>
      <c r="AU27" s="124">
        <v>1618.86600067159</v>
      </c>
      <c r="AV27" s="124"/>
      <c r="AW27" s="124"/>
      <c r="AY27" t="s">
        <v>16</v>
      </c>
      <c r="AZ27" s="125">
        <v>7.2319195131000005E-2</v>
      </c>
      <c r="BA27" s="125">
        <f>AT27/'סכום נכסים'!$B$30</f>
        <v>8.6796644683507986E-4</v>
      </c>
    </row>
    <row r="28" spans="1:53" x14ac:dyDescent="0.3">
      <c r="A28">
        <v>13908</v>
      </c>
      <c r="B28">
        <v>13908</v>
      </c>
      <c r="E28" t="s">
        <v>3018</v>
      </c>
      <c r="F28">
        <v>11022815</v>
      </c>
      <c r="G28" t="s">
        <v>241</v>
      </c>
      <c r="I28" t="s">
        <v>60</v>
      </c>
      <c r="K28" t="s">
        <v>821</v>
      </c>
      <c r="L28" t="s">
        <v>61</v>
      </c>
      <c r="M28" t="s">
        <v>54</v>
      </c>
      <c r="O28" s="127">
        <v>45775</v>
      </c>
      <c r="P28" t="s">
        <v>1472</v>
      </c>
      <c r="Q28" t="s">
        <v>64</v>
      </c>
      <c r="R28" t="s">
        <v>63</v>
      </c>
      <c r="S28" t="s">
        <v>1260</v>
      </c>
      <c r="T28" s="126">
        <v>2.4900000000000002</v>
      </c>
      <c r="U28" t="s">
        <v>432</v>
      </c>
      <c r="V28" s="125">
        <v>9.6860000000000002E-2</v>
      </c>
      <c r="Y28" s="125"/>
      <c r="Z28" s="125">
        <v>9.2299999999999993E-2</v>
      </c>
      <c r="AA28" s="127">
        <v>46990</v>
      </c>
      <c r="AB28" t="s">
        <v>607</v>
      </c>
      <c r="AD28" s="142"/>
      <c r="AE28" s="125"/>
      <c r="AF28" s="127">
        <v>45108</v>
      </c>
      <c r="AJ28" t="s">
        <v>54</v>
      </c>
      <c r="AK28" t="s">
        <v>749</v>
      </c>
      <c r="AM28" t="s">
        <v>297</v>
      </c>
      <c r="AN28" s="127">
        <v>46203</v>
      </c>
      <c r="AO28" s="127">
        <v>46203</v>
      </c>
      <c r="AP28" s="125"/>
      <c r="AQ28" s="124">
        <v>221805.23</v>
      </c>
      <c r="AR28" s="124">
        <v>97.12</v>
      </c>
      <c r="AS28" s="124">
        <v>2.9780000000000002</v>
      </c>
      <c r="AT28" s="124">
        <v>641.51253999999994</v>
      </c>
      <c r="AU28" s="124">
        <v>215.417239758227</v>
      </c>
      <c r="AV28" s="124"/>
      <c r="AW28" s="124"/>
      <c r="AY28" t="s">
        <v>16</v>
      </c>
      <c r="AZ28" s="125">
        <v>9.623280364E-3</v>
      </c>
      <c r="BA28" s="125">
        <f>AT28/'סכום נכסים'!$B$30</f>
        <v>1.1549747545652429E-4</v>
      </c>
    </row>
    <row r="29" spans="1:53" x14ac:dyDescent="0.3">
      <c r="A29">
        <v>13908</v>
      </c>
      <c r="B29">
        <v>13908</v>
      </c>
      <c r="E29" t="s">
        <v>3019</v>
      </c>
      <c r="F29">
        <v>11022822</v>
      </c>
      <c r="G29" t="s">
        <v>241</v>
      </c>
      <c r="I29" t="s">
        <v>60</v>
      </c>
      <c r="K29" t="s">
        <v>821</v>
      </c>
      <c r="L29" t="s">
        <v>61</v>
      </c>
      <c r="M29" t="s">
        <v>54</v>
      </c>
      <c r="O29" s="127">
        <v>45804</v>
      </c>
      <c r="P29" t="s">
        <v>1472</v>
      </c>
      <c r="Q29" t="s">
        <v>64</v>
      </c>
      <c r="R29" t="s">
        <v>63</v>
      </c>
      <c r="S29" t="s">
        <v>1260</v>
      </c>
      <c r="T29" s="143">
        <v>0</v>
      </c>
      <c r="U29" t="s">
        <v>432</v>
      </c>
      <c r="V29" s="125">
        <v>9.6860000000000002E-2</v>
      </c>
      <c r="Y29" s="125"/>
      <c r="Z29" s="125">
        <v>7.7799999999999994E-2</v>
      </c>
      <c r="AA29" s="127">
        <v>46990</v>
      </c>
      <c r="AB29" t="s">
        <v>607</v>
      </c>
      <c r="AD29" s="142"/>
      <c r="AE29" s="125"/>
      <c r="AF29" s="127"/>
      <c r="AJ29" t="s">
        <v>54</v>
      </c>
      <c r="AK29" t="s">
        <v>749</v>
      </c>
      <c r="AM29" t="s">
        <v>297</v>
      </c>
      <c r="AN29" s="127">
        <v>46203</v>
      </c>
      <c r="AO29" s="127">
        <v>46203</v>
      </c>
      <c r="AP29" s="125"/>
      <c r="AQ29" s="124">
        <v>-0.09</v>
      </c>
      <c r="AR29" s="124">
        <v>100</v>
      </c>
      <c r="AS29" s="124">
        <v>2.9780000000000002</v>
      </c>
      <c r="AT29" s="124">
        <v>-2.7E-4</v>
      </c>
      <c r="AU29" s="124">
        <v>-9.0664875755540594E-5</v>
      </c>
      <c r="AV29" s="124"/>
      <c r="AW29" s="124"/>
      <c r="AY29" t="s">
        <v>16</v>
      </c>
      <c r="AZ29" s="125">
        <v>-4.0502492723889601E-9</v>
      </c>
      <c r="BA29" s="125">
        <f>AT29/'סכום נכסים'!$B$30</f>
        <v>-4.8610613867753174E-11</v>
      </c>
    </row>
    <row r="30" spans="1:53" x14ac:dyDescent="0.3">
      <c r="A30">
        <v>13908</v>
      </c>
      <c r="B30">
        <v>13908</v>
      </c>
      <c r="E30" t="s">
        <v>3020</v>
      </c>
      <c r="F30">
        <v>11022869</v>
      </c>
      <c r="G30" t="s">
        <v>241</v>
      </c>
      <c r="I30" t="s">
        <v>60</v>
      </c>
      <c r="K30" t="s">
        <v>821</v>
      </c>
      <c r="L30" t="s">
        <v>61</v>
      </c>
      <c r="M30" t="s">
        <v>54</v>
      </c>
      <c r="O30" s="127">
        <v>46042</v>
      </c>
      <c r="P30" t="s">
        <v>2897</v>
      </c>
      <c r="Q30" t="s">
        <v>64</v>
      </c>
      <c r="R30" t="s">
        <v>752</v>
      </c>
      <c r="S30" t="s">
        <v>1260</v>
      </c>
      <c r="T30" s="126">
        <v>2.66</v>
      </c>
      <c r="U30" t="s">
        <v>432</v>
      </c>
      <c r="V30" s="125">
        <v>7.9100000000000004E-2</v>
      </c>
      <c r="Y30" s="125"/>
      <c r="Z30" s="125">
        <v>8.9499999999999996E-2</v>
      </c>
      <c r="AA30" s="127">
        <v>48599</v>
      </c>
      <c r="AB30" t="s">
        <v>607</v>
      </c>
      <c r="AD30" s="142"/>
      <c r="AE30" s="125"/>
      <c r="AF30" s="127">
        <v>46041</v>
      </c>
      <c r="AJ30" t="s">
        <v>54</v>
      </c>
      <c r="AK30" t="s">
        <v>749</v>
      </c>
      <c r="AM30" t="s">
        <v>297</v>
      </c>
      <c r="AN30" s="127">
        <v>46203</v>
      </c>
      <c r="AO30" s="127">
        <v>46203</v>
      </c>
      <c r="AP30" s="125"/>
      <c r="AQ30" s="124">
        <v>4522222.22</v>
      </c>
      <c r="AR30" s="124">
        <v>98.29</v>
      </c>
      <c r="AS30" s="124">
        <v>2.9780000000000002</v>
      </c>
      <c r="AT30" s="124">
        <v>13236.88903</v>
      </c>
      <c r="AU30" s="124">
        <v>4444.8922196104804</v>
      </c>
      <c r="AV30" s="124"/>
      <c r="AW30" s="124"/>
      <c r="AY30" t="s">
        <v>16</v>
      </c>
      <c r="AZ30" s="125">
        <v>0.198565556157</v>
      </c>
      <c r="BA30" s="125">
        <f>AT30/'סכום נכסים'!$B$30</f>
        <v>2.3831603757319552E-3</v>
      </c>
    </row>
    <row r="31" spans="1:53" x14ac:dyDescent="0.3">
      <c r="A31">
        <v>13908</v>
      </c>
      <c r="B31">
        <v>13908</v>
      </c>
      <c r="E31" t="s">
        <v>3021</v>
      </c>
      <c r="F31">
        <v>11150010</v>
      </c>
      <c r="G31" t="s">
        <v>241</v>
      </c>
      <c r="I31" t="s">
        <v>60</v>
      </c>
      <c r="K31" t="s">
        <v>1093</v>
      </c>
      <c r="L31" t="s">
        <v>61</v>
      </c>
      <c r="M31" t="s">
        <v>61</v>
      </c>
      <c r="O31" s="127">
        <v>46126</v>
      </c>
      <c r="P31" t="s">
        <v>290</v>
      </c>
      <c r="Q31" t="s">
        <v>290</v>
      </c>
      <c r="R31" t="s">
        <v>290</v>
      </c>
      <c r="S31" t="s">
        <v>1260</v>
      </c>
      <c r="T31" s="126">
        <v>3.77</v>
      </c>
      <c r="U31" t="s">
        <v>2896</v>
      </c>
      <c r="V31" s="125">
        <v>0.1</v>
      </c>
      <c r="Y31" s="125"/>
      <c r="Z31" s="125">
        <v>0.105</v>
      </c>
      <c r="AA31" s="127">
        <v>47952</v>
      </c>
      <c r="AB31" t="s">
        <v>606</v>
      </c>
      <c r="AD31" s="124"/>
      <c r="AE31" s="125"/>
      <c r="AF31" s="127"/>
      <c r="AJ31" t="s">
        <v>54</v>
      </c>
      <c r="AK31" t="s">
        <v>749</v>
      </c>
      <c r="AM31" t="s">
        <v>297</v>
      </c>
      <c r="AN31" s="127">
        <v>46203</v>
      </c>
      <c r="AO31" s="127">
        <v>46203</v>
      </c>
      <c r="AP31" s="125"/>
      <c r="AQ31" s="124">
        <v>1000000</v>
      </c>
      <c r="AR31" s="124">
        <v>101.91</v>
      </c>
      <c r="AS31" s="124">
        <v>2.9780000000000002</v>
      </c>
      <c r="AT31" s="124">
        <v>3034.8798000000002</v>
      </c>
      <c r="AU31" s="124">
        <v>1019.1</v>
      </c>
      <c r="AV31" s="124"/>
      <c r="AW31" s="124"/>
      <c r="AY31" t="s">
        <v>16</v>
      </c>
      <c r="AZ31" s="125">
        <v>4.5525998895000003E-2</v>
      </c>
      <c r="BA31" s="125">
        <f>AT31/'סכום נכסים'!$B$30</f>
        <v>5.4639766701053329E-4</v>
      </c>
    </row>
    <row r="32" spans="1:53" x14ac:dyDescent="0.3">
      <c r="E32" s="1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workbookViewId="0"/>
  </sheetViews>
  <sheetFormatPr defaultColWidth="0" defaultRowHeight="14" x14ac:dyDescent="0.3"/>
  <cols>
    <col min="1" max="2" width="10.58203125" bestFit="1" customWidth="1"/>
    <col min="3" max="3" width="14" bestFit="1" customWidth="1"/>
    <col min="4" max="4" width="23.4140625" bestFit="1" customWidth="1"/>
    <col min="5" max="5" width="10.4140625" bestFit="1" customWidth="1"/>
    <col min="6" max="6" width="14" bestFit="1" customWidth="1"/>
    <col min="7" max="7" width="9.4140625" bestFit="1" customWidth="1"/>
    <col min="8" max="8" width="9.1640625" bestFit="1" customWidth="1"/>
    <col min="9" max="9" width="22.4140625" bestFit="1" customWidth="1"/>
    <col min="10" max="10" width="10" bestFit="1" customWidth="1"/>
    <col min="11" max="11" width="9.25" bestFit="1" customWidth="1"/>
    <col min="12" max="12" width="11" bestFit="1" customWidth="1"/>
    <col min="13" max="13" width="8.1640625" bestFit="1" customWidth="1"/>
    <col min="14" max="14" width="11.58203125" customWidth="1"/>
    <col min="15" max="15" width="5" bestFit="1" customWidth="1"/>
    <col min="16" max="16" width="8.1640625" bestFit="1" customWidth="1"/>
    <col min="17" max="17" width="11.58203125" bestFit="1" customWidth="1"/>
    <col min="18" max="18" width="11.25" bestFit="1" customWidth="1"/>
    <col min="19" max="19" width="5.58203125" bestFit="1" customWidth="1"/>
    <col min="20" max="20" width="10.58203125" bestFit="1" customWidth="1"/>
    <col min="21" max="21" width="7.1640625" bestFit="1" customWidth="1"/>
    <col min="22" max="22" width="13.75" bestFit="1" customWidth="1"/>
    <col min="23" max="23" width="7.83203125" bestFit="1" customWidth="1"/>
    <col min="24" max="24" width="11" bestFit="1" customWidth="1"/>
    <col min="25" max="25" width="12.75" bestFit="1" customWidth="1"/>
    <col min="26" max="26" width="5.83203125" bestFit="1" customWidth="1"/>
    <col min="27" max="27" width="8.4140625" bestFit="1" customWidth="1"/>
    <col min="28" max="28" width="10.83203125" bestFit="1" customWidth="1"/>
    <col min="29" max="29" width="11.1640625" bestFit="1" customWidth="1"/>
    <col min="30" max="30" width="10" bestFit="1" customWidth="1"/>
    <col min="31" max="16384" width="9" hidden="1"/>
  </cols>
  <sheetData>
    <row r="1" spans="1:30" s="2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593</v>
      </c>
      <c r="M1" s="13" t="s">
        <v>9</v>
      </c>
      <c r="N1" s="13" t="s">
        <v>11</v>
      </c>
      <c r="O1" s="13" t="s">
        <v>5</v>
      </c>
      <c r="P1" s="13" t="s">
        <v>7</v>
      </c>
      <c r="Q1" s="13" t="s">
        <v>1098</v>
      </c>
      <c r="R1" s="13" t="s">
        <v>387</v>
      </c>
      <c r="S1" s="13" t="s">
        <v>12</v>
      </c>
      <c r="T1" s="13" t="s">
        <v>13</v>
      </c>
      <c r="U1" s="13" t="s">
        <v>608</v>
      </c>
      <c r="V1" s="13" t="s">
        <v>876</v>
      </c>
      <c r="W1" s="13" t="s">
        <v>363</v>
      </c>
      <c r="X1" s="13" t="s">
        <v>15</v>
      </c>
      <c r="Y1" s="13" t="s">
        <v>747</v>
      </c>
      <c r="Z1" s="13" t="s">
        <v>10</v>
      </c>
      <c r="AA1" s="13" t="s">
        <v>14</v>
      </c>
      <c r="AB1" s="13" t="s">
        <v>1105</v>
      </c>
      <c r="AC1" s="13" t="s">
        <v>18</v>
      </c>
      <c r="AD1" s="13" t="s">
        <v>29</v>
      </c>
    </row>
    <row r="2" spans="1:30" x14ac:dyDescent="0.3">
      <c r="A2">
        <v>13908</v>
      </c>
      <c r="B2">
        <v>13908</v>
      </c>
      <c r="C2" t="s">
        <v>2898</v>
      </c>
      <c r="D2" t="s">
        <v>2899</v>
      </c>
      <c r="E2" t="s">
        <v>421</v>
      </c>
      <c r="F2" t="s">
        <v>2898</v>
      </c>
      <c r="G2">
        <v>62012463</v>
      </c>
      <c r="H2" t="s">
        <v>77</v>
      </c>
      <c r="I2" t="s">
        <v>653</v>
      </c>
      <c r="J2" t="s">
        <v>60</v>
      </c>
      <c r="K2" t="s">
        <v>306</v>
      </c>
      <c r="L2" t="s">
        <v>61</v>
      </c>
      <c r="M2" t="s">
        <v>101</v>
      </c>
      <c r="N2" s="127">
        <v>45657</v>
      </c>
      <c r="O2" t="s">
        <v>2900</v>
      </c>
      <c r="P2" t="s">
        <v>95</v>
      </c>
      <c r="Q2" t="s">
        <v>56</v>
      </c>
      <c r="R2" t="s">
        <v>1260</v>
      </c>
      <c r="S2" s="126">
        <v>9.94</v>
      </c>
      <c r="T2" s="125">
        <v>7.9500000000000001E-2</v>
      </c>
      <c r="U2" s="125">
        <v>7.1760000000000004E-2</v>
      </c>
      <c r="V2" t="s">
        <v>295</v>
      </c>
      <c r="W2" t="s">
        <v>297</v>
      </c>
      <c r="X2" s="127">
        <v>46203</v>
      </c>
      <c r="Y2" s="124">
        <v>1103000</v>
      </c>
      <c r="Z2" s="124">
        <v>2.9780000000000002</v>
      </c>
      <c r="AA2" s="124">
        <v>113.2137</v>
      </c>
      <c r="AB2" s="124">
        <v>3718.7689</v>
      </c>
      <c r="AC2" s="125">
        <v>1</v>
      </c>
      <c r="AD2" s="125">
        <f>AB2/'סכום נכסים'!$B$30</f>
        <v>6.6952458911596002E-4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4"/>
  <sheetViews>
    <sheetView rightToLeft="1" zoomScale="85" zoomScaleNormal="85" workbookViewId="0">
      <selection activeCell="O2" sqref="O2:O6"/>
    </sheetView>
  </sheetViews>
  <sheetFormatPr defaultColWidth="0" defaultRowHeight="14" x14ac:dyDescent="0.3"/>
  <cols>
    <col min="1" max="2" width="10.58203125" bestFit="1" customWidth="1"/>
    <col min="3" max="3" width="27.1640625" bestFit="1" customWidth="1"/>
    <col min="4" max="4" width="10.75" bestFit="1" customWidth="1"/>
    <col min="5" max="5" width="9.1640625" bestFit="1" customWidth="1"/>
    <col min="6" max="6" width="24.58203125" bestFit="1" customWidth="1"/>
    <col min="7" max="7" width="10.75" bestFit="1" customWidth="1"/>
    <col min="8" max="8" width="10" bestFit="1" customWidth="1"/>
    <col min="9" max="9" width="9.25" bestFit="1" customWidth="1"/>
    <col min="10" max="10" width="11" bestFit="1" customWidth="1"/>
    <col min="11" max="11" width="9.58203125" bestFit="1" customWidth="1"/>
    <col min="12" max="12" width="10.1640625" bestFit="1" customWidth="1"/>
    <col min="13" max="13" width="11.25" bestFit="1" customWidth="1"/>
    <col min="14" max="14" width="5.58203125" bestFit="1" customWidth="1"/>
    <col min="15" max="15" width="10.58203125" bestFit="1" customWidth="1"/>
    <col min="16" max="16" width="7.1640625" bestFit="1" customWidth="1"/>
    <col min="17" max="17" width="12.75" bestFit="1" customWidth="1"/>
    <col min="18" max="18" width="9.83203125" bestFit="1" customWidth="1"/>
    <col min="19" max="19" width="10" bestFit="1" customWidth="1"/>
    <col min="20" max="21" width="11.1640625" bestFit="1" customWidth="1"/>
    <col min="22" max="22" width="10" bestFit="1" customWidth="1"/>
    <col min="23" max="16384" width="9" hidden="1"/>
  </cols>
  <sheetData>
    <row r="1" spans="1:22" s="2" customFormat="1" ht="52" x14ac:dyDescent="0.3">
      <c r="A1" s="13" t="s">
        <v>636</v>
      </c>
      <c r="B1" s="13" t="s">
        <v>0</v>
      </c>
      <c r="C1" s="13" t="s">
        <v>702</v>
      </c>
      <c r="D1" s="13" t="s">
        <v>720</v>
      </c>
      <c r="E1" s="13" t="s">
        <v>721</v>
      </c>
      <c r="F1" s="13" t="s">
        <v>1</v>
      </c>
      <c r="G1" s="13" t="s">
        <v>611</v>
      </c>
      <c r="H1" s="13" t="s">
        <v>591</v>
      </c>
      <c r="I1" s="13" t="s">
        <v>592</v>
      </c>
      <c r="J1" s="13" t="s">
        <v>593</v>
      </c>
      <c r="K1" s="13" t="s">
        <v>746</v>
      </c>
      <c r="L1" s="13" t="s">
        <v>7</v>
      </c>
      <c r="M1" s="13" t="s">
        <v>387</v>
      </c>
      <c r="N1" s="13" t="s">
        <v>12</v>
      </c>
      <c r="O1" s="13" t="s">
        <v>13</v>
      </c>
      <c r="P1" s="13" t="s">
        <v>608</v>
      </c>
      <c r="Q1" s="13" t="s">
        <v>881</v>
      </c>
      <c r="R1" s="13" t="s">
        <v>10</v>
      </c>
      <c r="S1" s="13" t="s">
        <v>765</v>
      </c>
      <c r="T1" s="13" t="s">
        <v>1105</v>
      </c>
      <c r="U1" s="13" t="s">
        <v>18</v>
      </c>
      <c r="V1" s="13" t="s">
        <v>29</v>
      </c>
    </row>
    <row r="2" spans="1:22" x14ac:dyDescent="0.3">
      <c r="A2">
        <v>13908</v>
      </c>
      <c r="B2">
        <v>13908</v>
      </c>
      <c r="C2" t="s">
        <v>1256</v>
      </c>
      <c r="D2">
        <v>31</v>
      </c>
      <c r="E2" t="s">
        <v>750</v>
      </c>
      <c r="F2" t="s">
        <v>224</v>
      </c>
      <c r="G2" s="127">
        <v>46321</v>
      </c>
      <c r="H2" t="s">
        <v>52</v>
      </c>
      <c r="I2" t="s">
        <v>52</v>
      </c>
      <c r="J2" t="s">
        <v>61</v>
      </c>
      <c r="K2" t="s">
        <v>1257</v>
      </c>
      <c r="L2" t="s">
        <v>64</v>
      </c>
      <c r="M2" t="s">
        <v>1258</v>
      </c>
      <c r="N2" s="126">
        <v>0.32300000000000001</v>
      </c>
      <c r="O2" s="125"/>
      <c r="P2" s="125">
        <v>3.5799999999999998E-2</v>
      </c>
      <c r="Q2" s="124">
        <v>431850</v>
      </c>
      <c r="R2" s="124">
        <v>1</v>
      </c>
      <c r="S2">
        <v>100</v>
      </c>
      <c r="T2" s="124">
        <v>43197.955499999996</v>
      </c>
      <c r="U2" s="125">
        <v>0.20120151119400001</v>
      </c>
      <c r="V2" s="125">
        <f>T2/'סכום נכסים'!$B$30</f>
        <v>7.7773301284699411E-3</v>
      </c>
    </row>
    <row r="3" spans="1:22" x14ac:dyDescent="0.3">
      <c r="A3">
        <v>13908</v>
      </c>
      <c r="B3">
        <v>13908</v>
      </c>
      <c r="C3" t="s">
        <v>1256</v>
      </c>
      <c r="D3">
        <v>31</v>
      </c>
      <c r="E3" t="s">
        <v>750</v>
      </c>
      <c r="F3" t="s">
        <v>224</v>
      </c>
      <c r="G3" s="127">
        <v>46277</v>
      </c>
      <c r="H3" t="s">
        <v>52</v>
      </c>
      <c r="I3" t="s">
        <v>52</v>
      </c>
      <c r="J3" t="s">
        <v>61</v>
      </c>
      <c r="K3" t="s">
        <v>1257</v>
      </c>
      <c r="L3" t="s">
        <v>64</v>
      </c>
      <c r="M3" t="s">
        <v>1258</v>
      </c>
      <c r="N3" s="126">
        <v>0.20300000000000001</v>
      </c>
      <c r="O3" s="125"/>
      <c r="P3" s="125">
        <v>3.5000000000000003E-2</v>
      </c>
      <c r="Q3" s="124">
        <v>1000000</v>
      </c>
      <c r="R3" s="124">
        <v>1</v>
      </c>
      <c r="S3">
        <v>100</v>
      </c>
      <c r="T3" s="124">
        <v>100620</v>
      </c>
      <c r="U3" s="125">
        <v>0.46865403286000001</v>
      </c>
      <c r="V3" s="125">
        <f>T3/'סכום נכסים'!$B$30</f>
        <v>1.8115555434716015E-2</v>
      </c>
    </row>
    <row r="4" spans="1:22" x14ac:dyDescent="0.3">
      <c r="A4">
        <v>13908</v>
      </c>
      <c r="B4">
        <v>13908</v>
      </c>
      <c r="C4" t="s">
        <v>1256</v>
      </c>
      <c r="D4">
        <v>31</v>
      </c>
      <c r="E4" t="s">
        <v>750</v>
      </c>
      <c r="F4" t="s">
        <v>224</v>
      </c>
      <c r="G4" s="127">
        <v>46212</v>
      </c>
      <c r="H4" t="s">
        <v>52</v>
      </c>
      <c r="I4" t="s">
        <v>52</v>
      </c>
      <c r="J4" t="s">
        <v>61</v>
      </c>
      <c r="K4" t="s">
        <v>1257</v>
      </c>
      <c r="L4" t="s">
        <v>64</v>
      </c>
      <c r="M4" t="s">
        <v>1258</v>
      </c>
      <c r="N4" s="126">
        <v>2.5000000000000001E-2</v>
      </c>
      <c r="O4" s="125"/>
      <c r="P4" s="125">
        <v>3.95E-2</v>
      </c>
      <c r="Q4" s="124">
        <v>700000</v>
      </c>
      <c r="R4" s="124">
        <v>1</v>
      </c>
      <c r="S4">
        <v>100</v>
      </c>
      <c r="T4" s="124">
        <v>70882</v>
      </c>
      <c r="U4" s="125">
        <v>0.33014445594500003</v>
      </c>
      <c r="V4" s="125">
        <f>T4/'סכום נכסים'!$B$30</f>
        <v>1.2761546415459556E-2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4"/>
  <sheetViews>
    <sheetView rightToLeft="1" topLeftCell="H1" zoomScale="70" zoomScaleNormal="70" workbookViewId="0">
      <selection activeCell="T1" sqref="T1"/>
    </sheetView>
  </sheetViews>
  <sheetFormatPr defaultColWidth="0" defaultRowHeight="14" x14ac:dyDescent="0.3"/>
  <cols>
    <col min="1" max="2" width="10.58203125" bestFit="1" customWidth="1"/>
    <col min="3" max="3" width="19.83203125" bestFit="1" customWidth="1"/>
    <col min="4" max="5" width="11.4140625" bestFit="1" customWidth="1"/>
    <col min="6" max="6" width="11" bestFit="1" customWidth="1"/>
    <col min="7" max="7" width="11.58203125" customWidth="1"/>
    <col min="8" max="8" width="18.58203125" bestFit="1" customWidth="1"/>
    <col min="9" max="9" width="13.58203125" bestFit="1" customWidth="1"/>
    <col min="10" max="10" width="59.83203125" bestFit="1" customWidth="1"/>
    <col min="11" max="11" width="7.1640625" bestFit="1" customWidth="1"/>
    <col min="12" max="12" width="11.25" bestFit="1" customWidth="1"/>
    <col min="13" max="13" width="14.25" bestFit="1" customWidth="1"/>
    <col min="14" max="14" width="30.75" bestFit="1" customWidth="1"/>
    <col min="15" max="15" width="7.83203125" bestFit="1" customWidth="1"/>
    <col min="16" max="16" width="11" bestFit="1" customWidth="1"/>
    <col min="17" max="17" width="11.25" bestFit="1" customWidth="1"/>
    <col min="18" max="18" width="10.1640625" bestFit="1" customWidth="1"/>
    <col min="19" max="20" width="10.83203125" bestFit="1" customWidth="1"/>
    <col min="21" max="21" width="8.1640625" bestFit="1" customWidth="1"/>
    <col min="22" max="22" width="10.1640625" bestFit="1" customWidth="1"/>
    <col min="23" max="23" width="11.1640625" bestFit="1" customWidth="1"/>
    <col min="24" max="24" width="10" bestFit="1" customWidth="1"/>
    <col min="25" max="16384" width="9" hidden="1"/>
  </cols>
  <sheetData>
    <row r="1" spans="1:24" s="2" customFormat="1" ht="65" x14ac:dyDescent="0.3">
      <c r="A1" s="13" t="s">
        <v>636</v>
      </c>
      <c r="B1" s="13" t="s">
        <v>0</v>
      </c>
      <c r="C1" s="13" t="s">
        <v>291</v>
      </c>
      <c r="D1" s="13" t="s">
        <v>1</v>
      </c>
      <c r="E1" s="13" t="s">
        <v>755</v>
      </c>
      <c r="F1" s="13" t="s">
        <v>593</v>
      </c>
      <c r="G1" s="13" t="s">
        <v>11</v>
      </c>
      <c r="H1" s="13" t="s">
        <v>23</v>
      </c>
      <c r="I1" s="13" t="s">
        <v>279</v>
      </c>
      <c r="J1" s="13" t="s">
        <v>24</v>
      </c>
      <c r="K1" s="13" t="s">
        <v>902</v>
      </c>
      <c r="L1" s="13" t="s">
        <v>1101</v>
      </c>
      <c r="M1" s="13" t="s">
        <v>876</v>
      </c>
      <c r="N1" s="13" t="s">
        <v>710</v>
      </c>
      <c r="O1" s="13" t="s">
        <v>363</v>
      </c>
      <c r="P1" s="13" t="s">
        <v>15</v>
      </c>
      <c r="Q1" s="13" t="s">
        <v>387</v>
      </c>
      <c r="R1" s="13" t="s">
        <v>759</v>
      </c>
      <c r="S1" s="13" t="s">
        <v>1105</v>
      </c>
      <c r="T1" s="13" t="s">
        <v>1106</v>
      </c>
      <c r="U1" s="13" t="s">
        <v>760</v>
      </c>
      <c r="V1" s="13" t="s">
        <v>25</v>
      </c>
      <c r="W1" s="13" t="s">
        <v>18</v>
      </c>
      <c r="X1" s="13" t="s">
        <v>29</v>
      </c>
    </row>
    <row r="2" spans="1:24" x14ac:dyDescent="0.3">
      <c r="A2">
        <v>13908</v>
      </c>
      <c r="B2">
        <v>13908</v>
      </c>
      <c r="C2" t="s">
        <v>2901</v>
      </c>
      <c r="D2" t="s">
        <v>714</v>
      </c>
      <c r="E2" t="s">
        <v>52</v>
      </c>
      <c r="F2" t="s">
        <v>61</v>
      </c>
      <c r="G2" s="127">
        <v>45196</v>
      </c>
      <c r="H2" t="s">
        <v>388</v>
      </c>
      <c r="I2" t="s">
        <v>587</v>
      </c>
      <c r="J2" t="s">
        <v>2902</v>
      </c>
      <c r="K2" s="125">
        <v>5.5555E-2</v>
      </c>
      <c r="M2" t="s">
        <v>293</v>
      </c>
      <c r="O2" t="s">
        <v>297</v>
      </c>
      <c r="P2" s="127">
        <v>45914</v>
      </c>
      <c r="Q2" t="s">
        <v>1258</v>
      </c>
      <c r="R2" s="124">
        <v>10084.61707</v>
      </c>
      <c r="S2" s="124">
        <v>10084.61707</v>
      </c>
      <c r="T2" s="124"/>
      <c r="U2" s="124"/>
      <c r="V2" t="s">
        <v>16</v>
      </c>
      <c r="W2" s="125">
        <v>0.43006529991800002</v>
      </c>
      <c r="X2" s="125">
        <f>S2/'סכום נכסים'!$B$30</f>
        <v>1.8156275051626754E-3</v>
      </c>
    </row>
    <row r="3" spans="1:24" x14ac:dyDescent="0.3">
      <c r="A3">
        <v>13908</v>
      </c>
      <c r="B3">
        <v>13908</v>
      </c>
      <c r="C3" t="s">
        <v>2412</v>
      </c>
      <c r="D3" t="s">
        <v>714</v>
      </c>
      <c r="E3" t="s">
        <v>52</v>
      </c>
      <c r="F3" t="s">
        <v>61</v>
      </c>
      <c r="G3" s="127">
        <v>45741</v>
      </c>
      <c r="H3" t="s">
        <v>59</v>
      </c>
      <c r="I3" t="s">
        <v>587</v>
      </c>
      <c r="J3" t="s">
        <v>2903</v>
      </c>
      <c r="K3" s="125">
        <v>0</v>
      </c>
      <c r="M3" t="s">
        <v>293</v>
      </c>
      <c r="O3" t="s">
        <v>297</v>
      </c>
      <c r="P3" s="127">
        <v>45729</v>
      </c>
      <c r="Q3" t="s">
        <v>1258</v>
      </c>
      <c r="R3" s="124">
        <v>8952.4001399999997</v>
      </c>
      <c r="S3" s="124">
        <v>8952.4001399999997</v>
      </c>
      <c r="T3" s="124"/>
      <c r="U3" s="124"/>
      <c r="V3" t="s">
        <v>16</v>
      </c>
      <c r="W3" s="125">
        <v>0.38178114493300003</v>
      </c>
      <c r="X3" s="125">
        <f>S3/'סכום נכסים'!$B$30</f>
        <v>1.6117839496117017E-3</v>
      </c>
    </row>
    <row r="4" spans="1:24" x14ac:dyDescent="0.3">
      <c r="A4">
        <v>13908</v>
      </c>
      <c r="B4">
        <v>13908</v>
      </c>
      <c r="C4" t="s">
        <v>2904</v>
      </c>
      <c r="D4" t="s">
        <v>714</v>
      </c>
      <c r="E4" t="s">
        <v>52</v>
      </c>
      <c r="F4" t="s">
        <v>61</v>
      </c>
      <c r="G4" s="127">
        <v>45782</v>
      </c>
      <c r="H4" t="s">
        <v>388</v>
      </c>
      <c r="I4" t="s">
        <v>587</v>
      </c>
      <c r="J4" t="s">
        <v>2902</v>
      </c>
      <c r="K4" s="125">
        <v>-4.1929999999999997E-3</v>
      </c>
      <c r="M4" t="s">
        <v>293</v>
      </c>
      <c r="O4" t="s">
        <v>297</v>
      </c>
      <c r="P4" s="127">
        <v>45914</v>
      </c>
      <c r="Q4" t="s">
        <v>1258</v>
      </c>
      <c r="R4" s="124">
        <v>4412.0196500000002</v>
      </c>
      <c r="S4" s="124">
        <v>4412.0196500000002</v>
      </c>
      <c r="T4" s="124"/>
      <c r="U4" s="124"/>
      <c r="V4" t="s">
        <v>16</v>
      </c>
      <c r="W4" s="125">
        <v>0.188153555147</v>
      </c>
      <c r="X4" s="125">
        <f>S4/'סכום נכסים'!$B$30</f>
        <v>7.9433697623366485E-4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" x14ac:dyDescent="0.3"/>
  <cols>
    <col min="1" max="23" width="11.58203125" customWidth="1"/>
    <col min="24" max="16384" width="9" hidden="1"/>
  </cols>
  <sheetData>
    <row r="1" spans="1:23" s="2" customFormat="1" ht="52" x14ac:dyDescent="0.3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8</v>
      </c>
      <c r="M1" s="13" t="s">
        <v>593</v>
      </c>
      <c r="N1" s="13" t="s">
        <v>387</v>
      </c>
      <c r="O1" s="13" t="s">
        <v>876</v>
      </c>
      <c r="P1" s="13" t="s">
        <v>363</v>
      </c>
      <c r="Q1" s="13" t="s">
        <v>15</v>
      </c>
      <c r="R1" s="13" t="s">
        <v>1099</v>
      </c>
      <c r="S1" s="13" t="s">
        <v>605</v>
      </c>
      <c r="T1" s="13" t="s">
        <v>1107</v>
      </c>
      <c r="U1" s="13" t="s">
        <v>1105</v>
      </c>
      <c r="V1" s="13" t="s">
        <v>18</v>
      </c>
      <c r="W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7"/>
  <sheetViews>
    <sheetView rightToLeft="1" workbookViewId="0"/>
  </sheetViews>
  <sheetFormatPr defaultColWidth="0" defaultRowHeight="14" x14ac:dyDescent="0.3"/>
  <cols>
    <col min="1" max="2" width="10.58203125" bestFit="1" customWidth="1"/>
    <col min="3" max="3" width="16.1640625" bestFit="1" customWidth="1"/>
    <col min="4" max="4" width="10.4140625" bestFit="1" customWidth="1"/>
    <col min="5" max="5" width="16.1640625" bestFit="1" customWidth="1"/>
    <col min="6" max="6" width="10" bestFit="1" customWidth="1"/>
    <col min="7" max="7" width="9.25" bestFit="1" customWidth="1"/>
    <col min="8" max="9" width="11" bestFit="1" customWidth="1"/>
    <col min="10" max="10" width="11.25" bestFit="1" customWidth="1"/>
    <col min="11" max="11" width="11" bestFit="1" customWidth="1"/>
    <col min="12" max="12" width="9.58203125" bestFit="1" customWidth="1"/>
    <col min="13" max="13" width="9.83203125" bestFit="1" customWidth="1"/>
    <col min="14" max="15" width="10.83203125" bestFit="1" customWidth="1"/>
    <col min="16" max="16" width="10.1640625" bestFit="1" customWidth="1"/>
    <col min="17" max="17" width="11.1640625" bestFit="1" customWidth="1"/>
    <col min="18" max="18" width="10" bestFit="1" customWidth="1"/>
    <col min="19" max="16384" width="9" hidden="1"/>
  </cols>
  <sheetData>
    <row r="1" spans="1:18" s="2" customFormat="1" ht="52" x14ac:dyDescent="0.3">
      <c r="A1" s="13" t="s">
        <v>636</v>
      </c>
      <c r="B1" s="13" t="s">
        <v>0</v>
      </c>
      <c r="C1" s="13" t="s">
        <v>757</v>
      </c>
      <c r="D1" s="13" t="s">
        <v>758</v>
      </c>
      <c r="E1" s="13" t="s">
        <v>1</v>
      </c>
      <c r="F1" s="13" t="s">
        <v>591</v>
      </c>
      <c r="G1" s="13" t="s">
        <v>592</v>
      </c>
      <c r="H1" s="13" t="s">
        <v>593</v>
      </c>
      <c r="I1" s="13" t="s">
        <v>764</v>
      </c>
      <c r="J1" s="13" t="s">
        <v>387</v>
      </c>
      <c r="K1" s="13" t="s">
        <v>15</v>
      </c>
      <c r="L1" s="13" t="s">
        <v>881</v>
      </c>
      <c r="M1" s="13" t="s">
        <v>10</v>
      </c>
      <c r="N1" s="13" t="s">
        <v>1105</v>
      </c>
      <c r="O1" s="13" t="s">
        <v>1106</v>
      </c>
      <c r="P1" s="13" t="s">
        <v>25</v>
      </c>
      <c r="Q1" s="13" t="s">
        <v>18</v>
      </c>
      <c r="R1" s="13" t="s">
        <v>29</v>
      </c>
    </row>
    <row r="2" spans="1:18" x14ac:dyDescent="0.3">
      <c r="A2">
        <v>13908</v>
      </c>
      <c r="B2">
        <v>13908</v>
      </c>
      <c r="C2" t="s">
        <v>2905</v>
      </c>
      <c r="D2">
        <v>9042</v>
      </c>
      <c r="E2" t="s">
        <v>1197</v>
      </c>
      <c r="F2" t="s">
        <v>52</v>
      </c>
      <c r="G2" t="s">
        <v>52</v>
      </c>
      <c r="H2" t="s">
        <v>61</v>
      </c>
      <c r="I2" s="127">
        <v>46203</v>
      </c>
      <c r="J2" t="s">
        <v>1258</v>
      </c>
      <c r="K2" s="127">
        <v>46203</v>
      </c>
      <c r="L2" s="124">
        <v>534.82812000000001</v>
      </c>
      <c r="M2" s="124">
        <v>1</v>
      </c>
      <c r="N2" s="124">
        <v>534.82812000000001</v>
      </c>
      <c r="O2" s="124"/>
      <c r="P2" t="s">
        <v>16</v>
      </c>
      <c r="Q2" s="125">
        <v>6.9471437484999995E-2</v>
      </c>
      <c r="R2" s="125">
        <f>N2/'סכום נכסים'!$B$30</f>
        <v>9.6290086025690208E-5</v>
      </c>
    </row>
    <row r="3" spans="1:18" x14ac:dyDescent="0.3">
      <c r="A3">
        <v>13908</v>
      </c>
      <c r="B3">
        <v>13908</v>
      </c>
      <c r="C3" t="s">
        <v>2906</v>
      </c>
      <c r="D3">
        <v>9082</v>
      </c>
      <c r="E3" t="s">
        <v>685</v>
      </c>
      <c r="F3" t="s">
        <v>52</v>
      </c>
      <c r="G3" t="s">
        <v>52</v>
      </c>
      <c r="H3" t="s">
        <v>61</v>
      </c>
      <c r="I3" s="127">
        <v>46203</v>
      </c>
      <c r="J3" t="s">
        <v>1258</v>
      </c>
      <c r="K3" s="127">
        <v>46203</v>
      </c>
      <c r="L3" s="124">
        <v>-1.74448</v>
      </c>
      <c r="M3" s="124">
        <v>1</v>
      </c>
      <c r="N3" s="124">
        <v>-1.74448</v>
      </c>
      <c r="O3" s="124"/>
      <c r="P3" t="s">
        <v>16</v>
      </c>
      <c r="Q3" s="125">
        <v>-2.2659903000000001E-4</v>
      </c>
      <c r="R3" s="125">
        <f>N3/'סכום נכסים'!$B$30</f>
        <v>-3.1407497659265948E-7</v>
      </c>
    </row>
    <row r="4" spans="1:18" x14ac:dyDescent="0.3">
      <c r="A4">
        <v>13908</v>
      </c>
      <c r="B4">
        <v>13908</v>
      </c>
      <c r="C4" t="s">
        <v>2907</v>
      </c>
      <c r="D4">
        <v>9088</v>
      </c>
      <c r="E4" t="s">
        <v>1129</v>
      </c>
      <c r="F4" t="s">
        <v>52</v>
      </c>
      <c r="G4" t="s">
        <v>52</v>
      </c>
      <c r="H4" t="s">
        <v>61</v>
      </c>
      <c r="I4" s="127">
        <v>46203</v>
      </c>
      <c r="J4" t="s">
        <v>1258</v>
      </c>
      <c r="K4" s="127">
        <v>46203</v>
      </c>
      <c r="L4" s="124">
        <v>2846.0183299999999</v>
      </c>
      <c r="M4" s="124">
        <v>1</v>
      </c>
      <c r="N4" s="124">
        <v>2846.0183299999999</v>
      </c>
      <c r="O4" s="124"/>
      <c r="P4" t="s">
        <v>16</v>
      </c>
      <c r="Q4" s="125">
        <v>0.36968322551100002</v>
      </c>
      <c r="R4" s="125">
        <f>N4/'סכום נכסים'!$B$30</f>
        <v>5.1239517814880638E-4</v>
      </c>
    </row>
    <row r="5" spans="1:18" x14ac:dyDescent="0.3">
      <c r="A5">
        <v>13908</v>
      </c>
      <c r="B5">
        <v>13908</v>
      </c>
      <c r="C5" t="s">
        <v>2908</v>
      </c>
      <c r="D5">
        <v>11018712</v>
      </c>
      <c r="E5" t="s">
        <v>1197</v>
      </c>
      <c r="F5" t="s">
        <v>52</v>
      </c>
      <c r="G5" t="s">
        <v>52</v>
      </c>
      <c r="H5" t="s">
        <v>61</v>
      </c>
      <c r="I5" s="127">
        <v>46203</v>
      </c>
      <c r="J5" t="s">
        <v>1260</v>
      </c>
      <c r="K5" s="127">
        <v>46203</v>
      </c>
      <c r="L5" s="124">
        <v>1090</v>
      </c>
      <c r="M5" s="124">
        <v>2.9780000000000002</v>
      </c>
      <c r="N5" s="124">
        <v>3246.02</v>
      </c>
      <c r="O5" s="124"/>
      <c r="P5" t="s">
        <v>16</v>
      </c>
      <c r="Q5" s="125">
        <v>0.42164139669200001</v>
      </c>
      <c r="R5" s="125">
        <f>N5/'סכום נכסים'!$B$30</f>
        <v>5.8441120306297828E-4</v>
      </c>
    </row>
    <row r="6" spans="1:18" x14ac:dyDescent="0.3">
      <c r="A6">
        <v>13908</v>
      </c>
      <c r="B6">
        <v>13908</v>
      </c>
      <c r="C6" t="s">
        <v>2909</v>
      </c>
      <c r="D6">
        <v>11020527</v>
      </c>
      <c r="E6" t="s">
        <v>1129</v>
      </c>
      <c r="F6" t="s">
        <v>52</v>
      </c>
      <c r="G6" t="s">
        <v>52</v>
      </c>
      <c r="H6" t="s">
        <v>61</v>
      </c>
      <c r="I6" s="127">
        <v>46203</v>
      </c>
      <c r="J6" t="s">
        <v>1260</v>
      </c>
      <c r="K6" s="127">
        <v>46203</v>
      </c>
      <c r="L6" s="124">
        <v>360.4468</v>
      </c>
      <c r="M6" s="124">
        <v>2.9780000000000002</v>
      </c>
      <c r="N6" s="124">
        <v>1073.41057</v>
      </c>
      <c r="O6" s="124"/>
      <c r="P6" t="s">
        <v>16</v>
      </c>
      <c r="Q6" s="125">
        <v>0.13943054323699999</v>
      </c>
      <c r="R6" s="125">
        <f>N6/'סכום נכסים'!$B$30</f>
        <v>1.9325609903642532E-4</v>
      </c>
    </row>
    <row r="7" spans="1:18" x14ac:dyDescent="0.3">
      <c r="A7">
        <v>13908</v>
      </c>
      <c r="B7">
        <v>13908</v>
      </c>
      <c r="C7" t="s">
        <v>2910</v>
      </c>
      <c r="D7">
        <v>11022806</v>
      </c>
      <c r="E7" t="s">
        <v>1198</v>
      </c>
      <c r="F7" t="s">
        <v>52</v>
      </c>
      <c r="G7" t="s">
        <v>52</v>
      </c>
      <c r="H7" t="s">
        <v>61</v>
      </c>
      <c r="I7" s="127">
        <v>46203</v>
      </c>
      <c r="J7" t="s">
        <v>1260</v>
      </c>
      <c r="K7" s="127">
        <v>46203</v>
      </c>
      <c r="L7" s="124">
        <v>-1.0000000000000001E-5</v>
      </c>
      <c r="M7" s="124">
        <v>2.9780000000000002</v>
      </c>
      <c r="N7" s="124">
        <v>-3.0000000000000001E-5</v>
      </c>
      <c r="O7" s="124"/>
      <c r="P7" t="s">
        <v>16</v>
      </c>
      <c r="Q7" s="125">
        <v>-3.8968465692690797E-9</v>
      </c>
      <c r="R7" s="125">
        <f>N7/'סכום נכסים'!$B$30</f>
        <v>-5.4011793186392414E-12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E13" sqref="E13"/>
    </sheetView>
  </sheetViews>
  <sheetFormatPr defaultColWidth="0" defaultRowHeight="14.15" customHeight="1" x14ac:dyDescent="0.3"/>
  <cols>
    <col min="1" max="1" width="10.25" bestFit="1" customWidth="1"/>
    <col min="2" max="2" width="9.25" bestFit="1" customWidth="1"/>
    <col min="3" max="3" width="9.83203125" bestFit="1" customWidth="1"/>
    <col min="4" max="4" width="22.75" bestFit="1" customWidth="1"/>
    <col min="5" max="5" width="43.75" bestFit="1" customWidth="1"/>
    <col min="6" max="6" width="10" bestFit="1" customWidth="1"/>
    <col min="7" max="7" width="9.83203125" bestFit="1" customWidth="1"/>
    <col min="8" max="8" width="8.75" bestFit="1" customWidth="1"/>
    <col min="9" max="9" width="8.1640625" bestFit="1" customWidth="1"/>
    <col min="10" max="10" width="9.58203125" bestFit="1" customWidth="1"/>
    <col min="11" max="11" width="4.4140625" bestFit="1" customWidth="1"/>
    <col min="12" max="12" width="7.1640625" bestFit="1" customWidth="1"/>
    <col min="13" max="13" width="10.25" bestFit="1" customWidth="1"/>
    <col min="14" max="14" width="9.83203125" bestFit="1" customWidth="1"/>
    <col min="15" max="15" width="8.58203125" bestFit="1" customWidth="1"/>
    <col min="16" max="16" width="9.25" bestFit="1" customWidth="1"/>
    <col min="17" max="17" width="8.4140625" bestFit="1" customWidth="1"/>
    <col min="18" max="18" width="9.83203125" bestFit="1" customWidth="1"/>
    <col min="19" max="19" width="10.1640625" bestFit="1" customWidth="1"/>
    <col min="20" max="20" width="10.75" bestFit="1" customWidth="1"/>
    <col min="21" max="16384" width="11.58203125" hidden="1"/>
  </cols>
  <sheetData>
    <row r="1" spans="1:20" ht="65" x14ac:dyDescent="0.3">
      <c r="A1" s="13" t="s">
        <v>636</v>
      </c>
      <c r="B1" s="13" t="s">
        <v>0</v>
      </c>
      <c r="C1" s="13" t="s">
        <v>704</v>
      </c>
      <c r="D1" s="13" t="s">
        <v>705</v>
      </c>
      <c r="E1" s="13" t="s">
        <v>706</v>
      </c>
      <c r="F1" s="13" t="s">
        <v>707</v>
      </c>
      <c r="G1" s="13" t="s">
        <v>712</v>
      </c>
      <c r="H1" s="13" t="s">
        <v>591</v>
      </c>
      <c r="I1" s="13" t="s">
        <v>592</v>
      </c>
      <c r="J1" s="13" t="s">
        <v>593</v>
      </c>
      <c r="K1" s="13" t="s">
        <v>5</v>
      </c>
      <c r="L1" s="13" t="s">
        <v>7</v>
      </c>
      <c r="M1" s="13" t="s">
        <v>1100</v>
      </c>
      <c r="N1" s="13" t="s">
        <v>387</v>
      </c>
      <c r="O1" s="13" t="s">
        <v>10</v>
      </c>
      <c r="P1" s="13" t="s">
        <v>13</v>
      </c>
      <c r="Q1" s="13" t="s">
        <v>431</v>
      </c>
      <c r="R1" s="13" t="s">
        <v>766</v>
      </c>
      <c r="S1" s="13" t="s">
        <v>1108</v>
      </c>
      <c r="T1" s="13" t="s">
        <v>727</v>
      </c>
    </row>
    <row r="2" spans="1:20" ht="14.15" customHeight="1" x14ac:dyDescent="0.3">
      <c r="A2">
        <v>13908</v>
      </c>
      <c r="B2">
        <v>13908</v>
      </c>
      <c r="F2">
        <v>11022808</v>
      </c>
      <c r="G2" s="127">
        <v>45750</v>
      </c>
      <c r="H2" t="s">
        <v>60</v>
      </c>
      <c r="J2" t="s">
        <v>61</v>
      </c>
      <c r="K2" t="s">
        <v>290</v>
      </c>
      <c r="L2" t="s">
        <v>290</v>
      </c>
      <c r="M2" t="s">
        <v>290</v>
      </c>
      <c r="N2" t="s">
        <v>1260</v>
      </c>
      <c r="O2">
        <v>2.9780000000000002</v>
      </c>
      <c r="P2" s="132">
        <v>5.2499999999999998E-2</v>
      </c>
      <c r="Q2" t="s">
        <v>432</v>
      </c>
      <c r="R2" s="133">
        <v>2100</v>
      </c>
      <c r="S2" s="130">
        <v>6253.8</v>
      </c>
      <c r="T2" s="132">
        <v>0.11</v>
      </c>
    </row>
    <row r="3" spans="1:20" ht="14.15" customHeight="1" x14ac:dyDescent="0.3">
      <c r="A3">
        <v>13908</v>
      </c>
      <c r="B3">
        <v>13908</v>
      </c>
      <c r="F3">
        <v>11022466</v>
      </c>
      <c r="G3" s="127">
        <v>45748</v>
      </c>
      <c r="H3" t="s">
        <v>52</v>
      </c>
      <c r="J3" t="s">
        <v>61</v>
      </c>
      <c r="K3" t="s">
        <v>290</v>
      </c>
      <c r="L3" t="s">
        <v>290</v>
      </c>
      <c r="M3" t="s">
        <v>290</v>
      </c>
      <c r="N3" t="s">
        <v>1258</v>
      </c>
      <c r="O3">
        <v>1</v>
      </c>
      <c r="P3" s="132">
        <v>5.0000000000000001E-3</v>
      </c>
      <c r="Q3" t="s">
        <v>432</v>
      </c>
      <c r="R3" s="133">
        <v>10350</v>
      </c>
      <c r="S3" s="130">
        <v>10350</v>
      </c>
      <c r="T3" s="132">
        <v>0.71428571423412579</v>
      </c>
    </row>
    <row r="4" spans="1:20" ht="14.15" customHeight="1" x14ac:dyDescent="0.3">
      <c r="A4">
        <v>13908</v>
      </c>
      <c r="B4">
        <v>13908</v>
      </c>
      <c r="F4">
        <v>11022460</v>
      </c>
      <c r="G4" s="127">
        <v>45741</v>
      </c>
      <c r="H4" t="s">
        <v>52</v>
      </c>
      <c r="J4" t="s">
        <v>61</v>
      </c>
      <c r="K4" t="s">
        <v>290</v>
      </c>
      <c r="L4" t="s">
        <v>290</v>
      </c>
      <c r="M4" t="s">
        <v>290</v>
      </c>
      <c r="N4" t="s">
        <v>1258</v>
      </c>
      <c r="O4">
        <v>1</v>
      </c>
      <c r="P4" s="132">
        <v>0.09</v>
      </c>
      <c r="Q4" t="s">
        <v>433</v>
      </c>
      <c r="R4" s="133">
        <v>1380.1592307692308</v>
      </c>
      <c r="S4" s="130">
        <v>1380.1592307692308</v>
      </c>
      <c r="T4" s="132">
        <v>2.4435565127100708E-2</v>
      </c>
    </row>
    <row r="5" spans="1:20" ht="14.15" customHeight="1" x14ac:dyDescent="0.3">
      <c r="A5">
        <v>13908</v>
      </c>
      <c r="B5">
        <v>13908</v>
      </c>
      <c r="F5">
        <v>11022458</v>
      </c>
      <c r="G5" s="127">
        <v>45739</v>
      </c>
      <c r="H5" t="s">
        <v>52</v>
      </c>
      <c r="J5" t="s">
        <v>61</v>
      </c>
      <c r="K5" t="s">
        <v>290</v>
      </c>
      <c r="L5" t="s">
        <v>290</v>
      </c>
      <c r="M5" t="s">
        <v>290</v>
      </c>
      <c r="N5" t="s">
        <v>1258</v>
      </c>
      <c r="O5">
        <v>1</v>
      </c>
      <c r="P5" s="132">
        <v>0.1</v>
      </c>
      <c r="Q5" t="s">
        <v>433</v>
      </c>
      <c r="R5" s="133">
        <v>7500</v>
      </c>
      <c r="S5" s="130">
        <v>7500</v>
      </c>
      <c r="T5" s="132">
        <v>0.16669999999999999</v>
      </c>
    </row>
    <row r="6" spans="1:20" ht="14.15" customHeight="1" x14ac:dyDescent="0.3">
      <c r="A6">
        <v>13908</v>
      </c>
      <c r="B6">
        <v>13908</v>
      </c>
      <c r="F6">
        <v>11022535</v>
      </c>
      <c r="G6" s="127">
        <v>45962</v>
      </c>
      <c r="H6" t="s">
        <v>52</v>
      </c>
      <c r="J6" t="s">
        <v>61</v>
      </c>
      <c r="K6" t="s">
        <v>290</v>
      </c>
      <c r="L6" t="s">
        <v>290</v>
      </c>
      <c r="M6" t="s">
        <v>290</v>
      </c>
      <c r="N6" t="s">
        <v>1258</v>
      </c>
      <c r="O6">
        <v>1</v>
      </c>
      <c r="P6" s="132">
        <v>5.7000000000000002E-2</v>
      </c>
      <c r="Q6" t="s">
        <v>432</v>
      </c>
      <c r="R6" s="133">
        <v>8500</v>
      </c>
      <c r="S6" s="130">
        <v>8500</v>
      </c>
      <c r="T6" s="132">
        <v>0.6</v>
      </c>
    </row>
    <row r="7" spans="1:20" ht="14.15" customHeight="1" x14ac:dyDescent="0.3">
      <c r="A7">
        <v>13908</v>
      </c>
      <c r="B7">
        <v>13908</v>
      </c>
      <c r="F7">
        <v>11022865</v>
      </c>
      <c r="G7" s="127">
        <v>46007</v>
      </c>
      <c r="H7" t="s">
        <v>60</v>
      </c>
      <c r="J7" t="s">
        <v>61</v>
      </c>
      <c r="K7" t="s">
        <v>290</v>
      </c>
      <c r="L7" t="s">
        <v>290</v>
      </c>
      <c r="M7" t="s">
        <v>290</v>
      </c>
      <c r="N7" t="s">
        <v>1260</v>
      </c>
      <c r="O7">
        <v>2.9780000000000002</v>
      </c>
      <c r="P7" s="132">
        <v>5.2499999999999998E-2</v>
      </c>
      <c r="Q7" t="s">
        <v>432</v>
      </c>
      <c r="R7" s="133">
        <v>4875</v>
      </c>
      <c r="S7" s="130">
        <v>14517.750000000002</v>
      </c>
      <c r="T7" s="132">
        <v>1</v>
      </c>
    </row>
    <row r="8" spans="1:20" ht="14.15" customHeight="1" x14ac:dyDescent="0.3">
      <c r="A8">
        <v>13908</v>
      </c>
      <c r="B8">
        <v>13908</v>
      </c>
      <c r="F8">
        <v>11022866</v>
      </c>
      <c r="G8" s="127">
        <v>46007</v>
      </c>
      <c r="H8" t="s">
        <v>60</v>
      </c>
      <c r="J8" t="s">
        <v>61</v>
      </c>
      <c r="K8" t="s">
        <v>290</v>
      </c>
      <c r="L8" t="s">
        <v>290</v>
      </c>
      <c r="M8" t="s">
        <v>290</v>
      </c>
      <c r="N8" t="s">
        <v>1260</v>
      </c>
      <c r="O8">
        <v>2.9780000000000002</v>
      </c>
      <c r="P8" s="132">
        <v>5.2499999999999998E-2</v>
      </c>
      <c r="Q8" t="s">
        <v>432</v>
      </c>
      <c r="R8" s="133">
        <v>2625</v>
      </c>
      <c r="S8" s="130">
        <v>7817.2500000000009</v>
      </c>
      <c r="T8" s="132">
        <v>1</v>
      </c>
    </row>
    <row r="9" spans="1:20" ht="14.15" customHeight="1" x14ac:dyDescent="0.3">
      <c r="A9">
        <v>13908</v>
      </c>
      <c r="B9">
        <v>13908</v>
      </c>
      <c r="F9">
        <v>11021161</v>
      </c>
      <c r="G9" s="127">
        <v>46111</v>
      </c>
      <c r="H9" t="s">
        <v>52</v>
      </c>
      <c r="J9" t="s">
        <v>61</v>
      </c>
      <c r="K9" t="s">
        <v>290</v>
      </c>
      <c r="L9" t="s">
        <v>290</v>
      </c>
      <c r="M9" t="s">
        <v>290</v>
      </c>
      <c r="N9" t="s">
        <v>1258</v>
      </c>
      <c r="O9">
        <v>1</v>
      </c>
      <c r="P9" s="132">
        <v>0.10100000000000001</v>
      </c>
      <c r="Q9" t="s">
        <v>432</v>
      </c>
      <c r="R9" s="133">
        <v>5000</v>
      </c>
      <c r="S9" s="130">
        <v>5000</v>
      </c>
      <c r="T9" s="132">
        <v>5.0000000000000001E-3</v>
      </c>
    </row>
    <row r="10" spans="1:20" ht="14.15" customHeight="1" x14ac:dyDescent="0.3">
      <c r="A10">
        <v>13908</v>
      </c>
      <c r="B10">
        <v>13908</v>
      </c>
      <c r="F10">
        <v>11150017</v>
      </c>
      <c r="G10" s="127">
        <v>46155</v>
      </c>
      <c r="H10" t="s">
        <v>52</v>
      </c>
      <c r="J10" t="s">
        <v>61</v>
      </c>
      <c r="K10" t="s">
        <v>290</v>
      </c>
      <c r="L10" t="s">
        <v>290</v>
      </c>
      <c r="M10" t="s">
        <v>290</v>
      </c>
      <c r="N10" t="s">
        <v>1265</v>
      </c>
      <c r="O10" s="134">
        <v>3.3944999999999999</v>
      </c>
      <c r="P10" s="132">
        <v>5.7500000000000002E-2</v>
      </c>
      <c r="Q10" t="s">
        <v>432</v>
      </c>
      <c r="R10" s="133">
        <v>1068.0628272251308</v>
      </c>
      <c r="S10" s="130">
        <v>3625.5392670157066</v>
      </c>
      <c r="T10" s="135">
        <v>0.27</v>
      </c>
    </row>
    <row r="11" spans="1:20" ht="14.15" customHeight="1" x14ac:dyDescent="0.3">
      <c r="S11" s="131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honeticPr fontId="30" type="noConversion"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65"/>
  <sheetViews>
    <sheetView rightToLeft="1" topLeftCell="A2" zoomScale="70" zoomScaleNormal="70" workbookViewId="0">
      <selection activeCell="F2" sqref="F2:F59"/>
    </sheetView>
  </sheetViews>
  <sheetFormatPr defaultColWidth="0" defaultRowHeight="14.15" customHeight="1" x14ac:dyDescent="0.3"/>
  <cols>
    <col min="1" max="1" width="10.25" bestFit="1" customWidth="1"/>
    <col min="2" max="2" width="9.25" bestFit="1" customWidth="1"/>
    <col min="3" max="3" width="14.75" bestFit="1" customWidth="1"/>
    <col min="4" max="4" width="49.75" bestFit="1" customWidth="1"/>
    <col min="5" max="5" width="29" bestFit="1" customWidth="1"/>
    <col min="6" max="6" width="22.75" bestFit="1" customWidth="1"/>
    <col min="7" max="7" width="46.83203125" bestFit="1" customWidth="1"/>
    <col min="8" max="8" width="9.83203125" bestFit="1" customWidth="1"/>
    <col min="9" max="9" width="11.1640625" bestFit="1" customWidth="1"/>
    <col min="10" max="11" width="9.83203125" bestFit="1" customWidth="1"/>
    <col min="12" max="12" width="13.75" bestFit="1" customWidth="1"/>
    <col min="13" max="13" width="9.83203125" bestFit="1" customWidth="1"/>
    <col min="14" max="14" width="13.75" bestFit="1" customWidth="1"/>
    <col min="15" max="15" width="10.83203125" bestFit="1" customWidth="1"/>
    <col min="16" max="16" width="10" bestFit="1" customWidth="1"/>
    <col min="17" max="17" width="9.83203125" bestFit="1" customWidth="1"/>
    <col min="18" max="16384" width="11.58203125" hidden="1"/>
  </cols>
  <sheetData>
    <row r="1" spans="1:17" ht="65" x14ac:dyDescent="0.3">
      <c r="A1" s="13" t="s">
        <v>636</v>
      </c>
      <c r="B1" s="13" t="s">
        <v>0</v>
      </c>
      <c r="C1" s="136" t="s">
        <v>1</v>
      </c>
      <c r="D1" s="136" t="s">
        <v>753</v>
      </c>
      <c r="E1" s="136" t="s">
        <v>763</v>
      </c>
      <c r="F1" s="136" t="s">
        <v>754</v>
      </c>
      <c r="G1" s="136" t="s">
        <v>726</v>
      </c>
      <c r="H1" s="136" t="s">
        <v>725</v>
      </c>
      <c r="I1" s="136" t="s">
        <v>730</v>
      </c>
      <c r="J1" s="136" t="s">
        <v>387</v>
      </c>
      <c r="K1" s="136" t="s">
        <v>724</v>
      </c>
      <c r="L1" s="136" t="s">
        <v>882</v>
      </c>
      <c r="M1" s="136" t="s">
        <v>1109</v>
      </c>
      <c r="N1" s="136" t="s">
        <v>883</v>
      </c>
      <c r="O1" s="136" t="s">
        <v>1110</v>
      </c>
      <c r="P1" s="136" t="s">
        <v>21</v>
      </c>
      <c r="Q1" s="136" t="s">
        <v>767</v>
      </c>
    </row>
    <row r="2" spans="1:17" ht="14.15" customHeight="1" x14ac:dyDescent="0.3">
      <c r="A2">
        <v>13908</v>
      </c>
      <c r="B2">
        <v>13908</v>
      </c>
      <c r="C2" t="s">
        <v>244</v>
      </c>
      <c r="D2" t="s">
        <v>2762</v>
      </c>
      <c r="G2" s="137" t="s">
        <v>2916</v>
      </c>
      <c r="H2">
        <v>11019991</v>
      </c>
      <c r="I2" t="s">
        <v>77</v>
      </c>
      <c r="J2" t="s">
        <v>1260</v>
      </c>
      <c r="K2" s="127">
        <v>44935</v>
      </c>
      <c r="L2" s="138">
        <v>318.5</v>
      </c>
      <c r="M2" s="139">
        <v>948.49300000000017</v>
      </c>
      <c r="N2" s="138">
        <v>31.5</v>
      </c>
      <c r="O2" s="139">
        <v>93.807000000000002</v>
      </c>
      <c r="P2" s="141">
        <v>9.8901098901098883E-2</v>
      </c>
      <c r="Q2" s="127">
        <v>48029</v>
      </c>
    </row>
    <row r="3" spans="1:17" ht="14.15" customHeight="1" x14ac:dyDescent="0.3">
      <c r="A3">
        <v>13908</v>
      </c>
      <c r="B3">
        <v>13908</v>
      </c>
      <c r="C3" t="s">
        <v>244</v>
      </c>
      <c r="D3" t="s">
        <v>2764</v>
      </c>
      <c r="G3" s="137" t="s">
        <v>2917</v>
      </c>
      <c r="H3">
        <v>11019995</v>
      </c>
      <c r="I3" t="s">
        <v>77</v>
      </c>
      <c r="J3" t="s">
        <v>1260</v>
      </c>
      <c r="K3" s="127">
        <v>44971</v>
      </c>
      <c r="L3" s="138">
        <v>200</v>
      </c>
      <c r="M3" s="139">
        <v>595.6</v>
      </c>
      <c r="N3" s="138">
        <v>77.000000000000014</v>
      </c>
      <c r="O3" s="139">
        <v>229.30600000000007</v>
      </c>
      <c r="P3" s="141">
        <v>0.38500000000000012</v>
      </c>
      <c r="Q3" s="127">
        <v>46607</v>
      </c>
    </row>
    <row r="4" spans="1:17" ht="14.15" customHeight="1" x14ac:dyDescent="0.3">
      <c r="A4">
        <v>13908</v>
      </c>
      <c r="B4">
        <v>13908</v>
      </c>
      <c r="C4" t="s">
        <v>244</v>
      </c>
      <c r="D4" t="s">
        <v>2770</v>
      </c>
      <c r="G4" s="137" t="s">
        <v>2770</v>
      </c>
      <c r="H4">
        <v>11020012</v>
      </c>
      <c r="I4" t="s">
        <v>77</v>
      </c>
      <c r="J4" t="s">
        <v>1260</v>
      </c>
      <c r="K4" s="127">
        <v>45032</v>
      </c>
      <c r="L4" s="138">
        <v>390.06799000000001</v>
      </c>
      <c r="M4" s="139">
        <v>1161.62247422</v>
      </c>
      <c r="N4" s="138">
        <v>274.3572152750653</v>
      </c>
      <c r="O4" s="139">
        <v>817.03578708914449</v>
      </c>
      <c r="P4" s="141">
        <v>0.70335742052318961</v>
      </c>
      <c r="Q4" s="127">
        <v>47526</v>
      </c>
    </row>
    <row r="5" spans="1:17" ht="14.15" customHeight="1" x14ac:dyDescent="0.3">
      <c r="A5">
        <v>13908</v>
      </c>
      <c r="B5">
        <v>13908</v>
      </c>
      <c r="C5" t="s">
        <v>244</v>
      </c>
      <c r="D5" t="s">
        <v>2772</v>
      </c>
      <c r="G5" s="137" t="s">
        <v>2918</v>
      </c>
      <c r="H5">
        <v>11020456</v>
      </c>
      <c r="I5" t="s">
        <v>77</v>
      </c>
      <c r="J5" t="s">
        <v>1260</v>
      </c>
      <c r="K5" s="127">
        <v>45089</v>
      </c>
      <c r="L5" s="138">
        <v>695.48782400000005</v>
      </c>
      <c r="M5" s="139">
        <v>2071.1627398720002</v>
      </c>
      <c r="N5" s="138">
        <v>178.21218156819211</v>
      </c>
      <c r="O5" s="139">
        <v>530.71587671007615</v>
      </c>
      <c r="P5" s="141">
        <v>0.25624054860260514</v>
      </c>
      <c r="Q5" s="127">
        <v>46310</v>
      </c>
    </row>
    <row r="6" spans="1:17" ht="14.15" customHeight="1" x14ac:dyDescent="0.3">
      <c r="A6">
        <v>13908</v>
      </c>
      <c r="B6">
        <v>13908</v>
      </c>
      <c r="C6" t="s">
        <v>244</v>
      </c>
      <c r="D6" t="s">
        <v>2774</v>
      </c>
      <c r="G6" s="137" t="s">
        <v>2919</v>
      </c>
      <c r="H6">
        <v>11020463</v>
      </c>
      <c r="I6" t="s">
        <v>77</v>
      </c>
      <c r="J6" t="s">
        <v>1260</v>
      </c>
      <c r="K6" s="127">
        <v>45124</v>
      </c>
      <c r="L6" s="138">
        <v>120.52486900000001</v>
      </c>
      <c r="M6" s="139">
        <v>358.92305988200002</v>
      </c>
      <c r="N6" s="138">
        <v>116.54577913574674</v>
      </c>
      <c r="O6" s="139">
        <v>347.07333026625378</v>
      </c>
      <c r="P6" s="141">
        <v>0.96698532097758783</v>
      </c>
      <c r="Q6" s="127">
        <v>48021</v>
      </c>
    </row>
    <row r="7" spans="1:17" ht="14.15" customHeight="1" x14ac:dyDescent="0.3">
      <c r="A7">
        <v>13908</v>
      </c>
      <c r="B7">
        <v>13908</v>
      </c>
      <c r="C7" t="s">
        <v>244</v>
      </c>
      <c r="D7" t="s">
        <v>2776</v>
      </c>
      <c r="G7" s="137" t="s">
        <v>2920</v>
      </c>
      <c r="H7">
        <v>11020470</v>
      </c>
      <c r="I7" t="s">
        <v>77</v>
      </c>
      <c r="J7" t="s">
        <v>1260</v>
      </c>
      <c r="K7" s="127">
        <v>45135</v>
      </c>
      <c r="L7" s="138">
        <v>550</v>
      </c>
      <c r="M7" s="139">
        <v>1637.9</v>
      </c>
      <c r="N7" s="138">
        <v>314.24206605000001</v>
      </c>
      <c r="O7" s="139">
        <v>935.81287269690017</v>
      </c>
      <c r="P7" s="141">
        <v>0.57134921100000002</v>
      </c>
      <c r="Q7" s="127">
        <v>46660</v>
      </c>
    </row>
    <row r="8" spans="1:17" ht="14.15" customHeight="1" x14ac:dyDescent="0.3">
      <c r="A8">
        <v>13908</v>
      </c>
      <c r="B8">
        <v>13908</v>
      </c>
      <c r="C8" t="s">
        <v>244</v>
      </c>
      <c r="D8" t="s">
        <v>2838</v>
      </c>
      <c r="G8" s="137" t="s">
        <v>2921</v>
      </c>
      <c r="H8">
        <v>11020471</v>
      </c>
      <c r="I8" t="s">
        <v>77</v>
      </c>
      <c r="J8" t="s">
        <v>1265</v>
      </c>
      <c r="K8" s="127">
        <v>45139</v>
      </c>
      <c r="L8" s="138">
        <v>879.98072999999999</v>
      </c>
      <c r="M8" s="139">
        <v>2987.0945879849996</v>
      </c>
      <c r="N8" s="138">
        <v>339.75761932406454</v>
      </c>
      <c r="O8" s="139">
        <v>1153.3072387955369</v>
      </c>
      <c r="P8" s="141">
        <v>0.38609665841667301</v>
      </c>
      <c r="Q8" s="127">
        <v>49141</v>
      </c>
    </row>
    <row r="9" spans="1:17" ht="14.15" customHeight="1" x14ac:dyDescent="0.3">
      <c r="A9">
        <v>13908</v>
      </c>
      <c r="B9">
        <v>13908</v>
      </c>
      <c r="C9" t="s">
        <v>244</v>
      </c>
      <c r="D9" t="s">
        <v>2783</v>
      </c>
      <c r="G9" s="137" t="s">
        <v>2922</v>
      </c>
      <c r="H9">
        <v>11020502</v>
      </c>
      <c r="I9" t="s">
        <v>77</v>
      </c>
      <c r="J9" t="s">
        <v>1260</v>
      </c>
      <c r="K9" s="127">
        <v>45278</v>
      </c>
      <c r="L9" s="138">
        <v>681.63056999999992</v>
      </c>
      <c r="M9" s="139">
        <v>2029.8958374600002</v>
      </c>
      <c r="N9" s="138">
        <v>87.857605502683811</v>
      </c>
      <c r="O9" s="139">
        <v>261.6399491869924</v>
      </c>
      <c r="P9" s="141">
        <v>0.1288932881966896</v>
      </c>
      <c r="Q9" s="127">
        <v>48633</v>
      </c>
    </row>
    <row r="10" spans="1:17" ht="14.15" customHeight="1" x14ac:dyDescent="0.3">
      <c r="A10">
        <v>13908</v>
      </c>
      <c r="B10">
        <v>13908</v>
      </c>
      <c r="C10" t="s">
        <v>244</v>
      </c>
      <c r="D10" t="s">
        <v>2785</v>
      </c>
      <c r="G10" s="137" t="s">
        <v>2923</v>
      </c>
      <c r="H10">
        <v>11020508</v>
      </c>
      <c r="I10" t="s">
        <v>77</v>
      </c>
      <c r="J10" t="s">
        <v>1260</v>
      </c>
      <c r="K10" s="127">
        <v>45313</v>
      </c>
      <c r="L10" s="138">
        <v>918.5</v>
      </c>
      <c r="M10" s="139">
        <v>2735.2930000000001</v>
      </c>
      <c r="N10" s="138">
        <v>81.5</v>
      </c>
      <c r="O10" s="139">
        <v>242.70700000000002</v>
      </c>
      <c r="P10" s="141">
        <v>8.873162765378334E-2</v>
      </c>
      <c r="Q10" s="127">
        <v>47870</v>
      </c>
    </row>
    <row r="11" spans="1:17" ht="14.15" customHeight="1" x14ac:dyDescent="0.3">
      <c r="A11">
        <v>13908</v>
      </c>
      <c r="B11">
        <v>13908</v>
      </c>
      <c r="C11" t="s">
        <v>244</v>
      </c>
      <c r="D11" t="s">
        <v>2924</v>
      </c>
      <c r="G11" s="137" t="s">
        <v>2925</v>
      </c>
      <c r="H11">
        <v>11020523</v>
      </c>
      <c r="I11" t="s">
        <v>77</v>
      </c>
      <c r="J11" t="s">
        <v>1260</v>
      </c>
      <c r="K11" s="127">
        <v>45385</v>
      </c>
      <c r="L11" s="138">
        <v>1041.6666700000001</v>
      </c>
      <c r="M11" s="139">
        <v>3102.0833432600007</v>
      </c>
      <c r="N11" s="138">
        <v>159.92178288381223</v>
      </c>
      <c r="O11" s="139">
        <v>476.24706942799287</v>
      </c>
      <c r="P11" s="141">
        <v>0.15352491107718</v>
      </c>
      <c r="Q11" s="127">
        <v>47118</v>
      </c>
    </row>
    <row r="12" spans="1:17" ht="14.15" customHeight="1" x14ac:dyDescent="0.3">
      <c r="A12">
        <v>13908</v>
      </c>
      <c r="B12">
        <v>13908</v>
      </c>
      <c r="C12" t="s">
        <v>244</v>
      </c>
      <c r="D12" t="s">
        <v>2755</v>
      </c>
      <c r="G12" s="137" t="s">
        <v>2926</v>
      </c>
      <c r="H12">
        <v>11019351</v>
      </c>
      <c r="I12" t="s">
        <v>77</v>
      </c>
      <c r="J12" t="s">
        <v>1265</v>
      </c>
      <c r="K12" s="127">
        <v>45419</v>
      </c>
      <c r="L12" s="138">
        <v>951.099244</v>
      </c>
      <c r="M12" s="139">
        <v>3228.5063837579996</v>
      </c>
      <c r="N12" s="138">
        <v>313.94360094452753</v>
      </c>
      <c r="O12" s="139">
        <v>1065.6815534061986</v>
      </c>
      <c r="P12" s="141">
        <v>0.33008500734811597</v>
      </c>
      <c r="Q12" s="127">
        <v>46475</v>
      </c>
    </row>
    <row r="13" spans="1:17" ht="14.15" customHeight="1" x14ac:dyDescent="0.3">
      <c r="A13">
        <v>13908</v>
      </c>
      <c r="B13">
        <v>13908</v>
      </c>
      <c r="C13" t="s">
        <v>244</v>
      </c>
      <c r="D13" t="s">
        <v>2924</v>
      </c>
      <c r="G13" s="137" t="s">
        <v>2927</v>
      </c>
      <c r="H13">
        <v>11020525</v>
      </c>
      <c r="I13" t="s">
        <v>77</v>
      </c>
      <c r="J13" t="s">
        <v>1260</v>
      </c>
      <c r="K13" s="127">
        <v>45420</v>
      </c>
      <c r="L13" s="138">
        <v>3125</v>
      </c>
      <c r="M13" s="139">
        <v>9306.25</v>
      </c>
      <c r="N13" s="138">
        <v>1417.4288893749997</v>
      </c>
      <c r="O13" s="139">
        <v>4221.1032325587494</v>
      </c>
      <c r="P13" s="141">
        <v>0.45357724459999993</v>
      </c>
      <c r="Q13" s="127">
        <v>47663</v>
      </c>
    </row>
    <row r="14" spans="1:17" ht="14.15" customHeight="1" x14ac:dyDescent="0.3">
      <c r="A14">
        <v>13908</v>
      </c>
      <c r="B14">
        <v>13908</v>
      </c>
      <c r="C14" t="s">
        <v>244</v>
      </c>
      <c r="D14" t="s">
        <v>2789</v>
      </c>
      <c r="G14" s="137" t="s">
        <v>2928</v>
      </c>
      <c r="H14">
        <v>11021256</v>
      </c>
      <c r="I14" t="s">
        <v>77</v>
      </c>
      <c r="J14" t="s">
        <v>1260</v>
      </c>
      <c r="K14" s="127">
        <v>45427</v>
      </c>
      <c r="L14" s="138">
        <v>1150.0000000000002</v>
      </c>
      <c r="M14" s="139">
        <v>3424.7000000000007</v>
      </c>
      <c r="N14" s="138">
        <v>474.375</v>
      </c>
      <c r="O14" s="139">
        <v>1412.68875</v>
      </c>
      <c r="P14" s="141">
        <v>0.41249999999999992</v>
      </c>
      <c r="Q14" s="127">
        <v>47208</v>
      </c>
    </row>
    <row r="15" spans="1:17" ht="14.15" customHeight="1" x14ac:dyDescent="0.3">
      <c r="A15">
        <v>13908</v>
      </c>
      <c r="B15">
        <v>13908</v>
      </c>
      <c r="C15" t="s">
        <v>244</v>
      </c>
      <c r="D15" t="s">
        <v>2795</v>
      </c>
      <c r="G15" s="137" t="s">
        <v>2929</v>
      </c>
      <c r="H15">
        <v>11021293</v>
      </c>
      <c r="I15" t="s">
        <v>77</v>
      </c>
      <c r="J15" t="s">
        <v>1260</v>
      </c>
      <c r="K15" s="127">
        <v>45551</v>
      </c>
      <c r="L15" s="138">
        <v>452.44639000000001</v>
      </c>
      <c r="M15" s="139">
        <v>1347.38534942</v>
      </c>
      <c r="N15" s="138">
        <v>212.94888844681856</v>
      </c>
      <c r="O15" s="139">
        <v>634.16178979462575</v>
      </c>
      <c r="P15" s="141">
        <v>0.47066103996722924</v>
      </c>
      <c r="Q15" s="127">
        <v>47012</v>
      </c>
    </row>
    <row r="16" spans="1:17" ht="14.15" customHeight="1" x14ac:dyDescent="0.3">
      <c r="A16">
        <v>13908</v>
      </c>
      <c r="B16">
        <v>13908</v>
      </c>
      <c r="C16" t="s">
        <v>244</v>
      </c>
      <c r="D16" t="s">
        <v>2823</v>
      </c>
      <c r="G16" s="137" t="s">
        <v>2930</v>
      </c>
      <c r="H16">
        <v>11022854</v>
      </c>
      <c r="I16" t="s">
        <v>77</v>
      </c>
      <c r="J16" t="s">
        <v>1260</v>
      </c>
      <c r="K16" s="127">
        <v>45621</v>
      </c>
      <c r="L16" s="138">
        <v>894.34261682243039</v>
      </c>
      <c r="M16" s="139">
        <v>2663.3523128971979</v>
      </c>
      <c r="N16" s="138">
        <v>406.40050934579483</v>
      </c>
      <c r="O16" s="139">
        <v>1210.2607168317772</v>
      </c>
      <c r="P16" s="141">
        <v>0.45441255029277527</v>
      </c>
      <c r="Q16" s="127">
        <v>47938</v>
      </c>
    </row>
    <row r="17" spans="1:17" ht="14.15" customHeight="1" x14ac:dyDescent="0.3">
      <c r="A17">
        <v>13908</v>
      </c>
      <c r="B17">
        <v>13908</v>
      </c>
      <c r="C17" t="s">
        <v>244</v>
      </c>
      <c r="D17" t="s">
        <v>2803</v>
      </c>
      <c r="G17" s="137" t="s">
        <v>2931</v>
      </c>
      <c r="H17">
        <v>11022777</v>
      </c>
      <c r="I17" t="s">
        <v>77</v>
      </c>
      <c r="J17" t="s">
        <v>1260</v>
      </c>
      <c r="K17" s="127">
        <v>45641</v>
      </c>
      <c r="L17" s="138">
        <v>1450</v>
      </c>
      <c r="M17" s="139">
        <v>4318.1000000000004</v>
      </c>
      <c r="N17" s="138">
        <v>933.09022500000003</v>
      </c>
      <c r="O17" s="139">
        <v>2778.7426900500004</v>
      </c>
      <c r="P17" s="141">
        <v>0.6435105000000001</v>
      </c>
      <c r="Q17" s="127">
        <v>46930</v>
      </c>
    </row>
    <row r="18" spans="1:17" ht="14.15" customHeight="1" x14ac:dyDescent="0.3">
      <c r="A18">
        <v>13908</v>
      </c>
      <c r="B18">
        <v>13908</v>
      </c>
      <c r="C18" t="s">
        <v>244</v>
      </c>
      <c r="D18" t="s">
        <v>2732</v>
      </c>
      <c r="G18" s="137" t="s">
        <v>2932</v>
      </c>
      <c r="H18">
        <v>11022778</v>
      </c>
      <c r="I18" t="s">
        <v>77</v>
      </c>
      <c r="J18" t="s">
        <v>1260</v>
      </c>
      <c r="K18" s="127">
        <v>45663</v>
      </c>
      <c r="L18" s="138">
        <v>603.75</v>
      </c>
      <c r="M18" s="139">
        <v>1797.9675000000002</v>
      </c>
      <c r="N18" s="138">
        <v>26.25</v>
      </c>
      <c r="O18" s="139">
        <v>78.172499999999999</v>
      </c>
      <c r="P18" s="141">
        <v>4.3478260869565209E-2</v>
      </c>
      <c r="Q18" s="127">
        <v>48944</v>
      </c>
    </row>
    <row r="19" spans="1:17" ht="14.15" customHeight="1" x14ac:dyDescent="0.3">
      <c r="A19">
        <v>13908</v>
      </c>
      <c r="B19">
        <v>13908</v>
      </c>
      <c r="C19" t="s">
        <v>244</v>
      </c>
      <c r="D19" t="s">
        <v>2823</v>
      </c>
      <c r="G19" s="137" t="s">
        <v>2933</v>
      </c>
      <c r="H19">
        <v>11022784</v>
      </c>
      <c r="I19" t="s">
        <v>77</v>
      </c>
      <c r="J19" t="s">
        <v>1260</v>
      </c>
      <c r="K19" s="127">
        <v>45673</v>
      </c>
      <c r="L19" s="138">
        <v>667.72650999999996</v>
      </c>
      <c r="M19" s="139">
        <v>1988.4895467800002</v>
      </c>
      <c r="N19" s="138">
        <v>91.901968431182951</v>
      </c>
      <c r="O19" s="139">
        <v>273.68406198806287</v>
      </c>
      <c r="P19" s="141">
        <v>0.13763414669754981</v>
      </c>
      <c r="Q19" s="127">
        <v>47524</v>
      </c>
    </row>
    <row r="20" spans="1:17" ht="14.15" customHeight="1" x14ac:dyDescent="0.3">
      <c r="A20">
        <v>13908</v>
      </c>
      <c r="B20">
        <v>13908</v>
      </c>
      <c r="C20" t="s">
        <v>244</v>
      </c>
      <c r="D20" t="s">
        <v>2806</v>
      </c>
      <c r="G20" s="137" t="s">
        <v>2934</v>
      </c>
      <c r="H20">
        <v>11022785</v>
      </c>
      <c r="I20" t="s">
        <v>77</v>
      </c>
      <c r="J20" t="s">
        <v>1260</v>
      </c>
      <c r="K20" s="127">
        <v>45715</v>
      </c>
      <c r="L20" s="138">
        <v>4586.1767900000004</v>
      </c>
      <c r="M20" s="139">
        <v>13657.634480620001</v>
      </c>
      <c r="N20" s="138">
        <v>413.82321098372137</v>
      </c>
      <c r="O20" s="139">
        <v>1232.3655223095225</v>
      </c>
      <c r="P20" s="141">
        <v>9.023272105123567E-2</v>
      </c>
      <c r="Q20" s="127">
        <v>50061</v>
      </c>
    </row>
    <row r="21" spans="1:17" ht="14.15" customHeight="1" x14ac:dyDescent="0.3">
      <c r="A21">
        <v>13908</v>
      </c>
      <c r="B21">
        <v>13908</v>
      </c>
      <c r="C21" t="s">
        <v>244</v>
      </c>
      <c r="D21" t="s">
        <v>2935</v>
      </c>
      <c r="G21" s="137" t="s">
        <v>2936</v>
      </c>
      <c r="H21">
        <v>11022791</v>
      </c>
      <c r="I21" t="s">
        <v>77</v>
      </c>
      <c r="J21" t="s">
        <v>1260</v>
      </c>
      <c r="K21" s="127">
        <v>45700</v>
      </c>
      <c r="L21" s="138">
        <v>1200</v>
      </c>
      <c r="M21" s="139">
        <v>3573.6000000000004</v>
      </c>
      <c r="N21" s="138">
        <v>763.05594299999984</v>
      </c>
      <c r="O21" s="139">
        <v>2272.3805982539998</v>
      </c>
      <c r="P21" s="141">
        <v>0.63587995249999985</v>
      </c>
      <c r="Q21" s="127">
        <v>47664</v>
      </c>
    </row>
    <row r="22" spans="1:17" ht="14.15" customHeight="1" x14ac:dyDescent="0.3">
      <c r="A22">
        <v>13908</v>
      </c>
      <c r="B22">
        <v>13908</v>
      </c>
      <c r="C22" t="s">
        <v>244</v>
      </c>
      <c r="D22" t="s">
        <v>2935</v>
      </c>
      <c r="G22" s="137" t="s">
        <v>2937</v>
      </c>
      <c r="H22">
        <v>11022792</v>
      </c>
      <c r="I22" t="s">
        <v>77</v>
      </c>
      <c r="J22" t="s">
        <v>1260</v>
      </c>
      <c r="K22" s="127">
        <v>45700</v>
      </c>
      <c r="L22" s="138">
        <v>1200</v>
      </c>
      <c r="M22" s="139">
        <v>3573.6000000000004</v>
      </c>
      <c r="N22" s="138">
        <v>788.25103800000011</v>
      </c>
      <c r="O22" s="139">
        <v>2347.4115911640001</v>
      </c>
      <c r="P22" s="141">
        <v>0.65687586499999995</v>
      </c>
      <c r="Q22" s="127">
        <v>47664</v>
      </c>
    </row>
    <row r="23" spans="1:17" ht="14.15" customHeight="1" x14ac:dyDescent="0.3">
      <c r="A23">
        <v>13908</v>
      </c>
      <c r="B23">
        <v>13908</v>
      </c>
      <c r="C23" t="s">
        <v>244</v>
      </c>
      <c r="D23" t="s">
        <v>2811</v>
      </c>
      <c r="G23" s="137" t="s">
        <v>2938</v>
      </c>
      <c r="H23">
        <v>11022794</v>
      </c>
      <c r="I23" t="s">
        <v>77</v>
      </c>
      <c r="J23" t="s">
        <v>1260</v>
      </c>
      <c r="K23" s="127">
        <v>45684</v>
      </c>
      <c r="L23" s="138">
        <v>1450.0000000000002</v>
      </c>
      <c r="M23" s="139">
        <v>4318.1000000000013</v>
      </c>
      <c r="N23" s="138">
        <v>507.5</v>
      </c>
      <c r="O23" s="139">
        <v>1511.335</v>
      </c>
      <c r="P23" s="141">
        <v>0.34999999999999992</v>
      </c>
      <c r="Q23" s="127">
        <v>49336</v>
      </c>
    </row>
    <row r="24" spans="1:17" ht="14.15" customHeight="1" x14ac:dyDescent="0.3">
      <c r="A24">
        <v>13908</v>
      </c>
      <c r="B24">
        <v>13908</v>
      </c>
      <c r="C24" t="s">
        <v>244</v>
      </c>
      <c r="D24" t="s">
        <v>2734</v>
      </c>
      <c r="G24" s="137" t="s">
        <v>2939</v>
      </c>
      <c r="H24">
        <v>11022812</v>
      </c>
      <c r="I24" t="s">
        <v>77</v>
      </c>
      <c r="J24" t="s">
        <v>1260</v>
      </c>
      <c r="K24" s="127">
        <v>45743</v>
      </c>
      <c r="L24" s="138">
        <v>2000</v>
      </c>
      <c r="M24" s="139">
        <v>5956</v>
      </c>
      <c r="N24" s="138">
        <v>800.73448275862063</v>
      </c>
      <c r="O24" s="139">
        <v>2384.5872896551723</v>
      </c>
      <c r="P24" s="141">
        <v>0.40036724137931035</v>
      </c>
      <c r="Q24" s="127">
        <v>46692</v>
      </c>
    </row>
    <row r="25" spans="1:17" ht="14.15" customHeight="1" x14ac:dyDescent="0.3">
      <c r="A25">
        <v>13908</v>
      </c>
      <c r="B25">
        <v>13908</v>
      </c>
      <c r="C25" t="s">
        <v>244</v>
      </c>
      <c r="D25" t="s">
        <v>2736</v>
      </c>
      <c r="G25" s="137" t="s">
        <v>2737</v>
      </c>
      <c r="H25">
        <v>11022813</v>
      </c>
      <c r="I25" t="s">
        <v>77</v>
      </c>
      <c r="J25" t="s">
        <v>1260</v>
      </c>
      <c r="K25" s="127">
        <v>45722</v>
      </c>
      <c r="L25" s="138">
        <v>1240</v>
      </c>
      <c r="M25" s="139">
        <v>3692.7200000000003</v>
      </c>
      <c r="N25" s="138">
        <v>361.85992302857136</v>
      </c>
      <c r="O25" s="139">
        <v>1077.6188507790857</v>
      </c>
      <c r="P25" s="141">
        <v>0.29182251857142855</v>
      </c>
      <c r="Q25" s="127">
        <v>47766</v>
      </c>
    </row>
    <row r="26" spans="1:17" ht="14.15" customHeight="1" x14ac:dyDescent="0.3">
      <c r="A26">
        <v>13908</v>
      </c>
      <c r="B26">
        <v>13908</v>
      </c>
      <c r="C26" t="s">
        <v>244</v>
      </c>
      <c r="D26" t="s">
        <v>2722</v>
      </c>
      <c r="G26" s="137" t="s">
        <v>2940</v>
      </c>
      <c r="H26">
        <v>11022819</v>
      </c>
      <c r="I26" t="s">
        <v>77</v>
      </c>
      <c r="J26" t="s">
        <v>1260</v>
      </c>
      <c r="K26" s="127">
        <v>45786</v>
      </c>
      <c r="L26" s="138">
        <v>235.29400000000001</v>
      </c>
      <c r="M26" s="139">
        <v>700.70553200000006</v>
      </c>
      <c r="N26" s="138">
        <v>176.47049999999999</v>
      </c>
      <c r="O26" s="139">
        <v>525.52914900000007</v>
      </c>
      <c r="P26" s="141">
        <v>0.75</v>
      </c>
      <c r="Q26" s="127">
        <v>47588</v>
      </c>
    </row>
    <row r="27" spans="1:17" ht="14.15" customHeight="1" x14ac:dyDescent="0.3">
      <c r="A27">
        <v>13908</v>
      </c>
      <c r="B27">
        <v>13908</v>
      </c>
      <c r="C27" t="s">
        <v>244</v>
      </c>
      <c r="D27" t="s">
        <v>2941</v>
      </c>
      <c r="G27" s="137" t="s">
        <v>2942</v>
      </c>
      <c r="H27">
        <v>11021308</v>
      </c>
      <c r="I27" t="s">
        <v>77</v>
      </c>
      <c r="J27" t="s">
        <v>1260</v>
      </c>
      <c r="K27" s="127">
        <v>45652</v>
      </c>
      <c r="L27" s="138">
        <v>4000</v>
      </c>
      <c r="M27" s="139">
        <v>11912</v>
      </c>
      <c r="N27" s="138">
        <v>1826.5059555555556</v>
      </c>
      <c r="O27" s="139">
        <v>5439.3347356444447</v>
      </c>
      <c r="P27" s="141">
        <v>0.4566264888888889</v>
      </c>
      <c r="Q27" s="127">
        <v>49123</v>
      </c>
    </row>
    <row r="28" spans="1:17" ht="14.15" customHeight="1" x14ac:dyDescent="0.3">
      <c r="A28">
        <v>13908</v>
      </c>
      <c r="B28">
        <v>13908</v>
      </c>
      <c r="C28" t="s">
        <v>244</v>
      </c>
      <c r="D28" t="s">
        <v>2722</v>
      </c>
      <c r="G28" s="137" t="s">
        <v>2943</v>
      </c>
      <c r="H28">
        <v>11021279</v>
      </c>
      <c r="I28" t="s">
        <v>77</v>
      </c>
      <c r="J28" t="s">
        <v>1260</v>
      </c>
      <c r="K28" s="127">
        <v>45510</v>
      </c>
      <c r="L28" s="138">
        <v>670.58823529411757</v>
      </c>
      <c r="M28" s="139">
        <v>1997.0117647058823</v>
      </c>
      <c r="N28" s="138">
        <v>573.52941176470574</v>
      </c>
      <c r="O28" s="139">
        <v>1707.9705882352939</v>
      </c>
      <c r="P28" s="141">
        <v>0.85526315789473673</v>
      </c>
      <c r="Q28" s="127">
        <v>47238</v>
      </c>
    </row>
    <row r="29" spans="1:17" ht="14.15" customHeight="1" x14ac:dyDescent="0.3">
      <c r="A29">
        <v>13908</v>
      </c>
      <c r="B29">
        <v>13908</v>
      </c>
      <c r="C29" t="s">
        <v>244</v>
      </c>
      <c r="D29" t="s">
        <v>2944</v>
      </c>
      <c r="G29" s="137" t="s">
        <v>2945</v>
      </c>
      <c r="H29">
        <v>11021280</v>
      </c>
      <c r="I29" t="s">
        <v>77</v>
      </c>
      <c r="J29" t="s">
        <v>1260</v>
      </c>
      <c r="K29" s="127">
        <v>45630</v>
      </c>
      <c r="L29" s="138">
        <v>2249.1235200000001</v>
      </c>
      <c r="M29" s="139">
        <v>6697.8898425600009</v>
      </c>
      <c r="N29" s="138">
        <v>100.87657477444272</v>
      </c>
      <c r="O29" s="139">
        <v>300.41043967829046</v>
      </c>
      <c r="P29" s="141">
        <v>4.485150498734846E-2</v>
      </c>
      <c r="Q29" s="127">
        <v>47447</v>
      </c>
    </row>
    <row r="30" spans="1:17" ht="14.15" customHeight="1" x14ac:dyDescent="0.3">
      <c r="A30">
        <v>13908</v>
      </c>
      <c r="B30">
        <v>13908</v>
      </c>
      <c r="C30" t="s">
        <v>244</v>
      </c>
      <c r="D30" t="s">
        <v>2726</v>
      </c>
      <c r="G30" s="137" t="s">
        <v>2946</v>
      </c>
      <c r="H30">
        <v>11022538</v>
      </c>
      <c r="I30" t="s">
        <v>77</v>
      </c>
      <c r="J30" t="s">
        <v>1258</v>
      </c>
      <c r="K30" s="127">
        <v>45930</v>
      </c>
      <c r="L30" s="138">
        <v>14500</v>
      </c>
      <c r="M30" s="139">
        <v>14500</v>
      </c>
      <c r="N30" s="138">
        <v>13895.43468</v>
      </c>
      <c r="O30" s="139">
        <v>13895.43468</v>
      </c>
      <c r="P30" s="141">
        <v>0.95830584000000008</v>
      </c>
      <c r="Q30" s="127">
        <v>47756</v>
      </c>
    </row>
    <row r="31" spans="1:17" ht="14.15" customHeight="1" x14ac:dyDescent="0.3">
      <c r="A31">
        <v>13908</v>
      </c>
      <c r="B31">
        <v>13908</v>
      </c>
      <c r="C31" t="s">
        <v>244</v>
      </c>
      <c r="D31" t="s">
        <v>2947</v>
      </c>
      <c r="G31" s="137" t="s">
        <v>2948</v>
      </c>
      <c r="H31">
        <v>11022842</v>
      </c>
      <c r="I31" t="s">
        <v>77</v>
      </c>
      <c r="J31" t="s">
        <v>1260</v>
      </c>
      <c r="K31" s="127">
        <v>45882</v>
      </c>
      <c r="L31" s="138">
        <v>1000</v>
      </c>
      <c r="M31" s="139">
        <v>2978</v>
      </c>
      <c r="N31" s="138">
        <v>1000</v>
      </c>
      <c r="O31" s="139">
        <v>2978</v>
      </c>
      <c r="P31" s="141">
        <v>1</v>
      </c>
      <c r="Q31" s="127">
        <v>47756</v>
      </c>
    </row>
    <row r="32" spans="1:17" ht="14.15" customHeight="1" x14ac:dyDescent="0.3">
      <c r="A32">
        <v>13908</v>
      </c>
      <c r="B32">
        <v>13908</v>
      </c>
      <c r="C32" t="s">
        <v>244</v>
      </c>
      <c r="D32" t="s">
        <v>2949</v>
      </c>
      <c r="G32" s="137" t="s">
        <v>2950</v>
      </c>
      <c r="H32">
        <v>11022834</v>
      </c>
      <c r="I32" t="s">
        <v>77</v>
      </c>
      <c r="J32" t="s">
        <v>1260</v>
      </c>
      <c r="K32" s="127">
        <v>45736</v>
      </c>
      <c r="L32" s="138">
        <v>1240</v>
      </c>
      <c r="M32" s="139">
        <v>3692.7200000000003</v>
      </c>
      <c r="N32" s="138">
        <v>1086.24</v>
      </c>
      <c r="O32" s="139">
        <v>3234.8227200000001</v>
      </c>
      <c r="P32" s="141">
        <v>0.876</v>
      </c>
      <c r="Q32" s="127">
        <v>47548</v>
      </c>
    </row>
    <row r="33" spans="1:17" ht="14.15" customHeight="1" x14ac:dyDescent="0.3">
      <c r="A33">
        <v>13908</v>
      </c>
      <c r="B33">
        <v>13908</v>
      </c>
      <c r="C33" t="s">
        <v>244</v>
      </c>
      <c r="D33" t="s">
        <v>2951</v>
      </c>
      <c r="G33" s="137" t="s">
        <v>2952</v>
      </c>
      <c r="H33">
        <v>11022830</v>
      </c>
      <c r="I33" t="s">
        <v>77</v>
      </c>
      <c r="J33" t="s">
        <v>1260</v>
      </c>
      <c r="K33" s="127">
        <v>45855</v>
      </c>
      <c r="L33" s="138">
        <v>3599.9999999999995</v>
      </c>
      <c r="M33" s="139">
        <v>10720.8</v>
      </c>
      <c r="N33" s="138">
        <v>2995.0085519999998</v>
      </c>
      <c r="O33" s="139">
        <v>8919.1354678560001</v>
      </c>
      <c r="P33" s="141">
        <v>0.83194682000000009</v>
      </c>
      <c r="Q33" s="127">
        <v>47681</v>
      </c>
    </row>
    <row r="34" spans="1:17" ht="14.15" customHeight="1" x14ac:dyDescent="0.3">
      <c r="A34">
        <v>13908</v>
      </c>
      <c r="B34">
        <v>13908</v>
      </c>
      <c r="C34" t="s">
        <v>244</v>
      </c>
      <c r="D34" t="s">
        <v>2953</v>
      </c>
      <c r="G34" s="137" t="s">
        <v>2954</v>
      </c>
      <c r="H34">
        <v>11022949</v>
      </c>
      <c r="I34" t="s">
        <v>77</v>
      </c>
      <c r="J34" t="s">
        <v>1262</v>
      </c>
      <c r="K34" s="127">
        <v>45753</v>
      </c>
      <c r="L34" s="138">
        <v>1900</v>
      </c>
      <c r="M34" s="139">
        <v>7483.91</v>
      </c>
      <c r="N34" s="138">
        <v>1900</v>
      </c>
      <c r="O34" s="139">
        <v>7483.91</v>
      </c>
      <c r="P34" s="141">
        <v>1</v>
      </c>
      <c r="Q34" s="127">
        <v>47710</v>
      </c>
    </row>
    <row r="35" spans="1:17" ht="14.15" customHeight="1" x14ac:dyDescent="0.3">
      <c r="A35">
        <v>13908</v>
      </c>
      <c r="B35">
        <v>13908</v>
      </c>
      <c r="C35" t="s">
        <v>244</v>
      </c>
      <c r="D35" t="s">
        <v>2817</v>
      </c>
      <c r="G35" s="137" t="s">
        <v>2955</v>
      </c>
      <c r="H35">
        <v>11022823</v>
      </c>
      <c r="I35" t="s">
        <v>77</v>
      </c>
      <c r="J35" t="s">
        <v>1260</v>
      </c>
      <c r="K35" s="127">
        <v>45899</v>
      </c>
      <c r="L35" s="138">
        <v>4700</v>
      </c>
      <c r="M35" s="139">
        <v>13996.600000000002</v>
      </c>
      <c r="N35" s="138">
        <v>3760</v>
      </c>
      <c r="O35" s="139">
        <v>11197.28</v>
      </c>
      <c r="P35" s="141">
        <v>0.79999999999999993</v>
      </c>
      <c r="Q35" s="127">
        <v>47421</v>
      </c>
    </row>
    <row r="36" spans="1:17" ht="14.15" customHeight="1" x14ac:dyDescent="0.3">
      <c r="A36">
        <v>13908</v>
      </c>
      <c r="B36">
        <v>13908</v>
      </c>
      <c r="C36" t="s">
        <v>244</v>
      </c>
      <c r="D36" t="s">
        <v>2956</v>
      </c>
      <c r="G36" s="137" t="s">
        <v>2957</v>
      </c>
      <c r="H36">
        <v>11022818</v>
      </c>
      <c r="I36" t="s">
        <v>77</v>
      </c>
      <c r="J36" t="s">
        <v>1260</v>
      </c>
      <c r="K36" s="127">
        <v>45695</v>
      </c>
      <c r="L36" s="138">
        <v>4000</v>
      </c>
      <c r="M36" s="139">
        <v>11912</v>
      </c>
      <c r="N36" s="138">
        <v>3193.4808000000003</v>
      </c>
      <c r="O36" s="139">
        <v>9510.1858224000025</v>
      </c>
      <c r="P36" s="141">
        <v>0.79837020000000025</v>
      </c>
      <c r="Q36" s="127">
        <v>49095</v>
      </c>
    </row>
    <row r="37" spans="1:17" ht="14.15" customHeight="1" x14ac:dyDescent="0.3">
      <c r="A37">
        <v>13908</v>
      </c>
      <c r="B37">
        <v>13908</v>
      </c>
      <c r="C37" t="s">
        <v>244</v>
      </c>
      <c r="D37" t="s">
        <v>2813</v>
      </c>
      <c r="G37" s="137" t="s">
        <v>2958</v>
      </c>
      <c r="H37">
        <v>11022809</v>
      </c>
      <c r="I37" t="s">
        <v>77</v>
      </c>
      <c r="J37" t="s">
        <v>1260</v>
      </c>
      <c r="K37" s="127">
        <v>45743</v>
      </c>
      <c r="L37" s="138">
        <v>3700</v>
      </c>
      <c r="M37" s="139">
        <v>11018.6</v>
      </c>
      <c r="N37" s="138">
        <v>3494.1723299999994</v>
      </c>
      <c r="O37" s="139">
        <v>10405.64519874</v>
      </c>
      <c r="P37" s="141">
        <v>0.9443708999999999</v>
      </c>
      <c r="Q37" s="127">
        <v>50556</v>
      </c>
    </row>
    <row r="38" spans="1:17" ht="14.15" customHeight="1" x14ac:dyDescent="0.3">
      <c r="A38">
        <v>13908</v>
      </c>
      <c r="B38">
        <v>13908</v>
      </c>
      <c r="C38" t="s">
        <v>244</v>
      </c>
      <c r="D38" t="s">
        <v>2959</v>
      </c>
      <c r="G38" s="137" t="s">
        <v>2960</v>
      </c>
      <c r="H38">
        <v>11020009</v>
      </c>
      <c r="I38" t="s">
        <v>77</v>
      </c>
      <c r="J38" t="s">
        <v>1260</v>
      </c>
      <c r="K38" s="127">
        <v>45008</v>
      </c>
      <c r="L38" s="138">
        <v>220</v>
      </c>
      <c r="M38" s="139">
        <v>655.16</v>
      </c>
      <c r="N38" s="138">
        <v>6.2480000000000002</v>
      </c>
      <c r="O38" s="139">
        <v>18.606544000000003</v>
      </c>
      <c r="P38" s="141">
        <v>2.8400000000000005E-2</v>
      </c>
      <c r="Q38" s="127">
        <v>46835</v>
      </c>
    </row>
    <row r="39" spans="1:17" ht="14.15" customHeight="1" x14ac:dyDescent="0.3">
      <c r="A39">
        <v>13908</v>
      </c>
      <c r="B39">
        <v>13908</v>
      </c>
      <c r="C39" t="s">
        <v>244</v>
      </c>
      <c r="D39" t="s">
        <v>2961</v>
      </c>
      <c r="G39" s="137" t="s">
        <v>2962</v>
      </c>
      <c r="H39">
        <v>11022851</v>
      </c>
      <c r="I39" t="s">
        <v>77</v>
      </c>
      <c r="J39" t="s">
        <v>1260</v>
      </c>
      <c r="K39" s="127">
        <v>45882</v>
      </c>
      <c r="L39" s="138">
        <v>1200</v>
      </c>
      <c r="M39" s="139">
        <v>3573.6000000000004</v>
      </c>
      <c r="N39" s="138">
        <v>1056</v>
      </c>
      <c r="O39" s="139">
        <v>3144.768</v>
      </c>
      <c r="P39" s="141">
        <v>0.87999999999999989</v>
      </c>
      <c r="Q39" s="127">
        <v>47827</v>
      </c>
    </row>
    <row r="40" spans="1:17" ht="14.15" customHeight="1" x14ac:dyDescent="0.3">
      <c r="A40">
        <v>13908</v>
      </c>
      <c r="B40">
        <v>13908</v>
      </c>
      <c r="C40" t="s">
        <v>244</v>
      </c>
      <c r="D40" t="s">
        <v>2823</v>
      </c>
      <c r="G40" s="137" t="s">
        <v>2963</v>
      </c>
      <c r="H40">
        <v>11022855</v>
      </c>
      <c r="I40" t="s">
        <v>77</v>
      </c>
      <c r="J40" t="s">
        <v>1260</v>
      </c>
      <c r="K40" s="127">
        <v>46352</v>
      </c>
      <c r="L40" s="138">
        <v>2105.65738317757</v>
      </c>
      <c r="M40" s="139">
        <v>6270.6476871028044</v>
      </c>
      <c r="N40" s="138">
        <v>959.89115887850448</v>
      </c>
      <c r="O40" s="139">
        <v>2858.5558711401868</v>
      </c>
      <c r="P40" s="141">
        <v>0.45586293693704721</v>
      </c>
      <c r="Q40" s="127">
        <v>47938</v>
      </c>
    </row>
    <row r="41" spans="1:17" ht="14.15" customHeight="1" x14ac:dyDescent="0.3">
      <c r="A41">
        <v>13908</v>
      </c>
      <c r="B41">
        <v>13908</v>
      </c>
      <c r="C41" t="s">
        <v>244</v>
      </c>
      <c r="D41" t="s">
        <v>2964</v>
      </c>
      <c r="G41" s="137" t="s">
        <v>2965</v>
      </c>
      <c r="H41">
        <v>11022859</v>
      </c>
      <c r="I41" t="s">
        <v>77</v>
      </c>
      <c r="J41" t="s">
        <v>1260</v>
      </c>
      <c r="K41" s="127">
        <v>45992</v>
      </c>
      <c r="L41" s="138">
        <v>4300</v>
      </c>
      <c r="M41" s="139">
        <v>12805.4</v>
      </c>
      <c r="N41" s="138">
        <v>4108.9569339999998</v>
      </c>
      <c r="O41" s="139">
        <v>12236.473749452001</v>
      </c>
      <c r="P41" s="141">
        <v>0.95557138000000008</v>
      </c>
      <c r="Q41" s="127">
        <v>47818</v>
      </c>
    </row>
    <row r="42" spans="1:17" ht="14.15" customHeight="1" x14ac:dyDescent="0.3">
      <c r="A42">
        <v>13908</v>
      </c>
      <c r="B42">
        <v>13908</v>
      </c>
      <c r="C42" t="s">
        <v>244</v>
      </c>
      <c r="D42" t="s">
        <v>2830</v>
      </c>
      <c r="G42" s="137" t="s">
        <v>2966</v>
      </c>
      <c r="H42">
        <v>11022861</v>
      </c>
      <c r="I42" t="s">
        <v>77</v>
      </c>
      <c r="J42" t="s">
        <v>1260</v>
      </c>
      <c r="K42" s="127">
        <v>45992</v>
      </c>
      <c r="L42" s="138">
        <v>5500</v>
      </c>
      <c r="M42" s="139">
        <v>16379.000000000002</v>
      </c>
      <c r="N42" s="138">
        <v>4755.11949</v>
      </c>
      <c r="O42" s="139">
        <v>14160.745841220001</v>
      </c>
      <c r="P42" s="141">
        <v>0.86456717999999999</v>
      </c>
      <c r="Q42" s="127">
        <v>47818</v>
      </c>
    </row>
    <row r="43" spans="1:17" ht="14.15" customHeight="1" x14ac:dyDescent="0.3">
      <c r="A43">
        <v>13908</v>
      </c>
      <c r="B43">
        <v>13908</v>
      </c>
      <c r="C43" t="s">
        <v>244</v>
      </c>
      <c r="D43" t="s">
        <v>2967</v>
      </c>
      <c r="G43" s="137" t="s">
        <v>2968</v>
      </c>
      <c r="H43">
        <v>11022864</v>
      </c>
      <c r="I43" t="s">
        <v>77</v>
      </c>
      <c r="J43" t="s">
        <v>1260</v>
      </c>
      <c r="K43" s="127">
        <v>45992</v>
      </c>
      <c r="L43" s="138">
        <v>5000</v>
      </c>
      <c r="M43" s="139">
        <v>14890.000000000002</v>
      </c>
      <c r="N43" s="138">
        <v>2500</v>
      </c>
      <c r="O43" s="139">
        <v>7445.0000000000009</v>
      </c>
      <c r="P43" s="141">
        <v>0.5</v>
      </c>
      <c r="Q43" s="127">
        <v>47088</v>
      </c>
    </row>
    <row r="44" spans="1:17" ht="14.15" customHeight="1" x14ac:dyDescent="0.3">
      <c r="A44">
        <v>13908</v>
      </c>
      <c r="B44">
        <v>13908</v>
      </c>
      <c r="C44" t="s">
        <v>244</v>
      </c>
      <c r="D44" t="s">
        <v>2969</v>
      </c>
      <c r="G44" s="137" t="s">
        <v>2970</v>
      </c>
      <c r="H44">
        <v>11022549</v>
      </c>
      <c r="I44" t="s">
        <v>77</v>
      </c>
      <c r="J44" t="s">
        <v>1258</v>
      </c>
      <c r="K44" s="127">
        <v>46007</v>
      </c>
      <c r="L44" s="138">
        <v>7000</v>
      </c>
      <c r="M44" s="139">
        <v>7000</v>
      </c>
      <c r="N44" s="138">
        <v>2059.8386</v>
      </c>
      <c r="O44" s="139">
        <v>2059.8386</v>
      </c>
      <c r="P44" s="141">
        <v>0.29426265714285715</v>
      </c>
      <c r="Q44" s="127">
        <v>47833</v>
      </c>
    </row>
    <row r="45" spans="1:17" ht="14.15" customHeight="1" x14ac:dyDescent="0.3">
      <c r="A45">
        <v>13908</v>
      </c>
      <c r="B45">
        <v>13908</v>
      </c>
      <c r="C45" t="s">
        <v>244</v>
      </c>
      <c r="D45" t="s">
        <v>2832</v>
      </c>
      <c r="G45" s="137" t="s">
        <v>2971</v>
      </c>
      <c r="H45">
        <v>11022868</v>
      </c>
      <c r="I45" t="s">
        <v>77</v>
      </c>
      <c r="J45" t="s">
        <v>1260</v>
      </c>
      <c r="K45" s="127">
        <v>45978</v>
      </c>
      <c r="L45" s="138">
        <v>2900</v>
      </c>
      <c r="M45" s="139">
        <v>8636.2000000000007</v>
      </c>
      <c r="N45" s="138">
        <v>2029.9999999999998</v>
      </c>
      <c r="O45" s="139">
        <v>6045.34</v>
      </c>
      <c r="P45" s="141">
        <v>0.7</v>
      </c>
      <c r="Q45" s="127">
        <v>49919</v>
      </c>
    </row>
    <row r="46" spans="1:17" ht="14.15" customHeight="1" x14ac:dyDescent="0.3">
      <c r="A46">
        <v>13908</v>
      </c>
      <c r="B46">
        <v>13908</v>
      </c>
      <c r="C46" t="s">
        <v>244</v>
      </c>
      <c r="D46" t="s">
        <v>2834</v>
      </c>
      <c r="G46" s="137" t="s">
        <v>2972</v>
      </c>
      <c r="H46">
        <v>11150000</v>
      </c>
      <c r="I46" t="s">
        <v>77</v>
      </c>
      <c r="J46" t="s">
        <v>1260</v>
      </c>
      <c r="K46" s="127">
        <v>46038</v>
      </c>
      <c r="L46" s="138">
        <v>1000</v>
      </c>
      <c r="M46" s="139">
        <v>2978</v>
      </c>
      <c r="N46" s="138">
        <v>550</v>
      </c>
      <c r="O46" s="139">
        <v>1637.9</v>
      </c>
      <c r="P46" s="141">
        <v>0.55000000000000004</v>
      </c>
      <c r="Q46" s="127">
        <v>50496</v>
      </c>
    </row>
    <row r="47" spans="1:17" ht="14.15" customHeight="1" x14ac:dyDescent="0.3">
      <c r="A47">
        <v>13908</v>
      </c>
      <c r="B47">
        <v>13908</v>
      </c>
      <c r="C47" t="s">
        <v>244</v>
      </c>
      <c r="D47" t="s">
        <v>2973</v>
      </c>
      <c r="G47" s="137" t="s">
        <v>2974</v>
      </c>
      <c r="H47">
        <v>11141033</v>
      </c>
      <c r="I47" t="s">
        <v>77</v>
      </c>
      <c r="J47" t="s">
        <v>1260</v>
      </c>
      <c r="K47" s="127">
        <v>46023</v>
      </c>
      <c r="L47" s="138">
        <v>2000</v>
      </c>
      <c r="M47" s="139">
        <v>5956</v>
      </c>
      <c r="N47" s="138">
        <v>2000</v>
      </c>
      <c r="O47" s="139">
        <v>5956</v>
      </c>
      <c r="P47" s="141">
        <v>1</v>
      </c>
      <c r="Q47" s="127">
        <v>47849</v>
      </c>
    </row>
    <row r="48" spans="1:17" ht="14.15" customHeight="1" x14ac:dyDescent="0.3">
      <c r="A48">
        <v>13908</v>
      </c>
      <c r="B48">
        <v>13908</v>
      </c>
      <c r="C48" t="s">
        <v>244</v>
      </c>
      <c r="D48" t="s">
        <v>2975</v>
      </c>
      <c r="G48" s="137" t="s">
        <v>2976</v>
      </c>
      <c r="H48">
        <v>11150003</v>
      </c>
      <c r="I48" t="s">
        <v>77</v>
      </c>
      <c r="J48" t="s">
        <v>1260</v>
      </c>
      <c r="K48" s="127">
        <v>46072</v>
      </c>
      <c r="L48" s="138">
        <v>8250</v>
      </c>
      <c r="M48" s="139">
        <v>24568.5</v>
      </c>
      <c r="N48" s="138">
        <v>8250</v>
      </c>
      <c r="O48" s="139">
        <v>24568.5</v>
      </c>
      <c r="P48" s="141">
        <v>1</v>
      </c>
      <c r="Q48" s="127">
        <v>49856</v>
      </c>
    </row>
    <row r="49" spans="1:17" ht="14.15" customHeight="1" x14ac:dyDescent="0.3">
      <c r="A49">
        <v>13908</v>
      </c>
      <c r="B49">
        <v>13908</v>
      </c>
      <c r="C49" t="s">
        <v>244</v>
      </c>
      <c r="D49" t="s">
        <v>2747</v>
      </c>
      <c r="G49" s="137" t="s">
        <v>2748</v>
      </c>
      <c r="H49">
        <v>11150004</v>
      </c>
      <c r="I49" t="s">
        <v>77</v>
      </c>
      <c r="J49" t="s">
        <v>1258</v>
      </c>
      <c r="K49" s="127">
        <v>46092</v>
      </c>
      <c r="L49" s="138">
        <v>7500</v>
      </c>
      <c r="M49" s="139">
        <v>7500</v>
      </c>
      <c r="N49" s="138">
        <v>7444.8799500000005</v>
      </c>
      <c r="O49" s="139">
        <v>7444.8799500000005</v>
      </c>
      <c r="P49" s="141">
        <v>0.99265066000000002</v>
      </c>
      <c r="Q49" s="127">
        <v>47919</v>
      </c>
    </row>
    <row r="50" spans="1:17" ht="14.15" customHeight="1" x14ac:dyDescent="0.3">
      <c r="A50">
        <v>13908</v>
      </c>
      <c r="B50">
        <v>13908</v>
      </c>
      <c r="C50" t="s">
        <v>244</v>
      </c>
      <c r="D50" t="s">
        <v>2838</v>
      </c>
      <c r="G50" s="137" t="s">
        <v>2977</v>
      </c>
      <c r="H50">
        <v>11150006</v>
      </c>
      <c r="I50" t="s">
        <v>77</v>
      </c>
      <c r="J50" t="s">
        <v>1260</v>
      </c>
      <c r="K50" s="127">
        <v>46107</v>
      </c>
      <c r="L50" s="138">
        <v>7000</v>
      </c>
      <c r="M50" s="139">
        <v>20846</v>
      </c>
      <c r="N50" s="138">
        <v>102.56336859999927</v>
      </c>
      <c r="O50" s="139">
        <v>305.43371169079779</v>
      </c>
      <c r="P50" s="141">
        <v>1.4651909799999894E-2</v>
      </c>
      <c r="Q50" s="127">
        <v>49856</v>
      </c>
    </row>
    <row r="51" spans="1:17" ht="14.15" customHeight="1" x14ac:dyDescent="0.3">
      <c r="A51">
        <v>13908</v>
      </c>
      <c r="B51">
        <v>13908</v>
      </c>
      <c r="C51" t="s">
        <v>244</v>
      </c>
      <c r="D51" t="s">
        <v>2842</v>
      </c>
      <c r="G51" s="137" t="s">
        <v>2842</v>
      </c>
      <c r="H51">
        <v>11150008</v>
      </c>
      <c r="I51" t="s">
        <v>77</v>
      </c>
      <c r="J51" t="s">
        <v>1264</v>
      </c>
      <c r="K51" s="127">
        <v>46094</v>
      </c>
      <c r="L51" s="138">
        <v>6350</v>
      </c>
      <c r="M51" s="139">
        <v>13282.295</v>
      </c>
      <c r="N51" s="138">
        <v>5715</v>
      </c>
      <c r="O51" s="139">
        <v>11954.065500000001</v>
      </c>
      <c r="P51" s="141">
        <v>0.9</v>
      </c>
      <c r="Q51" s="127">
        <v>47848</v>
      </c>
    </row>
    <row r="52" spans="1:17" ht="14.15" customHeight="1" x14ac:dyDescent="0.3">
      <c r="A52">
        <v>13908</v>
      </c>
      <c r="B52">
        <v>13908</v>
      </c>
      <c r="C52" t="s">
        <v>244</v>
      </c>
      <c r="D52" t="s">
        <v>2844</v>
      </c>
      <c r="G52" s="137" t="s">
        <v>2978</v>
      </c>
      <c r="H52">
        <v>11150009</v>
      </c>
      <c r="I52" t="s">
        <v>77</v>
      </c>
      <c r="J52" t="s">
        <v>1260</v>
      </c>
      <c r="K52" s="127">
        <v>46101</v>
      </c>
      <c r="L52" s="138">
        <v>10000</v>
      </c>
      <c r="M52" s="139">
        <v>29780.000000000004</v>
      </c>
      <c r="N52" s="138">
        <v>5500</v>
      </c>
      <c r="O52" s="139">
        <v>16379.000000000002</v>
      </c>
      <c r="P52" s="141">
        <v>0.55000000000000004</v>
      </c>
      <c r="Q52" s="127">
        <v>47204</v>
      </c>
    </row>
    <row r="53" spans="1:17" ht="14.15" customHeight="1" x14ac:dyDescent="0.3">
      <c r="A53">
        <v>13908</v>
      </c>
      <c r="B53">
        <v>13908</v>
      </c>
      <c r="C53" t="s">
        <v>244</v>
      </c>
      <c r="D53" t="s">
        <v>2979</v>
      </c>
      <c r="G53" s="137" t="s">
        <v>2980</v>
      </c>
      <c r="H53">
        <v>11150012</v>
      </c>
      <c r="I53" t="s">
        <v>423</v>
      </c>
      <c r="J53" t="s">
        <v>1260</v>
      </c>
      <c r="K53" s="127">
        <v>45981</v>
      </c>
      <c r="L53" s="138">
        <v>1800</v>
      </c>
      <c r="M53" s="139">
        <v>5360.4</v>
      </c>
      <c r="N53" s="138">
        <v>1673.8659</v>
      </c>
      <c r="O53" s="139">
        <v>4984.7726501999996</v>
      </c>
      <c r="P53" s="141">
        <v>0.92992549999999996</v>
      </c>
      <c r="Q53" s="127">
        <v>47442</v>
      </c>
    </row>
    <row r="54" spans="1:17" ht="14.15" customHeight="1" x14ac:dyDescent="0.3">
      <c r="A54">
        <v>13908</v>
      </c>
      <c r="B54">
        <v>13908</v>
      </c>
      <c r="C54" t="s">
        <v>244</v>
      </c>
      <c r="D54" t="s">
        <v>2981</v>
      </c>
      <c r="G54" s="140" t="s">
        <v>2982</v>
      </c>
      <c r="H54">
        <v>540348265</v>
      </c>
      <c r="I54" t="s">
        <v>423</v>
      </c>
      <c r="J54" t="s">
        <v>1260</v>
      </c>
      <c r="K54" s="127">
        <v>46142</v>
      </c>
      <c r="L54" s="138">
        <v>700</v>
      </c>
      <c r="M54" s="139">
        <v>2084.6000000000004</v>
      </c>
      <c r="N54" s="138">
        <v>700.00000000000011</v>
      </c>
      <c r="O54" s="139">
        <v>2084.6000000000004</v>
      </c>
      <c r="P54" s="141">
        <v>1</v>
      </c>
      <c r="Q54" s="127">
        <v>47968</v>
      </c>
    </row>
    <row r="55" spans="1:17" ht="14.15" customHeight="1" x14ac:dyDescent="0.3">
      <c r="A55">
        <v>13908</v>
      </c>
      <c r="B55">
        <v>13908</v>
      </c>
      <c r="C55" t="s">
        <v>244</v>
      </c>
      <c r="D55" t="s">
        <v>2749</v>
      </c>
      <c r="G55" s="137" t="s">
        <v>2983</v>
      </c>
      <c r="H55">
        <v>11150016</v>
      </c>
      <c r="I55" t="s">
        <v>101</v>
      </c>
      <c r="J55" t="s">
        <v>1265</v>
      </c>
      <c r="K55" s="127">
        <v>46155</v>
      </c>
      <c r="L55" s="138">
        <v>2052.3560209424086</v>
      </c>
      <c r="M55" s="139">
        <v>6966.7225130890047</v>
      </c>
      <c r="N55" s="138">
        <v>1866.1560212400002</v>
      </c>
      <c r="O55" s="139">
        <v>6334.6666140991802</v>
      </c>
      <c r="P55" s="141">
        <v>0.90927500014500007</v>
      </c>
      <c r="Q55" s="127">
        <v>47981</v>
      </c>
    </row>
    <row r="56" spans="1:17" ht="14.15" customHeight="1" x14ac:dyDescent="0.3">
      <c r="A56">
        <v>13908</v>
      </c>
      <c r="B56">
        <v>13908</v>
      </c>
      <c r="C56" t="s">
        <v>244</v>
      </c>
      <c r="D56" t="s">
        <v>2838</v>
      </c>
      <c r="G56" s="137" t="s">
        <v>2984</v>
      </c>
      <c r="H56">
        <v>10632063</v>
      </c>
      <c r="I56" t="s">
        <v>101</v>
      </c>
      <c r="J56" t="s">
        <v>1260</v>
      </c>
      <c r="K56" s="127">
        <v>46171</v>
      </c>
      <c r="L56" s="138">
        <v>2530.5374561403505</v>
      </c>
      <c r="M56" s="139">
        <v>7535.9405443859641</v>
      </c>
      <c r="N56" s="138">
        <v>72.301106140350825</v>
      </c>
      <c r="O56" s="139">
        <v>215.31269408596475</v>
      </c>
      <c r="P56" s="141">
        <v>2.8571442783789723E-2</v>
      </c>
      <c r="Q56" s="127">
        <v>47997</v>
      </c>
    </row>
    <row r="57" spans="1:17" ht="14.15" customHeight="1" x14ac:dyDescent="0.3">
      <c r="A57">
        <v>13908</v>
      </c>
      <c r="B57">
        <v>13908</v>
      </c>
      <c r="C57" t="s">
        <v>244</v>
      </c>
      <c r="D57" t="s">
        <v>2848</v>
      </c>
      <c r="G57" s="137" t="s">
        <v>2985</v>
      </c>
      <c r="H57">
        <v>10550155</v>
      </c>
      <c r="I57" t="s">
        <v>101</v>
      </c>
      <c r="J57" t="s">
        <v>1260</v>
      </c>
      <c r="K57" s="127">
        <v>46156</v>
      </c>
      <c r="L57" s="138">
        <v>2700</v>
      </c>
      <c r="M57" s="139">
        <v>8040.6000000000013</v>
      </c>
      <c r="N57" s="138">
        <v>2523.0090203999998</v>
      </c>
      <c r="O57" s="139">
        <v>7513.5208627512002</v>
      </c>
      <c r="P57" s="141">
        <v>0.93444778533333317</v>
      </c>
      <c r="Q57" s="127">
        <v>47999</v>
      </c>
    </row>
    <row r="58" spans="1:17" ht="14.15" customHeight="1" x14ac:dyDescent="0.3">
      <c r="A58">
        <v>13908</v>
      </c>
      <c r="B58">
        <v>13908</v>
      </c>
      <c r="C58" t="s">
        <v>244</v>
      </c>
      <c r="D58" t="s">
        <v>2851</v>
      </c>
      <c r="G58" s="137" t="s">
        <v>2986</v>
      </c>
      <c r="H58">
        <v>2234665</v>
      </c>
      <c r="I58" t="s">
        <v>101</v>
      </c>
      <c r="J58" t="s">
        <v>1260</v>
      </c>
      <c r="K58" s="127">
        <v>46195</v>
      </c>
      <c r="L58" s="138">
        <v>3000</v>
      </c>
      <c r="M58" s="139">
        <v>8934</v>
      </c>
      <c r="N58" s="138">
        <v>2182.1999999999998</v>
      </c>
      <c r="O58" s="139">
        <v>6498.5916000000007</v>
      </c>
      <c r="P58" s="141">
        <v>0.72740000000000005</v>
      </c>
      <c r="Q58" s="127">
        <v>48966</v>
      </c>
    </row>
    <row r="59" spans="1:17" ht="14.15" customHeight="1" x14ac:dyDescent="0.3">
      <c r="A59">
        <v>13908</v>
      </c>
      <c r="B59">
        <v>13908</v>
      </c>
      <c r="C59" t="s">
        <v>244</v>
      </c>
      <c r="D59" t="s">
        <v>2987</v>
      </c>
      <c r="G59" s="137" t="s">
        <v>2988</v>
      </c>
      <c r="H59">
        <v>10381355</v>
      </c>
      <c r="I59" t="s">
        <v>101</v>
      </c>
      <c r="J59" t="s">
        <v>1260</v>
      </c>
      <c r="K59" s="127">
        <v>46203</v>
      </c>
      <c r="L59" s="138">
        <v>9700</v>
      </c>
      <c r="M59" s="139">
        <v>28886.600000000002</v>
      </c>
      <c r="N59" s="138">
        <v>9700</v>
      </c>
      <c r="O59" s="139">
        <v>28886.600000000002</v>
      </c>
      <c r="P59" s="141">
        <v>1</v>
      </c>
      <c r="Q59" s="127">
        <v>49856</v>
      </c>
    </row>
    <row r="60" spans="1:17" ht="14.15" customHeight="1" x14ac:dyDescent="0.3">
      <c r="O60" s="139"/>
    </row>
    <row r="62" spans="1:17" ht="14.15" customHeight="1" x14ac:dyDescent="0.3">
      <c r="L62" s="138"/>
    </row>
    <row r="65" customFormat="1" ht="14.15" customHeight="1" x14ac:dyDescent="0.3"/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" x14ac:dyDescent="0.3"/>
  <cols>
    <col min="1" max="1" width="29.4140625" customWidth="1"/>
    <col min="2" max="2" width="30.4140625" customWidth="1"/>
    <col min="3" max="3" width="90.83203125" customWidth="1"/>
    <col min="4" max="4" width="10.25" customWidth="1"/>
    <col min="5" max="5" width="68.83203125" customWidth="1"/>
    <col min="6" max="6" width="29.75" bestFit="1" customWidth="1"/>
    <col min="7" max="16384" width="9" hidden="1"/>
  </cols>
  <sheetData>
    <row r="1" spans="1:6" s="35" customFormat="1" ht="42" x14ac:dyDescent="0.3">
      <c r="A1" s="34" t="s">
        <v>577</v>
      </c>
      <c r="B1" s="34" t="s">
        <v>326</v>
      </c>
      <c r="C1" s="34" t="s">
        <v>327</v>
      </c>
      <c r="D1" s="34" t="s">
        <v>1160</v>
      </c>
      <c r="E1" s="34" t="s">
        <v>364</v>
      </c>
      <c r="F1"/>
    </row>
    <row r="2" spans="1:6" x14ac:dyDescent="0.3">
      <c r="A2" s="69"/>
      <c r="B2" s="69" t="s">
        <v>591</v>
      </c>
      <c r="C2" s="14" t="s">
        <v>52</v>
      </c>
      <c r="D2" s="14" t="s">
        <v>591</v>
      </c>
      <c r="E2" s="14"/>
    </row>
    <row r="3" spans="1:6" x14ac:dyDescent="0.3">
      <c r="A3" s="70"/>
      <c r="B3" s="70"/>
      <c r="C3" s="14" t="s">
        <v>60</v>
      </c>
      <c r="D3" s="14"/>
      <c r="E3" s="14"/>
    </row>
    <row r="4" spans="1:6" ht="42" x14ac:dyDescent="0.3">
      <c r="A4" s="62"/>
      <c r="B4" s="83" t="s">
        <v>1161</v>
      </c>
      <c r="C4" s="15" t="s">
        <v>52</v>
      </c>
      <c r="D4" s="15" t="s">
        <v>1164</v>
      </c>
      <c r="E4" s="15"/>
    </row>
    <row r="5" spans="1:6" x14ac:dyDescent="0.3">
      <c r="A5" s="63"/>
      <c r="B5" s="84"/>
      <c r="C5" s="15" t="s">
        <v>58</v>
      </c>
      <c r="D5" s="15"/>
      <c r="E5" s="15"/>
    </row>
    <row r="6" spans="1:6" x14ac:dyDescent="0.3">
      <c r="A6" s="63"/>
      <c r="B6" s="84"/>
      <c r="C6" s="15" t="s">
        <v>66</v>
      </c>
      <c r="D6" s="15"/>
      <c r="E6" s="15"/>
    </row>
    <row r="7" spans="1:6" x14ac:dyDescent="0.3">
      <c r="A7" s="63"/>
      <c r="B7" s="84"/>
      <c r="C7" s="15" t="s">
        <v>73</v>
      </c>
      <c r="D7" s="15"/>
      <c r="E7" s="15"/>
    </row>
    <row r="8" spans="1:6" x14ac:dyDescent="0.3">
      <c r="A8" s="63"/>
      <c r="B8" s="84"/>
      <c r="C8" s="15" t="s">
        <v>80</v>
      </c>
      <c r="D8" s="15"/>
      <c r="E8" s="15"/>
    </row>
    <row r="9" spans="1:6" x14ac:dyDescent="0.3">
      <c r="A9" s="63"/>
      <c r="B9" s="84"/>
      <c r="C9" s="15" t="s">
        <v>888</v>
      </c>
      <c r="D9" s="15"/>
      <c r="E9" s="15"/>
    </row>
    <row r="10" spans="1:6" x14ac:dyDescent="0.3">
      <c r="A10" s="63"/>
      <c r="B10" s="84"/>
      <c r="C10" s="15" t="s">
        <v>91</v>
      </c>
      <c r="D10" s="15"/>
      <c r="E10" s="15"/>
    </row>
    <row r="11" spans="1:6" x14ac:dyDescent="0.3">
      <c r="A11" s="63"/>
      <c r="B11" s="84"/>
      <c r="C11" s="15" t="s">
        <v>912</v>
      </c>
      <c r="D11" s="15"/>
      <c r="E11" s="15"/>
      <c r="F11" t="s">
        <v>1131</v>
      </c>
    </row>
    <row r="12" spans="1:6" x14ac:dyDescent="0.3">
      <c r="A12" s="63"/>
      <c r="B12" s="84"/>
      <c r="C12" s="15" t="s">
        <v>913</v>
      </c>
      <c r="D12" s="15"/>
      <c r="E12" s="15"/>
      <c r="F12" t="s">
        <v>1131</v>
      </c>
    </row>
    <row r="13" spans="1:6" x14ac:dyDescent="0.3">
      <c r="A13" s="63"/>
      <c r="B13" s="84"/>
      <c r="C13" s="15" t="s">
        <v>103</v>
      </c>
      <c r="D13" s="15"/>
      <c r="E13" s="15"/>
    </row>
    <row r="14" spans="1:6" x14ac:dyDescent="0.3">
      <c r="A14" s="63"/>
      <c r="B14" s="84"/>
      <c r="C14" s="15" t="s">
        <v>108</v>
      </c>
      <c r="D14" s="15"/>
      <c r="E14" s="15"/>
    </row>
    <row r="15" spans="1:6" x14ac:dyDescent="0.3">
      <c r="A15" s="63"/>
      <c r="B15" s="84"/>
      <c r="C15" s="15" t="s">
        <v>110</v>
      </c>
      <c r="D15" s="15"/>
      <c r="E15" s="15"/>
    </row>
    <row r="16" spans="1:6" x14ac:dyDescent="0.3">
      <c r="A16" s="63"/>
      <c r="B16" s="84"/>
      <c r="C16" s="15" t="s">
        <v>113</v>
      </c>
      <c r="D16" s="15"/>
      <c r="E16" s="15"/>
    </row>
    <row r="17" spans="1:5" x14ac:dyDescent="0.3">
      <c r="A17" s="63"/>
      <c r="B17" s="84"/>
      <c r="C17" s="15" t="s">
        <v>116</v>
      </c>
      <c r="D17" s="15"/>
      <c r="E17" s="15"/>
    </row>
    <row r="18" spans="1:5" x14ac:dyDescent="0.3">
      <c r="A18" s="63"/>
      <c r="B18" s="84"/>
      <c r="C18" s="15" t="s">
        <v>119</v>
      </c>
      <c r="D18" s="15"/>
      <c r="E18" s="15"/>
    </row>
    <row r="19" spans="1:5" x14ac:dyDescent="0.3">
      <c r="A19" s="63"/>
      <c r="B19" s="84"/>
      <c r="C19" s="15" t="s">
        <v>121</v>
      </c>
      <c r="D19" s="15"/>
      <c r="E19" s="15"/>
    </row>
    <row r="20" spans="1:5" x14ac:dyDescent="0.3">
      <c r="A20" s="63"/>
      <c r="B20" s="84"/>
      <c r="C20" s="15" t="s">
        <v>123</v>
      </c>
      <c r="D20" s="15"/>
      <c r="E20" s="15"/>
    </row>
    <row r="21" spans="1:5" x14ac:dyDescent="0.3">
      <c r="A21" s="63"/>
      <c r="B21" s="84"/>
      <c r="C21" s="15" t="s">
        <v>306</v>
      </c>
      <c r="D21" s="15"/>
      <c r="E21" s="15"/>
    </row>
    <row r="22" spans="1:5" x14ac:dyDescent="0.3">
      <c r="A22" s="63"/>
      <c r="B22" s="84"/>
      <c r="C22" s="15" t="s">
        <v>126</v>
      </c>
      <c r="D22" s="15"/>
      <c r="E22" s="15"/>
    </row>
    <row r="23" spans="1:5" x14ac:dyDescent="0.3">
      <c r="A23" s="63"/>
      <c r="B23" s="84"/>
      <c r="C23" s="15" t="s">
        <v>129</v>
      </c>
      <c r="D23" s="15"/>
      <c r="E23" s="15"/>
    </row>
    <row r="24" spans="1:5" ht="15" x14ac:dyDescent="0.25">
      <c r="A24" s="63"/>
      <c r="B24" s="84"/>
      <c r="C24" s="15" t="s">
        <v>130</v>
      </c>
      <c r="D24" s="15"/>
      <c r="E24" s="15"/>
    </row>
    <row r="25" spans="1:5" ht="15" x14ac:dyDescent="0.25">
      <c r="A25" s="63"/>
      <c r="B25" s="84"/>
      <c r="C25" s="15" t="s">
        <v>132</v>
      </c>
      <c r="D25" s="15"/>
      <c r="E25" s="15"/>
    </row>
    <row r="26" spans="1:5" ht="15" x14ac:dyDescent="0.25">
      <c r="A26" s="63"/>
      <c r="B26" s="84"/>
      <c r="C26" s="15" t="s">
        <v>134</v>
      </c>
      <c r="D26" s="15"/>
      <c r="E26" s="15"/>
    </row>
    <row r="27" spans="1:5" ht="15" x14ac:dyDescent="0.25">
      <c r="A27" s="63"/>
      <c r="B27" s="84"/>
      <c r="C27" s="15" t="s">
        <v>136</v>
      </c>
      <c r="D27" s="15"/>
      <c r="E27" s="15"/>
    </row>
    <row r="28" spans="1:5" ht="15" x14ac:dyDescent="0.25">
      <c r="A28" s="63"/>
      <c r="B28" s="84"/>
      <c r="C28" s="15" t="s">
        <v>139</v>
      </c>
      <c r="D28" s="15"/>
      <c r="E28" s="15"/>
    </row>
    <row r="29" spans="1:5" ht="15" x14ac:dyDescent="0.25">
      <c r="A29" s="63"/>
      <c r="B29" s="84"/>
      <c r="C29" s="15" t="s">
        <v>141</v>
      </c>
      <c r="D29" s="15"/>
      <c r="E29" s="15"/>
    </row>
    <row r="30" spans="1:5" ht="15" x14ac:dyDescent="0.25">
      <c r="A30" s="63"/>
      <c r="B30" s="84"/>
      <c r="C30" s="15" t="s">
        <v>307</v>
      </c>
      <c r="D30" s="15"/>
      <c r="E30" s="15"/>
    </row>
    <row r="31" spans="1:5" ht="15" x14ac:dyDescent="0.25">
      <c r="A31" s="63"/>
      <c r="B31" s="84"/>
      <c r="C31" s="15" t="s">
        <v>143</v>
      </c>
      <c r="D31" s="15"/>
      <c r="E31" s="15"/>
    </row>
    <row r="32" spans="1:5" ht="15" x14ac:dyDescent="0.25">
      <c r="A32" s="63"/>
      <c r="B32" s="84"/>
      <c r="C32" s="15" t="s">
        <v>145</v>
      </c>
      <c r="D32" s="15"/>
      <c r="E32" s="15"/>
    </row>
    <row r="33" spans="1:6" ht="15" x14ac:dyDescent="0.25">
      <c r="A33" s="63"/>
      <c r="B33" s="84"/>
      <c r="C33" s="15" t="s">
        <v>147</v>
      </c>
      <c r="D33" s="15"/>
      <c r="E33" s="15"/>
    </row>
    <row r="34" spans="1:6" ht="15" x14ac:dyDescent="0.25">
      <c r="A34" s="63"/>
      <c r="B34" s="84"/>
      <c r="C34" s="15" t="s">
        <v>149</v>
      </c>
      <c r="D34" s="15"/>
      <c r="E34" s="15"/>
    </row>
    <row r="35" spans="1:6" ht="15" x14ac:dyDescent="0.25">
      <c r="A35" s="63"/>
      <c r="B35" s="84"/>
      <c r="C35" s="15" t="s">
        <v>151</v>
      </c>
      <c r="D35" s="15"/>
      <c r="E35" s="15"/>
    </row>
    <row r="36" spans="1:6" ht="15" x14ac:dyDescent="0.25">
      <c r="A36" s="63"/>
      <c r="B36" s="84"/>
      <c r="C36" s="15" t="s">
        <v>1076</v>
      </c>
      <c r="D36" s="15"/>
      <c r="E36" s="15"/>
      <c r="F36" t="s">
        <v>1131</v>
      </c>
    </row>
    <row r="37" spans="1:6" ht="15" x14ac:dyDescent="0.25">
      <c r="A37" s="63"/>
      <c r="B37" s="84"/>
      <c r="C37" s="7" t="s">
        <v>1075</v>
      </c>
      <c r="D37" s="7"/>
      <c r="E37" s="15"/>
      <c r="F37" t="s">
        <v>1131</v>
      </c>
    </row>
    <row r="38" spans="1:6" ht="15" x14ac:dyDescent="0.25">
      <c r="A38" s="63"/>
      <c r="B38" s="84"/>
      <c r="C38" s="15" t="s">
        <v>152</v>
      </c>
      <c r="D38" s="15"/>
      <c r="E38" s="15"/>
    </row>
    <row r="39" spans="1:6" ht="15" x14ac:dyDescent="0.25">
      <c r="A39" s="63"/>
      <c r="B39" s="84"/>
      <c r="C39" s="15" t="s">
        <v>153</v>
      </c>
      <c r="D39" s="15"/>
      <c r="E39" s="15"/>
    </row>
    <row r="40" spans="1:6" ht="15" x14ac:dyDescent="0.25">
      <c r="A40" s="63"/>
      <c r="B40" s="84"/>
      <c r="C40" s="15" t="s">
        <v>907</v>
      </c>
      <c r="D40" s="15"/>
      <c r="E40" s="15"/>
      <c r="F40" t="s">
        <v>1131</v>
      </c>
    </row>
    <row r="41" spans="1:6" ht="15" x14ac:dyDescent="0.25">
      <c r="A41" s="63"/>
      <c r="B41" s="84"/>
      <c r="C41" s="15" t="s">
        <v>155</v>
      </c>
      <c r="D41" s="15"/>
      <c r="E41" s="15"/>
    </row>
    <row r="42" spans="1:6" ht="15" x14ac:dyDescent="0.25">
      <c r="A42" s="63"/>
      <c r="B42" s="84"/>
      <c r="C42" s="15" t="s">
        <v>156</v>
      </c>
      <c r="D42" s="15"/>
      <c r="E42" s="15"/>
    </row>
    <row r="43" spans="1:6" ht="15" x14ac:dyDescent="0.25">
      <c r="A43" s="63"/>
      <c r="B43" s="84"/>
      <c r="C43" s="15" t="s">
        <v>157</v>
      </c>
      <c r="D43" s="15"/>
      <c r="E43" s="15"/>
    </row>
    <row r="44" spans="1:6" ht="15" x14ac:dyDescent="0.25">
      <c r="A44" s="63"/>
      <c r="B44" s="84"/>
      <c r="C44" s="15" t="s">
        <v>158</v>
      </c>
      <c r="D44" s="15"/>
      <c r="E44" s="15"/>
    </row>
    <row r="45" spans="1:6" ht="15" x14ac:dyDescent="0.25">
      <c r="A45" s="63"/>
      <c r="B45" s="84"/>
      <c r="C45" s="15" t="s">
        <v>159</v>
      </c>
      <c r="D45" s="15"/>
      <c r="E45" s="15"/>
    </row>
    <row r="46" spans="1:6" ht="15" x14ac:dyDescent="0.25">
      <c r="A46" s="63"/>
      <c r="B46" s="84"/>
      <c r="C46" s="15" t="s">
        <v>909</v>
      </c>
      <c r="D46" s="15"/>
      <c r="E46" s="15"/>
      <c r="F46" t="s">
        <v>1131</v>
      </c>
    </row>
    <row r="47" spans="1:6" ht="15" x14ac:dyDescent="0.25">
      <c r="A47" s="63"/>
      <c r="B47" s="84"/>
      <c r="C47" s="15" t="s">
        <v>162</v>
      </c>
      <c r="D47" s="15"/>
      <c r="E47" s="15"/>
    </row>
    <row r="48" spans="1:6" ht="15" x14ac:dyDescent="0.25">
      <c r="A48" s="63"/>
      <c r="B48" s="84"/>
      <c r="C48" s="15" t="s">
        <v>164</v>
      </c>
      <c r="D48" s="15"/>
      <c r="E48" s="15"/>
    </row>
    <row r="49" spans="1:6" ht="15" x14ac:dyDescent="0.25">
      <c r="A49" s="63"/>
      <c r="B49" s="84"/>
      <c r="C49" s="15" t="s">
        <v>166</v>
      </c>
      <c r="D49" s="15"/>
      <c r="E49" s="15"/>
    </row>
    <row r="50" spans="1:6" ht="15" x14ac:dyDescent="0.25">
      <c r="A50" s="63"/>
      <c r="B50" s="84"/>
      <c r="C50" s="15" t="s">
        <v>169</v>
      </c>
      <c r="D50" s="15"/>
      <c r="E50" s="15"/>
    </row>
    <row r="51" spans="1:6" ht="15" x14ac:dyDescent="0.25">
      <c r="A51" s="63"/>
      <c r="B51" s="84"/>
      <c r="C51" s="15" t="s">
        <v>171</v>
      </c>
      <c r="D51" s="15"/>
      <c r="E51" s="15"/>
    </row>
    <row r="52" spans="1:6" ht="15" x14ac:dyDescent="0.25">
      <c r="A52" s="63"/>
      <c r="B52" s="84"/>
      <c r="C52" s="15" t="s">
        <v>173</v>
      </c>
      <c r="D52" s="15"/>
      <c r="E52" s="15"/>
    </row>
    <row r="53" spans="1:6" ht="15" x14ac:dyDescent="0.25">
      <c r="A53" s="63"/>
      <c r="B53" s="84"/>
      <c r="C53" s="15" t="s">
        <v>174</v>
      </c>
      <c r="D53" s="15"/>
      <c r="E53" s="15"/>
    </row>
    <row r="54" spans="1:6" ht="15" x14ac:dyDescent="0.25">
      <c r="A54" s="63"/>
      <c r="B54" s="84"/>
      <c r="C54" s="15" t="s">
        <v>175</v>
      </c>
      <c r="D54" s="15"/>
      <c r="E54" s="15"/>
    </row>
    <row r="55" spans="1:6" ht="15" x14ac:dyDescent="0.25">
      <c r="A55" s="63"/>
      <c r="B55" s="84"/>
      <c r="C55" s="15" t="s">
        <v>176</v>
      </c>
      <c r="D55" s="15"/>
      <c r="E55" s="15"/>
    </row>
    <row r="56" spans="1:6" ht="15" x14ac:dyDescent="0.25">
      <c r="A56" s="63"/>
      <c r="B56" s="84"/>
      <c r="C56" s="15" t="s">
        <v>177</v>
      </c>
      <c r="D56" s="15"/>
      <c r="E56" s="15"/>
    </row>
    <row r="57" spans="1:6" ht="15" x14ac:dyDescent="0.25">
      <c r="A57" s="63"/>
      <c r="B57" s="84"/>
      <c r="C57" s="15" t="s">
        <v>178</v>
      </c>
      <c r="D57" s="15"/>
      <c r="E57" s="15"/>
    </row>
    <row r="58" spans="1:6" ht="15" x14ac:dyDescent="0.25">
      <c r="A58" s="63"/>
      <c r="B58" s="84"/>
      <c r="C58" s="15" t="s">
        <v>179</v>
      </c>
      <c r="D58" s="15"/>
      <c r="E58" s="15"/>
    </row>
    <row r="59" spans="1:6" ht="15" x14ac:dyDescent="0.25">
      <c r="A59" s="63"/>
      <c r="B59" s="84"/>
      <c r="C59" s="15" t="s">
        <v>497</v>
      </c>
      <c r="D59" s="15"/>
      <c r="E59" s="15"/>
    </row>
    <row r="60" spans="1:6" ht="15" x14ac:dyDescent="0.25">
      <c r="A60" s="63"/>
      <c r="B60" s="84"/>
      <c r="C60" s="15" t="s">
        <v>180</v>
      </c>
      <c r="D60" s="15"/>
      <c r="E60" s="15"/>
    </row>
    <row r="61" spans="1:6" ht="15" x14ac:dyDescent="0.25">
      <c r="A61" s="63"/>
      <c r="B61" s="84"/>
      <c r="C61" s="15" t="s">
        <v>181</v>
      </c>
      <c r="D61" s="15"/>
      <c r="E61" s="15"/>
    </row>
    <row r="62" spans="1:6" ht="15" x14ac:dyDescent="0.25">
      <c r="A62" s="63"/>
      <c r="B62" s="84"/>
      <c r="C62" s="15" t="s">
        <v>182</v>
      </c>
      <c r="D62" s="15"/>
      <c r="E62" s="15"/>
    </row>
    <row r="63" spans="1:6" ht="15" x14ac:dyDescent="0.25">
      <c r="A63" s="63"/>
      <c r="B63" s="84"/>
      <c r="C63" s="15" t="s">
        <v>908</v>
      </c>
      <c r="D63" s="15"/>
      <c r="E63" s="15"/>
      <c r="F63" t="s">
        <v>1131</v>
      </c>
    </row>
    <row r="64" spans="1:6" ht="15" x14ac:dyDescent="0.25">
      <c r="A64" s="63"/>
      <c r="B64" s="84"/>
      <c r="C64" s="15" t="s">
        <v>183</v>
      </c>
      <c r="D64" s="15"/>
      <c r="E64" s="15"/>
    </row>
    <row r="65" spans="1:5" ht="15" x14ac:dyDescent="0.25">
      <c r="A65" s="63"/>
      <c r="B65" s="84"/>
      <c r="C65" s="15" t="s">
        <v>184</v>
      </c>
      <c r="D65" s="15"/>
      <c r="E65" s="15"/>
    </row>
    <row r="66" spans="1:5" ht="15" x14ac:dyDescent="0.25">
      <c r="A66" s="63"/>
      <c r="B66" s="84"/>
      <c r="C66" s="15" t="s">
        <v>185</v>
      </c>
      <c r="D66" s="15"/>
      <c r="E66" s="15"/>
    </row>
    <row r="67" spans="1:5" ht="15" x14ac:dyDescent="0.25">
      <c r="A67" s="63"/>
      <c r="B67" s="84"/>
      <c r="C67" s="15" t="s">
        <v>186</v>
      </c>
      <c r="D67" s="15"/>
      <c r="E67" s="15"/>
    </row>
    <row r="68" spans="1:5" ht="15" x14ac:dyDescent="0.25">
      <c r="A68" s="63"/>
      <c r="B68" s="84"/>
      <c r="C68" s="15" t="s">
        <v>187</v>
      </c>
      <c r="D68" s="15"/>
      <c r="E68" s="15"/>
    </row>
    <row r="69" spans="1:5" ht="15" x14ac:dyDescent="0.25">
      <c r="A69" s="63"/>
      <c r="B69" s="84"/>
      <c r="C69" s="15" t="s">
        <v>188</v>
      </c>
      <c r="D69" s="15"/>
      <c r="E69" s="15"/>
    </row>
    <row r="70" spans="1:5" ht="15" x14ac:dyDescent="0.25">
      <c r="A70" s="63"/>
      <c r="B70" s="84"/>
      <c r="C70" s="15" t="s">
        <v>189</v>
      </c>
      <c r="D70" s="15"/>
      <c r="E70" s="15"/>
    </row>
    <row r="71" spans="1:5" ht="15" x14ac:dyDescent="0.25">
      <c r="A71" s="63"/>
      <c r="B71" s="84"/>
      <c r="C71" s="15" t="s">
        <v>190</v>
      </c>
      <c r="D71" s="15"/>
      <c r="E71" s="15"/>
    </row>
    <row r="72" spans="1:5" ht="15" x14ac:dyDescent="0.25">
      <c r="A72" s="63"/>
      <c r="B72" s="84"/>
      <c r="C72" s="15" t="s">
        <v>192</v>
      </c>
      <c r="D72" s="15"/>
      <c r="E72" s="15"/>
    </row>
    <row r="73" spans="1:5" ht="15" x14ac:dyDescent="0.25">
      <c r="A73" s="63"/>
      <c r="B73" s="84"/>
      <c r="C73" s="15" t="s">
        <v>193</v>
      </c>
      <c r="D73" s="15"/>
      <c r="E73" s="15"/>
    </row>
    <row r="74" spans="1:5" ht="15" x14ac:dyDescent="0.25">
      <c r="A74" s="63"/>
      <c r="B74" s="84"/>
      <c r="C74" s="15" t="s">
        <v>194</v>
      </c>
      <c r="D74" s="15"/>
      <c r="E74" s="15"/>
    </row>
    <row r="75" spans="1:5" ht="15" x14ac:dyDescent="0.25">
      <c r="A75" s="63"/>
      <c r="B75" s="84"/>
      <c r="C75" s="15" t="s">
        <v>195</v>
      </c>
      <c r="D75" s="15"/>
      <c r="E75" s="15"/>
    </row>
    <row r="76" spans="1:5" ht="15" x14ac:dyDescent="0.25">
      <c r="A76" s="63"/>
      <c r="B76" s="84"/>
      <c r="C76" s="15" t="s">
        <v>196</v>
      </c>
      <c r="D76" s="15"/>
      <c r="E76" s="15"/>
    </row>
    <row r="77" spans="1:5" ht="15" x14ac:dyDescent="0.25">
      <c r="A77" s="63"/>
      <c r="B77" s="84"/>
      <c r="C77" s="15" t="s">
        <v>197</v>
      </c>
      <c r="D77" s="15"/>
      <c r="E77" s="15"/>
    </row>
    <row r="78" spans="1:5" ht="15" x14ac:dyDescent="0.25">
      <c r="A78" s="63"/>
      <c r="B78" s="84"/>
      <c r="C78" s="15" t="s">
        <v>199</v>
      </c>
      <c r="D78" s="15"/>
      <c r="E78" s="15"/>
    </row>
    <row r="79" spans="1:5" ht="15" x14ac:dyDescent="0.25">
      <c r="A79" s="63"/>
      <c r="B79" s="84"/>
      <c r="C79" s="15" t="s">
        <v>200</v>
      </c>
      <c r="D79" s="15"/>
      <c r="E79" s="15"/>
    </row>
    <row r="80" spans="1:5" ht="15" x14ac:dyDescent="0.25">
      <c r="A80" s="63"/>
      <c r="B80" s="84"/>
      <c r="C80" s="15" t="s">
        <v>201</v>
      </c>
      <c r="D80" s="15"/>
      <c r="E80" s="15"/>
    </row>
    <row r="81" spans="1:6" ht="15" x14ac:dyDescent="0.25">
      <c r="A81" s="63"/>
      <c r="B81" s="84"/>
      <c r="C81" s="15" t="s">
        <v>202</v>
      </c>
      <c r="D81" s="15"/>
      <c r="E81" s="15"/>
    </row>
    <row r="82" spans="1:6" ht="15" x14ac:dyDescent="0.25">
      <c r="A82" s="63"/>
      <c r="B82" s="84"/>
      <c r="C82" s="15" t="s">
        <v>203</v>
      </c>
      <c r="D82" s="15"/>
      <c r="E82" s="15"/>
    </row>
    <row r="83" spans="1:6" ht="15" x14ac:dyDescent="0.25">
      <c r="A83" s="63"/>
      <c r="B83" s="84"/>
      <c r="C83" s="15" t="s">
        <v>204</v>
      </c>
      <c r="D83" s="15"/>
      <c r="E83" s="15"/>
    </row>
    <row r="84" spans="1:6" ht="15" x14ac:dyDescent="0.25">
      <c r="A84" s="63"/>
      <c r="B84" s="84"/>
      <c r="C84" s="15" t="s">
        <v>205</v>
      </c>
      <c r="D84" s="15"/>
      <c r="E84" s="15"/>
    </row>
    <row r="85" spans="1:6" ht="15" x14ac:dyDescent="0.25">
      <c r="A85" s="63"/>
      <c r="B85" s="84"/>
      <c r="C85" s="15" t="s">
        <v>206</v>
      </c>
      <c r="D85" s="15"/>
      <c r="E85" s="15"/>
    </row>
    <row r="86" spans="1:6" ht="15" x14ac:dyDescent="0.25">
      <c r="A86" s="63"/>
      <c r="B86" s="84"/>
      <c r="C86" s="15" t="s">
        <v>308</v>
      </c>
      <c r="D86" s="15"/>
      <c r="E86" s="15"/>
    </row>
    <row r="87" spans="1:6" ht="15" x14ac:dyDescent="0.25">
      <c r="A87" s="63"/>
      <c r="B87" s="84"/>
      <c r="C87" s="15" t="s">
        <v>310</v>
      </c>
      <c r="D87" s="15"/>
      <c r="E87" s="15"/>
    </row>
    <row r="88" spans="1:6" ht="15" x14ac:dyDescent="0.25">
      <c r="A88" s="63"/>
      <c r="B88" s="84"/>
      <c r="C88" s="15" t="s">
        <v>889</v>
      </c>
      <c r="D88" s="15"/>
      <c r="E88" s="15"/>
    </row>
    <row r="89" spans="1:6" ht="15" x14ac:dyDescent="0.25">
      <c r="A89" s="63"/>
      <c r="B89" s="84"/>
      <c r="C89" s="15" t="s">
        <v>890</v>
      </c>
      <c r="D89" s="15"/>
      <c r="E89" s="15"/>
    </row>
    <row r="90" spans="1:6" ht="15" x14ac:dyDescent="0.25">
      <c r="A90" s="63"/>
      <c r="B90" s="84"/>
      <c r="C90" s="15" t="s">
        <v>305</v>
      </c>
      <c r="D90" s="15"/>
      <c r="E90" s="15"/>
    </row>
    <row r="91" spans="1:6" ht="15" x14ac:dyDescent="0.25">
      <c r="A91" s="63"/>
      <c r="B91" s="84"/>
      <c r="C91" s="15" t="s">
        <v>891</v>
      </c>
      <c r="D91" s="15"/>
      <c r="E91" s="15"/>
    </row>
    <row r="92" spans="1:6" ht="15" x14ac:dyDescent="0.25">
      <c r="A92" s="63"/>
      <c r="B92" s="84"/>
      <c r="C92" s="15" t="s">
        <v>897</v>
      </c>
      <c r="D92" s="15"/>
      <c r="E92" s="15"/>
    </row>
    <row r="93" spans="1:6" ht="15" x14ac:dyDescent="0.25">
      <c r="A93" s="63"/>
      <c r="B93" s="84"/>
      <c r="C93" s="15" t="s">
        <v>309</v>
      </c>
      <c r="D93" s="15"/>
      <c r="E93" s="15"/>
    </row>
    <row r="94" spans="1:6" ht="15" x14ac:dyDescent="0.25">
      <c r="A94" s="63"/>
      <c r="B94" s="84"/>
      <c r="C94" s="15" t="s">
        <v>1119</v>
      </c>
      <c r="D94" s="15"/>
      <c r="E94" s="15" t="s">
        <v>1118</v>
      </c>
      <c r="F94" t="s">
        <v>1131</v>
      </c>
    </row>
    <row r="95" spans="1:6" ht="15" x14ac:dyDescent="0.25">
      <c r="A95" s="63"/>
      <c r="B95" s="84"/>
      <c r="C95" s="15" t="s">
        <v>1215</v>
      </c>
      <c r="D95" s="15"/>
      <c r="E95" s="15" t="s">
        <v>899</v>
      </c>
      <c r="F95" t="s">
        <v>1131</v>
      </c>
    </row>
    <row r="96" spans="1:6" ht="15" x14ac:dyDescent="0.25">
      <c r="A96" s="63"/>
      <c r="B96" s="84"/>
      <c r="C96" s="15" t="s">
        <v>1120</v>
      </c>
      <c r="D96" s="15"/>
      <c r="E96" s="15" t="s">
        <v>899</v>
      </c>
      <c r="F96" t="s">
        <v>1131</v>
      </c>
    </row>
    <row r="97" spans="1:6" ht="15" x14ac:dyDescent="0.25">
      <c r="A97" s="63"/>
      <c r="B97" s="84"/>
      <c r="C97" s="15" t="s">
        <v>1115</v>
      </c>
      <c r="D97" s="15"/>
      <c r="E97" s="15" t="s">
        <v>899</v>
      </c>
      <c r="F97" t="s">
        <v>1131</v>
      </c>
    </row>
    <row r="98" spans="1:6" ht="15" x14ac:dyDescent="0.25">
      <c r="A98" s="63"/>
      <c r="B98" s="84"/>
      <c r="C98" s="15" t="s">
        <v>1116</v>
      </c>
      <c r="D98" s="15"/>
      <c r="E98" s="15" t="s">
        <v>899</v>
      </c>
      <c r="F98" t="s">
        <v>1131</v>
      </c>
    </row>
    <row r="99" spans="1:6" ht="15" x14ac:dyDescent="0.25">
      <c r="A99" s="63"/>
      <c r="B99" s="84"/>
      <c r="C99" s="15" t="s">
        <v>1117</v>
      </c>
      <c r="D99" s="15"/>
      <c r="E99" s="15" t="s">
        <v>899</v>
      </c>
      <c r="F99" t="s">
        <v>1131</v>
      </c>
    </row>
    <row r="100" spans="1:6" ht="15" x14ac:dyDescent="0.25">
      <c r="A100" s="63"/>
      <c r="B100" s="84"/>
      <c r="C100" s="15" t="s">
        <v>1216</v>
      </c>
      <c r="D100" s="15"/>
      <c r="E100" s="15" t="s">
        <v>899</v>
      </c>
      <c r="F100" t="s">
        <v>1131</v>
      </c>
    </row>
    <row r="101" spans="1:6" ht="15" x14ac:dyDescent="0.25">
      <c r="A101" s="63"/>
      <c r="B101" s="84"/>
      <c r="C101" s="15" t="s">
        <v>1121</v>
      </c>
      <c r="D101" s="15"/>
      <c r="E101" s="15" t="s">
        <v>899</v>
      </c>
      <c r="F101" t="s">
        <v>1131</v>
      </c>
    </row>
    <row r="102" spans="1:6" ht="15" x14ac:dyDescent="0.25">
      <c r="A102" s="63"/>
      <c r="B102" s="84"/>
      <c r="C102" s="15" t="s">
        <v>1122</v>
      </c>
      <c r="D102" s="15"/>
      <c r="E102" s="15" t="s">
        <v>899</v>
      </c>
      <c r="F102" t="s">
        <v>1131</v>
      </c>
    </row>
    <row r="103" spans="1:6" ht="15" x14ac:dyDescent="0.25">
      <c r="A103" s="63"/>
      <c r="B103" s="84"/>
      <c r="C103" s="15" t="s">
        <v>1123</v>
      </c>
      <c r="D103" s="15"/>
      <c r="E103" s="15" t="s">
        <v>899</v>
      </c>
      <c r="F103" t="s">
        <v>1131</v>
      </c>
    </row>
    <row r="104" spans="1:6" ht="15" x14ac:dyDescent="0.25">
      <c r="A104" s="58"/>
      <c r="B104" s="58" t="s">
        <v>719</v>
      </c>
      <c r="C104" s="14" t="s">
        <v>420</v>
      </c>
      <c r="D104" s="58" t="s">
        <v>719</v>
      </c>
      <c r="E104" s="14"/>
    </row>
    <row r="105" spans="1:6" ht="15" x14ac:dyDescent="0.25">
      <c r="A105" s="59"/>
      <c r="B105" s="59"/>
      <c r="C105" s="14" t="s">
        <v>2</v>
      </c>
      <c r="D105" s="14"/>
      <c r="E105" s="14"/>
    </row>
    <row r="106" spans="1:6" ht="15" x14ac:dyDescent="0.25">
      <c r="A106" s="59"/>
      <c r="B106" s="59"/>
      <c r="C106" s="14" t="s">
        <v>423</v>
      </c>
      <c r="D106" s="14"/>
      <c r="E106" s="14"/>
    </row>
    <row r="107" spans="1:6" ht="15" x14ac:dyDescent="0.25">
      <c r="A107" s="59"/>
      <c r="B107" s="59"/>
      <c r="C107" s="14" t="s">
        <v>743</v>
      </c>
      <c r="D107" s="14"/>
      <c r="E107" s="14"/>
    </row>
    <row r="108" spans="1:6" ht="15" x14ac:dyDescent="0.25">
      <c r="A108" s="59"/>
      <c r="B108" s="59"/>
      <c r="C108" s="14" t="s">
        <v>77</v>
      </c>
      <c r="D108" s="14"/>
      <c r="E108" s="14"/>
    </row>
    <row r="109" spans="1:6" ht="15" x14ac:dyDescent="0.25">
      <c r="A109" s="59"/>
      <c r="B109" s="59"/>
      <c r="C109" s="14" t="s">
        <v>421</v>
      </c>
      <c r="D109" s="14"/>
      <c r="E109" s="14"/>
    </row>
    <row r="110" spans="1:6" ht="15" x14ac:dyDescent="0.25">
      <c r="A110" s="60"/>
      <c r="B110" s="60"/>
      <c r="C110" s="14" t="s">
        <v>101</v>
      </c>
      <c r="D110" s="14"/>
      <c r="E110" s="14"/>
    </row>
    <row r="111" spans="1:6" ht="15" x14ac:dyDescent="0.25">
      <c r="A111" s="63"/>
      <c r="B111" s="49" t="s">
        <v>721</v>
      </c>
      <c r="C111" s="15" t="s">
        <v>420</v>
      </c>
      <c r="D111" s="49" t="s">
        <v>721</v>
      </c>
      <c r="E111" s="15"/>
    </row>
    <row r="112" spans="1:6" ht="15" x14ac:dyDescent="0.25">
      <c r="A112" s="63"/>
      <c r="B112" s="50"/>
      <c r="C112" s="15" t="s">
        <v>750</v>
      </c>
      <c r="D112" s="15"/>
      <c r="E112" s="15"/>
    </row>
    <row r="113" spans="1:5" ht="15" x14ac:dyDescent="0.25">
      <c r="A113" s="63"/>
      <c r="B113" s="51"/>
      <c r="C113" s="15" t="s">
        <v>422</v>
      </c>
      <c r="D113" s="15"/>
      <c r="E113" s="15"/>
    </row>
    <row r="114" spans="1:5" ht="15" x14ac:dyDescent="0.25">
      <c r="A114" s="76"/>
      <c r="B114" s="76" t="s">
        <v>754</v>
      </c>
      <c r="C114" s="14" t="s">
        <v>420</v>
      </c>
      <c r="D114" s="76" t="s">
        <v>754</v>
      </c>
      <c r="E114" s="14"/>
    </row>
    <row r="115" spans="1:5" ht="15" x14ac:dyDescent="0.25">
      <c r="A115" s="76"/>
      <c r="B115" s="76"/>
      <c r="C115" s="14" t="s">
        <v>423</v>
      </c>
      <c r="D115" s="14"/>
      <c r="E115" s="14"/>
    </row>
    <row r="116" spans="1:5" ht="15" x14ac:dyDescent="0.25">
      <c r="A116" s="76"/>
      <c r="B116" s="76"/>
      <c r="C116" s="14" t="s">
        <v>743</v>
      </c>
      <c r="D116" s="14"/>
      <c r="E116" s="14"/>
    </row>
    <row r="117" spans="1:5" ht="15" x14ac:dyDescent="0.25">
      <c r="A117" s="76"/>
      <c r="B117" s="76"/>
      <c r="C117" s="14" t="s">
        <v>421</v>
      </c>
      <c r="D117" s="14"/>
      <c r="E117" s="14"/>
    </row>
    <row r="118" spans="1:5" ht="15" x14ac:dyDescent="0.25">
      <c r="A118" s="62"/>
      <c r="B118" s="77" t="s">
        <v>705</v>
      </c>
      <c r="C118" s="15" t="s">
        <v>420</v>
      </c>
      <c r="D118" s="77" t="s">
        <v>705</v>
      </c>
      <c r="E118" s="15"/>
    </row>
    <row r="119" spans="1:5" ht="15" x14ac:dyDescent="0.25">
      <c r="A119" s="96"/>
      <c r="B119" s="95"/>
      <c r="C119" s="15" t="s">
        <v>424</v>
      </c>
      <c r="D119" s="15"/>
      <c r="E119" s="15"/>
    </row>
    <row r="120" spans="1:5" ht="15" x14ac:dyDescent="0.25">
      <c r="A120" s="96"/>
      <c r="B120" s="95"/>
      <c r="C120" s="15" t="s">
        <v>743</v>
      </c>
      <c r="D120" s="15"/>
      <c r="E120" s="15"/>
    </row>
    <row r="121" spans="1:5" ht="15" x14ac:dyDescent="0.25">
      <c r="A121" s="96"/>
      <c r="B121" s="95"/>
      <c r="C121" s="15" t="s">
        <v>77</v>
      </c>
      <c r="D121" s="15"/>
      <c r="E121" s="15"/>
    </row>
    <row r="122" spans="1:5" ht="15" x14ac:dyDescent="0.25">
      <c r="A122" s="96"/>
      <c r="B122" s="95"/>
      <c r="C122" s="15" t="s">
        <v>423</v>
      </c>
      <c r="D122" s="15"/>
      <c r="E122" s="15"/>
    </row>
    <row r="123" spans="1:5" ht="15" x14ac:dyDescent="0.25">
      <c r="A123" s="96"/>
      <c r="B123" s="95"/>
      <c r="C123" s="15" t="s">
        <v>426</v>
      </c>
      <c r="D123" s="15"/>
      <c r="E123" s="15"/>
    </row>
    <row r="124" spans="1:5" ht="15" x14ac:dyDescent="0.25">
      <c r="A124" s="96"/>
      <c r="B124" s="95"/>
      <c r="C124" s="15" t="s">
        <v>425</v>
      </c>
      <c r="D124" s="15"/>
      <c r="E124" s="15"/>
    </row>
    <row r="125" spans="1:5" ht="15" x14ac:dyDescent="0.25">
      <c r="A125" s="96"/>
      <c r="B125" s="95"/>
      <c r="C125" s="15" t="s">
        <v>421</v>
      </c>
      <c r="D125" s="15"/>
      <c r="E125" s="15"/>
    </row>
    <row r="126" spans="1:5" ht="15" x14ac:dyDescent="0.25">
      <c r="A126" s="63"/>
      <c r="B126" s="78"/>
      <c r="C126" s="15" t="s">
        <v>101</v>
      </c>
      <c r="D126" s="15"/>
      <c r="E126" s="15"/>
    </row>
    <row r="127" spans="1:5" ht="15" x14ac:dyDescent="0.25">
      <c r="A127" s="58"/>
      <c r="B127" s="58" t="s">
        <v>27</v>
      </c>
      <c r="C127" s="14" t="s">
        <v>75</v>
      </c>
      <c r="D127" s="58" t="s">
        <v>27</v>
      </c>
      <c r="E127" s="14"/>
    </row>
    <row r="128" spans="1:5" ht="15" x14ac:dyDescent="0.25">
      <c r="A128" s="59"/>
      <c r="B128" s="59"/>
      <c r="C128" s="14" t="s">
        <v>87</v>
      </c>
      <c r="D128" s="14"/>
      <c r="E128" s="14"/>
    </row>
    <row r="129" spans="1:6" ht="15" x14ac:dyDescent="0.25">
      <c r="A129" s="59"/>
      <c r="B129" s="59"/>
      <c r="C129" s="14" t="s">
        <v>93</v>
      </c>
      <c r="D129" s="14"/>
      <c r="E129" s="14"/>
    </row>
    <row r="130" spans="1:6" ht="15" x14ac:dyDescent="0.25">
      <c r="A130" s="59"/>
      <c r="B130" s="59"/>
      <c r="C130" s="14" t="s">
        <v>98</v>
      </c>
      <c r="D130" s="14"/>
      <c r="E130" s="14"/>
    </row>
    <row r="131" spans="1:6" ht="15" x14ac:dyDescent="0.25">
      <c r="A131" s="59"/>
      <c r="B131" s="59"/>
      <c r="C131" s="14" t="s">
        <v>77</v>
      </c>
      <c r="D131" s="14"/>
      <c r="E131" s="14"/>
    </row>
    <row r="132" spans="1:6" ht="15" x14ac:dyDescent="0.25">
      <c r="A132" s="63"/>
      <c r="B132" s="50" t="s">
        <v>730</v>
      </c>
      <c r="C132" s="15" t="s">
        <v>75</v>
      </c>
      <c r="D132" s="50" t="s">
        <v>730</v>
      </c>
      <c r="E132" s="15"/>
    </row>
    <row r="133" spans="1:6" ht="15" x14ac:dyDescent="0.25">
      <c r="A133" s="63"/>
      <c r="B133" s="50"/>
      <c r="C133" s="15" t="s">
        <v>77</v>
      </c>
      <c r="D133" s="15"/>
      <c r="E133" s="15"/>
    </row>
    <row r="134" spans="1:6" ht="15" x14ac:dyDescent="0.25">
      <c r="A134" s="64"/>
      <c r="B134" s="51"/>
      <c r="C134" s="15" t="s">
        <v>101</v>
      </c>
      <c r="D134" s="15"/>
      <c r="E134" s="15"/>
    </row>
    <row r="135" spans="1:6" ht="15" x14ac:dyDescent="0.25">
      <c r="A135" s="65"/>
      <c r="B135" s="65" t="s">
        <v>596</v>
      </c>
      <c r="C135" s="14" t="s">
        <v>775</v>
      </c>
      <c r="D135" s="65" t="s">
        <v>596</v>
      </c>
      <c r="E135" s="14"/>
    </row>
    <row r="136" spans="1:6" ht="15" x14ac:dyDescent="0.25">
      <c r="A136" s="66"/>
      <c r="B136" s="66"/>
      <c r="C136" s="14" t="s">
        <v>911</v>
      </c>
      <c r="D136" s="14"/>
      <c r="E136" s="14"/>
      <c r="F136" t="s">
        <v>1131</v>
      </c>
    </row>
    <row r="137" spans="1:6" ht="15" x14ac:dyDescent="0.25">
      <c r="A137" s="66"/>
      <c r="B137" s="66"/>
      <c r="C137" s="14" t="s">
        <v>53</v>
      </c>
      <c r="D137" s="14"/>
      <c r="E137" s="14" t="s">
        <v>665</v>
      </c>
    </row>
    <row r="138" spans="1:6" ht="15" x14ac:dyDescent="0.25">
      <c r="A138" s="66"/>
      <c r="B138" s="66"/>
      <c r="C138" s="14" t="s">
        <v>68</v>
      </c>
      <c r="D138" s="14"/>
      <c r="E138" s="14" t="s">
        <v>666</v>
      </c>
    </row>
    <row r="139" spans="1:6" ht="15" x14ac:dyDescent="0.25">
      <c r="A139" s="66"/>
      <c r="B139" s="66"/>
      <c r="C139" s="14" t="s">
        <v>595</v>
      </c>
      <c r="D139" s="14"/>
      <c r="E139" s="14"/>
    </row>
    <row r="140" spans="1:6" ht="15" x14ac:dyDescent="0.25">
      <c r="A140" s="66"/>
      <c r="B140" s="66"/>
      <c r="C140" s="14" t="s">
        <v>661</v>
      </c>
      <c r="D140" s="14"/>
      <c r="E140" s="14"/>
    </row>
    <row r="141" spans="1:6" ht="15" x14ac:dyDescent="0.25">
      <c r="A141" s="66"/>
      <c r="B141" s="66"/>
      <c r="C141" s="14" t="s">
        <v>662</v>
      </c>
      <c r="D141" s="14"/>
      <c r="E141" s="14"/>
    </row>
    <row r="142" spans="1:6" ht="15" x14ac:dyDescent="0.25">
      <c r="A142" s="66"/>
      <c r="B142" s="66"/>
      <c r="C142" s="14" t="s">
        <v>663</v>
      </c>
      <c r="D142" s="14"/>
      <c r="E142" s="14"/>
    </row>
    <row r="143" spans="1:6" ht="15" x14ac:dyDescent="0.25">
      <c r="A143" s="66"/>
      <c r="B143" s="66"/>
      <c r="C143" s="14" t="s">
        <v>664</v>
      </c>
      <c r="D143" s="14"/>
      <c r="E143" s="14"/>
    </row>
    <row r="144" spans="1:6" ht="15" x14ac:dyDescent="0.25">
      <c r="A144" s="66"/>
      <c r="B144" s="66"/>
      <c r="C144" s="14" t="s">
        <v>896</v>
      </c>
      <c r="D144" s="14"/>
      <c r="E144" s="14"/>
    </row>
    <row r="145" spans="1:5" ht="15" x14ac:dyDescent="0.25">
      <c r="A145" s="66"/>
      <c r="B145" s="66"/>
      <c r="C145" s="14" t="s">
        <v>101</v>
      </c>
      <c r="D145" s="14"/>
      <c r="E145" s="14"/>
    </row>
    <row r="146" spans="1:5" ht="15" x14ac:dyDescent="0.25">
      <c r="A146" s="62"/>
      <c r="B146" s="55" t="s">
        <v>593</v>
      </c>
      <c r="C146" s="15" t="s">
        <v>54</v>
      </c>
      <c r="D146" s="15" t="s">
        <v>1165</v>
      </c>
      <c r="E146" s="15"/>
    </row>
    <row r="147" spans="1:5" ht="15" x14ac:dyDescent="0.25">
      <c r="A147" s="64"/>
      <c r="B147" s="57"/>
      <c r="C147" s="15" t="s">
        <v>61</v>
      </c>
      <c r="D147" s="15"/>
      <c r="E147" s="15"/>
    </row>
    <row r="148" spans="1:5" ht="15" x14ac:dyDescent="0.25">
      <c r="A148" s="44"/>
      <c r="B148" s="94" t="s">
        <v>4</v>
      </c>
      <c r="C148" s="14" t="s">
        <v>303</v>
      </c>
      <c r="D148" s="94" t="s">
        <v>4</v>
      </c>
      <c r="E148" s="14" t="s">
        <v>55</v>
      </c>
    </row>
    <row r="149" spans="1:5" ht="15" x14ac:dyDescent="0.25">
      <c r="A149" s="45"/>
      <c r="B149" s="45"/>
      <c r="C149" s="14" t="s">
        <v>886</v>
      </c>
      <c r="D149" s="14"/>
      <c r="E149" s="14" t="s">
        <v>892</v>
      </c>
    </row>
    <row r="150" spans="1:5" ht="15" x14ac:dyDescent="0.25">
      <c r="A150" s="45"/>
      <c r="B150" s="45"/>
      <c r="C150" s="14" t="s">
        <v>463</v>
      </c>
      <c r="D150" s="14"/>
      <c r="E150" s="14" t="s">
        <v>62</v>
      </c>
    </row>
    <row r="151" spans="1:5" ht="15" x14ac:dyDescent="0.25">
      <c r="A151" s="45"/>
      <c r="B151" s="45"/>
      <c r="C151" s="14" t="s">
        <v>466</v>
      </c>
      <c r="D151" s="14"/>
      <c r="E151" s="14" t="s">
        <v>246</v>
      </c>
    </row>
    <row r="152" spans="1:5" ht="15" x14ac:dyDescent="0.25">
      <c r="A152" s="45"/>
      <c r="B152" s="45"/>
      <c r="C152" s="14" t="s">
        <v>467</v>
      </c>
      <c r="D152" s="14"/>
      <c r="E152" s="14" t="s">
        <v>76</v>
      </c>
    </row>
    <row r="153" spans="1:5" ht="15" x14ac:dyDescent="0.25">
      <c r="A153" s="45"/>
      <c r="B153" s="45"/>
      <c r="C153" s="14" t="s">
        <v>464</v>
      </c>
      <c r="D153" s="14"/>
      <c r="E153" s="14" t="s">
        <v>82</v>
      </c>
    </row>
    <row r="154" spans="1:5" ht="15" x14ac:dyDescent="0.25">
      <c r="A154" s="45"/>
      <c r="B154" s="45"/>
      <c r="C154" s="14" t="s">
        <v>468</v>
      </c>
      <c r="D154" s="14"/>
      <c r="E154" s="14" t="s">
        <v>88</v>
      </c>
    </row>
    <row r="155" spans="1:5" ht="15" x14ac:dyDescent="0.25">
      <c r="A155" s="45"/>
      <c r="B155" s="45"/>
      <c r="C155" s="14" t="s">
        <v>465</v>
      </c>
      <c r="D155" s="14"/>
      <c r="E155" s="14" t="s">
        <v>94</v>
      </c>
    </row>
    <row r="156" spans="1:5" ht="15" x14ac:dyDescent="0.25">
      <c r="A156" s="45"/>
      <c r="B156" s="45"/>
      <c r="C156" s="14" t="s">
        <v>469</v>
      </c>
      <c r="D156" s="14"/>
      <c r="E156" s="14" t="s">
        <v>99</v>
      </c>
    </row>
    <row r="157" spans="1:5" ht="15" x14ac:dyDescent="0.25">
      <c r="A157" s="45"/>
      <c r="B157" s="45"/>
      <c r="C157" s="14" t="s">
        <v>470</v>
      </c>
      <c r="D157" s="14"/>
      <c r="E157" s="14" t="s">
        <v>105</v>
      </c>
    </row>
    <row r="158" spans="1:5" ht="15" x14ac:dyDescent="0.25">
      <c r="A158" s="45"/>
      <c r="B158" s="45"/>
      <c r="C158" s="14" t="s">
        <v>472</v>
      </c>
      <c r="D158" s="14"/>
      <c r="E158" s="14" t="s">
        <v>365</v>
      </c>
    </row>
    <row r="159" spans="1:5" ht="15" x14ac:dyDescent="0.25">
      <c r="A159" s="45"/>
      <c r="B159" s="45"/>
      <c r="C159" s="14" t="s">
        <v>471</v>
      </c>
      <c r="D159" s="14"/>
      <c r="E159" s="14" t="s">
        <v>109</v>
      </c>
    </row>
    <row r="160" spans="1:5" ht="15" x14ac:dyDescent="0.25">
      <c r="A160" s="45"/>
      <c r="B160" s="45"/>
      <c r="C160" s="14" t="s">
        <v>473</v>
      </c>
      <c r="D160" s="14"/>
      <c r="E160" s="14" t="s">
        <v>112</v>
      </c>
    </row>
    <row r="161" spans="1:5" ht="15" x14ac:dyDescent="0.25">
      <c r="A161" s="45"/>
      <c r="B161" s="45"/>
      <c r="C161" s="14" t="s">
        <v>474</v>
      </c>
      <c r="D161" s="14"/>
      <c r="E161" s="14" t="s">
        <v>114</v>
      </c>
    </row>
    <row r="162" spans="1:5" ht="15" x14ac:dyDescent="0.25">
      <c r="A162" s="45"/>
      <c r="B162" s="45"/>
      <c r="C162" s="14" t="s">
        <v>475</v>
      </c>
      <c r="D162" s="14"/>
      <c r="E162" s="14" t="s">
        <v>117</v>
      </c>
    </row>
    <row r="163" spans="1:5" ht="15" x14ac:dyDescent="0.25">
      <c r="A163" s="45"/>
      <c r="B163" s="45"/>
      <c r="C163" s="14" t="s">
        <v>476</v>
      </c>
      <c r="D163" s="14"/>
      <c r="E163" s="14" t="s">
        <v>120</v>
      </c>
    </row>
    <row r="164" spans="1:5" ht="15" x14ac:dyDescent="0.25">
      <c r="A164" s="45"/>
      <c r="B164" s="45"/>
      <c r="C164" s="14" t="s">
        <v>477</v>
      </c>
      <c r="D164" s="14"/>
      <c r="E164" s="14" t="s">
        <v>366</v>
      </c>
    </row>
    <row r="165" spans="1:5" ht="15" x14ac:dyDescent="0.25">
      <c r="A165" s="45"/>
      <c r="B165" s="45"/>
      <c r="C165" s="14" t="s">
        <v>478</v>
      </c>
      <c r="D165" s="14"/>
      <c r="E165" s="14" t="s">
        <v>122</v>
      </c>
    </row>
    <row r="166" spans="1:5" ht="15" x14ac:dyDescent="0.25">
      <c r="A166" s="45"/>
      <c r="B166" s="45"/>
      <c r="C166" s="14" t="s">
        <v>479</v>
      </c>
      <c r="D166" s="14"/>
      <c r="E166" s="14" t="s">
        <v>124</v>
      </c>
    </row>
    <row r="167" spans="1:5" ht="15" x14ac:dyDescent="0.25">
      <c r="A167" s="45"/>
      <c r="B167" s="45"/>
      <c r="C167" s="14" t="s">
        <v>480</v>
      </c>
      <c r="D167" s="14"/>
      <c r="E167" s="14" t="s">
        <v>125</v>
      </c>
    </row>
    <row r="168" spans="1:5" ht="15" x14ac:dyDescent="0.25">
      <c r="A168" s="45"/>
      <c r="B168" s="45"/>
      <c r="C168" s="14" t="s">
        <v>481</v>
      </c>
      <c r="D168" s="14"/>
      <c r="E168" s="14" t="s">
        <v>127</v>
      </c>
    </row>
    <row r="169" spans="1:5" ht="15" x14ac:dyDescent="0.25">
      <c r="A169" s="45"/>
      <c r="B169" s="45"/>
      <c r="C169" s="14" t="s">
        <v>482</v>
      </c>
      <c r="D169" s="14"/>
      <c r="E169" s="14" t="s">
        <v>247</v>
      </c>
    </row>
    <row r="170" spans="1:5" ht="15" x14ac:dyDescent="0.25">
      <c r="A170" s="45"/>
      <c r="B170" s="45"/>
      <c r="C170" s="14" t="s">
        <v>580</v>
      </c>
      <c r="D170" s="14"/>
      <c r="E170" s="14" t="s">
        <v>131</v>
      </c>
    </row>
    <row r="171" spans="1:5" ht="15" x14ac:dyDescent="0.25">
      <c r="A171" s="45"/>
      <c r="B171" s="45"/>
      <c r="C171" s="14" t="s">
        <v>483</v>
      </c>
      <c r="D171" s="14"/>
      <c r="E171" s="14" t="s">
        <v>133</v>
      </c>
    </row>
    <row r="172" spans="1:5" ht="15" x14ac:dyDescent="0.25">
      <c r="A172" s="45"/>
      <c r="B172" s="45"/>
      <c r="C172" s="14" t="s">
        <v>484</v>
      </c>
      <c r="D172" s="14"/>
      <c r="E172" s="14" t="s">
        <v>135</v>
      </c>
    </row>
    <row r="173" spans="1:5" ht="15" x14ac:dyDescent="0.25">
      <c r="A173" s="45"/>
      <c r="B173" s="45"/>
      <c r="C173" s="14" t="s">
        <v>485</v>
      </c>
      <c r="D173" s="14"/>
      <c r="E173" s="14" t="s">
        <v>137</v>
      </c>
    </row>
    <row r="174" spans="1:5" ht="15" x14ac:dyDescent="0.25">
      <c r="A174" s="45"/>
      <c r="B174" s="45"/>
      <c r="C174" s="14" t="s">
        <v>486</v>
      </c>
      <c r="D174" s="14"/>
      <c r="E174" s="14" t="s">
        <v>140</v>
      </c>
    </row>
    <row r="175" spans="1:5" ht="15" x14ac:dyDescent="0.25">
      <c r="A175" s="45"/>
      <c r="B175" s="45"/>
      <c r="C175" s="14" t="s">
        <v>487</v>
      </c>
      <c r="D175" s="14"/>
      <c r="E175" s="14" t="s">
        <v>142</v>
      </c>
    </row>
    <row r="176" spans="1:5" ht="15" x14ac:dyDescent="0.25">
      <c r="A176" s="45"/>
      <c r="B176" s="45"/>
      <c r="C176" s="14" t="s">
        <v>488</v>
      </c>
      <c r="D176" s="14"/>
      <c r="E176" s="14" t="s">
        <v>144</v>
      </c>
    </row>
    <row r="177" spans="1:6" ht="15" x14ac:dyDescent="0.25">
      <c r="A177" s="45"/>
      <c r="B177" s="45"/>
      <c r="C177" s="14" t="s">
        <v>489</v>
      </c>
      <c r="D177" s="14"/>
      <c r="E177" s="14" t="s">
        <v>146</v>
      </c>
    </row>
    <row r="178" spans="1:6" ht="15" x14ac:dyDescent="0.25">
      <c r="A178" s="45"/>
      <c r="B178" s="45"/>
      <c r="C178" s="14" t="s">
        <v>490</v>
      </c>
      <c r="D178" s="14"/>
      <c r="E178" s="14" t="s">
        <v>148</v>
      </c>
    </row>
    <row r="179" spans="1:6" ht="15" x14ac:dyDescent="0.25">
      <c r="A179" s="45"/>
      <c r="B179" s="45"/>
      <c r="C179" s="14" t="s">
        <v>491</v>
      </c>
      <c r="D179" s="14"/>
      <c r="E179" s="14" t="s">
        <v>150</v>
      </c>
    </row>
    <row r="180" spans="1:6" ht="15" x14ac:dyDescent="0.25">
      <c r="A180" s="45"/>
      <c r="B180" s="45"/>
      <c r="C180" s="14" t="s">
        <v>1102</v>
      </c>
      <c r="D180" s="14"/>
      <c r="E180" s="14" t="s">
        <v>1077</v>
      </c>
      <c r="F180" t="s">
        <v>1131</v>
      </c>
    </row>
    <row r="181" spans="1:6" ht="15" x14ac:dyDescent="0.25">
      <c r="A181" s="45"/>
      <c r="B181" s="45"/>
      <c r="C181" s="14" t="s">
        <v>101</v>
      </c>
      <c r="D181" s="14"/>
      <c r="E181" s="14" t="s">
        <v>101</v>
      </c>
    </row>
    <row r="182" spans="1:6" ht="30" x14ac:dyDescent="0.25">
      <c r="A182" s="62"/>
      <c r="B182" s="83" t="s">
        <v>1221</v>
      </c>
      <c r="C182" s="37" t="s">
        <v>56</v>
      </c>
      <c r="D182" s="37" t="s">
        <v>1166</v>
      </c>
      <c r="E182" s="37"/>
    </row>
    <row r="183" spans="1:6" ht="15" x14ac:dyDescent="0.25">
      <c r="A183" s="63"/>
      <c r="B183" s="56"/>
      <c r="C183" s="37" t="s">
        <v>752</v>
      </c>
      <c r="D183" s="37"/>
      <c r="E183" s="37"/>
    </row>
    <row r="184" spans="1:6" ht="15" x14ac:dyDescent="0.25">
      <c r="A184" s="63"/>
      <c r="B184" s="56"/>
      <c r="C184" s="37" t="s">
        <v>63</v>
      </c>
      <c r="D184" s="37"/>
      <c r="E184" s="37"/>
    </row>
    <row r="185" spans="1:6" ht="15" x14ac:dyDescent="0.25">
      <c r="A185" s="64"/>
      <c r="B185" s="57"/>
      <c r="C185" s="38" t="s">
        <v>290</v>
      </c>
      <c r="D185" s="38"/>
      <c r="E185" s="38"/>
    </row>
    <row r="186" spans="1:6" ht="15" x14ac:dyDescent="0.25">
      <c r="A186" s="58"/>
      <c r="B186" s="58" t="s">
        <v>884</v>
      </c>
      <c r="C186" s="36" t="s">
        <v>606</v>
      </c>
      <c r="D186" s="58" t="s">
        <v>884</v>
      </c>
      <c r="E186" s="36"/>
    </row>
    <row r="187" spans="1:6" ht="15" x14ac:dyDescent="0.25">
      <c r="A187" s="59"/>
      <c r="B187" s="59"/>
      <c r="C187" s="36" t="s">
        <v>607</v>
      </c>
      <c r="D187" s="36"/>
      <c r="E187" s="36"/>
    </row>
    <row r="188" spans="1:6" ht="15" x14ac:dyDescent="0.25">
      <c r="A188" s="62"/>
      <c r="B188" s="55" t="s">
        <v>7</v>
      </c>
      <c r="C188" s="38" t="s">
        <v>64</v>
      </c>
      <c r="D188" s="55" t="s">
        <v>7</v>
      </c>
      <c r="E188" s="38" t="s">
        <v>392</v>
      </c>
    </row>
    <row r="189" spans="1:6" ht="15" x14ac:dyDescent="0.25">
      <c r="A189" s="63"/>
      <c r="B189" s="56"/>
      <c r="C189" s="38" t="s">
        <v>69</v>
      </c>
      <c r="D189" s="38"/>
      <c r="E189" s="38" t="s">
        <v>393</v>
      </c>
    </row>
    <row r="190" spans="1:6" ht="15" x14ac:dyDescent="0.25">
      <c r="A190" s="63"/>
      <c r="B190" s="56"/>
      <c r="C190" s="38" t="s">
        <v>77</v>
      </c>
      <c r="D190" s="38"/>
      <c r="E190" s="38" t="s">
        <v>77</v>
      </c>
    </row>
    <row r="191" spans="1:6" ht="15" x14ac:dyDescent="0.25">
      <c r="A191" s="63"/>
      <c r="B191" s="56"/>
      <c r="C191" s="38" t="s">
        <v>89</v>
      </c>
      <c r="D191" s="38"/>
      <c r="E191" s="38" t="s">
        <v>395</v>
      </c>
    </row>
    <row r="192" spans="1:6" ht="15" x14ac:dyDescent="0.25">
      <c r="A192" s="63"/>
      <c r="B192" s="56"/>
      <c r="C192" s="38" t="s">
        <v>106</v>
      </c>
      <c r="D192" s="38"/>
      <c r="E192" s="38" t="s">
        <v>398</v>
      </c>
    </row>
    <row r="193" spans="1:5" ht="15" x14ac:dyDescent="0.25">
      <c r="A193" s="63"/>
      <c r="B193" s="56"/>
      <c r="C193" s="38" t="s">
        <v>404</v>
      </c>
      <c r="D193" s="38"/>
      <c r="E193" s="38" t="s">
        <v>399</v>
      </c>
    </row>
    <row r="194" spans="1:5" ht="15" x14ac:dyDescent="0.25">
      <c r="A194" s="63"/>
      <c r="B194" s="56"/>
      <c r="C194" s="38" t="s">
        <v>100</v>
      </c>
      <c r="D194" s="38"/>
      <c r="E194" s="38" t="s">
        <v>397</v>
      </c>
    </row>
    <row r="195" spans="1:5" ht="15" x14ac:dyDescent="0.25">
      <c r="A195" s="63"/>
      <c r="B195" s="56"/>
      <c r="C195" s="38" t="s">
        <v>429</v>
      </c>
      <c r="D195" s="38"/>
      <c r="E195" s="38" t="s">
        <v>400</v>
      </c>
    </row>
    <row r="196" spans="1:5" ht="15" x14ac:dyDescent="0.25">
      <c r="A196" s="63"/>
      <c r="B196" s="56"/>
      <c r="C196" s="38" t="s">
        <v>118</v>
      </c>
      <c r="D196" s="38"/>
      <c r="E196" s="38" t="s">
        <v>402</v>
      </c>
    </row>
    <row r="197" spans="1:5" ht="15" x14ac:dyDescent="0.25">
      <c r="A197" s="63"/>
      <c r="B197" s="56"/>
      <c r="C197" s="38" t="s">
        <v>115</v>
      </c>
      <c r="D197" s="38"/>
      <c r="E197" s="38" t="s">
        <v>401</v>
      </c>
    </row>
    <row r="198" spans="1:5" ht="15" x14ac:dyDescent="0.25">
      <c r="A198" s="63"/>
      <c r="B198" s="56"/>
      <c r="C198" s="38" t="s">
        <v>83</v>
      </c>
      <c r="D198" s="38"/>
      <c r="E198" s="38" t="s">
        <v>394</v>
      </c>
    </row>
    <row r="199" spans="1:5" ht="15" x14ac:dyDescent="0.25">
      <c r="A199" s="63"/>
      <c r="B199" s="56"/>
      <c r="C199" s="38" t="s">
        <v>95</v>
      </c>
      <c r="D199" s="38"/>
      <c r="E199" s="38" t="s">
        <v>396</v>
      </c>
    </row>
    <row r="200" spans="1:5" ht="15" x14ac:dyDescent="0.25">
      <c r="A200" s="63"/>
      <c r="B200" s="56"/>
      <c r="C200" s="38" t="s">
        <v>101</v>
      </c>
      <c r="D200" s="38"/>
      <c r="E200" s="38" t="s">
        <v>101</v>
      </c>
    </row>
    <row r="201" spans="1:5" ht="15" x14ac:dyDescent="0.25">
      <c r="A201" s="64"/>
      <c r="B201" s="57"/>
      <c r="C201" s="38" t="s">
        <v>290</v>
      </c>
      <c r="D201" s="38"/>
      <c r="E201" s="38" t="s">
        <v>403</v>
      </c>
    </row>
    <row r="202" spans="1:5" ht="15" x14ac:dyDescent="0.25">
      <c r="A202" s="94"/>
      <c r="B202" s="94" t="s">
        <v>8</v>
      </c>
      <c r="C202" s="14" t="s">
        <v>405</v>
      </c>
      <c r="D202" s="14" t="s">
        <v>1167</v>
      </c>
      <c r="E202" s="14"/>
    </row>
    <row r="203" spans="1:5" ht="15" x14ac:dyDescent="0.25">
      <c r="A203" s="45"/>
      <c r="B203" s="45"/>
      <c r="C203" s="14" t="s">
        <v>255</v>
      </c>
      <c r="D203" s="14"/>
      <c r="E203" s="14"/>
    </row>
    <row r="204" spans="1:5" ht="15" x14ac:dyDescent="0.25">
      <c r="A204" s="45"/>
      <c r="B204" s="45"/>
      <c r="C204" s="14" t="s">
        <v>622</v>
      </c>
      <c r="D204" s="14"/>
      <c r="E204" s="14"/>
    </row>
    <row r="205" spans="1:5" ht="15" x14ac:dyDescent="0.25">
      <c r="A205" s="45"/>
      <c r="B205" s="45"/>
      <c r="C205" s="14" t="s">
        <v>154</v>
      </c>
      <c r="D205" s="14"/>
      <c r="E205" s="14"/>
    </row>
    <row r="206" spans="1:5" ht="15" x14ac:dyDescent="0.25">
      <c r="A206" s="45"/>
      <c r="B206" s="45"/>
      <c r="C206" s="14" t="s">
        <v>616</v>
      </c>
      <c r="D206" s="14"/>
      <c r="E206" s="14"/>
    </row>
    <row r="207" spans="1:5" ht="15" x14ac:dyDescent="0.25">
      <c r="A207" s="45"/>
      <c r="B207" s="45"/>
      <c r="C207" s="14" t="s">
        <v>172</v>
      </c>
      <c r="D207" s="14"/>
      <c r="E207" s="107"/>
    </row>
    <row r="208" spans="1:5" ht="15" x14ac:dyDescent="0.25">
      <c r="A208" s="45"/>
      <c r="B208" s="45"/>
      <c r="C208" s="14" t="s">
        <v>618</v>
      </c>
      <c r="D208" s="14"/>
      <c r="E208" s="14"/>
    </row>
    <row r="209" spans="1:6" ht="15" x14ac:dyDescent="0.25">
      <c r="A209" s="45"/>
      <c r="B209" s="45"/>
      <c r="C209" s="14" t="s">
        <v>65</v>
      </c>
      <c r="D209" s="14"/>
      <c r="E209" s="14"/>
    </row>
    <row r="210" spans="1:6" ht="15" x14ac:dyDescent="0.25">
      <c r="A210" s="45"/>
      <c r="B210" s="45"/>
      <c r="C210" s="14" t="s">
        <v>262</v>
      </c>
      <c r="D210" s="14"/>
      <c r="E210" s="14"/>
    </row>
    <row r="211" spans="1:6" ht="15" x14ac:dyDescent="0.25">
      <c r="A211" s="45"/>
      <c r="B211" s="45"/>
      <c r="C211" s="14" t="s">
        <v>623</v>
      </c>
      <c r="D211" s="14"/>
      <c r="E211" s="14"/>
    </row>
    <row r="212" spans="1:6" ht="15" x14ac:dyDescent="0.25">
      <c r="A212" s="45"/>
      <c r="B212" s="45"/>
      <c r="C212" s="14" t="s">
        <v>138</v>
      </c>
      <c r="D212" s="14"/>
      <c r="E212" s="14"/>
    </row>
    <row r="213" spans="1:6" ht="15" x14ac:dyDescent="0.25">
      <c r="A213" s="45"/>
      <c r="B213" s="45"/>
      <c r="C213" s="14" t="s">
        <v>251</v>
      </c>
      <c r="D213" s="14"/>
      <c r="E213" s="14"/>
    </row>
    <row r="214" spans="1:6" ht="15" x14ac:dyDescent="0.25">
      <c r="A214" s="45"/>
      <c r="B214" s="45"/>
      <c r="C214" s="14" t="s">
        <v>1208</v>
      </c>
      <c r="D214" s="14"/>
      <c r="E214" s="14"/>
    </row>
    <row r="215" spans="1:6" ht="15" x14ac:dyDescent="0.25">
      <c r="A215" s="45"/>
      <c r="B215" s="45"/>
      <c r="C215" s="14" t="s">
        <v>263</v>
      </c>
      <c r="D215" s="14"/>
      <c r="E215" s="14"/>
    </row>
    <row r="216" spans="1:6" ht="15" x14ac:dyDescent="0.25">
      <c r="A216" s="45"/>
      <c r="B216" s="45"/>
      <c r="C216" s="14" t="s">
        <v>675</v>
      </c>
      <c r="D216" s="14"/>
      <c r="E216" s="14"/>
    </row>
    <row r="217" spans="1:6" ht="15" x14ac:dyDescent="0.25">
      <c r="A217" s="45"/>
      <c r="B217" s="45"/>
      <c r="C217" s="14" t="s">
        <v>1104</v>
      </c>
      <c r="D217" s="14"/>
      <c r="E217" s="14" t="s">
        <v>624</v>
      </c>
      <c r="F217" t="s">
        <v>1131</v>
      </c>
    </row>
    <row r="218" spans="1:6" ht="15" x14ac:dyDescent="0.25">
      <c r="A218" s="45"/>
      <c r="B218" s="45"/>
      <c r="C218" s="14" t="s">
        <v>260</v>
      </c>
      <c r="D218" s="14"/>
      <c r="E218" s="14"/>
    </row>
    <row r="219" spans="1:6" ht="15" x14ac:dyDescent="0.25">
      <c r="A219" s="45"/>
      <c r="B219" s="45"/>
      <c r="C219" s="14" t="s">
        <v>257</v>
      </c>
      <c r="D219" s="14"/>
      <c r="E219" s="14"/>
    </row>
    <row r="220" spans="1:6" ht="15" x14ac:dyDescent="0.25">
      <c r="A220" s="45"/>
      <c r="B220" s="45"/>
      <c r="C220" s="14" t="s">
        <v>258</v>
      </c>
      <c r="D220" s="14"/>
      <c r="E220" s="14"/>
    </row>
    <row r="221" spans="1:6" ht="15" x14ac:dyDescent="0.25">
      <c r="A221" s="45"/>
      <c r="B221" s="45"/>
      <c r="C221" s="14" t="s">
        <v>165</v>
      </c>
      <c r="D221" s="14"/>
      <c r="E221" s="107"/>
    </row>
    <row r="222" spans="1:6" ht="15" x14ac:dyDescent="0.25">
      <c r="A222" s="45"/>
      <c r="B222" s="45"/>
      <c r="C222" s="14" t="s">
        <v>249</v>
      </c>
      <c r="D222" s="14"/>
      <c r="E222" s="14"/>
    </row>
    <row r="223" spans="1:6" ht="15" x14ac:dyDescent="0.25">
      <c r="A223" s="45"/>
      <c r="B223" s="45"/>
      <c r="C223" s="14" t="s">
        <v>254</v>
      </c>
      <c r="D223" s="14"/>
      <c r="E223" s="14"/>
    </row>
    <row r="224" spans="1:6" ht="15" x14ac:dyDescent="0.25">
      <c r="A224" s="45"/>
      <c r="B224" s="45"/>
      <c r="C224" s="14" t="s">
        <v>70</v>
      </c>
      <c r="D224" s="14"/>
      <c r="E224" s="14"/>
    </row>
    <row r="225" spans="1:5" ht="15" x14ac:dyDescent="0.25">
      <c r="A225" s="45"/>
      <c r="B225" s="45"/>
      <c r="C225" s="14" t="s">
        <v>252</v>
      </c>
      <c r="D225" s="14"/>
      <c r="E225" s="14"/>
    </row>
    <row r="226" spans="1:5" ht="15" x14ac:dyDescent="0.25">
      <c r="A226" s="45"/>
      <c r="B226" s="45"/>
      <c r="C226" s="14" t="s">
        <v>74</v>
      </c>
      <c r="D226" s="14"/>
      <c r="E226" s="14"/>
    </row>
    <row r="227" spans="1:5" ht="15" x14ac:dyDescent="0.25">
      <c r="A227" s="45"/>
      <c r="B227" s="45"/>
      <c r="C227" s="14" t="s">
        <v>256</v>
      </c>
      <c r="D227" s="14"/>
      <c r="E227" s="14"/>
    </row>
    <row r="228" spans="1:5" ht="15" x14ac:dyDescent="0.25">
      <c r="A228" s="45"/>
      <c r="B228" s="45"/>
      <c r="C228" s="14" t="s">
        <v>620</v>
      </c>
      <c r="D228" s="14"/>
      <c r="E228" s="14"/>
    </row>
    <row r="229" spans="1:5" ht="15" x14ac:dyDescent="0.25">
      <c r="A229" s="45"/>
      <c r="B229" s="45"/>
      <c r="C229" s="14" t="s">
        <v>621</v>
      </c>
      <c r="D229" s="14"/>
      <c r="E229" s="14"/>
    </row>
    <row r="230" spans="1:5" ht="15" x14ac:dyDescent="0.25">
      <c r="A230" s="45"/>
      <c r="B230" s="45"/>
      <c r="C230" s="14" t="s">
        <v>259</v>
      </c>
      <c r="D230" s="14"/>
      <c r="E230" s="14"/>
    </row>
    <row r="231" spans="1:5" ht="15" x14ac:dyDescent="0.25">
      <c r="A231" s="45"/>
      <c r="B231" s="45"/>
      <c r="C231" s="14" t="s">
        <v>84</v>
      </c>
      <c r="D231" s="14"/>
      <c r="E231" s="14"/>
    </row>
    <row r="232" spans="1:5" ht="15" x14ac:dyDescent="0.25">
      <c r="A232" s="45"/>
      <c r="B232" s="45"/>
      <c r="C232" s="14" t="s">
        <v>617</v>
      </c>
      <c r="D232" s="14"/>
      <c r="E232" s="14"/>
    </row>
    <row r="233" spans="1:5" ht="15" x14ac:dyDescent="0.25">
      <c r="A233" s="45"/>
      <c r="B233" s="45"/>
      <c r="C233" s="14" t="s">
        <v>615</v>
      </c>
      <c r="D233" s="14"/>
      <c r="E233" s="14"/>
    </row>
    <row r="234" spans="1:5" ht="15" x14ac:dyDescent="0.25">
      <c r="A234" s="45"/>
      <c r="B234" s="45"/>
      <c r="C234" s="14" t="s">
        <v>625</v>
      </c>
      <c r="D234" s="14"/>
      <c r="E234" s="14"/>
    </row>
    <row r="235" spans="1:5" ht="15" x14ac:dyDescent="0.25">
      <c r="A235" s="45"/>
      <c r="B235" s="45"/>
      <c r="C235" s="14" t="s">
        <v>250</v>
      </c>
      <c r="D235" s="14"/>
      <c r="E235" s="14"/>
    </row>
    <row r="236" spans="1:5" ht="15" x14ac:dyDescent="0.25">
      <c r="A236" s="45"/>
      <c r="B236" s="45"/>
      <c r="C236" s="14" t="s">
        <v>1209</v>
      </c>
      <c r="D236" s="14"/>
      <c r="E236" s="14"/>
    </row>
    <row r="237" spans="1:5" ht="15" x14ac:dyDescent="0.25">
      <c r="A237" s="45"/>
      <c r="B237" s="45"/>
      <c r="C237" s="14" t="s">
        <v>614</v>
      </c>
      <c r="D237" s="14"/>
      <c r="E237" s="14"/>
    </row>
    <row r="238" spans="1:5" ht="15" x14ac:dyDescent="0.25">
      <c r="A238" s="45"/>
      <c r="B238" s="45"/>
      <c r="C238" s="14" t="s">
        <v>261</v>
      </c>
      <c r="D238" s="14"/>
      <c r="E238" s="107"/>
    </row>
    <row r="239" spans="1:5" ht="15" x14ac:dyDescent="0.25">
      <c r="A239" s="45"/>
      <c r="B239" s="45"/>
      <c r="C239" s="14" t="s">
        <v>619</v>
      </c>
      <c r="D239" s="14"/>
      <c r="E239" s="14"/>
    </row>
    <row r="240" spans="1:5" ht="15" x14ac:dyDescent="0.25">
      <c r="A240" s="45"/>
      <c r="B240" s="45"/>
      <c r="C240" s="14" t="s">
        <v>1210</v>
      </c>
      <c r="D240" s="14"/>
      <c r="E240" s="14"/>
    </row>
    <row r="241" spans="1:5" ht="15" x14ac:dyDescent="0.25">
      <c r="A241" s="45"/>
      <c r="B241" s="45"/>
      <c r="C241" s="14" t="s">
        <v>1211</v>
      </c>
      <c r="D241" s="14"/>
      <c r="E241" s="14"/>
    </row>
    <row r="242" spans="1:5" ht="15" x14ac:dyDescent="0.25">
      <c r="A242" s="45"/>
      <c r="B242" s="45"/>
      <c r="C242" s="14" t="s">
        <v>1212</v>
      </c>
      <c r="D242" s="14"/>
      <c r="E242" s="14"/>
    </row>
    <row r="243" spans="1:5" ht="15" x14ac:dyDescent="0.25">
      <c r="A243" s="45"/>
      <c r="B243" s="45"/>
      <c r="C243" s="14" t="s">
        <v>170</v>
      </c>
      <c r="D243" s="14"/>
      <c r="E243" s="107"/>
    </row>
    <row r="244" spans="1:5" ht="15" x14ac:dyDescent="0.25">
      <c r="A244" s="45"/>
      <c r="B244" s="45"/>
      <c r="C244" s="14" t="s">
        <v>248</v>
      </c>
      <c r="D244" s="14"/>
      <c r="E244" s="14"/>
    </row>
    <row r="245" spans="1:5" ht="15" x14ac:dyDescent="0.25">
      <c r="A245" s="45"/>
      <c r="B245" s="45"/>
      <c r="C245" s="14" t="s">
        <v>167</v>
      </c>
      <c r="D245" s="14"/>
      <c r="E245" s="107"/>
    </row>
    <row r="246" spans="1:5" ht="15" x14ac:dyDescent="0.25">
      <c r="A246" s="45"/>
      <c r="B246" s="45"/>
      <c r="C246" s="14" t="s">
        <v>168</v>
      </c>
      <c r="D246" s="14"/>
      <c r="E246" s="107"/>
    </row>
    <row r="247" spans="1:5" ht="15" x14ac:dyDescent="0.25">
      <c r="A247" s="45"/>
      <c r="B247" s="45"/>
      <c r="C247" s="14" t="s">
        <v>163</v>
      </c>
      <c r="D247" s="14"/>
      <c r="E247" s="107"/>
    </row>
    <row r="248" spans="1:5" ht="15" x14ac:dyDescent="0.25">
      <c r="A248" s="45"/>
      <c r="B248" s="45"/>
      <c r="C248" s="14" t="s">
        <v>253</v>
      </c>
      <c r="D248" s="14"/>
      <c r="E248" s="14"/>
    </row>
    <row r="249" spans="1:5" ht="15" x14ac:dyDescent="0.25">
      <c r="A249" s="45"/>
      <c r="B249" s="45"/>
      <c r="C249" s="14" t="s">
        <v>161</v>
      </c>
      <c r="D249" s="14"/>
      <c r="E249" s="14"/>
    </row>
    <row r="250" spans="1:5" ht="15" x14ac:dyDescent="0.25">
      <c r="A250" s="45"/>
      <c r="B250" s="45"/>
      <c r="C250" s="14" t="s">
        <v>101</v>
      </c>
      <c r="D250" s="14"/>
      <c r="E250" s="14"/>
    </row>
    <row r="251" spans="1:5" ht="15" x14ac:dyDescent="0.25">
      <c r="A251" s="45"/>
      <c r="B251" s="45"/>
      <c r="C251" s="14" t="s">
        <v>821</v>
      </c>
      <c r="D251" s="14"/>
      <c r="E251" s="14"/>
    </row>
    <row r="252" spans="1:5" ht="15" x14ac:dyDescent="0.25">
      <c r="A252" s="45"/>
      <c r="B252" s="45"/>
      <c r="C252" s="14" t="s">
        <v>822</v>
      </c>
      <c r="D252" s="14"/>
      <c r="E252" s="14"/>
    </row>
    <row r="253" spans="1:5" ht="15" x14ac:dyDescent="0.25">
      <c r="A253" s="45"/>
      <c r="B253" s="45"/>
      <c r="C253" s="14" t="s">
        <v>823</v>
      </c>
      <c r="D253" s="14"/>
      <c r="E253" s="14"/>
    </row>
    <row r="254" spans="1:5" ht="15" x14ac:dyDescent="0.25">
      <c r="A254" s="45"/>
      <c r="B254" s="45"/>
      <c r="C254" s="14" t="s">
        <v>824</v>
      </c>
      <c r="D254" s="14"/>
      <c r="E254" s="14"/>
    </row>
    <row r="255" spans="1:5" ht="15" x14ac:dyDescent="0.25">
      <c r="A255" s="45"/>
      <c r="B255" s="45"/>
      <c r="C255" s="14" t="s">
        <v>825</v>
      </c>
      <c r="D255" s="14"/>
      <c r="E255" s="14"/>
    </row>
    <row r="256" spans="1:5" ht="15" x14ac:dyDescent="0.25">
      <c r="A256" s="45"/>
      <c r="B256" s="45"/>
      <c r="C256" s="14" t="s">
        <v>826</v>
      </c>
      <c r="D256" s="14"/>
      <c r="E256" s="14"/>
    </row>
    <row r="257" spans="1:6" ht="15" x14ac:dyDescent="0.25">
      <c r="A257" s="45"/>
      <c r="B257" s="45"/>
      <c r="C257" s="14" t="s">
        <v>827</v>
      </c>
      <c r="D257" s="14"/>
      <c r="E257" s="14"/>
    </row>
    <row r="258" spans="1:6" ht="15" x14ac:dyDescent="0.25">
      <c r="A258" s="45"/>
      <c r="B258" s="45"/>
      <c r="C258" s="14" t="s">
        <v>828</v>
      </c>
      <c r="D258" s="14"/>
      <c r="E258" s="14"/>
    </row>
    <row r="259" spans="1:6" ht="15" x14ac:dyDescent="0.25">
      <c r="A259" s="45"/>
      <c r="B259" s="45"/>
      <c r="C259" s="14" t="s">
        <v>829</v>
      </c>
      <c r="D259" s="14"/>
      <c r="E259" s="14"/>
    </row>
    <row r="260" spans="1:6" ht="15" x14ac:dyDescent="0.25">
      <c r="A260" s="45"/>
      <c r="B260" s="45"/>
      <c r="C260" s="14" t="s">
        <v>830</v>
      </c>
      <c r="D260" s="14"/>
      <c r="E260" s="14"/>
    </row>
    <row r="261" spans="1:6" ht="15" x14ac:dyDescent="0.25">
      <c r="A261" s="45"/>
      <c r="B261" s="45"/>
      <c r="C261" s="14" t="s">
        <v>831</v>
      </c>
      <c r="D261" s="14"/>
      <c r="E261" s="14"/>
    </row>
    <row r="262" spans="1:6" ht="15" x14ac:dyDescent="0.25">
      <c r="A262" s="45"/>
      <c r="B262" s="45"/>
      <c r="C262" s="14" t="s">
        <v>832</v>
      </c>
      <c r="D262" s="14"/>
      <c r="E262" s="14"/>
    </row>
    <row r="263" spans="1:6" ht="15" x14ac:dyDescent="0.25">
      <c r="A263" s="45"/>
      <c r="B263" s="45"/>
      <c r="C263" s="14" t="s">
        <v>833</v>
      </c>
      <c r="D263" s="14"/>
      <c r="E263" s="14"/>
    </row>
    <row r="264" spans="1:6" ht="15" x14ac:dyDescent="0.25">
      <c r="A264" s="45"/>
      <c r="B264" s="45"/>
      <c r="C264" s="14" t="s">
        <v>834</v>
      </c>
      <c r="D264" s="14"/>
      <c r="E264" s="14"/>
    </row>
    <row r="265" spans="1:6" ht="15" x14ac:dyDescent="0.25">
      <c r="A265" s="45"/>
      <c r="B265" s="45"/>
      <c r="C265" s="14" t="s">
        <v>835</v>
      </c>
      <c r="D265" s="14"/>
      <c r="E265" s="14"/>
    </row>
    <row r="266" spans="1:6" ht="15" x14ac:dyDescent="0.25">
      <c r="A266" s="45"/>
      <c r="B266" s="45"/>
      <c r="C266" s="14" t="s">
        <v>836</v>
      </c>
      <c r="D266" s="14"/>
      <c r="E266" s="14"/>
    </row>
    <row r="267" spans="1:6" ht="15" x14ac:dyDescent="0.25">
      <c r="A267" s="45"/>
      <c r="B267" s="45"/>
      <c r="C267" s="14" t="s">
        <v>820</v>
      </c>
      <c r="D267" s="14"/>
      <c r="E267" s="14"/>
    </row>
    <row r="268" spans="1:6" ht="15" x14ac:dyDescent="0.25">
      <c r="A268" s="45"/>
      <c r="B268" s="45"/>
      <c r="C268" s="14" t="s">
        <v>1080</v>
      </c>
      <c r="D268" s="14"/>
      <c r="E268" s="14" t="s">
        <v>1079</v>
      </c>
      <c r="F268" t="s">
        <v>1131</v>
      </c>
    </row>
    <row r="269" spans="1:6" ht="15" x14ac:dyDescent="0.25">
      <c r="A269" s="45"/>
      <c r="B269" s="45"/>
      <c r="C269" s="14" t="s">
        <v>1082</v>
      </c>
      <c r="D269" s="14"/>
      <c r="E269" s="14" t="s">
        <v>1081</v>
      </c>
      <c r="F269" t="s">
        <v>1131</v>
      </c>
    </row>
    <row r="270" spans="1:6" ht="15" x14ac:dyDescent="0.25">
      <c r="A270" s="45"/>
      <c r="B270" s="45"/>
      <c r="C270" s="14" t="s">
        <v>1084</v>
      </c>
      <c r="D270" s="14"/>
      <c r="E270" s="14" t="s">
        <v>1083</v>
      </c>
      <c r="F270" t="s">
        <v>1131</v>
      </c>
    </row>
    <row r="271" spans="1:6" ht="15" x14ac:dyDescent="0.25">
      <c r="A271" s="45"/>
      <c r="B271" s="45"/>
      <c r="C271" s="14" t="s">
        <v>837</v>
      </c>
      <c r="D271" s="14"/>
      <c r="E271" s="14"/>
    </row>
    <row r="272" spans="1:6" ht="15" x14ac:dyDescent="0.25">
      <c r="A272" s="45"/>
      <c r="B272" s="45"/>
      <c r="C272" s="14" t="s">
        <v>1086</v>
      </c>
      <c r="D272" s="14"/>
      <c r="E272" s="14" t="s">
        <v>1085</v>
      </c>
      <c r="F272" t="s">
        <v>1131</v>
      </c>
    </row>
    <row r="273" spans="1:6" ht="15" x14ac:dyDescent="0.25">
      <c r="A273" s="45"/>
      <c r="B273" s="45"/>
      <c r="C273" s="14" t="s">
        <v>838</v>
      </c>
      <c r="D273" s="14"/>
      <c r="E273" s="14"/>
    </row>
    <row r="274" spans="1:6" ht="15" x14ac:dyDescent="0.25">
      <c r="A274" s="45"/>
      <c r="B274" s="45"/>
      <c r="C274" s="14" t="s">
        <v>839</v>
      </c>
      <c r="D274" s="14"/>
      <c r="E274" s="14"/>
    </row>
    <row r="275" spans="1:6" ht="15" x14ac:dyDescent="0.25">
      <c r="A275" s="45"/>
      <c r="B275" s="45"/>
      <c r="C275" s="14" t="s">
        <v>840</v>
      </c>
      <c r="D275" s="14"/>
      <c r="E275" s="14"/>
    </row>
    <row r="276" spans="1:6" ht="15" x14ac:dyDescent="0.25">
      <c r="A276" s="45"/>
      <c r="B276" s="45"/>
      <c r="C276" s="14" t="s">
        <v>841</v>
      </c>
      <c r="D276" s="14"/>
      <c r="E276" s="14"/>
    </row>
    <row r="277" spans="1:6" ht="15" x14ac:dyDescent="0.25">
      <c r="A277" s="45"/>
      <c r="B277" s="45"/>
      <c r="C277" s="14" t="s">
        <v>842</v>
      </c>
      <c r="D277" s="14"/>
      <c r="E277" s="14"/>
    </row>
    <row r="278" spans="1:6" ht="15" x14ac:dyDescent="0.25">
      <c r="A278" s="45"/>
      <c r="B278" s="45"/>
      <c r="C278" s="14" t="s">
        <v>843</v>
      </c>
      <c r="D278" s="14"/>
      <c r="E278" s="14"/>
    </row>
    <row r="279" spans="1:6" ht="15" x14ac:dyDescent="0.25">
      <c r="A279" s="45"/>
      <c r="B279" s="45"/>
      <c r="C279" s="14" t="s">
        <v>816</v>
      </c>
      <c r="D279" s="14"/>
      <c r="E279" s="14"/>
    </row>
    <row r="280" spans="1:6" ht="15" x14ac:dyDescent="0.25">
      <c r="A280" s="45"/>
      <c r="B280" s="45"/>
      <c r="C280" s="14" t="s">
        <v>1088</v>
      </c>
      <c r="D280" s="14"/>
      <c r="E280" s="14" t="s">
        <v>1087</v>
      </c>
      <c r="F280" t="s">
        <v>1131</v>
      </c>
    </row>
    <row r="281" spans="1:6" ht="15" x14ac:dyDescent="0.25">
      <c r="A281" s="45"/>
      <c r="B281" s="45"/>
      <c r="C281" s="14" t="s">
        <v>844</v>
      </c>
      <c r="D281" s="14"/>
      <c r="E281" s="14"/>
    </row>
    <row r="282" spans="1:6" ht="15" x14ac:dyDescent="0.25">
      <c r="A282" s="45"/>
      <c r="B282" s="45"/>
      <c r="C282" s="14" t="s">
        <v>1090</v>
      </c>
      <c r="D282" s="14"/>
      <c r="E282" s="14" t="s">
        <v>1089</v>
      </c>
      <c r="F282" t="s">
        <v>1131</v>
      </c>
    </row>
    <row r="283" spans="1:6" ht="15" x14ac:dyDescent="0.25">
      <c r="A283" s="45"/>
      <c r="B283" s="45"/>
      <c r="C283" s="14" t="s">
        <v>845</v>
      </c>
      <c r="D283" s="14"/>
      <c r="E283" s="14"/>
    </row>
    <row r="284" spans="1:6" ht="15" x14ac:dyDescent="0.25">
      <c r="A284" s="45"/>
      <c r="B284" s="45"/>
      <c r="C284" s="14" t="s">
        <v>846</v>
      </c>
      <c r="D284" s="14"/>
      <c r="E284" s="14"/>
    </row>
    <row r="285" spans="1:6" ht="15" x14ac:dyDescent="0.25">
      <c r="A285" s="45"/>
      <c r="B285" s="45"/>
      <c r="C285" s="14" t="s">
        <v>847</v>
      </c>
      <c r="D285" s="14"/>
      <c r="E285" s="14"/>
    </row>
    <row r="286" spans="1:6" ht="15" x14ac:dyDescent="0.25">
      <c r="A286" s="45"/>
      <c r="B286" s="45"/>
      <c r="C286" s="14" t="s">
        <v>848</v>
      </c>
      <c r="D286" s="14"/>
      <c r="E286" s="14"/>
    </row>
    <row r="287" spans="1:6" ht="15" x14ac:dyDescent="0.25">
      <c r="A287" s="45"/>
      <c r="B287" s="45"/>
      <c r="C287" s="14" t="s">
        <v>1092</v>
      </c>
      <c r="D287" s="14"/>
      <c r="E287" s="14" t="s">
        <v>1091</v>
      </c>
      <c r="F287" t="s">
        <v>1131</v>
      </c>
    </row>
    <row r="288" spans="1:6" ht="15" x14ac:dyDescent="0.25">
      <c r="A288" s="45"/>
      <c r="B288" s="45"/>
      <c r="C288" s="14" t="s">
        <v>849</v>
      </c>
      <c r="D288" s="14"/>
      <c r="E288" s="14"/>
    </row>
    <row r="289" spans="1:6" ht="15" x14ac:dyDescent="0.25">
      <c r="A289" s="45"/>
      <c r="B289" s="45"/>
      <c r="C289" s="14" t="s">
        <v>850</v>
      </c>
      <c r="D289" s="14"/>
      <c r="E289" s="14"/>
    </row>
    <row r="290" spans="1:6" ht="15" x14ac:dyDescent="0.25">
      <c r="A290" s="45"/>
      <c r="B290" s="45"/>
      <c r="C290" s="14" t="s">
        <v>851</v>
      </c>
      <c r="D290" s="14"/>
      <c r="E290" s="14"/>
    </row>
    <row r="291" spans="1:6" ht="15" x14ac:dyDescent="0.25">
      <c r="A291" s="45"/>
      <c r="B291" s="45"/>
      <c r="C291" s="14" t="s">
        <v>852</v>
      </c>
      <c r="D291" s="14"/>
      <c r="E291" s="14"/>
    </row>
    <row r="292" spans="1:6" ht="15" x14ac:dyDescent="0.25">
      <c r="A292" s="45"/>
      <c r="B292" s="45"/>
      <c r="C292" s="14" t="s">
        <v>853</v>
      </c>
      <c r="D292" s="14"/>
      <c r="E292" s="14"/>
    </row>
    <row r="293" spans="1:6" ht="15" x14ac:dyDescent="0.25">
      <c r="A293" s="45"/>
      <c r="B293" s="45"/>
      <c r="C293" s="14" t="s">
        <v>854</v>
      </c>
      <c r="D293" s="14"/>
      <c r="E293" s="14"/>
    </row>
    <row r="294" spans="1:6" ht="15" x14ac:dyDescent="0.25">
      <c r="A294" s="45"/>
      <c r="B294" s="45"/>
      <c r="C294" s="14" t="s">
        <v>191</v>
      </c>
      <c r="D294" s="14"/>
      <c r="E294" s="14"/>
    </row>
    <row r="295" spans="1:6" ht="15" x14ac:dyDescent="0.25">
      <c r="A295" s="45"/>
      <c r="B295" s="45"/>
      <c r="C295" s="14" t="s">
        <v>1093</v>
      </c>
      <c r="D295" s="14"/>
      <c r="E295" s="14" t="s">
        <v>1094</v>
      </c>
      <c r="F295" t="s">
        <v>1131</v>
      </c>
    </row>
    <row r="296" spans="1:6" ht="15" x14ac:dyDescent="0.25">
      <c r="A296" s="45"/>
      <c r="B296" s="45"/>
      <c r="C296" s="14" t="s">
        <v>855</v>
      </c>
      <c r="D296" s="14"/>
      <c r="E296" s="14"/>
    </row>
    <row r="297" spans="1:6" ht="15" x14ac:dyDescent="0.25">
      <c r="A297" s="45"/>
      <c r="B297" s="45"/>
      <c r="C297" s="14" t="s">
        <v>856</v>
      </c>
      <c r="D297" s="14"/>
      <c r="E297" s="14"/>
    </row>
    <row r="298" spans="1:6" ht="15" x14ac:dyDescent="0.25">
      <c r="A298" s="45"/>
      <c r="B298" s="45"/>
      <c r="C298" s="14" t="s">
        <v>1095</v>
      </c>
      <c r="D298" s="14"/>
      <c r="E298" s="14"/>
      <c r="F298" t="s">
        <v>1131</v>
      </c>
    </row>
    <row r="299" spans="1:6" ht="15" x14ac:dyDescent="0.25">
      <c r="A299" s="45"/>
      <c r="B299" s="45"/>
      <c r="C299" s="14" t="s">
        <v>245</v>
      </c>
      <c r="D299" s="14"/>
      <c r="E299" s="14"/>
    </row>
    <row r="300" spans="1:6" ht="15" x14ac:dyDescent="0.25">
      <c r="A300" s="45"/>
      <c r="B300" s="45"/>
      <c r="C300" s="14" t="s">
        <v>857</v>
      </c>
      <c r="D300" s="14"/>
      <c r="E300" s="14"/>
    </row>
    <row r="301" spans="1:6" ht="15" x14ac:dyDescent="0.25">
      <c r="A301" s="45"/>
      <c r="B301" s="45"/>
      <c r="C301" s="14" t="s">
        <v>858</v>
      </c>
      <c r="D301" s="14"/>
      <c r="E301" s="14"/>
    </row>
    <row r="302" spans="1:6" ht="15" x14ac:dyDescent="0.25">
      <c r="A302" s="45"/>
      <c r="B302" s="45"/>
      <c r="C302" s="14" t="s">
        <v>859</v>
      </c>
      <c r="D302" s="14"/>
      <c r="E302" s="14"/>
    </row>
    <row r="303" spans="1:6" ht="15" x14ac:dyDescent="0.25">
      <c r="A303" s="45"/>
      <c r="B303" s="45"/>
      <c r="C303" s="14" t="s">
        <v>860</v>
      </c>
      <c r="D303" s="14"/>
      <c r="E303" s="14"/>
    </row>
    <row r="304" spans="1:6" ht="15" x14ac:dyDescent="0.25">
      <c r="A304" s="45"/>
      <c r="B304" s="45"/>
      <c r="C304" s="14" t="s">
        <v>861</v>
      </c>
      <c r="D304" s="14"/>
      <c r="E304" s="14"/>
    </row>
    <row r="305" spans="1:6" ht="15" x14ac:dyDescent="0.25">
      <c r="A305" s="45"/>
      <c r="B305" s="45"/>
      <c r="C305" s="14" t="s">
        <v>198</v>
      </c>
      <c r="D305" s="14"/>
      <c r="E305" s="14"/>
    </row>
    <row r="306" spans="1:6" ht="15" x14ac:dyDescent="0.25">
      <c r="A306" s="45"/>
      <c r="B306" s="45"/>
      <c r="C306" s="14" t="s">
        <v>862</v>
      </c>
      <c r="D306" s="14"/>
      <c r="E306" s="14"/>
    </row>
    <row r="307" spans="1:6" ht="15" x14ac:dyDescent="0.25">
      <c r="A307" s="45"/>
      <c r="B307" s="45"/>
      <c r="C307" s="14" t="s">
        <v>863</v>
      </c>
      <c r="D307" s="14"/>
      <c r="E307" s="14"/>
    </row>
    <row r="308" spans="1:6" ht="15" x14ac:dyDescent="0.25">
      <c r="A308" s="45"/>
      <c r="B308" s="45"/>
      <c r="C308" s="14" t="s">
        <v>904</v>
      </c>
      <c r="D308" s="14"/>
      <c r="E308" s="14"/>
      <c r="F308" t="s">
        <v>1131</v>
      </c>
    </row>
    <row r="309" spans="1:6" ht="15" x14ac:dyDescent="0.25">
      <c r="A309" s="45"/>
      <c r="B309" s="45"/>
      <c r="C309" s="14" t="s">
        <v>905</v>
      </c>
      <c r="D309" s="14"/>
      <c r="E309" s="14"/>
      <c r="F309" t="s">
        <v>1131</v>
      </c>
    </row>
    <row r="310" spans="1:6" ht="15" x14ac:dyDescent="0.25">
      <c r="A310" s="45"/>
      <c r="B310" s="45"/>
      <c r="C310" s="14" t="s">
        <v>906</v>
      </c>
      <c r="D310" s="14"/>
      <c r="E310" s="14"/>
      <c r="F310" t="s">
        <v>1131</v>
      </c>
    </row>
    <row r="311" spans="1:6" ht="15" x14ac:dyDescent="0.25">
      <c r="A311" s="45"/>
      <c r="B311" s="45"/>
      <c r="C311" s="14" t="s">
        <v>864</v>
      </c>
      <c r="D311" s="14"/>
      <c r="E311" s="14"/>
    </row>
    <row r="312" spans="1:6" ht="15" x14ac:dyDescent="0.25">
      <c r="A312" s="45"/>
      <c r="B312" s="45"/>
      <c r="C312" s="14" t="s">
        <v>865</v>
      </c>
      <c r="D312" s="14"/>
      <c r="E312" s="14"/>
    </row>
    <row r="313" spans="1:6" ht="15" x14ac:dyDescent="0.25">
      <c r="A313" s="45"/>
      <c r="B313" s="45"/>
      <c r="C313" s="14" t="s">
        <v>866</v>
      </c>
      <c r="D313" s="14"/>
      <c r="E313" s="14"/>
    </row>
    <row r="314" spans="1:6" ht="15" x14ac:dyDescent="0.25">
      <c r="A314" s="45"/>
      <c r="B314" s="45"/>
      <c r="C314" s="14" t="s">
        <v>867</v>
      </c>
      <c r="D314" s="14"/>
      <c r="E314" s="14"/>
    </row>
    <row r="315" spans="1:6" ht="15" x14ac:dyDescent="0.25">
      <c r="A315" s="45"/>
      <c r="B315" s="45"/>
      <c r="C315" s="14" t="s">
        <v>868</v>
      </c>
      <c r="D315" s="14"/>
      <c r="E315" s="14"/>
    </row>
    <row r="316" spans="1:6" ht="15" x14ac:dyDescent="0.25">
      <c r="A316" s="45"/>
      <c r="B316" s="45"/>
      <c r="C316" s="14" t="s">
        <v>903</v>
      </c>
      <c r="D316" s="14"/>
      <c r="E316" s="107" t="s">
        <v>869</v>
      </c>
      <c r="F316" t="s">
        <v>1131</v>
      </c>
    </row>
    <row r="317" spans="1:6" ht="15" x14ac:dyDescent="0.25">
      <c r="A317" s="45"/>
      <c r="B317" s="45"/>
      <c r="C317" s="14" t="s">
        <v>870</v>
      </c>
      <c r="D317" s="14"/>
      <c r="E317" s="14"/>
    </row>
    <row r="318" spans="1:6" ht="15" x14ac:dyDescent="0.25">
      <c r="A318" s="45"/>
      <c r="B318" s="45"/>
      <c r="C318" s="14" t="s">
        <v>871</v>
      </c>
      <c r="D318" s="14"/>
      <c r="E318" s="14"/>
    </row>
    <row r="319" spans="1:6" ht="15" x14ac:dyDescent="0.25">
      <c r="A319" s="45"/>
      <c r="B319" s="45"/>
      <c r="C319" s="14" t="s">
        <v>817</v>
      </c>
      <c r="D319" s="14"/>
      <c r="E319" s="14"/>
    </row>
    <row r="320" spans="1:6" ht="15" x14ac:dyDescent="0.25">
      <c r="A320" s="45"/>
      <c r="B320" s="45"/>
      <c r="C320" s="14" t="s">
        <v>818</v>
      </c>
      <c r="D320" s="14"/>
      <c r="E320" s="14"/>
    </row>
    <row r="321" spans="1:6" ht="15" x14ac:dyDescent="0.25">
      <c r="A321" s="45"/>
      <c r="B321" s="45"/>
      <c r="C321" s="14" t="s">
        <v>872</v>
      </c>
      <c r="D321" s="14"/>
      <c r="E321" s="14"/>
    </row>
    <row r="322" spans="1:6" ht="15" x14ac:dyDescent="0.25">
      <c r="A322" s="45"/>
      <c r="B322" s="45"/>
      <c r="C322" s="14" t="s">
        <v>819</v>
      </c>
      <c r="D322" s="14"/>
      <c r="E322" s="14"/>
    </row>
    <row r="323" spans="1:6" ht="15" x14ac:dyDescent="0.25">
      <c r="A323" s="45"/>
      <c r="B323" s="45"/>
      <c r="C323" s="14" t="s">
        <v>873</v>
      </c>
      <c r="D323" s="14"/>
      <c r="E323" s="14"/>
    </row>
    <row r="324" spans="1:6" ht="15" x14ac:dyDescent="0.25">
      <c r="A324" s="45"/>
      <c r="B324" s="45"/>
      <c r="C324" s="14" t="s">
        <v>874</v>
      </c>
      <c r="D324" s="14"/>
      <c r="E324" s="14"/>
    </row>
    <row r="325" spans="1:6" ht="15" x14ac:dyDescent="0.25">
      <c r="A325" s="45"/>
      <c r="B325" s="45"/>
      <c r="C325" s="14" t="s">
        <v>128</v>
      </c>
      <c r="D325" s="14"/>
      <c r="E325" s="14"/>
    </row>
    <row r="326" spans="1:6" ht="15" x14ac:dyDescent="0.25">
      <c r="A326" s="62"/>
      <c r="B326" s="52" t="s">
        <v>292</v>
      </c>
      <c r="C326" s="38" t="s">
        <v>914</v>
      </c>
      <c r="D326" s="52" t="s">
        <v>292</v>
      </c>
      <c r="E326" s="38"/>
      <c r="F326" t="s">
        <v>1131</v>
      </c>
    </row>
    <row r="327" spans="1:6" ht="15" x14ac:dyDescent="0.25">
      <c r="A327" s="63"/>
      <c r="B327" s="53"/>
      <c r="C327" s="38" t="s">
        <v>1004</v>
      </c>
      <c r="D327" s="38"/>
      <c r="E327" s="38"/>
      <c r="F327" t="s">
        <v>1131</v>
      </c>
    </row>
    <row r="328" spans="1:6" ht="15" x14ac:dyDescent="0.25">
      <c r="A328" s="63"/>
      <c r="B328" s="53"/>
      <c r="C328" s="109" t="s">
        <v>1005</v>
      </c>
      <c r="D328" s="109"/>
      <c r="E328" s="38"/>
      <c r="F328" t="s">
        <v>1131</v>
      </c>
    </row>
    <row r="329" spans="1:6" ht="15" x14ac:dyDescent="0.25">
      <c r="A329" s="63"/>
      <c r="B329" s="53"/>
      <c r="C329" s="108" t="s">
        <v>915</v>
      </c>
      <c r="D329" s="108"/>
      <c r="E329" s="38"/>
      <c r="F329" t="s">
        <v>1131</v>
      </c>
    </row>
    <row r="330" spans="1:6" ht="15" x14ac:dyDescent="0.25">
      <c r="A330" s="63"/>
      <c r="B330" s="53"/>
      <c r="C330" s="108" t="s">
        <v>996</v>
      </c>
      <c r="D330" s="108"/>
      <c r="E330" s="38"/>
      <c r="F330" t="s">
        <v>1131</v>
      </c>
    </row>
    <row r="331" spans="1:6" ht="15" x14ac:dyDescent="0.25">
      <c r="A331" s="63"/>
      <c r="B331" s="53"/>
      <c r="C331" s="108" t="s">
        <v>916</v>
      </c>
      <c r="D331" s="108"/>
      <c r="E331" s="38"/>
      <c r="F331" t="s">
        <v>1131</v>
      </c>
    </row>
    <row r="332" spans="1:6" ht="15" x14ac:dyDescent="0.25">
      <c r="A332" s="63"/>
      <c r="B332" s="53"/>
      <c r="C332" s="108" t="s">
        <v>917</v>
      </c>
      <c r="D332" s="108"/>
      <c r="E332" s="38"/>
      <c r="F332" t="s">
        <v>1131</v>
      </c>
    </row>
    <row r="333" spans="1:6" ht="15" x14ac:dyDescent="0.25">
      <c r="A333" s="63"/>
      <c r="B333" s="53"/>
      <c r="C333" s="38" t="s">
        <v>997</v>
      </c>
      <c r="D333" s="38"/>
      <c r="E333" s="38"/>
      <c r="F333" t="s">
        <v>1131</v>
      </c>
    </row>
    <row r="334" spans="1:6" ht="15" x14ac:dyDescent="0.25">
      <c r="A334" s="63"/>
      <c r="B334" s="53"/>
      <c r="C334" s="38" t="s">
        <v>998</v>
      </c>
      <c r="D334" s="38"/>
      <c r="E334" s="38"/>
      <c r="F334" t="s">
        <v>1131</v>
      </c>
    </row>
    <row r="335" spans="1:6" ht="15" x14ac:dyDescent="0.25">
      <c r="A335" s="63"/>
      <c r="B335" s="53"/>
      <c r="C335" s="38" t="s">
        <v>999</v>
      </c>
      <c r="D335" s="38"/>
      <c r="E335" s="38"/>
      <c r="F335" t="s">
        <v>1131</v>
      </c>
    </row>
    <row r="336" spans="1:6" ht="15" x14ac:dyDescent="0.25">
      <c r="A336" s="63"/>
      <c r="B336" s="53"/>
      <c r="C336" s="38" t="s">
        <v>1000</v>
      </c>
      <c r="D336" s="38"/>
      <c r="E336" s="38"/>
      <c r="F336" t="s">
        <v>1131</v>
      </c>
    </row>
    <row r="337" spans="1:6" ht="15" x14ac:dyDescent="0.25">
      <c r="A337" s="63"/>
      <c r="B337" s="53"/>
      <c r="C337" s="38" t="s">
        <v>1001</v>
      </c>
      <c r="D337" s="38"/>
      <c r="E337" s="38"/>
      <c r="F337" t="s">
        <v>1131</v>
      </c>
    </row>
    <row r="338" spans="1:6" ht="15" x14ac:dyDescent="0.25">
      <c r="A338" s="63"/>
      <c r="B338" s="53"/>
      <c r="C338" s="38" t="s">
        <v>1002</v>
      </c>
      <c r="D338" s="38"/>
      <c r="E338" s="38"/>
      <c r="F338" t="s">
        <v>1131</v>
      </c>
    </row>
    <row r="339" spans="1:6" ht="15" x14ac:dyDescent="0.25">
      <c r="A339" s="63"/>
      <c r="B339" s="53"/>
      <c r="C339" s="38" t="s">
        <v>1003</v>
      </c>
      <c r="D339" s="38"/>
      <c r="E339" s="38"/>
      <c r="F339" t="s">
        <v>1131</v>
      </c>
    </row>
    <row r="340" spans="1:6" ht="15" x14ac:dyDescent="0.25">
      <c r="A340" s="63"/>
      <c r="B340" s="53"/>
      <c r="C340" s="38" t="s">
        <v>1006</v>
      </c>
      <c r="D340" s="38"/>
      <c r="E340" s="38"/>
      <c r="F340" t="s">
        <v>1131</v>
      </c>
    </row>
    <row r="341" spans="1:6" ht="15" x14ac:dyDescent="0.25">
      <c r="A341" s="63"/>
      <c r="B341" s="53"/>
      <c r="C341" s="38" t="s">
        <v>1007</v>
      </c>
      <c r="D341" s="38"/>
      <c r="E341" s="38"/>
      <c r="F341" t="s">
        <v>1131</v>
      </c>
    </row>
    <row r="342" spans="1:6" ht="15" x14ac:dyDescent="0.25">
      <c r="A342" s="63"/>
      <c r="B342" s="53"/>
      <c r="C342" s="38" t="s">
        <v>1008</v>
      </c>
      <c r="D342" s="38"/>
      <c r="E342" s="38"/>
      <c r="F342" t="s">
        <v>1131</v>
      </c>
    </row>
    <row r="343" spans="1:6" ht="15" x14ac:dyDescent="0.25">
      <c r="A343" s="63"/>
      <c r="B343" s="53"/>
      <c r="C343" s="38" t="s">
        <v>1009</v>
      </c>
      <c r="D343" s="38"/>
      <c r="E343" s="38"/>
      <c r="F343" t="s">
        <v>1131</v>
      </c>
    </row>
    <row r="344" spans="1:6" ht="15" x14ac:dyDescent="0.25">
      <c r="A344" s="63"/>
      <c r="B344" s="53"/>
      <c r="C344" s="38" t="s">
        <v>1010</v>
      </c>
      <c r="D344" s="38"/>
      <c r="E344" s="38"/>
      <c r="F344" t="s">
        <v>1131</v>
      </c>
    </row>
    <row r="345" spans="1:6" ht="15" x14ac:dyDescent="0.25">
      <c r="A345" s="63"/>
      <c r="B345" s="53"/>
      <c r="C345" s="38" t="s">
        <v>1011</v>
      </c>
      <c r="D345" s="38"/>
      <c r="E345" s="38"/>
      <c r="F345" t="s">
        <v>1131</v>
      </c>
    </row>
    <row r="346" spans="1:6" ht="15" x14ac:dyDescent="0.25">
      <c r="A346" s="63"/>
      <c r="B346" s="53"/>
      <c r="C346" s="38" t="s">
        <v>1012</v>
      </c>
      <c r="D346" s="38"/>
      <c r="E346" s="38"/>
      <c r="F346" t="s">
        <v>1131</v>
      </c>
    </row>
    <row r="347" spans="1:6" ht="15" x14ac:dyDescent="0.25">
      <c r="A347" s="63"/>
      <c r="B347" s="53"/>
      <c r="C347" s="38" t="s">
        <v>1013</v>
      </c>
      <c r="D347" s="38"/>
      <c r="E347" s="38"/>
      <c r="F347" t="s">
        <v>1131</v>
      </c>
    </row>
    <row r="348" spans="1:6" ht="15" x14ac:dyDescent="0.25">
      <c r="A348" s="63"/>
      <c r="B348" s="53"/>
      <c r="C348" s="38" t="s">
        <v>1014</v>
      </c>
      <c r="D348" s="38"/>
      <c r="E348" s="38"/>
      <c r="F348" t="s">
        <v>1131</v>
      </c>
    </row>
    <row r="349" spans="1:6" ht="15" x14ac:dyDescent="0.25">
      <c r="A349" s="63"/>
      <c r="B349" s="53"/>
      <c r="C349" s="38" t="s">
        <v>1015</v>
      </c>
      <c r="D349" s="38"/>
      <c r="E349" s="38"/>
      <c r="F349" t="s">
        <v>1131</v>
      </c>
    </row>
    <row r="350" spans="1:6" ht="15" x14ac:dyDescent="0.25">
      <c r="A350" s="63"/>
      <c r="B350" s="53"/>
      <c r="C350" s="38" t="s">
        <v>1016</v>
      </c>
      <c r="D350" s="38"/>
      <c r="E350" s="38"/>
      <c r="F350" t="s">
        <v>1131</v>
      </c>
    </row>
    <row r="351" spans="1:6" ht="15" x14ac:dyDescent="0.25">
      <c r="A351" s="63"/>
      <c r="B351" s="53"/>
      <c r="C351" s="38" t="s">
        <v>1017</v>
      </c>
      <c r="D351" s="38"/>
      <c r="E351" s="38"/>
      <c r="F351" t="s">
        <v>1131</v>
      </c>
    </row>
    <row r="352" spans="1:6" ht="15" x14ac:dyDescent="0.25">
      <c r="A352" s="63"/>
      <c r="B352" s="53"/>
      <c r="C352" s="38" t="s">
        <v>1018</v>
      </c>
      <c r="D352" s="38"/>
      <c r="E352" s="38"/>
      <c r="F352" t="s">
        <v>1131</v>
      </c>
    </row>
    <row r="353" spans="1:6" ht="15" x14ac:dyDescent="0.25">
      <c r="A353" s="63"/>
      <c r="B353" s="53"/>
      <c r="C353" s="38" t="s">
        <v>1019</v>
      </c>
      <c r="D353" s="38"/>
      <c r="E353" s="38"/>
      <c r="F353" t="s">
        <v>1131</v>
      </c>
    </row>
    <row r="354" spans="1:6" ht="15" x14ac:dyDescent="0.25">
      <c r="A354" s="63"/>
      <c r="B354" s="53"/>
      <c r="C354" s="38" t="s">
        <v>1020</v>
      </c>
      <c r="D354" s="38"/>
      <c r="E354" s="38"/>
      <c r="F354" t="s">
        <v>1131</v>
      </c>
    </row>
    <row r="355" spans="1:6" ht="15" x14ac:dyDescent="0.25">
      <c r="A355" s="63"/>
      <c r="B355" s="53"/>
      <c r="C355" s="38" t="s">
        <v>1021</v>
      </c>
      <c r="D355" s="38"/>
      <c r="E355" s="38"/>
      <c r="F355" t="s">
        <v>1131</v>
      </c>
    </row>
    <row r="356" spans="1:6" ht="15" x14ac:dyDescent="0.25">
      <c r="A356" s="63"/>
      <c r="B356" s="53"/>
      <c r="C356" s="38" t="s">
        <v>1022</v>
      </c>
      <c r="D356" s="38"/>
      <c r="E356" s="38"/>
      <c r="F356" t="s">
        <v>1131</v>
      </c>
    </row>
    <row r="357" spans="1:6" ht="15" x14ac:dyDescent="0.25">
      <c r="A357" s="63"/>
      <c r="B357" s="53"/>
      <c r="C357" s="38" t="s">
        <v>1023</v>
      </c>
      <c r="D357" s="38"/>
      <c r="E357" s="38"/>
      <c r="F357" t="s">
        <v>1131</v>
      </c>
    </row>
    <row r="358" spans="1:6" ht="15" x14ac:dyDescent="0.25">
      <c r="A358" s="63"/>
      <c r="B358" s="53"/>
      <c r="C358" s="38" t="s">
        <v>1024</v>
      </c>
      <c r="D358" s="38"/>
      <c r="E358" s="38"/>
      <c r="F358" t="s">
        <v>1131</v>
      </c>
    </row>
    <row r="359" spans="1:6" ht="15" x14ac:dyDescent="0.25">
      <c r="A359" s="63"/>
      <c r="B359" s="53"/>
      <c r="C359" s="38" t="s">
        <v>1025</v>
      </c>
      <c r="D359" s="38"/>
      <c r="E359" s="38"/>
      <c r="F359" t="s">
        <v>1131</v>
      </c>
    </row>
    <row r="360" spans="1:6" ht="15" x14ac:dyDescent="0.25">
      <c r="A360" s="63"/>
      <c r="B360" s="53"/>
      <c r="C360" s="38" t="s">
        <v>1026</v>
      </c>
      <c r="D360" s="38"/>
      <c r="E360" s="38"/>
      <c r="F360" t="s">
        <v>1131</v>
      </c>
    </row>
    <row r="361" spans="1:6" ht="15" x14ac:dyDescent="0.25">
      <c r="A361" s="63"/>
      <c r="B361" s="53"/>
      <c r="C361" s="38" t="s">
        <v>1027</v>
      </c>
      <c r="D361" s="38"/>
      <c r="E361" s="38"/>
      <c r="F361" t="s">
        <v>1131</v>
      </c>
    </row>
    <row r="362" spans="1:6" ht="15" x14ac:dyDescent="0.25">
      <c r="A362" s="63"/>
      <c r="B362" s="53"/>
      <c r="C362" s="38" t="s">
        <v>1028</v>
      </c>
      <c r="D362" s="38"/>
      <c r="E362" s="38"/>
      <c r="F362" t="s">
        <v>1131</v>
      </c>
    </row>
    <row r="363" spans="1:6" ht="15" x14ac:dyDescent="0.25">
      <c r="A363" s="63"/>
      <c r="B363" s="53"/>
      <c r="C363" s="38" t="s">
        <v>1029</v>
      </c>
      <c r="D363" s="38"/>
      <c r="E363" s="38"/>
      <c r="F363" t="s">
        <v>1131</v>
      </c>
    </row>
    <row r="364" spans="1:6" ht="15" x14ac:dyDescent="0.25">
      <c r="A364" s="63"/>
      <c r="B364" s="53"/>
      <c r="C364" s="38" t="s">
        <v>1030</v>
      </c>
      <c r="D364" s="38"/>
      <c r="E364" s="38"/>
      <c r="F364" t="s">
        <v>1131</v>
      </c>
    </row>
    <row r="365" spans="1:6" ht="15" x14ac:dyDescent="0.25">
      <c r="A365" s="63"/>
      <c r="B365" s="53"/>
      <c r="C365" s="38" t="s">
        <v>1031</v>
      </c>
      <c r="D365" s="38"/>
      <c r="E365" s="38"/>
      <c r="F365" t="s">
        <v>1131</v>
      </c>
    </row>
    <row r="366" spans="1:6" ht="15" x14ac:dyDescent="0.25">
      <c r="A366" s="63"/>
      <c r="B366" s="53"/>
      <c r="C366" s="38" t="s">
        <v>1032</v>
      </c>
      <c r="D366" s="38"/>
      <c r="E366" s="38"/>
      <c r="F366" t="s">
        <v>1131</v>
      </c>
    </row>
    <row r="367" spans="1:6" ht="15" x14ac:dyDescent="0.25">
      <c r="A367" s="63"/>
      <c r="B367" s="53"/>
      <c r="C367" s="38" t="s">
        <v>1033</v>
      </c>
      <c r="D367" s="38"/>
      <c r="E367" s="38"/>
      <c r="F367" t="s">
        <v>1131</v>
      </c>
    </row>
    <row r="368" spans="1:6" ht="15" x14ac:dyDescent="0.25">
      <c r="A368" s="63"/>
      <c r="B368" s="53"/>
      <c r="C368" s="38" t="s">
        <v>1034</v>
      </c>
      <c r="D368" s="38"/>
      <c r="E368" s="38"/>
      <c r="F368" t="s">
        <v>1131</v>
      </c>
    </row>
    <row r="369" spans="1:6" ht="15" x14ac:dyDescent="0.25">
      <c r="A369" s="63"/>
      <c r="B369" s="53"/>
      <c r="C369" s="38" t="s">
        <v>918</v>
      </c>
      <c r="D369" s="38"/>
      <c r="E369" s="38"/>
      <c r="F369" t="s">
        <v>1131</v>
      </c>
    </row>
    <row r="370" spans="1:6" ht="15" x14ac:dyDescent="0.25">
      <c r="A370" s="63"/>
      <c r="B370" s="53"/>
      <c r="C370" s="38" t="s">
        <v>919</v>
      </c>
      <c r="D370" s="38"/>
      <c r="E370" s="38"/>
      <c r="F370" t="s">
        <v>1131</v>
      </c>
    </row>
    <row r="371" spans="1:6" ht="15" x14ac:dyDescent="0.25">
      <c r="A371" s="63"/>
      <c r="B371" s="53"/>
      <c r="C371" s="38" t="s">
        <v>920</v>
      </c>
      <c r="D371" s="38"/>
      <c r="E371" s="38"/>
      <c r="F371" t="s">
        <v>1131</v>
      </c>
    </row>
    <row r="372" spans="1:6" ht="15" x14ac:dyDescent="0.25">
      <c r="A372" s="63"/>
      <c r="B372" s="53"/>
      <c r="C372" s="38" t="s">
        <v>921</v>
      </c>
      <c r="D372" s="38"/>
      <c r="E372" s="38"/>
      <c r="F372" t="s">
        <v>1131</v>
      </c>
    </row>
    <row r="373" spans="1:6" ht="15" x14ac:dyDescent="0.25">
      <c r="A373" s="63"/>
      <c r="B373" s="53"/>
      <c r="C373" s="38" t="s">
        <v>922</v>
      </c>
      <c r="D373" s="38"/>
      <c r="E373" s="38"/>
      <c r="F373" t="s">
        <v>1131</v>
      </c>
    </row>
    <row r="374" spans="1:6" ht="15" x14ac:dyDescent="0.25">
      <c r="A374" s="63"/>
      <c r="B374" s="53"/>
      <c r="C374" s="38" t="s">
        <v>923</v>
      </c>
      <c r="D374" s="38"/>
      <c r="E374" s="38"/>
      <c r="F374" t="s">
        <v>1131</v>
      </c>
    </row>
    <row r="375" spans="1:6" ht="15" x14ac:dyDescent="0.25">
      <c r="A375" s="63"/>
      <c r="B375" s="53"/>
      <c r="C375" s="38" t="s">
        <v>924</v>
      </c>
      <c r="D375" s="38"/>
      <c r="E375" s="38"/>
      <c r="F375" t="s">
        <v>1131</v>
      </c>
    </row>
    <row r="376" spans="1:6" ht="15" x14ac:dyDescent="0.25">
      <c r="A376" s="63"/>
      <c r="B376" s="53"/>
      <c r="C376" s="38" t="s">
        <v>925</v>
      </c>
      <c r="D376" s="38"/>
      <c r="E376" s="38"/>
      <c r="F376" t="s">
        <v>1131</v>
      </c>
    </row>
    <row r="377" spans="1:6" ht="15" x14ac:dyDescent="0.25">
      <c r="A377" s="63"/>
      <c r="B377" s="53"/>
      <c r="C377" s="38" t="s">
        <v>926</v>
      </c>
      <c r="D377" s="38"/>
      <c r="E377" s="38"/>
      <c r="F377" t="s">
        <v>1131</v>
      </c>
    </row>
    <row r="378" spans="1:6" ht="15" x14ac:dyDescent="0.25">
      <c r="A378" s="63"/>
      <c r="B378" s="53"/>
      <c r="C378" s="38" t="s">
        <v>927</v>
      </c>
      <c r="D378" s="38"/>
      <c r="E378" s="38"/>
      <c r="F378" t="s">
        <v>1131</v>
      </c>
    </row>
    <row r="379" spans="1:6" ht="15" x14ac:dyDescent="0.25">
      <c r="A379" s="63"/>
      <c r="B379" s="53"/>
      <c r="C379" s="38" t="s">
        <v>928</v>
      </c>
      <c r="D379" s="38"/>
      <c r="E379" s="38"/>
      <c r="F379" t="s">
        <v>1131</v>
      </c>
    </row>
    <row r="380" spans="1:6" ht="15" x14ac:dyDescent="0.25">
      <c r="A380" s="63"/>
      <c r="B380" s="53"/>
      <c r="C380" s="38" t="s">
        <v>929</v>
      </c>
      <c r="D380" s="38"/>
      <c r="E380" s="38"/>
      <c r="F380" t="s">
        <v>1131</v>
      </c>
    </row>
    <row r="381" spans="1:6" ht="15" x14ac:dyDescent="0.25">
      <c r="A381" s="63"/>
      <c r="B381" s="53"/>
      <c r="C381" s="38" t="s">
        <v>930</v>
      </c>
      <c r="D381" s="38"/>
      <c r="E381" s="38"/>
      <c r="F381" t="s">
        <v>1131</v>
      </c>
    </row>
    <row r="382" spans="1:6" ht="15" x14ac:dyDescent="0.25">
      <c r="A382" s="63"/>
      <c r="B382" s="53"/>
      <c r="C382" s="38" t="s">
        <v>931</v>
      </c>
      <c r="D382" s="38"/>
      <c r="E382" s="38"/>
      <c r="F382" t="s">
        <v>1131</v>
      </c>
    </row>
    <row r="383" spans="1:6" ht="15" x14ac:dyDescent="0.25">
      <c r="A383" s="63"/>
      <c r="B383" s="53"/>
      <c r="C383" s="38" t="s">
        <v>932</v>
      </c>
      <c r="D383" s="38"/>
      <c r="E383" s="38"/>
      <c r="F383" t="s">
        <v>1131</v>
      </c>
    </row>
    <row r="384" spans="1:6" ht="15" x14ac:dyDescent="0.25">
      <c r="A384" s="63"/>
      <c r="B384" s="53"/>
      <c r="C384" s="38" t="s">
        <v>933</v>
      </c>
      <c r="D384" s="38"/>
      <c r="E384" s="38"/>
      <c r="F384" t="s">
        <v>1131</v>
      </c>
    </row>
    <row r="385" spans="1:6" ht="15" x14ac:dyDescent="0.25">
      <c r="A385" s="63"/>
      <c r="B385" s="53"/>
      <c r="C385" s="38" t="s">
        <v>934</v>
      </c>
      <c r="D385" s="38"/>
      <c r="E385" s="38"/>
      <c r="F385" t="s">
        <v>1131</v>
      </c>
    </row>
    <row r="386" spans="1:6" ht="15" x14ac:dyDescent="0.25">
      <c r="A386" s="63"/>
      <c r="B386" s="53"/>
      <c r="C386" s="38" t="s">
        <v>935</v>
      </c>
      <c r="D386" s="38"/>
      <c r="E386" s="38"/>
      <c r="F386" t="s">
        <v>1131</v>
      </c>
    </row>
    <row r="387" spans="1:6" ht="15" x14ac:dyDescent="0.25">
      <c r="A387" s="63"/>
      <c r="B387" s="53"/>
      <c r="C387" s="38" t="s">
        <v>936</v>
      </c>
      <c r="D387" s="38"/>
      <c r="E387" s="38"/>
      <c r="F387" t="s">
        <v>1131</v>
      </c>
    </row>
    <row r="388" spans="1:6" ht="15" x14ac:dyDescent="0.25">
      <c r="A388" s="63"/>
      <c r="B388" s="53"/>
      <c r="C388" s="38" t="s">
        <v>937</v>
      </c>
      <c r="D388" s="38"/>
      <c r="E388" s="38"/>
      <c r="F388" t="s">
        <v>1131</v>
      </c>
    </row>
    <row r="389" spans="1:6" ht="15" x14ac:dyDescent="0.25">
      <c r="A389" s="63"/>
      <c r="B389" s="53"/>
      <c r="C389" s="38" t="s">
        <v>938</v>
      </c>
      <c r="D389" s="38"/>
      <c r="E389" s="38"/>
      <c r="F389" t="s">
        <v>1131</v>
      </c>
    </row>
    <row r="390" spans="1:6" ht="15" x14ac:dyDescent="0.25">
      <c r="A390" s="63"/>
      <c r="B390" s="53"/>
      <c r="C390" s="38" t="s">
        <v>939</v>
      </c>
      <c r="D390" s="38"/>
      <c r="E390" s="38"/>
      <c r="F390" t="s">
        <v>1131</v>
      </c>
    </row>
    <row r="391" spans="1:6" ht="15" x14ac:dyDescent="0.25">
      <c r="A391" s="63"/>
      <c r="B391" s="53"/>
      <c r="C391" s="38" t="s">
        <v>940</v>
      </c>
      <c r="D391" s="38"/>
      <c r="E391" s="38"/>
      <c r="F391" t="s">
        <v>1131</v>
      </c>
    </row>
    <row r="392" spans="1:6" ht="15" x14ac:dyDescent="0.25">
      <c r="A392" s="63"/>
      <c r="B392" s="53"/>
      <c r="C392" s="38" t="s">
        <v>941</v>
      </c>
      <c r="D392" s="38"/>
      <c r="E392" s="38"/>
      <c r="F392" t="s">
        <v>1131</v>
      </c>
    </row>
    <row r="393" spans="1:6" ht="15" x14ac:dyDescent="0.25">
      <c r="A393" s="63"/>
      <c r="B393" s="53"/>
      <c r="C393" s="38" t="s">
        <v>942</v>
      </c>
      <c r="D393" s="38"/>
      <c r="E393" s="38"/>
      <c r="F393" t="s">
        <v>1131</v>
      </c>
    </row>
    <row r="394" spans="1:6" ht="15" x14ac:dyDescent="0.25">
      <c r="A394" s="63"/>
      <c r="B394" s="53"/>
      <c r="C394" s="38" t="s">
        <v>943</v>
      </c>
      <c r="D394" s="38"/>
      <c r="E394" s="38"/>
      <c r="F394" t="s">
        <v>1131</v>
      </c>
    </row>
    <row r="395" spans="1:6" ht="15" x14ac:dyDescent="0.25">
      <c r="A395" s="63"/>
      <c r="B395" s="53"/>
      <c r="C395" s="38" t="s">
        <v>944</v>
      </c>
      <c r="D395" s="38"/>
      <c r="E395" s="38"/>
      <c r="F395" t="s">
        <v>1131</v>
      </c>
    </row>
    <row r="396" spans="1:6" ht="15" x14ac:dyDescent="0.25">
      <c r="A396" s="63"/>
      <c r="B396" s="53"/>
      <c r="C396" s="38" t="s">
        <v>945</v>
      </c>
      <c r="D396" s="38"/>
      <c r="E396" s="38"/>
      <c r="F396" t="s">
        <v>1131</v>
      </c>
    </row>
    <row r="397" spans="1:6" ht="15" x14ac:dyDescent="0.25">
      <c r="A397" s="63"/>
      <c r="B397" s="53"/>
      <c r="C397" s="38" t="s">
        <v>946</v>
      </c>
      <c r="D397" s="38"/>
      <c r="E397" s="38"/>
      <c r="F397" t="s">
        <v>1131</v>
      </c>
    </row>
    <row r="398" spans="1:6" ht="15" x14ac:dyDescent="0.25">
      <c r="A398" s="63"/>
      <c r="B398" s="53"/>
      <c r="C398" s="38" t="s">
        <v>947</v>
      </c>
      <c r="D398" s="38"/>
      <c r="E398" s="38"/>
      <c r="F398" t="s">
        <v>1131</v>
      </c>
    </row>
    <row r="399" spans="1:6" ht="15" x14ac:dyDescent="0.25">
      <c r="A399" s="63"/>
      <c r="B399" s="53"/>
      <c r="C399" s="38" t="s">
        <v>948</v>
      </c>
      <c r="D399" s="38"/>
      <c r="E399" s="38"/>
      <c r="F399" t="s">
        <v>1131</v>
      </c>
    </row>
    <row r="400" spans="1:6" ht="15" x14ac:dyDescent="0.25">
      <c r="A400" s="63"/>
      <c r="B400" s="53"/>
      <c r="C400" s="38" t="s">
        <v>949</v>
      </c>
      <c r="D400" s="38"/>
      <c r="E400" s="38"/>
      <c r="F400" t="s">
        <v>1131</v>
      </c>
    </row>
    <row r="401" spans="1:6" ht="15" x14ac:dyDescent="0.25">
      <c r="A401" s="63"/>
      <c r="B401" s="53"/>
      <c r="C401" s="38" t="s">
        <v>950</v>
      </c>
      <c r="D401" s="38"/>
      <c r="E401" s="38"/>
      <c r="F401" t="s">
        <v>1131</v>
      </c>
    </row>
    <row r="402" spans="1:6" ht="15" x14ac:dyDescent="0.25">
      <c r="A402" s="63"/>
      <c r="B402" s="53"/>
      <c r="C402" s="38" t="s">
        <v>951</v>
      </c>
      <c r="D402" s="38"/>
      <c r="E402" s="38"/>
      <c r="F402" t="s">
        <v>1131</v>
      </c>
    </row>
    <row r="403" spans="1:6" ht="15" x14ac:dyDescent="0.25">
      <c r="A403" s="63"/>
      <c r="B403" s="53"/>
      <c r="C403" s="38" t="s">
        <v>952</v>
      </c>
      <c r="D403" s="38"/>
      <c r="E403" s="38"/>
      <c r="F403" t="s">
        <v>1131</v>
      </c>
    </row>
    <row r="404" spans="1:6" ht="15" x14ac:dyDescent="0.25">
      <c r="A404" s="63"/>
      <c r="B404" s="53"/>
      <c r="C404" s="38" t="s">
        <v>953</v>
      </c>
      <c r="D404" s="38"/>
      <c r="E404" s="38"/>
      <c r="F404" t="s">
        <v>1131</v>
      </c>
    </row>
    <row r="405" spans="1:6" ht="15" x14ac:dyDescent="0.25">
      <c r="A405" s="63"/>
      <c r="B405" s="53"/>
      <c r="C405" s="38" t="s">
        <v>954</v>
      </c>
      <c r="D405" s="38"/>
      <c r="E405" s="38"/>
      <c r="F405" t="s">
        <v>1131</v>
      </c>
    </row>
    <row r="406" spans="1:6" ht="15" x14ac:dyDescent="0.25">
      <c r="A406" s="63"/>
      <c r="B406" s="53"/>
      <c r="C406" s="38" t="s">
        <v>955</v>
      </c>
      <c r="D406" s="38"/>
      <c r="E406" s="38"/>
      <c r="F406" t="s">
        <v>1131</v>
      </c>
    </row>
    <row r="407" spans="1:6" ht="15" x14ac:dyDescent="0.25">
      <c r="A407" s="63"/>
      <c r="B407" s="53"/>
      <c r="C407" s="38" t="s">
        <v>956</v>
      </c>
      <c r="D407" s="38"/>
      <c r="E407" s="38"/>
      <c r="F407" t="s">
        <v>1131</v>
      </c>
    </row>
    <row r="408" spans="1:6" ht="15" x14ac:dyDescent="0.25">
      <c r="A408" s="63"/>
      <c r="B408" s="53"/>
      <c r="C408" s="38" t="s">
        <v>957</v>
      </c>
      <c r="D408" s="38"/>
      <c r="E408" s="38"/>
      <c r="F408" t="s">
        <v>1131</v>
      </c>
    </row>
    <row r="409" spans="1:6" ht="15" x14ac:dyDescent="0.25">
      <c r="A409" s="63"/>
      <c r="B409" s="53"/>
      <c r="C409" s="38" t="s">
        <v>958</v>
      </c>
      <c r="D409" s="38"/>
      <c r="E409" s="38"/>
      <c r="F409" t="s">
        <v>1131</v>
      </c>
    </row>
    <row r="410" spans="1:6" ht="15" x14ac:dyDescent="0.25">
      <c r="A410" s="63"/>
      <c r="B410" s="53"/>
      <c r="C410" s="38" t="s">
        <v>959</v>
      </c>
      <c r="D410" s="38"/>
      <c r="E410" s="38"/>
      <c r="F410" t="s">
        <v>1131</v>
      </c>
    </row>
    <row r="411" spans="1:6" ht="15" x14ac:dyDescent="0.25">
      <c r="A411" s="63"/>
      <c r="B411" s="53"/>
      <c r="C411" s="38" t="s">
        <v>960</v>
      </c>
      <c r="D411" s="38"/>
      <c r="E411" s="38"/>
      <c r="F411" t="s">
        <v>1131</v>
      </c>
    </row>
    <row r="412" spans="1:6" ht="15" x14ac:dyDescent="0.25">
      <c r="A412" s="63"/>
      <c r="B412" s="53"/>
      <c r="C412" s="38" t="s">
        <v>961</v>
      </c>
      <c r="D412" s="38"/>
      <c r="E412" s="38"/>
      <c r="F412" t="s">
        <v>1131</v>
      </c>
    </row>
    <row r="413" spans="1:6" ht="15" x14ac:dyDescent="0.25">
      <c r="A413" s="63"/>
      <c r="B413" s="53"/>
      <c r="C413" s="38" t="s">
        <v>962</v>
      </c>
      <c r="D413" s="38"/>
      <c r="E413" s="38"/>
      <c r="F413" t="s">
        <v>1131</v>
      </c>
    </row>
    <row r="414" spans="1:6" ht="15" x14ac:dyDescent="0.25">
      <c r="A414" s="63"/>
      <c r="B414" s="53"/>
      <c r="C414" s="38" t="s">
        <v>963</v>
      </c>
      <c r="D414" s="38"/>
      <c r="E414" s="38"/>
      <c r="F414" t="s">
        <v>1131</v>
      </c>
    </row>
    <row r="415" spans="1:6" ht="15" x14ac:dyDescent="0.25">
      <c r="A415" s="63"/>
      <c r="B415" s="53"/>
      <c r="C415" s="38" t="s">
        <v>964</v>
      </c>
      <c r="D415" s="38"/>
      <c r="E415" s="38"/>
      <c r="F415" t="s">
        <v>1131</v>
      </c>
    </row>
    <row r="416" spans="1:6" ht="15" x14ac:dyDescent="0.25">
      <c r="A416" s="63"/>
      <c r="B416" s="53"/>
      <c r="C416" s="38" t="s">
        <v>965</v>
      </c>
      <c r="D416" s="38"/>
      <c r="E416" s="38"/>
      <c r="F416" t="s">
        <v>1131</v>
      </c>
    </row>
    <row r="417" spans="1:6" ht="15" x14ac:dyDescent="0.25">
      <c r="A417" s="63"/>
      <c r="B417" s="53"/>
      <c r="C417" s="38" t="s">
        <v>966</v>
      </c>
      <c r="D417" s="38"/>
      <c r="E417" s="38"/>
      <c r="F417" t="s">
        <v>1131</v>
      </c>
    </row>
    <row r="418" spans="1:6" ht="15" x14ac:dyDescent="0.25">
      <c r="A418" s="63"/>
      <c r="B418" s="53"/>
      <c r="C418" s="38" t="s">
        <v>967</v>
      </c>
      <c r="D418" s="38"/>
      <c r="E418" s="38"/>
      <c r="F418" t="s">
        <v>1131</v>
      </c>
    </row>
    <row r="419" spans="1:6" ht="15" x14ac:dyDescent="0.25">
      <c r="A419" s="63"/>
      <c r="B419" s="53"/>
      <c r="C419" s="38" t="s">
        <v>968</v>
      </c>
      <c r="D419" s="38"/>
      <c r="E419" s="38"/>
      <c r="F419" t="s">
        <v>1131</v>
      </c>
    </row>
    <row r="420" spans="1:6" ht="15" x14ac:dyDescent="0.25">
      <c r="A420" s="63"/>
      <c r="B420" s="53"/>
      <c r="C420" s="38" t="s">
        <v>969</v>
      </c>
      <c r="D420" s="38"/>
      <c r="E420" s="38"/>
      <c r="F420" t="s">
        <v>1131</v>
      </c>
    </row>
    <row r="421" spans="1:6" ht="15" x14ac:dyDescent="0.25">
      <c r="A421" s="63"/>
      <c r="B421" s="53"/>
      <c r="C421" s="38" t="s">
        <v>970</v>
      </c>
      <c r="D421" s="38"/>
      <c r="E421" s="38"/>
      <c r="F421" t="s">
        <v>1131</v>
      </c>
    </row>
    <row r="422" spans="1:6" ht="15" x14ac:dyDescent="0.25">
      <c r="A422" s="63"/>
      <c r="B422" s="53"/>
      <c r="C422" s="38" t="s">
        <v>971</v>
      </c>
      <c r="D422" s="38"/>
      <c r="E422" s="38"/>
      <c r="F422" t="s">
        <v>1131</v>
      </c>
    </row>
    <row r="423" spans="1:6" ht="15" x14ac:dyDescent="0.25">
      <c r="A423" s="63"/>
      <c r="B423" s="53"/>
      <c r="C423" s="38" t="s">
        <v>972</v>
      </c>
      <c r="D423" s="38"/>
      <c r="E423" s="38"/>
      <c r="F423" t="s">
        <v>1131</v>
      </c>
    </row>
    <row r="424" spans="1:6" ht="15" x14ac:dyDescent="0.25">
      <c r="A424" s="63"/>
      <c r="B424" s="53"/>
      <c r="C424" s="38" t="s">
        <v>973</v>
      </c>
      <c r="D424" s="38"/>
      <c r="E424" s="38"/>
      <c r="F424" t="s">
        <v>1131</v>
      </c>
    </row>
    <row r="425" spans="1:6" ht="15" x14ac:dyDescent="0.25">
      <c r="A425" s="63"/>
      <c r="B425" s="53"/>
      <c r="C425" s="38" t="s">
        <v>974</v>
      </c>
      <c r="D425" s="38"/>
      <c r="E425" s="38"/>
      <c r="F425" t="s">
        <v>1131</v>
      </c>
    </row>
    <row r="426" spans="1:6" ht="15" x14ac:dyDescent="0.25">
      <c r="A426" s="63"/>
      <c r="B426" s="53"/>
      <c r="C426" s="38" t="s">
        <v>975</v>
      </c>
      <c r="D426" s="38"/>
      <c r="E426" s="38"/>
      <c r="F426" t="s">
        <v>1131</v>
      </c>
    </row>
    <row r="427" spans="1:6" ht="15" x14ac:dyDescent="0.25">
      <c r="A427" s="63"/>
      <c r="B427" s="53"/>
      <c r="C427" s="38" t="s">
        <v>976</v>
      </c>
      <c r="D427" s="38"/>
      <c r="E427" s="38"/>
      <c r="F427" t="s">
        <v>1131</v>
      </c>
    </row>
    <row r="428" spans="1:6" ht="15" x14ac:dyDescent="0.25">
      <c r="A428" s="63"/>
      <c r="B428" s="53"/>
      <c r="C428" s="38" t="s">
        <v>977</v>
      </c>
      <c r="D428" s="38"/>
      <c r="E428" s="38"/>
      <c r="F428" t="s">
        <v>1131</v>
      </c>
    </row>
    <row r="429" spans="1:6" ht="15" x14ac:dyDescent="0.25">
      <c r="A429" s="63"/>
      <c r="B429" s="53"/>
      <c r="C429" s="38" t="s">
        <v>978</v>
      </c>
      <c r="D429" s="38"/>
      <c r="E429" s="38"/>
      <c r="F429" t="s">
        <v>1131</v>
      </c>
    </row>
    <row r="430" spans="1:6" ht="15" x14ac:dyDescent="0.25">
      <c r="A430" s="63"/>
      <c r="B430" s="53"/>
      <c r="C430" s="38" t="s">
        <v>979</v>
      </c>
      <c r="D430" s="38"/>
      <c r="E430" s="38"/>
      <c r="F430" t="s">
        <v>1131</v>
      </c>
    </row>
    <row r="431" spans="1:6" ht="15" x14ac:dyDescent="0.25">
      <c r="A431" s="63"/>
      <c r="B431" s="53"/>
      <c r="C431" s="38" t="s">
        <v>1035</v>
      </c>
      <c r="D431" s="38"/>
      <c r="E431" s="38"/>
      <c r="F431" t="s">
        <v>1131</v>
      </c>
    </row>
    <row r="432" spans="1:6" ht="15" x14ac:dyDescent="0.25">
      <c r="A432" s="63"/>
      <c r="B432" s="53"/>
      <c r="C432" s="38" t="s">
        <v>1036</v>
      </c>
      <c r="D432" s="38"/>
      <c r="E432" s="38"/>
      <c r="F432" t="s">
        <v>1131</v>
      </c>
    </row>
    <row r="433" spans="1:6" ht="15" x14ac:dyDescent="0.25">
      <c r="A433" s="63"/>
      <c r="B433" s="53"/>
      <c r="C433" s="38" t="s">
        <v>1037</v>
      </c>
      <c r="D433" s="38"/>
      <c r="E433" s="38"/>
      <c r="F433" t="s">
        <v>1131</v>
      </c>
    </row>
    <row r="434" spans="1:6" ht="15" x14ac:dyDescent="0.25">
      <c r="A434" s="63"/>
      <c r="B434" s="53"/>
      <c r="C434" s="38" t="s">
        <v>1038</v>
      </c>
      <c r="D434" s="38"/>
      <c r="E434" s="38"/>
      <c r="F434" t="s">
        <v>1131</v>
      </c>
    </row>
    <row r="435" spans="1:6" ht="15" x14ac:dyDescent="0.25">
      <c r="A435" s="63"/>
      <c r="B435" s="53"/>
      <c r="C435" s="38" t="s">
        <v>1039</v>
      </c>
      <c r="D435" s="38"/>
      <c r="E435" s="38"/>
      <c r="F435" t="s">
        <v>1131</v>
      </c>
    </row>
    <row r="436" spans="1:6" ht="15" x14ac:dyDescent="0.25">
      <c r="A436" s="63"/>
      <c r="B436" s="53"/>
      <c r="C436" s="38" t="s">
        <v>1040</v>
      </c>
      <c r="D436" s="38"/>
      <c r="E436" s="38"/>
      <c r="F436" t="s">
        <v>1131</v>
      </c>
    </row>
    <row r="437" spans="1:6" ht="15" x14ac:dyDescent="0.25">
      <c r="A437" s="63"/>
      <c r="B437" s="53"/>
      <c r="C437" s="38" t="s">
        <v>1041</v>
      </c>
      <c r="D437" s="38"/>
      <c r="E437" s="38"/>
      <c r="F437" t="s">
        <v>1131</v>
      </c>
    </row>
    <row r="438" spans="1:6" ht="15" x14ac:dyDescent="0.25">
      <c r="A438" s="63"/>
      <c r="B438" s="53"/>
      <c r="C438" s="38" t="s">
        <v>1042</v>
      </c>
      <c r="D438" s="38"/>
      <c r="E438" s="38"/>
      <c r="F438" t="s">
        <v>1131</v>
      </c>
    </row>
    <row r="439" spans="1:6" ht="15" x14ac:dyDescent="0.25">
      <c r="A439" s="63"/>
      <c r="B439" s="53"/>
      <c r="C439" s="38" t="s">
        <v>980</v>
      </c>
      <c r="D439" s="38"/>
      <c r="E439" s="38"/>
      <c r="F439" t="s">
        <v>1131</v>
      </c>
    </row>
    <row r="440" spans="1:6" ht="15" x14ac:dyDescent="0.25">
      <c r="A440" s="63"/>
      <c r="B440" s="53"/>
      <c r="C440" s="38" t="s">
        <v>981</v>
      </c>
      <c r="D440" s="38"/>
      <c r="E440" s="38"/>
      <c r="F440" t="s">
        <v>1131</v>
      </c>
    </row>
    <row r="441" spans="1:6" ht="15" x14ac:dyDescent="0.25">
      <c r="A441" s="63"/>
      <c r="B441" s="53"/>
      <c r="C441" s="38" t="s">
        <v>982</v>
      </c>
      <c r="D441" s="38"/>
      <c r="E441" s="38"/>
      <c r="F441" t="s">
        <v>1131</v>
      </c>
    </row>
    <row r="442" spans="1:6" ht="15" x14ac:dyDescent="0.25">
      <c r="A442" s="63"/>
      <c r="B442" s="53"/>
      <c r="C442" s="38" t="s">
        <v>983</v>
      </c>
      <c r="D442" s="38"/>
      <c r="E442" s="38"/>
      <c r="F442" t="s">
        <v>1131</v>
      </c>
    </row>
    <row r="443" spans="1:6" ht="15" x14ac:dyDescent="0.25">
      <c r="A443" s="63"/>
      <c r="B443" s="53"/>
      <c r="C443" s="38" t="s">
        <v>984</v>
      </c>
      <c r="D443" s="38"/>
      <c r="E443" s="38"/>
      <c r="F443" t="s">
        <v>1131</v>
      </c>
    </row>
    <row r="444" spans="1:6" ht="15" x14ac:dyDescent="0.25">
      <c r="A444" s="63"/>
      <c r="B444" s="53"/>
      <c r="C444" s="38" t="s">
        <v>985</v>
      </c>
      <c r="D444" s="38"/>
      <c r="E444" s="38"/>
      <c r="F444" t="s">
        <v>1131</v>
      </c>
    </row>
    <row r="445" spans="1:6" ht="15" x14ac:dyDescent="0.25">
      <c r="A445" s="63"/>
      <c r="B445" s="53"/>
      <c r="C445" s="38" t="s">
        <v>986</v>
      </c>
      <c r="D445" s="38"/>
      <c r="E445" s="38"/>
      <c r="F445" t="s">
        <v>1131</v>
      </c>
    </row>
    <row r="446" spans="1:6" ht="15" x14ac:dyDescent="0.25">
      <c r="A446" s="63"/>
      <c r="B446" s="53"/>
      <c r="C446" s="38" t="s">
        <v>987</v>
      </c>
      <c r="D446" s="38"/>
      <c r="E446" s="38"/>
      <c r="F446" t="s">
        <v>1131</v>
      </c>
    </row>
    <row r="447" spans="1:6" ht="15" x14ac:dyDescent="0.25">
      <c r="A447" s="63"/>
      <c r="B447" s="53"/>
      <c r="C447" s="38" t="s">
        <v>1043</v>
      </c>
      <c r="D447" s="38"/>
      <c r="E447" s="38"/>
      <c r="F447" t="s">
        <v>1131</v>
      </c>
    </row>
    <row r="448" spans="1:6" ht="15" x14ac:dyDescent="0.25">
      <c r="A448" s="63"/>
      <c r="B448" s="53"/>
      <c r="C448" s="38" t="s">
        <v>1044</v>
      </c>
      <c r="D448" s="38"/>
      <c r="E448" s="38"/>
      <c r="F448" t="s">
        <v>1131</v>
      </c>
    </row>
    <row r="449" spans="1:6" ht="15" x14ac:dyDescent="0.25">
      <c r="A449" s="63"/>
      <c r="B449" s="53"/>
      <c r="C449" s="38" t="s">
        <v>1045</v>
      </c>
      <c r="D449" s="38"/>
      <c r="E449" s="38"/>
      <c r="F449" t="s">
        <v>1131</v>
      </c>
    </row>
    <row r="450" spans="1:6" ht="15" x14ac:dyDescent="0.25">
      <c r="A450" s="63"/>
      <c r="B450" s="53"/>
      <c r="C450" s="38" t="s">
        <v>1046</v>
      </c>
      <c r="D450" s="38"/>
      <c r="E450" s="38"/>
      <c r="F450" t="s">
        <v>1131</v>
      </c>
    </row>
    <row r="451" spans="1:6" ht="15" x14ac:dyDescent="0.25">
      <c r="A451" s="63"/>
      <c r="B451" s="53"/>
      <c r="C451" s="38" t="s">
        <v>1047</v>
      </c>
      <c r="D451" s="38"/>
      <c r="E451" s="38"/>
      <c r="F451" t="s">
        <v>1131</v>
      </c>
    </row>
    <row r="452" spans="1:6" ht="15" x14ac:dyDescent="0.25">
      <c r="A452" s="63"/>
      <c r="B452" s="53"/>
      <c r="C452" s="38" t="s">
        <v>1048</v>
      </c>
      <c r="D452" s="38"/>
      <c r="E452" s="38"/>
      <c r="F452" t="s">
        <v>1131</v>
      </c>
    </row>
    <row r="453" spans="1:6" ht="15" x14ac:dyDescent="0.25">
      <c r="A453" s="63"/>
      <c r="B453" s="53"/>
      <c r="C453" s="38" t="s">
        <v>1049</v>
      </c>
      <c r="D453" s="38"/>
      <c r="E453" s="38"/>
      <c r="F453" t="s">
        <v>1131</v>
      </c>
    </row>
    <row r="454" spans="1:6" ht="15" x14ac:dyDescent="0.25">
      <c r="A454" s="63"/>
      <c r="B454" s="53"/>
      <c r="C454" s="38" t="s">
        <v>1050</v>
      </c>
      <c r="D454" s="38"/>
      <c r="E454" s="38"/>
      <c r="F454" t="s">
        <v>1131</v>
      </c>
    </row>
    <row r="455" spans="1:6" ht="15" x14ac:dyDescent="0.25">
      <c r="A455" s="63"/>
      <c r="B455" s="53"/>
      <c r="C455" s="38" t="s">
        <v>1051</v>
      </c>
      <c r="D455" s="38"/>
      <c r="E455" s="38"/>
      <c r="F455" t="s">
        <v>1131</v>
      </c>
    </row>
    <row r="456" spans="1:6" ht="15" x14ac:dyDescent="0.25">
      <c r="A456" s="63"/>
      <c r="B456" s="53"/>
      <c r="C456" s="38" t="s">
        <v>1052</v>
      </c>
      <c r="D456" s="38"/>
      <c r="E456" s="38"/>
      <c r="F456" t="s">
        <v>1131</v>
      </c>
    </row>
    <row r="457" spans="1:6" ht="15" x14ac:dyDescent="0.25">
      <c r="A457" s="63"/>
      <c r="B457" s="53"/>
      <c r="C457" s="38" t="s">
        <v>1053</v>
      </c>
      <c r="D457" s="38"/>
      <c r="E457" s="38"/>
      <c r="F457" t="s">
        <v>1131</v>
      </c>
    </row>
    <row r="458" spans="1:6" ht="15" x14ac:dyDescent="0.25">
      <c r="A458" s="63"/>
      <c r="B458" s="53"/>
      <c r="C458" s="38" t="s">
        <v>1054</v>
      </c>
      <c r="D458" s="38"/>
      <c r="E458" s="38"/>
      <c r="F458" t="s">
        <v>1131</v>
      </c>
    </row>
    <row r="459" spans="1:6" ht="15" x14ac:dyDescent="0.25">
      <c r="A459" s="63"/>
      <c r="B459" s="53"/>
      <c r="C459" s="38" t="s">
        <v>1055</v>
      </c>
      <c r="D459" s="38"/>
      <c r="E459" s="38"/>
      <c r="F459" t="s">
        <v>1131</v>
      </c>
    </row>
    <row r="460" spans="1:6" ht="15" x14ac:dyDescent="0.25">
      <c r="A460" s="63"/>
      <c r="B460" s="53"/>
      <c r="C460" s="38" t="s">
        <v>1056</v>
      </c>
      <c r="D460" s="38"/>
      <c r="E460" s="38"/>
      <c r="F460" t="s">
        <v>1131</v>
      </c>
    </row>
    <row r="461" spans="1:6" ht="15" x14ac:dyDescent="0.25">
      <c r="A461" s="63"/>
      <c r="B461" s="53"/>
      <c r="C461" s="38" t="s">
        <v>1057</v>
      </c>
      <c r="D461" s="38"/>
      <c r="E461" s="38"/>
      <c r="F461" t="s">
        <v>1131</v>
      </c>
    </row>
    <row r="462" spans="1:6" ht="15" x14ac:dyDescent="0.25">
      <c r="A462" s="63"/>
      <c r="B462" s="53"/>
      <c r="C462" s="38" t="s">
        <v>1058</v>
      </c>
      <c r="D462" s="38"/>
      <c r="E462" s="38"/>
      <c r="F462" t="s">
        <v>1131</v>
      </c>
    </row>
    <row r="463" spans="1:6" ht="15" x14ac:dyDescent="0.25">
      <c r="A463" s="63"/>
      <c r="B463" s="53"/>
      <c r="C463" s="38" t="s">
        <v>1059</v>
      </c>
      <c r="D463" s="38"/>
      <c r="E463" s="38"/>
      <c r="F463" t="s">
        <v>1131</v>
      </c>
    </row>
    <row r="464" spans="1:6" ht="15" x14ac:dyDescent="0.25">
      <c r="A464" s="63"/>
      <c r="B464" s="53"/>
      <c r="C464" s="38" t="s">
        <v>1060</v>
      </c>
      <c r="D464" s="38"/>
      <c r="E464" s="38"/>
      <c r="F464" t="s">
        <v>1131</v>
      </c>
    </row>
    <row r="465" spans="1:6" ht="15" x14ac:dyDescent="0.25">
      <c r="A465" s="63"/>
      <c r="B465" s="53"/>
      <c r="C465" s="38" t="s">
        <v>1061</v>
      </c>
      <c r="D465" s="38"/>
      <c r="E465" s="38"/>
      <c r="F465" t="s">
        <v>1131</v>
      </c>
    </row>
    <row r="466" spans="1:6" ht="15" x14ac:dyDescent="0.25">
      <c r="A466" s="63"/>
      <c r="B466" s="53"/>
      <c r="C466" s="38" t="s">
        <v>1062</v>
      </c>
      <c r="D466" s="38"/>
      <c r="E466" s="38"/>
      <c r="F466" t="s">
        <v>1131</v>
      </c>
    </row>
    <row r="467" spans="1:6" ht="15" x14ac:dyDescent="0.25">
      <c r="A467" s="63"/>
      <c r="B467" s="53"/>
      <c r="C467" s="38" t="s">
        <v>1063</v>
      </c>
      <c r="D467" s="38"/>
      <c r="E467" s="38"/>
      <c r="F467" t="s">
        <v>1131</v>
      </c>
    </row>
    <row r="468" spans="1:6" ht="15" x14ac:dyDescent="0.25">
      <c r="A468" s="63"/>
      <c r="B468" s="53"/>
      <c r="C468" s="38" t="s">
        <v>1064</v>
      </c>
      <c r="D468" s="38"/>
      <c r="E468" s="38"/>
      <c r="F468" t="s">
        <v>1131</v>
      </c>
    </row>
    <row r="469" spans="1:6" ht="15" x14ac:dyDescent="0.25">
      <c r="A469" s="63"/>
      <c r="B469" s="53"/>
      <c r="C469" s="38" t="s">
        <v>1065</v>
      </c>
      <c r="D469" s="38"/>
      <c r="E469" s="38"/>
      <c r="F469" t="s">
        <v>1131</v>
      </c>
    </row>
    <row r="470" spans="1:6" ht="15" x14ac:dyDescent="0.25">
      <c r="A470" s="63"/>
      <c r="B470" s="53"/>
      <c r="C470" s="38" t="s">
        <v>1066</v>
      </c>
      <c r="D470" s="38"/>
      <c r="E470" s="38"/>
      <c r="F470" t="s">
        <v>1131</v>
      </c>
    </row>
    <row r="471" spans="1:6" ht="15" x14ac:dyDescent="0.25">
      <c r="A471" s="63"/>
      <c r="B471" s="53"/>
      <c r="C471" s="38" t="s">
        <v>1067</v>
      </c>
      <c r="D471" s="38"/>
      <c r="E471" s="38"/>
      <c r="F471" t="s">
        <v>1131</v>
      </c>
    </row>
    <row r="472" spans="1:6" ht="15" x14ac:dyDescent="0.25">
      <c r="A472" s="63"/>
      <c r="B472" s="53"/>
      <c r="C472" s="38" t="s">
        <v>1068</v>
      </c>
      <c r="D472" s="38"/>
      <c r="E472" s="38"/>
      <c r="F472" t="s">
        <v>1131</v>
      </c>
    </row>
    <row r="473" spans="1:6" ht="15" x14ac:dyDescent="0.25">
      <c r="A473" s="63"/>
      <c r="B473" s="53"/>
      <c r="C473" s="38" t="s">
        <v>1069</v>
      </c>
      <c r="D473" s="38"/>
      <c r="E473" s="38"/>
      <c r="F473" t="s">
        <v>1131</v>
      </c>
    </row>
    <row r="474" spans="1:6" ht="15" x14ac:dyDescent="0.25">
      <c r="A474" s="63"/>
      <c r="B474" s="53"/>
      <c r="C474" s="38" t="s">
        <v>1070</v>
      </c>
      <c r="D474" s="38"/>
      <c r="E474" s="38"/>
      <c r="F474" t="s">
        <v>1131</v>
      </c>
    </row>
    <row r="475" spans="1:6" ht="15" x14ac:dyDescent="0.25">
      <c r="A475" s="63"/>
      <c r="B475" s="53"/>
      <c r="C475" s="38" t="s">
        <v>1071</v>
      </c>
      <c r="D475" s="38"/>
      <c r="E475" s="38"/>
      <c r="F475" t="s">
        <v>1131</v>
      </c>
    </row>
    <row r="476" spans="1:6" ht="15" x14ac:dyDescent="0.25">
      <c r="A476" s="63"/>
      <c r="B476" s="53"/>
      <c r="C476" s="38" t="s">
        <v>1072</v>
      </c>
      <c r="D476" s="38"/>
      <c r="E476" s="38"/>
      <c r="F476" t="s">
        <v>1131</v>
      </c>
    </row>
    <row r="477" spans="1:6" ht="15" x14ac:dyDescent="0.25">
      <c r="A477" s="63"/>
      <c r="B477" s="53"/>
      <c r="C477" s="38" t="s">
        <v>1073</v>
      </c>
      <c r="D477" s="38"/>
      <c r="E477" s="38"/>
      <c r="F477" t="s">
        <v>1131</v>
      </c>
    </row>
    <row r="478" spans="1:6" ht="15" x14ac:dyDescent="0.25">
      <c r="A478" s="63"/>
      <c r="B478" s="53"/>
      <c r="C478" s="38" t="s">
        <v>1074</v>
      </c>
      <c r="D478" s="38"/>
      <c r="E478" s="38"/>
      <c r="F478" t="s">
        <v>1131</v>
      </c>
    </row>
    <row r="479" spans="1:6" ht="15" x14ac:dyDescent="0.25">
      <c r="A479" s="63"/>
      <c r="B479" s="53"/>
      <c r="C479" s="38" t="s">
        <v>988</v>
      </c>
      <c r="D479" s="38"/>
      <c r="E479" s="38"/>
      <c r="F479" t="s">
        <v>1131</v>
      </c>
    </row>
    <row r="480" spans="1:6" ht="15" x14ac:dyDescent="0.25">
      <c r="A480" s="63"/>
      <c r="B480" s="53"/>
      <c r="C480" s="38" t="s">
        <v>989</v>
      </c>
      <c r="D480" s="38"/>
      <c r="E480" s="38"/>
      <c r="F480" t="s">
        <v>1131</v>
      </c>
    </row>
    <row r="481" spans="1:6" ht="15" x14ac:dyDescent="0.25">
      <c r="A481" s="63"/>
      <c r="B481" s="53"/>
      <c r="C481" s="38" t="s">
        <v>990</v>
      </c>
      <c r="D481" s="38"/>
      <c r="E481" s="38"/>
      <c r="F481" t="s">
        <v>1131</v>
      </c>
    </row>
    <row r="482" spans="1:6" ht="15" x14ac:dyDescent="0.25">
      <c r="A482" s="63"/>
      <c r="B482" s="53"/>
      <c r="C482" s="38" t="s">
        <v>991</v>
      </c>
      <c r="D482" s="38"/>
      <c r="E482" s="38"/>
      <c r="F482" t="s">
        <v>1131</v>
      </c>
    </row>
    <row r="483" spans="1:6" ht="15" x14ac:dyDescent="0.25">
      <c r="A483" s="63"/>
      <c r="B483" s="53"/>
      <c r="C483" s="38" t="s">
        <v>992</v>
      </c>
      <c r="D483" s="38"/>
      <c r="E483" s="38"/>
      <c r="F483" t="s">
        <v>1131</v>
      </c>
    </row>
    <row r="484" spans="1:6" ht="15" x14ac:dyDescent="0.25">
      <c r="A484" s="63"/>
      <c r="B484" s="53"/>
      <c r="C484" s="38" t="s">
        <v>993</v>
      </c>
      <c r="D484" s="38"/>
      <c r="E484" s="38"/>
      <c r="F484" t="s">
        <v>1131</v>
      </c>
    </row>
    <row r="485" spans="1:6" ht="15" x14ac:dyDescent="0.25">
      <c r="A485" s="63"/>
      <c r="B485" s="53"/>
      <c r="C485" s="38" t="s">
        <v>994</v>
      </c>
      <c r="D485" s="38"/>
      <c r="E485" s="38"/>
      <c r="F485" t="s">
        <v>1131</v>
      </c>
    </row>
    <row r="486" spans="1:6" ht="15" x14ac:dyDescent="0.25">
      <c r="A486" s="63"/>
      <c r="B486" s="53"/>
      <c r="C486" s="38" t="s">
        <v>995</v>
      </c>
      <c r="D486" s="38"/>
      <c r="E486" s="38"/>
      <c r="F486" t="s">
        <v>1131</v>
      </c>
    </row>
    <row r="487" spans="1:6" ht="15" x14ac:dyDescent="0.25">
      <c r="A487" s="63"/>
      <c r="B487" s="53"/>
      <c r="C487" s="38" t="s">
        <v>101</v>
      </c>
      <c r="D487" s="38"/>
      <c r="E487" s="38"/>
    </row>
    <row r="488" spans="1:6" ht="15" x14ac:dyDescent="0.25">
      <c r="A488" s="63"/>
      <c r="B488" s="53"/>
      <c r="C488" s="38" t="s">
        <v>740</v>
      </c>
      <c r="D488" s="38"/>
      <c r="E488" s="38"/>
    </row>
    <row r="489" spans="1:6" ht="15" x14ac:dyDescent="0.25">
      <c r="A489" s="63"/>
      <c r="B489" s="53"/>
      <c r="C489" s="38" t="s">
        <v>736</v>
      </c>
      <c r="D489" s="38"/>
      <c r="E489" s="38"/>
    </row>
    <row r="490" spans="1:6" ht="15" x14ac:dyDescent="0.25">
      <c r="A490" s="63"/>
      <c r="B490" s="53"/>
      <c r="C490" s="38" t="s">
        <v>737</v>
      </c>
      <c r="D490" s="38"/>
      <c r="E490" s="38"/>
    </row>
    <row r="491" spans="1:6" ht="15" x14ac:dyDescent="0.25">
      <c r="A491" s="63"/>
      <c r="B491" s="53"/>
      <c r="C491" s="38" t="s">
        <v>738</v>
      </c>
      <c r="D491" s="38"/>
      <c r="E491" s="38"/>
    </row>
    <row r="492" spans="1:6" ht="15" x14ac:dyDescent="0.25">
      <c r="A492" s="63"/>
      <c r="B492" s="53"/>
      <c r="C492" s="38" t="s">
        <v>735</v>
      </c>
      <c r="D492" s="38"/>
      <c r="E492" s="38"/>
    </row>
    <row r="493" spans="1:6" ht="15" x14ac:dyDescent="0.25">
      <c r="A493" s="63"/>
      <c r="B493" s="53"/>
      <c r="C493" s="38" t="s">
        <v>741</v>
      </c>
      <c r="D493" s="38"/>
      <c r="E493" s="38"/>
    </row>
    <row r="494" spans="1:6" ht="15" x14ac:dyDescent="0.25">
      <c r="A494" s="63"/>
      <c r="B494" s="53"/>
      <c r="C494" s="38" t="s">
        <v>742</v>
      </c>
      <c r="D494" s="38"/>
      <c r="E494" s="38"/>
    </row>
    <row r="495" spans="1:6" ht="15" x14ac:dyDescent="0.25">
      <c r="A495" s="63"/>
      <c r="B495" s="53"/>
      <c r="C495" s="38" t="s">
        <v>739</v>
      </c>
      <c r="D495" s="38"/>
      <c r="E495" s="38"/>
    </row>
    <row r="496" spans="1:6" ht="15" x14ac:dyDescent="0.25">
      <c r="A496" s="64"/>
      <c r="B496" s="54"/>
      <c r="C496" s="38" t="s">
        <v>128</v>
      </c>
      <c r="D496" s="38"/>
      <c r="E496" s="38"/>
    </row>
    <row r="497" spans="1:5" ht="15" x14ac:dyDescent="0.25">
      <c r="A497" s="94"/>
      <c r="B497" s="99" t="s">
        <v>1222</v>
      </c>
      <c r="C497" s="36" t="s">
        <v>154</v>
      </c>
      <c r="D497" s="36" t="s">
        <v>451</v>
      </c>
      <c r="E497" s="36"/>
    </row>
    <row r="498" spans="1:5" ht="15" x14ac:dyDescent="0.25">
      <c r="A498" s="45"/>
      <c r="B498" s="99"/>
      <c r="C498" s="36" t="s">
        <v>650</v>
      </c>
      <c r="D498" s="36"/>
      <c r="E498" s="36"/>
    </row>
    <row r="499" spans="1:5" ht="15" x14ac:dyDescent="0.25">
      <c r="A499" s="45"/>
      <c r="B499" s="99"/>
      <c r="C499" s="36" t="s">
        <v>649</v>
      </c>
      <c r="D499" s="36"/>
      <c r="E499" s="36"/>
    </row>
    <row r="500" spans="1:5" ht="15" x14ac:dyDescent="0.25">
      <c r="A500" s="45"/>
      <c r="B500" s="99"/>
      <c r="C500" s="36" t="s">
        <v>370</v>
      </c>
      <c r="D500" s="36"/>
      <c r="E500" s="36"/>
    </row>
    <row r="501" spans="1:5" ht="15" x14ac:dyDescent="0.25">
      <c r="A501" s="45"/>
      <c r="B501" s="99"/>
      <c r="C501" s="36" t="s">
        <v>371</v>
      </c>
      <c r="D501" s="36"/>
      <c r="E501" s="36"/>
    </row>
    <row r="502" spans="1:5" ht="15" x14ac:dyDescent="0.25">
      <c r="A502" s="45"/>
      <c r="B502" s="99"/>
      <c r="C502" s="36" t="s">
        <v>78</v>
      </c>
      <c r="D502" s="36"/>
      <c r="E502" s="36"/>
    </row>
    <row r="503" spans="1:5" ht="15" x14ac:dyDescent="0.25">
      <c r="A503" s="45"/>
      <c r="B503" s="99"/>
      <c r="C503" s="36" t="s">
        <v>372</v>
      </c>
      <c r="D503" s="36"/>
      <c r="E503" s="36"/>
    </row>
    <row r="504" spans="1:5" ht="15" x14ac:dyDescent="0.25">
      <c r="A504" s="45"/>
      <c r="B504" s="99"/>
      <c r="C504" s="36" t="s">
        <v>71</v>
      </c>
      <c r="D504" s="36"/>
      <c r="E504" s="36"/>
    </row>
    <row r="505" spans="1:5" ht="15" x14ac:dyDescent="0.25">
      <c r="A505" s="45"/>
      <c r="B505" s="99"/>
      <c r="C505" s="36" t="s">
        <v>96</v>
      </c>
      <c r="D505" s="36"/>
      <c r="E505" s="36"/>
    </row>
    <row r="506" spans="1:5" ht="15" x14ac:dyDescent="0.25">
      <c r="A506" s="45"/>
      <c r="B506" s="99"/>
      <c r="C506" s="36" t="s">
        <v>97</v>
      </c>
      <c r="D506" s="36"/>
      <c r="E506" s="36"/>
    </row>
    <row r="507" spans="1:5" ht="15" x14ac:dyDescent="0.25">
      <c r="A507" s="45"/>
      <c r="B507" s="99"/>
      <c r="C507" s="36" t="s">
        <v>368</v>
      </c>
      <c r="D507" s="36"/>
      <c r="E507" s="36"/>
    </row>
    <row r="508" spans="1:5" ht="15" x14ac:dyDescent="0.25">
      <c r="A508" s="45"/>
      <c r="B508" s="99"/>
      <c r="C508" s="36" t="s">
        <v>369</v>
      </c>
      <c r="D508" s="36"/>
      <c r="E508" s="36"/>
    </row>
    <row r="509" spans="1:5" ht="15" x14ac:dyDescent="0.25">
      <c r="A509" s="45"/>
      <c r="B509" s="99"/>
      <c r="C509" s="36" t="s">
        <v>373</v>
      </c>
      <c r="D509" s="36"/>
      <c r="E509" s="36"/>
    </row>
    <row r="510" spans="1:5" ht="15" x14ac:dyDescent="0.25">
      <c r="A510" s="45"/>
      <c r="B510" s="99"/>
      <c r="C510" s="36" t="s">
        <v>161</v>
      </c>
      <c r="D510" s="36"/>
      <c r="E510" s="36"/>
    </row>
    <row r="511" spans="1:5" ht="15" x14ac:dyDescent="0.25">
      <c r="A511" s="45"/>
      <c r="B511" s="99"/>
      <c r="C511" s="36" t="s">
        <v>101</v>
      </c>
      <c r="D511" s="36"/>
      <c r="E511" s="36"/>
    </row>
    <row r="512" spans="1:5" ht="15" x14ac:dyDescent="0.25">
      <c r="A512" s="63"/>
      <c r="B512" s="49" t="s">
        <v>289</v>
      </c>
      <c r="C512" s="38" t="s">
        <v>54</v>
      </c>
      <c r="D512" s="38" t="s">
        <v>1165</v>
      </c>
      <c r="E512" s="38"/>
    </row>
    <row r="513" spans="1:5" ht="15" x14ac:dyDescent="0.25">
      <c r="A513" s="64"/>
      <c r="B513" s="51"/>
      <c r="C513" s="38" t="s">
        <v>61</v>
      </c>
      <c r="D513" s="38"/>
      <c r="E513" s="38"/>
    </row>
    <row r="514" spans="1:5" ht="15" x14ac:dyDescent="0.25">
      <c r="A514" s="45"/>
      <c r="B514" s="99" t="s">
        <v>275</v>
      </c>
      <c r="C514" s="36" t="s">
        <v>276</v>
      </c>
      <c r="D514" s="99" t="s">
        <v>275</v>
      </c>
      <c r="E514" s="36"/>
    </row>
    <row r="515" spans="1:5" ht="15" x14ac:dyDescent="0.25">
      <c r="A515" s="45"/>
      <c r="B515" s="99"/>
      <c r="C515" s="36" t="s">
        <v>225</v>
      </c>
      <c r="D515" s="36"/>
      <c r="E515" s="36"/>
    </row>
    <row r="516" spans="1:5" ht="15" x14ac:dyDescent="0.25">
      <c r="A516" s="45"/>
      <c r="B516" s="99"/>
      <c r="C516" s="36" t="s">
        <v>226</v>
      </c>
      <c r="D516" s="36"/>
      <c r="E516" s="36"/>
    </row>
    <row r="517" spans="1:5" ht="15" x14ac:dyDescent="0.25">
      <c r="A517" s="45"/>
      <c r="B517" s="99"/>
      <c r="C517" s="36" t="s">
        <v>227</v>
      </c>
      <c r="D517" s="36"/>
      <c r="E517" s="36"/>
    </row>
    <row r="518" spans="1:5" ht="15" x14ac:dyDescent="0.25">
      <c r="A518" s="97"/>
      <c r="B518" s="49" t="s">
        <v>19</v>
      </c>
      <c r="C518" s="38" t="s">
        <v>581</v>
      </c>
      <c r="D518" s="49" t="s">
        <v>19</v>
      </c>
      <c r="E518" s="38"/>
    </row>
    <row r="519" spans="1:5" ht="15" x14ac:dyDescent="0.25">
      <c r="A519" s="61"/>
      <c r="B519" s="50"/>
      <c r="C519" s="38" t="s">
        <v>582</v>
      </c>
      <c r="D519" s="38"/>
      <c r="E519" s="38"/>
    </row>
    <row r="520" spans="1:5" ht="15" x14ac:dyDescent="0.25">
      <c r="A520" s="61"/>
      <c r="B520" s="50"/>
      <c r="C520" s="38" t="s">
        <v>418</v>
      </c>
      <c r="D520" s="38"/>
      <c r="E520" s="38"/>
    </row>
    <row r="521" spans="1:5" ht="15" x14ac:dyDescent="0.25">
      <c r="A521" s="61"/>
      <c r="B521" s="50"/>
      <c r="C521" s="38" t="s">
        <v>419</v>
      </c>
      <c r="D521" s="38"/>
      <c r="E521" s="38"/>
    </row>
    <row r="522" spans="1:5" ht="15" x14ac:dyDescent="0.25">
      <c r="A522" s="61"/>
      <c r="B522" s="50"/>
      <c r="C522" s="38" t="s">
        <v>90</v>
      </c>
      <c r="D522" s="38"/>
      <c r="E522" s="38"/>
    </row>
    <row r="523" spans="1:5" ht="15" x14ac:dyDescent="0.25">
      <c r="A523" s="61"/>
      <c r="B523" s="50"/>
      <c r="C523" s="38" t="s">
        <v>79</v>
      </c>
      <c r="D523" s="38"/>
      <c r="E523" s="38"/>
    </row>
    <row r="524" spans="1:5" ht="15" x14ac:dyDescent="0.25">
      <c r="A524" s="61"/>
      <c r="B524" s="50"/>
      <c r="C524" s="38" t="s">
        <v>107</v>
      </c>
      <c r="D524" s="38"/>
      <c r="E524" s="38"/>
    </row>
    <row r="525" spans="1:5" ht="15" x14ac:dyDescent="0.25">
      <c r="A525" s="61"/>
      <c r="B525" s="50"/>
      <c r="C525" s="38" t="s">
        <v>583</v>
      </c>
      <c r="D525" s="38"/>
      <c r="E525" s="38"/>
    </row>
    <row r="526" spans="1:5" ht="15" x14ac:dyDescent="0.25">
      <c r="A526" s="61"/>
      <c r="B526" s="50"/>
      <c r="C526" s="38" t="s">
        <v>452</v>
      </c>
      <c r="D526" s="38"/>
      <c r="E526" s="38"/>
    </row>
    <row r="527" spans="1:5" ht="15" x14ac:dyDescent="0.25">
      <c r="A527" s="61"/>
      <c r="B527" s="50"/>
      <c r="C527" s="38" t="s">
        <v>97</v>
      </c>
      <c r="D527" s="38"/>
      <c r="E527" s="38"/>
    </row>
    <row r="528" spans="1:5" ht="15" x14ac:dyDescent="0.25">
      <c r="A528" s="7"/>
      <c r="B528" s="50"/>
      <c r="C528" s="38" t="s">
        <v>416</v>
      </c>
      <c r="D528" s="38"/>
      <c r="E528" s="38"/>
    </row>
    <row r="529" spans="1:5" ht="15" x14ac:dyDescent="0.25">
      <c r="A529" s="61"/>
      <c r="B529" s="50"/>
      <c r="C529" s="38" t="s">
        <v>601</v>
      </c>
      <c r="D529" s="38"/>
      <c r="E529" s="38" t="s">
        <v>879</v>
      </c>
    </row>
    <row r="530" spans="1:5" ht="15" x14ac:dyDescent="0.25">
      <c r="A530" s="61"/>
      <c r="B530" s="50"/>
      <c r="C530" s="38" t="s">
        <v>602</v>
      </c>
      <c r="D530" s="38"/>
      <c r="E530" s="38" t="s">
        <v>879</v>
      </c>
    </row>
    <row r="531" spans="1:5" ht="15" x14ac:dyDescent="0.25">
      <c r="A531" s="61"/>
      <c r="B531" s="50"/>
      <c r="C531" s="38" t="s">
        <v>603</v>
      </c>
      <c r="D531" s="38"/>
      <c r="E531" s="38" t="s">
        <v>879</v>
      </c>
    </row>
    <row r="532" spans="1:5" ht="15" x14ac:dyDescent="0.25">
      <c r="A532" s="61"/>
      <c r="B532" s="50"/>
      <c r="C532" s="38" t="s">
        <v>57</v>
      </c>
      <c r="D532" s="38"/>
      <c r="E532" s="38"/>
    </row>
    <row r="533" spans="1:5" ht="15" x14ac:dyDescent="0.25">
      <c r="A533" s="61"/>
      <c r="B533" s="50"/>
      <c r="C533" s="38" t="s">
        <v>102</v>
      </c>
      <c r="D533" s="38"/>
      <c r="E533" s="38"/>
    </row>
    <row r="534" spans="1:5" ht="15" x14ac:dyDescent="0.25">
      <c r="A534" s="61"/>
      <c r="B534" s="50"/>
      <c r="C534" s="38" t="s">
        <v>44</v>
      </c>
      <c r="D534" s="38"/>
      <c r="E534" s="38"/>
    </row>
    <row r="535" spans="1:5" ht="15" x14ac:dyDescent="0.25">
      <c r="A535" s="61"/>
      <c r="B535" s="50"/>
      <c r="C535" s="38" t="s">
        <v>417</v>
      </c>
      <c r="D535" s="38"/>
      <c r="E535" s="38"/>
    </row>
    <row r="536" spans="1:5" ht="15" x14ac:dyDescent="0.25">
      <c r="A536" s="61"/>
      <c r="B536" s="50"/>
      <c r="C536" s="38" t="s">
        <v>723</v>
      </c>
      <c r="D536" s="38"/>
      <c r="E536" s="38"/>
    </row>
    <row r="537" spans="1:5" ht="15" x14ac:dyDescent="0.25">
      <c r="A537" s="61"/>
      <c r="B537" s="50"/>
      <c r="C537" s="38" t="s">
        <v>85</v>
      </c>
      <c r="D537" s="38"/>
      <c r="E537" s="38"/>
    </row>
    <row r="538" spans="1:5" ht="15" x14ac:dyDescent="0.25">
      <c r="A538" s="61"/>
      <c r="B538" s="50"/>
      <c r="C538" s="38" t="s">
        <v>660</v>
      </c>
      <c r="D538" s="38"/>
      <c r="E538" s="38"/>
    </row>
    <row r="539" spans="1:5" ht="15" x14ac:dyDescent="0.25">
      <c r="A539" s="61"/>
      <c r="B539" s="50"/>
      <c r="C539" s="38" t="s">
        <v>722</v>
      </c>
      <c r="D539" s="38"/>
      <c r="E539" s="38"/>
    </row>
    <row r="540" spans="1:5" ht="15" x14ac:dyDescent="0.25">
      <c r="A540" s="61"/>
      <c r="B540" s="50"/>
      <c r="C540" s="38" t="s">
        <v>161</v>
      </c>
      <c r="D540" s="38"/>
      <c r="E540" s="38"/>
    </row>
    <row r="541" spans="1:5" ht="15" x14ac:dyDescent="0.25">
      <c r="A541" s="61"/>
      <c r="B541" s="50"/>
      <c r="C541" s="38" t="s">
        <v>101</v>
      </c>
      <c r="D541" s="39"/>
      <c r="E541" s="39"/>
    </row>
    <row r="542" spans="1:5" ht="15" x14ac:dyDescent="0.25">
      <c r="A542" s="67"/>
      <c r="B542" s="40" t="s">
        <v>809</v>
      </c>
      <c r="C542" s="36" t="s">
        <v>54</v>
      </c>
      <c r="D542" s="36" t="s">
        <v>1165</v>
      </c>
      <c r="E542" s="36"/>
    </row>
    <row r="543" spans="1:5" ht="15" x14ac:dyDescent="0.25">
      <c r="A543" s="68"/>
      <c r="B543" s="98"/>
      <c r="C543" s="36" t="s">
        <v>61</v>
      </c>
      <c r="D543" s="36"/>
      <c r="E543" s="36"/>
    </row>
    <row r="544" spans="1:5" ht="15" x14ac:dyDescent="0.25">
      <c r="A544" s="61"/>
      <c r="B544" s="49" t="s">
        <v>411</v>
      </c>
      <c r="C544" s="38" t="s">
        <v>435</v>
      </c>
      <c r="D544" s="49" t="s">
        <v>411</v>
      </c>
      <c r="E544" s="38"/>
    </row>
    <row r="545" spans="1:5" ht="15" x14ac:dyDescent="0.25">
      <c r="A545" s="61"/>
      <c r="B545" s="50"/>
      <c r="C545" s="38" t="s">
        <v>430</v>
      </c>
      <c r="D545" s="38"/>
      <c r="E545" s="38"/>
    </row>
    <row r="546" spans="1:5" ht="15" x14ac:dyDescent="0.25">
      <c r="A546" s="61"/>
      <c r="B546" s="50"/>
      <c r="C546" s="38" t="s">
        <v>414</v>
      </c>
      <c r="D546" s="38"/>
      <c r="E546" s="38"/>
    </row>
    <row r="547" spans="1:5" ht="15" x14ac:dyDescent="0.25">
      <c r="A547" s="61"/>
      <c r="B547" s="50"/>
      <c r="C547" s="38" t="s">
        <v>413</v>
      </c>
      <c r="D547" s="38"/>
      <c r="E547" s="38"/>
    </row>
    <row r="548" spans="1:5" ht="15" x14ac:dyDescent="0.25">
      <c r="A548" s="61"/>
      <c r="B548" s="50"/>
      <c r="C548" s="38" t="s">
        <v>415</v>
      </c>
      <c r="D548" s="38"/>
      <c r="E548" s="38"/>
    </row>
    <row r="549" spans="1:5" ht="15" x14ac:dyDescent="0.25">
      <c r="A549" s="67"/>
      <c r="B549" s="40" t="s">
        <v>657</v>
      </c>
      <c r="C549" s="36" t="s">
        <v>54</v>
      </c>
      <c r="D549" s="36" t="s">
        <v>1165</v>
      </c>
      <c r="E549" s="36"/>
    </row>
    <row r="550" spans="1:5" ht="15" x14ac:dyDescent="0.25">
      <c r="A550" s="68"/>
      <c r="B550" s="98"/>
      <c r="C550" s="36" t="s">
        <v>61</v>
      </c>
      <c r="D550" s="36"/>
      <c r="E550" s="36"/>
    </row>
    <row r="551" spans="1:5" ht="15" x14ac:dyDescent="0.25">
      <c r="A551" s="46"/>
      <c r="B551" s="49" t="s">
        <v>875</v>
      </c>
      <c r="C551" s="38" t="s">
        <v>786</v>
      </c>
      <c r="D551" s="49" t="s">
        <v>1176</v>
      </c>
      <c r="E551" s="38"/>
    </row>
    <row r="552" spans="1:5" ht="15" x14ac:dyDescent="0.25">
      <c r="A552" s="47"/>
      <c r="B552" s="47"/>
      <c r="C552" s="116" t="s">
        <v>1177</v>
      </c>
      <c r="D552" s="38"/>
      <c r="E552" s="38"/>
    </row>
    <row r="553" spans="1:5" ht="15" x14ac:dyDescent="0.25">
      <c r="A553" s="47"/>
      <c r="B553" s="47"/>
      <c r="C553" s="38" t="s">
        <v>1178</v>
      </c>
      <c r="D553" s="38"/>
      <c r="E553" s="38"/>
    </row>
    <row r="554" spans="1:5" ht="15" x14ac:dyDescent="0.25">
      <c r="A554" s="47"/>
      <c r="B554" s="47"/>
      <c r="C554" s="38" t="s">
        <v>1179</v>
      </c>
      <c r="D554" s="38"/>
      <c r="E554" s="38"/>
    </row>
    <row r="555" spans="1:5" ht="15" x14ac:dyDescent="0.25">
      <c r="A555" s="47"/>
      <c r="B555" s="47"/>
      <c r="C555" s="38" t="s">
        <v>1180</v>
      </c>
      <c r="D555" s="38"/>
      <c r="E555" s="38"/>
    </row>
    <row r="556" spans="1:5" ht="15" x14ac:dyDescent="0.25">
      <c r="A556" s="47"/>
      <c r="B556" s="47"/>
      <c r="C556" s="38" t="s">
        <v>1181</v>
      </c>
      <c r="D556" s="38"/>
      <c r="E556" s="38"/>
    </row>
    <row r="557" spans="1:5" ht="15" x14ac:dyDescent="0.25">
      <c r="A557" s="47"/>
      <c r="B557" s="47"/>
      <c r="C557" s="38" t="s">
        <v>1182</v>
      </c>
      <c r="D557" s="38"/>
      <c r="E557" s="38"/>
    </row>
    <row r="558" spans="1:5" ht="15" x14ac:dyDescent="0.25">
      <c r="A558" s="47"/>
      <c r="B558" s="47"/>
      <c r="C558" s="38" t="s">
        <v>787</v>
      </c>
      <c r="D558" s="38"/>
      <c r="E558" s="38"/>
    </row>
    <row r="559" spans="1:5" ht="15" x14ac:dyDescent="0.25">
      <c r="A559" s="47"/>
      <c r="B559" s="47"/>
      <c r="C559" s="38" t="s">
        <v>788</v>
      </c>
      <c r="D559" s="38"/>
      <c r="E559" s="38"/>
    </row>
    <row r="560" spans="1:5" ht="15" x14ac:dyDescent="0.25">
      <c r="A560" s="47"/>
      <c r="B560" s="47"/>
      <c r="C560" s="38" t="s">
        <v>789</v>
      </c>
      <c r="D560" s="38"/>
      <c r="E560" s="38"/>
    </row>
    <row r="561" spans="1:5" ht="15" x14ac:dyDescent="0.25">
      <c r="A561" s="47"/>
      <c r="B561" s="47"/>
      <c r="C561" s="38" t="s">
        <v>1183</v>
      </c>
      <c r="D561" s="38"/>
      <c r="E561" s="38"/>
    </row>
    <row r="562" spans="1:5" ht="15" x14ac:dyDescent="0.25">
      <c r="A562" s="47"/>
      <c r="B562" s="47"/>
      <c r="C562" s="38" t="s">
        <v>790</v>
      </c>
      <c r="D562" s="38"/>
      <c r="E562" s="38"/>
    </row>
    <row r="563" spans="1:5" ht="15" x14ac:dyDescent="0.25">
      <c r="A563" s="47"/>
      <c r="B563" s="47"/>
      <c r="C563" s="38" t="s">
        <v>791</v>
      </c>
      <c r="D563" s="38"/>
      <c r="E563" s="38"/>
    </row>
    <row r="564" spans="1:5" ht="15" x14ac:dyDescent="0.25">
      <c r="A564" s="47"/>
      <c r="B564" s="47"/>
      <c r="C564" s="38" t="s">
        <v>792</v>
      </c>
      <c r="D564" s="38"/>
      <c r="E564" s="38"/>
    </row>
    <row r="565" spans="1:5" ht="15" x14ac:dyDescent="0.25">
      <c r="A565" s="47"/>
      <c r="B565" s="47"/>
      <c r="C565" s="38" t="s">
        <v>793</v>
      </c>
      <c r="D565" s="38"/>
      <c r="E565" s="38"/>
    </row>
    <row r="566" spans="1:5" ht="15" x14ac:dyDescent="0.25">
      <c r="A566" s="47"/>
      <c r="B566" s="47"/>
      <c r="C566" s="38" t="s">
        <v>794</v>
      </c>
      <c r="D566" s="38"/>
      <c r="E566" s="38"/>
    </row>
    <row r="567" spans="1:5" ht="15" x14ac:dyDescent="0.25">
      <c r="A567" s="47"/>
      <c r="B567" s="47"/>
      <c r="C567" s="38" t="s">
        <v>795</v>
      </c>
      <c r="D567" s="38"/>
      <c r="E567" s="38"/>
    </row>
    <row r="568" spans="1:5" ht="15" x14ac:dyDescent="0.25">
      <c r="A568" s="47"/>
      <c r="B568" s="47"/>
      <c r="C568" s="38" t="s">
        <v>796</v>
      </c>
      <c r="D568" s="38"/>
      <c r="E568" s="38"/>
    </row>
    <row r="569" spans="1:5" ht="15" x14ac:dyDescent="0.25">
      <c r="A569" s="47"/>
      <c r="B569" s="47"/>
      <c r="C569" s="38" t="s">
        <v>797</v>
      </c>
      <c r="D569" s="38"/>
      <c r="E569" s="38"/>
    </row>
    <row r="570" spans="1:5" ht="15" x14ac:dyDescent="0.25">
      <c r="A570" s="47"/>
      <c r="B570" s="47"/>
      <c r="C570" s="38" t="s">
        <v>798</v>
      </c>
      <c r="D570" s="38"/>
      <c r="E570" s="38"/>
    </row>
    <row r="571" spans="1:5" ht="15" x14ac:dyDescent="0.25">
      <c r="A571" s="47"/>
      <c r="B571" s="47"/>
      <c r="C571" s="38" t="s">
        <v>799</v>
      </c>
      <c r="D571" s="38"/>
      <c r="E571" s="38"/>
    </row>
    <row r="572" spans="1:5" ht="15" x14ac:dyDescent="0.25">
      <c r="A572" s="47"/>
      <c r="B572" s="47"/>
      <c r="C572" s="38" t="s">
        <v>800</v>
      </c>
      <c r="D572" s="38"/>
      <c r="E572" s="38"/>
    </row>
    <row r="573" spans="1:5" ht="15" x14ac:dyDescent="0.25">
      <c r="A573" s="47"/>
      <c r="B573" s="47"/>
      <c r="C573" s="38" t="s">
        <v>801</v>
      </c>
      <c r="D573" s="38"/>
      <c r="E573" s="38"/>
    </row>
    <row r="574" spans="1:5" ht="15" x14ac:dyDescent="0.25">
      <c r="A574" s="47"/>
      <c r="B574" s="47"/>
      <c r="C574" s="38" t="s">
        <v>802</v>
      </c>
      <c r="D574" s="38"/>
      <c r="E574" s="38"/>
    </row>
    <row r="575" spans="1:5" ht="15" x14ac:dyDescent="0.25">
      <c r="A575" s="47"/>
      <c r="B575" s="47"/>
      <c r="C575" s="38" t="s">
        <v>803</v>
      </c>
      <c r="D575" s="38"/>
      <c r="E575" s="38"/>
    </row>
    <row r="576" spans="1:5" ht="15" x14ac:dyDescent="0.25">
      <c r="A576" s="47"/>
      <c r="B576" s="47"/>
      <c r="C576" s="38" t="s">
        <v>804</v>
      </c>
      <c r="D576" s="38"/>
      <c r="E576" s="38"/>
    </row>
    <row r="577" spans="1:6" ht="15" x14ac:dyDescent="0.25">
      <c r="A577" s="47"/>
      <c r="B577" s="47"/>
      <c r="C577" s="38" t="s">
        <v>805</v>
      </c>
      <c r="D577" s="38"/>
      <c r="E577" s="38"/>
    </row>
    <row r="578" spans="1:6" ht="15" x14ac:dyDescent="0.25">
      <c r="A578" s="47"/>
      <c r="B578" s="47"/>
      <c r="C578" s="38" t="s">
        <v>1133</v>
      </c>
      <c r="D578" s="38"/>
      <c r="E578" s="38"/>
      <c r="F578" t="s">
        <v>1131</v>
      </c>
    </row>
    <row r="579" spans="1:6" ht="15" x14ac:dyDescent="0.25">
      <c r="A579" s="47"/>
      <c r="B579" s="47"/>
      <c r="C579" s="38" t="s">
        <v>1134</v>
      </c>
      <c r="D579" s="38"/>
      <c r="E579" s="38"/>
      <c r="F579" t="s">
        <v>1131</v>
      </c>
    </row>
    <row r="580" spans="1:6" ht="15" x14ac:dyDescent="0.25">
      <c r="A580" s="47"/>
      <c r="B580" s="47"/>
      <c r="C580" s="38" t="s">
        <v>810</v>
      </c>
      <c r="D580" s="38"/>
      <c r="E580" s="38"/>
    </row>
    <row r="581" spans="1:6" ht="15" x14ac:dyDescent="0.25">
      <c r="A581" s="47"/>
      <c r="B581" s="47"/>
      <c r="C581" s="38" t="s">
        <v>811</v>
      </c>
      <c r="D581" s="38"/>
      <c r="E581" s="38"/>
    </row>
    <row r="582" spans="1:6" ht="15" x14ac:dyDescent="0.25">
      <c r="A582" s="47"/>
      <c r="B582" s="47"/>
      <c r="C582" s="38" t="s">
        <v>812</v>
      </c>
      <c r="D582" s="38"/>
      <c r="E582" s="38"/>
    </row>
    <row r="583" spans="1:6" ht="15" x14ac:dyDescent="0.25">
      <c r="A583" s="47"/>
      <c r="B583" s="47"/>
      <c r="C583" s="38" t="s">
        <v>813</v>
      </c>
      <c r="D583" s="38"/>
      <c r="E583" s="38"/>
    </row>
    <row r="584" spans="1:6" ht="15" x14ac:dyDescent="0.25">
      <c r="A584" s="47"/>
      <c r="B584" s="47"/>
      <c r="C584" s="38" t="s">
        <v>814</v>
      </c>
      <c r="D584" s="38"/>
      <c r="E584" s="38"/>
    </row>
    <row r="585" spans="1:6" ht="15" x14ac:dyDescent="0.25">
      <c r="A585" s="47"/>
      <c r="B585" s="47"/>
      <c r="C585" s="38" t="s">
        <v>806</v>
      </c>
      <c r="D585" s="38"/>
      <c r="E585" s="38"/>
    </row>
    <row r="586" spans="1:6" ht="15" x14ac:dyDescent="0.25">
      <c r="A586" s="47"/>
      <c r="B586" s="47"/>
      <c r="C586" s="38" t="s">
        <v>807</v>
      </c>
      <c r="D586" s="38"/>
      <c r="E586" s="38"/>
    </row>
    <row r="587" spans="1:6" ht="15" x14ac:dyDescent="0.25">
      <c r="A587" s="47"/>
      <c r="B587" s="47"/>
      <c r="C587" s="38" t="s">
        <v>808</v>
      </c>
      <c r="D587" s="38"/>
      <c r="E587" s="38"/>
    </row>
    <row r="588" spans="1:6" ht="15" x14ac:dyDescent="0.25">
      <c r="A588" s="47"/>
      <c r="B588" s="47"/>
      <c r="C588" s="38" t="s">
        <v>1217</v>
      </c>
      <c r="D588" s="38"/>
      <c r="E588" s="38"/>
    </row>
    <row r="589" spans="1:6" ht="15" x14ac:dyDescent="0.25">
      <c r="A589" s="48"/>
      <c r="B589" s="48"/>
      <c r="C589" s="38" t="s">
        <v>1191</v>
      </c>
      <c r="D589" s="38"/>
      <c r="E589" s="38"/>
    </row>
    <row r="590" spans="1:6" ht="15" x14ac:dyDescent="0.25">
      <c r="A590" s="45"/>
      <c r="B590" s="99" t="s">
        <v>431</v>
      </c>
      <c r="C590" s="36" t="s">
        <v>432</v>
      </c>
      <c r="D590" s="99" t="s">
        <v>431</v>
      </c>
      <c r="E590" s="36"/>
    </row>
    <row r="591" spans="1:6" ht="15" x14ac:dyDescent="0.25">
      <c r="A591" s="45"/>
      <c r="B591" s="99"/>
      <c r="C591" s="36" t="s">
        <v>433</v>
      </c>
      <c r="D591" s="36"/>
      <c r="E591" s="36"/>
    </row>
    <row r="592" spans="1:6" ht="15" x14ac:dyDescent="0.25">
      <c r="A592" s="45"/>
      <c r="B592" s="99"/>
      <c r="C592" s="36" t="s">
        <v>101</v>
      </c>
      <c r="D592" s="36"/>
      <c r="E592" s="36"/>
    </row>
    <row r="593" spans="1:5" ht="15" x14ac:dyDescent="0.25">
      <c r="A593" s="49"/>
      <c r="B593" s="55" t="s">
        <v>654</v>
      </c>
      <c r="C593" s="38" t="s">
        <v>54</v>
      </c>
      <c r="D593" s="38" t="s">
        <v>1165</v>
      </c>
      <c r="E593" s="38"/>
    </row>
    <row r="594" spans="1:5" ht="15" x14ac:dyDescent="0.25">
      <c r="A594" s="100"/>
      <c r="B594" s="102"/>
      <c r="C594" s="101" t="s">
        <v>61</v>
      </c>
      <c r="D594" s="101"/>
      <c r="E594" s="38"/>
    </row>
    <row r="595" spans="1:5" ht="15" x14ac:dyDescent="0.25">
      <c r="A595" s="94"/>
      <c r="B595" s="94" t="s">
        <v>282</v>
      </c>
      <c r="C595" s="36" t="s">
        <v>266</v>
      </c>
      <c r="D595" s="94" t="s">
        <v>282</v>
      </c>
      <c r="E595" s="36"/>
    </row>
    <row r="596" spans="1:5" ht="15" x14ac:dyDescent="0.25">
      <c r="A596" s="45"/>
      <c r="B596" s="45"/>
      <c r="C596" s="36" t="s">
        <v>436</v>
      </c>
      <c r="D596" s="36"/>
      <c r="E596" s="36"/>
    </row>
    <row r="597" spans="1:5" ht="15" x14ac:dyDescent="0.25">
      <c r="A597" s="45"/>
      <c r="B597" s="45"/>
      <c r="C597" s="36" t="s">
        <v>264</v>
      </c>
      <c r="D597" s="36"/>
      <c r="E597" s="36"/>
    </row>
    <row r="598" spans="1:5" ht="15" x14ac:dyDescent="0.25">
      <c r="A598" s="45"/>
      <c r="B598" s="45"/>
      <c r="C598" s="36" t="s">
        <v>265</v>
      </c>
      <c r="D598" s="36"/>
      <c r="E598" s="36"/>
    </row>
    <row r="599" spans="1:5" ht="15" x14ac:dyDescent="0.25">
      <c r="A599" s="45"/>
      <c r="B599" s="45"/>
      <c r="C599" s="36" t="s">
        <v>374</v>
      </c>
      <c r="D599" s="36"/>
      <c r="E599" s="36"/>
    </row>
    <row r="600" spans="1:5" ht="15" x14ac:dyDescent="0.25">
      <c r="A600" s="45"/>
      <c r="B600" s="45"/>
      <c r="C600" s="36" t="s">
        <v>375</v>
      </c>
      <c r="D600" s="36"/>
      <c r="E600" s="36"/>
    </row>
    <row r="601" spans="1:5" ht="15" x14ac:dyDescent="0.25">
      <c r="A601" s="45"/>
      <c r="B601" s="45"/>
      <c r="C601" s="36" t="s">
        <v>376</v>
      </c>
      <c r="D601" s="36"/>
      <c r="E601" s="36"/>
    </row>
    <row r="602" spans="1:5" ht="15" x14ac:dyDescent="0.25">
      <c r="A602" s="45"/>
      <c r="B602" s="45"/>
      <c r="C602" s="36" t="s">
        <v>377</v>
      </c>
      <c r="D602" s="36"/>
      <c r="E602" s="36"/>
    </row>
    <row r="603" spans="1:5" ht="15" x14ac:dyDescent="0.25">
      <c r="A603" s="45"/>
      <c r="B603" s="45"/>
      <c r="C603" s="36" t="s">
        <v>267</v>
      </c>
      <c r="D603" s="36"/>
      <c r="E603" s="36"/>
    </row>
    <row r="604" spans="1:5" ht="15" x14ac:dyDescent="0.25">
      <c r="A604" s="45"/>
      <c r="B604" s="45"/>
      <c r="C604" s="36" t="s">
        <v>378</v>
      </c>
      <c r="D604" s="36"/>
      <c r="E604" s="36"/>
    </row>
    <row r="605" spans="1:5" ht="15" x14ac:dyDescent="0.25">
      <c r="A605" s="45"/>
      <c r="B605" s="45"/>
      <c r="C605" s="36" t="s">
        <v>379</v>
      </c>
      <c r="D605" s="36"/>
      <c r="E605" s="36"/>
    </row>
    <row r="606" spans="1:5" ht="15" x14ac:dyDescent="0.25">
      <c r="A606" s="45"/>
      <c r="B606" s="45"/>
      <c r="C606" s="36" t="s">
        <v>380</v>
      </c>
      <c r="D606" s="36"/>
      <c r="E606" s="36"/>
    </row>
    <row r="607" spans="1:5" ht="15" x14ac:dyDescent="0.25">
      <c r="A607" s="45"/>
      <c r="B607" s="45"/>
      <c r="C607" s="36" t="s">
        <v>381</v>
      </c>
      <c r="D607" s="36"/>
      <c r="E607" s="36"/>
    </row>
    <row r="608" spans="1:5" ht="15" x14ac:dyDescent="0.25">
      <c r="A608" s="45"/>
      <c r="B608" s="45"/>
      <c r="C608" s="36" t="s">
        <v>382</v>
      </c>
      <c r="D608" s="36"/>
      <c r="E608" s="36"/>
    </row>
    <row r="609" spans="1:5" ht="15" x14ac:dyDescent="0.25">
      <c r="A609" s="45"/>
      <c r="B609" s="45"/>
      <c r="C609" s="36" t="s">
        <v>268</v>
      </c>
      <c r="D609" s="36"/>
      <c r="E609" s="36"/>
    </row>
    <row r="610" spans="1:5" ht="15" x14ac:dyDescent="0.25">
      <c r="A610" s="45"/>
      <c r="B610" s="45"/>
      <c r="C610" s="36" t="s">
        <v>383</v>
      </c>
      <c r="D610" s="36"/>
      <c r="E610" s="36"/>
    </row>
    <row r="611" spans="1:5" ht="15" x14ac:dyDescent="0.25">
      <c r="A611" s="45"/>
      <c r="B611" s="45"/>
      <c r="C611" s="36" t="s">
        <v>269</v>
      </c>
      <c r="D611" s="36"/>
      <c r="E611" s="36"/>
    </row>
    <row r="612" spans="1:5" ht="15" x14ac:dyDescent="0.25">
      <c r="A612" s="45"/>
      <c r="B612" s="45"/>
      <c r="C612" s="36" t="s">
        <v>270</v>
      </c>
      <c r="D612" s="36"/>
      <c r="E612" s="36"/>
    </row>
    <row r="613" spans="1:5" ht="15" x14ac:dyDescent="0.25">
      <c r="A613" s="45"/>
      <c r="B613" s="45"/>
      <c r="C613" s="36" t="s">
        <v>384</v>
      </c>
      <c r="D613" s="36"/>
      <c r="E613" s="36"/>
    </row>
    <row r="614" spans="1:5" ht="15" x14ac:dyDescent="0.25">
      <c r="A614" s="45"/>
      <c r="B614" s="45"/>
      <c r="C614" s="36" t="s">
        <v>385</v>
      </c>
      <c r="D614" s="36"/>
      <c r="E614" s="36"/>
    </row>
    <row r="615" spans="1:5" ht="15" x14ac:dyDescent="0.25">
      <c r="A615" s="45"/>
      <c r="B615" s="45"/>
      <c r="C615" s="36" t="s">
        <v>386</v>
      </c>
      <c r="D615" s="36"/>
      <c r="E615" s="36"/>
    </row>
    <row r="616" spans="1:5" ht="15" x14ac:dyDescent="0.25">
      <c r="A616" s="45"/>
      <c r="B616" s="45"/>
      <c r="C616" s="36" t="s">
        <v>271</v>
      </c>
      <c r="D616" s="36"/>
      <c r="E616" s="36"/>
    </row>
    <row r="617" spans="1:5" ht="15" x14ac:dyDescent="0.25">
      <c r="A617" s="45"/>
      <c r="B617" s="45"/>
      <c r="C617" s="36" t="s">
        <v>272</v>
      </c>
      <c r="D617" s="36"/>
      <c r="E617" s="36"/>
    </row>
    <row r="618" spans="1:5" ht="15" x14ac:dyDescent="0.25">
      <c r="A618" s="45"/>
      <c r="B618" s="45"/>
      <c r="C618" s="36" t="s">
        <v>1202</v>
      </c>
      <c r="D618" s="36"/>
      <c r="E618" s="36"/>
    </row>
    <row r="619" spans="1:5" ht="15" x14ac:dyDescent="0.25">
      <c r="A619" s="45"/>
      <c r="B619" s="45"/>
      <c r="C619" s="36" t="s">
        <v>1203</v>
      </c>
      <c r="D619" s="36"/>
      <c r="E619" s="36"/>
    </row>
    <row r="620" spans="1:5" ht="15" x14ac:dyDescent="0.25">
      <c r="A620" s="45"/>
      <c r="B620" s="45"/>
      <c r="C620" s="36" t="s">
        <v>1204</v>
      </c>
      <c r="D620" s="36"/>
      <c r="E620" s="36"/>
    </row>
    <row r="621" spans="1:5" ht="15" x14ac:dyDescent="0.25">
      <c r="A621" s="45"/>
      <c r="B621" s="45"/>
      <c r="C621" s="36" t="s">
        <v>1205</v>
      </c>
      <c r="D621" s="36"/>
      <c r="E621" s="36"/>
    </row>
    <row r="622" spans="1:5" ht="15" x14ac:dyDescent="0.25">
      <c r="A622" s="45"/>
      <c r="B622" s="45"/>
      <c r="C622" s="36" t="s">
        <v>1206</v>
      </c>
      <c r="D622" s="36"/>
      <c r="E622" s="36"/>
    </row>
    <row r="623" spans="1:5" ht="15" x14ac:dyDescent="0.25">
      <c r="A623" s="45"/>
      <c r="B623" s="45"/>
      <c r="C623" s="36" t="s">
        <v>1207</v>
      </c>
      <c r="D623" s="36"/>
      <c r="E623" s="36"/>
    </row>
    <row r="624" spans="1:5" ht="15" x14ac:dyDescent="0.25">
      <c r="A624" s="45"/>
      <c r="B624" s="45"/>
      <c r="C624" s="36" t="s">
        <v>128</v>
      </c>
      <c r="D624" s="36"/>
      <c r="E624" s="36"/>
    </row>
    <row r="625" spans="1:6" ht="15" x14ac:dyDescent="0.25">
      <c r="A625" s="45"/>
      <c r="B625" s="45"/>
      <c r="C625" s="36" t="s">
        <v>1096</v>
      </c>
      <c r="D625" s="36"/>
      <c r="E625" s="36"/>
      <c r="F625" t="s">
        <v>1131</v>
      </c>
    </row>
    <row r="626" spans="1:6" ht="15" x14ac:dyDescent="0.25">
      <c r="A626" s="49"/>
      <c r="B626" s="49" t="s">
        <v>23</v>
      </c>
      <c r="C626" s="38" t="s">
        <v>437</v>
      </c>
      <c r="D626" s="49" t="s">
        <v>23</v>
      </c>
      <c r="E626" s="38"/>
    </row>
    <row r="627" spans="1:6" ht="15" x14ac:dyDescent="0.25">
      <c r="A627" s="50"/>
      <c r="B627" s="50"/>
      <c r="C627" s="38" t="s">
        <v>111</v>
      </c>
      <c r="D627" s="38"/>
      <c r="E627" s="38"/>
    </row>
    <row r="628" spans="1:6" ht="15" x14ac:dyDescent="0.25">
      <c r="A628" s="50"/>
      <c r="B628" s="50"/>
      <c r="C628" s="38" t="s">
        <v>104</v>
      </c>
      <c r="D628" s="38"/>
      <c r="E628" s="38"/>
    </row>
    <row r="629" spans="1:6" ht="15" x14ac:dyDescent="0.25">
      <c r="A629" s="50"/>
      <c r="B629" s="50"/>
      <c r="C629" s="38" t="s">
        <v>86</v>
      </c>
      <c r="D629" s="38"/>
      <c r="E629" s="38"/>
    </row>
    <row r="630" spans="1:6" ht="15" x14ac:dyDescent="0.25">
      <c r="A630" s="50"/>
      <c r="B630" s="50"/>
      <c r="C630" s="38" t="s">
        <v>1114</v>
      </c>
      <c r="D630" s="38"/>
      <c r="E630" s="38"/>
      <c r="F630" t="s">
        <v>1131</v>
      </c>
    </row>
    <row r="631" spans="1:6" ht="15" x14ac:dyDescent="0.25">
      <c r="A631" s="50"/>
      <c r="B631" s="50"/>
      <c r="C631" s="38" t="s">
        <v>59</v>
      </c>
      <c r="D631" s="38"/>
      <c r="E631" s="38"/>
    </row>
    <row r="632" spans="1:6" ht="15" x14ac:dyDescent="0.25">
      <c r="A632" s="50"/>
      <c r="B632" s="50"/>
      <c r="C632" s="38" t="s">
        <v>92</v>
      </c>
      <c r="D632" s="38"/>
      <c r="E632" s="38"/>
    </row>
    <row r="633" spans="1:6" ht="15" x14ac:dyDescent="0.25">
      <c r="A633" s="50"/>
      <c r="B633" s="50"/>
      <c r="C633" s="38" t="s">
        <v>74</v>
      </c>
      <c r="D633" s="38"/>
      <c r="E633" s="38"/>
    </row>
    <row r="634" spans="1:6" ht="15" x14ac:dyDescent="0.25">
      <c r="A634" s="50"/>
      <c r="B634" s="50"/>
      <c r="C634" s="38" t="s">
        <v>67</v>
      </c>
      <c r="D634" s="38"/>
      <c r="E634" s="38"/>
    </row>
    <row r="635" spans="1:6" ht="15" x14ac:dyDescent="0.25">
      <c r="A635" s="50"/>
      <c r="B635" s="50"/>
      <c r="C635" s="38" t="s">
        <v>81</v>
      </c>
      <c r="D635" s="38"/>
      <c r="E635" s="38"/>
    </row>
    <row r="636" spans="1:6" ht="15" x14ac:dyDescent="0.25">
      <c r="A636" s="50"/>
      <c r="B636" s="50"/>
      <c r="C636" s="38" t="s">
        <v>388</v>
      </c>
      <c r="D636" s="38"/>
      <c r="E636" s="38"/>
    </row>
    <row r="637" spans="1:6" ht="15" x14ac:dyDescent="0.25">
      <c r="A637" s="51"/>
      <c r="B637" s="51"/>
      <c r="C637" s="38" t="s">
        <v>101</v>
      </c>
      <c r="D637" s="38"/>
      <c r="E637" s="38"/>
    </row>
    <row r="638" spans="1:6" ht="15" x14ac:dyDescent="0.25">
      <c r="A638" s="45"/>
      <c r="B638" s="99" t="s">
        <v>279</v>
      </c>
      <c r="C638" s="36" t="s">
        <v>587</v>
      </c>
      <c r="D638" s="99" t="s">
        <v>279</v>
      </c>
      <c r="E638" s="36" t="s">
        <v>1113</v>
      </c>
    </row>
    <row r="639" spans="1:6" ht="15" x14ac:dyDescent="0.25">
      <c r="A639" s="45"/>
      <c r="B639" s="99"/>
      <c r="C639" s="36" t="s">
        <v>286</v>
      </c>
      <c r="D639" s="36"/>
      <c r="E639" s="36" t="s">
        <v>328</v>
      </c>
    </row>
    <row r="640" spans="1:6" ht="15" x14ac:dyDescent="0.25">
      <c r="A640" s="45"/>
      <c r="B640" s="99"/>
      <c r="C640" s="36" t="s">
        <v>287</v>
      </c>
      <c r="D640" s="36"/>
      <c r="E640" s="36" t="s">
        <v>329</v>
      </c>
    </row>
    <row r="641" spans="1:5" ht="15" x14ac:dyDescent="0.25">
      <c r="A641" s="45"/>
      <c r="B641" s="99"/>
      <c r="C641" s="36" t="s">
        <v>288</v>
      </c>
      <c r="D641" s="36"/>
      <c r="E641" s="36" t="s">
        <v>330</v>
      </c>
    </row>
    <row r="642" spans="1:5" ht="15" x14ac:dyDescent="0.25">
      <c r="A642" s="45"/>
      <c r="B642" s="99"/>
      <c r="C642" s="36" t="s">
        <v>277</v>
      </c>
      <c r="D642" s="36"/>
      <c r="E642" s="36" t="s">
        <v>284</v>
      </c>
    </row>
    <row r="643" spans="1:5" ht="15" x14ac:dyDescent="0.25">
      <c r="A643" s="45"/>
      <c r="B643" s="99"/>
      <c r="C643" s="36" t="s">
        <v>278</v>
      </c>
      <c r="D643" s="36"/>
      <c r="E643" s="36" t="s">
        <v>285</v>
      </c>
    </row>
    <row r="644" spans="1:5" ht="15" x14ac:dyDescent="0.25">
      <c r="A644" s="45"/>
      <c r="B644" s="99"/>
      <c r="C644" s="36" t="s">
        <v>588</v>
      </c>
      <c r="D644" s="36"/>
      <c r="E644" s="36" t="s">
        <v>589</v>
      </c>
    </row>
    <row r="645" spans="1:5" ht="15" x14ac:dyDescent="0.25">
      <c r="A645" s="45"/>
      <c r="B645" s="99"/>
      <c r="C645" s="36" t="s">
        <v>280</v>
      </c>
      <c r="D645" s="36"/>
      <c r="E645" s="36" t="s">
        <v>280</v>
      </c>
    </row>
    <row r="646" spans="1:5" ht="15" x14ac:dyDescent="0.25">
      <c r="A646" s="45"/>
      <c r="B646" s="99"/>
      <c r="C646" s="36" t="s">
        <v>101</v>
      </c>
      <c r="D646" s="36"/>
      <c r="E646" s="36"/>
    </row>
    <row r="647" spans="1:5" ht="15" x14ac:dyDescent="0.25">
      <c r="A647" s="52"/>
      <c r="B647" s="52" t="s">
        <v>1101</v>
      </c>
      <c r="C647" s="38" t="s">
        <v>438</v>
      </c>
      <c r="D647" s="52" t="s">
        <v>1101</v>
      </c>
      <c r="E647" s="38" t="s">
        <v>439</v>
      </c>
    </row>
    <row r="648" spans="1:5" ht="15" x14ac:dyDescent="0.25">
      <c r="A648" s="53"/>
      <c r="B648" s="53"/>
      <c r="C648" s="38" t="s">
        <v>1192</v>
      </c>
      <c r="D648" s="38"/>
      <c r="E648" s="38" t="s">
        <v>440</v>
      </c>
    </row>
    <row r="649" spans="1:5" ht="15" x14ac:dyDescent="0.25">
      <c r="A649" s="53"/>
      <c r="B649" s="53"/>
      <c r="C649" s="38" t="s">
        <v>1193</v>
      </c>
      <c r="D649" s="38"/>
      <c r="E649" s="38" t="s">
        <v>441</v>
      </c>
    </row>
    <row r="650" spans="1:5" ht="15" x14ac:dyDescent="0.25">
      <c r="A650" s="53"/>
      <c r="B650" s="53"/>
      <c r="C650" s="38" t="s">
        <v>443</v>
      </c>
      <c r="D650" s="38"/>
      <c r="E650" s="38" t="s">
        <v>442</v>
      </c>
    </row>
    <row r="651" spans="1:5" ht="15" x14ac:dyDescent="0.25">
      <c r="A651" s="53"/>
      <c r="B651" s="53"/>
      <c r="C651" s="38" t="s">
        <v>898</v>
      </c>
      <c r="D651" s="38"/>
      <c r="E651" s="38"/>
    </row>
    <row r="652" spans="1:5" ht="15" x14ac:dyDescent="0.25">
      <c r="A652" s="54"/>
      <c r="B652" s="54"/>
      <c r="C652" s="38" t="s">
        <v>101</v>
      </c>
      <c r="D652" s="38"/>
      <c r="E652" s="38"/>
    </row>
    <row r="653" spans="1:5" ht="15" x14ac:dyDescent="0.25">
      <c r="A653" s="45"/>
      <c r="B653" s="99" t="s">
        <v>876</v>
      </c>
      <c r="C653" s="36" t="s">
        <v>294</v>
      </c>
      <c r="D653" s="99" t="s">
        <v>876</v>
      </c>
      <c r="E653" s="36"/>
    </row>
    <row r="654" spans="1:5" ht="15" x14ac:dyDescent="0.25">
      <c r="A654" s="45"/>
      <c r="B654" s="99"/>
      <c r="C654" s="36" t="s">
        <v>295</v>
      </c>
      <c r="D654" s="36"/>
      <c r="E654" s="36"/>
    </row>
    <row r="655" spans="1:5" ht="15" x14ac:dyDescent="0.25">
      <c r="A655" s="45"/>
      <c r="B655" s="99"/>
      <c r="C655" s="36" t="s">
        <v>749</v>
      </c>
      <c r="D655" s="36"/>
      <c r="E655" s="36"/>
    </row>
    <row r="656" spans="1:5" ht="15" x14ac:dyDescent="0.25">
      <c r="A656" s="45"/>
      <c r="B656" s="99"/>
      <c r="C656" s="36" t="s">
        <v>293</v>
      </c>
      <c r="D656" s="36"/>
      <c r="E656" s="36"/>
    </row>
    <row r="657" spans="1:5" ht="15" x14ac:dyDescent="0.25">
      <c r="A657" s="45"/>
      <c r="B657" s="99"/>
      <c r="C657" s="36" t="s">
        <v>101</v>
      </c>
      <c r="D657" s="36"/>
      <c r="E657" s="36"/>
    </row>
    <row r="658" spans="1:5" ht="15" x14ac:dyDescent="0.25">
      <c r="A658" s="52"/>
      <c r="B658" s="52" t="s">
        <v>363</v>
      </c>
      <c r="C658" s="38" t="s">
        <v>296</v>
      </c>
      <c r="D658" s="52" t="s">
        <v>363</v>
      </c>
      <c r="E658" s="38"/>
    </row>
    <row r="659" spans="1:5" ht="15" x14ac:dyDescent="0.25">
      <c r="A659" s="53"/>
      <c r="B659" s="53"/>
      <c r="C659" s="38" t="s">
        <v>297</v>
      </c>
      <c r="D659" s="38"/>
      <c r="E659" s="38"/>
    </row>
    <row r="660" spans="1:5" ht="15" x14ac:dyDescent="0.25">
      <c r="A660" s="45"/>
      <c r="B660" s="99" t="s">
        <v>25</v>
      </c>
      <c r="C660" s="36" t="s">
        <v>16</v>
      </c>
      <c r="D660" s="99" t="s">
        <v>25</v>
      </c>
      <c r="E660" s="36"/>
    </row>
    <row r="661" spans="1:5" ht="15" x14ac:dyDescent="0.25">
      <c r="A661" s="45"/>
      <c r="B661" s="99"/>
      <c r="C661" s="36" t="s">
        <v>26</v>
      </c>
      <c r="D661" s="36"/>
      <c r="E661" s="36"/>
    </row>
    <row r="662" spans="1:5" ht="15" x14ac:dyDescent="0.25">
      <c r="A662" s="52"/>
      <c r="B662" s="52" t="s">
        <v>599</v>
      </c>
      <c r="C662" s="38" t="s">
        <v>347</v>
      </c>
      <c r="D662" s="38" t="s">
        <v>1168</v>
      </c>
      <c r="E662" s="38"/>
    </row>
    <row r="663" spans="1:5" ht="15" x14ac:dyDescent="0.25">
      <c r="A663" s="53"/>
      <c r="B663" s="53"/>
      <c r="C663" s="38" t="s">
        <v>348</v>
      </c>
      <c r="D663" s="38"/>
      <c r="E663" s="38"/>
    </row>
    <row r="664" spans="1:5" ht="15" x14ac:dyDescent="0.25">
      <c r="A664" s="53"/>
      <c r="B664" s="53"/>
      <c r="C664" s="38" t="s">
        <v>349</v>
      </c>
      <c r="D664" s="38"/>
      <c r="E664" s="38"/>
    </row>
    <row r="665" spans="1:5" ht="15" x14ac:dyDescent="0.25">
      <c r="A665" s="53"/>
      <c r="B665" s="53"/>
      <c r="C665" s="38" t="s">
        <v>350</v>
      </c>
      <c r="D665" s="38"/>
      <c r="E665" s="38"/>
    </row>
    <row r="666" spans="1:5" ht="15" x14ac:dyDescent="0.25">
      <c r="A666" s="53"/>
      <c r="B666" s="53"/>
      <c r="C666" s="38" t="s">
        <v>351</v>
      </c>
      <c r="D666" s="38"/>
      <c r="E666" s="38"/>
    </row>
    <row r="667" spans="1:5" ht="15" x14ac:dyDescent="0.25">
      <c r="A667" s="53"/>
      <c r="B667" s="53"/>
      <c r="C667" s="38" t="s">
        <v>352</v>
      </c>
      <c r="D667" s="38"/>
      <c r="E667" s="38"/>
    </row>
    <row r="668" spans="1:5" ht="15" x14ac:dyDescent="0.25">
      <c r="A668" s="53"/>
      <c r="B668" s="53"/>
      <c r="C668" s="38" t="s">
        <v>101</v>
      </c>
      <c r="D668" s="38"/>
      <c r="E668" s="38"/>
    </row>
    <row r="669" spans="1:5" ht="15" x14ac:dyDescent="0.25">
      <c r="A669" s="54"/>
      <c r="B669" s="54"/>
      <c r="C669" s="38" t="s">
        <v>353</v>
      </c>
      <c r="D669" s="38"/>
      <c r="E669" s="38"/>
    </row>
    <row r="670" spans="1:5" ht="15" x14ac:dyDescent="0.25">
      <c r="A670" s="45"/>
      <c r="B670" s="99" t="s">
        <v>300</v>
      </c>
      <c r="C670" s="36" t="s">
        <v>354</v>
      </c>
      <c r="D670" s="99" t="s">
        <v>300</v>
      </c>
      <c r="E670" s="36"/>
    </row>
    <row r="671" spans="1:5" ht="15" x14ac:dyDescent="0.25">
      <c r="A671" s="45"/>
      <c r="B671" s="99"/>
      <c r="C671" s="36" t="s">
        <v>361</v>
      </c>
      <c r="D671" s="36"/>
      <c r="E671" s="36"/>
    </row>
    <row r="672" spans="1:5" ht="15" x14ac:dyDescent="0.25">
      <c r="A672" s="52"/>
      <c r="B672" s="52" t="s">
        <v>301</v>
      </c>
      <c r="C672" s="38" t="s">
        <v>668</v>
      </c>
      <c r="D672" s="52" t="s">
        <v>301</v>
      </c>
      <c r="E672" s="38"/>
    </row>
    <row r="673" spans="1:5" ht="15" x14ac:dyDescent="0.25">
      <c r="A673" s="53"/>
      <c r="B673" s="53"/>
      <c r="C673" s="38" t="s">
        <v>669</v>
      </c>
      <c r="D673" s="38"/>
      <c r="E673" s="38"/>
    </row>
    <row r="674" spans="1:5" ht="15" x14ac:dyDescent="0.25">
      <c r="A674" s="53"/>
      <c r="B674" s="53"/>
      <c r="C674" s="38" t="s">
        <v>311</v>
      </c>
      <c r="D674" s="38"/>
      <c r="E674" s="38"/>
    </row>
    <row r="675" spans="1:5" ht="15" x14ac:dyDescent="0.25">
      <c r="A675" s="53"/>
      <c r="B675" s="53"/>
      <c r="C675" s="38" t="s">
        <v>316</v>
      </c>
      <c r="D675" s="38"/>
      <c r="E675" s="38"/>
    </row>
    <row r="676" spans="1:5" ht="15" x14ac:dyDescent="0.25">
      <c r="A676" s="53"/>
      <c r="B676" s="53"/>
      <c r="C676" s="38" t="s">
        <v>313</v>
      </c>
      <c r="D676" s="38"/>
      <c r="E676" s="38"/>
    </row>
    <row r="677" spans="1:5" ht="15" x14ac:dyDescent="0.25">
      <c r="A677" s="53"/>
      <c r="B677" s="53"/>
      <c r="C677" s="38" t="s">
        <v>312</v>
      </c>
      <c r="D677" s="38"/>
      <c r="E677" s="38"/>
    </row>
    <row r="678" spans="1:5" ht="15" x14ac:dyDescent="0.25">
      <c r="A678" s="53"/>
      <c r="B678" s="53"/>
      <c r="C678" s="38" t="s">
        <v>317</v>
      </c>
      <c r="D678" s="38"/>
      <c r="E678" s="38"/>
    </row>
    <row r="679" spans="1:5" ht="15" x14ac:dyDescent="0.25">
      <c r="A679" s="53"/>
      <c r="B679" s="53"/>
      <c r="C679" s="38" t="s">
        <v>314</v>
      </c>
      <c r="D679" s="38"/>
      <c r="E679" s="38"/>
    </row>
    <row r="680" spans="1:5" ht="15" x14ac:dyDescent="0.25">
      <c r="A680" s="53"/>
      <c r="B680" s="53"/>
      <c r="C680" s="38" t="s">
        <v>434</v>
      </c>
      <c r="D680" s="38"/>
      <c r="E680" s="38"/>
    </row>
    <row r="681" spans="1:5" ht="15" x14ac:dyDescent="0.25">
      <c r="A681" s="53"/>
      <c r="B681" s="53"/>
      <c r="C681" s="38" t="s">
        <v>315</v>
      </c>
      <c r="D681" s="38"/>
      <c r="E681" s="38"/>
    </row>
    <row r="682" spans="1:5" ht="15" x14ac:dyDescent="0.25">
      <c r="A682" s="53"/>
      <c r="B682" s="53"/>
      <c r="C682" s="38" t="s">
        <v>128</v>
      </c>
      <c r="D682" s="38"/>
      <c r="E682" s="38"/>
    </row>
    <row r="683" spans="1:5" ht="15" x14ac:dyDescent="0.25">
      <c r="A683" s="53"/>
      <c r="B683" s="53"/>
      <c r="C683" s="38" t="s">
        <v>1190</v>
      </c>
      <c r="D683" s="38"/>
      <c r="E683" s="38"/>
    </row>
    <row r="684" spans="1:5" ht="15" x14ac:dyDescent="0.25">
      <c r="A684" s="54"/>
      <c r="B684" s="54"/>
      <c r="C684" s="38" t="s">
        <v>353</v>
      </c>
      <c r="D684" s="38"/>
      <c r="E684" s="38"/>
    </row>
    <row r="685" spans="1:5" ht="15" x14ac:dyDescent="0.25">
      <c r="A685" s="74"/>
      <c r="B685" s="74" t="s">
        <v>302</v>
      </c>
      <c r="C685" s="36" t="s">
        <v>347</v>
      </c>
      <c r="D685" s="36" t="s">
        <v>1168</v>
      </c>
      <c r="E685" s="36"/>
    </row>
    <row r="686" spans="1:5" ht="15" x14ac:dyDescent="0.25">
      <c r="A686" s="76"/>
      <c r="B686" s="76"/>
      <c r="C686" s="36" t="s">
        <v>348</v>
      </c>
      <c r="D686" s="36"/>
      <c r="E686" s="36"/>
    </row>
    <row r="687" spans="1:5" ht="15" x14ac:dyDescent="0.25">
      <c r="A687" s="76"/>
      <c r="B687" s="76"/>
      <c r="C687" s="36" t="s">
        <v>349</v>
      </c>
      <c r="D687" s="36"/>
      <c r="E687" s="36"/>
    </row>
    <row r="688" spans="1:5" ht="15" x14ac:dyDescent="0.25">
      <c r="A688" s="76"/>
      <c r="B688" s="76"/>
      <c r="C688" s="36" t="s">
        <v>350</v>
      </c>
      <c r="D688" s="36"/>
      <c r="E688" s="36"/>
    </row>
    <row r="689" spans="1:5" ht="15" x14ac:dyDescent="0.25">
      <c r="A689" s="76"/>
      <c r="B689" s="76"/>
      <c r="C689" s="36" t="s">
        <v>351</v>
      </c>
      <c r="D689" s="36"/>
      <c r="E689" s="36"/>
    </row>
    <row r="690" spans="1:5" ht="15" x14ac:dyDescent="0.25">
      <c r="A690" s="76"/>
      <c r="B690" s="76"/>
      <c r="C690" s="36" t="s">
        <v>352</v>
      </c>
      <c r="D690" s="36"/>
      <c r="E690" s="36"/>
    </row>
    <row r="691" spans="1:5" ht="15" x14ac:dyDescent="0.25">
      <c r="A691" s="76"/>
      <c r="B691" s="76"/>
      <c r="C691" s="36" t="s">
        <v>101</v>
      </c>
      <c r="D691" s="36"/>
      <c r="E691" s="36"/>
    </row>
    <row r="692" spans="1:5" ht="15" x14ac:dyDescent="0.25">
      <c r="A692" s="76"/>
      <c r="B692" s="76"/>
      <c r="C692" s="36" t="s">
        <v>353</v>
      </c>
      <c r="D692" s="36"/>
      <c r="E692" s="36"/>
    </row>
    <row r="693" spans="1:5" ht="15" x14ac:dyDescent="0.25">
      <c r="A693" s="52"/>
      <c r="B693" s="49" t="s">
        <v>359</v>
      </c>
      <c r="C693" s="38" t="s">
        <v>331</v>
      </c>
      <c r="D693" s="49" t="s">
        <v>360</v>
      </c>
      <c r="E693" s="38"/>
    </row>
    <row r="694" spans="1:5" ht="15" x14ac:dyDescent="0.25">
      <c r="A694" s="53"/>
      <c r="B694" s="51"/>
      <c r="C694" s="38" t="s">
        <v>332</v>
      </c>
      <c r="D694" s="38"/>
      <c r="E694" s="38"/>
    </row>
    <row r="695" spans="1:5" ht="15" x14ac:dyDescent="0.25">
      <c r="A695" s="74"/>
      <c r="B695" s="74" t="s">
        <v>716</v>
      </c>
      <c r="C695" s="36" t="s">
        <v>333</v>
      </c>
      <c r="D695" s="74" t="s">
        <v>716</v>
      </c>
      <c r="E695" s="36"/>
    </row>
    <row r="696" spans="1:5" ht="15" x14ac:dyDescent="0.25">
      <c r="A696" s="76"/>
      <c r="B696" s="76"/>
      <c r="C696" s="36" t="s">
        <v>334</v>
      </c>
      <c r="D696" s="36"/>
      <c r="E696" s="36"/>
    </row>
    <row r="697" spans="1:5" ht="15" x14ac:dyDescent="0.25">
      <c r="A697" s="52"/>
      <c r="B697" s="52" t="s">
        <v>335</v>
      </c>
      <c r="C697" s="38" t="s">
        <v>389</v>
      </c>
      <c r="D697" s="52" t="s">
        <v>335</v>
      </c>
      <c r="E697" s="38"/>
    </row>
    <row r="698" spans="1:5" ht="15" x14ac:dyDescent="0.25">
      <c r="A698" s="53"/>
      <c r="B698" s="53"/>
      <c r="C698" s="38" t="s">
        <v>372</v>
      </c>
      <c r="D698" s="38"/>
      <c r="E698" s="38"/>
    </row>
    <row r="699" spans="1:5" ht="15" x14ac:dyDescent="0.25">
      <c r="A699" s="53"/>
      <c r="B699" s="53"/>
      <c r="C699" s="38" t="s">
        <v>367</v>
      </c>
      <c r="D699" s="38"/>
      <c r="E699" s="38"/>
    </row>
    <row r="700" spans="1:5" ht="15" x14ac:dyDescent="0.25">
      <c r="A700" s="53"/>
      <c r="B700" s="53"/>
      <c r="C700" s="38" t="s">
        <v>325</v>
      </c>
      <c r="D700" s="38"/>
      <c r="E700" s="38"/>
    </row>
    <row r="701" spans="1:5" ht="15" x14ac:dyDescent="0.25">
      <c r="A701" s="53"/>
      <c r="B701" s="53"/>
      <c r="C701" s="38" t="s">
        <v>72</v>
      </c>
      <c r="D701" s="38"/>
      <c r="E701" s="38"/>
    </row>
    <row r="702" spans="1:5" ht="15" x14ac:dyDescent="0.25">
      <c r="A702" s="53"/>
      <c r="B702" s="53"/>
      <c r="C702" s="38" t="s">
        <v>8</v>
      </c>
      <c r="D702" s="38"/>
      <c r="E702" s="38"/>
    </row>
    <row r="703" spans="1:5" ht="15" x14ac:dyDescent="0.25">
      <c r="A703" s="53"/>
      <c r="B703" s="53"/>
      <c r="C703" s="38" t="s">
        <v>336</v>
      </c>
      <c r="D703" s="38"/>
      <c r="E703" s="38"/>
    </row>
    <row r="704" spans="1:5" ht="15" x14ac:dyDescent="0.25">
      <c r="A704" s="53"/>
      <c r="B704" s="53"/>
      <c r="C704" s="38" t="s">
        <v>324</v>
      </c>
      <c r="D704" s="38"/>
      <c r="E704" s="38"/>
    </row>
    <row r="705" spans="1:6" ht="15" x14ac:dyDescent="0.25">
      <c r="A705" s="53"/>
      <c r="B705" s="53"/>
      <c r="C705" s="38" t="s">
        <v>101</v>
      </c>
      <c r="D705" s="38"/>
      <c r="E705" s="38"/>
    </row>
    <row r="706" spans="1:6" ht="15" x14ac:dyDescent="0.25">
      <c r="A706" s="74"/>
      <c r="B706" s="74" t="s">
        <v>450</v>
      </c>
      <c r="C706" s="36" t="s">
        <v>405</v>
      </c>
      <c r="D706" s="74" t="s">
        <v>450</v>
      </c>
      <c r="E706" s="36"/>
    </row>
    <row r="707" spans="1:6" ht="15" x14ac:dyDescent="0.25">
      <c r="A707" s="76"/>
      <c r="B707" s="76"/>
      <c r="C707" s="36" t="s">
        <v>255</v>
      </c>
      <c r="D707" s="36"/>
      <c r="E707" s="36"/>
    </row>
    <row r="708" spans="1:6" ht="15" x14ac:dyDescent="0.25">
      <c r="A708" s="76"/>
      <c r="B708" s="76"/>
      <c r="C708" s="36" t="s">
        <v>622</v>
      </c>
      <c r="D708" s="36"/>
      <c r="E708" s="36"/>
    </row>
    <row r="709" spans="1:6" ht="15" x14ac:dyDescent="0.25">
      <c r="A709" s="76"/>
      <c r="B709" s="76"/>
      <c r="C709" s="36" t="s">
        <v>154</v>
      </c>
      <c r="D709" s="36"/>
      <c r="E709" s="36"/>
    </row>
    <row r="710" spans="1:6" ht="15" x14ac:dyDescent="0.25">
      <c r="A710" s="76"/>
      <c r="B710" s="76"/>
      <c r="C710" s="36" t="s">
        <v>616</v>
      </c>
      <c r="D710" s="36"/>
      <c r="E710" s="36"/>
    </row>
    <row r="711" spans="1:6" ht="15" x14ac:dyDescent="0.25">
      <c r="A711" s="76"/>
      <c r="B711" s="76"/>
      <c r="C711" s="36" t="s">
        <v>618</v>
      </c>
      <c r="D711" s="36"/>
      <c r="E711" s="36"/>
    </row>
    <row r="712" spans="1:6" ht="15" x14ac:dyDescent="0.25">
      <c r="A712" s="76"/>
      <c r="B712" s="76"/>
      <c r="C712" s="36" t="s">
        <v>65</v>
      </c>
      <c r="D712" s="36"/>
      <c r="E712" s="36"/>
    </row>
    <row r="713" spans="1:6" ht="15" x14ac:dyDescent="0.25">
      <c r="A713" s="76"/>
      <c r="B713" s="76"/>
      <c r="C713" s="36" t="s">
        <v>262</v>
      </c>
      <c r="D713" s="36"/>
      <c r="E713" s="36"/>
    </row>
    <row r="714" spans="1:6" ht="15" x14ac:dyDescent="0.25">
      <c r="A714" s="76"/>
      <c r="B714" s="76"/>
      <c r="C714" s="36" t="s">
        <v>623</v>
      </c>
      <c r="D714" s="36"/>
      <c r="E714" s="36"/>
    </row>
    <row r="715" spans="1:6" ht="15" x14ac:dyDescent="0.25">
      <c r="A715" s="76"/>
      <c r="B715" s="76"/>
      <c r="C715" s="36" t="s">
        <v>138</v>
      </c>
      <c r="D715" s="36"/>
      <c r="E715" s="36"/>
    </row>
    <row r="716" spans="1:6" ht="15" x14ac:dyDescent="0.25">
      <c r="A716" s="76"/>
      <c r="B716" s="76"/>
      <c r="C716" s="36" t="s">
        <v>251</v>
      </c>
      <c r="D716" s="36"/>
      <c r="E716" s="36"/>
    </row>
    <row r="717" spans="1:6" ht="15" x14ac:dyDescent="0.25">
      <c r="A717" s="76"/>
      <c r="B717" s="76"/>
      <c r="C717" s="36" t="s">
        <v>1208</v>
      </c>
      <c r="D717" s="36"/>
      <c r="E717" s="36"/>
    </row>
    <row r="718" spans="1:6" ht="15" x14ac:dyDescent="0.25">
      <c r="A718" s="76"/>
      <c r="B718" s="76"/>
      <c r="C718" s="36" t="s">
        <v>263</v>
      </c>
      <c r="D718" s="36"/>
      <c r="E718" s="36"/>
    </row>
    <row r="719" spans="1:6" ht="15" x14ac:dyDescent="0.25">
      <c r="A719" s="76"/>
      <c r="B719" s="76"/>
      <c r="C719" s="36" t="s">
        <v>675</v>
      </c>
      <c r="D719" s="36"/>
      <c r="E719" s="36"/>
    </row>
    <row r="720" spans="1:6" ht="15" x14ac:dyDescent="0.25">
      <c r="A720" s="76"/>
      <c r="B720" s="76"/>
      <c r="C720" s="36" t="s">
        <v>1104</v>
      </c>
      <c r="D720" s="36"/>
      <c r="E720" s="36" t="s">
        <v>624</v>
      </c>
      <c r="F720" t="s">
        <v>1131</v>
      </c>
    </row>
    <row r="721" spans="1:5" ht="15" x14ac:dyDescent="0.25">
      <c r="A721" s="76"/>
      <c r="B721" s="76"/>
      <c r="C721" s="36" t="s">
        <v>260</v>
      </c>
      <c r="D721" s="36"/>
      <c r="E721" s="36"/>
    </row>
    <row r="722" spans="1:5" ht="15" x14ac:dyDescent="0.25">
      <c r="A722" s="76"/>
      <c r="B722" s="76"/>
      <c r="C722" s="36" t="s">
        <v>257</v>
      </c>
      <c r="D722" s="36"/>
      <c r="E722" s="36"/>
    </row>
    <row r="723" spans="1:5" ht="15" x14ac:dyDescent="0.25">
      <c r="A723" s="76"/>
      <c r="B723" s="76"/>
      <c r="C723" s="36" t="s">
        <v>258</v>
      </c>
      <c r="D723" s="36"/>
      <c r="E723" s="36"/>
    </row>
    <row r="724" spans="1:5" ht="15" x14ac:dyDescent="0.25">
      <c r="A724" s="76"/>
      <c r="B724" s="76"/>
      <c r="C724" s="36" t="s">
        <v>165</v>
      </c>
      <c r="D724" s="36"/>
      <c r="E724" s="110"/>
    </row>
    <row r="725" spans="1:5" ht="15" x14ac:dyDescent="0.25">
      <c r="A725" s="76"/>
      <c r="B725" s="76"/>
      <c r="C725" s="36" t="s">
        <v>249</v>
      </c>
      <c r="D725" s="36"/>
      <c r="E725" s="36"/>
    </row>
    <row r="726" spans="1:5" ht="15" x14ac:dyDescent="0.25">
      <c r="A726" s="76"/>
      <c r="B726" s="76"/>
      <c r="C726" s="36" t="s">
        <v>254</v>
      </c>
      <c r="D726" s="36"/>
      <c r="E726" s="36"/>
    </row>
    <row r="727" spans="1:5" ht="15" x14ac:dyDescent="0.25">
      <c r="A727" s="76"/>
      <c r="B727" s="76"/>
      <c r="C727" s="36" t="s">
        <v>70</v>
      </c>
      <c r="D727" s="36"/>
      <c r="E727" s="36"/>
    </row>
    <row r="728" spans="1:5" ht="15" x14ac:dyDescent="0.25">
      <c r="A728" s="76"/>
      <c r="B728" s="76"/>
      <c r="C728" s="36" t="s">
        <v>252</v>
      </c>
      <c r="D728" s="36"/>
      <c r="E728" s="36"/>
    </row>
    <row r="729" spans="1:5" ht="15" x14ac:dyDescent="0.25">
      <c r="A729" s="76"/>
      <c r="B729" s="76"/>
      <c r="C729" s="36" t="s">
        <v>74</v>
      </c>
      <c r="D729" s="36"/>
      <c r="E729" s="36"/>
    </row>
    <row r="730" spans="1:5" ht="15" x14ac:dyDescent="0.25">
      <c r="A730" s="76"/>
      <c r="B730" s="76"/>
      <c r="C730" s="36" t="s">
        <v>256</v>
      </c>
      <c r="D730" s="36"/>
      <c r="E730" s="36"/>
    </row>
    <row r="731" spans="1:5" ht="15" x14ac:dyDescent="0.25">
      <c r="A731" s="76"/>
      <c r="B731" s="76"/>
      <c r="C731" s="36" t="s">
        <v>620</v>
      </c>
      <c r="D731" s="36"/>
      <c r="E731" s="36"/>
    </row>
    <row r="732" spans="1:5" ht="15" x14ac:dyDescent="0.25">
      <c r="A732" s="76"/>
      <c r="B732" s="76"/>
      <c r="C732" s="36" t="s">
        <v>621</v>
      </c>
      <c r="D732" s="36"/>
      <c r="E732" s="36"/>
    </row>
    <row r="733" spans="1:5" ht="15" x14ac:dyDescent="0.25">
      <c r="A733" s="76"/>
      <c r="B733" s="76"/>
      <c r="C733" s="36" t="s">
        <v>259</v>
      </c>
      <c r="D733" s="36"/>
      <c r="E733" s="36"/>
    </row>
    <row r="734" spans="1:5" ht="15" x14ac:dyDescent="0.25">
      <c r="A734" s="76"/>
      <c r="B734" s="76"/>
      <c r="C734" s="36" t="s">
        <v>84</v>
      </c>
      <c r="D734" s="36"/>
      <c r="E734" s="36"/>
    </row>
    <row r="735" spans="1:5" ht="15" x14ac:dyDescent="0.25">
      <c r="A735" s="76"/>
      <c r="B735" s="76"/>
      <c r="C735" s="36" t="s">
        <v>617</v>
      </c>
      <c r="D735" s="36"/>
      <c r="E735" s="36"/>
    </row>
    <row r="736" spans="1:5" ht="15" x14ac:dyDescent="0.25">
      <c r="A736" s="76"/>
      <c r="B736" s="76"/>
      <c r="C736" s="36" t="s">
        <v>615</v>
      </c>
      <c r="D736" s="36"/>
      <c r="E736" s="36"/>
    </row>
    <row r="737" spans="1:5" ht="15" x14ac:dyDescent="0.25">
      <c r="A737" s="76"/>
      <c r="B737" s="76"/>
      <c r="C737" s="36" t="s">
        <v>625</v>
      </c>
      <c r="D737" s="36"/>
      <c r="E737" s="36"/>
    </row>
    <row r="738" spans="1:5" ht="15" x14ac:dyDescent="0.25">
      <c r="A738" s="76"/>
      <c r="B738" s="76"/>
      <c r="C738" s="36" t="s">
        <v>250</v>
      </c>
      <c r="D738" s="36"/>
      <c r="E738" s="36"/>
    </row>
    <row r="739" spans="1:5" ht="15" x14ac:dyDescent="0.25">
      <c r="A739" s="76"/>
      <c r="B739" s="76"/>
      <c r="C739" s="36" t="s">
        <v>1209</v>
      </c>
      <c r="D739" s="36"/>
      <c r="E739" s="36"/>
    </row>
    <row r="740" spans="1:5" ht="15" x14ac:dyDescent="0.25">
      <c r="A740" s="76"/>
      <c r="B740" s="76"/>
      <c r="C740" s="36" t="s">
        <v>614</v>
      </c>
      <c r="D740" s="36"/>
      <c r="E740" s="36"/>
    </row>
    <row r="741" spans="1:5" ht="15" x14ac:dyDescent="0.25">
      <c r="A741" s="76"/>
      <c r="B741" s="76"/>
      <c r="C741" s="36" t="s">
        <v>261</v>
      </c>
      <c r="D741" s="36"/>
      <c r="E741" s="110"/>
    </row>
    <row r="742" spans="1:5" ht="15" x14ac:dyDescent="0.25">
      <c r="A742" s="76"/>
      <c r="B742" s="76"/>
      <c r="C742" s="36" t="s">
        <v>619</v>
      </c>
      <c r="D742" s="36"/>
      <c r="E742" s="36"/>
    </row>
    <row r="743" spans="1:5" ht="15" x14ac:dyDescent="0.25">
      <c r="A743" s="76"/>
      <c r="B743" s="76"/>
      <c r="C743" s="36" t="s">
        <v>1210</v>
      </c>
      <c r="D743" s="36"/>
      <c r="E743" s="36"/>
    </row>
    <row r="744" spans="1:5" ht="15" x14ac:dyDescent="0.25">
      <c r="A744" s="76"/>
      <c r="B744" s="76"/>
      <c r="C744" s="36" t="s">
        <v>1211</v>
      </c>
      <c r="D744" s="36"/>
      <c r="E744" s="36"/>
    </row>
    <row r="745" spans="1:5" ht="15" x14ac:dyDescent="0.25">
      <c r="A745" s="76"/>
      <c r="B745" s="76"/>
      <c r="C745" s="36" t="s">
        <v>1212</v>
      </c>
      <c r="D745" s="36"/>
      <c r="E745" s="36"/>
    </row>
    <row r="746" spans="1:5" ht="15" x14ac:dyDescent="0.25">
      <c r="A746" s="76"/>
      <c r="B746" s="76"/>
      <c r="C746" s="36" t="s">
        <v>170</v>
      </c>
      <c r="D746" s="36"/>
      <c r="E746" s="36"/>
    </row>
    <row r="747" spans="1:5" ht="15" x14ac:dyDescent="0.25">
      <c r="A747" s="76"/>
      <c r="B747" s="76"/>
      <c r="C747" s="36" t="s">
        <v>248</v>
      </c>
      <c r="D747" s="36"/>
      <c r="E747" s="36"/>
    </row>
    <row r="748" spans="1:5" ht="15" x14ac:dyDescent="0.25">
      <c r="A748" s="76"/>
      <c r="B748" s="76"/>
      <c r="C748" s="36" t="s">
        <v>167</v>
      </c>
      <c r="D748" s="36"/>
      <c r="E748" s="36"/>
    </row>
    <row r="749" spans="1:5" ht="15" x14ac:dyDescent="0.25">
      <c r="A749" s="76"/>
      <c r="B749" s="76"/>
      <c r="C749" s="36" t="s">
        <v>168</v>
      </c>
      <c r="D749" s="36"/>
      <c r="E749" s="36"/>
    </row>
    <row r="750" spans="1:5" ht="15" x14ac:dyDescent="0.25">
      <c r="A750" s="76"/>
      <c r="B750" s="76"/>
      <c r="C750" s="36" t="s">
        <v>163</v>
      </c>
      <c r="D750" s="36"/>
      <c r="E750" s="36"/>
    </row>
    <row r="751" spans="1:5" ht="15" x14ac:dyDescent="0.25">
      <c r="A751" s="76"/>
      <c r="B751" s="76"/>
      <c r="C751" s="36" t="s">
        <v>253</v>
      </c>
      <c r="D751" s="36"/>
      <c r="E751" s="36"/>
    </row>
    <row r="752" spans="1:5" ht="15" x14ac:dyDescent="0.25">
      <c r="A752" s="76"/>
      <c r="B752" s="76"/>
      <c r="C752" s="36" t="s">
        <v>161</v>
      </c>
      <c r="D752" s="36"/>
      <c r="E752" s="36"/>
    </row>
    <row r="753" spans="1:5" ht="15" x14ac:dyDescent="0.25">
      <c r="A753" s="76"/>
      <c r="B753" s="76"/>
      <c r="C753" s="36" t="s">
        <v>52</v>
      </c>
      <c r="D753" s="36"/>
      <c r="E753" s="36"/>
    </row>
    <row r="754" spans="1:5" ht="15" x14ac:dyDescent="0.25">
      <c r="A754" s="76"/>
      <c r="B754" s="76"/>
      <c r="C754" s="36" t="s">
        <v>58</v>
      </c>
      <c r="D754" s="36"/>
      <c r="E754" s="36"/>
    </row>
    <row r="755" spans="1:5" ht="15" x14ac:dyDescent="0.25">
      <c r="A755" s="76"/>
      <c r="B755" s="76"/>
      <c r="C755" s="36" t="s">
        <v>66</v>
      </c>
      <c r="D755" s="36"/>
      <c r="E755" s="36"/>
    </row>
    <row r="756" spans="1:5" ht="15" x14ac:dyDescent="0.25">
      <c r="A756" s="76"/>
      <c r="B756" s="76"/>
      <c r="C756" s="36" t="s">
        <v>73</v>
      </c>
      <c r="D756" s="36"/>
      <c r="E756" s="36"/>
    </row>
    <row r="757" spans="1:5" ht="15" x14ac:dyDescent="0.25">
      <c r="A757" s="76"/>
      <c r="B757" s="76"/>
      <c r="C757" s="36" t="s">
        <v>80</v>
      </c>
      <c r="D757" s="36"/>
      <c r="E757" s="36"/>
    </row>
    <row r="758" spans="1:5" ht="15" x14ac:dyDescent="0.25">
      <c r="A758" s="76"/>
      <c r="B758" s="76"/>
      <c r="C758" s="36" t="s">
        <v>888</v>
      </c>
      <c r="D758" s="36"/>
      <c r="E758" s="36"/>
    </row>
    <row r="759" spans="1:5" ht="15" x14ac:dyDescent="0.25">
      <c r="A759" s="76"/>
      <c r="B759" s="76"/>
      <c r="C759" s="36" t="s">
        <v>91</v>
      </c>
      <c r="D759" s="36"/>
      <c r="E759" s="36"/>
    </row>
    <row r="760" spans="1:5" ht="15" x14ac:dyDescent="0.25">
      <c r="A760" s="76"/>
      <c r="B760" s="76"/>
      <c r="C760" s="36" t="s">
        <v>912</v>
      </c>
      <c r="D760" s="36"/>
      <c r="E760" s="36"/>
    </row>
    <row r="761" spans="1:5" ht="15" x14ac:dyDescent="0.25">
      <c r="A761" s="76"/>
      <c r="B761" s="76"/>
      <c r="C761" s="36" t="s">
        <v>913</v>
      </c>
      <c r="D761" s="36"/>
      <c r="E761" s="36"/>
    </row>
    <row r="762" spans="1:5" ht="15" x14ac:dyDescent="0.25">
      <c r="A762" s="76"/>
      <c r="B762" s="76"/>
      <c r="C762" s="36" t="s">
        <v>103</v>
      </c>
      <c r="D762" s="36"/>
      <c r="E762" s="36"/>
    </row>
    <row r="763" spans="1:5" ht="15" x14ac:dyDescent="0.25">
      <c r="A763" s="76"/>
      <c r="B763" s="76"/>
      <c r="C763" s="36" t="s">
        <v>108</v>
      </c>
      <c r="D763" s="36"/>
      <c r="E763" s="36"/>
    </row>
    <row r="764" spans="1:5" ht="15" x14ac:dyDescent="0.25">
      <c r="A764" s="76"/>
      <c r="B764" s="76"/>
      <c r="C764" s="36" t="s">
        <v>110</v>
      </c>
      <c r="D764" s="36"/>
      <c r="E764" s="36"/>
    </row>
    <row r="765" spans="1:5" ht="15" x14ac:dyDescent="0.25">
      <c r="A765" s="76"/>
      <c r="B765" s="76"/>
      <c r="C765" s="36" t="s">
        <v>113</v>
      </c>
      <c r="D765" s="36"/>
      <c r="E765" s="36"/>
    </row>
    <row r="766" spans="1:5" ht="15" x14ac:dyDescent="0.25">
      <c r="A766" s="76"/>
      <c r="B766" s="76"/>
      <c r="C766" s="36" t="s">
        <v>116</v>
      </c>
      <c r="D766" s="36"/>
      <c r="E766" s="36"/>
    </row>
    <row r="767" spans="1:5" ht="15" x14ac:dyDescent="0.25">
      <c r="A767" s="76"/>
      <c r="B767" s="76"/>
      <c r="C767" s="36" t="s">
        <v>119</v>
      </c>
      <c r="D767" s="36"/>
      <c r="E767" s="36"/>
    </row>
    <row r="768" spans="1:5" ht="15" x14ac:dyDescent="0.25">
      <c r="A768" s="76"/>
      <c r="B768" s="76"/>
      <c r="C768" s="36" t="s">
        <v>121</v>
      </c>
      <c r="D768" s="36"/>
      <c r="E768" s="36"/>
    </row>
    <row r="769" spans="1:5" ht="15" x14ac:dyDescent="0.25">
      <c r="A769" s="76"/>
      <c r="B769" s="76"/>
      <c r="C769" s="36" t="s">
        <v>123</v>
      </c>
      <c r="D769" s="36"/>
      <c r="E769" s="36"/>
    </row>
    <row r="770" spans="1:5" ht="15" x14ac:dyDescent="0.25">
      <c r="A770" s="76"/>
      <c r="B770" s="76"/>
      <c r="C770" s="36" t="s">
        <v>306</v>
      </c>
      <c r="D770" s="36"/>
      <c r="E770" s="36"/>
    </row>
    <row r="771" spans="1:5" ht="15" x14ac:dyDescent="0.25">
      <c r="A771" s="76"/>
      <c r="B771" s="76"/>
      <c r="C771" s="36" t="s">
        <v>126</v>
      </c>
      <c r="D771" s="36"/>
      <c r="E771" s="36"/>
    </row>
    <row r="772" spans="1:5" ht="15" x14ac:dyDescent="0.25">
      <c r="A772" s="76"/>
      <c r="B772" s="76"/>
      <c r="C772" s="36" t="s">
        <v>129</v>
      </c>
      <c r="D772" s="36"/>
      <c r="E772" s="36"/>
    </row>
    <row r="773" spans="1:5" ht="15" x14ac:dyDescent="0.25">
      <c r="A773" s="76"/>
      <c r="B773" s="76"/>
      <c r="C773" s="36" t="s">
        <v>130</v>
      </c>
      <c r="D773" s="36"/>
      <c r="E773" s="36"/>
    </row>
    <row r="774" spans="1:5" ht="15" x14ac:dyDescent="0.25">
      <c r="A774" s="76"/>
      <c r="B774" s="76"/>
      <c r="C774" s="36" t="s">
        <v>132</v>
      </c>
      <c r="D774" s="36"/>
      <c r="E774" s="36"/>
    </row>
    <row r="775" spans="1:5" ht="15" x14ac:dyDescent="0.25">
      <c r="A775" s="76"/>
      <c r="B775" s="76"/>
      <c r="C775" s="36" t="s">
        <v>134</v>
      </c>
      <c r="D775" s="36"/>
      <c r="E775" s="36"/>
    </row>
    <row r="776" spans="1:5" ht="15" x14ac:dyDescent="0.25">
      <c r="A776" s="76"/>
      <c r="B776" s="76"/>
      <c r="C776" s="36" t="s">
        <v>136</v>
      </c>
      <c r="D776" s="36"/>
      <c r="E776" s="36"/>
    </row>
    <row r="777" spans="1:5" ht="15" x14ac:dyDescent="0.25">
      <c r="A777" s="76"/>
      <c r="B777" s="76"/>
      <c r="C777" s="36" t="s">
        <v>139</v>
      </c>
      <c r="D777" s="36"/>
      <c r="E777" s="36"/>
    </row>
    <row r="778" spans="1:5" ht="15" x14ac:dyDescent="0.25">
      <c r="A778" s="76"/>
      <c r="B778" s="76"/>
      <c r="C778" s="36" t="s">
        <v>141</v>
      </c>
      <c r="D778" s="36"/>
      <c r="E778" s="36"/>
    </row>
    <row r="779" spans="1:5" ht="15" x14ac:dyDescent="0.25">
      <c r="A779" s="76"/>
      <c r="B779" s="76"/>
      <c r="C779" s="36" t="s">
        <v>307</v>
      </c>
      <c r="D779" s="36"/>
      <c r="E779" s="36"/>
    </row>
    <row r="780" spans="1:5" ht="15" x14ac:dyDescent="0.25">
      <c r="A780" s="76"/>
      <c r="B780" s="76"/>
      <c r="C780" s="36" t="s">
        <v>143</v>
      </c>
      <c r="D780" s="36"/>
      <c r="E780" s="36"/>
    </row>
    <row r="781" spans="1:5" ht="15" x14ac:dyDescent="0.25">
      <c r="A781" s="76"/>
      <c r="B781" s="76"/>
      <c r="C781" s="36" t="s">
        <v>145</v>
      </c>
      <c r="D781" s="36"/>
      <c r="E781" s="36"/>
    </row>
    <row r="782" spans="1:5" ht="15" x14ac:dyDescent="0.25">
      <c r="A782" s="76"/>
      <c r="B782" s="76"/>
      <c r="C782" s="36" t="s">
        <v>147</v>
      </c>
      <c r="D782" s="36"/>
      <c r="E782" s="36"/>
    </row>
    <row r="783" spans="1:5" ht="15" x14ac:dyDescent="0.25">
      <c r="A783" s="76"/>
      <c r="B783" s="76"/>
      <c r="C783" s="36" t="s">
        <v>149</v>
      </c>
      <c r="D783" s="36"/>
      <c r="E783" s="36"/>
    </row>
    <row r="784" spans="1:5" ht="15" x14ac:dyDescent="0.25">
      <c r="A784" s="76"/>
      <c r="B784" s="76"/>
      <c r="C784" s="36" t="s">
        <v>151</v>
      </c>
      <c r="D784" s="36"/>
      <c r="E784" s="36"/>
    </row>
    <row r="785" spans="1:6" ht="15" x14ac:dyDescent="0.25">
      <c r="A785" s="76"/>
      <c r="B785" s="76"/>
      <c r="C785" s="36" t="s">
        <v>1076</v>
      </c>
      <c r="D785" s="36"/>
      <c r="E785" s="36"/>
      <c r="F785" t="s">
        <v>1131</v>
      </c>
    </row>
    <row r="786" spans="1:6" ht="15" x14ac:dyDescent="0.25">
      <c r="A786" s="76"/>
      <c r="B786" s="76"/>
      <c r="C786" s="36" t="s">
        <v>1075</v>
      </c>
      <c r="D786" s="36"/>
      <c r="E786" s="36"/>
      <c r="F786" t="s">
        <v>1131</v>
      </c>
    </row>
    <row r="787" spans="1:6" ht="15" x14ac:dyDescent="0.25">
      <c r="A787" s="76"/>
      <c r="B787" s="76"/>
      <c r="C787" s="36" t="s">
        <v>152</v>
      </c>
      <c r="D787" s="36"/>
      <c r="E787" s="36"/>
    </row>
    <row r="788" spans="1:6" ht="15" x14ac:dyDescent="0.25">
      <c r="A788" s="76"/>
      <c r="B788" s="76"/>
      <c r="C788" s="36" t="s">
        <v>153</v>
      </c>
      <c r="D788" s="36"/>
      <c r="E788" s="36"/>
    </row>
    <row r="789" spans="1:6" ht="15" x14ac:dyDescent="0.25">
      <c r="A789" s="76"/>
      <c r="B789" s="76"/>
      <c r="C789" s="36" t="s">
        <v>907</v>
      </c>
      <c r="D789" s="36"/>
      <c r="E789" s="36"/>
      <c r="F789" t="s">
        <v>1131</v>
      </c>
    </row>
    <row r="790" spans="1:6" ht="15" x14ac:dyDescent="0.25">
      <c r="A790" s="76"/>
      <c r="B790" s="76"/>
      <c r="C790" s="36" t="s">
        <v>155</v>
      </c>
      <c r="D790" s="36"/>
      <c r="E790" s="36"/>
    </row>
    <row r="791" spans="1:6" ht="15" x14ac:dyDescent="0.25">
      <c r="A791" s="76"/>
      <c r="B791" s="76"/>
      <c r="C791" s="36" t="s">
        <v>156</v>
      </c>
      <c r="D791" s="36"/>
      <c r="E791" s="36"/>
    </row>
    <row r="792" spans="1:6" ht="15" x14ac:dyDescent="0.25">
      <c r="A792" s="76"/>
      <c r="B792" s="76"/>
      <c r="C792" s="36" t="s">
        <v>157</v>
      </c>
      <c r="D792" s="36"/>
      <c r="E792" s="36"/>
    </row>
    <row r="793" spans="1:6" ht="15" x14ac:dyDescent="0.25">
      <c r="A793" s="76"/>
      <c r="B793" s="76"/>
      <c r="C793" s="36" t="s">
        <v>158</v>
      </c>
      <c r="D793" s="36"/>
      <c r="E793" s="36"/>
    </row>
    <row r="794" spans="1:6" ht="15" x14ac:dyDescent="0.25">
      <c r="A794" s="76"/>
      <c r="B794" s="76"/>
      <c r="C794" s="36" t="s">
        <v>159</v>
      </c>
      <c r="D794" s="36"/>
      <c r="E794" s="36"/>
    </row>
    <row r="795" spans="1:6" ht="15" x14ac:dyDescent="0.25">
      <c r="A795" s="76"/>
      <c r="B795" s="76"/>
      <c r="C795" s="36" t="s">
        <v>909</v>
      </c>
      <c r="D795" s="36"/>
      <c r="E795" s="36"/>
      <c r="F795" t="s">
        <v>1131</v>
      </c>
    </row>
    <row r="796" spans="1:6" ht="15" x14ac:dyDescent="0.25">
      <c r="A796" s="76"/>
      <c r="B796" s="76"/>
      <c r="C796" s="36" t="s">
        <v>162</v>
      </c>
      <c r="D796" s="36"/>
      <c r="E796" s="36"/>
    </row>
    <row r="797" spans="1:6" ht="15" x14ac:dyDescent="0.25">
      <c r="A797" s="76"/>
      <c r="B797" s="76"/>
      <c r="C797" s="36" t="s">
        <v>164</v>
      </c>
      <c r="D797" s="36"/>
      <c r="E797" s="36"/>
    </row>
    <row r="798" spans="1:6" ht="15" x14ac:dyDescent="0.25">
      <c r="A798" s="76"/>
      <c r="B798" s="76"/>
      <c r="C798" s="36" t="s">
        <v>166</v>
      </c>
      <c r="D798" s="36"/>
      <c r="E798" s="36"/>
    </row>
    <row r="799" spans="1:6" ht="15" x14ac:dyDescent="0.25">
      <c r="A799" s="76"/>
      <c r="B799" s="76"/>
      <c r="C799" s="36" t="s">
        <v>169</v>
      </c>
      <c r="D799" s="36"/>
      <c r="E799" s="36"/>
    </row>
    <row r="800" spans="1:6" ht="15" x14ac:dyDescent="0.25">
      <c r="A800" s="76"/>
      <c r="B800" s="76"/>
      <c r="C800" s="36" t="s">
        <v>171</v>
      </c>
      <c r="D800" s="36"/>
      <c r="E800" s="36"/>
    </row>
    <row r="801" spans="1:6" ht="15" x14ac:dyDescent="0.25">
      <c r="A801" s="76"/>
      <c r="B801" s="76"/>
      <c r="C801" s="36" t="s">
        <v>173</v>
      </c>
      <c r="D801" s="36"/>
      <c r="E801" s="36"/>
    </row>
    <row r="802" spans="1:6" ht="15" x14ac:dyDescent="0.25">
      <c r="A802" s="76"/>
      <c r="B802" s="76"/>
      <c r="C802" s="36" t="s">
        <v>174</v>
      </c>
      <c r="D802" s="36"/>
      <c r="E802" s="36"/>
    </row>
    <row r="803" spans="1:6" ht="15" x14ac:dyDescent="0.25">
      <c r="A803" s="76"/>
      <c r="B803" s="76"/>
      <c r="C803" s="36" t="s">
        <v>175</v>
      </c>
      <c r="D803" s="36"/>
      <c r="E803" s="36"/>
    </row>
    <row r="804" spans="1:6" ht="15" x14ac:dyDescent="0.25">
      <c r="A804" s="76"/>
      <c r="B804" s="76"/>
      <c r="C804" s="36" t="s">
        <v>176</v>
      </c>
      <c r="D804" s="36"/>
      <c r="E804" s="36"/>
    </row>
    <row r="805" spans="1:6" ht="15" x14ac:dyDescent="0.25">
      <c r="A805" s="76"/>
      <c r="B805" s="76"/>
      <c r="C805" s="36" t="s">
        <v>177</v>
      </c>
      <c r="D805" s="36"/>
      <c r="E805" s="36"/>
    </row>
    <row r="806" spans="1:6" ht="15" x14ac:dyDescent="0.25">
      <c r="A806" s="76"/>
      <c r="B806" s="76"/>
      <c r="C806" s="36" t="s">
        <v>178</v>
      </c>
      <c r="D806" s="36"/>
      <c r="E806" s="36"/>
    </row>
    <row r="807" spans="1:6" ht="15" x14ac:dyDescent="0.25">
      <c r="A807" s="76"/>
      <c r="B807" s="76"/>
      <c r="C807" s="36" t="s">
        <v>179</v>
      </c>
      <c r="D807" s="36"/>
      <c r="E807" s="36"/>
    </row>
    <row r="808" spans="1:6" ht="15" x14ac:dyDescent="0.25">
      <c r="A808" s="76"/>
      <c r="B808" s="76"/>
      <c r="C808" s="36" t="s">
        <v>497</v>
      </c>
      <c r="D808" s="36"/>
      <c r="E808" s="36"/>
    </row>
    <row r="809" spans="1:6" ht="15" x14ac:dyDescent="0.25">
      <c r="A809" s="76"/>
      <c r="B809" s="76"/>
      <c r="C809" s="36" t="s">
        <v>180</v>
      </c>
      <c r="D809" s="36"/>
      <c r="E809" s="36"/>
    </row>
    <row r="810" spans="1:6" ht="15" x14ac:dyDescent="0.25">
      <c r="A810" s="76"/>
      <c r="B810" s="76"/>
      <c r="C810" s="36" t="s">
        <v>181</v>
      </c>
      <c r="D810" s="36"/>
      <c r="E810" s="36"/>
    </row>
    <row r="811" spans="1:6" ht="15" x14ac:dyDescent="0.25">
      <c r="A811" s="76"/>
      <c r="B811" s="76"/>
      <c r="C811" s="36" t="s">
        <v>182</v>
      </c>
      <c r="D811" s="36"/>
      <c r="E811" s="36"/>
    </row>
    <row r="812" spans="1:6" ht="15" x14ac:dyDescent="0.25">
      <c r="A812" s="76"/>
      <c r="B812" s="76"/>
      <c r="C812" s="36" t="s">
        <v>183</v>
      </c>
      <c r="D812" s="36"/>
      <c r="E812" s="36"/>
    </row>
    <row r="813" spans="1:6" ht="15" x14ac:dyDescent="0.25">
      <c r="A813" s="76"/>
      <c r="B813" s="76"/>
      <c r="C813" s="36" t="s">
        <v>908</v>
      </c>
      <c r="D813" s="36"/>
      <c r="E813" s="36"/>
      <c r="F813" t="s">
        <v>1131</v>
      </c>
    </row>
    <row r="814" spans="1:6" ht="15" x14ac:dyDescent="0.25">
      <c r="A814" s="76"/>
      <c r="B814" s="76"/>
      <c r="C814" s="36" t="s">
        <v>184</v>
      </c>
      <c r="D814" s="36"/>
      <c r="E814" s="36"/>
    </row>
    <row r="815" spans="1:6" ht="15" x14ac:dyDescent="0.25">
      <c r="A815" s="76"/>
      <c r="B815" s="76"/>
      <c r="C815" s="36" t="s">
        <v>185</v>
      </c>
      <c r="D815" s="36"/>
      <c r="E815" s="36"/>
    </row>
    <row r="816" spans="1:6" ht="15" x14ac:dyDescent="0.25">
      <c r="A816" s="76"/>
      <c r="B816" s="76"/>
      <c r="C816" s="36" t="s">
        <v>186</v>
      </c>
      <c r="D816" s="36"/>
      <c r="E816" s="36"/>
    </row>
    <row r="817" spans="1:5" ht="15" x14ac:dyDescent="0.25">
      <c r="A817" s="76"/>
      <c r="B817" s="76"/>
      <c r="C817" s="36" t="s">
        <v>187</v>
      </c>
      <c r="D817" s="36"/>
      <c r="E817" s="36"/>
    </row>
    <row r="818" spans="1:5" ht="15" x14ac:dyDescent="0.25">
      <c r="A818" s="76"/>
      <c r="B818" s="76"/>
      <c r="C818" s="36" t="s">
        <v>188</v>
      </c>
      <c r="D818" s="36"/>
      <c r="E818" s="36"/>
    </row>
    <row r="819" spans="1:5" ht="15" x14ac:dyDescent="0.25">
      <c r="A819" s="76"/>
      <c r="B819" s="76"/>
      <c r="C819" s="36" t="s">
        <v>189</v>
      </c>
      <c r="D819" s="36"/>
      <c r="E819" s="36"/>
    </row>
    <row r="820" spans="1:5" ht="15" x14ac:dyDescent="0.25">
      <c r="A820" s="76"/>
      <c r="B820" s="76"/>
      <c r="C820" s="36" t="s">
        <v>190</v>
      </c>
      <c r="D820" s="36"/>
      <c r="E820" s="36"/>
    </row>
    <row r="821" spans="1:5" ht="15" x14ac:dyDescent="0.25">
      <c r="A821" s="76"/>
      <c r="B821" s="76"/>
      <c r="C821" s="36" t="s">
        <v>192</v>
      </c>
      <c r="D821" s="36"/>
      <c r="E821" s="36"/>
    </row>
    <row r="822" spans="1:5" ht="15" x14ac:dyDescent="0.25">
      <c r="A822" s="76"/>
      <c r="B822" s="76"/>
      <c r="C822" s="36" t="s">
        <v>193</v>
      </c>
      <c r="D822" s="36"/>
      <c r="E822" s="36"/>
    </row>
    <row r="823" spans="1:5" ht="15" x14ac:dyDescent="0.25">
      <c r="A823" s="76"/>
      <c r="B823" s="76"/>
      <c r="C823" s="36" t="s">
        <v>194</v>
      </c>
      <c r="D823" s="36"/>
      <c r="E823" s="36"/>
    </row>
    <row r="824" spans="1:5" ht="15" x14ac:dyDescent="0.25">
      <c r="A824" s="76"/>
      <c r="B824" s="76"/>
      <c r="C824" s="36" t="s">
        <v>195</v>
      </c>
      <c r="D824" s="36"/>
      <c r="E824" s="36"/>
    </row>
    <row r="825" spans="1:5" ht="15" x14ac:dyDescent="0.25">
      <c r="A825" s="76"/>
      <c r="B825" s="76"/>
      <c r="C825" s="36" t="s">
        <v>196</v>
      </c>
      <c r="D825" s="36"/>
      <c r="E825" s="36"/>
    </row>
    <row r="826" spans="1:5" ht="15" x14ac:dyDescent="0.25">
      <c r="A826" s="76"/>
      <c r="B826" s="76"/>
      <c r="C826" s="36" t="s">
        <v>197</v>
      </c>
      <c r="D826" s="36"/>
      <c r="E826" s="36"/>
    </row>
    <row r="827" spans="1:5" ht="15" x14ac:dyDescent="0.25">
      <c r="A827" s="76"/>
      <c r="B827" s="76"/>
      <c r="C827" s="36" t="s">
        <v>199</v>
      </c>
      <c r="D827" s="36"/>
      <c r="E827" s="36"/>
    </row>
    <row r="828" spans="1:5" ht="15" x14ac:dyDescent="0.25">
      <c r="A828" s="76"/>
      <c r="B828" s="76"/>
      <c r="C828" s="36" t="s">
        <v>200</v>
      </c>
      <c r="D828" s="36"/>
      <c r="E828" s="36"/>
    </row>
    <row r="829" spans="1:5" ht="15" x14ac:dyDescent="0.25">
      <c r="A829" s="76"/>
      <c r="B829" s="76"/>
      <c r="C829" s="36" t="s">
        <v>201</v>
      </c>
      <c r="D829" s="36"/>
      <c r="E829" s="36"/>
    </row>
    <row r="830" spans="1:5" ht="15" x14ac:dyDescent="0.25">
      <c r="A830" s="76"/>
      <c r="B830" s="76"/>
      <c r="C830" s="36" t="s">
        <v>202</v>
      </c>
      <c r="D830" s="36"/>
      <c r="E830" s="36"/>
    </row>
    <row r="831" spans="1:5" ht="15" x14ac:dyDescent="0.25">
      <c r="A831" s="76"/>
      <c r="B831" s="76"/>
      <c r="C831" s="36" t="s">
        <v>203</v>
      </c>
      <c r="D831" s="36"/>
      <c r="E831" s="36"/>
    </row>
    <row r="832" spans="1:5" ht="15" x14ac:dyDescent="0.25">
      <c r="A832" s="76"/>
      <c r="B832" s="76"/>
      <c r="C832" s="36" t="s">
        <v>204</v>
      </c>
      <c r="D832" s="36"/>
      <c r="E832" s="36"/>
    </row>
    <row r="833" spans="1:5" ht="15" x14ac:dyDescent="0.25">
      <c r="A833" s="76"/>
      <c r="B833" s="76"/>
      <c r="C833" s="36" t="s">
        <v>205</v>
      </c>
      <c r="D833" s="36"/>
      <c r="E833" s="36"/>
    </row>
    <row r="834" spans="1:5" ht="15" x14ac:dyDescent="0.25">
      <c r="A834" s="76"/>
      <c r="B834" s="76"/>
      <c r="C834" s="36" t="s">
        <v>206</v>
      </c>
      <c r="D834" s="36"/>
      <c r="E834" s="36"/>
    </row>
    <row r="835" spans="1:5" ht="15" x14ac:dyDescent="0.25">
      <c r="A835" s="76"/>
      <c r="B835" s="76"/>
      <c r="C835" s="36" t="s">
        <v>1125</v>
      </c>
      <c r="D835" s="36"/>
      <c r="E835" s="106" t="s">
        <v>1124</v>
      </c>
    </row>
    <row r="836" spans="1:5" ht="15" x14ac:dyDescent="0.25">
      <c r="A836" s="76"/>
      <c r="B836" s="76"/>
      <c r="C836" s="36" t="s">
        <v>1126</v>
      </c>
      <c r="D836" s="36"/>
      <c r="E836" s="106" t="s">
        <v>899</v>
      </c>
    </row>
    <row r="837" spans="1:5" ht="15" x14ac:dyDescent="0.25">
      <c r="A837" s="76"/>
      <c r="B837" s="76"/>
      <c r="C837" s="36" t="s">
        <v>1127</v>
      </c>
      <c r="D837" s="36"/>
      <c r="E837" s="106" t="s">
        <v>899</v>
      </c>
    </row>
    <row r="838" spans="1:5" ht="15" x14ac:dyDescent="0.25">
      <c r="A838" s="76"/>
      <c r="B838" s="76"/>
      <c r="C838" s="36" t="s">
        <v>897</v>
      </c>
      <c r="D838" s="36"/>
      <c r="E838" s="105"/>
    </row>
    <row r="839" spans="1:5" ht="15" x14ac:dyDescent="0.25">
      <c r="A839" s="76"/>
      <c r="B839" s="76"/>
      <c r="C839" s="36" t="s">
        <v>309</v>
      </c>
      <c r="D839" s="36"/>
      <c r="E839" s="36"/>
    </row>
    <row r="840" spans="1:5" ht="15" x14ac:dyDescent="0.25">
      <c r="A840" s="76"/>
      <c r="B840" s="76"/>
      <c r="C840" s="36" t="s">
        <v>889</v>
      </c>
      <c r="D840" s="36"/>
      <c r="E840" s="36"/>
    </row>
    <row r="841" spans="1:5" ht="15" x14ac:dyDescent="0.25">
      <c r="A841" s="76"/>
      <c r="B841" s="76"/>
      <c r="C841" s="36" t="s">
        <v>890</v>
      </c>
      <c r="D841" s="36"/>
      <c r="E841" s="36"/>
    </row>
    <row r="842" spans="1:5" ht="15" x14ac:dyDescent="0.25">
      <c r="A842" s="76"/>
      <c r="B842" s="76"/>
      <c r="C842" s="36" t="s">
        <v>308</v>
      </c>
      <c r="D842" s="36"/>
      <c r="E842" s="36"/>
    </row>
    <row r="843" spans="1:5" ht="15" x14ac:dyDescent="0.25">
      <c r="A843" s="76"/>
      <c r="B843" s="76"/>
      <c r="C843" s="36" t="s">
        <v>305</v>
      </c>
      <c r="D843" s="36"/>
      <c r="E843" s="36"/>
    </row>
    <row r="844" spans="1:5" ht="15" x14ac:dyDescent="0.25">
      <c r="A844" s="76"/>
      <c r="B844" s="76"/>
      <c r="C844" s="36" t="s">
        <v>310</v>
      </c>
      <c r="D844" s="36"/>
      <c r="E844" s="36"/>
    </row>
    <row r="845" spans="1:5" ht="15" x14ac:dyDescent="0.25">
      <c r="A845" s="76"/>
      <c r="B845" s="76"/>
      <c r="C845" s="36" t="s">
        <v>891</v>
      </c>
      <c r="D845" s="36"/>
      <c r="E845" s="36"/>
    </row>
    <row r="846" spans="1:5" ht="15" x14ac:dyDescent="0.25">
      <c r="A846" s="76"/>
      <c r="B846" s="76"/>
      <c r="C846" s="36" t="s">
        <v>671</v>
      </c>
      <c r="D846" s="36"/>
      <c r="E846" s="36"/>
    </row>
    <row r="847" spans="1:5" ht="15" x14ac:dyDescent="0.25">
      <c r="A847" s="76"/>
      <c r="B847" s="76"/>
      <c r="C847" s="36" t="s">
        <v>672</v>
      </c>
      <c r="D847" s="36"/>
      <c r="E847" s="36"/>
    </row>
    <row r="848" spans="1:5" ht="15" x14ac:dyDescent="0.25">
      <c r="A848" s="76"/>
      <c r="B848" s="76"/>
      <c r="C848" s="36" t="s">
        <v>674</v>
      </c>
      <c r="D848" s="36"/>
      <c r="E848" s="36"/>
    </row>
    <row r="849" spans="1:5" ht="15" x14ac:dyDescent="0.25">
      <c r="A849" s="76"/>
      <c r="B849" s="76"/>
      <c r="C849" s="36" t="s">
        <v>673</v>
      </c>
      <c r="D849" s="36"/>
      <c r="E849" s="36"/>
    </row>
    <row r="850" spans="1:5" ht="15" x14ac:dyDescent="0.25">
      <c r="A850" s="76"/>
      <c r="B850" s="76"/>
      <c r="C850" s="36" t="s">
        <v>670</v>
      </c>
      <c r="D850" s="36"/>
      <c r="E850" s="36"/>
    </row>
    <row r="851" spans="1:5" ht="15" x14ac:dyDescent="0.25">
      <c r="A851" s="76"/>
      <c r="B851" s="76"/>
      <c r="C851" s="36" t="s">
        <v>444</v>
      </c>
      <c r="D851" s="36"/>
      <c r="E851" s="36"/>
    </row>
    <row r="852" spans="1:5" ht="15" x14ac:dyDescent="0.25">
      <c r="A852" s="76"/>
      <c r="B852" s="76"/>
      <c r="C852" s="36" t="s">
        <v>445</v>
      </c>
      <c r="D852" s="36"/>
      <c r="E852" s="36"/>
    </row>
    <row r="853" spans="1:5" ht="15" x14ac:dyDescent="0.25">
      <c r="A853" s="76"/>
      <c r="B853" s="76"/>
      <c r="C853" s="36" t="s">
        <v>446</v>
      </c>
      <c r="D853" s="36"/>
      <c r="E853" s="36"/>
    </row>
    <row r="854" spans="1:5" ht="15" x14ac:dyDescent="0.25">
      <c r="A854" s="76"/>
      <c r="B854" s="76"/>
      <c r="C854" s="36" t="s">
        <v>101</v>
      </c>
      <c r="D854" s="36"/>
      <c r="E854" s="36"/>
    </row>
    <row r="855" spans="1:5" ht="15" x14ac:dyDescent="0.25">
      <c r="A855" s="49"/>
      <c r="B855" s="49" t="s">
        <v>355</v>
      </c>
      <c r="C855" s="38" t="s">
        <v>54</v>
      </c>
      <c r="D855" s="38" t="s">
        <v>1165</v>
      </c>
      <c r="E855" s="38"/>
    </row>
    <row r="856" spans="1:5" ht="15" x14ac:dyDescent="0.25">
      <c r="A856" s="50"/>
      <c r="B856" s="50"/>
      <c r="C856" s="38" t="s">
        <v>61</v>
      </c>
      <c r="D856" s="38"/>
      <c r="E856" s="38"/>
    </row>
    <row r="857" spans="1:5" ht="15" x14ac:dyDescent="0.25">
      <c r="A857" s="76" t="s">
        <v>30</v>
      </c>
      <c r="B857" s="76" t="s">
        <v>1</v>
      </c>
      <c r="C857" s="36" t="s">
        <v>209</v>
      </c>
      <c r="D857" s="36" t="s">
        <v>1170</v>
      </c>
      <c r="E857" s="36"/>
    </row>
    <row r="858" spans="1:5" ht="15" x14ac:dyDescent="0.25">
      <c r="A858" s="76"/>
      <c r="B858" s="76"/>
      <c r="C858" s="36" t="s">
        <v>216</v>
      </c>
      <c r="D858" s="36"/>
      <c r="E858" s="36"/>
    </row>
    <row r="859" spans="1:5" ht="15" x14ac:dyDescent="0.25">
      <c r="A859" s="76"/>
      <c r="B859" s="76"/>
      <c r="C859" s="36" t="s">
        <v>214</v>
      </c>
      <c r="D859" s="36"/>
      <c r="E859" s="36"/>
    </row>
    <row r="860" spans="1:5" ht="15" x14ac:dyDescent="0.25">
      <c r="A860" s="76"/>
      <c r="B860" s="76"/>
      <c r="C860" s="36" t="s">
        <v>215</v>
      </c>
      <c r="D860" s="36"/>
      <c r="E860" s="36"/>
    </row>
    <row r="861" spans="1:5" ht="15" x14ac:dyDescent="0.25">
      <c r="A861" s="76"/>
      <c r="B861" s="76"/>
      <c r="C861" s="36" t="s">
        <v>210</v>
      </c>
      <c r="D861" s="36"/>
      <c r="E861" s="36"/>
    </row>
    <row r="862" spans="1:5" ht="15" x14ac:dyDescent="0.25">
      <c r="A862" s="76"/>
      <c r="B862" s="76"/>
      <c r="C862" s="36" t="s">
        <v>213</v>
      </c>
      <c r="D862" s="36"/>
      <c r="E862" s="36"/>
    </row>
    <row r="863" spans="1:5" ht="15" x14ac:dyDescent="0.25">
      <c r="A863" s="76"/>
      <c r="B863" s="76"/>
      <c r="C863" s="36" t="s">
        <v>211</v>
      </c>
      <c r="D863" s="36"/>
      <c r="E863" s="36"/>
    </row>
    <row r="864" spans="1:5" ht="15" x14ac:dyDescent="0.25">
      <c r="A864" s="76"/>
      <c r="B864" s="76"/>
      <c r="C864" s="36" t="s">
        <v>212</v>
      </c>
      <c r="D864" s="36"/>
      <c r="E864" s="36"/>
    </row>
    <row r="865" spans="1:5" ht="15" x14ac:dyDescent="0.25">
      <c r="A865" s="76"/>
      <c r="B865" s="76"/>
      <c r="C865" s="36" t="s">
        <v>492</v>
      </c>
      <c r="D865" s="36"/>
      <c r="E865" s="36"/>
    </row>
    <row r="866" spans="1:5" ht="15" x14ac:dyDescent="0.25">
      <c r="A866" s="49" t="s">
        <v>39</v>
      </c>
      <c r="B866" s="49" t="s">
        <v>1</v>
      </c>
      <c r="C866" s="38" t="s">
        <v>217</v>
      </c>
      <c r="D866" s="38" t="s">
        <v>1169</v>
      </c>
      <c r="E866" s="38"/>
    </row>
    <row r="867" spans="1:5" ht="15" x14ac:dyDescent="0.25">
      <c r="A867" s="50"/>
      <c r="B867" s="50"/>
      <c r="C867" s="38" t="s">
        <v>218</v>
      </c>
      <c r="D867" s="38"/>
      <c r="E867" s="38"/>
    </row>
    <row r="868" spans="1:5" ht="15" x14ac:dyDescent="0.25">
      <c r="A868" s="50"/>
      <c r="B868" s="50"/>
      <c r="C868" s="38" t="s">
        <v>219</v>
      </c>
      <c r="D868" s="38"/>
      <c r="E868" s="38"/>
    </row>
    <row r="869" spans="1:5" ht="15" x14ac:dyDescent="0.25">
      <c r="A869" s="50"/>
      <c r="B869" s="50"/>
      <c r="C869" s="38" t="s">
        <v>220</v>
      </c>
      <c r="D869" s="38"/>
      <c r="E869" s="38"/>
    </row>
    <row r="870" spans="1:5" ht="15" x14ac:dyDescent="0.25">
      <c r="A870" s="50"/>
      <c r="B870" s="50"/>
      <c r="C870" s="38" t="s">
        <v>221</v>
      </c>
      <c r="D870" s="38"/>
      <c r="E870" s="38"/>
    </row>
    <row r="871" spans="1:5" ht="15" x14ac:dyDescent="0.25">
      <c r="A871" s="50"/>
      <c r="B871" s="50"/>
      <c r="C871" s="38" t="s">
        <v>222</v>
      </c>
      <c r="D871" s="38"/>
      <c r="E871" s="38"/>
    </row>
    <row r="872" spans="1:5" ht="15" x14ac:dyDescent="0.25">
      <c r="A872" s="50"/>
      <c r="B872" s="50"/>
      <c r="C872" s="38" t="s">
        <v>223</v>
      </c>
      <c r="D872" s="38"/>
      <c r="E872" s="38"/>
    </row>
    <row r="873" spans="1:5" ht="15" x14ac:dyDescent="0.25">
      <c r="A873" s="50"/>
      <c r="B873" s="50"/>
      <c r="C873" s="38" t="s">
        <v>242</v>
      </c>
      <c r="D873" s="38"/>
      <c r="E873" s="38"/>
    </row>
    <row r="874" spans="1:5" ht="15" x14ac:dyDescent="0.25">
      <c r="A874" s="76" t="s">
        <v>31</v>
      </c>
      <c r="B874" s="76" t="s">
        <v>1</v>
      </c>
      <c r="C874" s="36" t="s">
        <v>217</v>
      </c>
      <c r="D874" s="36" t="s">
        <v>1171</v>
      </c>
      <c r="E874" s="36"/>
    </row>
    <row r="875" spans="1:5" ht="15" x14ac:dyDescent="0.25">
      <c r="A875" s="76"/>
      <c r="B875" s="76"/>
      <c r="C875" s="36" t="s">
        <v>219</v>
      </c>
      <c r="D875" s="36"/>
      <c r="E875" s="36"/>
    </row>
    <row r="876" spans="1:5" ht="15" x14ac:dyDescent="0.25">
      <c r="A876" s="76"/>
      <c r="B876" s="76"/>
      <c r="C876" s="36" t="s">
        <v>221</v>
      </c>
      <c r="D876" s="36"/>
      <c r="E876" s="36"/>
    </row>
    <row r="877" spans="1:5" ht="15" x14ac:dyDescent="0.25">
      <c r="A877" s="76"/>
      <c r="B877" s="76"/>
      <c r="C877" s="36" t="s">
        <v>1201</v>
      </c>
      <c r="D877" s="36"/>
      <c r="E877" s="36"/>
    </row>
    <row r="878" spans="1:5" ht="15" x14ac:dyDescent="0.25">
      <c r="A878" s="76"/>
      <c r="B878" s="76"/>
      <c r="C878" s="36" t="s">
        <v>101</v>
      </c>
      <c r="D878" s="36"/>
      <c r="E878" s="36"/>
    </row>
    <row r="879" spans="1:5" ht="15" x14ac:dyDescent="0.25">
      <c r="A879" s="49" t="s">
        <v>32</v>
      </c>
      <c r="B879" s="49" t="s">
        <v>1</v>
      </c>
      <c r="C879" s="38" t="s">
        <v>224</v>
      </c>
      <c r="D879" s="38" t="s">
        <v>1172</v>
      </c>
      <c r="E879" s="38"/>
    </row>
    <row r="880" spans="1:5" ht="15" x14ac:dyDescent="0.25">
      <c r="A880" s="50"/>
      <c r="B880" s="50"/>
      <c r="C880" s="38" t="s">
        <v>225</v>
      </c>
      <c r="D880" s="38"/>
      <c r="E880" s="38"/>
    </row>
    <row r="881" spans="1:6" ht="15" x14ac:dyDescent="0.25">
      <c r="A881" s="50"/>
      <c r="B881" s="50"/>
      <c r="C881" s="38" t="s">
        <v>226</v>
      </c>
      <c r="D881" s="38"/>
      <c r="E881" s="38"/>
    </row>
    <row r="882" spans="1:6" ht="15" x14ac:dyDescent="0.25">
      <c r="A882" s="50"/>
      <c r="B882" s="50"/>
      <c r="C882" s="38" t="s">
        <v>242</v>
      </c>
      <c r="D882" s="38"/>
      <c r="E882" s="38"/>
    </row>
    <row r="883" spans="1:6" ht="15" x14ac:dyDescent="0.25">
      <c r="A883" s="50"/>
      <c r="B883" s="50"/>
      <c r="C883" s="38" t="s">
        <v>227</v>
      </c>
      <c r="D883" s="38"/>
      <c r="E883" s="38"/>
    </row>
    <row r="884" spans="1:6" ht="15" x14ac:dyDescent="0.25">
      <c r="A884" s="50"/>
      <c r="B884" s="50"/>
      <c r="C884" s="38" t="s">
        <v>594</v>
      </c>
      <c r="D884" s="38"/>
      <c r="E884" s="38"/>
    </row>
    <row r="885" spans="1:6" ht="15" x14ac:dyDescent="0.25">
      <c r="A885" s="50"/>
      <c r="B885" s="50"/>
      <c r="C885" s="38" t="s">
        <v>298</v>
      </c>
      <c r="D885" s="38"/>
      <c r="E885" s="38"/>
    </row>
    <row r="886" spans="1:6" ht="15" x14ac:dyDescent="0.25">
      <c r="A886" s="50"/>
      <c r="B886" s="50"/>
      <c r="C886" s="38" t="s">
        <v>299</v>
      </c>
      <c r="D886" s="38"/>
      <c r="E886" s="38"/>
    </row>
    <row r="887" spans="1:6" ht="15" x14ac:dyDescent="0.25">
      <c r="A887" s="50"/>
      <c r="B887" s="50"/>
      <c r="C887" s="38" t="s">
        <v>1200</v>
      </c>
      <c r="D887" s="38"/>
      <c r="E887" s="38"/>
    </row>
    <row r="888" spans="1:6" ht="15" x14ac:dyDescent="0.25">
      <c r="A888" s="50"/>
      <c r="B888" s="50"/>
      <c r="C888" s="38" t="s">
        <v>283</v>
      </c>
      <c r="D888" s="38"/>
      <c r="E888" s="38"/>
    </row>
    <row r="889" spans="1:6" ht="15" x14ac:dyDescent="0.25">
      <c r="A889" s="50"/>
      <c r="B889" s="50"/>
      <c r="C889" s="38" t="s">
        <v>1188</v>
      </c>
      <c r="D889" s="38"/>
      <c r="E889" s="38" t="s">
        <v>1189</v>
      </c>
      <c r="F889" t="s">
        <v>1131</v>
      </c>
    </row>
    <row r="890" spans="1:6" ht="15" x14ac:dyDescent="0.25">
      <c r="A890" s="51"/>
      <c r="B890" s="51"/>
      <c r="C890" s="38" t="s">
        <v>101</v>
      </c>
      <c r="D890" s="38"/>
      <c r="E890" s="38"/>
    </row>
    <row r="891" spans="1:6" ht="15" x14ac:dyDescent="0.25">
      <c r="A891" s="65" t="s">
        <v>1162</v>
      </c>
      <c r="B891" s="65" t="s">
        <v>1</v>
      </c>
      <c r="C891" s="36" t="s">
        <v>72</v>
      </c>
      <c r="D891" s="36" t="s">
        <v>1173</v>
      </c>
      <c r="E891" s="36"/>
    </row>
    <row r="892" spans="1:6" ht="15" x14ac:dyDescent="0.25">
      <c r="A892" s="66"/>
      <c r="B892" s="66"/>
      <c r="C892" s="36" t="s">
        <v>228</v>
      </c>
      <c r="D892" s="36"/>
      <c r="E892" s="36"/>
    </row>
    <row r="893" spans="1:6" ht="15" x14ac:dyDescent="0.25">
      <c r="A893" s="66"/>
      <c r="B893" s="66"/>
      <c r="C893" s="36" t="s">
        <v>448</v>
      </c>
      <c r="D893" s="36"/>
      <c r="E893" s="36"/>
    </row>
    <row r="894" spans="1:6" ht="15" x14ac:dyDescent="0.25">
      <c r="A894" s="66"/>
      <c r="B894" s="66"/>
      <c r="C894" s="36" t="s">
        <v>160</v>
      </c>
      <c r="D894" s="36"/>
      <c r="E894" s="36"/>
    </row>
    <row r="895" spans="1:6" ht="15" x14ac:dyDescent="0.25">
      <c r="A895" s="66"/>
      <c r="B895" s="66"/>
      <c r="C895" s="36" t="s">
        <v>1194</v>
      </c>
      <c r="D895" s="36"/>
      <c r="E895" s="36"/>
    </row>
    <row r="896" spans="1:6" ht="15" x14ac:dyDescent="0.25">
      <c r="A896" s="66"/>
      <c r="B896" s="66"/>
      <c r="C896" s="36" t="s">
        <v>407</v>
      </c>
      <c r="D896" s="36"/>
      <c r="E896" s="36" t="s">
        <v>408</v>
      </c>
    </row>
    <row r="897" spans="1:5" ht="15" x14ac:dyDescent="0.25">
      <c r="A897" s="66"/>
      <c r="B897" s="66"/>
      <c r="C897" s="36" t="s">
        <v>229</v>
      </c>
      <c r="D897" s="36"/>
      <c r="E897" s="36"/>
    </row>
    <row r="898" spans="1:5" ht="15" x14ac:dyDescent="0.25">
      <c r="A898" s="49" t="s">
        <v>33</v>
      </c>
      <c r="B898" s="49" t="s">
        <v>1</v>
      </c>
      <c r="C898" s="38" t="s">
        <v>230</v>
      </c>
      <c r="D898" s="38" t="s">
        <v>1174</v>
      </c>
      <c r="E898" s="38"/>
    </row>
    <row r="899" spans="1:5" ht="15" x14ac:dyDescent="0.25">
      <c r="A899" s="50"/>
      <c r="B899" s="50"/>
      <c r="C899" s="38" t="s">
        <v>231</v>
      </c>
      <c r="D899" s="38"/>
      <c r="E899" s="38"/>
    </row>
    <row r="900" spans="1:5" ht="15" x14ac:dyDescent="0.25">
      <c r="A900" s="50"/>
      <c r="B900" s="50"/>
      <c r="C900" s="38" t="s">
        <v>232</v>
      </c>
      <c r="D900" s="38"/>
      <c r="E900" s="38"/>
    </row>
    <row r="901" spans="1:5" ht="15" x14ac:dyDescent="0.25">
      <c r="A901" s="50"/>
      <c r="B901" s="50"/>
      <c r="C901" s="38" t="s">
        <v>233</v>
      </c>
      <c r="D901" s="38"/>
      <c r="E901" s="38"/>
    </row>
    <row r="902" spans="1:5" ht="15" x14ac:dyDescent="0.25">
      <c r="A902" s="50"/>
      <c r="B902" s="50"/>
      <c r="C902" s="38" t="s">
        <v>234</v>
      </c>
      <c r="D902" s="38"/>
      <c r="E902" s="38"/>
    </row>
    <row r="903" spans="1:5" ht="15" x14ac:dyDescent="0.25">
      <c r="A903" s="50"/>
      <c r="B903" s="50"/>
      <c r="C903" s="38" t="s">
        <v>101</v>
      </c>
      <c r="D903" s="38"/>
      <c r="E903" s="38"/>
    </row>
    <row r="904" spans="1:5" ht="15" x14ac:dyDescent="0.25">
      <c r="A904" s="65" t="s">
        <v>34</v>
      </c>
      <c r="B904" s="65" t="s">
        <v>1</v>
      </c>
      <c r="C904" s="36" t="s">
        <v>207</v>
      </c>
      <c r="D904" s="65" t="s">
        <v>1175</v>
      </c>
      <c r="E904" s="36"/>
    </row>
    <row r="905" spans="1:5" ht="15" x14ac:dyDescent="0.25">
      <c r="A905" s="66"/>
      <c r="B905" s="66"/>
      <c r="C905" s="36" t="s">
        <v>208</v>
      </c>
      <c r="D905" s="36"/>
      <c r="E905" s="36"/>
    </row>
    <row r="906" spans="1:5" ht="15" x14ac:dyDescent="0.25">
      <c r="A906" s="66"/>
      <c r="B906" s="66"/>
      <c r="C906" s="36" t="s">
        <v>72</v>
      </c>
      <c r="D906" s="36"/>
      <c r="E906" s="36"/>
    </row>
    <row r="907" spans="1:5" ht="15" x14ac:dyDescent="0.25">
      <c r="A907" s="66"/>
      <c r="B907" s="66"/>
      <c r="C907" s="36" t="s">
        <v>101</v>
      </c>
      <c r="D907" s="36"/>
      <c r="E907" s="36"/>
    </row>
    <row r="908" spans="1:5" ht="15" x14ac:dyDescent="0.25">
      <c r="A908" s="49" t="s">
        <v>36</v>
      </c>
      <c r="B908" s="49" t="s">
        <v>1</v>
      </c>
      <c r="C908" s="38" t="s">
        <v>626</v>
      </c>
      <c r="D908" s="38" t="str">
        <f>B908 &amp; " " &amp; A908</f>
        <v>מאפיין עיקרי אופציות</v>
      </c>
      <c r="E908" s="38"/>
    </row>
    <row r="909" spans="1:5" ht="15" x14ac:dyDescent="0.25">
      <c r="A909" s="50"/>
      <c r="B909" s="50"/>
      <c r="C909" s="38" t="s">
        <v>1219</v>
      </c>
      <c r="D909" s="38"/>
      <c r="E909" s="117" t="s">
        <v>627</v>
      </c>
    </row>
    <row r="910" spans="1:5" ht="15" x14ac:dyDescent="0.25">
      <c r="A910" s="50"/>
      <c r="B910" s="50"/>
      <c r="C910" s="38" t="s">
        <v>1218</v>
      </c>
      <c r="D910" s="38"/>
      <c r="E910" s="38"/>
    </row>
    <row r="911" spans="1:5" ht="15" x14ac:dyDescent="0.25">
      <c r="A911" s="50"/>
      <c r="B911" s="50"/>
      <c r="C911" s="38" t="s">
        <v>71</v>
      </c>
      <c r="D911" s="38"/>
      <c r="E911" s="38"/>
    </row>
    <row r="912" spans="1:5" ht="15" x14ac:dyDescent="0.25">
      <c r="A912" s="50"/>
      <c r="B912" s="50"/>
      <c r="C912" s="38" t="s">
        <v>628</v>
      </c>
      <c r="D912" s="38"/>
      <c r="E912" s="38"/>
    </row>
    <row r="913" spans="1:6" ht="15" x14ac:dyDescent="0.25">
      <c r="A913" s="50"/>
      <c r="B913" s="50"/>
      <c r="C913" s="38" t="s">
        <v>629</v>
      </c>
      <c r="D913" s="38"/>
      <c r="E913" s="38"/>
    </row>
    <row r="914" spans="1:6" ht="15" x14ac:dyDescent="0.25">
      <c r="A914" s="75" t="s">
        <v>38</v>
      </c>
      <c r="B914" s="75" t="s">
        <v>1</v>
      </c>
      <c r="C914" s="41" t="s">
        <v>235</v>
      </c>
      <c r="D914" s="41" t="str">
        <f>B914 &amp; " " &amp; A914</f>
        <v>מאפיין עיקרי מוצרים מובנים</v>
      </c>
      <c r="E914" s="41"/>
    </row>
    <row r="915" spans="1:6" ht="15" x14ac:dyDescent="0.25">
      <c r="A915" s="76"/>
      <c r="B915" s="76"/>
      <c r="C915" s="41" t="s">
        <v>236</v>
      </c>
      <c r="D915" s="41"/>
      <c r="E915" s="41"/>
    </row>
    <row r="916" spans="1:6" ht="15" x14ac:dyDescent="0.25">
      <c r="A916" s="76"/>
      <c r="B916" s="76"/>
      <c r="C916" s="36" t="s">
        <v>645</v>
      </c>
      <c r="D916" s="36"/>
      <c r="E916" s="36"/>
    </row>
    <row r="917" spans="1:6" ht="15" x14ac:dyDescent="0.25">
      <c r="A917" s="76"/>
      <c r="B917" s="76"/>
      <c r="C917" s="36" t="s">
        <v>646</v>
      </c>
      <c r="D917" s="36"/>
      <c r="E917" s="36"/>
    </row>
    <row r="918" spans="1:6" ht="15" x14ac:dyDescent="0.25">
      <c r="A918" s="76"/>
      <c r="B918" s="76"/>
      <c r="C918" s="36" t="s">
        <v>647</v>
      </c>
      <c r="D918" s="36"/>
      <c r="E918" s="36"/>
    </row>
    <row r="919" spans="1:6" ht="15" x14ac:dyDescent="0.25">
      <c r="A919" s="76"/>
      <c r="B919" s="76"/>
      <c r="C919" s="36" t="s">
        <v>648</v>
      </c>
      <c r="D919" s="36"/>
      <c r="E919" s="36"/>
    </row>
    <row r="920" spans="1:6" ht="15" x14ac:dyDescent="0.25">
      <c r="A920" s="71" t="s">
        <v>40</v>
      </c>
      <c r="B920" s="71" t="s">
        <v>1</v>
      </c>
      <c r="C920" s="43" t="s">
        <v>217</v>
      </c>
      <c r="D920" s="38" t="s">
        <v>1169</v>
      </c>
      <c r="E920" s="43"/>
    </row>
    <row r="921" spans="1:6" ht="15" x14ac:dyDescent="0.25">
      <c r="A921" s="53"/>
      <c r="B921" s="53"/>
      <c r="C921" s="43" t="s">
        <v>218</v>
      </c>
      <c r="D921" s="43"/>
      <c r="E921" s="43"/>
    </row>
    <row r="922" spans="1:6" ht="15" x14ac:dyDescent="0.25">
      <c r="A922" s="53"/>
      <c r="B922" s="53"/>
      <c r="C922" s="38" t="s">
        <v>219</v>
      </c>
      <c r="D922" s="38"/>
      <c r="E922" s="38"/>
    </row>
    <row r="923" spans="1:6" ht="15" x14ac:dyDescent="0.25">
      <c r="A923" s="53"/>
      <c r="B923" s="53"/>
      <c r="C923" s="38" t="s">
        <v>220</v>
      </c>
      <c r="D923" s="38"/>
      <c r="E923" s="38"/>
    </row>
    <row r="924" spans="1:6" ht="15" x14ac:dyDescent="0.25">
      <c r="A924" s="53"/>
      <c r="B924" s="53"/>
      <c r="C924" s="38" t="s">
        <v>221</v>
      </c>
      <c r="D924" s="38"/>
      <c r="E924" s="38"/>
    </row>
    <row r="925" spans="1:6" ht="15" x14ac:dyDescent="0.25">
      <c r="A925" s="53"/>
      <c r="B925" s="53"/>
      <c r="C925" s="38" t="s">
        <v>222</v>
      </c>
      <c r="D925" s="38"/>
      <c r="E925" s="38"/>
    </row>
    <row r="926" spans="1:6" ht="15" x14ac:dyDescent="0.25">
      <c r="A926" s="53"/>
      <c r="B926" s="53"/>
      <c r="C926" s="43" t="s">
        <v>223</v>
      </c>
      <c r="D926" s="43"/>
      <c r="E926" s="43"/>
    </row>
    <row r="927" spans="1:6" ht="15" x14ac:dyDescent="0.25">
      <c r="A927" s="53"/>
      <c r="B927" s="53"/>
      <c r="C927" s="43" t="s">
        <v>242</v>
      </c>
      <c r="D927" s="43"/>
      <c r="E927" s="43"/>
    </row>
    <row r="928" spans="1:6" ht="15" x14ac:dyDescent="0.25">
      <c r="A928" s="75" t="s">
        <v>41</v>
      </c>
      <c r="B928" s="75" t="s">
        <v>1</v>
      </c>
      <c r="C928" s="41" t="s">
        <v>597</v>
      </c>
      <c r="D928" s="41" t="str">
        <f>B928 &amp; " " &amp; A928</f>
        <v>מאפיין עיקרי לא סחיר איגרות חוב מיועדות</v>
      </c>
      <c r="E928" s="41"/>
      <c r="F928" s="42"/>
    </row>
    <row r="929" spans="1:6" ht="15" x14ac:dyDescent="0.25">
      <c r="A929" s="76"/>
      <c r="B929" s="76"/>
      <c r="C929" s="41" t="s">
        <v>633</v>
      </c>
      <c r="D929" s="41"/>
      <c r="E929" s="41"/>
      <c r="F929" s="42"/>
    </row>
    <row r="930" spans="1:6" ht="15" x14ac:dyDescent="0.25">
      <c r="A930" s="76"/>
      <c r="B930" s="76"/>
      <c r="C930" s="36" t="s">
        <v>634</v>
      </c>
      <c r="D930" s="36"/>
      <c r="E930" s="36"/>
      <c r="F930" s="42"/>
    </row>
    <row r="931" spans="1:6" ht="15" x14ac:dyDescent="0.25">
      <c r="A931" s="76"/>
      <c r="B931" s="76"/>
      <c r="C931" s="36" t="s">
        <v>635</v>
      </c>
      <c r="D931" s="36"/>
      <c r="E931" s="36"/>
      <c r="F931" s="42"/>
    </row>
    <row r="932" spans="1:6" ht="15" x14ac:dyDescent="0.25">
      <c r="A932" s="76"/>
      <c r="B932" s="76"/>
      <c r="C932" s="36" t="s">
        <v>598</v>
      </c>
      <c r="D932" s="36"/>
      <c r="E932" s="36"/>
      <c r="F932" s="42"/>
    </row>
    <row r="933" spans="1:6" ht="15" x14ac:dyDescent="0.25">
      <c r="A933" s="76"/>
      <c r="B933" s="76"/>
      <c r="C933" s="36" t="s">
        <v>101</v>
      </c>
      <c r="D933" s="36"/>
      <c r="E933" s="36"/>
    </row>
    <row r="934" spans="1:6" ht="15" x14ac:dyDescent="0.25">
      <c r="A934" s="71" t="s">
        <v>652</v>
      </c>
      <c r="B934" s="71" t="s">
        <v>1</v>
      </c>
      <c r="C934" s="38" t="s">
        <v>887</v>
      </c>
      <c r="D934" s="38" t="str">
        <f>B934 &amp; " " &amp; A934</f>
        <v>מאפיין עיקרי אפיק השקעה מובטח תשואה</v>
      </c>
      <c r="E934" s="38"/>
    </row>
    <row r="935" spans="1:6" ht="15" x14ac:dyDescent="0.25">
      <c r="A935" s="53"/>
      <c r="B935" s="53"/>
      <c r="C935" s="38" t="s">
        <v>655</v>
      </c>
      <c r="D935" s="38"/>
      <c r="E935" s="38"/>
    </row>
    <row r="936" spans="1:6" ht="15" x14ac:dyDescent="0.25">
      <c r="A936" s="53"/>
      <c r="B936" s="53"/>
      <c r="C936" s="38" t="s">
        <v>1195</v>
      </c>
      <c r="D936" s="38"/>
      <c r="E936" s="38"/>
    </row>
    <row r="937" spans="1:6" ht="15" x14ac:dyDescent="0.25">
      <c r="A937" s="72" t="s">
        <v>42</v>
      </c>
      <c r="B937" s="72" t="s">
        <v>1</v>
      </c>
      <c r="C937" s="41" t="s">
        <v>225</v>
      </c>
      <c r="D937" s="41" t="str">
        <f>B937 &amp; " " &amp; A937</f>
        <v>מאפיין עיקרי לא סחיר ניירות ערך מסחריים</v>
      </c>
      <c r="E937" s="41"/>
    </row>
    <row r="938" spans="1:6" ht="15" x14ac:dyDescent="0.25">
      <c r="A938" s="73"/>
      <c r="B938" s="73"/>
      <c r="C938" s="36" t="s">
        <v>224</v>
      </c>
      <c r="D938" s="41"/>
      <c r="E938" s="41"/>
    </row>
    <row r="939" spans="1:6" ht="15" x14ac:dyDescent="0.25">
      <c r="A939" s="73"/>
      <c r="B939" s="73"/>
      <c r="C939" s="36" t="s">
        <v>226</v>
      </c>
      <c r="D939" s="36"/>
      <c r="E939" s="36"/>
    </row>
    <row r="940" spans="1:6" ht="15" x14ac:dyDescent="0.25">
      <c r="A940" s="73"/>
      <c r="B940" s="73"/>
      <c r="C940" s="36" t="s">
        <v>242</v>
      </c>
      <c r="D940" s="36"/>
      <c r="E940" s="36"/>
    </row>
    <row r="941" spans="1:6" ht="15" x14ac:dyDescent="0.25">
      <c r="A941" s="73"/>
      <c r="B941" s="73"/>
      <c r="C941" s="36" t="s">
        <v>1185</v>
      </c>
      <c r="D941" s="36"/>
      <c r="E941" s="36"/>
    </row>
    <row r="942" spans="1:6" ht="15" x14ac:dyDescent="0.25">
      <c r="A942" s="73"/>
      <c r="B942" s="73"/>
      <c r="C942" s="36" t="s">
        <v>1184</v>
      </c>
      <c r="D942" s="36"/>
      <c r="E942" s="36"/>
    </row>
    <row r="943" spans="1:6" ht="15" x14ac:dyDescent="0.25">
      <c r="A943" s="73"/>
      <c r="B943" s="73"/>
      <c r="C943" s="36" t="s">
        <v>1186</v>
      </c>
      <c r="D943" s="36"/>
      <c r="E943" s="36"/>
    </row>
    <row r="944" spans="1:6" ht="15" x14ac:dyDescent="0.25">
      <c r="A944" s="73"/>
      <c r="B944" s="73"/>
      <c r="C944" s="36" t="s">
        <v>1199</v>
      </c>
      <c r="D944" s="36"/>
      <c r="E944" s="36"/>
    </row>
    <row r="945" spans="1:5" ht="15" x14ac:dyDescent="0.25">
      <c r="A945" s="73"/>
      <c r="B945" s="73"/>
      <c r="C945" s="36" t="s">
        <v>101</v>
      </c>
      <c r="D945" s="36"/>
      <c r="E945" s="36"/>
    </row>
    <row r="946" spans="1:5" ht="15" x14ac:dyDescent="0.25">
      <c r="A946" s="79" t="s">
        <v>43</v>
      </c>
      <c r="B946" s="79" t="s">
        <v>1</v>
      </c>
      <c r="C946" s="43" t="s">
        <v>224</v>
      </c>
      <c r="D946" s="38" t="str">
        <f>B946 &amp; " " &amp; A946</f>
        <v>מאפיין עיקרי לא סחיר איגרות חוב</v>
      </c>
      <c r="E946" s="43"/>
    </row>
    <row r="947" spans="1:5" ht="15" x14ac:dyDescent="0.25">
      <c r="A947" s="80"/>
      <c r="B947" s="80"/>
      <c r="C947" s="43" t="s">
        <v>225</v>
      </c>
      <c r="D947" s="43"/>
      <c r="E947" s="43"/>
    </row>
    <row r="948" spans="1:5" ht="15" x14ac:dyDescent="0.25">
      <c r="A948" s="80"/>
      <c r="B948" s="80"/>
      <c r="C948" s="38" t="s">
        <v>226</v>
      </c>
      <c r="D948" s="38"/>
      <c r="E948" s="38"/>
    </row>
    <row r="949" spans="1:5" ht="15" x14ac:dyDescent="0.25">
      <c r="A949" s="80"/>
      <c r="B949" s="80"/>
      <c r="C949" s="38" t="s">
        <v>242</v>
      </c>
      <c r="D949" s="38"/>
      <c r="E949" s="38"/>
    </row>
    <row r="950" spans="1:5" ht="15" x14ac:dyDescent="0.25">
      <c r="A950" s="80"/>
      <c r="B950" s="80"/>
      <c r="C950" s="38" t="s">
        <v>227</v>
      </c>
      <c r="D950" s="38"/>
      <c r="E950" s="38"/>
    </row>
    <row r="951" spans="1:5" ht="15" x14ac:dyDescent="0.25">
      <c r="A951" s="80"/>
      <c r="B951" s="80"/>
      <c r="C951" s="38" t="s">
        <v>594</v>
      </c>
      <c r="D951" s="38"/>
      <c r="E951" s="38"/>
    </row>
    <row r="952" spans="1:5" ht="15" x14ac:dyDescent="0.25">
      <c r="A952" s="80"/>
      <c r="B952" s="80"/>
      <c r="C952" s="43" t="s">
        <v>298</v>
      </c>
      <c r="D952" s="43"/>
      <c r="E952" s="43"/>
    </row>
    <row r="953" spans="1:5" ht="15" x14ac:dyDescent="0.25">
      <c r="A953" s="80"/>
      <c r="B953" s="80"/>
      <c r="C953" s="38" t="s">
        <v>299</v>
      </c>
      <c r="D953" s="38"/>
      <c r="E953" s="38"/>
    </row>
    <row r="954" spans="1:5" ht="15" x14ac:dyDescent="0.25">
      <c r="A954" s="80"/>
      <c r="B954" s="80"/>
      <c r="C954" s="43" t="s">
        <v>1200</v>
      </c>
      <c r="D954" s="43"/>
      <c r="E954" s="43"/>
    </row>
    <row r="955" spans="1:5" ht="15" x14ac:dyDescent="0.25">
      <c r="A955" s="80"/>
      <c r="B955" s="80"/>
      <c r="C955" s="43" t="s">
        <v>283</v>
      </c>
      <c r="D955" s="43"/>
      <c r="E955" s="43"/>
    </row>
    <row r="956" spans="1:5" ht="15" x14ac:dyDescent="0.25">
      <c r="A956" s="80"/>
      <c r="B956" s="80"/>
      <c r="C956" s="43" t="s">
        <v>1184</v>
      </c>
      <c r="D956" s="43"/>
      <c r="E956" s="43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ht="15" x14ac:dyDescent="0.25">
      <c r="A957" s="80"/>
      <c r="B957" s="80"/>
      <c r="C957" s="43" t="s">
        <v>1185</v>
      </c>
      <c r="D957" s="43"/>
      <c r="E957" s="43"/>
    </row>
    <row r="958" spans="1:5" ht="15" x14ac:dyDescent="0.25">
      <c r="A958" s="80"/>
      <c r="B958" s="80"/>
      <c r="C958" s="43" t="s">
        <v>1186</v>
      </c>
      <c r="D958" s="43"/>
      <c r="E958" s="43"/>
    </row>
    <row r="959" spans="1:5" ht="15" x14ac:dyDescent="0.25">
      <c r="A959" s="80"/>
      <c r="B959" s="80"/>
      <c r="C959" s="43" t="s">
        <v>1199</v>
      </c>
      <c r="D959" s="43"/>
      <c r="E959" s="43"/>
    </row>
    <row r="960" spans="1:5" ht="15" x14ac:dyDescent="0.25">
      <c r="A960" s="80"/>
      <c r="B960" s="80"/>
      <c r="C960" s="43" t="s">
        <v>1187</v>
      </c>
      <c r="D960" s="43"/>
      <c r="E960" s="43"/>
    </row>
    <row r="961" spans="1:6" ht="15" x14ac:dyDescent="0.25">
      <c r="A961" s="80"/>
      <c r="B961" s="80"/>
      <c r="C961" s="38" t="s">
        <v>1188</v>
      </c>
      <c r="D961" s="38"/>
      <c r="E961" s="38" t="s">
        <v>745</v>
      </c>
      <c r="F961" t="s">
        <v>1131</v>
      </c>
    </row>
    <row r="962" spans="1:6" ht="15" x14ac:dyDescent="0.25">
      <c r="A962" s="103"/>
      <c r="B962" s="103"/>
      <c r="C962" s="38" t="s">
        <v>101</v>
      </c>
      <c r="D962" s="38"/>
      <c r="E962" s="38"/>
    </row>
    <row r="963" spans="1:6" ht="14.25" customHeight="1" x14ac:dyDescent="0.25">
      <c r="A963" s="72" t="s">
        <v>1163</v>
      </c>
      <c r="B963" s="72" t="s">
        <v>1</v>
      </c>
      <c r="C963" s="41" t="s">
        <v>454</v>
      </c>
      <c r="D963" s="41" t="str">
        <f>B963 &amp; " " &amp; A963</f>
        <v>מאפיין עיקרי לא סחיר מניות מבכ ויהש</v>
      </c>
      <c r="E963" s="41"/>
    </row>
    <row r="964" spans="1:6" ht="15" x14ac:dyDescent="0.25">
      <c r="A964" s="73"/>
      <c r="B964" s="73"/>
      <c r="C964" s="41" t="s">
        <v>455</v>
      </c>
      <c r="D964" s="41"/>
      <c r="E964" s="41"/>
    </row>
    <row r="965" spans="1:6" ht="15" x14ac:dyDescent="0.25">
      <c r="A965" s="73"/>
      <c r="B965" s="73"/>
      <c r="C965" s="36" t="s">
        <v>456</v>
      </c>
      <c r="D965" s="36"/>
      <c r="E965" s="36"/>
    </row>
    <row r="966" spans="1:6" ht="15" x14ac:dyDescent="0.25">
      <c r="A966" s="73"/>
      <c r="B966" s="73"/>
      <c r="C966" s="36" t="s">
        <v>458</v>
      </c>
      <c r="D966" s="36"/>
      <c r="E966" s="36"/>
    </row>
    <row r="967" spans="1:6" ht="15" x14ac:dyDescent="0.25">
      <c r="A967" s="73"/>
      <c r="B967" s="73"/>
      <c r="C967" s="36" t="s">
        <v>453</v>
      </c>
      <c r="D967" s="36"/>
      <c r="E967" s="36"/>
    </row>
    <row r="968" spans="1:6" ht="15" x14ac:dyDescent="0.25">
      <c r="A968" s="73"/>
      <c r="B968" s="73"/>
      <c r="C968" s="41" t="s">
        <v>452</v>
      </c>
      <c r="D968" s="41"/>
      <c r="E968" s="41"/>
    </row>
    <row r="969" spans="1:6" ht="15" x14ac:dyDescent="0.25">
      <c r="A969" s="73"/>
      <c r="B969" s="73"/>
      <c r="C969" s="41" t="s">
        <v>304</v>
      </c>
      <c r="D969" s="41"/>
      <c r="E969" s="41"/>
    </row>
    <row r="970" spans="1:6" ht="15" x14ac:dyDescent="0.25">
      <c r="A970" s="73"/>
      <c r="B970" s="73"/>
      <c r="C970" s="36" t="s">
        <v>461</v>
      </c>
      <c r="D970" s="36"/>
      <c r="E970" s="36" t="s">
        <v>610</v>
      </c>
    </row>
    <row r="971" spans="1:6" ht="15" x14ac:dyDescent="0.25">
      <c r="A971" s="73"/>
      <c r="B971" s="73"/>
      <c r="C971" s="36" t="s">
        <v>407</v>
      </c>
      <c r="D971" s="36"/>
      <c r="E971" s="36" t="s">
        <v>408</v>
      </c>
    </row>
    <row r="972" spans="1:6" ht="15" x14ac:dyDescent="0.25">
      <c r="A972" s="73"/>
      <c r="B972" s="73"/>
      <c r="C972" s="36" t="s">
        <v>101</v>
      </c>
      <c r="D972" s="36"/>
      <c r="E972" s="36"/>
    </row>
    <row r="973" spans="1:6" ht="15" x14ac:dyDescent="0.25">
      <c r="A973" s="79" t="s">
        <v>44</v>
      </c>
      <c r="B973" s="79" t="s">
        <v>1</v>
      </c>
      <c r="C973" s="38" t="s">
        <v>729</v>
      </c>
      <c r="D973" s="38" t="str">
        <f>B973 &amp; " " &amp; A973</f>
        <v>מאפיין עיקרי קרנות השקעה</v>
      </c>
      <c r="E973" s="38"/>
    </row>
    <row r="974" spans="1:6" ht="15" x14ac:dyDescent="0.25">
      <c r="A974" s="80"/>
      <c r="B974" s="80"/>
      <c r="C974" s="38" t="s">
        <v>728</v>
      </c>
      <c r="D974" s="38"/>
      <c r="E974" s="38"/>
    </row>
    <row r="975" spans="1:6" ht="15" x14ac:dyDescent="0.25">
      <c r="A975" s="80"/>
      <c r="B975" s="80"/>
      <c r="C975" s="38" t="s">
        <v>238</v>
      </c>
      <c r="D975" s="38"/>
      <c r="E975" s="38"/>
    </row>
    <row r="976" spans="1:6" ht="15" x14ac:dyDescent="0.25">
      <c r="A976" s="80"/>
      <c r="B976" s="80"/>
      <c r="C976" s="38" t="s">
        <v>274</v>
      </c>
      <c r="D976" s="38"/>
      <c r="E976" s="38"/>
    </row>
    <row r="977" spans="1:6" ht="15" x14ac:dyDescent="0.25">
      <c r="A977" s="80"/>
      <c r="B977" s="80"/>
      <c r="C977" s="38" t="s">
        <v>273</v>
      </c>
      <c r="D977" s="38"/>
      <c r="E977" s="38"/>
    </row>
    <row r="978" spans="1:6" ht="15" x14ac:dyDescent="0.25">
      <c r="A978" s="80"/>
      <c r="B978" s="80"/>
      <c r="C978" s="38" t="s">
        <v>237</v>
      </c>
      <c r="D978" s="38"/>
      <c r="E978" s="38"/>
    </row>
    <row r="979" spans="1:6" ht="15" x14ac:dyDescent="0.25">
      <c r="A979" s="80"/>
      <c r="B979" s="80"/>
      <c r="C979" s="38" t="s">
        <v>885</v>
      </c>
      <c r="D979" s="38"/>
      <c r="E979" s="38"/>
    </row>
    <row r="980" spans="1:6" ht="15" x14ac:dyDescent="0.25">
      <c r="A980" s="80"/>
      <c r="B980" s="80"/>
      <c r="C980" s="38" t="s">
        <v>1096</v>
      </c>
      <c r="D980" s="38"/>
      <c r="E980" s="38"/>
      <c r="F980" t="s">
        <v>1131</v>
      </c>
    </row>
    <row r="981" spans="1:6" ht="15" x14ac:dyDescent="0.25">
      <c r="A981" s="81" t="s">
        <v>46</v>
      </c>
      <c r="B981" s="72" t="s">
        <v>1</v>
      </c>
      <c r="C981" s="36" t="s">
        <v>626</v>
      </c>
      <c r="D981" s="41" t="str">
        <f>B981 &amp; " " &amp; A981</f>
        <v>מאפיין עיקרי לא סחיר אופציות</v>
      </c>
      <c r="E981" s="36"/>
    </row>
    <row r="982" spans="1:6" ht="15" x14ac:dyDescent="0.25">
      <c r="A982" s="82"/>
      <c r="B982" s="73"/>
      <c r="C982" s="36" t="s">
        <v>1219</v>
      </c>
      <c r="D982" s="36"/>
      <c r="E982" s="110" t="s">
        <v>627</v>
      </c>
    </row>
    <row r="983" spans="1:6" ht="15" x14ac:dyDescent="0.25">
      <c r="A983" s="82"/>
      <c r="B983" s="73"/>
      <c r="C983" s="36" t="s">
        <v>1218</v>
      </c>
      <c r="D983" s="36"/>
      <c r="E983" s="110"/>
    </row>
    <row r="984" spans="1:6" ht="15" x14ac:dyDescent="0.25">
      <c r="A984" s="82"/>
      <c r="B984" s="73"/>
      <c r="C984" s="36" t="s">
        <v>71</v>
      </c>
      <c r="D984" s="36"/>
      <c r="E984" s="36"/>
    </row>
    <row r="985" spans="1:6" ht="15" x14ac:dyDescent="0.25">
      <c r="A985" s="82"/>
      <c r="B985" s="73"/>
      <c r="C985" s="36" t="s">
        <v>628</v>
      </c>
      <c r="D985" s="36"/>
      <c r="E985" s="36"/>
    </row>
    <row r="986" spans="1:6" ht="15" x14ac:dyDescent="0.25">
      <c r="A986" s="82"/>
      <c r="B986" s="73"/>
      <c r="C986" s="36" t="s">
        <v>629</v>
      </c>
      <c r="D986" s="36"/>
      <c r="E986" s="36"/>
    </row>
    <row r="987" spans="1:6" ht="15" x14ac:dyDescent="0.25">
      <c r="A987" s="82"/>
      <c r="B987" s="73"/>
      <c r="C987" s="36" t="s">
        <v>910</v>
      </c>
      <c r="D987" s="36"/>
      <c r="E987" s="36"/>
      <c r="F987" t="s">
        <v>1131</v>
      </c>
    </row>
    <row r="988" spans="1:6" ht="15" x14ac:dyDescent="0.25">
      <c r="A988" s="83" t="s">
        <v>47</v>
      </c>
      <c r="B988" s="79" t="s">
        <v>1</v>
      </c>
      <c r="C988" s="38" t="s">
        <v>457</v>
      </c>
      <c r="D988" s="38" t="str">
        <f>B988 &amp; " " &amp; A988</f>
        <v>מאפיין עיקרי הלוואות</v>
      </c>
      <c r="E988" s="38"/>
    </row>
    <row r="989" spans="1:6" ht="15" x14ac:dyDescent="0.25">
      <c r="A989" s="84"/>
      <c r="B989" s="80"/>
      <c r="C989" s="38" t="s">
        <v>612</v>
      </c>
      <c r="D989" s="38"/>
      <c r="E989" s="38"/>
    </row>
    <row r="990" spans="1:6" ht="15" x14ac:dyDescent="0.25">
      <c r="A990" s="84"/>
      <c r="B990" s="80"/>
      <c r="C990" s="38" t="s">
        <v>239</v>
      </c>
      <c r="D990" s="38"/>
      <c r="E990" s="38"/>
    </row>
    <row r="991" spans="1:6" ht="15" x14ac:dyDescent="0.25">
      <c r="A991" s="84"/>
      <c r="B991" s="80"/>
      <c r="C991" s="38" t="s">
        <v>240</v>
      </c>
      <c r="D991" s="38"/>
      <c r="E991" s="38"/>
    </row>
    <row r="992" spans="1:6" ht="15" x14ac:dyDescent="0.25">
      <c r="A992" s="84"/>
      <c r="B992" s="80"/>
      <c r="C992" s="38" t="s">
        <v>613</v>
      </c>
      <c r="D992" s="38"/>
      <c r="E992" s="38"/>
    </row>
    <row r="993" spans="1:6" ht="15" x14ac:dyDescent="0.25">
      <c r="A993" s="84"/>
      <c r="B993" s="80"/>
      <c r="C993" s="38" t="s">
        <v>241</v>
      </c>
      <c r="D993" s="38"/>
      <c r="E993" s="38"/>
    </row>
    <row r="994" spans="1:6" ht="15" x14ac:dyDescent="0.25">
      <c r="A994" s="104"/>
      <c r="B994" s="103"/>
      <c r="C994" s="38" t="s">
        <v>101</v>
      </c>
      <c r="D994" s="38"/>
      <c r="E994" s="38"/>
    </row>
    <row r="995" spans="1:6" ht="15" x14ac:dyDescent="0.25">
      <c r="A995" s="72" t="s">
        <v>449</v>
      </c>
      <c r="B995" s="72" t="s">
        <v>1</v>
      </c>
      <c r="C995" s="36" t="s">
        <v>341</v>
      </c>
      <c r="D995" s="41" t="str">
        <f>B995 &amp; " " &amp; A995</f>
        <v>מאפיין עיקרי לא סחיר נגזרים אחרים</v>
      </c>
      <c r="E995" s="36"/>
      <c r="F995" t="s">
        <v>1132</v>
      </c>
    </row>
    <row r="996" spans="1:6" ht="15" x14ac:dyDescent="0.25">
      <c r="A996" s="73"/>
      <c r="B996" s="73"/>
      <c r="C996" s="36" t="s">
        <v>342</v>
      </c>
      <c r="D996" s="36"/>
      <c r="E996" s="36"/>
    </row>
    <row r="997" spans="1:6" ht="15" x14ac:dyDescent="0.25">
      <c r="A997" s="73"/>
      <c r="B997" s="73"/>
      <c r="C997" s="36" t="s">
        <v>343</v>
      </c>
      <c r="D997" s="36"/>
      <c r="E997" s="36"/>
    </row>
    <row r="998" spans="1:6" ht="15" x14ac:dyDescent="0.25">
      <c r="A998" s="73"/>
      <c r="B998" s="73"/>
      <c r="C998" s="36" t="s">
        <v>344</v>
      </c>
      <c r="D998" s="36"/>
      <c r="E998" s="36"/>
    </row>
    <row r="999" spans="1:6" ht="15" x14ac:dyDescent="0.25">
      <c r="A999" s="73"/>
      <c r="B999" s="73"/>
      <c r="C999" s="36" t="s">
        <v>345</v>
      </c>
      <c r="D999" s="36"/>
      <c r="E999" s="36"/>
    </row>
    <row r="1000" spans="1:6" ht="15" x14ac:dyDescent="0.25">
      <c r="A1000" s="73"/>
      <c r="B1000" s="73"/>
      <c r="C1000" s="36" t="s">
        <v>346</v>
      </c>
      <c r="D1000" s="36"/>
      <c r="E1000" s="36"/>
    </row>
    <row r="1001" spans="1:6" ht="15" x14ac:dyDescent="0.25">
      <c r="A1001" s="73"/>
      <c r="B1001" s="73"/>
      <c r="C1001" s="36" t="s">
        <v>390</v>
      </c>
      <c r="D1001" s="36"/>
      <c r="E1001" s="36"/>
    </row>
    <row r="1002" spans="1:6" ht="15" x14ac:dyDescent="0.25">
      <c r="A1002" s="73"/>
      <c r="B1002" s="73"/>
      <c r="C1002" s="36" t="s">
        <v>391</v>
      </c>
      <c r="D1002" s="36"/>
      <c r="E1002" s="36"/>
    </row>
    <row r="1003" spans="1:6" ht="15" x14ac:dyDescent="0.25">
      <c r="A1003" s="73"/>
      <c r="B1003" s="73"/>
      <c r="C1003" s="36" t="s">
        <v>1078</v>
      </c>
      <c r="D1003" s="36"/>
      <c r="E1003" s="36" t="s">
        <v>1103</v>
      </c>
      <c r="F1003" t="s">
        <v>1131</v>
      </c>
    </row>
    <row r="1004" spans="1:6" ht="15" x14ac:dyDescent="0.25">
      <c r="A1004" s="83" t="s">
        <v>48</v>
      </c>
      <c r="B1004" s="79" t="s">
        <v>1</v>
      </c>
      <c r="C1004" s="38" t="s">
        <v>235</v>
      </c>
      <c r="D1004" s="38" t="str">
        <f>B1004 &amp; " " &amp; A1004</f>
        <v>מאפיין עיקרי לא סחיר מוצרים מובנים</v>
      </c>
      <c r="E1004" s="38"/>
    </row>
    <row r="1005" spans="1:6" ht="15" x14ac:dyDescent="0.25">
      <c r="A1005" s="84"/>
      <c r="B1005" s="80"/>
      <c r="C1005" s="38" t="s">
        <v>236</v>
      </c>
      <c r="D1005" s="38"/>
      <c r="E1005" s="38"/>
    </row>
    <row r="1006" spans="1:6" ht="15" x14ac:dyDescent="0.25">
      <c r="A1006" s="84"/>
      <c r="B1006" s="80"/>
      <c r="C1006" s="38" t="s">
        <v>630</v>
      </c>
      <c r="D1006" s="38"/>
      <c r="E1006" s="38"/>
    </row>
    <row r="1007" spans="1:6" ht="15" x14ac:dyDescent="0.25">
      <c r="A1007" s="84"/>
      <c r="B1007" s="80"/>
      <c r="C1007" s="38" t="s">
        <v>631</v>
      </c>
      <c r="D1007" s="38"/>
      <c r="E1007" s="38"/>
    </row>
    <row r="1008" spans="1:6" ht="15" x14ac:dyDescent="0.25">
      <c r="A1008" s="84"/>
      <c r="B1008" s="80"/>
      <c r="C1008" s="38" t="s">
        <v>632</v>
      </c>
      <c r="D1008" s="38"/>
      <c r="E1008" s="38"/>
    </row>
    <row r="1009" spans="1:6" ht="15" x14ac:dyDescent="0.25">
      <c r="A1009" s="84"/>
      <c r="B1009" s="80"/>
      <c r="C1009" s="38" t="s">
        <v>653</v>
      </c>
      <c r="D1009" s="38"/>
      <c r="E1009" s="38"/>
    </row>
    <row r="1010" spans="1:6" ht="15" x14ac:dyDescent="0.25">
      <c r="A1010" s="72" t="s">
        <v>49</v>
      </c>
      <c r="B1010" s="72" t="s">
        <v>1</v>
      </c>
      <c r="C1010" s="36" t="s">
        <v>225</v>
      </c>
      <c r="D1010" s="41" t="str">
        <f>B1010 &amp; " " &amp; A1010</f>
        <v>מאפיין עיקרי פיקדונות מעל 3 חודשים</v>
      </c>
      <c r="E1010" s="36"/>
    </row>
    <row r="1011" spans="1:6" ht="15" x14ac:dyDescent="0.25">
      <c r="A1011" s="73"/>
      <c r="B1011" s="73"/>
      <c r="C1011" s="36" t="s">
        <v>224</v>
      </c>
      <c r="D1011" s="36"/>
      <c r="E1011" s="36"/>
    </row>
    <row r="1012" spans="1:6" ht="15" x14ac:dyDescent="0.25">
      <c r="A1012" s="73"/>
      <c r="B1012" s="73"/>
      <c r="C1012" s="36" t="s">
        <v>242</v>
      </c>
      <c r="D1012" s="36"/>
      <c r="E1012" s="36"/>
    </row>
    <row r="1013" spans="1:6" ht="15" x14ac:dyDescent="0.25">
      <c r="A1013" s="73"/>
      <c r="B1013" s="73"/>
      <c r="C1013" s="36" t="s">
        <v>226</v>
      </c>
      <c r="D1013" s="36"/>
      <c r="E1013" s="36"/>
    </row>
    <row r="1014" spans="1:6" ht="15" x14ac:dyDescent="0.25">
      <c r="A1014" s="73"/>
      <c r="B1014" s="73"/>
      <c r="C1014" s="36" t="s">
        <v>243</v>
      </c>
      <c r="D1014" s="36"/>
      <c r="E1014" s="36" t="s">
        <v>667</v>
      </c>
    </row>
    <row r="1015" spans="1:6" ht="15" x14ac:dyDescent="0.25">
      <c r="A1015" s="73"/>
      <c r="B1015" s="73"/>
      <c r="C1015" s="36" t="s">
        <v>101</v>
      </c>
      <c r="D1015" s="36"/>
      <c r="E1015" s="36"/>
    </row>
    <row r="1016" spans="1:6" ht="15" x14ac:dyDescent="0.25">
      <c r="A1016" s="79" t="s">
        <v>50</v>
      </c>
      <c r="B1016" s="79" t="s">
        <v>1</v>
      </c>
      <c r="C1016" s="38" t="s">
        <v>713</v>
      </c>
      <c r="D1016" s="38" t="str">
        <f>B1016 &amp; " " &amp; A1016</f>
        <v>מאפיין עיקרי זכויות מקרקעין</v>
      </c>
      <c r="E1016" s="38"/>
      <c r="F1016" t="s">
        <v>1132</v>
      </c>
    </row>
    <row r="1017" spans="1:6" ht="15" x14ac:dyDescent="0.25">
      <c r="A1017" s="80"/>
      <c r="B1017" s="80"/>
      <c r="C1017" s="38" t="s">
        <v>714</v>
      </c>
      <c r="D1017" s="38"/>
      <c r="E1017" s="38"/>
    </row>
    <row r="1018" spans="1:6" ht="15" x14ac:dyDescent="0.25">
      <c r="A1018" s="72" t="s">
        <v>51</v>
      </c>
      <c r="B1018" s="72" t="s">
        <v>1</v>
      </c>
      <c r="C1018" s="36" t="s">
        <v>676</v>
      </c>
      <c r="D1018" s="41" t="str">
        <f>B1018 &amp; " " &amp; A1018</f>
        <v>מאפיין עיקרי נכסים אחרים</v>
      </c>
      <c r="E1018" s="36"/>
    </row>
    <row r="1019" spans="1:6" ht="15" x14ac:dyDescent="0.25">
      <c r="A1019" s="73"/>
      <c r="B1019" s="73"/>
      <c r="C1019" s="36" t="s">
        <v>677</v>
      </c>
      <c r="D1019" s="36"/>
      <c r="E1019" s="36"/>
    </row>
    <row r="1020" spans="1:6" ht="15" x14ac:dyDescent="0.25">
      <c r="A1020" s="73"/>
      <c r="B1020" s="73"/>
      <c r="C1020" s="36" t="s">
        <v>678</v>
      </c>
      <c r="D1020" s="36"/>
      <c r="E1020" s="36"/>
    </row>
    <row r="1021" spans="1:6" ht="15" x14ac:dyDescent="0.25">
      <c r="A1021" s="73"/>
      <c r="B1021" s="73"/>
      <c r="C1021" s="36" t="s">
        <v>1129</v>
      </c>
      <c r="D1021" s="36"/>
      <c r="E1021" s="36"/>
      <c r="F1021" t="s">
        <v>1131</v>
      </c>
    </row>
    <row r="1022" spans="1:6" ht="15" x14ac:dyDescent="0.25">
      <c r="A1022" s="73"/>
      <c r="B1022" s="73"/>
      <c r="C1022" s="36" t="s">
        <v>679</v>
      </c>
      <c r="D1022" s="36"/>
      <c r="E1022" s="36"/>
    </row>
    <row r="1023" spans="1:6" ht="15" x14ac:dyDescent="0.25">
      <c r="A1023" s="73"/>
      <c r="B1023" s="73"/>
      <c r="C1023" s="36" t="s">
        <v>680</v>
      </c>
      <c r="D1023" s="36"/>
      <c r="E1023" s="36"/>
    </row>
    <row r="1024" spans="1:6" ht="15" x14ac:dyDescent="0.25">
      <c r="A1024" s="73"/>
      <c r="B1024" s="73"/>
      <c r="C1024" s="36" t="s">
        <v>1128</v>
      </c>
      <c r="D1024" s="36"/>
      <c r="E1024" s="36"/>
      <c r="F1024" t="s">
        <v>1131</v>
      </c>
    </row>
    <row r="1025" spans="1:5" ht="15" x14ac:dyDescent="0.25">
      <c r="A1025" s="73"/>
      <c r="B1025" s="73"/>
      <c r="C1025" s="36" t="s">
        <v>681</v>
      </c>
      <c r="D1025" s="36"/>
      <c r="E1025" s="36"/>
    </row>
    <row r="1026" spans="1:5" ht="15" x14ac:dyDescent="0.25">
      <c r="A1026" s="73"/>
      <c r="B1026" s="73"/>
      <c r="C1026" s="36" t="s">
        <v>682</v>
      </c>
      <c r="D1026" s="36"/>
      <c r="E1026" s="36"/>
    </row>
    <row r="1027" spans="1:5" ht="15" x14ac:dyDescent="0.25">
      <c r="A1027" s="73"/>
      <c r="B1027" s="73"/>
      <c r="C1027" s="36" t="s">
        <v>1196</v>
      </c>
      <c r="D1027" s="36"/>
      <c r="E1027" s="36"/>
    </row>
    <row r="1028" spans="1:5" ht="15" x14ac:dyDescent="0.25">
      <c r="A1028" s="73"/>
      <c r="B1028" s="73"/>
      <c r="C1028" s="36" t="s">
        <v>1197</v>
      </c>
      <c r="D1028" s="36"/>
      <c r="E1028" s="36"/>
    </row>
    <row r="1029" spans="1:5" ht="15" x14ac:dyDescent="0.25">
      <c r="A1029" s="73"/>
      <c r="B1029" s="73"/>
      <c r="C1029" s="36" t="s">
        <v>1198</v>
      </c>
      <c r="D1029" s="36"/>
      <c r="E1029" s="36"/>
    </row>
    <row r="1030" spans="1:5" ht="15" x14ac:dyDescent="0.25">
      <c r="A1030" s="73"/>
      <c r="B1030" s="73"/>
      <c r="C1030" s="36" t="s">
        <v>1130</v>
      </c>
      <c r="D1030" s="36"/>
      <c r="E1030" s="36"/>
    </row>
    <row r="1031" spans="1:5" ht="15" x14ac:dyDescent="0.25">
      <c r="A1031" s="73"/>
      <c r="B1031" s="73"/>
      <c r="C1031" s="36" t="s">
        <v>683</v>
      </c>
      <c r="D1031" s="36"/>
      <c r="E1031" s="36"/>
    </row>
    <row r="1032" spans="1:5" ht="15" x14ac:dyDescent="0.25">
      <c r="A1032" s="73"/>
      <c r="B1032" s="73"/>
      <c r="C1032" s="36" t="s">
        <v>684</v>
      </c>
      <c r="D1032" s="36"/>
      <c r="E1032" s="36"/>
    </row>
    <row r="1033" spans="1:5" ht="15" x14ac:dyDescent="0.25">
      <c r="A1033" s="73"/>
      <c r="B1033" s="73"/>
      <c r="C1033" s="36" t="s">
        <v>685</v>
      </c>
      <c r="D1033" s="36"/>
      <c r="E1033" s="36"/>
    </row>
    <row r="1034" spans="1:5" ht="15" x14ac:dyDescent="0.25">
      <c r="A1034" s="73"/>
      <c r="B1034" s="73"/>
      <c r="C1034" s="36" t="s">
        <v>686</v>
      </c>
      <c r="D1034" s="36"/>
      <c r="E1034" s="36"/>
    </row>
    <row r="1035" spans="1:5" ht="15" x14ac:dyDescent="0.25">
      <c r="A1035" s="73"/>
      <c r="B1035" s="73"/>
      <c r="C1035" s="36" t="s">
        <v>687</v>
      </c>
      <c r="D1035" s="36"/>
      <c r="E1035" s="36"/>
    </row>
    <row r="1036" spans="1:5" ht="15" x14ac:dyDescent="0.25">
      <c r="A1036" s="73"/>
      <c r="B1036" s="73"/>
      <c r="C1036" s="36" t="s">
        <v>688</v>
      </c>
      <c r="D1036" s="36"/>
      <c r="E1036" s="36"/>
    </row>
    <row r="1037" spans="1:5" ht="15" x14ac:dyDescent="0.25">
      <c r="A1037" s="73"/>
      <c r="B1037" s="73"/>
      <c r="C1037" s="36" t="s">
        <v>689</v>
      </c>
      <c r="D1037" s="36"/>
      <c r="E1037" s="36"/>
    </row>
    <row r="1038" spans="1:5" ht="15" x14ac:dyDescent="0.25">
      <c r="A1038" s="73"/>
      <c r="B1038" s="73"/>
      <c r="C1038" s="36" t="s">
        <v>690</v>
      </c>
      <c r="D1038" s="36"/>
      <c r="E1038" s="36"/>
    </row>
    <row r="1039" spans="1:5" ht="15" x14ac:dyDescent="0.25">
      <c r="A1039" s="73"/>
      <c r="B1039" s="73"/>
      <c r="C1039" s="36" t="s">
        <v>691</v>
      </c>
      <c r="D1039" s="36"/>
      <c r="E1039" s="36"/>
    </row>
    <row r="1040" spans="1:5" ht="15" x14ac:dyDescent="0.25">
      <c r="A1040" s="73"/>
      <c r="B1040" s="73"/>
      <c r="C1040" s="36" t="s">
        <v>878</v>
      </c>
      <c r="D1040" s="36"/>
      <c r="E1040" s="36"/>
    </row>
    <row r="1041" spans="1:6" ht="15" x14ac:dyDescent="0.25">
      <c r="A1041" s="73"/>
      <c r="B1041" s="73"/>
      <c r="C1041" s="36" t="s">
        <v>692</v>
      </c>
      <c r="D1041" s="36"/>
      <c r="E1041" s="36"/>
    </row>
    <row r="1042" spans="1:6" ht="15" x14ac:dyDescent="0.25">
      <c r="A1042" s="73"/>
      <c r="B1042" s="73"/>
      <c r="C1042" s="36" t="s">
        <v>693</v>
      </c>
      <c r="D1042" s="36"/>
      <c r="E1042" s="36"/>
    </row>
    <row r="1043" spans="1:6" ht="15" x14ac:dyDescent="0.25">
      <c r="A1043" s="73"/>
      <c r="B1043" s="73"/>
      <c r="C1043" s="36" t="s">
        <v>694</v>
      </c>
      <c r="D1043" s="36"/>
      <c r="E1043" s="36"/>
    </row>
    <row r="1044" spans="1:6" ht="15" x14ac:dyDescent="0.25">
      <c r="A1044" s="73"/>
      <c r="B1044" s="73"/>
      <c r="C1044" s="36" t="s">
        <v>695</v>
      </c>
      <c r="D1044" s="36"/>
      <c r="E1044" s="36"/>
    </row>
    <row r="1045" spans="1:6" ht="15" x14ac:dyDescent="0.25">
      <c r="A1045" s="73"/>
      <c r="B1045" s="73"/>
      <c r="C1045" s="36" t="s">
        <v>696</v>
      </c>
      <c r="D1045" s="36"/>
      <c r="E1045" s="36"/>
    </row>
    <row r="1046" spans="1:6" ht="15" x14ac:dyDescent="0.25">
      <c r="A1046" s="73"/>
      <c r="B1046" s="73"/>
      <c r="C1046" s="36" t="s">
        <v>697</v>
      </c>
      <c r="D1046" s="36"/>
      <c r="E1046" s="36"/>
    </row>
    <row r="1047" spans="1:6" ht="15" x14ac:dyDescent="0.25">
      <c r="A1047" s="73"/>
      <c r="B1047" s="73"/>
      <c r="C1047" s="36" t="s">
        <v>698</v>
      </c>
      <c r="D1047" s="36"/>
      <c r="E1047" s="36"/>
    </row>
    <row r="1048" spans="1:6" ht="15" x14ac:dyDescent="0.25">
      <c r="A1048" s="73"/>
      <c r="B1048" s="73"/>
      <c r="C1048" s="36" t="s">
        <v>699</v>
      </c>
      <c r="D1048" s="36"/>
      <c r="E1048" s="36"/>
    </row>
    <row r="1049" spans="1:6" ht="15" x14ac:dyDescent="0.25">
      <c r="A1049" s="73"/>
      <c r="B1049" s="73"/>
      <c r="C1049" s="110" t="s">
        <v>700</v>
      </c>
      <c r="D1049" s="110"/>
      <c r="E1049" s="36"/>
      <c r="F1049" t="s">
        <v>1131</v>
      </c>
    </row>
    <row r="1050" spans="1:6" ht="15" x14ac:dyDescent="0.25">
      <c r="A1050" s="73"/>
      <c r="B1050" s="73"/>
      <c r="C1050" s="36" t="s">
        <v>701</v>
      </c>
      <c r="D1050" s="36"/>
      <c r="E1050" s="36"/>
    </row>
    <row r="1051" spans="1:6" ht="15" x14ac:dyDescent="0.25">
      <c r="A1051" s="73"/>
      <c r="B1051" s="73"/>
      <c r="C1051" s="36" t="s">
        <v>101</v>
      </c>
      <c r="D1051" s="36"/>
      <c r="E1051" s="36"/>
    </row>
    <row r="1052" spans="1:6" ht="15" x14ac:dyDescent="0.25">
      <c r="A1052" s="49" t="s">
        <v>493</v>
      </c>
      <c r="B1052" s="49" t="s">
        <v>1</v>
      </c>
      <c r="C1052" s="38" t="s">
        <v>459</v>
      </c>
      <c r="D1052" s="38" t="str">
        <f>B1052 &amp; " " &amp; A1052</f>
        <v>מאפיין עיקרי השקעה בחברות מוחזקות</v>
      </c>
      <c r="E1052" s="38"/>
      <c r="F1052" t="s">
        <v>1132</v>
      </c>
    </row>
    <row r="1053" spans="1:6" ht="15" x14ac:dyDescent="0.25">
      <c r="A1053" s="50"/>
      <c r="B1053" s="50"/>
      <c r="C1053" s="38" t="s">
        <v>460</v>
      </c>
      <c r="D1053" s="38"/>
      <c r="E1053" s="38"/>
    </row>
    <row r="1054" spans="1:6" ht="15" x14ac:dyDescent="0.25">
      <c r="A1054" s="50"/>
      <c r="B1054" s="50"/>
      <c r="C1054" s="38" t="s">
        <v>101</v>
      </c>
      <c r="D1054" s="38"/>
      <c r="E1054" s="38"/>
    </row>
    <row r="1055" spans="1:6" ht="15" x14ac:dyDescent="0.25">
      <c r="A1055" s="72" t="s">
        <v>748</v>
      </c>
      <c r="B1055" s="72" t="s">
        <v>1</v>
      </c>
      <c r="C1055" s="36" t="s">
        <v>244</v>
      </c>
      <c r="D1055" s="41" t="str">
        <f>B1055 &amp; " " &amp; A1055</f>
        <v>מאפיין עיקרי יתרות התחייבות להשקעה</v>
      </c>
      <c r="E1055" s="36"/>
    </row>
    <row r="1056" spans="1:6" ht="15" x14ac:dyDescent="0.25">
      <c r="A1056" s="73"/>
      <c r="B1056" s="73"/>
      <c r="C1056" s="36" t="s">
        <v>639</v>
      </c>
      <c r="D1056" s="36"/>
      <c r="E1056" s="36" t="s">
        <v>640</v>
      </c>
    </row>
    <row r="1057" spans="1:5" ht="15" x14ac:dyDescent="0.25">
      <c r="A1057" s="73"/>
      <c r="B1057" s="73"/>
      <c r="C1057" s="36" t="s">
        <v>637</v>
      </c>
      <c r="D1057" s="36"/>
      <c r="E1057" s="36" t="s">
        <v>642</v>
      </c>
    </row>
    <row r="1058" spans="1:5" ht="15" x14ac:dyDescent="0.25">
      <c r="A1058" s="73"/>
      <c r="B1058" s="73"/>
      <c r="C1058" s="36" t="s">
        <v>638</v>
      </c>
      <c r="D1058" s="36"/>
      <c r="E1058" s="36" t="s">
        <v>641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4" zeroHeight="1" outlineLevelRow="1" x14ac:dyDescent="0.3"/>
  <cols>
    <col min="1" max="1" width="25.58203125" style="42" customWidth="1"/>
    <col min="2" max="2" width="48.75" style="42" customWidth="1"/>
    <col min="3" max="3" width="12" customWidth="1"/>
    <col min="4" max="4" width="23.4140625" style="1" customWidth="1"/>
    <col min="5" max="16384" width="9" hidden="1"/>
  </cols>
  <sheetData>
    <row r="1" spans="1:4" ht="15.5" x14ac:dyDescent="0.35">
      <c r="A1" s="89" t="s">
        <v>761</v>
      </c>
      <c r="B1" s="90" t="s">
        <v>762</v>
      </c>
      <c r="C1" s="90" t="s">
        <v>770</v>
      </c>
      <c r="D1" s="91" t="s">
        <v>900</v>
      </c>
    </row>
    <row r="2" spans="1:4" ht="15.5" hidden="1" outlineLevel="1" x14ac:dyDescent="0.3">
      <c r="A2" s="24" t="s">
        <v>30</v>
      </c>
      <c r="B2" s="25" t="s">
        <v>636</v>
      </c>
      <c r="C2" s="24">
        <v>5.0999999999999996</v>
      </c>
      <c r="D2" s="93"/>
    </row>
    <row r="3" spans="1:4" ht="15.5" hidden="1" outlineLevel="1" x14ac:dyDescent="0.3">
      <c r="A3" s="24" t="s">
        <v>30</v>
      </c>
      <c r="B3" s="25" t="s">
        <v>0</v>
      </c>
      <c r="C3" s="24">
        <v>5.2</v>
      </c>
      <c r="D3" s="93"/>
    </row>
    <row r="4" spans="1:4" ht="15.5" hidden="1" outlineLevel="1" x14ac:dyDescent="0.3">
      <c r="A4" s="24" t="s">
        <v>30</v>
      </c>
      <c r="B4" s="25" t="s">
        <v>702</v>
      </c>
      <c r="C4" s="24">
        <v>5.4</v>
      </c>
      <c r="D4" s="93"/>
    </row>
    <row r="5" spans="1:4" ht="15.5" hidden="1" outlineLevel="1" x14ac:dyDescent="0.3">
      <c r="A5" s="24" t="s">
        <v>30</v>
      </c>
      <c r="B5" s="25" t="s">
        <v>720</v>
      </c>
      <c r="C5" s="24">
        <v>5.7</v>
      </c>
      <c r="D5" s="93"/>
    </row>
    <row r="6" spans="1:4" ht="15.5" hidden="1" outlineLevel="1" x14ac:dyDescent="0.3">
      <c r="A6" s="24" t="s">
        <v>30</v>
      </c>
      <c r="B6" s="25" t="s">
        <v>721</v>
      </c>
      <c r="C6" s="24">
        <v>5.1100000000000003</v>
      </c>
      <c r="D6" s="93"/>
    </row>
    <row r="7" spans="1:4" ht="15.5" hidden="1" outlineLevel="1" x14ac:dyDescent="0.3">
      <c r="A7" s="24" t="s">
        <v>30</v>
      </c>
      <c r="B7" s="25" t="s">
        <v>1</v>
      </c>
      <c r="C7" s="24">
        <v>5.26</v>
      </c>
      <c r="D7" s="93"/>
    </row>
    <row r="8" spans="1:4" ht="15.5" hidden="1" outlineLevel="1" x14ac:dyDescent="0.3">
      <c r="A8" s="24" t="s">
        <v>30</v>
      </c>
      <c r="B8" s="25" t="s">
        <v>591</v>
      </c>
      <c r="C8" s="24">
        <v>5.27</v>
      </c>
      <c r="D8" s="93"/>
    </row>
    <row r="9" spans="1:4" ht="15.5" hidden="1" outlineLevel="1" x14ac:dyDescent="0.3">
      <c r="A9" s="24" t="s">
        <v>30</v>
      </c>
      <c r="B9" s="25" t="s">
        <v>593</v>
      </c>
      <c r="C9" s="24">
        <v>5.36</v>
      </c>
      <c r="D9" s="93"/>
    </row>
    <row r="10" spans="1:4" ht="15.5" hidden="1" outlineLevel="1" x14ac:dyDescent="0.3">
      <c r="A10" s="24" t="s">
        <v>30</v>
      </c>
      <c r="B10" s="25" t="s">
        <v>746</v>
      </c>
      <c r="C10" s="26">
        <v>5.5</v>
      </c>
      <c r="D10" s="93"/>
    </row>
    <row r="11" spans="1:4" ht="15.5" hidden="1" outlineLevel="1" x14ac:dyDescent="0.3">
      <c r="A11" s="24" t="s">
        <v>30</v>
      </c>
      <c r="B11" s="25" t="s">
        <v>7</v>
      </c>
      <c r="C11" s="24">
        <v>5.51</v>
      </c>
      <c r="D11" s="93"/>
    </row>
    <row r="12" spans="1:4" ht="15.5" hidden="1" outlineLevel="1" x14ac:dyDescent="0.3">
      <c r="A12" s="24" t="s">
        <v>30</v>
      </c>
      <c r="B12" s="25" t="s">
        <v>387</v>
      </c>
      <c r="C12" s="24">
        <v>5.53</v>
      </c>
      <c r="D12" s="93"/>
    </row>
    <row r="13" spans="1:4" ht="15.5" hidden="1" outlineLevel="1" x14ac:dyDescent="0.3">
      <c r="A13" s="24" t="s">
        <v>30</v>
      </c>
      <c r="B13" s="25" t="s">
        <v>881</v>
      </c>
      <c r="C13" s="24">
        <v>5.59</v>
      </c>
      <c r="D13" s="93"/>
    </row>
    <row r="14" spans="1:4" ht="15.5" hidden="1" outlineLevel="1" x14ac:dyDescent="0.3">
      <c r="A14" s="24" t="s">
        <v>30</v>
      </c>
      <c r="B14" s="25" t="s">
        <v>10</v>
      </c>
      <c r="C14" s="24">
        <v>5.54</v>
      </c>
      <c r="D14" s="93"/>
    </row>
    <row r="15" spans="1:4" ht="15.5" hidden="1" outlineLevel="1" x14ac:dyDescent="0.3">
      <c r="A15" s="24" t="s">
        <v>30</v>
      </c>
      <c r="B15" s="25" t="s">
        <v>13</v>
      </c>
      <c r="C15" s="26">
        <v>5.7</v>
      </c>
      <c r="D15" s="92" t="s">
        <v>893</v>
      </c>
    </row>
    <row r="16" spans="1:4" ht="15.5" hidden="1" outlineLevel="1" x14ac:dyDescent="0.3">
      <c r="A16" s="24" t="s">
        <v>30</v>
      </c>
      <c r="B16" s="25" t="s">
        <v>1105</v>
      </c>
      <c r="C16" s="24">
        <v>5.63</v>
      </c>
      <c r="D16" s="93"/>
    </row>
    <row r="17" spans="1:4" ht="15.5" hidden="1" outlineLevel="1" x14ac:dyDescent="0.3">
      <c r="A17" s="24" t="s">
        <v>30</v>
      </c>
      <c r="B17" s="25" t="s">
        <v>18</v>
      </c>
      <c r="C17" s="24">
        <v>5.47</v>
      </c>
      <c r="D17" s="93"/>
    </row>
    <row r="18" spans="1:4" ht="15.5" hidden="1" outlineLevel="1" x14ac:dyDescent="0.3">
      <c r="A18" s="24" t="s">
        <v>30</v>
      </c>
      <c r="B18" s="25" t="s">
        <v>29</v>
      </c>
      <c r="C18" s="24">
        <v>5.48</v>
      </c>
      <c r="D18" s="93"/>
    </row>
    <row r="19" spans="1:4" ht="15.5" collapsed="1" x14ac:dyDescent="0.3">
      <c r="A19" s="28" t="s">
        <v>30</v>
      </c>
      <c r="B19" s="25"/>
      <c r="C19" s="24"/>
      <c r="D19" s="93"/>
    </row>
    <row r="20" spans="1:4" ht="15.5" hidden="1" outlineLevel="1" x14ac:dyDescent="0.3">
      <c r="A20" s="24" t="s">
        <v>39</v>
      </c>
      <c r="B20" s="25" t="s">
        <v>636</v>
      </c>
      <c r="C20" s="24">
        <v>5.0999999999999996</v>
      </c>
      <c r="D20" s="93"/>
    </row>
    <row r="21" spans="1:4" ht="15.5" hidden="1" outlineLevel="1" x14ac:dyDescent="0.3">
      <c r="A21" s="24" t="s">
        <v>39</v>
      </c>
      <c r="B21" s="25" t="s">
        <v>0</v>
      </c>
      <c r="C21" s="24">
        <v>5.2</v>
      </c>
      <c r="D21" s="93"/>
    </row>
    <row r="22" spans="1:4" ht="15.5" hidden="1" outlineLevel="1" x14ac:dyDescent="0.3">
      <c r="A22" s="24" t="s">
        <v>39</v>
      </c>
      <c r="B22" s="25" t="s">
        <v>703</v>
      </c>
      <c r="C22" s="24">
        <v>5.3</v>
      </c>
      <c r="D22" s="93"/>
    </row>
    <row r="23" spans="1:4" ht="15.5" hidden="1" outlineLevel="1" x14ac:dyDescent="0.3">
      <c r="A23" s="24" t="s">
        <v>39</v>
      </c>
      <c r="B23" s="25" t="s">
        <v>3</v>
      </c>
      <c r="C23" s="24">
        <v>5.14</v>
      </c>
      <c r="D23" s="93"/>
    </row>
    <row r="24" spans="1:4" ht="15.5" hidden="1" outlineLevel="1" x14ac:dyDescent="0.3">
      <c r="A24" s="24" t="s">
        <v>39</v>
      </c>
      <c r="B24" s="25" t="s">
        <v>28</v>
      </c>
      <c r="C24" s="24">
        <v>5.19</v>
      </c>
      <c r="D24" s="93"/>
    </row>
    <row r="25" spans="1:4" ht="15.5" hidden="1" outlineLevel="1" x14ac:dyDescent="0.3">
      <c r="A25" s="24" t="s">
        <v>39</v>
      </c>
      <c r="B25" s="25" t="s">
        <v>1</v>
      </c>
      <c r="C25" s="24">
        <v>5.26</v>
      </c>
      <c r="D25" s="93"/>
    </row>
    <row r="26" spans="1:4" ht="15.5" hidden="1" outlineLevel="1" x14ac:dyDescent="0.3">
      <c r="A26" s="24" t="s">
        <v>39</v>
      </c>
      <c r="B26" s="25" t="s">
        <v>591</v>
      </c>
      <c r="C26" s="24">
        <v>5.27</v>
      </c>
      <c r="D26" s="93"/>
    </row>
    <row r="27" spans="1:4" ht="15.5" hidden="1" outlineLevel="1" x14ac:dyDescent="0.3">
      <c r="A27" s="24" t="s">
        <v>39</v>
      </c>
      <c r="B27" s="25" t="s">
        <v>592</v>
      </c>
      <c r="C27" s="24">
        <v>5.28</v>
      </c>
      <c r="D27" s="93"/>
    </row>
    <row r="28" spans="1:4" ht="15.5" hidden="1" outlineLevel="1" x14ac:dyDescent="0.3">
      <c r="A28" s="24" t="s">
        <v>39</v>
      </c>
      <c r="B28" s="25" t="s">
        <v>4</v>
      </c>
      <c r="C28" s="26">
        <v>5.3</v>
      </c>
      <c r="D28" s="93"/>
    </row>
    <row r="29" spans="1:4" ht="15.5" hidden="1" outlineLevel="1" x14ac:dyDescent="0.3">
      <c r="A29" s="24" t="s">
        <v>39</v>
      </c>
      <c r="B29" s="25" t="s">
        <v>5</v>
      </c>
      <c r="C29" s="24">
        <v>5.49</v>
      </c>
      <c r="D29" s="93"/>
    </row>
    <row r="30" spans="1:4" ht="15.5" hidden="1" outlineLevel="1" x14ac:dyDescent="0.3">
      <c r="A30" s="24" t="s">
        <v>39</v>
      </c>
      <c r="B30" s="25" t="s">
        <v>7</v>
      </c>
      <c r="C30" s="24">
        <v>5.51</v>
      </c>
      <c r="D30" s="93"/>
    </row>
    <row r="31" spans="1:4" ht="15.5" hidden="1" outlineLevel="1" x14ac:dyDescent="0.3">
      <c r="A31" s="24" t="s">
        <v>39</v>
      </c>
      <c r="B31" s="25" t="s">
        <v>387</v>
      </c>
      <c r="C31" s="24">
        <v>5.53</v>
      </c>
      <c r="D31" s="93"/>
    </row>
    <row r="32" spans="1:4" ht="15.5" hidden="1" outlineLevel="1" x14ac:dyDescent="0.3">
      <c r="A32" s="24" t="s">
        <v>39</v>
      </c>
      <c r="B32" s="25" t="s">
        <v>12</v>
      </c>
      <c r="C32" s="24">
        <v>5.69</v>
      </c>
      <c r="D32" s="93"/>
    </row>
    <row r="33" spans="1:4" ht="15.5" hidden="1" outlineLevel="1" x14ac:dyDescent="0.3">
      <c r="A33" s="24" t="s">
        <v>39</v>
      </c>
      <c r="B33" s="25" t="s">
        <v>412</v>
      </c>
      <c r="C33" s="24">
        <v>5.75</v>
      </c>
      <c r="D33" s="93"/>
    </row>
    <row r="34" spans="1:4" ht="15.5" hidden="1" outlineLevel="1" x14ac:dyDescent="0.3">
      <c r="A34" s="24" t="s">
        <v>39</v>
      </c>
      <c r="B34" s="25" t="s">
        <v>13</v>
      </c>
      <c r="C34" s="26">
        <v>5.7</v>
      </c>
      <c r="D34" s="93"/>
    </row>
    <row r="35" spans="1:4" ht="15.5" hidden="1" outlineLevel="1" x14ac:dyDescent="0.3">
      <c r="A35" s="24" t="s">
        <v>39</v>
      </c>
      <c r="B35" s="25" t="s">
        <v>608</v>
      </c>
      <c r="C35" s="24">
        <v>5.74</v>
      </c>
      <c r="D35" s="93"/>
    </row>
    <row r="36" spans="1:4" ht="15.5" hidden="1" outlineLevel="1" x14ac:dyDescent="0.3">
      <c r="A36" s="24" t="s">
        <v>39</v>
      </c>
      <c r="B36" s="25" t="s">
        <v>895</v>
      </c>
      <c r="C36" s="24">
        <v>5.62</v>
      </c>
      <c r="D36" s="93"/>
    </row>
    <row r="37" spans="1:4" ht="15.5" hidden="1" outlineLevel="1" x14ac:dyDescent="0.3">
      <c r="A37" s="24" t="s">
        <v>39</v>
      </c>
      <c r="B37" s="25" t="s">
        <v>747</v>
      </c>
      <c r="C37" s="24">
        <v>5.58</v>
      </c>
      <c r="D37" s="93"/>
    </row>
    <row r="38" spans="1:4" ht="15.5" hidden="1" outlineLevel="1" x14ac:dyDescent="0.3">
      <c r="A38" s="24" t="s">
        <v>39</v>
      </c>
      <c r="B38" s="25" t="s">
        <v>10</v>
      </c>
      <c r="C38" s="24">
        <v>5.54</v>
      </c>
      <c r="D38" s="93"/>
    </row>
    <row r="39" spans="1:4" ht="15.5" hidden="1" outlineLevel="1" x14ac:dyDescent="0.3">
      <c r="A39" s="24" t="s">
        <v>39</v>
      </c>
      <c r="B39" s="25" t="s">
        <v>14</v>
      </c>
      <c r="C39" s="24">
        <v>5.55</v>
      </c>
      <c r="D39" s="93"/>
    </row>
    <row r="40" spans="1:4" ht="15.5" hidden="1" outlineLevel="1" x14ac:dyDescent="0.3">
      <c r="A40" s="24" t="s">
        <v>39</v>
      </c>
      <c r="B40" s="25" t="s">
        <v>1105</v>
      </c>
      <c r="C40" s="24">
        <v>5.63</v>
      </c>
      <c r="D40" s="93"/>
    </row>
    <row r="41" spans="1:4" ht="15.5" hidden="1" outlineLevel="1" x14ac:dyDescent="0.3">
      <c r="A41" s="24" t="s">
        <v>39</v>
      </c>
      <c r="B41" s="25" t="s">
        <v>1106</v>
      </c>
      <c r="C41" s="24">
        <v>5.65</v>
      </c>
      <c r="D41" s="93"/>
    </row>
    <row r="42" spans="1:4" ht="15.5" hidden="1" outlineLevel="1" x14ac:dyDescent="0.3">
      <c r="A42" s="24" t="s">
        <v>39</v>
      </c>
      <c r="B42" s="25" t="s">
        <v>25</v>
      </c>
      <c r="C42" s="24">
        <v>5.68</v>
      </c>
      <c r="D42" s="93"/>
    </row>
    <row r="43" spans="1:4" ht="15.5" hidden="1" outlineLevel="1" x14ac:dyDescent="0.3">
      <c r="A43" s="24" t="s">
        <v>39</v>
      </c>
      <c r="B43" s="25" t="s">
        <v>17</v>
      </c>
      <c r="C43" s="24">
        <v>5.45</v>
      </c>
      <c r="D43" s="93"/>
    </row>
    <row r="44" spans="1:4" ht="15.5" hidden="1" outlineLevel="1" x14ac:dyDescent="0.3">
      <c r="A44" s="24" t="s">
        <v>39</v>
      </c>
      <c r="B44" s="25" t="s">
        <v>18</v>
      </c>
      <c r="C44" s="24">
        <v>5.47</v>
      </c>
      <c r="D44" s="93"/>
    </row>
    <row r="45" spans="1:4" ht="15.5" hidden="1" outlineLevel="1" x14ac:dyDescent="0.3">
      <c r="A45" s="24" t="s">
        <v>39</v>
      </c>
      <c r="B45" s="25" t="s">
        <v>29</v>
      </c>
      <c r="C45" s="24">
        <v>5.48</v>
      </c>
      <c r="D45" s="93"/>
    </row>
    <row r="46" spans="1:4" ht="15.5" collapsed="1" x14ac:dyDescent="0.3">
      <c r="A46" s="28" t="s">
        <v>39</v>
      </c>
      <c r="B46" s="25"/>
      <c r="C46" s="24"/>
      <c r="D46" s="93"/>
    </row>
    <row r="47" spans="1:4" ht="15.5" hidden="1" outlineLevel="1" x14ac:dyDescent="0.3">
      <c r="A47" s="24" t="s">
        <v>31</v>
      </c>
      <c r="B47" s="25" t="s">
        <v>636</v>
      </c>
      <c r="C47" s="24">
        <v>5.0999999999999996</v>
      </c>
      <c r="D47" s="93"/>
    </row>
    <row r="48" spans="1:4" ht="15.5" hidden="1" outlineLevel="1" x14ac:dyDescent="0.3">
      <c r="A48" s="24" t="s">
        <v>31</v>
      </c>
      <c r="B48" s="25" t="s">
        <v>0</v>
      </c>
      <c r="C48" s="24">
        <v>5.2</v>
      </c>
      <c r="D48" s="93"/>
    </row>
    <row r="49" spans="1:4" ht="15.5" hidden="1" outlineLevel="1" x14ac:dyDescent="0.3">
      <c r="A49" s="24" t="s">
        <v>31</v>
      </c>
      <c r="B49" s="25" t="s">
        <v>703</v>
      </c>
      <c r="C49" s="24">
        <v>5.3</v>
      </c>
      <c r="D49" s="93"/>
    </row>
    <row r="50" spans="1:4" ht="15.5" hidden="1" outlineLevel="1" x14ac:dyDescent="0.3">
      <c r="A50" s="24" t="s">
        <v>31</v>
      </c>
      <c r="B50" s="25" t="s">
        <v>2</v>
      </c>
      <c r="C50" s="24">
        <v>5.6</v>
      </c>
      <c r="D50" s="93"/>
    </row>
    <row r="51" spans="1:4" ht="15.5" hidden="1" outlineLevel="1" x14ac:dyDescent="0.3">
      <c r="A51" s="24" t="s">
        <v>31</v>
      </c>
      <c r="B51" s="25" t="s">
        <v>709</v>
      </c>
      <c r="C51" s="26">
        <v>5.0999999999999996</v>
      </c>
      <c r="D51" s="93"/>
    </row>
    <row r="52" spans="1:4" ht="15.5" hidden="1" outlineLevel="1" x14ac:dyDescent="0.3">
      <c r="A52" s="24" t="s">
        <v>31</v>
      </c>
      <c r="B52" s="25" t="s">
        <v>3</v>
      </c>
      <c r="C52" s="24">
        <v>5.14</v>
      </c>
      <c r="D52" s="93"/>
    </row>
    <row r="53" spans="1:4" ht="15.5" hidden="1" outlineLevel="1" x14ac:dyDescent="0.3">
      <c r="A53" s="24" t="s">
        <v>31</v>
      </c>
      <c r="B53" s="25" t="s">
        <v>28</v>
      </c>
      <c r="C53" s="24">
        <v>5.19</v>
      </c>
      <c r="D53" s="93"/>
    </row>
    <row r="54" spans="1:4" ht="15.5" hidden="1" outlineLevel="1" x14ac:dyDescent="0.3">
      <c r="A54" s="24" t="s">
        <v>31</v>
      </c>
      <c r="B54" s="25" t="s">
        <v>27</v>
      </c>
      <c r="C54" s="24">
        <v>5.24</v>
      </c>
      <c r="D54" s="93"/>
    </row>
    <row r="55" spans="1:4" ht="15.5" hidden="1" outlineLevel="1" x14ac:dyDescent="0.3">
      <c r="A55" s="24" t="s">
        <v>31</v>
      </c>
      <c r="B55" s="25" t="s">
        <v>1</v>
      </c>
      <c r="C55" s="24">
        <v>5.26</v>
      </c>
      <c r="D55" s="93"/>
    </row>
    <row r="56" spans="1:4" ht="15.5" hidden="1" outlineLevel="1" x14ac:dyDescent="0.3">
      <c r="A56" s="24" t="s">
        <v>31</v>
      </c>
      <c r="B56" s="25" t="s">
        <v>591</v>
      </c>
      <c r="C56" s="24">
        <v>5.27</v>
      </c>
      <c r="D56" s="93"/>
    </row>
    <row r="57" spans="1:4" ht="15.5" hidden="1" outlineLevel="1" x14ac:dyDescent="0.3">
      <c r="A57" s="24" t="s">
        <v>31</v>
      </c>
      <c r="B57" s="25" t="s">
        <v>592</v>
      </c>
      <c r="C57" s="24">
        <v>5.28</v>
      </c>
      <c r="D57" s="93"/>
    </row>
    <row r="58" spans="1:4" ht="15.5" hidden="1" outlineLevel="1" x14ac:dyDescent="0.3">
      <c r="A58" s="24" t="s">
        <v>31</v>
      </c>
      <c r="B58" s="25" t="s">
        <v>4</v>
      </c>
      <c r="C58" s="26">
        <v>5.3</v>
      </c>
      <c r="D58" s="93"/>
    </row>
    <row r="59" spans="1:4" ht="15.5" hidden="1" outlineLevel="1" x14ac:dyDescent="0.3">
      <c r="A59" s="24" t="s">
        <v>31</v>
      </c>
      <c r="B59" s="25" t="s">
        <v>8</v>
      </c>
      <c r="C59" s="24">
        <v>5.31</v>
      </c>
      <c r="D59" s="93"/>
    </row>
    <row r="60" spans="1:4" ht="15.5" hidden="1" outlineLevel="1" x14ac:dyDescent="0.3">
      <c r="A60" s="24" t="s">
        <v>31</v>
      </c>
      <c r="B60" s="25" t="s">
        <v>593</v>
      </c>
      <c r="C60" s="24">
        <v>5.36</v>
      </c>
      <c r="D60" s="93"/>
    </row>
    <row r="61" spans="1:4" ht="15.5" hidden="1" outlineLevel="1" x14ac:dyDescent="0.3">
      <c r="A61" s="24" t="s">
        <v>31</v>
      </c>
      <c r="B61" s="25" t="s">
        <v>5</v>
      </c>
      <c r="C61" s="24">
        <v>5.49</v>
      </c>
      <c r="D61" s="93"/>
    </row>
    <row r="62" spans="1:4" ht="15.5" hidden="1" outlineLevel="1" x14ac:dyDescent="0.3">
      <c r="A62" s="24" t="s">
        <v>31</v>
      </c>
      <c r="B62" s="25" t="s">
        <v>7</v>
      </c>
      <c r="C62" s="24">
        <v>5.51</v>
      </c>
      <c r="D62" s="93"/>
    </row>
    <row r="63" spans="1:4" ht="15.5" hidden="1" outlineLevel="1" x14ac:dyDescent="0.3">
      <c r="A63" s="24" t="s">
        <v>31</v>
      </c>
      <c r="B63" s="25" t="s">
        <v>6</v>
      </c>
      <c r="C63" s="24">
        <v>5.52</v>
      </c>
      <c r="D63" s="93"/>
    </row>
    <row r="64" spans="1:4" ht="15.5" hidden="1" outlineLevel="1" x14ac:dyDescent="0.3">
      <c r="A64" s="24" t="s">
        <v>31</v>
      </c>
      <c r="B64" s="25" t="s">
        <v>387</v>
      </c>
      <c r="C64" s="24">
        <v>5.53</v>
      </c>
      <c r="D64" s="93"/>
    </row>
    <row r="65" spans="1:4" ht="15.5" hidden="1" outlineLevel="1" x14ac:dyDescent="0.3">
      <c r="A65" s="24" t="s">
        <v>31</v>
      </c>
      <c r="B65" s="25" t="s">
        <v>12</v>
      </c>
      <c r="C65" s="24">
        <v>5.69</v>
      </c>
      <c r="D65" s="93"/>
    </row>
    <row r="66" spans="1:4" ht="15.5" hidden="1" outlineLevel="1" x14ac:dyDescent="0.3">
      <c r="A66" s="24" t="s">
        <v>31</v>
      </c>
      <c r="B66" s="25" t="s">
        <v>301</v>
      </c>
      <c r="C66" s="26">
        <v>5.72</v>
      </c>
      <c r="D66" s="93"/>
    </row>
    <row r="67" spans="1:4" ht="15.5" hidden="1" outlineLevel="1" x14ac:dyDescent="0.3">
      <c r="A67" s="24" t="s">
        <v>31</v>
      </c>
      <c r="B67" s="25" t="s">
        <v>412</v>
      </c>
      <c r="C67" s="24">
        <v>5.75</v>
      </c>
      <c r="D67" s="93"/>
    </row>
    <row r="68" spans="1:4" ht="15.5" hidden="1" outlineLevel="1" x14ac:dyDescent="0.3">
      <c r="A68" s="24" t="s">
        <v>31</v>
      </c>
      <c r="B68" s="25" t="s">
        <v>13</v>
      </c>
      <c r="C68" s="26">
        <v>5.7</v>
      </c>
      <c r="D68" s="93"/>
    </row>
    <row r="69" spans="1:4" ht="15.5" hidden="1" outlineLevel="1" x14ac:dyDescent="0.3">
      <c r="A69" s="24" t="s">
        <v>31</v>
      </c>
      <c r="B69" s="25" t="s">
        <v>608</v>
      </c>
      <c r="C69" s="24">
        <v>5.74</v>
      </c>
      <c r="D69" s="93"/>
    </row>
    <row r="70" spans="1:4" ht="15.5" hidden="1" outlineLevel="1" x14ac:dyDescent="0.3">
      <c r="A70" s="24" t="s">
        <v>31</v>
      </c>
      <c r="B70" s="25" t="s">
        <v>884</v>
      </c>
      <c r="C70" s="24">
        <v>5.76</v>
      </c>
      <c r="D70" s="93"/>
    </row>
    <row r="71" spans="1:4" ht="15.5" hidden="1" outlineLevel="1" x14ac:dyDescent="0.3">
      <c r="A71" s="24" t="s">
        <v>31</v>
      </c>
      <c r="B71" s="25" t="s">
        <v>654</v>
      </c>
      <c r="C71" s="24">
        <v>5.89</v>
      </c>
      <c r="D71" s="92" t="s">
        <v>893</v>
      </c>
    </row>
    <row r="72" spans="1:4" ht="15.5" hidden="1" outlineLevel="1" x14ac:dyDescent="0.3">
      <c r="A72" s="24" t="s">
        <v>31</v>
      </c>
      <c r="B72" s="25" t="s">
        <v>747</v>
      </c>
      <c r="C72" s="24">
        <v>5.58</v>
      </c>
      <c r="D72" s="93"/>
    </row>
    <row r="73" spans="1:4" ht="15.5" hidden="1" outlineLevel="1" x14ac:dyDescent="0.3">
      <c r="A73" s="24" t="s">
        <v>31</v>
      </c>
      <c r="B73" s="25" t="s">
        <v>895</v>
      </c>
      <c r="C73" s="24">
        <v>5.62</v>
      </c>
      <c r="D73" s="93"/>
    </row>
    <row r="74" spans="1:4" ht="15.5" hidden="1" outlineLevel="1" x14ac:dyDescent="0.3">
      <c r="A74" s="24" t="s">
        <v>31</v>
      </c>
      <c r="B74" s="25" t="s">
        <v>10</v>
      </c>
      <c r="C74" s="24">
        <v>5.54</v>
      </c>
      <c r="D74" s="93"/>
    </row>
    <row r="75" spans="1:4" ht="15.5" hidden="1" outlineLevel="1" x14ac:dyDescent="0.3">
      <c r="A75" s="24" t="s">
        <v>31</v>
      </c>
      <c r="B75" s="25" t="s">
        <v>14</v>
      </c>
      <c r="C75" s="24">
        <v>5.55</v>
      </c>
      <c r="D75" s="93"/>
    </row>
    <row r="76" spans="1:4" ht="15.5" hidden="1" outlineLevel="1" x14ac:dyDescent="0.3">
      <c r="A76" s="24" t="s">
        <v>31</v>
      </c>
      <c r="B76" s="25" t="s">
        <v>1105</v>
      </c>
      <c r="C76" s="24">
        <v>5.63</v>
      </c>
      <c r="D76" s="93"/>
    </row>
    <row r="77" spans="1:4" ht="15.5" hidden="1" outlineLevel="1" x14ac:dyDescent="0.3">
      <c r="A77" s="24" t="s">
        <v>31</v>
      </c>
      <c r="B77" s="25" t="s">
        <v>1106</v>
      </c>
      <c r="C77" s="24">
        <v>5.65</v>
      </c>
      <c r="D77" s="93"/>
    </row>
    <row r="78" spans="1:4" ht="15.5" hidden="1" outlineLevel="1" x14ac:dyDescent="0.3">
      <c r="A78" s="24" t="s">
        <v>31</v>
      </c>
      <c r="B78" s="25" t="s">
        <v>760</v>
      </c>
      <c r="C78" s="24">
        <v>5.66</v>
      </c>
      <c r="D78" s="93"/>
    </row>
    <row r="79" spans="1:4" ht="15.5" hidden="1" outlineLevel="1" x14ac:dyDescent="0.3">
      <c r="A79" s="24" t="s">
        <v>31</v>
      </c>
      <c r="B79" s="25" t="s">
        <v>25</v>
      </c>
      <c r="C79" s="24">
        <v>5.68</v>
      </c>
      <c r="D79" s="93"/>
    </row>
    <row r="80" spans="1:4" ht="15.5" hidden="1" outlineLevel="1" x14ac:dyDescent="0.3">
      <c r="A80" s="24" t="s">
        <v>31</v>
      </c>
      <c r="B80" s="25" t="s">
        <v>17</v>
      </c>
      <c r="C80" s="24">
        <v>5.45</v>
      </c>
      <c r="D80" s="93"/>
    </row>
    <row r="81" spans="1:4" ht="15.5" hidden="1" outlineLevel="1" x14ac:dyDescent="0.3">
      <c r="A81" s="24" t="s">
        <v>31</v>
      </c>
      <c r="B81" s="25" t="s">
        <v>18</v>
      </c>
      <c r="C81" s="24">
        <v>5.47</v>
      </c>
      <c r="D81" s="93"/>
    </row>
    <row r="82" spans="1:4" ht="15.5" hidden="1" outlineLevel="1" x14ac:dyDescent="0.3">
      <c r="A82" s="24" t="s">
        <v>31</v>
      </c>
      <c r="B82" s="25" t="s">
        <v>29</v>
      </c>
      <c r="C82" s="24">
        <v>5.48</v>
      </c>
      <c r="D82" s="93"/>
    </row>
    <row r="83" spans="1:4" ht="15.5" collapsed="1" x14ac:dyDescent="0.3">
      <c r="A83" s="28" t="s">
        <v>31</v>
      </c>
      <c r="B83" s="25"/>
      <c r="C83" s="24"/>
      <c r="D83" s="93"/>
    </row>
    <row r="84" spans="1:4" ht="15.5" hidden="1" outlineLevel="1" x14ac:dyDescent="0.3">
      <c r="A84" s="24" t="s">
        <v>32</v>
      </c>
      <c r="B84" s="25" t="s">
        <v>636</v>
      </c>
      <c r="C84" s="24">
        <v>5.0999999999999996</v>
      </c>
      <c r="D84" s="93"/>
    </row>
    <row r="85" spans="1:4" ht="15.5" hidden="1" outlineLevel="1" x14ac:dyDescent="0.3">
      <c r="A85" s="24" t="s">
        <v>32</v>
      </c>
      <c r="B85" s="25" t="s">
        <v>0</v>
      </c>
      <c r="C85" s="24">
        <v>5.2</v>
      </c>
      <c r="D85" s="93"/>
    </row>
    <row r="86" spans="1:4" ht="15.5" hidden="1" outlineLevel="1" x14ac:dyDescent="0.3">
      <c r="A86" s="24" t="s">
        <v>32</v>
      </c>
      <c r="B86" s="25" t="s">
        <v>703</v>
      </c>
      <c r="C86" s="24">
        <v>5.3</v>
      </c>
      <c r="D86" s="93"/>
    </row>
    <row r="87" spans="1:4" ht="15.5" hidden="1" outlineLevel="1" x14ac:dyDescent="0.3">
      <c r="A87" s="24" t="s">
        <v>32</v>
      </c>
      <c r="B87" s="25" t="s">
        <v>2</v>
      </c>
      <c r="C87" s="24">
        <v>5.6</v>
      </c>
      <c r="D87" s="93"/>
    </row>
    <row r="88" spans="1:4" ht="15.5" hidden="1" outlineLevel="1" x14ac:dyDescent="0.3">
      <c r="A88" s="24" t="s">
        <v>32</v>
      </c>
      <c r="B88" s="25" t="s">
        <v>709</v>
      </c>
      <c r="C88" s="26">
        <v>5.0999999999999996</v>
      </c>
      <c r="D88" s="93"/>
    </row>
    <row r="89" spans="1:4" ht="15.5" hidden="1" outlineLevel="1" x14ac:dyDescent="0.3">
      <c r="A89" s="24" t="s">
        <v>32</v>
      </c>
      <c r="B89" s="25" t="s">
        <v>3</v>
      </c>
      <c r="C89" s="24">
        <v>5.14</v>
      </c>
      <c r="D89" s="93"/>
    </row>
    <row r="90" spans="1:4" ht="15.5" hidden="1" outlineLevel="1" x14ac:dyDescent="0.3">
      <c r="A90" s="24" t="s">
        <v>32</v>
      </c>
      <c r="B90" s="25" t="s">
        <v>28</v>
      </c>
      <c r="C90" s="24">
        <v>5.19</v>
      </c>
      <c r="D90" s="93"/>
    </row>
    <row r="91" spans="1:4" ht="15.5" hidden="1" outlineLevel="1" x14ac:dyDescent="0.3">
      <c r="A91" s="24" t="s">
        <v>32</v>
      </c>
      <c r="B91" s="25" t="s">
        <v>27</v>
      </c>
      <c r="C91" s="24">
        <v>5.24</v>
      </c>
      <c r="D91" s="93"/>
    </row>
    <row r="92" spans="1:4" ht="15.5" hidden="1" outlineLevel="1" x14ac:dyDescent="0.3">
      <c r="A92" s="24" t="s">
        <v>32</v>
      </c>
      <c r="B92" s="25" t="s">
        <v>1</v>
      </c>
      <c r="C92" s="24">
        <v>5.26</v>
      </c>
      <c r="D92" s="93"/>
    </row>
    <row r="93" spans="1:4" ht="15.5" hidden="1" outlineLevel="1" x14ac:dyDescent="0.3">
      <c r="A93" s="24" t="s">
        <v>32</v>
      </c>
      <c r="B93" s="25" t="s">
        <v>591</v>
      </c>
      <c r="C93" s="24">
        <v>5.27</v>
      </c>
      <c r="D93" s="93"/>
    </row>
    <row r="94" spans="1:4" ht="15.5" hidden="1" outlineLevel="1" x14ac:dyDescent="0.3">
      <c r="A94" s="24" t="s">
        <v>32</v>
      </c>
      <c r="B94" s="25" t="s">
        <v>592</v>
      </c>
      <c r="C94" s="24">
        <v>5.28</v>
      </c>
      <c r="D94" s="93"/>
    </row>
    <row r="95" spans="1:4" ht="15.5" hidden="1" outlineLevel="1" x14ac:dyDescent="0.3">
      <c r="A95" s="24" t="s">
        <v>32</v>
      </c>
      <c r="B95" s="25" t="s">
        <v>596</v>
      </c>
      <c r="C95" s="24">
        <v>5.29</v>
      </c>
      <c r="D95" s="93"/>
    </row>
    <row r="96" spans="1:4" ht="15.5" hidden="1" outlineLevel="1" x14ac:dyDescent="0.3">
      <c r="A96" s="24" t="s">
        <v>32</v>
      </c>
      <c r="B96" s="25" t="s">
        <v>4</v>
      </c>
      <c r="C96" s="26">
        <v>5.3</v>
      </c>
      <c r="D96" s="93"/>
    </row>
    <row r="97" spans="1:4" ht="15.5" hidden="1" outlineLevel="1" x14ac:dyDescent="0.3">
      <c r="A97" s="24" t="s">
        <v>32</v>
      </c>
      <c r="B97" s="25" t="s">
        <v>8</v>
      </c>
      <c r="C97" s="24">
        <v>5.31</v>
      </c>
      <c r="D97" s="93"/>
    </row>
    <row r="98" spans="1:4" ht="15.5" hidden="1" outlineLevel="1" x14ac:dyDescent="0.3">
      <c r="A98" s="24" t="s">
        <v>32</v>
      </c>
      <c r="B98" s="25" t="s">
        <v>593</v>
      </c>
      <c r="C98" s="24">
        <v>5.36</v>
      </c>
      <c r="D98" s="93"/>
    </row>
    <row r="99" spans="1:4" ht="15.5" hidden="1" outlineLevel="1" x14ac:dyDescent="0.3">
      <c r="A99" s="24" t="s">
        <v>32</v>
      </c>
      <c r="B99" s="25" t="s">
        <v>5</v>
      </c>
      <c r="C99" s="24">
        <v>5.49</v>
      </c>
      <c r="D99" s="93"/>
    </row>
    <row r="100" spans="1:4" ht="15.5" hidden="1" outlineLevel="1" x14ac:dyDescent="0.3">
      <c r="A100" s="24" t="s">
        <v>32</v>
      </c>
      <c r="B100" s="25" t="s">
        <v>7</v>
      </c>
      <c r="C100" s="24">
        <v>5.51</v>
      </c>
      <c r="D100" s="93"/>
    </row>
    <row r="101" spans="1:4" ht="15.5" hidden="1" outlineLevel="1" x14ac:dyDescent="0.3">
      <c r="A101" s="24" t="s">
        <v>32</v>
      </c>
      <c r="B101" s="25" t="s">
        <v>6</v>
      </c>
      <c r="C101" s="24">
        <v>5.52</v>
      </c>
      <c r="D101" s="93"/>
    </row>
    <row r="102" spans="1:4" ht="15.5" hidden="1" outlineLevel="1" x14ac:dyDescent="0.3">
      <c r="A102" s="24" t="s">
        <v>32</v>
      </c>
      <c r="B102" s="25" t="s">
        <v>387</v>
      </c>
      <c r="C102" s="24">
        <v>5.53</v>
      </c>
      <c r="D102" s="93"/>
    </row>
    <row r="103" spans="1:4" ht="15.5" hidden="1" outlineLevel="1" x14ac:dyDescent="0.3">
      <c r="A103" s="24" t="s">
        <v>32</v>
      </c>
      <c r="B103" s="25" t="s">
        <v>12</v>
      </c>
      <c r="C103" s="24">
        <v>5.69</v>
      </c>
      <c r="D103" s="93"/>
    </row>
    <row r="104" spans="1:4" ht="15.5" hidden="1" outlineLevel="1" x14ac:dyDescent="0.3">
      <c r="A104" s="24" t="s">
        <v>32</v>
      </c>
      <c r="B104" s="25" t="s">
        <v>412</v>
      </c>
      <c r="C104" s="24">
        <v>5.75</v>
      </c>
      <c r="D104" s="93"/>
    </row>
    <row r="105" spans="1:4" ht="15.5" hidden="1" outlineLevel="1" x14ac:dyDescent="0.3">
      <c r="A105" s="24" t="s">
        <v>32</v>
      </c>
      <c r="B105" s="25" t="s">
        <v>13</v>
      </c>
      <c r="C105" s="26">
        <v>5.7</v>
      </c>
      <c r="D105" s="93"/>
    </row>
    <row r="106" spans="1:4" ht="15.5" hidden="1" outlineLevel="1" x14ac:dyDescent="0.3">
      <c r="A106" s="24" t="s">
        <v>32</v>
      </c>
      <c r="B106" s="25" t="s">
        <v>608</v>
      </c>
      <c r="C106" s="24">
        <v>5.74</v>
      </c>
      <c r="D106" s="93"/>
    </row>
    <row r="107" spans="1:4" ht="15.5" hidden="1" outlineLevel="1" x14ac:dyDescent="0.3">
      <c r="A107" s="24" t="s">
        <v>32</v>
      </c>
      <c r="B107" s="25" t="s">
        <v>884</v>
      </c>
      <c r="C107" s="24">
        <v>5.76</v>
      </c>
      <c r="D107" s="93"/>
    </row>
    <row r="108" spans="1:4" ht="15.5" hidden="1" outlineLevel="1" x14ac:dyDescent="0.3">
      <c r="A108" s="24" t="s">
        <v>32</v>
      </c>
      <c r="B108" s="25" t="s">
        <v>654</v>
      </c>
      <c r="C108" s="24">
        <v>5.89</v>
      </c>
      <c r="D108" s="92" t="s">
        <v>893</v>
      </c>
    </row>
    <row r="109" spans="1:4" ht="15.5" hidden="1" outlineLevel="1" x14ac:dyDescent="0.3">
      <c r="A109" s="24" t="s">
        <v>32</v>
      </c>
      <c r="B109" s="25" t="s">
        <v>747</v>
      </c>
      <c r="C109" s="24">
        <v>5.58</v>
      </c>
      <c r="D109" s="93"/>
    </row>
    <row r="110" spans="1:4" ht="15.5" hidden="1" outlineLevel="1" x14ac:dyDescent="0.3">
      <c r="A110" s="24" t="s">
        <v>32</v>
      </c>
      <c r="B110" s="25" t="s">
        <v>895</v>
      </c>
      <c r="C110" s="24">
        <v>5.62</v>
      </c>
      <c r="D110" s="93"/>
    </row>
    <row r="111" spans="1:4" ht="15.5" hidden="1" outlineLevel="1" x14ac:dyDescent="0.3">
      <c r="A111" s="24" t="s">
        <v>32</v>
      </c>
      <c r="B111" s="25" t="s">
        <v>10</v>
      </c>
      <c r="C111" s="24">
        <v>5.54</v>
      </c>
      <c r="D111" s="93"/>
    </row>
    <row r="112" spans="1:4" ht="15.5" hidden="1" outlineLevel="1" x14ac:dyDescent="0.3">
      <c r="A112" s="24" t="s">
        <v>32</v>
      </c>
      <c r="B112" s="25" t="s">
        <v>14</v>
      </c>
      <c r="C112" s="24">
        <v>5.55</v>
      </c>
      <c r="D112" s="93"/>
    </row>
    <row r="113" spans="1:4" ht="15.5" hidden="1" outlineLevel="1" x14ac:dyDescent="0.3">
      <c r="A113" s="24" t="s">
        <v>32</v>
      </c>
      <c r="B113" s="25" t="s">
        <v>1106</v>
      </c>
      <c r="C113" s="24">
        <v>5.65</v>
      </c>
      <c r="D113" s="93"/>
    </row>
    <row r="114" spans="1:4" ht="15.5" hidden="1" outlineLevel="1" x14ac:dyDescent="0.3">
      <c r="A114" s="24" t="s">
        <v>32</v>
      </c>
      <c r="B114" s="25" t="s">
        <v>760</v>
      </c>
      <c r="C114" s="24">
        <v>5.66</v>
      </c>
      <c r="D114" s="93"/>
    </row>
    <row r="115" spans="1:4" ht="15.5" hidden="1" outlineLevel="1" x14ac:dyDescent="0.3">
      <c r="A115" s="24" t="s">
        <v>32</v>
      </c>
      <c r="B115" s="25" t="s">
        <v>25</v>
      </c>
      <c r="C115" s="24">
        <v>5.68</v>
      </c>
      <c r="D115" s="93"/>
    </row>
    <row r="116" spans="1:4" ht="15.5" hidden="1" outlineLevel="1" x14ac:dyDescent="0.3">
      <c r="A116" s="24" t="s">
        <v>32</v>
      </c>
      <c r="B116" s="25" t="s">
        <v>17</v>
      </c>
      <c r="C116" s="24">
        <v>5.45</v>
      </c>
      <c r="D116" s="93"/>
    </row>
    <row r="117" spans="1:4" ht="15.5" hidden="1" outlineLevel="1" x14ac:dyDescent="0.3">
      <c r="A117" s="24" t="s">
        <v>32</v>
      </c>
      <c r="B117" s="25" t="s">
        <v>18</v>
      </c>
      <c r="C117" s="24">
        <v>5.47</v>
      </c>
      <c r="D117" s="93"/>
    </row>
    <row r="118" spans="1:4" ht="15.5" hidden="1" outlineLevel="1" x14ac:dyDescent="0.3">
      <c r="A118" s="24" t="s">
        <v>32</v>
      </c>
      <c r="B118" s="25" t="s">
        <v>29</v>
      </c>
      <c r="C118" s="24">
        <v>5.48</v>
      </c>
      <c r="D118" s="93"/>
    </row>
    <row r="119" spans="1:4" ht="15.5" collapsed="1" x14ac:dyDescent="0.3">
      <c r="A119" s="28" t="s">
        <v>32</v>
      </c>
      <c r="B119" s="25"/>
      <c r="C119" s="24"/>
      <c r="D119" s="93"/>
    </row>
    <row r="120" spans="1:4" ht="15.5" hidden="1" outlineLevel="1" x14ac:dyDescent="0.3">
      <c r="A120" s="24" t="s">
        <v>1162</v>
      </c>
      <c r="B120" s="25" t="s">
        <v>636</v>
      </c>
      <c r="C120" s="24">
        <v>5.0999999999999996</v>
      </c>
      <c r="D120" s="93"/>
    </row>
    <row r="121" spans="1:4" ht="15.5" hidden="1" outlineLevel="1" x14ac:dyDescent="0.3">
      <c r="A121" s="24" t="s">
        <v>1162</v>
      </c>
      <c r="B121" s="25" t="s">
        <v>0</v>
      </c>
      <c r="C121" s="24">
        <v>5.2</v>
      </c>
      <c r="D121" s="93"/>
    </row>
    <row r="122" spans="1:4" ht="15.5" hidden="1" outlineLevel="1" x14ac:dyDescent="0.3">
      <c r="A122" s="24" t="s">
        <v>1162</v>
      </c>
      <c r="B122" s="25" t="s">
        <v>703</v>
      </c>
      <c r="C122" s="24">
        <v>5.3</v>
      </c>
      <c r="D122" s="93"/>
    </row>
    <row r="123" spans="1:4" ht="15.5" hidden="1" outlineLevel="1" x14ac:dyDescent="0.3">
      <c r="A123" s="24" t="s">
        <v>1162</v>
      </c>
      <c r="B123" s="25" t="s">
        <v>2</v>
      </c>
      <c r="C123" s="24">
        <v>5.6</v>
      </c>
      <c r="D123" s="93"/>
    </row>
    <row r="124" spans="1:4" ht="15.5" hidden="1" outlineLevel="1" x14ac:dyDescent="0.3">
      <c r="A124" s="24" t="s">
        <v>1162</v>
      </c>
      <c r="B124" s="25" t="s">
        <v>709</v>
      </c>
      <c r="C124" s="26">
        <v>5.0999999999999996</v>
      </c>
      <c r="D124" s="93"/>
    </row>
    <row r="125" spans="1:4" ht="15.5" hidden="1" outlineLevel="1" x14ac:dyDescent="0.3">
      <c r="A125" s="24" t="s">
        <v>1162</v>
      </c>
      <c r="B125" s="25" t="s">
        <v>3</v>
      </c>
      <c r="C125" s="24">
        <v>5.14</v>
      </c>
      <c r="D125" s="93"/>
    </row>
    <row r="126" spans="1:4" ht="15.5" hidden="1" outlineLevel="1" x14ac:dyDescent="0.3">
      <c r="A126" s="24" t="s">
        <v>1162</v>
      </c>
      <c r="B126" s="25" t="s">
        <v>28</v>
      </c>
      <c r="C126" s="24">
        <v>5.19</v>
      </c>
      <c r="D126" s="93"/>
    </row>
    <row r="127" spans="1:4" ht="15.5" hidden="1" outlineLevel="1" x14ac:dyDescent="0.3">
      <c r="A127" s="24" t="s">
        <v>1162</v>
      </c>
      <c r="B127" s="25" t="s">
        <v>27</v>
      </c>
      <c r="C127" s="24">
        <v>5.24</v>
      </c>
      <c r="D127" s="93"/>
    </row>
    <row r="128" spans="1:4" ht="15.5" hidden="1" outlineLevel="1" x14ac:dyDescent="0.3">
      <c r="A128" s="24" t="s">
        <v>1162</v>
      </c>
      <c r="B128" s="25" t="s">
        <v>1</v>
      </c>
      <c r="C128" s="24">
        <v>5.26</v>
      </c>
      <c r="D128" s="93"/>
    </row>
    <row r="129" spans="1:4" ht="15.5" hidden="1" outlineLevel="1" x14ac:dyDescent="0.3">
      <c r="A129" s="24" t="s">
        <v>1162</v>
      </c>
      <c r="B129" s="25" t="s">
        <v>591</v>
      </c>
      <c r="C129" s="24">
        <v>5.27</v>
      </c>
      <c r="D129" s="93"/>
    </row>
    <row r="130" spans="1:4" ht="15.5" hidden="1" outlineLevel="1" x14ac:dyDescent="0.3">
      <c r="A130" s="24" t="s">
        <v>1162</v>
      </c>
      <c r="B130" s="25" t="s">
        <v>592</v>
      </c>
      <c r="C130" s="24">
        <v>5.28</v>
      </c>
      <c r="D130" s="93"/>
    </row>
    <row r="131" spans="1:4" ht="15.5" hidden="1" outlineLevel="1" x14ac:dyDescent="0.3">
      <c r="A131" s="24" t="s">
        <v>1162</v>
      </c>
      <c r="B131" s="25" t="s">
        <v>596</v>
      </c>
      <c r="C131" s="24">
        <v>5.29</v>
      </c>
      <c r="D131" s="93"/>
    </row>
    <row r="132" spans="1:4" ht="15.5" hidden="1" outlineLevel="1" x14ac:dyDescent="0.3">
      <c r="A132" s="24" t="s">
        <v>1162</v>
      </c>
      <c r="B132" s="25" t="s">
        <v>4</v>
      </c>
      <c r="C132" s="26">
        <v>5.3</v>
      </c>
      <c r="D132" s="93"/>
    </row>
    <row r="133" spans="1:4" ht="15.5" hidden="1" outlineLevel="1" x14ac:dyDescent="0.3">
      <c r="A133" s="24" t="s">
        <v>1162</v>
      </c>
      <c r="B133" s="25" t="s">
        <v>8</v>
      </c>
      <c r="C133" s="24">
        <v>5.31</v>
      </c>
      <c r="D133" s="93"/>
    </row>
    <row r="134" spans="1:4" ht="15.5" hidden="1" outlineLevel="1" x14ac:dyDescent="0.3">
      <c r="A134" s="24" t="s">
        <v>1162</v>
      </c>
      <c r="B134" s="25" t="s">
        <v>593</v>
      </c>
      <c r="C134" s="24">
        <v>5.36</v>
      </c>
      <c r="D134" s="93"/>
    </row>
    <row r="135" spans="1:4" ht="15.5" hidden="1" outlineLevel="1" x14ac:dyDescent="0.3">
      <c r="A135" s="24" t="s">
        <v>1162</v>
      </c>
      <c r="B135" s="25" t="s">
        <v>387</v>
      </c>
      <c r="C135" s="24">
        <v>5.53</v>
      </c>
      <c r="D135" s="93"/>
    </row>
    <row r="136" spans="1:4" ht="15.5" hidden="1" outlineLevel="1" x14ac:dyDescent="0.3">
      <c r="A136" s="24" t="s">
        <v>1162</v>
      </c>
      <c r="B136" s="25" t="s">
        <v>747</v>
      </c>
      <c r="C136" s="24">
        <v>5.58</v>
      </c>
      <c r="D136" s="93"/>
    </row>
    <row r="137" spans="1:4" ht="15.5" hidden="1" outlineLevel="1" x14ac:dyDescent="0.3">
      <c r="A137" s="24" t="s">
        <v>1162</v>
      </c>
      <c r="B137" s="25" t="s">
        <v>895</v>
      </c>
      <c r="C137" s="24">
        <v>5.62</v>
      </c>
      <c r="D137" s="93"/>
    </row>
    <row r="138" spans="1:4" ht="15.5" hidden="1" outlineLevel="1" x14ac:dyDescent="0.3">
      <c r="A138" s="24" t="s">
        <v>1162</v>
      </c>
      <c r="B138" s="25" t="s">
        <v>10</v>
      </c>
      <c r="C138" s="24">
        <v>5.54</v>
      </c>
      <c r="D138" s="93"/>
    </row>
    <row r="139" spans="1:4" ht="15.5" hidden="1" outlineLevel="1" x14ac:dyDescent="0.3">
      <c r="A139" s="24" t="s">
        <v>1162</v>
      </c>
      <c r="B139" s="25" t="s">
        <v>14</v>
      </c>
      <c r="C139" s="24">
        <v>5.55</v>
      </c>
      <c r="D139" s="93"/>
    </row>
    <row r="140" spans="1:4" ht="15.5" hidden="1" outlineLevel="1" x14ac:dyDescent="0.3">
      <c r="A140" s="24" t="s">
        <v>1162</v>
      </c>
      <c r="B140" s="25" t="s">
        <v>1105</v>
      </c>
      <c r="C140" s="24">
        <v>5.63</v>
      </c>
      <c r="D140" s="93"/>
    </row>
    <row r="141" spans="1:4" ht="15.5" hidden="1" outlineLevel="1" x14ac:dyDescent="0.3">
      <c r="A141" s="24" t="s">
        <v>1162</v>
      </c>
      <c r="B141" s="25" t="s">
        <v>17</v>
      </c>
      <c r="C141" s="24">
        <v>5.45</v>
      </c>
      <c r="D141" s="93"/>
    </row>
    <row r="142" spans="1:4" ht="15.5" hidden="1" outlineLevel="1" x14ac:dyDescent="0.3">
      <c r="A142" s="24" t="s">
        <v>1162</v>
      </c>
      <c r="B142" s="25" t="s">
        <v>18</v>
      </c>
      <c r="C142" s="24">
        <v>5.47</v>
      </c>
      <c r="D142" s="93"/>
    </row>
    <row r="143" spans="1:4" ht="15.5" hidden="1" outlineLevel="1" x14ac:dyDescent="0.3">
      <c r="A143" s="24" t="s">
        <v>1162</v>
      </c>
      <c r="B143" s="25" t="s">
        <v>29</v>
      </c>
      <c r="C143" s="24">
        <v>5.48</v>
      </c>
      <c r="D143" s="93"/>
    </row>
    <row r="144" spans="1:4" ht="15.5" collapsed="1" x14ac:dyDescent="0.3">
      <c r="A144" s="28" t="s">
        <v>1162</v>
      </c>
      <c r="B144" s="25"/>
      <c r="C144" s="24"/>
      <c r="D144" s="93"/>
    </row>
    <row r="145" spans="1:4" ht="15.5" hidden="1" outlineLevel="1" x14ac:dyDescent="0.3">
      <c r="A145" s="24" t="s">
        <v>33</v>
      </c>
      <c r="B145" s="25" t="s">
        <v>636</v>
      </c>
      <c r="C145" s="24">
        <v>5.0999999999999996</v>
      </c>
      <c r="D145" s="93"/>
    </row>
    <row r="146" spans="1:4" ht="15.5" hidden="1" outlineLevel="1" x14ac:dyDescent="0.3">
      <c r="A146" s="24" t="s">
        <v>33</v>
      </c>
      <c r="B146" s="25" t="s">
        <v>0</v>
      </c>
      <c r="C146" s="24">
        <v>5.2</v>
      </c>
      <c r="D146" s="93"/>
    </row>
    <row r="147" spans="1:4" ht="15.5" hidden="1" outlineLevel="1" x14ac:dyDescent="0.3">
      <c r="A147" s="24" t="s">
        <v>33</v>
      </c>
      <c r="B147" s="25" t="s">
        <v>703</v>
      </c>
      <c r="C147" s="24">
        <v>5.3</v>
      </c>
      <c r="D147" s="93"/>
    </row>
    <row r="148" spans="1:4" ht="15.5" hidden="1" outlineLevel="1" x14ac:dyDescent="0.3">
      <c r="A148" s="24" t="s">
        <v>33</v>
      </c>
      <c r="B148" s="25" t="s">
        <v>2</v>
      </c>
      <c r="C148" s="24">
        <v>5.6</v>
      </c>
      <c r="D148" s="93"/>
    </row>
    <row r="149" spans="1:4" ht="15.5" hidden="1" outlineLevel="1" x14ac:dyDescent="0.3">
      <c r="A149" s="24" t="s">
        <v>33</v>
      </c>
      <c r="B149" s="25" t="s">
        <v>709</v>
      </c>
      <c r="C149" s="26">
        <v>5.0999999999999996</v>
      </c>
      <c r="D149" s="93"/>
    </row>
    <row r="150" spans="1:4" ht="15.5" hidden="1" outlineLevel="1" x14ac:dyDescent="0.3">
      <c r="A150" s="24" t="s">
        <v>33</v>
      </c>
      <c r="B150" s="25" t="s">
        <v>3</v>
      </c>
      <c r="C150" s="24">
        <v>5.14</v>
      </c>
      <c r="D150" s="93"/>
    </row>
    <row r="151" spans="1:4" ht="15.5" hidden="1" outlineLevel="1" x14ac:dyDescent="0.3">
      <c r="A151" s="24" t="s">
        <v>33</v>
      </c>
      <c r="B151" s="25" t="s">
        <v>28</v>
      </c>
      <c r="C151" s="24">
        <v>5.19</v>
      </c>
      <c r="D151" s="93"/>
    </row>
    <row r="152" spans="1:4" ht="15.5" hidden="1" outlineLevel="1" x14ac:dyDescent="0.3">
      <c r="A152" s="24" t="s">
        <v>33</v>
      </c>
      <c r="B152" s="25" t="s">
        <v>27</v>
      </c>
      <c r="C152" s="24">
        <v>5.24</v>
      </c>
      <c r="D152" s="93"/>
    </row>
    <row r="153" spans="1:4" ht="15.5" hidden="1" outlineLevel="1" x14ac:dyDescent="0.3">
      <c r="A153" s="24" t="s">
        <v>33</v>
      </c>
      <c r="B153" s="25" t="s">
        <v>1</v>
      </c>
      <c r="C153" s="24">
        <v>5.26</v>
      </c>
      <c r="D153" s="93"/>
    </row>
    <row r="154" spans="1:4" ht="15.5" hidden="1" outlineLevel="1" x14ac:dyDescent="0.3">
      <c r="A154" s="24" t="s">
        <v>33</v>
      </c>
      <c r="B154" s="25" t="s">
        <v>591</v>
      </c>
      <c r="C154" s="24">
        <v>5.27</v>
      </c>
      <c r="D154" s="93"/>
    </row>
    <row r="155" spans="1:4" ht="15.5" hidden="1" outlineLevel="1" x14ac:dyDescent="0.3">
      <c r="A155" s="24" t="s">
        <v>33</v>
      </c>
      <c r="B155" s="25" t="s">
        <v>592</v>
      </c>
      <c r="C155" s="24">
        <v>5.28</v>
      </c>
      <c r="D155" s="93"/>
    </row>
    <row r="156" spans="1:4" ht="15.5" hidden="1" outlineLevel="1" x14ac:dyDescent="0.3">
      <c r="A156" s="24" t="s">
        <v>33</v>
      </c>
      <c r="B156" s="25" t="s">
        <v>4</v>
      </c>
      <c r="C156" s="26">
        <v>5.3</v>
      </c>
      <c r="D156" s="93"/>
    </row>
    <row r="157" spans="1:4" ht="15.5" hidden="1" outlineLevel="1" x14ac:dyDescent="0.3">
      <c r="A157" s="24" t="s">
        <v>33</v>
      </c>
      <c r="B157" s="25" t="s">
        <v>292</v>
      </c>
      <c r="C157" s="24">
        <v>5.32</v>
      </c>
      <c r="D157" s="93"/>
    </row>
    <row r="158" spans="1:4" ht="15.5" hidden="1" outlineLevel="1" x14ac:dyDescent="0.3">
      <c r="A158" s="24" t="s">
        <v>33</v>
      </c>
      <c r="B158" s="25" t="s">
        <v>593</v>
      </c>
      <c r="C158" s="24">
        <v>5.36</v>
      </c>
      <c r="D158" s="93"/>
    </row>
    <row r="159" spans="1:4" ht="15.5" hidden="1" outlineLevel="1" x14ac:dyDescent="0.3">
      <c r="A159" s="24" t="s">
        <v>33</v>
      </c>
      <c r="B159" s="25" t="s">
        <v>387</v>
      </c>
      <c r="C159" s="24">
        <v>5.53</v>
      </c>
      <c r="D159" s="93"/>
    </row>
    <row r="160" spans="1:4" ht="15.5" hidden="1" outlineLevel="1" x14ac:dyDescent="0.3">
      <c r="A160" s="24" t="s">
        <v>33</v>
      </c>
      <c r="B160" s="25" t="s">
        <v>747</v>
      </c>
      <c r="C160" s="24">
        <v>5.58</v>
      </c>
      <c r="D160" s="93"/>
    </row>
    <row r="161" spans="1:4" ht="15.5" hidden="1" outlineLevel="1" x14ac:dyDescent="0.3">
      <c r="A161" s="24" t="s">
        <v>33</v>
      </c>
      <c r="B161" s="25" t="s">
        <v>10</v>
      </c>
      <c r="C161" s="24">
        <v>5.54</v>
      </c>
      <c r="D161" s="93"/>
    </row>
    <row r="162" spans="1:4" ht="15.5" hidden="1" outlineLevel="1" x14ac:dyDescent="0.3">
      <c r="A162" s="24" t="s">
        <v>33</v>
      </c>
      <c r="B162" s="25" t="s">
        <v>14</v>
      </c>
      <c r="C162" s="24">
        <v>5.55</v>
      </c>
      <c r="D162" s="93"/>
    </row>
    <row r="163" spans="1:4" ht="15.5" hidden="1" outlineLevel="1" x14ac:dyDescent="0.3">
      <c r="A163" s="24" t="s">
        <v>33</v>
      </c>
      <c r="B163" s="25" t="s">
        <v>895</v>
      </c>
      <c r="C163" s="24">
        <v>5.62</v>
      </c>
      <c r="D163" s="93"/>
    </row>
    <row r="164" spans="1:4" ht="15.5" hidden="1" outlineLevel="1" x14ac:dyDescent="0.3">
      <c r="A164" s="24" t="s">
        <v>33</v>
      </c>
      <c r="B164" s="25" t="s">
        <v>1105</v>
      </c>
      <c r="C164" s="24">
        <v>5.63</v>
      </c>
      <c r="D164" s="93"/>
    </row>
    <row r="165" spans="1:4" ht="15.5" hidden="1" outlineLevel="1" x14ac:dyDescent="0.3">
      <c r="A165" s="24" t="s">
        <v>33</v>
      </c>
      <c r="B165" s="25" t="s">
        <v>17</v>
      </c>
      <c r="C165" s="24">
        <v>5.45</v>
      </c>
      <c r="D165" s="93"/>
    </row>
    <row r="166" spans="1:4" ht="15.5" hidden="1" outlineLevel="1" x14ac:dyDescent="0.3">
      <c r="A166" s="24" t="s">
        <v>33</v>
      </c>
      <c r="B166" s="25" t="s">
        <v>18</v>
      </c>
      <c r="C166" s="24">
        <v>5.47</v>
      </c>
      <c r="D166" s="93"/>
    </row>
    <row r="167" spans="1:4" ht="15.5" hidden="1" outlineLevel="1" x14ac:dyDescent="0.3">
      <c r="A167" s="24" t="s">
        <v>33</v>
      </c>
      <c r="B167" s="25" t="s">
        <v>29</v>
      </c>
      <c r="C167" s="24">
        <v>5.48</v>
      </c>
      <c r="D167" s="93"/>
    </row>
    <row r="168" spans="1:4" ht="15.5" collapsed="1" x14ac:dyDescent="0.3">
      <c r="A168" s="28" t="s">
        <v>33</v>
      </c>
      <c r="B168" s="25"/>
      <c r="C168" s="24"/>
      <c r="D168" s="93"/>
    </row>
    <row r="169" spans="1:4" ht="15.5" hidden="1" outlineLevel="1" x14ac:dyDescent="0.3">
      <c r="A169" s="24" t="s">
        <v>34</v>
      </c>
      <c r="B169" s="25" t="s">
        <v>636</v>
      </c>
      <c r="C169" s="24">
        <v>5.0999999999999996</v>
      </c>
      <c r="D169" s="93"/>
    </row>
    <row r="170" spans="1:4" ht="15.5" hidden="1" outlineLevel="1" x14ac:dyDescent="0.3">
      <c r="A170" s="24" t="s">
        <v>34</v>
      </c>
      <c r="B170" s="25" t="s">
        <v>0</v>
      </c>
      <c r="C170" s="24">
        <v>5.2</v>
      </c>
      <c r="D170" s="93"/>
    </row>
    <row r="171" spans="1:4" ht="15.5" hidden="1" outlineLevel="1" x14ac:dyDescent="0.3">
      <c r="A171" s="24" t="s">
        <v>34</v>
      </c>
      <c r="B171" s="25" t="s">
        <v>703</v>
      </c>
      <c r="C171" s="24">
        <v>5.3</v>
      </c>
      <c r="D171" s="93"/>
    </row>
    <row r="172" spans="1:4" ht="15.5" hidden="1" outlineLevel="1" x14ac:dyDescent="0.3">
      <c r="A172" s="24" t="s">
        <v>34</v>
      </c>
      <c r="B172" s="25" t="s">
        <v>2</v>
      </c>
      <c r="C172" s="24">
        <v>5.6</v>
      </c>
      <c r="D172" s="93"/>
    </row>
    <row r="173" spans="1:4" ht="15.5" hidden="1" outlineLevel="1" x14ac:dyDescent="0.3">
      <c r="A173" s="24" t="s">
        <v>34</v>
      </c>
      <c r="B173" s="25" t="s">
        <v>709</v>
      </c>
      <c r="C173" s="26">
        <v>5.0999999999999996</v>
      </c>
      <c r="D173" s="93"/>
    </row>
    <row r="174" spans="1:4" ht="15.5" hidden="1" outlineLevel="1" x14ac:dyDescent="0.3">
      <c r="A174" s="24" t="s">
        <v>34</v>
      </c>
      <c r="B174" s="25" t="s">
        <v>1097</v>
      </c>
      <c r="C174" s="24">
        <v>5.14</v>
      </c>
      <c r="D174" s="93"/>
    </row>
    <row r="175" spans="1:4" ht="15.5" hidden="1" outlineLevel="1" x14ac:dyDescent="0.3">
      <c r="A175" s="24" t="s">
        <v>34</v>
      </c>
      <c r="B175" s="25" t="s">
        <v>28</v>
      </c>
      <c r="C175" s="24">
        <v>5.19</v>
      </c>
      <c r="D175" s="93"/>
    </row>
    <row r="176" spans="1:4" ht="15.5" hidden="1" outlineLevel="1" x14ac:dyDescent="0.3">
      <c r="A176" s="24" t="s">
        <v>34</v>
      </c>
      <c r="B176" s="25" t="s">
        <v>27</v>
      </c>
      <c r="C176" s="24">
        <v>5.24</v>
      </c>
      <c r="D176" s="93"/>
    </row>
    <row r="177" spans="1:4" ht="15.5" hidden="1" outlineLevel="1" x14ac:dyDescent="0.3">
      <c r="A177" s="24" t="s">
        <v>34</v>
      </c>
      <c r="B177" s="25" t="s">
        <v>1</v>
      </c>
      <c r="C177" s="24">
        <v>5.26</v>
      </c>
      <c r="D177" s="93"/>
    </row>
    <row r="178" spans="1:4" ht="15.5" hidden="1" outlineLevel="1" x14ac:dyDescent="0.3">
      <c r="A178" s="24" t="s">
        <v>34</v>
      </c>
      <c r="B178" s="25" t="s">
        <v>591</v>
      </c>
      <c r="C178" s="24">
        <v>5.27</v>
      </c>
      <c r="D178" s="93"/>
    </row>
    <row r="179" spans="1:4" ht="15.5" hidden="1" outlineLevel="1" x14ac:dyDescent="0.3">
      <c r="A179" s="24" t="s">
        <v>34</v>
      </c>
      <c r="B179" s="25" t="s">
        <v>592</v>
      </c>
      <c r="C179" s="24">
        <v>5.28</v>
      </c>
      <c r="D179" s="93"/>
    </row>
    <row r="180" spans="1:4" ht="15.5" hidden="1" outlineLevel="1" x14ac:dyDescent="0.3">
      <c r="A180" s="24" t="s">
        <v>34</v>
      </c>
      <c r="B180" s="25" t="s">
        <v>596</v>
      </c>
      <c r="C180" s="24">
        <v>5.29</v>
      </c>
      <c r="D180" s="93"/>
    </row>
    <row r="181" spans="1:4" ht="15.5" hidden="1" outlineLevel="1" x14ac:dyDescent="0.3">
      <c r="A181" s="24" t="s">
        <v>34</v>
      </c>
      <c r="B181" s="25" t="s">
        <v>4</v>
      </c>
      <c r="C181" s="26">
        <v>5.3</v>
      </c>
      <c r="D181" s="93"/>
    </row>
    <row r="182" spans="1:4" ht="15.5" hidden="1" outlineLevel="1" x14ac:dyDescent="0.3">
      <c r="A182" s="24" t="s">
        <v>34</v>
      </c>
      <c r="B182" s="25" t="s">
        <v>292</v>
      </c>
      <c r="C182" s="24">
        <v>5.32</v>
      </c>
      <c r="D182" s="93"/>
    </row>
    <row r="183" spans="1:4" ht="15.5" hidden="1" outlineLevel="1" x14ac:dyDescent="0.3">
      <c r="A183" s="24" t="s">
        <v>34</v>
      </c>
      <c r="B183" s="25" t="s">
        <v>593</v>
      </c>
      <c r="C183" s="24">
        <v>5.36</v>
      </c>
      <c r="D183" s="93"/>
    </row>
    <row r="184" spans="1:4" ht="15.5" hidden="1" outlineLevel="1" x14ac:dyDescent="0.3">
      <c r="A184" s="24" t="s">
        <v>34</v>
      </c>
      <c r="B184" s="25" t="s">
        <v>387</v>
      </c>
      <c r="C184" s="24">
        <v>5.53</v>
      </c>
      <c r="D184" s="93"/>
    </row>
    <row r="185" spans="1:4" ht="15.5" hidden="1" outlineLevel="1" x14ac:dyDescent="0.3">
      <c r="A185" s="24" t="s">
        <v>34</v>
      </c>
      <c r="B185" s="25" t="s">
        <v>747</v>
      </c>
      <c r="C185" s="24">
        <v>5.58</v>
      </c>
      <c r="D185" s="93"/>
    </row>
    <row r="186" spans="1:4" ht="15.5" hidden="1" outlineLevel="1" x14ac:dyDescent="0.3">
      <c r="A186" s="24" t="s">
        <v>34</v>
      </c>
      <c r="B186" s="25" t="s">
        <v>10</v>
      </c>
      <c r="C186" s="24">
        <v>5.54</v>
      </c>
      <c r="D186" s="93"/>
    </row>
    <row r="187" spans="1:4" ht="15.5" hidden="1" outlineLevel="1" x14ac:dyDescent="0.3">
      <c r="A187" s="24" t="s">
        <v>34</v>
      </c>
      <c r="B187" s="25" t="s">
        <v>14</v>
      </c>
      <c r="C187" s="24">
        <v>5.55</v>
      </c>
      <c r="D187" s="93"/>
    </row>
    <row r="188" spans="1:4" ht="15.5" hidden="1" outlineLevel="1" x14ac:dyDescent="0.3">
      <c r="A188" s="24" t="s">
        <v>34</v>
      </c>
      <c r="B188" s="25" t="s">
        <v>1105</v>
      </c>
      <c r="C188" s="24">
        <v>5.63</v>
      </c>
      <c r="D188" s="93"/>
    </row>
    <row r="189" spans="1:4" ht="15.5" hidden="1" outlineLevel="1" x14ac:dyDescent="0.3">
      <c r="A189" s="24" t="s">
        <v>34</v>
      </c>
      <c r="B189" s="25" t="s">
        <v>17</v>
      </c>
      <c r="C189" s="24">
        <v>5.45</v>
      </c>
      <c r="D189" s="93"/>
    </row>
    <row r="190" spans="1:4" ht="15.5" hidden="1" outlineLevel="1" x14ac:dyDescent="0.3">
      <c r="A190" s="24" t="s">
        <v>34</v>
      </c>
      <c r="B190" s="25" t="s">
        <v>18</v>
      </c>
      <c r="C190" s="24">
        <v>5.47</v>
      </c>
      <c r="D190" s="93"/>
    </row>
    <row r="191" spans="1:4" ht="15.5" hidden="1" outlineLevel="1" x14ac:dyDescent="0.3">
      <c r="A191" s="24" t="s">
        <v>34</v>
      </c>
      <c r="B191" s="25" t="s">
        <v>29</v>
      </c>
      <c r="C191" s="24">
        <v>5.48</v>
      </c>
      <c r="D191" s="93"/>
    </row>
    <row r="192" spans="1:4" ht="15.5" collapsed="1" x14ac:dyDescent="0.3">
      <c r="A192" s="28" t="s">
        <v>34</v>
      </c>
      <c r="B192" s="25"/>
      <c r="C192" s="24"/>
      <c r="D192" s="93"/>
    </row>
    <row r="193" spans="1:4" ht="15.5" hidden="1" outlineLevel="1" x14ac:dyDescent="0.3">
      <c r="A193" s="24" t="s">
        <v>35</v>
      </c>
      <c r="B193" s="25" t="s">
        <v>636</v>
      </c>
      <c r="C193" s="24">
        <v>5.0999999999999996</v>
      </c>
      <c r="D193" s="93"/>
    </row>
    <row r="194" spans="1:4" ht="15.5" hidden="1" outlineLevel="1" x14ac:dyDescent="0.3">
      <c r="A194" s="24" t="s">
        <v>35</v>
      </c>
      <c r="B194" s="25" t="s">
        <v>0</v>
      </c>
      <c r="C194" s="24">
        <v>5.2</v>
      </c>
      <c r="D194" s="93"/>
    </row>
    <row r="195" spans="1:4" ht="15.5" hidden="1" outlineLevel="1" x14ac:dyDescent="0.3">
      <c r="A195" s="24" t="s">
        <v>35</v>
      </c>
      <c r="B195" s="25" t="s">
        <v>703</v>
      </c>
      <c r="C195" s="24">
        <v>5.3</v>
      </c>
      <c r="D195" s="93"/>
    </row>
    <row r="196" spans="1:4" ht="15.5" hidden="1" outlineLevel="1" x14ac:dyDescent="0.3">
      <c r="A196" s="24" t="s">
        <v>35</v>
      </c>
      <c r="B196" s="25" t="s">
        <v>2</v>
      </c>
      <c r="C196" s="24">
        <v>5.6</v>
      </c>
      <c r="D196" s="93"/>
    </row>
    <row r="197" spans="1:4" ht="15.5" hidden="1" outlineLevel="1" x14ac:dyDescent="0.3">
      <c r="A197" s="24" t="s">
        <v>35</v>
      </c>
      <c r="B197" s="25" t="s">
        <v>709</v>
      </c>
      <c r="C197" s="26">
        <v>5.0999999999999996</v>
      </c>
      <c r="D197" s="93"/>
    </row>
    <row r="198" spans="1:4" ht="15.5" hidden="1" outlineLevel="1" x14ac:dyDescent="0.3">
      <c r="A198" s="24" t="s">
        <v>35</v>
      </c>
      <c r="B198" s="25" t="s">
        <v>3</v>
      </c>
      <c r="C198" s="24">
        <v>5.14</v>
      </c>
      <c r="D198" s="93"/>
    </row>
    <row r="199" spans="1:4" ht="15.5" hidden="1" outlineLevel="1" x14ac:dyDescent="0.3">
      <c r="A199" s="24" t="s">
        <v>35</v>
      </c>
      <c r="B199" s="25" t="s">
        <v>28</v>
      </c>
      <c r="C199" s="24">
        <v>5.19</v>
      </c>
      <c r="D199" s="93"/>
    </row>
    <row r="200" spans="1:4" ht="15.5" hidden="1" outlineLevel="1" x14ac:dyDescent="0.3">
      <c r="A200" s="24" t="s">
        <v>35</v>
      </c>
      <c r="B200" s="25" t="s">
        <v>27</v>
      </c>
      <c r="C200" s="24">
        <v>5.24</v>
      </c>
      <c r="D200" s="93"/>
    </row>
    <row r="201" spans="1:4" ht="15.5" hidden="1" outlineLevel="1" x14ac:dyDescent="0.3">
      <c r="A201" s="24" t="s">
        <v>35</v>
      </c>
      <c r="B201" s="25" t="s">
        <v>591</v>
      </c>
      <c r="C201" s="24">
        <v>5.27</v>
      </c>
      <c r="D201" s="93"/>
    </row>
    <row r="202" spans="1:4" ht="15.5" hidden="1" outlineLevel="1" x14ac:dyDescent="0.3">
      <c r="A202" s="24" t="s">
        <v>35</v>
      </c>
      <c r="B202" s="25" t="s">
        <v>592</v>
      </c>
      <c r="C202" s="24">
        <v>5.28</v>
      </c>
      <c r="D202" s="93"/>
    </row>
    <row r="203" spans="1:4" ht="15.5" hidden="1" outlineLevel="1" x14ac:dyDescent="0.3">
      <c r="A203" s="24" t="s">
        <v>35</v>
      </c>
      <c r="B203" s="25" t="s">
        <v>596</v>
      </c>
      <c r="C203" s="24">
        <v>5.29</v>
      </c>
      <c r="D203" s="93"/>
    </row>
    <row r="204" spans="1:4" ht="15.5" hidden="1" outlineLevel="1" x14ac:dyDescent="0.3">
      <c r="A204" s="24" t="s">
        <v>35</v>
      </c>
      <c r="B204" s="25" t="s">
        <v>4</v>
      </c>
      <c r="C204" s="26">
        <v>5.3</v>
      </c>
      <c r="D204" s="93"/>
    </row>
    <row r="205" spans="1:4" ht="15.5" hidden="1" outlineLevel="1" x14ac:dyDescent="0.3">
      <c r="A205" s="24" t="s">
        <v>35</v>
      </c>
      <c r="B205" s="25" t="s">
        <v>717</v>
      </c>
      <c r="C205" s="24">
        <v>5.34</v>
      </c>
      <c r="D205" s="93"/>
    </row>
    <row r="206" spans="1:4" ht="15.5" hidden="1" outlineLevel="1" x14ac:dyDescent="0.3">
      <c r="A206" s="24" t="s">
        <v>35</v>
      </c>
      <c r="B206" s="25" t="s">
        <v>8</v>
      </c>
      <c r="C206" s="24">
        <v>5.31</v>
      </c>
      <c r="D206" s="93"/>
    </row>
    <row r="207" spans="1:4" ht="15.5" hidden="1" outlineLevel="1" x14ac:dyDescent="0.3">
      <c r="A207" s="24" t="s">
        <v>35</v>
      </c>
      <c r="B207" s="25" t="s">
        <v>651</v>
      </c>
      <c r="C207" s="24">
        <v>5.101</v>
      </c>
      <c r="D207" s="93"/>
    </row>
    <row r="208" spans="1:4" ht="15.5" hidden="1" outlineLevel="1" x14ac:dyDescent="0.3">
      <c r="A208" s="24" t="s">
        <v>35</v>
      </c>
      <c r="B208" s="25" t="s">
        <v>593</v>
      </c>
      <c r="C208" s="24">
        <v>5.36</v>
      </c>
      <c r="D208" s="93"/>
    </row>
    <row r="209" spans="1:4" ht="15.5" hidden="1" outlineLevel="1" x14ac:dyDescent="0.3">
      <c r="A209" s="24" t="s">
        <v>35</v>
      </c>
      <c r="B209" s="25" t="s">
        <v>387</v>
      </c>
      <c r="C209" s="24">
        <v>5.53</v>
      </c>
      <c r="D209" s="93"/>
    </row>
    <row r="210" spans="1:4" ht="15.5" hidden="1" outlineLevel="1" x14ac:dyDescent="0.3">
      <c r="A210" s="24" t="s">
        <v>35</v>
      </c>
      <c r="B210" s="25" t="s">
        <v>22</v>
      </c>
      <c r="C210" s="24">
        <v>5.1020000000000003</v>
      </c>
      <c r="D210" s="93"/>
    </row>
    <row r="211" spans="1:4" ht="15.5" hidden="1" outlineLevel="1" x14ac:dyDescent="0.3">
      <c r="A211" s="24" t="s">
        <v>35</v>
      </c>
      <c r="B211" s="25" t="s">
        <v>600</v>
      </c>
      <c r="C211" s="27">
        <v>5.0999999999999996</v>
      </c>
      <c r="D211" s="93"/>
    </row>
    <row r="212" spans="1:4" ht="15.5" hidden="1" outlineLevel="1" x14ac:dyDescent="0.3">
      <c r="A212" s="24" t="s">
        <v>35</v>
      </c>
      <c r="B212" s="25" t="s">
        <v>747</v>
      </c>
      <c r="C212" s="24">
        <v>5.58</v>
      </c>
      <c r="D212" s="93"/>
    </row>
    <row r="213" spans="1:4" ht="15.5" hidden="1" outlineLevel="1" x14ac:dyDescent="0.3">
      <c r="A213" s="24" t="s">
        <v>35</v>
      </c>
      <c r="B213" s="25" t="s">
        <v>10</v>
      </c>
      <c r="C213" s="24">
        <v>5.54</v>
      </c>
      <c r="D213" s="93"/>
    </row>
    <row r="214" spans="1:4" ht="15.5" hidden="1" outlineLevel="1" x14ac:dyDescent="0.3">
      <c r="A214" s="24" t="s">
        <v>35</v>
      </c>
      <c r="B214" s="25" t="s">
        <v>14</v>
      </c>
      <c r="C214" s="24">
        <v>5.55</v>
      </c>
      <c r="D214" s="93"/>
    </row>
    <row r="215" spans="1:4" ht="15.5" hidden="1" outlineLevel="1" x14ac:dyDescent="0.3">
      <c r="A215" s="24" t="s">
        <v>35</v>
      </c>
      <c r="B215" s="25" t="s">
        <v>1105</v>
      </c>
      <c r="C215" s="24">
        <v>5.63</v>
      </c>
      <c r="D215" s="93"/>
    </row>
    <row r="216" spans="1:4" ht="15.5" hidden="1" outlineLevel="1" x14ac:dyDescent="0.3">
      <c r="A216" s="24" t="s">
        <v>35</v>
      </c>
      <c r="B216" s="25" t="s">
        <v>18</v>
      </c>
      <c r="C216" s="24">
        <v>5.47</v>
      </c>
      <c r="D216" s="93"/>
    </row>
    <row r="217" spans="1:4" ht="15.5" hidden="1" outlineLevel="1" x14ac:dyDescent="0.3">
      <c r="A217" s="24" t="s">
        <v>35</v>
      </c>
      <c r="B217" s="25" t="s">
        <v>29</v>
      </c>
      <c r="C217" s="24">
        <v>5.48</v>
      </c>
      <c r="D217" s="93"/>
    </row>
    <row r="218" spans="1:4" ht="15.5" collapsed="1" x14ac:dyDescent="0.3">
      <c r="A218" s="28" t="s">
        <v>35</v>
      </c>
      <c r="B218" s="25"/>
      <c r="C218" s="24"/>
      <c r="D218" s="93"/>
    </row>
    <row r="219" spans="1:4" ht="15.5" hidden="1" outlineLevel="1" x14ac:dyDescent="0.3">
      <c r="A219" s="24" t="s">
        <v>36</v>
      </c>
      <c r="B219" s="25" t="s">
        <v>636</v>
      </c>
      <c r="C219" s="24">
        <v>5.0999999999999996</v>
      </c>
      <c r="D219" s="93"/>
    </row>
    <row r="220" spans="1:4" ht="15.5" hidden="1" outlineLevel="1" x14ac:dyDescent="0.3">
      <c r="A220" s="24" t="s">
        <v>36</v>
      </c>
      <c r="B220" s="25" t="s">
        <v>0</v>
      </c>
      <c r="C220" s="24">
        <v>5.2</v>
      </c>
      <c r="D220" s="93"/>
    </row>
    <row r="221" spans="1:4" ht="15.5" hidden="1" outlineLevel="1" x14ac:dyDescent="0.3">
      <c r="A221" s="24" t="s">
        <v>36</v>
      </c>
      <c r="B221" s="25" t="s">
        <v>703</v>
      </c>
      <c r="C221" s="24">
        <v>5.3</v>
      </c>
      <c r="D221" s="93"/>
    </row>
    <row r="222" spans="1:4" ht="15.5" hidden="1" outlineLevel="1" x14ac:dyDescent="0.3">
      <c r="A222" s="24" t="s">
        <v>36</v>
      </c>
      <c r="B222" s="25" t="s">
        <v>2</v>
      </c>
      <c r="C222" s="24">
        <v>5.6</v>
      </c>
      <c r="D222" s="93"/>
    </row>
    <row r="223" spans="1:4" ht="15.5" hidden="1" outlineLevel="1" x14ac:dyDescent="0.3">
      <c r="A223" s="24" t="s">
        <v>36</v>
      </c>
      <c r="B223" s="25" t="s">
        <v>709</v>
      </c>
      <c r="C223" s="26">
        <v>5.0999999999999996</v>
      </c>
      <c r="D223" s="93"/>
    </row>
    <row r="224" spans="1:4" ht="15.5" hidden="1" outlineLevel="1" x14ac:dyDescent="0.3">
      <c r="A224" s="24" t="s">
        <v>36</v>
      </c>
      <c r="B224" s="25" t="s">
        <v>3</v>
      </c>
      <c r="C224" s="24">
        <v>5.14</v>
      </c>
      <c r="D224" s="93"/>
    </row>
    <row r="225" spans="1:4" ht="15.5" hidden="1" outlineLevel="1" x14ac:dyDescent="0.3">
      <c r="A225" s="24" t="s">
        <v>36</v>
      </c>
      <c r="B225" s="25" t="s">
        <v>28</v>
      </c>
      <c r="C225" s="24">
        <v>5.19</v>
      </c>
      <c r="D225" s="93"/>
    </row>
    <row r="226" spans="1:4" ht="15.5" hidden="1" outlineLevel="1" x14ac:dyDescent="0.3">
      <c r="A226" s="24" t="s">
        <v>36</v>
      </c>
      <c r="B226" s="25" t="s">
        <v>27</v>
      </c>
      <c r="C226" s="24">
        <v>5.24</v>
      </c>
      <c r="D226" s="93"/>
    </row>
    <row r="227" spans="1:4" ht="15.5" hidden="1" outlineLevel="1" x14ac:dyDescent="0.3">
      <c r="A227" s="24" t="s">
        <v>36</v>
      </c>
      <c r="B227" s="25" t="s">
        <v>1</v>
      </c>
      <c r="C227" s="24">
        <v>5.26</v>
      </c>
      <c r="D227" s="93"/>
    </row>
    <row r="228" spans="1:4" ht="15.5" hidden="1" outlineLevel="1" x14ac:dyDescent="0.3">
      <c r="A228" s="24" t="s">
        <v>36</v>
      </c>
      <c r="B228" s="25" t="s">
        <v>591</v>
      </c>
      <c r="C228" s="24">
        <v>5.27</v>
      </c>
      <c r="D228" s="93"/>
    </row>
    <row r="229" spans="1:4" ht="15.5" hidden="1" outlineLevel="1" x14ac:dyDescent="0.3">
      <c r="A229" s="24" t="s">
        <v>36</v>
      </c>
      <c r="B229" s="25" t="s">
        <v>592</v>
      </c>
      <c r="C229" s="24">
        <v>5.28</v>
      </c>
      <c r="D229" s="93"/>
    </row>
    <row r="230" spans="1:4" ht="15.5" hidden="1" outlineLevel="1" x14ac:dyDescent="0.3">
      <c r="A230" s="24" t="s">
        <v>36</v>
      </c>
      <c r="B230" s="25" t="s">
        <v>596</v>
      </c>
      <c r="C230" s="24">
        <v>5.29</v>
      </c>
      <c r="D230" s="93"/>
    </row>
    <row r="231" spans="1:4" ht="15.5" hidden="1" outlineLevel="1" x14ac:dyDescent="0.3">
      <c r="A231" s="24" t="s">
        <v>36</v>
      </c>
      <c r="B231" s="25" t="s">
        <v>4</v>
      </c>
      <c r="C231" s="26">
        <v>5.3</v>
      </c>
      <c r="D231" s="93"/>
    </row>
    <row r="232" spans="1:4" ht="15.5" hidden="1" outlineLevel="1" x14ac:dyDescent="0.3">
      <c r="A232" s="24" t="s">
        <v>36</v>
      </c>
      <c r="B232" s="25" t="s">
        <v>8</v>
      </c>
      <c r="C232" s="24">
        <v>5.31</v>
      </c>
      <c r="D232" s="93"/>
    </row>
    <row r="233" spans="1:4" ht="15.5" hidden="1" outlineLevel="1" x14ac:dyDescent="0.3">
      <c r="A233" s="24" t="s">
        <v>36</v>
      </c>
      <c r="B233" s="25" t="s">
        <v>9</v>
      </c>
      <c r="C233" s="24">
        <v>5.33</v>
      </c>
      <c r="D233" s="93"/>
    </row>
    <row r="234" spans="1:4" ht="15.5" hidden="1" outlineLevel="1" x14ac:dyDescent="0.3">
      <c r="A234" s="24" t="s">
        <v>36</v>
      </c>
      <c r="B234" s="25" t="s">
        <v>651</v>
      </c>
      <c r="C234" s="24">
        <v>5.101</v>
      </c>
      <c r="D234" s="93"/>
    </row>
    <row r="235" spans="1:4" ht="15.5" hidden="1" outlineLevel="1" x14ac:dyDescent="0.3">
      <c r="A235" s="24" t="s">
        <v>36</v>
      </c>
      <c r="B235" s="25" t="s">
        <v>593</v>
      </c>
      <c r="C235" s="24">
        <v>5.36</v>
      </c>
      <c r="D235" s="93"/>
    </row>
    <row r="236" spans="1:4" ht="15.5" hidden="1" outlineLevel="1" x14ac:dyDescent="0.3">
      <c r="A236" s="24" t="s">
        <v>36</v>
      </c>
      <c r="B236" s="25" t="s">
        <v>387</v>
      </c>
      <c r="C236" s="24">
        <v>5.53</v>
      </c>
      <c r="D236" s="93"/>
    </row>
    <row r="237" spans="1:4" ht="15.5" hidden="1" outlineLevel="1" x14ac:dyDescent="0.3">
      <c r="A237" s="24" t="s">
        <v>36</v>
      </c>
      <c r="B237" s="25" t="s">
        <v>22</v>
      </c>
      <c r="C237" s="24">
        <v>5.1020000000000003</v>
      </c>
      <c r="D237" s="93"/>
    </row>
    <row r="238" spans="1:4" ht="15.5" hidden="1" outlineLevel="1" x14ac:dyDescent="0.3">
      <c r="A238" s="24" t="s">
        <v>36</v>
      </c>
      <c r="B238" s="25" t="s">
        <v>747</v>
      </c>
      <c r="C238" s="24">
        <v>5.58</v>
      </c>
      <c r="D238" s="93"/>
    </row>
    <row r="239" spans="1:4" ht="15.5" hidden="1" outlineLevel="1" x14ac:dyDescent="0.3">
      <c r="A239" s="24" t="s">
        <v>36</v>
      </c>
      <c r="B239" s="25" t="s">
        <v>10</v>
      </c>
      <c r="C239" s="24">
        <v>5.54</v>
      </c>
      <c r="D239" s="93"/>
    </row>
    <row r="240" spans="1:4" ht="15.5" hidden="1" outlineLevel="1" x14ac:dyDescent="0.3">
      <c r="A240" s="24" t="s">
        <v>36</v>
      </c>
      <c r="B240" s="25" t="s">
        <v>14</v>
      </c>
      <c r="C240" s="24">
        <v>5.55</v>
      </c>
      <c r="D240" s="93"/>
    </row>
    <row r="241" spans="1:4" ht="15.5" hidden="1" outlineLevel="1" x14ac:dyDescent="0.3">
      <c r="A241" s="24" t="s">
        <v>36</v>
      </c>
      <c r="B241" s="25" t="s">
        <v>1105</v>
      </c>
      <c r="C241" s="24">
        <v>5.63</v>
      </c>
      <c r="D241" s="93"/>
    </row>
    <row r="242" spans="1:4" ht="15.5" hidden="1" outlineLevel="1" x14ac:dyDescent="0.3">
      <c r="A242" s="24" t="s">
        <v>36</v>
      </c>
      <c r="B242" s="25" t="s">
        <v>18</v>
      </c>
      <c r="C242" s="24">
        <v>5.47</v>
      </c>
      <c r="D242" s="93"/>
    </row>
    <row r="243" spans="1:4" ht="15.5" hidden="1" outlineLevel="1" x14ac:dyDescent="0.3">
      <c r="A243" s="24" t="s">
        <v>36</v>
      </c>
      <c r="B243" s="25" t="s">
        <v>29</v>
      </c>
      <c r="C243" s="24">
        <v>5.48</v>
      </c>
      <c r="D243" s="93"/>
    </row>
    <row r="244" spans="1:4" ht="15.5" collapsed="1" x14ac:dyDescent="0.3">
      <c r="A244" s="28" t="s">
        <v>36</v>
      </c>
      <c r="B244" s="25"/>
      <c r="C244" s="24"/>
      <c r="D244" s="93"/>
    </row>
    <row r="245" spans="1:4" ht="15.5" hidden="1" outlineLevel="1" x14ac:dyDescent="0.3">
      <c r="A245" s="24" t="s">
        <v>37</v>
      </c>
      <c r="B245" s="25" t="s">
        <v>636</v>
      </c>
      <c r="C245" s="24">
        <v>5.0999999999999996</v>
      </c>
      <c r="D245" s="93"/>
    </row>
    <row r="246" spans="1:4" ht="15.5" hidden="1" outlineLevel="1" x14ac:dyDescent="0.3">
      <c r="A246" s="24" t="s">
        <v>37</v>
      </c>
      <c r="B246" s="25" t="s">
        <v>0</v>
      </c>
      <c r="C246" s="24">
        <v>5.2</v>
      </c>
      <c r="D246" s="93"/>
    </row>
    <row r="247" spans="1:4" ht="15.5" hidden="1" outlineLevel="1" x14ac:dyDescent="0.3">
      <c r="A247" s="24" t="s">
        <v>37</v>
      </c>
      <c r="B247" s="25" t="s">
        <v>703</v>
      </c>
      <c r="C247" s="24">
        <v>5.3</v>
      </c>
      <c r="D247" s="93"/>
    </row>
    <row r="248" spans="1:4" ht="15.5" hidden="1" outlineLevel="1" x14ac:dyDescent="0.3">
      <c r="A248" s="24" t="s">
        <v>37</v>
      </c>
      <c r="B248" s="25" t="s">
        <v>2</v>
      </c>
      <c r="C248" s="24">
        <v>5.6</v>
      </c>
      <c r="D248" s="93"/>
    </row>
    <row r="249" spans="1:4" ht="15.5" hidden="1" outlineLevel="1" x14ac:dyDescent="0.3">
      <c r="A249" s="24" t="s">
        <v>37</v>
      </c>
      <c r="B249" s="25" t="s">
        <v>709</v>
      </c>
      <c r="C249" s="26">
        <v>5.0999999999999996</v>
      </c>
      <c r="D249" s="93"/>
    </row>
    <row r="250" spans="1:4" ht="15.5" hidden="1" outlineLevel="1" x14ac:dyDescent="0.3">
      <c r="A250" s="24" t="s">
        <v>37</v>
      </c>
      <c r="B250" s="25" t="s">
        <v>3</v>
      </c>
      <c r="C250" s="24">
        <v>5.14</v>
      </c>
      <c r="D250" s="93"/>
    </row>
    <row r="251" spans="1:4" ht="15.5" hidden="1" outlineLevel="1" x14ac:dyDescent="0.3">
      <c r="A251" s="24" t="s">
        <v>37</v>
      </c>
      <c r="B251" s="25" t="s">
        <v>28</v>
      </c>
      <c r="C251" s="24">
        <v>5.19</v>
      </c>
      <c r="D251" s="93"/>
    </row>
    <row r="252" spans="1:4" ht="15.5" hidden="1" outlineLevel="1" x14ac:dyDescent="0.3">
      <c r="A252" s="24" t="s">
        <v>37</v>
      </c>
      <c r="B252" s="25" t="s">
        <v>27</v>
      </c>
      <c r="C252" s="24">
        <v>5.24</v>
      </c>
      <c r="D252" s="93"/>
    </row>
    <row r="253" spans="1:4" ht="15.5" hidden="1" outlineLevel="1" x14ac:dyDescent="0.3">
      <c r="A253" s="24" t="s">
        <v>37</v>
      </c>
      <c r="B253" s="25" t="s">
        <v>591</v>
      </c>
      <c r="C253" s="24">
        <v>5.27</v>
      </c>
      <c r="D253" s="93"/>
    </row>
    <row r="254" spans="1:4" ht="15.5" hidden="1" outlineLevel="1" x14ac:dyDescent="0.3">
      <c r="A254" s="24" t="s">
        <v>37</v>
      </c>
      <c r="B254" s="25" t="s">
        <v>592</v>
      </c>
      <c r="C254" s="24">
        <v>5.28</v>
      </c>
      <c r="D254" s="93"/>
    </row>
    <row r="255" spans="1:4" ht="15.5" hidden="1" outlineLevel="1" x14ac:dyDescent="0.3">
      <c r="A255" s="24" t="s">
        <v>37</v>
      </c>
      <c r="B255" s="25" t="s">
        <v>4</v>
      </c>
      <c r="C255" s="26">
        <v>5.3</v>
      </c>
      <c r="D255" s="93"/>
    </row>
    <row r="256" spans="1:4" ht="15.5" hidden="1" outlineLevel="1" x14ac:dyDescent="0.3">
      <c r="A256" s="24" t="s">
        <v>37</v>
      </c>
      <c r="B256" s="25" t="s">
        <v>9</v>
      </c>
      <c r="C256" s="24">
        <v>5.33</v>
      </c>
      <c r="D256" s="93"/>
    </row>
    <row r="257" spans="1:4" ht="15.5" hidden="1" outlineLevel="1" x14ac:dyDescent="0.3">
      <c r="A257" s="24" t="s">
        <v>37</v>
      </c>
      <c r="B257" s="25" t="s">
        <v>593</v>
      </c>
      <c r="C257" s="24">
        <v>5.36</v>
      </c>
      <c r="D257" s="93"/>
    </row>
    <row r="258" spans="1:4" ht="15.5" hidden="1" outlineLevel="1" x14ac:dyDescent="0.3">
      <c r="A258" s="24" t="s">
        <v>37</v>
      </c>
      <c r="B258" s="25" t="s">
        <v>387</v>
      </c>
      <c r="C258" s="24">
        <v>5.53</v>
      </c>
      <c r="D258" s="93"/>
    </row>
    <row r="259" spans="1:4" ht="15.5" hidden="1" outlineLevel="1" x14ac:dyDescent="0.3">
      <c r="A259" s="24" t="s">
        <v>37</v>
      </c>
      <c r="B259" s="25" t="s">
        <v>747</v>
      </c>
      <c r="C259" s="24">
        <v>5.58</v>
      </c>
      <c r="D259" s="93"/>
    </row>
    <row r="260" spans="1:4" ht="15.5" hidden="1" outlineLevel="1" x14ac:dyDescent="0.3">
      <c r="A260" s="24" t="s">
        <v>37</v>
      </c>
      <c r="B260" s="25" t="s">
        <v>10</v>
      </c>
      <c r="C260" s="24">
        <v>5.54</v>
      </c>
      <c r="D260" s="93"/>
    </row>
    <row r="261" spans="1:4" ht="15.5" hidden="1" outlineLevel="1" x14ac:dyDescent="0.3">
      <c r="A261" s="24" t="s">
        <v>37</v>
      </c>
      <c r="B261" s="25" t="s">
        <v>14</v>
      </c>
      <c r="C261" s="24">
        <v>5.55</v>
      </c>
      <c r="D261" s="93"/>
    </row>
    <row r="262" spans="1:4" ht="15.5" hidden="1" outlineLevel="1" x14ac:dyDescent="0.3">
      <c r="A262" s="24" t="s">
        <v>37</v>
      </c>
      <c r="B262" s="25" t="s">
        <v>1105</v>
      </c>
      <c r="C262" s="24">
        <v>5.63</v>
      </c>
      <c r="D262" s="93"/>
    </row>
    <row r="263" spans="1:4" ht="15.5" hidden="1" outlineLevel="1" x14ac:dyDescent="0.3">
      <c r="A263" s="24" t="s">
        <v>37</v>
      </c>
      <c r="B263" s="25" t="s">
        <v>18</v>
      </c>
      <c r="C263" s="24">
        <v>5.47</v>
      </c>
      <c r="D263" s="93"/>
    </row>
    <row r="264" spans="1:4" ht="15.5" hidden="1" outlineLevel="1" x14ac:dyDescent="0.3">
      <c r="A264" s="24" t="s">
        <v>37</v>
      </c>
      <c r="B264" s="25" t="s">
        <v>29</v>
      </c>
      <c r="C264" s="24">
        <v>5.48</v>
      </c>
      <c r="D264" s="93"/>
    </row>
    <row r="265" spans="1:4" ht="15.5" collapsed="1" x14ac:dyDescent="0.3">
      <c r="A265" s="28" t="s">
        <v>37</v>
      </c>
      <c r="B265" s="25"/>
      <c r="C265" s="24"/>
      <c r="D265" s="93"/>
    </row>
    <row r="266" spans="1:4" ht="15.5" hidden="1" outlineLevel="1" x14ac:dyDescent="0.3">
      <c r="A266" s="24" t="s">
        <v>38</v>
      </c>
      <c r="B266" s="25" t="s">
        <v>636</v>
      </c>
      <c r="C266" s="24">
        <v>5.0999999999999996</v>
      </c>
      <c r="D266" s="93"/>
    </row>
    <row r="267" spans="1:4" ht="15.5" hidden="1" outlineLevel="1" x14ac:dyDescent="0.3">
      <c r="A267" s="24" t="s">
        <v>38</v>
      </c>
      <c r="B267" s="25" t="s">
        <v>0</v>
      </c>
      <c r="C267" s="24">
        <v>5.2</v>
      </c>
      <c r="D267" s="93"/>
    </row>
    <row r="268" spans="1:4" ht="15.5" hidden="1" outlineLevel="1" x14ac:dyDescent="0.3">
      <c r="A268" s="24" t="s">
        <v>38</v>
      </c>
      <c r="B268" s="25" t="s">
        <v>703</v>
      </c>
      <c r="C268" s="24">
        <v>5.3</v>
      </c>
      <c r="D268" s="93"/>
    </row>
    <row r="269" spans="1:4" ht="15.5" hidden="1" outlineLevel="1" x14ac:dyDescent="0.3">
      <c r="A269" s="24" t="s">
        <v>38</v>
      </c>
      <c r="B269" s="25" t="s">
        <v>2</v>
      </c>
      <c r="C269" s="24">
        <v>5.6</v>
      </c>
      <c r="D269" s="93"/>
    </row>
    <row r="270" spans="1:4" ht="15.5" hidden="1" outlineLevel="1" x14ac:dyDescent="0.3">
      <c r="A270" s="24" t="s">
        <v>38</v>
      </c>
      <c r="B270" s="25" t="s">
        <v>709</v>
      </c>
      <c r="C270" s="26">
        <v>5.0999999999999996</v>
      </c>
      <c r="D270" s="93"/>
    </row>
    <row r="271" spans="1:4" ht="15.5" hidden="1" outlineLevel="1" x14ac:dyDescent="0.3">
      <c r="A271" s="24" t="s">
        <v>38</v>
      </c>
      <c r="B271" s="25" t="s">
        <v>3</v>
      </c>
      <c r="C271" s="24">
        <v>5.14</v>
      </c>
      <c r="D271" s="93"/>
    </row>
    <row r="272" spans="1:4" ht="15.5" hidden="1" outlineLevel="1" x14ac:dyDescent="0.3">
      <c r="A272" s="24" t="s">
        <v>38</v>
      </c>
      <c r="B272" s="25" t="s">
        <v>28</v>
      </c>
      <c r="C272" s="24">
        <v>5.19</v>
      </c>
      <c r="D272" s="93"/>
    </row>
    <row r="273" spans="1:4" ht="15.5" hidden="1" outlineLevel="1" x14ac:dyDescent="0.3">
      <c r="A273" s="24" t="s">
        <v>38</v>
      </c>
      <c r="B273" s="25" t="s">
        <v>27</v>
      </c>
      <c r="C273" s="24">
        <v>5.24</v>
      </c>
      <c r="D273" s="93"/>
    </row>
    <row r="274" spans="1:4" ht="15.5" hidden="1" outlineLevel="1" x14ac:dyDescent="0.3">
      <c r="A274" s="24" t="s">
        <v>38</v>
      </c>
      <c r="B274" s="25" t="s">
        <v>1</v>
      </c>
      <c r="C274" s="24">
        <v>5.26</v>
      </c>
      <c r="D274" s="93"/>
    </row>
    <row r="275" spans="1:4" ht="15.5" hidden="1" outlineLevel="1" x14ac:dyDescent="0.3">
      <c r="A275" s="24" t="s">
        <v>38</v>
      </c>
      <c r="B275" s="25" t="s">
        <v>591</v>
      </c>
      <c r="C275" s="24">
        <v>5.27</v>
      </c>
      <c r="D275" s="93"/>
    </row>
    <row r="276" spans="1:4" ht="15.5" hidden="1" outlineLevel="1" x14ac:dyDescent="0.3">
      <c r="A276" s="24" t="s">
        <v>38</v>
      </c>
      <c r="B276" s="25" t="s">
        <v>592</v>
      </c>
      <c r="C276" s="24">
        <v>5.28</v>
      </c>
      <c r="D276" s="93"/>
    </row>
    <row r="277" spans="1:4" ht="15.5" hidden="1" outlineLevel="1" x14ac:dyDescent="0.3">
      <c r="A277" s="24" t="s">
        <v>38</v>
      </c>
      <c r="B277" s="25" t="s">
        <v>596</v>
      </c>
      <c r="C277" s="24">
        <v>5.29</v>
      </c>
      <c r="D277" s="93"/>
    </row>
    <row r="278" spans="1:4" ht="15.5" hidden="1" outlineLevel="1" x14ac:dyDescent="0.3">
      <c r="A278" s="24" t="s">
        <v>38</v>
      </c>
      <c r="B278" s="25" t="s">
        <v>4</v>
      </c>
      <c r="C278" s="26">
        <v>5.3</v>
      </c>
      <c r="D278" s="93"/>
    </row>
    <row r="279" spans="1:4" ht="15.5" hidden="1" outlineLevel="1" x14ac:dyDescent="0.3">
      <c r="A279" s="24" t="s">
        <v>38</v>
      </c>
      <c r="B279" s="25" t="s">
        <v>9</v>
      </c>
      <c r="C279" s="24">
        <v>5.33</v>
      </c>
      <c r="D279" s="93"/>
    </row>
    <row r="280" spans="1:4" ht="15.5" hidden="1" outlineLevel="1" x14ac:dyDescent="0.3">
      <c r="A280" s="24" t="s">
        <v>38</v>
      </c>
      <c r="B280" s="25" t="s">
        <v>593</v>
      </c>
      <c r="C280" s="24">
        <v>5.36</v>
      </c>
      <c r="D280" s="93"/>
    </row>
    <row r="281" spans="1:4" ht="15.5" hidden="1" outlineLevel="1" x14ac:dyDescent="0.3">
      <c r="A281" s="24" t="s">
        <v>38</v>
      </c>
      <c r="B281" s="25" t="s">
        <v>12</v>
      </c>
      <c r="C281" s="24">
        <v>5.69</v>
      </c>
      <c r="D281" s="93"/>
    </row>
    <row r="282" spans="1:4" ht="15.5" hidden="1" outlineLevel="1" x14ac:dyDescent="0.3">
      <c r="A282" s="24" t="s">
        <v>38</v>
      </c>
      <c r="B282" s="25" t="s">
        <v>13</v>
      </c>
      <c r="C282" s="26">
        <v>5.7</v>
      </c>
      <c r="D282" s="93"/>
    </row>
    <row r="283" spans="1:4" ht="15.5" hidden="1" outlineLevel="1" x14ac:dyDescent="0.3">
      <c r="A283" s="24" t="s">
        <v>38</v>
      </c>
      <c r="B283" s="25" t="s">
        <v>608</v>
      </c>
      <c r="C283" s="24">
        <v>5.74</v>
      </c>
      <c r="D283" s="93"/>
    </row>
    <row r="284" spans="1:4" ht="15.5" hidden="1" outlineLevel="1" x14ac:dyDescent="0.3">
      <c r="A284" s="24" t="s">
        <v>38</v>
      </c>
      <c r="B284" s="25" t="s">
        <v>5</v>
      </c>
      <c r="C284" s="24">
        <v>5.49</v>
      </c>
      <c r="D284" s="93"/>
    </row>
    <row r="285" spans="1:4" ht="15.5" hidden="1" outlineLevel="1" x14ac:dyDescent="0.3">
      <c r="A285" s="24" t="s">
        <v>38</v>
      </c>
      <c r="B285" s="25" t="s">
        <v>7</v>
      </c>
      <c r="C285" s="24">
        <v>5.51</v>
      </c>
      <c r="D285" s="93"/>
    </row>
    <row r="286" spans="1:4" ht="15.5" hidden="1" outlineLevel="1" x14ac:dyDescent="0.3">
      <c r="A286" s="24" t="s">
        <v>38</v>
      </c>
      <c r="B286" s="25" t="s">
        <v>6</v>
      </c>
      <c r="C286" s="24">
        <v>5.52</v>
      </c>
      <c r="D286" s="93"/>
    </row>
    <row r="287" spans="1:4" ht="15.5" hidden="1" outlineLevel="1" x14ac:dyDescent="0.3">
      <c r="A287" s="24" t="s">
        <v>38</v>
      </c>
      <c r="B287" s="25" t="s">
        <v>387</v>
      </c>
      <c r="C287" s="24">
        <v>5.53</v>
      </c>
      <c r="D287" s="93"/>
    </row>
    <row r="288" spans="1:4" ht="15.5" hidden="1" outlineLevel="1" x14ac:dyDescent="0.3">
      <c r="A288" s="24" t="s">
        <v>38</v>
      </c>
      <c r="B288" s="25" t="s">
        <v>747</v>
      </c>
      <c r="C288" s="24">
        <v>5.58</v>
      </c>
      <c r="D288" s="93"/>
    </row>
    <row r="289" spans="1:4" ht="15.5" hidden="1" outlineLevel="1" x14ac:dyDescent="0.3">
      <c r="A289" s="24" t="s">
        <v>38</v>
      </c>
      <c r="B289" s="25" t="s">
        <v>10</v>
      </c>
      <c r="C289" s="24">
        <v>5.54</v>
      </c>
      <c r="D289" s="93"/>
    </row>
    <row r="290" spans="1:4" ht="15.5" hidden="1" outlineLevel="1" x14ac:dyDescent="0.3">
      <c r="A290" s="24" t="s">
        <v>38</v>
      </c>
      <c r="B290" s="25" t="s">
        <v>14</v>
      </c>
      <c r="C290" s="24">
        <v>5.55</v>
      </c>
      <c r="D290" s="93"/>
    </row>
    <row r="291" spans="1:4" ht="15.5" hidden="1" outlineLevel="1" x14ac:dyDescent="0.3">
      <c r="A291" s="24" t="s">
        <v>38</v>
      </c>
      <c r="B291" s="25" t="s">
        <v>1105</v>
      </c>
      <c r="C291" s="24">
        <v>5.63</v>
      </c>
      <c r="D291" s="93"/>
    </row>
    <row r="292" spans="1:4" ht="15.5" hidden="1" outlineLevel="1" x14ac:dyDescent="0.3">
      <c r="A292" s="24" t="s">
        <v>38</v>
      </c>
      <c r="B292" s="25" t="s">
        <v>18</v>
      </c>
      <c r="C292" s="24">
        <v>5.47</v>
      </c>
      <c r="D292" s="93"/>
    </row>
    <row r="293" spans="1:4" ht="15.5" hidden="1" outlineLevel="1" x14ac:dyDescent="0.3">
      <c r="A293" s="24" t="s">
        <v>38</v>
      </c>
      <c r="B293" s="25" t="s">
        <v>29</v>
      </c>
      <c r="C293" s="24">
        <v>5.48</v>
      </c>
      <c r="D293" s="93"/>
    </row>
    <row r="294" spans="1:4" ht="15.5" collapsed="1" x14ac:dyDescent="0.3">
      <c r="A294" s="28" t="s">
        <v>38</v>
      </c>
      <c r="B294" s="25"/>
      <c r="C294" s="24"/>
      <c r="D294" s="93"/>
    </row>
    <row r="295" spans="1:4" ht="15.5" hidden="1" outlineLevel="1" x14ac:dyDescent="0.3">
      <c r="A295" s="24" t="s">
        <v>40</v>
      </c>
      <c r="B295" s="25" t="s">
        <v>636</v>
      </c>
      <c r="C295" s="24">
        <v>5.0999999999999996</v>
      </c>
      <c r="D295" s="93"/>
    </row>
    <row r="296" spans="1:4" ht="15.5" hidden="1" outlineLevel="1" x14ac:dyDescent="0.3">
      <c r="A296" s="24" t="s">
        <v>40</v>
      </c>
      <c r="B296" s="25" t="s">
        <v>0</v>
      </c>
      <c r="C296" s="24">
        <v>5.2</v>
      </c>
      <c r="D296" s="93"/>
    </row>
    <row r="297" spans="1:4" ht="15.5" hidden="1" outlineLevel="1" x14ac:dyDescent="0.3">
      <c r="A297" s="24" t="s">
        <v>40</v>
      </c>
      <c r="B297" s="25" t="s">
        <v>703</v>
      </c>
      <c r="C297" s="24">
        <v>5.3</v>
      </c>
      <c r="D297" s="93"/>
    </row>
    <row r="298" spans="1:4" ht="15.5" hidden="1" outlineLevel="1" x14ac:dyDescent="0.3">
      <c r="A298" s="24" t="s">
        <v>40</v>
      </c>
      <c r="B298" s="25" t="s">
        <v>3</v>
      </c>
      <c r="C298" s="24">
        <v>5.14</v>
      </c>
      <c r="D298" s="93"/>
    </row>
    <row r="299" spans="1:4" ht="15.5" hidden="1" outlineLevel="1" x14ac:dyDescent="0.3">
      <c r="A299" s="24" t="s">
        <v>40</v>
      </c>
      <c r="B299" s="25" t="s">
        <v>28</v>
      </c>
      <c r="C299" s="24">
        <v>5.19</v>
      </c>
      <c r="D299" s="93"/>
    </row>
    <row r="300" spans="1:4" ht="15.5" hidden="1" outlineLevel="1" x14ac:dyDescent="0.3">
      <c r="A300" s="24" t="s">
        <v>40</v>
      </c>
      <c r="B300" s="25" t="s">
        <v>27</v>
      </c>
      <c r="C300" s="24">
        <v>5.24</v>
      </c>
      <c r="D300" s="93"/>
    </row>
    <row r="301" spans="1:4" ht="15.5" hidden="1" outlineLevel="1" x14ac:dyDescent="0.3">
      <c r="A301" s="24" t="s">
        <v>40</v>
      </c>
      <c r="B301" s="25" t="s">
        <v>1</v>
      </c>
      <c r="C301" s="24">
        <v>5.26</v>
      </c>
      <c r="D301" s="93"/>
    </row>
    <row r="302" spans="1:4" ht="15.5" hidden="1" outlineLevel="1" x14ac:dyDescent="0.3">
      <c r="A302" s="24" t="s">
        <v>40</v>
      </c>
      <c r="B302" s="25" t="s">
        <v>591</v>
      </c>
      <c r="C302" s="24">
        <v>5.27</v>
      </c>
      <c r="D302" s="93"/>
    </row>
    <row r="303" spans="1:4" ht="15.5" hidden="1" outlineLevel="1" x14ac:dyDescent="0.3">
      <c r="A303" s="24" t="s">
        <v>40</v>
      </c>
      <c r="B303" s="25" t="s">
        <v>592</v>
      </c>
      <c r="C303" s="24">
        <v>5.28</v>
      </c>
      <c r="D303" s="93"/>
    </row>
    <row r="304" spans="1:4" ht="15.5" hidden="1" outlineLevel="1" x14ac:dyDescent="0.3">
      <c r="A304" s="24" t="s">
        <v>40</v>
      </c>
      <c r="B304" s="25" t="s">
        <v>11</v>
      </c>
      <c r="C304" s="24">
        <v>5.37</v>
      </c>
      <c r="D304" s="93"/>
    </row>
    <row r="305" spans="1:4" ht="15.5" hidden="1" outlineLevel="1" x14ac:dyDescent="0.3">
      <c r="A305" s="24" t="s">
        <v>40</v>
      </c>
      <c r="B305" s="25" t="s">
        <v>5</v>
      </c>
      <c r="C305" s="24">
        <v>5.49</v>
      </c>
      <c r="D305" s="93"/>
    </row>
    <row r="306" spans="1:4" ht="15.5" hidden="1" outlineLevel="1" x14ac:dyDescent="0.3">
      <c r="A306" s="24" t="s">
        <v>40</v>
      </c>
      <c r="B306" s="25" t="s">
        <v>7</v>
      </c>
      <c r="C306" s="24">
        <v>5.51</v>
      </c>
      <c r="D306" s="93"/>
    </row>
    <row r="307" spans="1:4" ht="15.5" hidden="1" outlineLevel="1" x14ac:dyDescent="0.3">
      <c r="A307" s="24" t="s">
        <v>40</v>
      </c>
      <c r="B307" s="25" t="s">
        <v>387</v>
      </c>
      <c r="C307" s="24">
        <v>5.53</v>
      </c>
      <c r="D307" s="93"/>
    </row>
    <row r="308" spans="1:4" ht="15.5" hidden="1" outlineLevel="1" x14ac:dyDescent="0.3">
      <c r="A308" s="24" t="s">
        <v>40</v>
      </c>
      <c r="B308" s="25" t="s">
        <v>12</v>
      </c>
      <c r="C308" s="24">
        <v>5.69</v>
      </c>
      <c r="D308" s="93"/>
    </row>
    <row r="309" spans="1:4" ht="15.5" hidden="1" outlineLevel="1" x14ac:dyDescent="0.3">
      <c r="A309" s="24" t="s">
        <v>40</v>
      </c>
      <c r="B309" s="25" t="s">
        <v>412</v>
      </c>
      <c r="C309" s="24">
        <v>5.75</v>
      </c>
      <c r="D309" s="93"/>
    </row>
    <row r="310" spans="1:4" ht="15.5" hidden="1" outlineLevel="1" x14ac:dyDescent="0.3">
      <c r="A310" s="24" t="s">
        <v>40</v>
      </c>
      <c r="B310" s="25" t="s">
        <v>13</v>
      </c>
      <c r="C310" s="26">
        <v>5.7</v>
      </c>
      <c r="D310" s="93"/>
    </row>
    <row r="311" spans="1:4" ht="15.5" hidden="1" outlineLevel="1" x14ac:dyDescent="0.3">
      <c r="A311" s="24" t="s">
        <v>40</v>
      </c>
      <c r="B311" s="25" t="s">
        <v>608</v>
      </c>
      <c r="C311" s="24">
        <v>5.74</v>
      </c>
      <c r="D311" s="93"/>
    </row>
    <row r="312" spans="1:4" ht="15.5" hidden="1" outlineLevel="1" x14ac:dyDescent="0.3">
      <c r="A312" s="24" t="s">
        <v>40</v>
      </c>
      <c r="B312" s="25" t="s">
        <v>747</v>
      </c>
      <c r="C312" s="24">
        <v>5.58</v>
      </c>
      <c r="D312" s="93"/>
    </row>
    <row r="313" spans="1:4" ht="15.5" hidden="1" outlineLevel="1" x14ac:dyDescent="0.3">
      <c r="A313" s="24" t="s">
        <v>40</v>
      </c>
      <c r="B313" s="25" t="s">
        <v>10</v>
      </c>
      <c r="C313" s="24">
        <v>5.54</v>
      </c>
      <c r="D313" s="93"/>
    </row>
    <row r="314" spans="1:4" ht="15.5" hidden="1" outlineLevel="1" x14ac:dyDescent="0.3">
      <c r="A314" s="24" t="s">
        <v>40</v>
      </c>
      <c r="B314" s="25" t="s">
        <v>14</v>
      </c>
      <c r="C314" s="24">
        <v>5.55</v>
      </c>
      <c r="D314" s="93"/>
    </row>
    <row r="315" spans="1:4" ht="15.5" hidden="1" outlineLevel="1" x14ac:dyDescent="0.3">
      <c r="A315" s="24" t="s">
        <v>40</v>
      </c>
      <c r="B315" s="25" t="s">
        <v>1105</v>
      </c>
      <c r="C315" s="24">
        <v>5.63</v>
      </c>
      <c r="D315" s="93"/>
    </row>
    <row r="316" spans="1:4" ht="15.5" hidden="1" outlineLevel="1" x14ac:dyDescent="0.3">
      <c r="A316" s="24" t="s">
        <v>40</v>
      </c>
      <c r="B316" s="25" t="s">
        <v>1106</v>
      </c>
      <c r="C316" s="24">
        <v>5.65</v>
      </c>
      <c r="D316" s="93"/>
    </row>
    <row r="317" spans="1:4" ht="15.5" hidden="1" outlineLevel="1" x14ac:dyDescent="0.3">
      <c r="A317" s="24" t="s">
        <v>40</v>
      </c>
      <c r="B317" s="25" t="s">
        <v>25</v>
      </c>
      <c r="C317" s="24">
        <v>5.68</v>
      </c>
      <c r="D317" s="93"/>
    </row>
    <row r="318" spans="1:4" ht="15.5" hidden="1" outlineLevel="1" x14ac:dyDescent="0.3">
      <c r="A318" s="24" t="s">
        <v>40</v>
      </c>
      <c r="B318" s="25" t="s">
        <v>18</v>
      </c>
      <c r="C318" s="24">
        <v>5.47</v>
      </c>
      <c r="D318" s="93"/>
    </row>
    <row r="319" spans="1:4" ht="15.5" hidden="1" outlineLevel="1" x14ac:dyDescent="0.3">
      <c r="A319" s="24" t="s">
        <v>40</v>
      </c>
      <c r="B319" s="25" t="s">
        <v>29</v>
      </c>
      <c r="C319" s="24">
        <v>5.48</v>
      </c>
      <c r="D319" s="93"/>
    </row>
    <row r="320" spans="1:4" ht="15.5" collapsed="1" x14ac:dyDescent="0.3">
      <c r="A320" s="28" t="s">
        <v>40</v>
      </c>
      <c r="B320" s="25"/>
      <c r="C320" s="24"/>
      <c r="D320" s="93"/>
    </row>
    <row r="321" spans="1:4" ht="15.5" hidden="1" outlineLevel="1" x14ac:dyDescent="0.3">
      <c r="A321" s="24" t="s">
        <v>41</v>
      </c>
      <c r="B321" s="25" t="s">
        <v>636</v>
      </c>
      <c r="C321" s="24">
        <v>5.0999999999999996</v>
      </c>
      <c r="D321" s="93"/>
    </row>
    <row r="322" spans="1:4" ht="15.5" hidden="1" outlineLevel="1" x14ac:dyDescent="0.3">
      <c r="A322" s="24" t="s">
        <v>41</v>
      </c>
      <c r="B322" s="25" t="s">
        <v>0</v>
      </c>
      <c r="C322" s="24">
        <v>5.2</v>
      </c>
      <c r="D322" s="93"/>
    </row>
    <row r="323" spans="1:4" ht="15.5" hidden="1" outlineLevel="1" x14ac:dyDescent="0.3">
      <c r="A323" s="24" t="s">
        <v>41</v>
      </c>
      <c r="B323" s="25" t="s">
        <v>1</v>
      </c>
      <c r="C323" s="24">
        <v>5.26</v>
      </c>
      <c r="D323" s="93"/>
    </row>
    <row r="324" spans="1:4" ht="15.5" hidden="1" outlineLevel="1" x14ac:dyDescent="0.3">
      <c r="A324" s="24" t="s">
        <v>41</v>
      </c>
      <c r="B324" s="25" t="s">
        <v>3</v>
      </c>
      <c r="C324" s="24">
        <v>5.14</v>
      </c>
      <c r="D324" s="93"/>
    </row>
    <row r="325" spans="1:4" ht="15.5" hidden="1" outlineLevel="1" x14ac:dyDescent="0.3">
      <c r="A325" s="24" t="s">
        <v>41</v>
      </c>
      <c r="B325" s="25" t="s">
        <v>28</v>
      </c>
      <c r="C325" s="24">
        <v>5.19</v>
      </c>
      <c r="D325" s="93"/>
    </row>
    <row r="326" spans="1:4" ht="15.5" hidden="1" outlineLevel="1" x14ac:dyDescent="0.3">
      <c r="A326" s="24" t="s">
        <v>41</v>
      </c>
      <c r="B326" s="25" t="s">
        <v>11</v>
      </c>
      <c r="C326" s="24">
        <v>5.37</v>
      </c>
      <c r="D326" s="93"/>
    </row>
    <row r="327" spans="1:4" ht="15.5" hidden="1" outlineLevel="1" x14ac:dyDescent="0.3">
      <c r="A327" s="24" t="s">
        <v>41</v>
      </c>
      <c r="B327" s="25" t="s">
        <v>12</v>
      </c>
      <c r="C327" s="24">
        <v>5.69</v>
      </c>
      <c r="D327" s="93"/>
    </row>
    <row r="328" spans="1:4" ht="15.5" hidden="1" outlineLevel="1" x14ac:dyDescent="0.3">
      <c r="A328" s="24" t="s">
        <v>41</v>
      </c>
      <c r="B328" s="25" t="s">
        <v>275</v>
      </c>
      <c r="C328" s="26">
        <v>5.8</v>
      </c>
      <c r="D328" s="93"/>
    </row>
    <row r="329" spans="1:4" ht="15.5" hidden="1" outlineLevel="1" x14ac:dyDescent="0.3">
      <c r="A329" s="24" t="s">
        <v>41</v>
      </c>
      <c r="B329" s="25" t="s">
        <v>412</v>
      </c>
      <c r="C329" s="24">
        <v>5.75</v>
      </c>
      <c r="D329" s="93"/>
    </row>
    <row r="330" spans="1:4" ht="15.5" hidden="1" outlineLevel="1" x14ac:dyDescent="0.3">
      <c r="A330" s="24" t="s">
        <v>41</v>
      </c>
      <c r="B330" s="25" t="s">
        <v>13</v>
      </c>
      <c r="C330" s="26">
        <v>5.7</v>
      </c>
      <c r="D330" s="93"/>
    </row>
    <row r="331" spans="1:4" ht="15.5" hidden="1" outlineLevel="1" x14ac:dyDescent="0.3">
      <c r="A331" s="24" t="s">
        <v>41</v>
      </c>
      <c r="B331" s="25" t="s">
        <v>608</v>
      </c>
      <c r="C331" s="24">
        <v>5.74</v>
      </c>
      <c r="D331" s="93"/>
    </row>
    <row r="332" spans="1:4" ht="15.5" hidden="1" outlineLevel="1" x14ac:dyDescent="0.3">
      <c r="A332" s="24" t="s">
        <v>41</v>
      </c>
      <c r="B332" s="25" t="s">
        <v>747</v>
      </c>
      <c r="C332" s="24">
        <v>5.58</v>
      </c>
      <c r="D332" s="93"/>
    </row>
    <row r="333" spans="1:4" ht="15.5" hidden="1" outlineLevel="1" x14ac:dyDescent="0.3">
      <c r="A333" s="24" t="s">
        <v>41</v>
      </c>
      <c r="B333" s="25" t="s">
        <v>14</v>
      </c>
      <c r="C333" s="24">
        <v>5.55</v>
      </c>
      <c r="D333" s="93"/>
    </row>
    <row r="334" spans="1:4" ht="15.5" hidden="1" outlineLevel="1" x14ac:dyDescent="0.3">
      <c r="A334" s="24" t="s">
        <v>41</v>
      </c>
      <c r="B334" s="25" t="s">
        <v>1105</v>
      </c>
      <c r="C334" s="24">
        <v>5.63</v>
      </c>
      <c r="D334" s="93"/>
    </row>
    <row r="335" spans="1:4" ht="15.5" hidden="1" outlineLevel="1" x14ac:dyDescent="0.3">
      <c r="A335" s="24" t="s">
        <v>41</v>
      </c>
      <c r="B335" s="25" t="s">
        <v>1106</v>
      </c>
      <c r="C335" s="24">
        <v>5.65</v>
      </c>
      <c r="D335" s="93"/>
    </row>
    <row r="336" spans="1:4" ht="15.5" hidden="1" outlineLevel="1" x14ac:dyDescent="0.3">
      <c r="A336" s="24" t="s">
        <v>41</v>
      </c>
      <c r="B336" s="25" t="s">
        <v>25</v>
      </c>
      <c r="C336" s="24">
        <v>5.68</v>
      </c>
      <c r="D336" s="93"/>
    </row>
    <row r="337" spans="1:4" ht="15.5" hidden="1" outlineLevel="1" x14ac:dyDescent="0.3">
      <c r="A337" s="24" t="s">
        <v>41</v>
      </c>
      <c r="B337" s="25" t="s">
        <v>18</v>
      </c>
      <c r="C337" s="24">
        <v>5.47</v>
      </c>
      <c r="D337" s="93"/>
    </row>
    <row r="338" spans="1:4" ht="15.5" hidden="1" outlineLevel="1" x14ac:dyDescent="0.3">
      <c r="A338" s="24" t="s">
        <v>41</v>
      </c>
      <c r="B338" s="25" t="s">
        <v>29</v>
      </c>
      <c r="C338" s="24">
        <v>5.48</v>
      </c>
      <c r="D338" s="93"/>
    </row>
    <row r="339" spans="1:4" ht="15.5" collapsed="1" x14ac:dyDescent="0.3">
      <c r="A339" s="28" t="s">
        <v>41</v>
      </c>
      <c r="B339" s="25"/>
      <c r="C339" s="24"/>
      <c r="D339" s="93"/>
    </row>
    <row r="340" spans="1:4" ht="15.5" hidden="1" outlineLevel="1" x14ac:dyDescent="0.3">
      <c r="A340" s="24" t="s">
        <v>652</v>
      </c>
      <c r="B340" s="25" t="s">
        <v>756</v>
      </c>
      <c r="C340" s="24">
        <v>5.0999999999999996</v>
      </c>
      <c r="D340" s="93"/>
    </row>
    <row r="341" spans="1:4" ht="15.5" hidden="1" outlineLevel="1" x14ac:dyDescent="0.3">
      <c r="A341" s="24" t="s">
        <v>652</v>
      </c>
      <c r="B341" s="25" t="s">
        <v>0</v>
      </c>
      <c r="C341" s="24">
        <v>5.2</v>
      </c>
      <c r="D341" s="93"/>
    </row>
    <row r="342" spans="1:4" ht="15.5" hidden="1" outlineLevel="1" x14ac:dyDescent="0.3">
      <c r="A342" s="24" t="s">
        <v>652</v>
      </c>
      <c r="B342" s="25" t="s">
        <v>1</v>
      </c>
      <c r="C342" s="24">
        <v>5.26</v>
      </c>
      <c r="D342" s="93"/>
    </row>
    <row r="343" spans="1:4" ht="15.5" hidden="1" outlineLevel="1" x14ac:dyDescent="0.3">
      <c r="A343" s="24" t="s">
        <v>652</v>
      </c>
      <c r="B343" s="25" t="s">
        <v>734</v>
      </c>
      <c r="C343" s="24">
        <v>5.38</v>
      </c>
      <c r="D343" s="93"/>
    </row>
    <row r="344" spans="1:4" ht="15.5" hidden="1" outlineLevel="1" x14ac:dyDescent="0.3">
      <c r="A344" s="24" t="s">
        <v>652</v>
      </c>
      <c r="B344" s="25" t="s">
        <v>733</v>
      </c>
      <c r="C344" s="24">
        <v>5.39</v>
      </c>
      <c r="D344" s="93"/>
    </row>
    <row r="345" spans="1:4" ht="15.5" hidden="1" outlineLevel="1" x14ac:dyDescent="0.3">
      <c r="A345" s="24" t="s">
        <v>652</v>
      </c>
      <c r="B345" s="25" t="s">
        <v>1112</v>
      </c>
      <c r="C345" s="26">
        <v>5.6</v>
      </c>
      <c r="D345" s="93"/>
    </row>
    <row r="346" spans="1:4" ht="15.5" hidden="1" outlineLevel="1" x14ac:dyDescent="0.3">
      <c r="A346" s="24" t="s">
        <v>652</v>
      </c>
      <c r="B346" s="25" t="s">
        <v>29</v>
      </c>
      <c r="C346" s="24">
        <v>5.48</v>
      </c>
      <c r="D346" s="93"/>
    </row>
    <row r="347" spans="1:4" ht="15.5" collapsed="1" x14ac:dyDescent="0.3">
      <c r="A347" s="28" t="s">
        <v>652</v>
      </c>
      <c r="B347" s="25"/>
      <c r="C347" s="24"/>
      <c r="D347" s="93"/>
    </row>
    <row r="348" spans="1:4" ht="15.5" hidden="1" outlineLevel="1" x14ac:dyDescent="0.3">
      <c r="A348" s="24" t="s">
        <v>42</v>
      </c>
      <c r="B348" s="25" t="s">
        <v>636</v>
      </c>
      <c r="C348" s="24">
        <v>5.0999999999999996</v>
      </c>
      <c r="D348" s="93"/>
    </row>
    <row r="349" spans="1:4" ht="15.5" hidden="1" outlineLevel="1" x14ac:dyDescent="0.3">
      <c r="A349" s="24" t="s">
        <v>42</v>
      </c>
      <c r="B349" s="25" t="s">
        <v>0</v>
      </c>
      <c r="C349" s="24">
        <v>5.2</v>
      </c>
      <c r="D349" s="93"/>
    </row>
    <row r="350" spans="1:4" ht="15.5" hidden="1" outlineLevel="1" x14ac:dyDescent="0.3">
      <c r="A350" s="24" t="s">
        <v>42</v>
      </c>
      <c r="B350" s="25" t="s">
        <v>703</v>
      </c>
      <c r="C350" s="24">
        <v>5.3</v>
      </c>
      <c r="D350" s="93"/>
    </row>
    <row r="351" spans="1:4" ht="15.5" hidden="1" outlineLevel="1" x14ac:dyDescent="0.3">
      <c r="A351" s="24" t="s">
        <v>42</v>
      </c>
      <c r="B351" s="25" t="s">
        <v>2</v>
      </c>
      <c r="C351" s="24">
        <v>5.6</v>
      </c>
      <c r="D351" s="93"/>
    </row>
    <row r="352" spans="1:4" ht="15.5" hidden="1" outlineLevel="1" x14ac:dyDescent="0.3">
      <c r="A352" s="24" t="s">
        <v>42</v>
      </c>
      <c r="B352" s="25" t="s">
        <v>709</v>
      </c>
      <c r="C352" s="26">
        <v>5.0999999999999996</v>
      </c>
      <c r="D352" s="93"/>
    </row>
    <row r="353" spans="1:4" ht="15.5" hidden="1" outlineLevel="1" x14ac:dyDescent="0.3">
      <c r="A353" s="24" t="s">
        <v>42</v>
      </c>
      <c r="B353" s="25" t="s">
        <v>3</v>
      </c>
      <c r="C353" s="24">
        <v>5.14</v>
      </c>
      <c r="D353" s="93"/>
    </row>
    <row r="354" spans="1:4" ht="15.5" hidden="1" outlineLevel="1" x14ac:dyDescent="0.3">
      <c r="A354" s="24" t="s">
        <v>42</v>
      </c>
      <c r="B354" s="25" t="s">
        <v>28</v>
      </c>
      <c r="C354" s="24">
        <v>5.19</v>
      </c>
      <c r="D354" s="93"/>
    </row>
    <row r="355" spans="1:4" ht="15.5" hidden="1" outlineLevel="1" x14ac:dyDescent="0.3">
      <c r="A355" s="24" t="s">
        <v>42</v>
      </c>
      <c r="B355" s="25" t="s">
        <v>27</v>
      </c>
      <c r="C355" s="24">
        <v>5.24</v>
      </c>
      <c r="D355" s="93"/>
    </row>
    <row r="356" spans="1:4" ht="15.5" hidden="1" outlineLevel="1" x14ac:dyDescent="0.3">
      <c r="A356" s="24" t="s">
        <v>42</v>
      </c>
      <c r="B356" s="25" t="s">
        <v>1</v>
      </c>
      <c r="C356" s="24">
        <v>5.26</v>
      </c>
      <c r="D356" s="93"/>
    </row>
    <row r="357" spans="1:4" ht="15.5" hidden="1" outlineLevel="1" x14ac:dyDescent="0.3">
      <c r="A357" s="24" t="s">
        <v>42</v>
      </c>
      <c r="B357" s="25" t="s">
        <v>591</v>
      </c>
      <c r="C357" s="24">
        <v>5.27</v>
      </c>
      <c r="D357" s="93"/>
    </row>
    <row r="358" spans="1:4" ht="15.5" hidden="1" outlineLevel="1" x14ac:dyDescent="0.3">
      <c r="A358" s="24" t="s">
        <v>42</v>
      </c>
      <c r="B358" s="25" t="s">
        <v>592</v>
      </c>
      <c r="C358" s="24">
        <v>5.28</v>
      </c>
      <c r="D358" s="93"/>
    </row>
    <row r="359" spans="1:4" ht="15.5" hidden="1" outlineLevel="1" x14ac:dyDescent="0.3">
      <c r="A359" s="24" t="s">
        <v>42</v>
      </c>
      <c r="B359" s="25" t="s">
        <v>8</v>
      </c>
      <c r="C359" s="24">
        <v>5.31</v>
      </c>
      <c r="D359" s="93"/>
    </row>
    <row r="360" spans="1:4" ht="15.5" hidden="1" outlineLevel="1" x14ac:dyDescent="0.3">
      <c r="A360" s="24" t="s">
        <v>42</v>
      </c>
      <c r="B360" s="25" t="s">
        <v>593</v>
      </c>
      <c r="C360" s="24">
        <v>5.36</v>
      </c>
      <c r="D360" s="93"/>
    </row>
    <row r="361" spans="1:4" ht="15.5" hidden="1" outlineLevel="1" x14ac:dyDescent="0.3">
      <c r="A361" s="24" t="s">
        <v>42</v>
      </c>
      <c r="B361" s="25" t="s">
        <v>11</v>
      </c>
      <c r="C361" s="24">
        <v>5.37</v>
      </c>
      <c r="D361" s="93"/>
    </row>
    <row r="362" spans="1:4" ht="15.5" hidden="1" outlineLevel="1" x14ac:dyDescent="0.3">
      <c r="A362" s="24" t="s">
        <v>42</v>
      </c>
      <c r="B362" s="25" t="s">
        <v>5</v>
      </c>
      <c r="C362" s="24">
        <v>5.49</v>
      </c>
      <c r="D362" s="93"/>
    </row>
    <row r="363" spans="1:4" ht="15.5" hidden="1" outlineLevel="1" x14ac:dyDescent="0.3">
      <c r="A363" s="24" t="s">
        <v>42</v>
      </c>
      <c r="B363" s="25" t="s">
        <v>7</v>
      </c>
      <c r="C363" s="24">
        <v>5.51</v>
      </c>
      <c r="D363" s="93"/>
    </row>
    <row r="364" spans="1:4" ht="15.5" hidden="1" outlineLevel="1" x14ac:dyDescent="0.3">
      <c r="A364" s="24" t="s">
        <v>42</v>
      </c>
      <c r="B364" s="25" t="s">
        <v>6</v>
      </c>
      <c r="C364" s="24">
        <v>5.52</v>
      </c>
      <c r="D364" s="93"/>
    </row>
    <row r="365" spans="1:4" ht="15.5" hidden="1" outlineLevel="1" x14ac:dyDescent="0.3">
      <c r="A365" s="24" t="s">
        <v>42</v>
      </c>
      <c r="B365" s="25" t="s">
        <v>387</v>
      </c>
      <c r="C365" s="24">
        <v>5.53</v>
      </c>
      <c r="D365" s="93"/>
    </row>
    <row r="366" spans="1:4" ht="15.5" hidden="1" outlineLevel="1" x14ac:dyDescent="0.3">
      <c r="A366" s="24" t="s">
        <v>42</v>
      </c>
      <c r="B366" s="25" t="s">
        <v>12</v>
      </c>
      <c r="C366" s="24">
        <v>5.69</v>
      </c>
      <c r="D366" s="93"/>
    </row>
    <row r="367" spans="1:4" ht="15.5" hidden="1" outlineLevel="1" x14ac:dyDescent="0.3">
      <c r="A367" s="24" t="s">
        <v>42</v>
      </c>
      <c r="B367" s="25" t="s">
        <v>275</v>
      </c>
      <c r="C367" s="26">
        <v>5.8</v>
      </c>
      <c r="D367" s="93"/>
    </row>
    <row r="368" spans="1:4" ht="15.5" hidden="1" outlineLevel="1" x14ac:dyDescent="0.3">
      <c r="A368" s="24" t="s">
        <v>42</v>
      </c>
      <c r="B368" s="25" t="s">
        <v>301</v>
      </c>
      <c r="C368" s="26">
        <v>5.72</v>
      </c>
      <c r="D368" s="93"/>
    </row>
    <row r="369" spans="1:4" ht="15.5" hidden="1" outlineLevel="1" x14ac:dyDescent="0.3">
      <c r="A369" s="24" t="s">
        <v>42</v>
      </c>
      <c r="B369" s="25" t="s">
        <v>412</v>
      </c>
      <c r="C369" s="24">
        <v>5.75</v>
      </c>
      <c r="D369" s="93"/>
    </row>
    <row r="370" spans="1:4" ht="15.5" hidden="1" outlineLevel="1" x14ac:dyDescent="0.3">
      <c r="A370" s="24" t="s">
        <v>42</v>
      </c>
      <c r="B370" s="25" t="s">
        <v>13</v>
      </c>
      <c r="C370" s="26">
        <v>5.7</v>
      </c>
      <c r="D370" s="93"/>
    </row>
    <row r="371" spans="1:4" ht="15.5" hidden="1" outlineLevel="1" x14ac:dyDescent="0.3">
      <c r="A371" s="24" t="s">
        <v>42</v>
      </c>
      <c r="B371" s="25" t="s">
        <v>608</v>
      </c>
      <c r="C371" s="24">
        <v>5.74</v>
      </c>
      <c r="D371" s="93"/>
    </row>
    <row r="372" spans="1:4" ht="15.5" hidden="1" outlineLevel="1" x14ac:dyDescent="0.3">
      <c r="A372" s="24" t="s">
        <v>42</v>
      </c>
      <c r="B372" s="25" t="s">
        <v>884</v>
      </c>
      <c r="C372" s="24">
        <v>5.76</v>
      </c>
      <c r="D372" s="93"/>
    </row>
    <row r="373" spans="1:4" ht="15.5" hidden="1" outlineLevel="1" x14ac:dyDescent="0.3">
      <c r="A373" s="24" t="s">
        <v>42</v>
      </c>
      <c r="B373" s="25" t="s">
        <v>654</v>
      </c>
      <c r="C373" s="24">
        <v>5.89</v>
      </c>
      <c r="D373" s="92" t="s">
        <v>893</v>
      </c>
    </row>
    <row r="374" spans="1:4" ht="15.5" hidden="1" outlineLevel="1" x14ac:dyDescent="0.3">
      <c r="A374" s="24" t="s">
        <v>42</v>
      </c>
      <c r="B374" s="25" t="s">
        <v>876</v>
      </c>
      <c r="C374" s="24">
        <v>5.109</v>
      </c>
      <c r="D374" s="92"/>
    </row>
    <row r="375" spans="1:4" ht="15.5" hidden="1" outlineLevel="1" x14ac:dyDescent="0.3">
      <c r="A375" s="24" t="s">
        <v>42</v>
      </c>
      <c r="B375" s="25" t="s">
        <v>363</v>
      </c>
      <c r="C375" s="24">
        <v>5.1109999999999998</v>
      </c>
      <c r="D375" s="93"/>
    </row>
    <row r="376" spans="1:4" ht="15.5" hidden="1" outlineLevel="1" x14ac:dyDescent="0.3">
      <c r="A376" s="24" t="s">
        <v>42</v>
      </c>
      <c r="B376" s="25" t="s">
        <v>15</v>
      </c>
      <c r="C376" s="24">
        <v>5.1120000000000001</v>
      </c>
      <c r="D376" s="93"/>
    </row>
    <row r="377" spans="1:4" ht="15.5" hidden="1" outlineLevel="1" x14ac:dyDescent="0.3">
      <c r="A377" s="24" t="s">
        <v>42</v>
      </c>
      <c r="B377" s="25" t="s">
        <v>462</v>
      </c>
      <c r="C377" s="24">
        <v>5.1130000000000004</v>
      </c>
      <c r="D377" s="93"/>
    </row>
    <row r="378" spans="1:4" ht="15.5" hidden="1" outlineLevel="1" x14ac:dyDescent="0.3">
      <c r="A378" s="24" t="s">
        <v>42</v>
      </c>
      <c r="B378" s="25" t="s">
        <v>747</v>
      </c>
      <c r="C378" s="24">
        <v>5.58</v>
      </c>
      <c r="D378" s="93"/>
    </row>
    <row r="379" spans="1:4" ht="15.5" hidden="1" outlineLevel="1" x14ac:dyDescent="0.3">
      <c r="A379" s="24" t="s">
        <v>42</v>
      </c>
      <c r="B379" s="25" t="s">
        <v>10</v>
      </c>
      <c r="C379" s="24">
        <v>5.54</v>
      </c>
      <c r="D379" s="93"/>
    </row>
    <row r="380" spans="1:4" ht="15.5" hidden="1" outlineLevel="1" x14ac:dyDescent="0.3">
      <c r="A380" s="24" t="s">
        <v>42</v>
      </c>
      <c r="B380" s="25" t="s">
        <v>14</v>
      </c>
      <c r="C380" s="24">
        <v>5.55</v>
      </c>
      <c r="D380" s="93"/>
    </row>
    <row r="381" spans="1:4" ht="15.5" hidden="1" outlineLevel="1" x14ac:dyDescent="0.3">
      <c r="A381" s="24" t="s">
        <v>42</v>
      </c>
      <c r="B381" s="25" t="s">
        <v>1105</v>
      </c>
      <c r="C381" s="24">
        <v>5.63</v>
      </c>
      <c r="D381" s="93"/>
    </row>
    <row r="382" spans="1:4" ht="15.5" hidden="1" outlineLevel="1" x14ac:dyDescent="0.3">
      <c r="A382" s="24" t="s">
        <v>42</v>
      </c>
      <c r="B382" s="25" t="s">
        <v>1106</v>
      </c>
      <c r="C382" s="24">
        <v>5.65</v>
      </c>
      <c r="D382" s="93"/>
    </row>
    <row r="383" spans="1:4" ht="15.5" hidden="1" outlineLevel="1" x14ac:dyDescent="0.3">
      <c r="A383" s="24" t="s">
        <v>42</v>
      </c>
      <c r="B383" s="25" t="s">
        <v>760</v>
      </c>
      <c r="C383" s="24">
        <v>5.66</v>
      </c>
      <c r="D383" s="93"/>
    </row>
    <row r="384" spans="1:4" ht="15.5" hidden="1" outlineLevel="1" x14ac:dyDescent="0.3">
      <c r="A384" s="24" t="s">
        <v>42</v>
      </c>
      <c r="B384" s="25" t="s">
        <v>25</v>
      </c>
      <c r="C384" s="24">
        <v>5.68</v>
      </c>
      <c r="D384" s="93"/>
    </row>
    <row r="385" spans="1:4" ht="15.5" hidden="1" outlineLevel="1" x14ac:dyDescent="0.3">
      <c r="A385" s="24" t="s">
        <v>42</v>
      </c>
      <c r="B385" s="25" t="s">
        <v>18</v>
      </c>
      <c r="C385" s="24">
        <v>5.47</v>
      </c>
      <c r="D385" s="93"/>
    </row>
    <row r="386" spans="1:4" ht="15.5" hidden="1" outlineLevel="1" x14ac:dyDescent="0.3">
      <c r="A386" s="24" t="s">
        <v>42</v>
      </c>
      <c r="B386" s="25" t="s">
        <v>29</v>
      </c>
      <c r="C386" s="24">
        <v>5.48</v>
      </c>
      <c r="D386" s="93"/>
    </row>
    <row r="387" spans="1:4" ht="15.5" collapsed="1" x14ac:dyDescent="0.3">
      <c r="A387" s="28" t="s">
        <v>42</v>
      </c>
      <c r="B387" s="25"/>
      <c r="C387" s="24"/>
      <c r="D387" s="93"/>
    </row>
    <row r="388" spans="1:4" ht="15.5" hidden="1" outlineLevel="1" x14ac:dyDescent="0.3">
      <c r="A388" s="24" t="s">
        <v>43</v>
      </c>
      <c r="B388" s="25" t="s">
        <v>636</v>
      </c>
      <c r="C388" s="24">
        <v>5.0999999999999996</v>
      </c>
      <c r="D388" s="93"/>
    </row>
    <row r="389" spans="1:4" ht="15.5" hidden="1" outlineLevel="1" x14ac:dyDescent="0.3">
      <c r="A389" s="24" t="s">
        <v>43</v>
      </c>
      <c r="B389" s="25" t="s">
        <v>0</v>
      </c>
      <c r="C389" s="24">
        <v>5.2</v>
      </c>
      <c r="D389" s="93"/>
    </row>
    <row r="390" spans="1:4" ht="15.5" hidden="1" outlineLevel="1" x14ac:dyDescent="0.3">
      <c r="A390" s="24" t="s">
        <v>43</v>
      </c>
      <c r="B390" s="25" t="s">
        <v>703</v>
      </c>
      <c r="C390" s="24">
        <v>5.3</v>
      </c>
      <c r="D390" s="93"/>
    </row>
    <row r="391" spans="1:4" ht="15.5" hidden="1" outlineLevel="1" x14ac:dyDescent="0.3">
      <c r="A391" s="24" t="s">
        <v>43</v>
      </c>
      <c r="B391" s="25" t="s">
        <v>2</v>
      </c>
      <c r="C391" s="24">
        <v>5.6</v>
      </c>
      <c r="D391" s="93"/>
    </row>
    <row r="392" spans="1:4" ht="15.5" hidden="1" outlineLevel="1" x14ac:dyDescent="0.3">
      <c r="A392" s="24" t="s">
        <v>43</v>
      </c>
      <c r="B392" s="25" t="s">
        <v>709</v>
      </c>
      <c r="C392" s="26">
        <v>5.0999999999999996</v>
      </c>
      <c r="D392" s="93"/>
    </row>
    <row r="393" spans="1:4" ht="15.5" hidden="1" outlineLevel="1" x14ac:dyDescent="0.3">
      <c r="A393" s="24" t="s">
        <v>43</v>
      </c>
      <c r="B393" s="25" t="s">
        <v>3</v>
      </c>
      <c r="C393" s="24">
        <v>5.14</v>
      </c>
      <c r="D393" s="93"/>
    </row>
    <row r="394" spans="1:4" ht="15.5" hidden="1" outlineLevel="1" x14ac:dyDescent="0.3">
      <c r="A394" s="24" t="s">
        <v>43</v>
      </c>
      <c r="B394" s="25" t="s">
        <v>28</v>
      </c>
      <c r="C394" s="24">
        <v>5.19</v>
      </c>
      <c r="D394" s="93"/>
    </row>
    <row r="395" spans="1:4" ht="15.5" hidden="1" outlineLevel="1" x14ac:dyDescent="0.3">
      <c r="A395" s="24" t="s">
        <v>43</v>
      </c>
      <c r="B395" s="25" t="s">
        <v>27</v>
      </c>
      <c r="C395" s="24">
        <v>5.24</v>
      </c>
      <c r="D395" s="93"/>
    </row>
    <row r="396" spans="1:4" ht="15.5" hidden="1" outlineLevel="1" x14ac:dyDescent="0.3">
      <c r="A396" s="24" t="s">
        <v>43</v>
      </c>
      <c r="B396" s="25" t="s">
        <v>1</v>
      </c>
      <c r="C396" s="24">
        <v>5.26</v>
      </c>
      <c r="D396" s="93"/>
    </row>
    <row r="397" spans="1:4" ht="15.5" hidden="1" outlineLevel="1" x14ac:dyDescent="0.3">
      <c r="A397" s="24" t="s">
        <v>43</v>
      </c>
      <c r="B397" s="25" t="s">
        <v>591</v>
      </c>
      <c r="C397" s="24">
        <v>5.27</v>
      </c>
      <c r="D397" s="93"/>
    </row>
    <row r="398" spans="1:4" ht="15.5" hidden="1" outlineLevel="1" x14ac:dyDescent="0.3">
      <c r="A398" s="24" t="s">
        <v>43</v>
      </c>
      <c r="B398" s="25" t="s">
        <v>592</v>
      </c>
      <c r="C398" s="24">
        <v>5.28</v>
      </c>
      <c r="D398" s="93"/>
    </row>
    <row r="399" spans="1:4" ht="15.5" hidden="1" outlineLevel="1" x14ac:dyDescent="0.3">
      <c r="A399" s="24" t="s">
        <v>43</v>
      </c>
      <c r="B399" s="25" t="s">
        <v>596</v>
      </c>
      <c r="C399" s="24">
        <v>5.29</v>
      </c>
      <c r="D399" s="93"/>
    </row>
    <row r="400" spans="1:4" ht="15.5" hidden="1" outlineLevel="1" x14ac:dyDescent="0.3">
      <c r="A400" s="24" t="s">
        <v>43</v>
      </c>
      <c r="B400" s="25" t="s">
        <v>8</v>
      </c>
      <c r="C400" s="24">
        <v>5.31</v>
      </c>
      <c r="D400" s="93"/>
    </row>
    <row r="401" spans="1:4" ht="15.5" hidden="1" outlineLevel="1" x14ac:dyDescent="0.3">
      <c r="A401" s="24" t="s">
        <v>43</v>
      </c>
      <c r="B401" s="25" t="s">
        <v>593</v>
      </c>
      <c r="C401" s="24">
        <v>5.36</v>
      </c>
      <c r="D401" s="93"/>
    </row>
    <row r="402" spans="1:4" ht="15.5" hidden="1" outlineLevel="1" x14ac:dyDescent="0.3">
      <c r="A402" s="24" t="s">
        <v>43</v>
      </c>
      <c r="B402" s="25" t="s">
        <v>11</v>
      </c>
      <c r="C402" s="24">
        <v>5.37</v>
      </c>
      <c r="D402" s="93"/>
    </row>
    <row r="403" spans="1:4" ht="15.5" hidden="1" outlineLevel="1" x14ac:dyDescent="0.3">
      <c r="A403" s="24" t="s">
        <v>43</v>
      </c>
      <c r="B403" s="25" t="s">
        <v>5</v>
      </c>
      <c r="C403" s="24">
        <v>5.49</v>
      </c>
      <c r="D403" s="93"/>
    </row>
    <row r="404" spans="1:4" ht="15.5" hidden="1" outlineLevel="1" x14ac:dyDescent="0.3">
      <c r="A404" s="24" t="s">
        <v>43</v>
      </c>
      <c r="B404" s="25" t="s">
        <v>7</v>
      </c>
      <c r="C404" s="24">
        <v>5.51</v>
      </c>
      <c r="D404" s="93"/>
    </row>
    <row r="405" spans="1:4" ht="15.5" hidden="1" outlineLevel="1" x14ac:dyDescent="0.3">
      <c r="A405" s="24" t="s">
        <v>43</v>
      </c>
      <c r="B405" s="25" t="s">
        <v>6</v>
      </c>
      <c r="C405" s="24">
        <v>5.52</v>
      </c>
      <c r="D405" s="93"/>
    </row>
    <row r="406" spans="1:4" ht="15.5" hidden="1" outlineLevel="1" x14ac:dyDescent="0.3">
      <c r="A406" s="24" t="s">
        <v>43</v>
      </c>
      <c r="B406" s="25" t="s">
        <v>387</v>
      </c>
      <c r="C406" s="24">
        <v>5.53</v>
      </c>
      <c r="D406" s="93"/>
    </row>
    <row r="407" spans="1:4" ht="15.5" hidden="1" outlineLevel="1" x14ac:dyDescent="0.3">
      <c r="A407" s="24" t="s">
        <v>43</v>
      </c>
      <c r="B407" s="25" t="s">
        <v>12</v>
      </c>
      <c r="C407" s="24">
        <v>5.69</v>
      </c>
      <c r="D407" s="93"/>
    </row>
    <row r="408" spans="1:4" ht="15.5" hidden="1" outlineLevel="1" x14ac:dyDescent="0.3">
      <c r="A408" s="24" t="s">
        <v>43</v>
      </c>
      <c r="B408" s="25" t="s">
        <v>412</v>
      </c>
      <c r="C408" s="24">
        <v>5.75</v>
      </c>
      <c r="D408" s="93"/>
    </row>
    <row r="409" spans="1:4" ht="15.5" hidden="1" outlineLevel="1" x14ac:dyDescent="0.3">
      <c r="A409" s="24" t="s">
        <v>43</v>
      </c>
      <c r="B409" s="25" t="s">
        <v>608</v>
      </c>
      <c r="C409" s="24">
        <v>5.74</v>
      </c>
      <c r="D409" s="93"/>
    </row>
    <row r="410" spans="1:4" ht="15.5" hidden="1" outlineLevel="1" x14ac:dyDescent="0.3">
      <c r="A410" s="24" t="s">
        <v>43</v>
      </c>
      <c r="B410" s="25" t="s">
        <v>13</v>
      </c>
      <c r="C410" s="26">
        <v>5.7</v>
      </c>
      <c r="D410" s="93"/>
    </row>
    <row r="411" spans="1:4" ht="15.5" hidden="1" outlineLevel="1" x14ac:dyDescent="0.3">
      <c r="A411" s="24" t="s">
        <v>43</v>
      </c>
      <c r="B411" s="25" t="s">
        <v>884</v>
      </c>
      <c r="C411" s="24">
        <v>5.76</v>
      </c>
      <c r="D411" s="93"/>
    </row>
    <row r="412" spans="1:4" ht="15.5" hidden="1" outlineLevel="1" x14ac:dyDescent="0.3">
      <c r="A412" s="24" t="s">
        <v>43</v>
      </c>
      <c r="B412" s="25" t="s">
        <v>654</v>
      </c>
      <c r="C412" s="24">
        <v>5.89</v>
      </c>
      <c r="D412" s="92" t="s">
        <v>893</v>
      </c>
    </row>
    <row r="413" spans="1:4" ht="15.5" hidden="1" outlineLevel="1" x14ac:dyDescent="0.3">
      <c r="A413" s="24" t="s">
        <v>43</v>
      </c>
      <c r="B413" s="25" t="s">
        <v>876</v>
      </c>
      <c r="C413" s="24">
        <v>5.109</v>
      </c>
      <c r="D413" s="93"/>
    </row>
    <row r="414" spans="1:4" ht="15.5" hidden="1" outlineLevel="1" x14ac:dyDescent="0.3">
      <c r="A414" s="24" t="s">
        <v>43</v>
      </c>
      <c r="B414" s="25" t="s">
        <v>363</v>
      </c>
      <c r="C414" s="24">
        <v>5.1109999999999998</v>
      </c>
      <c r="D414" s="93"/>
    </row>
    <row r="415" spans="1:4" ht="15.5" hidden="1" outlineLevel="1" x14ac:dyDescent="0.3">
      <c r="A415" s="24" t="s">
        <v>43</v>
      </c>
      <c r="B415" s="25" t="s">
        <v>15</v>
      </c>
      <c r="C415" s="24">
        <v>5.1120000000000001</v>
      </c>
      <c r="D415" s="93"/>
    </row>
    <row r="416" spans="1:4" ht="15.5" hidden="1" outlineLevel="1" x14ac:dyDescent="0.3">
      <c r="A416" s="24" t="s">
        <v>43</v>
      </c>
      <c r="B416" s="25" t="s">
        <v>462</v>
      </c>
      <c r="C416" s="24">
        <v>5.1130000000000004</v>
      </c>
      <c r="D416" s="93"/>
    </row>
    <row r="417" spans="1:4" ht="15.5" hidden="1" outlineLevel="1" x14ac:dyDescent="0.3">
      <c r="A417" s="24" t="s">
        <v>43</v>
      </c>
      <c r="B417" s="25" t="s">
        <v>747</v>
      </c>
      <c r="C417" s="24">
        <v>5.58</v>
      </c>
      <c r="D417" s="93"/>
    </row>
    <row r="418" spans="1:4" ht="15.5" hidden="1" outlineLevel="1" x14ac:dyDescent="0.3">
      <c r="A418" s="24" t="s">
        <v>43</v>
      </c>
      <c r="B418" s="25" t="s">
        <v>10</v>
      </c>
      <c r="C418" s="24">
        <v>5.54</v>
      </c>
      <c r="D418" s="93"/>
    </row>
    <row r="419" spans="1:4" ht="15.5" hidden="1" outlineLevel="1" x14ac:dyDescent="0.3">
      <c r="A419" s="24" t="s">
        <v>43</v>
      </c>
      <c r="B419" s="25" t="s">
        <v>14</v>
      </c>
      <c r="C419" s="24">
        <v>5.55</v>
      </c>
      <c r="D419" s="93"/>
    </row>
    <row r="420" spans="1:4" ht="15.5" hidden="1" outlineLevel="1" x14ac:dyDescent="0.3">
      <c r="A420" s="24" t="s">
        <v>43</v>
      </c>
      <c r="B420" s="25" t="s">
        <v>1105</v>
      </c>
      <c r="C420" s="24">
        <v>5.63</v>
      </c>
      <c r="D420" s="93"/>
    </row>
    <row r="421" spans="1:4" ht="15.5" hidden="1" outlineLevel="1" x14ac:dyDescent="0.3">
      <c r="A421" s="24" t="s">
        <v>43</v>
      </c>
      <c r="B421" s="25" t="s">
        <v>1106</v>
      </c>
      <c r="C421" s="24">
        <v>5.65</v>
      </c>
      <c r="D421" s="93"/>
    </row>
    <row r="422" spans="1:4" ht="15.5" hidden="1" outlineLevel="1" x14ac:dyDescent="0.3">
      <c r="A422" s="24" t="s">
        <v>43</v>
      </c>
      <c r="B422" s="25" t="s">
        <v>760</v>
      </c>
      <c r="C422" s="24">
        <v>5.66</v>
      </c>
      <c r="D422" s="93"/>
    </row>
    <row r="423" spans="1:4" ht="15.5" hidden="1" outlineLevel="1" x14ac:dyDescent="0.3">
      <c r="A423" s="24" t="s">
        <v>43</v>
      </c>
      <c r="B423" s="25" t="s">
        <v>25</v>
      </c>
      <c r="C423" s="24">
        <v>5.68</v>
      </c>
      <c r="D423" s="93"/>
    </row>
    <row r="424" spans="1:4" ht="15.5" hidden="1" outlineLevel="1" x14ac:dyDescent="0.3">
      <c r="A424" s="24" t="s">
        <v>43</v>
      </c>
      <c r="B424" s="25" t="s">
        <v>18</v>
      </c>
      <c r="C424" s="24">
        <v>5.47</v>
      </c>
      <c r="D424" s="93"/>
    </row>
    <row r="425" spans="1:4" ht="15.5" hidden="1" outlineLevel="1" x14ac:dyDescent="0.3">
      <c r="A425" s="24" t="s">
        <v>43</v>
      </c>
      <c r="B425" s="25" t="s">
        <v>29</v>
      </c>
      <c r="C425" s="24">
        <v>5.48</v>
      </c>
      <c r="D425" s="93"/>
    </row>
    <row r="426" spans="1:4" ht="15.5" collapsed="1" x14ac:dyDescent="0.3">
      <c r="A426" s="28" t="s">
        <v>43</v>
      </c>
      <c r="B426" s="25"/>
      <c r="C426" s="24"/>
      <c r="D426" s="93"/>
    </row>
    <row r="427" spans="1:4" ht="15.5" hidden="1" outlineLevel="1" x14ac:dyDescent="0.3">
      <c r="A427" s="24" t="s">
        <v>1163</v>
      </c>
      <c r="B427" s="25" t="s">
        <v>636</v>
      </c>
      <c r="C427" s="24">
        <v>5.0999999999999996</v>
      </c>
      <c r="D427" s="93"/>
    </row>
    <row r="428" spans="1:4" ht="15.75" hidden="1" outlineLevel="1" x14ac:dyDescent="0.25">
      <c r="A428" s="24" t="s">
        <v>1163</v>
      </c>
      <c r="B428" s="25" t="s">
        <v>0</v>
      </c>
      <c r="C428" s="24">
        <v>5.2</v>
      </c>
      <c r="D428" s="93"/>
    </row>
    <row r="429" spans="1:4" ht="15.75" hidden="1" outlineLevel="1" x14ac:dyDescent="0.25">
      <c r="A429" s="24" t="s">
        <v>1163</v>
      </c>
      <c r="B429" s="25" t="s">
        <v>703</v>
      </c>
      <c r="C429" s="24">
        <v>5.3</v>
      </c>
      <c r="D429" s="93"/>
    </row>
    <row r="430" spans="1:4" ht="15.75" hidden="1" outlineLevel="1" x14ac:dyDescent="0.25">
      <c r="A430" s="24" t="s">
        <v>1163</v>
      </c>
      <c r="B430" s="25" t="s">
        <v>2</v>
      </c>
      <c r="C430" s="24">
        <v>5.6</v>
      </c>
      <c r="D430" s="93"/>
    </row>
    <row r="431" spans="1:4" ht="15.75" hidden="1" outlineLevel="1" x14ac:dyDescent="0.25">
      <c r="A431" s="24" t="s">
        <v>1163</v>
      </c>
      <c r="B431" s="25" t="s">
        <v>709</v>
      </c>
      <c r="C431" s="26">
        <v>5.0999999999999996</v>
      </c>
      <c r="D431" s="93"/>
    </row>
    <row r="432" spans="1:4" ht="15.75" hidden="1" outlineLevel="1" x14ac:dyDescent="0.25">
      <c r="A432" s="24" t="s">
        <v>1163</v>
      </c>
      <c r="B432" s="25" t="s">
        <v>3</v>
      </c>
      <c r="C432" s="24">
        <v>5.14</v>
      </c>
      <c r="D432" s="93"/>
    </row>
    <row r="433" spans="1:4" ht="15.75" hidden="1" outlineLevel="1" x14ac:dyDescent="0.25">
      <c r="A433" s="24" t="s">
        <v>1163</v>
      </c>
      <c r="B433" s="25" t="s">
        <v>28</v>
      </c>
      <c r="C433" s="24">
        <v>5.19</v>
      </c>
      <c r="D433" s="93"/>
    </row>
    <row r="434" spans="1:4" ht="15.75" hidden="1" outlineLevel="1" x14ac:dyDescent="0.25">
      <c r="A434" s="24" t="s">
        <v>1163</v>
      </c>
      <c r="B434" s="25" t="s">
        <v>27</v>
      </c>
      <c r="C434" s="24">
        <v>5.24</v>
      </c>
      <c r="D434" s="93"/>
    </row>
    <row r="435" spans="1:4" ht="15.75" hidden="1" outlineLevel="1" x14ac:dyDescent="0.25">
      <c r="A435" s="24" t="s">
        <v>1163</v>
      </c>
      <c r="B435" s="25" t="s">
        <v>1</v>
      </c>
      <c r="C435" s="24">
        <v>5.26</v>
      </c>
      <c r="D435" s="93"/>
    </row>
    <row r="436" spans="1:4" ht="15.75" hidden="1" outlineLevel="1" x14ac:dyDescent="0.25">
      <c r="A436" s="24" t="s">
        <v>1163</v>
      </c>
      <c r="B436" s="25" t="s">
        <v>591</v>
      </c>
      <c r="C436" s="24">
        <v>5.27</v>
      </c>
      <c r="D436" s="93"/>
    </row>
    <row r="437" spans="1:4" ht="15.75" hidden="1" outlineLevel="1" x14ac:dyDescent="0.25">
      <c r="A437" s="24" t="s">
        <v>1163</v>
      </c>
      <c r="B437" s="25" t="s">
        <v>592</v>
      </c>
      <c r="C437" s="24">
        <v>5.28</v>
      </c>
      <c r="D437" s="93"/>
    </row>
    <row r="438" spans="1:4" ht="15.75" hidden="1" outlineLevel="1" x14ac:dyDescent="0.25">
      <c r="A438" s="24" t="s">
        <v>1163</v>
      </c>
      <c r="B438" s="25" t="s">
        <v>596</v>
      </c>
      <c r="C438" s="24">
        <v>5.29</v>
      </c>
      <c r="D438" s="93"/>
    </row>
    <row r="439" spans="1:4" ht="15.75" hidden="1" outlineLevel="1" x14ac:dyDescent="0.25">
      <c r="A439" s="24" t="s">
        <v>1163</v>
      </c>
      <c r="B439" s="25" t="s">
        <v>8</v>
      </c>
      <c r="C439" s="24">
        <v>5.31</v>
      </c>
      <c r="D439" s="93"/>
    </row>
    <row r="440" spans="1:4" ht="15.75" hidden="1" outlineLevel="1" x14ac:dyDescent="0.25">
      <c r="A440" s="24" t="s">
        <v>1163</v>
      </c>
      <c r="B440" s="25" t="s">
        <v>593</v>
      </c>
      <c r="C440" s="24">
        <v>5.36</v>
      </c>
      <c r="D440" s="93"/>
    </row>
    <row r="441" spans="1:4" ht="15.75" hidden="1" outlineLevel="1" x14ac:dyDescent="0.25">
      <c r="A441" s="24" t="s">
        <v>1163</v>
      </c>
      <c r="B441" s="25" t="s">
        <v>11</v>
      </c>
      <c r="C441" s="24">
        <v>5.37</v>
      </c>
      <c r="D441" s="93"/>
    </row>
    <row r="442" spans="1:4" ht="15.75" hidden="1" outlineLevel="1" x14ac:dyDescent="0.25">
      <c r="A442" s="24" t="s">
        <v>1163</v>
      </c>
      <c r="B442" s="25" t="s">
        <v>387</v>
      </c>
      <c r="C442" s="24">
        <v>5.53</v>
      </c>
      <c r="D442" s="93"/>
    </row>
    <row r="443" spans="1:4" ht="15.75" hidden="1" outlineLevel="1" x14ac:dyDescent="0.25">
      <c r="A443" s="24" t="s">
        <v>1163</v>
      </c>
      <c r="B443" s="25" t="s">
        <v>876</v>
      </c>
      <c r="C443" s="24">
        <v>5.109</v>
      </c>
      <c r="D443" s="93"/>
    </row>
    <row r="444" spans="1:4" ht="15.75" hidden="1" outlineLevel="1" x14ac:dyDescent="0.25">
      <c r="A444" s="24" t="s">
        <v>1163</v>
      </c>
      <c r="B444" s="25" t="s">
        <v>363</v>
      </c>
      <c r="C444" s="24">
        <v>5.1109999999999998</v>
      </c>
      <c r="D444" s="93"/>
    </row>
    <row r="445" spans="1:4" ht="15.75" hidden="1" outlineLevel="1" x14ac:dyDescent="0.25">
      <c r="A445" s="24" t="s">
        <v>1163</v>
      </c>
      <c r="B445" s="25" t="s">
        <v>15</v>
      </c>
      <c r="C445" s="24">
        <v>5.1120000000000001</v>
      </c>
      <c r="D445" s="93"/>
    </row>
    <row r="446" spans="1:4" ht="15.75" hidden="1" outlineLevel="1" x14ac:dyDescent="0.25">
      <c r="A446" s="24" t="s">
        <v>1163</v>
      </c>
      <c r="B446" s="25" t="s">
        <v>462</v>
      </c>
      <c r="C446" s="24">
        <v>5.1130000000000004</v>
      </c>
      <c r="D446" s="93"/>
    </row>
    <row r="447" spans="1:4" ht="15.75" hidden="1" outlineLevel="1" x14ac:dyDescent="0.25">
      <c r="A447" s="24" t="s">
        <v>1163</v>
      </c>
      <c r="B447" s="25" t="s">
        <v>747</v>
      </c>
      <c r="C447" s="24">
        <v>5.58</v>
      </c>
      <c r="D447" s="93"/>
    </row>
    <row r="448" spans="1:4" ht="15.75" hidden="1" outlineLevel="1" x14ac:dyDescent="0.25">
      <c r="A448" s="24" t="s">
        <v>1163</v>
      </c>
      <c r="B448" s="25" t="s">
        <v>10</v>
      </c>
      <c r="C448" s="24">
        <v>5.54</v>
      </c>
      <c r="D448" s="93"/>
    </row>
    <row r="449" spans="1:4" ht="15.75" hidden="1" outlineLevel="1" x14ac:dyDescent="0.25">
      <c r="A449" s="24" t="s">
        <v>1163</v>
      </c>
      <c r="B449" s="25" t="s">
        <v>14</v>
      </c>
      <c r="C449" s="24">
        <v>5.55</v>
      </c>
      <c r="D449" s="93"/>
    </row>
    <row r="450" spans="1:4" ht="15.75" hidden="1" outlineLevel="1" x14ac:dyDescent="0.25">
      <c r="A450" s="24" t="s">
        <v>1163</v>
      </c>
      <c r="B450" s="25" t="s">
        <v>1105</v>
      </c>
      <c r="C450" s="24">
        <v>5.63</v>
      </c>
      <c r="D450" s="93"/>
    </row>
    <row r="451" spans="1:4" ht="15.75" hidden="1" outlineLevel="1" x14ac:dyDescent="0.25">
      <c r="A451" s="24" t="s">
        <v>1163</v>
      </c>
      <c r="B451" s="25" t="s">
        <v>18</v>
      </c>
      <c r="C451" s="24">
        <v>5.47</v>
      </c>
      <c r="D451" s="93"/>
    </row>
    <row r="452" spans="1:4" ht="15.75" hidden="1" outlineLevel="1" x14ac:dyDescent="0.25">
      <c r="A452" s="24" t="s">
        <v>1163</v>
      </c>
      <c r="B452" s="25" t="s">
        <v>29</v>
      </c>
      <c r="C452" s="24">
        <v>5.48</v>
      </c>
      <c r="D452" s="93"/>
    </row>
    <row r="453" spans="1:4" ht="15.5" collapsed="1" x14ac:dyDescent="0.3">
      <c r="A453" s="28" t="s">
        <v>1163</v>
      </c>
      <c r="B453" s="25"/>
      <c r="C453" s="24"/>
      <c r="D453" s="93"/>
    </row>
    <row r="454" spans="1:4" ht="15.5" hidden="1" outlineLevel="1" x14ac:dyDescent="0.3">
      <c r="A454" s="24" t="s">
        <v>44</v>
      </c>
      <c r="B454" s="25" t="s">
        <v>636</v>
      </c>
      <c r="C454" s="24">
        <v>5.0999999999999996</v>
      </c>
      <c r="D454" s="93"/>
    </row>
    <row r="455" spans="1:4" ht="15.75" hidden="1" outlineLevel="1" x14ac:dyDescent="0.25">
      <c r="A455" s="24" t="s">
        <v>44</v>
      </c>
      <c r="B455" s="25" t="s">
        <v>0</v>
      </c>
      <c r="C455" s="24">
        <v>5.2</v>
      </c>
      <c r="D455" s="93"/>
    </row>
    <row r="456" spans="1:4" ht="15.75" hidden="1" outlineLevel="1" x14ac:dyDescent="0.25">
      <c r="A456" s="24" t="s">
        <v>44</v>
      </c>
      <c r="B456" s="25" t="s">
        <v>753</v>
      </c>
      <c r="C456" s="24">
        <v>5.5</v>
      </c>
      <c r="D456" s="93"/>
    </row>
    <row r="457" spans="1:4" ht="15.75" hidden="1" outlineLevel="1" x14ac:dyDescent="0.25">
      <c r="A457" s="24" t="s">
        <v>44</v>
      </c>
      <c r="B457" s="25" t="s">
        <v>763</v>
      </c>
      <c r="C457" s="24">
        <v>5.8</v>
      </c>
      <c r="D457" s="92" t="s">
        <v>893</v>
      </c>
    </row>
    <row r="458" spans="1:4" ht="15.75" hidden="1" outlineLevel="1" x14ac:dyDescent="0.25">
      <c r="A458" s="24" t="s">
        <v>44</v>
      </c>
      <c r="B458" s="25" t="s">
        <v>754</v>
      </c>
      <c r="C458" s="24">
        <v>5.12</v>
      </c>
      <c r="D458" s="92" t="s">
        <v>893</v>
      </c>
    </row>
    <row r="459" spans="1:4" ht="15.75" hidden="1" outlineLevel="1" x14ac:dyDescent="0.25">
      <c r="A459" s="24" t="s">
        <v>44</v>
      </c>
      <c r="B459" s="25" t="s">
        <v>726</v>
      </c>
      <c r="C459" s="24">
        <v>5.15</v>
      </c>
      <c r="D459" s="93"/>
    </row>
    <row r="460" spans="1:4" ht="15.75" hidden="1" outlineLevel="1" x14ac:dyDescent="0.25">
      <c r="A460" s="24" t="s">
        <v>44</v>
      </c>
      <c r="B460" s="25" t="s">
        <v>725</v>
      </c>
      <c r="C460" s="26">
        <v>5.2</v>
      </c>
      <c r="D460" s="92"/>
    </row>
    <row r="461" spans="1:4" ht="15.75" hidden="1" outlineLevel="1" x14ac:dyDescent="0.25">
      <c r="A461" s="24" t="s">
        <v>44</v>
      </c>
      <c r="B461" s="25" t="s">
        <v>730</v>
      </c>
      <c r="C461" s="24">
        <v>5.25</v>
      </c>
      <c r="D461" s="93"/>
    </row>
    <row r="462" spans="1:4" ht="15.75" hidden="1" outlineLevel="1" x14ac:dyDescent="0.25">
      <c r="A462" s="24" t="s">
        <v>44</v>
      </c>
      <c r="B462" s="25" t="s">
        <v>1</v>
      </c>
      <c r="C462" s="24">
        <v>5.26</v>
      </c>
      <c r="D462" s="93"/>
    </row>
    <row r="463" spans="1:4" ht="15.75" hidden="1" outlineLevel="1" x14ac:dyDescent="0.25">
      <c r="A463" s="24" t="s">
        <v>44</v>
      </c>
      <c r="B463" s="25" t="s">
        <v>282</v>
      </c>
      <c r="C463" s="24">
        <v>5.1139999999999999</v>
      </c>
      <c r="D463" s="92" t="s">
        <v>893</v>
      </c>
    </row>
    <row r="464" spans="1:4" ht="15.75" hidden="1" outlineLevel="1" x14ac:dyDescent="0.25">
      <c r="A464" s="24" t="s">
        <v>44</v>
      </c>
      <c r="B464" s="25" t="s">
        <v>591</v>
      </c>
      <c r="C464" s="24">
        <v>5.27</v>
      </c>
      <c r="D464" s="93"/>
    </row>
    <row r="465" spans="1:4" ht="15.75" hidden="1" outlineLevel="1" x14ac:dyDescent="0.25">
      <c r="A465" s="24" t="s">
        <v>44</v>
      </c>
      <c r="B465" s="25" t="s">
        <v>718</v>
      </c>
      <c r="C465" s="24">
        <v>5.1150000000000002</v>
      </c>
      <c r="D465" s="92" t="s">
        <v>893</v>
      </c>
    </row>
    <row r="466" spans="1:4" ht="15.75" hidden="1" outlineLevel="1" x14ac:dyDescent="0.25">
      <c r="A466" s="24" t="s">
        <v>44</v>
      </c>
      <c r="B466" s="25" t="s">
        <v>731</v>
      </c>
      <c r="C466" s="24">
        <v>5.1159999999999997</v>
      </c>
      <c r="D466" s="92" t="s">
        <v>893</v>
      </c>
    </row>
    <row r="467" spans="1:4" ht="15.75" hidden="1" outlineLevel="1" x14ac:dyDescent="0.25">
      <c r="A467" s="24" t="s">
        <v>44</v>
      </c>
      <c r="B467" s="25" t="s">
        <v>592</v>
      </c>
      <c r="C467" s="24">
        <v>5.28</v>
      </c>
      <c r="D467" s="93"/>
    </row>
    <row r="468" spans="1:4" ht="15.75" hidden="1" outlineLevel="1" x14ac:dyDescent="0.25">
      <c r="A468" s="24" t="s">
        <v>44</v>
      </c>
      <c r="B468" s="25" t="s">
        <v>593</v>
      </c>
      <c r="C468" s="24">
        <v>5.36</v>
      </c>
      <c r="D468" s="93"/>
    </row>
    <row r="469" spans="1:4" ht="15.75" hidden="1" outlineLevel="1" x14ac:dyDescent="0.25">
      <c r="A469" s="24" t="s">
        <v>44</v>
      </c>
      <c r="B469" s="25" t="s">
        <v>11</v>
      </c>
      <c r="C469" s="24">
        <v>5.37</v>
      </c>
      <c r="D469" s="93"/>
    </row>
    <row r="470" spans="1:4" ht="15.75" hidden="1" outlineLevel="1" x14ac:dyDescent="0.25">
      <c r="A470" s="24" t="s">
        <v>44</v>
      </c>
      <c r="B470" s="25" t="s">
        <v>387</v>
      </c>
      <c r="C470" s="24">
        <v>5.53</v>
      </c>
      <c r="D470" s="93"/>
    </row>
    <row r="471" spans="1:4" ht="15.75" hidden="1" outlineLevel="1" x14ac:dyDescent="0.25">
      <c r="A471" s="24" t="s">
        <v>44</v>
      </c>
      <c r="B471" s="25" t="s">
        <v>876</v>
      </c>
      <c r="C471" s="24">
        <v>5.109</v>
      </c>
      <c r="D471" s="93"/>
    </row>
    <row r="472" spans="1:4" ht="15.75" hidden="1" outlineLevel="1" x14ac:dyDescent="0.25">
      <c r="A472" s="24" t="s">
        <v>44</v>
      </c>
      <c r="B472" s="25" t="s">
        <v>363</v>
      </c>
      <c r="C472" s="24">
        <v>5.1109999999999998</v>
      </c>
      <c r="D472" s="93"/>
    </row>
    <row r="473" spans="1:4" ht="15.75" hidden="1" outlineLevel="1" x14ac:dyDescent="0.25">
      <c r="A473" s="24" t="s">
        <v>44</v>
      </c>
      <c r="B473" s="25" t="s">
        <v>15</v>
      </c>
      <c r="C473" s="24">
        <v>5.1120000000000001</v>
      </c>
      <c r="D473" s="93"/>
    </row>
    <row r="474" spans="1:4" ht="15.75" hidden="1" outlineLevel="1" x14ac:dyDescent="0.25">
      <c r="A474" s="24" t="s">
        <v>44</v>
      </c>
      <c r="B474" s="25" t="s">
        <v>10</v>
      </c>
      <c r="C474" s="24">
        <v>5.54</v>
      </c>
      <c r="D474" s="93"/>
    </row>
    <row r="475" spans="1:4" ht="15.75" hidden="1" outlineLevel="1" x14ac:dyDescent="0.25">
      <c r="A475" s="24" t="s">
        <v>44</v>
      </c>
      <c r="B475" s="25" t="s">
        <v>894</v>
      </c>
      <c r="C475" s="24">
        <v>5.61</v>
      </c>
      <c r="D475" s="93"/>
    </row>
    <row r="476" spans="1:4" ht="15.75" hidden="1" outlineLevel="1" x14ac:dyDescent="0.25">
      <c r="A476" s="24" t="s">
        <v>44</v>
      </c>
      <c r="B476" s="25" t="s">
        <v>1105</v>
      </c>
      <c r="C476" s="24">
        <v>5.63</v>
      </c>
      <c r="D476" s="93"/>
    </row>
    <row r="477" spans="1:4" ht="15.75" hidden="1" outlineLevel="1" x14ac:dyDescent="0.25">
      <c r="A477" s="24" t="s">
        <v>44</v>
      </c>
      <c r="B477" s="25" t="s">
        <v>715</v>
      </c>
      <c r="C477" s="24">
        <v>5.46</v>
      </c>
      <c r="D477" s="93"/>
    </row>
    <row r="478" spans="1:4" ht="15.75" hidden="1" outlineLevel="1" x14ac:dyDescent="0.25">
      <c r="A478" s="24" t="s">
        <v>44</v>
      </c>
      <c r="B478" s="25" t="s">
        <v>18</v>
      </c>
      <c r="C478" s="24">
        <v>5.47</v>
      </c>
      <c r="D478" s="93"/>
    </row>
    <row r="479" spans="1:4" ht="15.75" hidden="1" outlineLevel="1" x14ac:dyDescent="0.25">
      <c r="A479" s="24" t="s">
        <v>44</v>
      </c>
      <c r="B479" s="25" t="s">
        <v>29</v>
      </c>
      <c r="C479" s="24">
        <v>5.48</v>
      </c>
      <c r="D479" s="93"/>
    </row>
    <row r="480" spans="1:4" ht="15.5" collapsed="1" x14ac:dyDescent="0.3">
      <c r="A480" s="28" t="s">
        <v>44</v>
      </c>
      <c r="B480" s="25"/>
      <c r="C480" s="24"/>
      <c r="D480" s="93"/>
    </row>
    <row r="481" spans="1:4" ht="15.75" hidden="1" outlineLevel="1" x14ac:dyDescent="0.25">
      <c r="A481" s="24" t="s">
        <v>45</v>
      </c>
      <c r="B481" s="25" t="s">
        <v>636</v>
      </c>
      <c r="C481" s="24">
        <v>5.0999999999999996</v>
      </c>
      <c r="D481" s="93"/>
    </row>
    <row r="482" spans="1:4" ht="15.75" hidden="1" outlineLevel="1" x14ac:dyDescent="0.25">
      <c r="A482" s="24" t="s">
        <v>45</v>
      </c>
      <c r="B482" s="25" t="s">
        <v>0</v>
      </c>
      <c r="C482" s="24">
        <v>5.2</v>
      </c>
      <c r="D482" s="93"/>
    </row>
    <row r="483" spans="1:4" ht="15.75" hidden="1" outlineLevel="1" x14ac:dyDescent="0.25">
      <c r="A483" s="24" t="s">
        <v>45</v>
      </c>
      <c r="B483" s="25" t="s">
        <v>703</v>
      </c>
      <c r="C483" s="24">
        <v>5.3</v>
      </c>
      <c r="D483" s="93"/>
    </row>
    <row r="484" spans="1:4" ht="15.75" hidden="1" outlineLevel="1" x14ac:dyDescent="0.25">
      <c r="A484" s="24" t="s">
        <v>45</v>
      </c>
      <c r="B484" s="25" t="s">
        <v>2</v>
      </c>
      <c r="C484" s="24">
        <v>5.6</v>
      </c>
      <c r="D484" s="93"/>
    </row>
    <row r="485" spans="1:4" ht="15.75" hidden="1" outlineLevel="1" x14ac:dyDescent="0.25">
      <c r="A485" s="24" t="s">
        <v>45</v>
      </c>
      <c r="B485" s="25" t="s">
        <v>709</v>
      </c>
      <c r="C485" s="26">
        <v>5.0999999999999996</v>
      </c>
      <c r="D485" s="93"/>
    </row>
    <row r="486" spans="1:4" ht="15.75" hidden="1" outlineLevel="1" x14ac:dyDescent="0.25">
      <c r="A486" s="24" t="s">
        <v>45</v>
      </c>
      <c r="B486" s="25" t="s">
        <v>3</v>
      </c>
      <c r="C486" s="24">
        <v>5.14</v>
      </c>
      <c r="D486" s="93"/>
    </row>
    <row r="487" spans="1:4" ht="15.75" hidden="1" outlineLevel="1" x14ac:dyDescent="0.25">
      <c r="A487" s="24" t="s">
        <v>45</v>
      </c>
      <c r="B487" s="25" t="s">
        <v>28</v>
      </c>
      <c r="C487" s="24">
        <v>5.19</v>
      </c>
      <c r="D487" s="93"/>
    </row>
    <row r="488" spans="1:4" ht="15.75" hidden="1" outlineLevel="1" x14ac:dyDescent="0.25">
      <c r="A488" s="24" t="s">
        <v>45</v>
      </c>
      <c r="B488" s="25" t="s">
        <v>27</v>
      </c>
      <c r="C488" s="24">
        <v>5.24</v>
      </c>
      <c r="D488" s="93"/>
    </row>
    <row r="489" spans="1:4" ht="15.75" hidden="1" outlineLevel="1" x14ac:dyDescent="0.25">
      <c r="A489" s="24" t="s">
        <v>45</v>
      </c>
      <c r="B489" s="25" t="s">
        <v>591</v>
      </c>
      <c r="C489" s="24">
        <v>5.27</v>
      </c>
      <c r="D489" s="93"/>
    </row>
    <row r="490" spans="1:4" ht="15.75" hidden="1" outlineLevel="1" x14ac:dyDescent="0.25">
      <c r="A490" s="24" t="s">
        <v>45</v>
      </c>
      <c r="B490" s="25" t="s">
        <v>592</v>
      </c>
      <c r="C490" s="24">
        <v>5.28</v>
      </c>
      <c r="D490" s="93"/>
    </row>
    <row r="491" spans="1:4" ht="15.75" hidden="1" outlineLevel="1" x14ac:dyDescent="0.25">
      <c r="A491" s="24" t="s">
        <v>45</v>
      </c>
      <c r="B491" s="25" t="s">
        <v>596</v>
      </c>
      <c r="C491" s="24">
        <v>5.29</v>
      </c>
      <c r="D491" s="93"/>
    </row>
    <row r="492" spans="1:4" ht="15.75" hidden="1" outlineLevel="1" x14ac:dyDescent="0.25">
      <c r="A492" s="24" t="s">
        <v>45</v>
      </c>
      <c r="B492" s="25" t="s">
        <v>717</v>
      </c>
      <c r="C492" s="24">
        <v>5.34</v>
      </c>
      <c r="D492" s="93"/>
    </row>
    <row r="493" spans="1:4" ht="15.75" hidden="1" outlineLevel="1" x14ac:dyDescent="0.25">
      <c r="A493" s="24" t="s">
        <v>45</v>
      </c>
      <c r="B493" s="25" t="s">
        <v>8</v>
      </c>
      <c r="C493" s="24">
        <v>5.31</v>
      </c>
      <c r="D493" s="93"/>
    </row>
    <row r="494" spans="1:4" ht="15.75" hidden="1" outlineLevel="1" x14ac:dyDescent="0.25">
      <c r="A494" s="24" t="s">
        <v>45</v>
      </c>
      <c r="B494" s="25" t="s">
        <v>651</v>
      </c>
      <c r="C494" s="24">
        <v>5.101</v>
      </c>
      <c r="D494" s="93"/>
    </row>
    <row r="495" spans="1:4" ht="15.75" hidden="1" outlineLevel="1" x14ac:dyDescent="0.25">
      <c r="A495" s="24" t="s">
        <v>45</v>
      </c>
      <c r="B495" s="25" t="s">
        <v>593</v>
      </c>
      <c r="C495" s="24">
        <v>5.36</v>
      </c>
      <c r="D495" s="93"/>
    </row>
    <row r="496" spans="1:4" ht="15.75" hidden="1" outlineLevel="1" x14ac:dyDescent="0.25">
      <c r="A496" s="24" t="s">
        <v>45</v>
      </c>
      <c r="B496" s="25" t="s">
        <v>11</v>
      </c>
      <c r="C496" s="24">
        <v>5.37</v>
      </c>
      <c r="D496" s="93"/>
    </row>
    <row r="497" spans="1:4" ht="15.75" hidden="1" outlineLevel="1" x14ac:dyDescent="0.25">
      <c r="A497" s="24" t="s">
        <v>45</v>
      </c>
      <c r="B497" s="25" t="s">
        <v>387</v>
      </c>
      <c r="C497" s="24">
        <v>5.53</v>
      </c>
      <c r="D497" s="93"/>
    </row>
    <row r="498" spans="1:4" ht="15.75" hidden="1" outlineLevel="1" x14ac:dyDescent="0.25">
      <c r="A498" s="24" t="s">
        <v>45</v>
      </c>
      <c r="B498" s="25" t="s">
        <v>876</v>
      </c>
      <c r="C498" s="24">
        <v>5.109</v>
      </c>
      <c r="D498" s="93"/>
    </row>
    <row r="499" spans="1:4" ht="15.75" hidden="1" outlineLevel="1" x14ac:dyDescent="0.25">
      <c r="A499" s="24" t="s">
        <v>45</v>
      </c>
      <c r="B499" s="25" t="s">
        <v>363</v>
      </c>
      <c r="C499" s="24">
        <v>5.1109999999999998</v>
      </c>
      <c r="D499" s="93"/>
    </row>
    <row r="500" spans="1:4" ht="15.75" hidden="1" outlineLevel="1" x14ac:dyDescent="0.25">
      <c r="A500" s="24" t="s">
        <v>45</v>
      </c>
      <c r="B500" s="25" t="s">
        <v>15</v>
      </c>
      <c r="C500" s="24">
        <v>5.1120000000000001</v>
      </c>
      <c r="D500" s="93"/>
    </row>
    <row r="501" spans="1:4" ht="15.75" hidden="1" outlineLevel="1" x14ac:dyDescent="0.25">
      <c r="A501" s="24" t="s">
        <v>45</v>
      </c>
      <c r="B501" s="25" t="s">
        <v>22</v>
      </c>
      <c r="C501" s="24">
        <v>5.1020000000000003</v>
      </c>
      <c r="D501" s="93"/>
    </row>
    <row r="502" spans="1:4" ht="15.75" hidden="1" outlineLevel="1" x14ac:dyDescent="0.25">
      <c r="A502" s="24" t="s">
        <v>45</v>
      </c>
      <c r="B502" s="25" t="s">
        <v>600</v>
      </c>
      <c r="C502" s="27">
        <v>5.0999999999999996</v>
      </c>
      <c r="D502" s="93"/>
    </row>
    <row r="503" spans="1:4" ht="15.75" hidden="1" outlineLevel="1" x14ac:dyDescent="0.25">
      <c r="A503" s="24" t="s">
        <v>45</v>
      </c>
      <c r="B503" s="25" t="s">
        <v>747</v>
      </c>
      <c r="C503" s="24">
        <v>5.58</v>
      </c>
      <c r="D503" s="93"/>
    </row>
    <row r="504" spans="1:4" ht="15.75" hidden="1" outlineLevel="1" x14ac:dyDescent="0.25">
      <c r="A504" s="24" t="s">
        <v>45</v>
      </c>
      <c r="B504" s="25" t="s">
        <v>14</v>
      </c>
      <c r="C504" s="24">
        <v>5.55</v>
      </c>
      <c r="D504" s="93"/>
    </row>
    <row r="505" spans="1:4" ht="15.75" hidden="1" outlineLevel="1" x14ac:dyDescent="0.25">
      <c r="A505" s="24" t="s">
        <v>45</v>
      </c>
      <c r="B505" s="25" t="s">
        <v>10</v>
      </c>
      <c r="C505" s="24">
        <v>5.54</v>
      </c>
      <c r="D505" s="93"/>
    </row>
    <row r="506" spans="1:4" ht="15.75" hidden="1" outlineLevel="1" x14ac:dyDescent="0.25">
      <c r="A506" s="24" t="s">
        <v>45</v>
      </c>
      <c r="B506" s="25" t="s">
        <v>1105</v>
      </c>
      <c r="C506" s="24">
        <v>5.63</v>
      </c>
      <c r="D506" s="93"/>
    </row>
    <row r="507" spans="1:4" ht="15.75" hidden="1" outlineLevel="1" x14ac:dyDescent="0.25">
      <c r="A507" s="24" t="s">
        <v>45</v>
      </c>
      <c r="B507" s="25" t="s">
        <v>18</v>
      </c>
      <c r="C507" s="24">
        <v>5.47</v>
      </c>
      <c r="D507" s="93"/>
    </row>
    <row r="508" spans="1:4" ht="15.75" hidden="1" outlineLevel="1" x14ac:dyDescent="0.25">
      <c r="A508" s="24" t="s">
        <v>45</v>
      </c>
      <c r="B508" s="25" t="s">
        <v>29</v>
      </c>
      <c r="C508" s="24">
        <v>5.48</v>
      </c>
      <c r="D508" s="93"/>
    </row>
    <row r="509" spans="1:4" ht="15.75" collapsed="1" x14ac:dyDescent="0.25">
      <c r="A509" s="28" t="s">
        <v>45</v>
      </c>
      <c r="B509" s="25"/>
      <c r="C509" s="24"/>
      <c r="D509" s="93"/>
    </row>
    <row r="510" spans="1:4" ht="15.75" hidden="1" outlineLevel="1" x14ac:dyDescent="0.25">
      <c r="A510" s="24" t="s">
        <v>46</v>
      </c>
      <c r="B510" s="25" t="s">
        <v>636</v>
      </c>
      <c r="C510" s="24">
        <v>5.0999999999999996</v>
      </c>
      <c r="D510" s="93"/>
    </row>
    <row r="511" spans="1:4" ht="15.75" hidden="1" outlineLevel="1" x14ac:dyDescent="0.25">
      <c r="A511" s="24" t="s">
        <v>46</v>
      </c>
      <c r="B511" s="25" t="s">
        <v>0</v>
      </c>
      <c r="C511" s="24">
        <v>5.2</v>
      </c>
      <c r="D511" s="93"/>
    </row>
    <row r="512" spans="1:4" ht="15.75" hidden="1" outlineLevel="1" x14ac:dyDescent="0.25">
      <c r="A512" s="24" t="s">
        <v>46</v>
      </c>
      <c r="B512" s="25" t="s">
        <v>703</v>
      </c>
      <c r="C512" s="24">
        <v>5.3</v>
      </c>
      <c r="D512" s="93"/>
    </row>
    <row r="513" spans="1:4" ht="15.75" hidden="1" outlineLevel="1" x14ac:dyDescent="0.25">
      <c r="A513" s="24" t="s">
        <v>46</v>
      </c>
      <c r="B513" s="25" t="s">
        <v>2</v>
      </c>
      <c r="C513" s="24">
        <v>5.6</v>
      </c>
      <c r="D513" s="93"/>
    </row>
    <row r="514" spans="1:4" ht="15.75" hidden="1" outlineLevel="1" x14ac:dyDescent="0.25">
      <c r="A514" s="24" t="s">
        <v>46</v>
      </c>
      <c r="B514" s="25" t="s">
        <v>709</v>
      </c>
      <c r="C514" s="26">
        <v>5.0999999999999996</v>
      </c>
      <c r="D514" s="93"/>
    </row>
    <row r="515" spans="1:4" ht="15.75" hidden="1" outlineLevel="1" x14ac:dyDescent="0.25">
      <c r="A515" s="24" t="s">
        <v>46</v>
      </c>
      <c r="B515" s="25" t="s">
        <v>3</v>
      </c>
      <c r="C515" s="24">
        <v>5.14</v>
      </c>
      <c r="D515" s="93"/>
    </row>
    <row r="516" spans="1:4" ht="15.75" hidden="1" outlineLevel="1" x14ac:dyDescent="0.25">
      <c r="A516" s="24" t="s">
        <v>46</v>
      </c>
      <c r="B516" s="25" t="s">
        <v>28</v>
      </c>
      <c r="C516" s="24">
        <v>5.19</v>
      </c>
      <c r="D516" s="93"/>
    </row>
    <row r="517" spans="1:4" ht="15.75" hidden="1" outlineLevel="1" x14ac:dyDescent="0.25">
      <c r="A517" s="24" t="s">
        <v>46</v>
      </c>
      <c r="B517" s="25" t="s">
        <v>27</v>
      </c>
      <c r="C517" s="24">
        <v>5.24</v>
      </c>
      <c r="D517" s="93"/>
    </row>
    <row r="518" spans="1:4" ht="15.75" hidden="1" outlineLevel="1" x14ac:dyDescent="0.25">
      <c r="A518" s="24" t="s">
        <v>46</v>
      </c>
      <c r="B518" s="25" t="s">
        <v>1</v>
      </c>
      <c r="C518" s="24">
        <v>5.26</v>
      </c>
      <c r="D518" s="93"/>
    </row>
    <row r="519" spans="1:4" ht="15.75" hidden="1" outlineLevel="1" x14ac:dyDescent="0.25">
      <c r="A519" s="24" t="s">
        <v>46</v>
      </c>
      <c r="B519" s="25" t="s">
        <v>591</v>
      </c>
      <c r="C519" s="24">
        <v>5.27</v>
      </c>
      <c r="D519" s="93"/>
    </row>
    <row r="520" spans="1:4" ht="15.75" hidden="1" outlineLevel="1" x14ac:dyDescent="0.25">
      <c r="A520" s="24" t="s">
        <v>46</v>
      </c>
      <c r="B520" s="25" t="s">
        <v>592</v>
      </c>
      <c r="C520" s="24">
        <v>5.28</v>
      </c>
      <c r="D520" s="93"/>
    </row>
    <row r="521" spans="1:4" ht="15.75" hidden="1" outlineLevel="1" x14ac:dyDescent="0.25">
      <c r="A521" s="24" t="s">
        <v>46</v>
      </c>
      <c r="B521" s="25" t="s">
        <v>8</v>
      </c>
      <c r="C521" s="24">
        <v>5.31</v>
      </c>
      <c r="D521" s="93"/>
    </row>
    <row r="522" spans="1:4" ht="15.75" hidden="1" outlineLevel="1" x14ac:dyDescent="0.25">
      <c r="A522" s="24" t="s">
        <v>46</v>
      </c>
      <c r="B522" s="25" t="s">
        <v>9</v>
      </c>
      <c r="C522" s="24">
        <v>5.33</v>
      </c>
      <c r="D522" s="93"/>
    </row>
    <row r="523" spans="1:4" ht="15.75" hidden="1" outlineLevel="1" x14ac:dyDescent="0.25">
      <c r="A523" s="24" t="s">
        <v>46</v>
      </c>
      <c r="B523" s="25" t="s">
        <v>651</v>
      </c>
      <c r="C523" s="24">
        <v>5.101</v>
      </c>
      <c r="D523" s="93"/>
    </row>
    <row r="524" spans="1:4" ht="15.75" hidden="1" outlineLevel="1" x14ac:dyDescent="0.25">
      <c r="A524" s="24" t="s">
        <v>46</v>
      </c>
      <c r="B524" s="25" t="s">
        <v>593</v>
      </c>
      <c r="C524" s="24">
        <v>5.36</v>
      </c>
      <c r="D524" s="93"/>
    </row>
    <row r="525" spans="1:4" ht="15.75" hidden="1" outlineLevel="1" x14ac:dyDescent="0.25">
      <c r="A525" s="24" t="s">
        <v>46</v>
      </c>
      <c r="B525" s="25" t="s">
        <v>11</v>
      </c>
      <c r="C525" s="24">
        <v>5.37</v>
      </c>
      <c r="D525" s="93"/>
    </row>
    <row r="526" spans="1:4" ht="15.75" hidden="1" outlineLevel="1" x14ac:dyDescent="0.25">
      <c r="A526" s="24" t="s">
        <v>46</v>
      </c>
      <c r="B526" s="25" t="s">
        <v>387</v>
      </c>
      <c r="C526" s="24">
        <v>5.53</v>
      </c>
      <c r="D526" s="93"/>
    </row>
    <row r="527" spans="1:4" ht="15.75" hidden="1" outlineLevel="1" x14ac:dyDescent="0.25">
      <c r="A527" s="24" t="s">
        <v>46</v>
      </c>
      <c r="B527" s="25" t="s">
        <v>876</v>
      </c>
      <c r="C527" s="24">
        <v>5.109</v>
      </c>
      <c r="D527" s="93"/>
    </row>
    <row r="528" spans="1:4" ht="15.75" hidden="1" outlineLevel="1" x14ac:dyDescent="0.25">
      <c r="A528" s="24" t="s">
        <v>46</v>
      </c>
      <c r="B528" s="25" t="s">
        <v>363</v>
      </c>
      <c r="C528" s="24">
        <v>5.1109999999999998</v>
      </c>
      <c r="D528" s="93"/>
    </row>
    <row r="529" spans="1:4" ht="15.75" hidden="1" outlineLevel="1" x14ac:dyDescent="0.25">
      <c r="A529" s="24" t="s">
        <v>46</v>
      </c>
      <c r="B529" s="25" t="s">
        <v>15</v>
      </c>
      <c r="C529" s="24">
        <v>5.1120000000000001</v>
      </c>
      <c r="D529" s="93"/>
    </row>
    <row r="530" spans="1:4" ht="15.75" hidden="1" outlineLevel="1" x14ac:dyDescent="0.25">
      <c r="A530" s="24" t="s">
        <v>46</v>
      </c>
      <c r="B530" s="25" t="s">
        <v>22</v>
      </c>
      <c r="C530" s="24">
        <v>5.1020000000000003</v>
      </c>
      <c r="D530" s="93"/>
    </row>
    <row r="531" spans="1:4" ht="15.75" hidden="1" outlineLevel="1" x14ac:dyDescent="0.25">
      <c r="A531" s="24" t="s">
        <v>46</v>
      </c>
      <c r="B531" s="25" t="s">
        <v>600</v>
      </c>
      <c r="C531" s="27">
        <v>5.0999999999999996</v>
      </c>
      <c r="D531" s="93"/>
    </row>
    <row r="532" spans="1:4" ht="15.75" hidden="1" outlineLevel="1" x14ac:dyDescent="0.25">
      <c r="A532" s="24" t="s">
        <v>46</v>
      </c>
      <c r="B532" s="25" t="s">
        <v>747</v>
      </c>
      <c r="C532" s="24">
        <v>5.58</v>
      </c>
      <c r="D532" s="93"/>
    </row>
    <row r="533" spans="1:4" ht="15.75" hidden="1" outlineLevel="1" x14ac:dyDescent="0.25">
      <c r="A533" s="24" t="s">
        <v>46</v>
      </c>
      <c r="B533" s="25" t="s">
        <v>14</v>
      </c>
      <c r="C533" s="24">
        <v>5.55</v>
      </c>
      <c r="D533" s="93"/>
    </row>
    <row r="534" spans="1:4" ht="15.75" hidden="1" outlineLevel="1" x14ac:dyDescent="0.25">
      <c r="A534" s="24" t="s">
        <v>46</v>
      </c>
      <c r="B534" s="25" t="s">
        <v>10</v>
      </c>
      <c r="C534" s="24">
        <v>5.54</v>
      </c>
      <c r="D534" s="93"/>
    </row>
    <row r="535" spans="1:4" ht="15.75" hidden="1" outlineLevel="1" x14ac:dyDescent="0.25">
      <c r="A535" s="24" t="s">
        <v>46</v>
      </c>
      <c r="B535" s="25" t="s">
        <v>1105</v>
      </c>
      <c r="C535" s="24">
        <v>5.63</v>
      </c>
      <c r="D535" s="93"/>
    </row>
    <row r="536" spans="1:4" ht="15.75" hidden="1" outlineLevel="1" x14ac:dyDescent="0.25">
      <c r="A536" s="24" t="s">
        <v>46</v>
      </c>
      <c r="B536" s="25" t="s">
        <v>18</v>
      </c>
      <c r="C536" s="24">
        <v>5.47</v>
      </c>
      <c r="D536" s="93"/>
    </row>
    <row r="537" spans="1:4" ht="15.75" hidden="1" outlineLevel="1" x14ac:dyDescent="0.25">
      <c r="A537" s="24" t="s">
        <v>46</v>
      </c>
      <c r="B537" s="25" t="s">
        <v>29</v>
      </c>
      <c r="C537" s="24">
        <v>5.48</v>
      </c>
      <c r="D537" s="93"/>
    </row>
    <row r="538" spans="1:4" ht="15.75" collapsed="1" x14ac:dyDescent="0.25">
      <c r="A538" s="28" t="s">
        <v>46</v>
      </c>
      <c r="B538" s="25"/>
      <c r="C538" s="24"/>
      <c r="D538" s="93"/>
    </row>
    <row r="539" spans="1:4" ht="15.75" hidden="1" outlineLevel="1" x14ac:dyDescent="0.25">
      <c r="A539" s="24" t="s">
        <v>449</v>
      </c>
      <c r="B539" s="25" t="s">
        <v>636</v>
      </c>
      <c r="C539" s="24">
        <v>5.0999999999999996</v>
      </c>
      <c r="D539" s="93"/>
    </row>
    <row r="540" spans="1:4" ht="15.75" hidden="1" outlineLevel="1" x14ac:dyDescent="0.25">
      <c r="A540" s="24" t="s">
        <v>449</v>
      </c>
      <c r="B540" s="25" t="s">
        <v>0</v>
      </c>
      <c r="C540" s="24">
        <v>5.2</v>
      </c>
      <c r="D540" s="93"/>
    </row>
    <row r="541" spans="1:4" ht="15.75" hidden="1" outlineLevel="1" x14ac:dyDescent="0.25">
      <c r="A541" s="24" t="s">
        <v>449</v>
      </c>
      <c r="B541" s="25" t="s">
        <v>1</v>
      </c>
      <c r="C541" s="24">
        <v>5.26</v>
      </c>
      <c r="D541" s="93"/>
    </row>
    <row r="542" spans="1:4" ht="15.75" hidden="1" outlineLevel="1" x14ac:dyDescent="0.25">
      <c r="A542" s="24" t="s">
        <v>449</v>
      </c>
      <c r="B542" s="25" t="s">
        <v>409</v>
      </c>
      <c r="C542" s="24">
        <v>5.21</v>
      </c>
      <c r="D542" s="93"/>
    </row>
    <row r="543" spans="1:4" ht="15.75" hidden="1" outlineLevel="1" x14ac:dyDescent="0.25">
      <c r="A543" s="24" t="s">
        <v>449</v>
      </c>
      <c r="B543" s="25" t="s">
        <v>768</v>
      </c>
      <c r="C543" s="24">
        <v>5.53</v>
      </c>
      <c r="D543" s="93"/>
    </row>
    <row r="544" spans="1:4" ht="15.75" hidden="1" outlineLevel="1" x14ac:dyDescent="0.25">
      <c r="A544" s="24" t="s">
        <v>449</v>
      </c>
      <c r="B544" s="25" t="s">
        <v>1213</v>
      </c>
      <c r="C544" s="24">
        <v>5.54</v>
      </c>
      <c r="D544" s="93"/>
    </row>
    <row r="545" spans="1:4" ht="15.75" hidden="1" outlineLevel="1" x14ac:dyDescent="0.25">
      <c r="A545" s="24" t="s">
        <v>449</v>
      </c>
      <c r="B545" s="25" t="s">
        <v>318</v>
      </c>
      <c r="C545" s="24">
        <v>5.58</v>
      </c>
      <c r="D545" s="93"/>
    </row>
    <row r="546" spans="1:4" ht="15.75" hidden="1" outlineLevel="1" x14ac:dyDescent="0.25">
      <c r="A546" s="24" t="s">
        <v>449</v>
      </c>
      <c r="B546" s="25" t="s">
        <v>322</v>
      </c>
      <c r="C546" s="24">
        <v>5.1180000000000003</v>
      </c>
      <c r="D546" s="93"/>
    </row>
    <row r="547" spans="1:4" ht="15.75" hidden="1" outlineLevel="1" x14ac:dyDescent="0.25">
      <c r="A547" s="24" t="s">
        <v>449</v>
      </c>
      <c r="B547" s="25" t="s">
        <v>320</v>
      </c>
      <c r="C547" s="24">
        <v>5.47</v>
      </c>
      <c r="D547" s="93"/>
    </row>
    <row r="548" spans="1:4" ht="15.75" hidden="1" outlineLevel="1" x14ac:dyDescent="0.25">
      <c r="A548" s="24" t="s">
        <v>449</v>
      </c>
      <c r="B548" s="25" t="s">
        <v>321</v>
      </c>
      <c r="C548" s="24">
        <v>5.48</v>
      </c>
      <c r="D548" s="93"/>
    </row>
    <row r="549" spans="1:4" ht="15.75" hidden="1" outlineLevel="1" x14ac:dyDescent="0.25">
      <c r="A549" s="24" t="s">
        <v>449</v>
      </c>
      <c r="B549" s="25" t="s">
        <v>410</v>
      </c>
      <c r="C549" s="24">
        <v>5.21</v>
      </c>
      <c r="D549" s="93"/>
    </row>
    <row r="550" spans="1:4" ht="15.75" hidden="1" outlineLevel="1" x14ac:dyDescent="0.25">
      <c r="A550" s="24" t="s">
        <v>449</v>
      </c>
      <c r="B550" s="25" t="s">
        <v>769</v>
      </c>
      <c r="C550" s="24">
        <v>5.53</v>
      </c>
      <c r="D550" s="93"/>
    </row>
    <row r="551" spans="1:4" ht="15.75" hidden="1" outlineLevel="1" x14ac:dyDescent="0.25">
      <c r="A551" s="24" t="s">
        <v>449</v>
      </c>
      <c r="B551" s="25" t="s">
        <v>1214</v>
      </c>
      <c r="C551" s="24">
        <v>5.54</v>
      </c>
      <c r="D551" s="93"/>
    </row>
    <row r="552" spans="1:4" ht="15.75" hidden="1" outlineLevel="1" x14ac:dyDescent="0.25">
      <c r="A552" s="24" t="s">
        <v>449</v>
      </c>
      <c r="B552" s="25" t="s">
        <v>319</v>
      </c>
      <c r="C552" s="24">
        <v>5.58</v>
      </c>
      <c r="D552" s="93"/>
    </row>
    <row r="553" spans="1:4" ht="15.75" hidden="1" outlineLevel="1" x14ac:dyDescent="0.25">
      <c r="A553" s="24" t="s">
        <v>449</v>
      </c>
      <c r="B553" s="25" t="s">
        <v>323</v>
      </c>
      <c r="C553" s="24">
        <v>5.1180000000000003</v>
      </c>
      <c r="D553" s="93"/>
    </row>
    <row r="554" spans="1:4" ht="15.75" hidden="1" outlineLevel="1" x14ac:dyDescent="0.25">
      <c r="A554" s="24" t="s">
        <v>449</v>
      </c>
      <c r="B554" s="25" t="s">
        <v>1250</v>
      </c>
      <c r="C554" s="24">
        <v>5.47</v>
      </c>
      <c r="D554" s="93"/>
    </row>
    <row r="555" spans="1:4" ht="15.75" hidden="1" outlineLevel="1" x14ac:dyDescent="0.25">
      <c r="A555" s="24" t="s">
        <v>449</v>
      </c>
      <c r="B555" s="25" t="s">
        <v>1251</v>
      </c>
      <c r="C555" s="24">
        <v>5.48</v>
      </c>
      <c r="D555" s="93"/>
    </row>
    <row r="556" spans="1:4" ht="15.75" hidden="1" outlineLevel="1" x14ac:dyDescent="0.25">
      <c r="A556" s="24" t="s">
        <v>449</v>
      </c>
      <c r="B556" s="25" t="s">
        <v>1111</v>
      </c>
      <c r="C556" s="24">
        <v>5.63</v>
      </c>
      <c r="D556" s="93"/>
    </row>
    <row r="557" spans="1:4" ht="15.75" hidden="1" outlineLevel="1" x14ac:dyDescent="0.25">
      <c r="A557" s="24" t="s">
        <v>449</v>
      </c>
      <c r="B557" s="25" t="s">
        <v>591</v>
      </c>
      <c r="C557" s="24">
        <v>5.27</v>
      </c>
      <c r="D557" s="93"/>
    </row>
    <row r="558" spans="1:4" ht="15.75" hidden="1" outlineLevel="1" x14ac:dyDescent="0.25">
      <c r="A558" s="24" t="s">
        <v>449</v>
      </c>
      <c r="B558" s="25" t="s">
        <v>592</v>
      </c>
      <c r="C558" s="24">
        <v>5.28</v>
      </c>
      <c r="D558" s="93"/>
    </row>
    <row r="559" spans="1:4" ht="15.75" hidden="1" outlineLevel="1" x14ac:dyDescent="0.25">
      <c r="A559" s="24" t="s">
        <v>449</v>
      </c>
      <c r="B559" s="25" t="s">
        <v>451</v>
      </c>
      <c r="C559" s="24">
        <v>5.35</v>
      </c>
      <c r="D559" s="93"/>
    </row>
    <row r="560" spans="1:4" ht="15.75" hidden="1" outlineLevel="1" x14ac:dyDescent="0.25">
      <c r="A560" s="24" t="s">
        <v>449</v>
      </c>
      <c r="B560" s="25" t="s">
        <v>335</v>
      </c>
      <c r="C560" s="24">
        <v>5.1189999999999998</v>
      </c>
      <c r="D560" s="93"/>
    </row>
    <row r="561" spans="1:4" ht="15.75" hidden="1" outlineLevel="1" x14ac:dyDescent="0.25">
      <c r="A561" s="24" t="s">
        <v>449</v>
      </c>
      <c r="B561" s="25" t="s">
        <v>450</v>
      </c>
      <c r="C561" s="27">
        <v>5.12</v>
      </c>
      <c r="D561" s="93"/>
    </row>
    <row r="562" spans="1:4" ht="15.75" hidden="1" outlineLevel="1" x14ac:dyDescent="0.25">
      <c r="A562" s="24" t="s">
        <v>449</v>
      </c>
      <c r="B562" s="25" t="s">
        <v>98</v>
      </c>
      <c r="C562" s="24">
        <v>5.1210000000000004</v>
      </c>
      <c r="D562" s="93"/>
    </row>
    <row r="563" spans="1:4" ht="15.75" hidden="1" outlineLevel="1" x14ac:dyDescent="0.25">
      <c r="A563" s="24" t="s">
        <v>449</v>
      </c>
      <c r="B563" s="25" t="s">
        <v>593</v>
      </c>
      <c r="C563" s="24">
        <v>5.36</v>
      </c>
      <c r="D563" s="93"/>
    </row>
    <row r="564" spans="1:4" ht="15.75" hidden="1" outlineLevel="1" x14ac:dyDescent="0.25">
      <c r="A564" s="24" t="s">
        <v>449</v>
      </c>
      <c r="B564" s="25" t="s">
        <v>356</v>
      </c>
      <c r="C564" s="24">
        <v>5.1219999999999999</v>
      </c>
      <c r="D564" s="93"/>
    </row>
    <row r="565" spans="1:4" ht="15.75" hidden="1" outlineLevel="1" x14ac:dyDescent="0.25">
      <c r="A565" s="24" t="s">
        <v>449</v>
      </c>
      <c r="B565" s="25" t="s">
        <v>357</v>
      </c>
      <c r="C565" s="24">
        <v>5.1230000000000002</v>
      </c>
      <c r="D565" s="93"/>
    </row>
    <row r="566" spans="1:4" ht="15.75" hidden="1" outlineLevel="1" x14ac:dyDescent="0.25">
      <c r="A566" s="24" t="s">
        <v>449</v>
      </c>
      <c r="B566" s="25" t="s">
        <v>599</v>
      </c>
      <c r="C566" s="24">
        <v>5.1239999999999997</v>
      </c>
      <c r="D566" s="93"/>
    </row>
    <row r="567" spans="1:4" ht="15.75" hidden="1" outlineLevel="1" x14ac:dyDescent="0.25">
      <c r="A567" s="24" t="s">
        <v>449</v>
      </c>
      <c r="B567" s="25" t="s">
        <v>300</v>
      </c>
      <c r="C567" s="24">
        <v>5.125</v>
      </c>
      <c r="D567" s="93"/>
    </row>
    <row r="568" spans="1:4" ht="15.75" hidden="1" outlineLevel="1" x14ac:dyDescent="0.25">
      <c r="A568" s="24" t="s">
        <v>449</v>
      </c>
      <c r="B568" s="25" t="s">
        <v>359</v>
      </c>
      <c r="C568" s="24">
        <v>5.1260000000000003</v>
      </c>
      <c r="D568" s="93"/>
    </row>
    <row r="569" spans="1:4" ht="15.75" hidden="1" outlineLevel="1" x14ac:dyDescent="0.25">
      <c r="A569" s="24" t="s">
        <v>449</v>
      </c>
      <c r="B569" s="25" t="s">
        <v>716</v>
      </c>
      <c r="C569" s="24">
        <v>5.1269999999999998</v>
      </c>
      <c r="D569" s="93"/>
    </row>
    <row r="570" spans="1:4" ht="15.75" hidden="1" outlineLevel="1" x14ac:dyDescent="0.25">
      <c r="A570" s="24" t="s">
        <v>449</v>
      </c>
      <c r="B570" s="25" t="s">
        <v>301</v>
      </c>
      <c r="C570" s="26">
        <v>5.72</v>
      </c>
      <c r="D570" s="93"/>
    </row>
    <row r="571" spans="1:4" ht="15.75" hidden="1" outlineLevel="1" x14ac:dyDescent="0.25">
      <c r="A571" s="24" t="s">
        <v>449</v>
      </c>
      <c r="B571" s="25" t="s">
        <v>302</v>
      </c>
      <c r="C571" s="24">
        <v>5.1280000000000001</v>
      </c>
      <c r="D571" s="93"/>
    </row>
    <row r="572" spans="1:4" ht="15.75" hidden="1" outlineLevel="1" x14ac:dyDescent="0.25">
      <c r="A572" s="24" t="s">
        <v>449</v>
      </c>
      <c r="B572" s="25" t="s">
        <v>340</v>
      </c>
      <c r="C572" s="24">
        <v>5.1289999999999996</v>
      </c>
      <c r="D572" s="92" t="s">
        <v>893</v>
      </c>
    </row>
    <row r="573" spans="1:4" ht="15.75" hidden="1" outlineLevel="1" x14ac:dyDescent="0.25">
      <c r="A573" s="24" t="s">
        <v>449</v>
      </c>
      <c r="B573" s="25" t="s">
        <v>358</v>
      </c>
      <c r="C573" s="24">
        <v>5.1310000000000002</v>
      </c>
      <c r="D573" s="93"/>
    </row>
    <row r="574" spans="1:4" ht="15.75" hidden="1" outlineLevel="1" x14ac:dyDescent="0.25">
      <c r="A574" s="24" t="s">
        <v>449</v>
      </c>
      <c r="B574" s="25" t="s">
        <v>604</v>
      </c>
      <c r="C574" s="24">
        <v>5.1319999999999997</v>
      </c>
      <c r="D574" s="92" t="s">
        <v>893</v>
      </c>
    </row>
    <row r="575" spans="1:4" ht="15.75" hidden="1" outlineLevel="1" x14ac:dyDescent="0.25">
      <c r="A575" s="24" t="s">
        <v>449</v>
      </c>
      <c r="B575" s="25" t="s">
        <v>355</v>
      </c>
      <c r="C575" s="24">
        <v>5.133</v>
      </c>
      <c r="D575" s="92" t="s">
        <v>893</v>
      </c>
    </row>
    <row r="576" spans="1:4" ht="15.75" hidden="1" outlineLevel="1" x14ac:dyDescent="0.25">
      <c r="A576" s="24" t="s">
        <v>449</v>
      </c>
      <c r="B576" s="25" t="s">
        <v>447</v>
      </c>
      <c r="C576" s="24">
        <v>5.1340000000000003</v>
      </c>
      <c r="D576" s="92" t="s">
        <v>893</v>
      </c>
    </row>
    <row r="577" spans="1:4" ht="15.75" hidden="1" outlineLevel="1" x14ac:dyDescent="0.25">
      <c r="A577" s="24" t="s">
        <v>449</v>
      </c>
      <c r="B577" s="25" t="s">
        <v>427</v>
      </c>
      <c r="C577" s="27">
        <v>5.13</v>
      </c>
      <c r="D577" s="93"/>
    </row>
    <row r="578" spans="1:4" ht="15.75" hidden="1" outlineLevel="1" x14ac:dyDescent="0.25">
      <c r="A578" s="24" t="s">
        <v>449</v>
      </c>
      <c r="B578" s="25" t="s">
        <v>18</v>
      </c>
      <c r="C578" s="24">
        <v>5.47</v>
      </c>
      <c r="D578" s="93"/>
    </row>
    <row r="579" spans="1:4" ht="15.75" hidden="1" outlineLevel="1" x14ac:dyDescent="0.25">
      <c r="A579" s="24" t="s">
        <v>449</v>
      </c>
      <c r="B579" s="25" t="s">
        <v>29</v>
      </c>
      <c r="C579" s="24">
        <v>5.48</v>
      </c>
      <c r="D579" s="93"/>
    </row>
    <row r="580" spans="1:4" ht="15.75" collapsed="1" x14ac:dyDescent="0.25">
      <c r="A580" s="28" t="s">
        <v>449</v>
      </c>
      <c r="B580" s="25"/>
      <c r="C580" s="24"/>
      <c r="D580" s="93"/>
    </row>
    <row r="581" spans="1:4" ht="15.75" hidden="1" outlineLevel="1" x14ac:dyDescent="0.25">
      <c r="A581" s="24" t="s">
        <v>47</v>
      </c>
      <c r="B581" s="25" t="s">
        <v>636</v>
      </c>
      <c r="C581" s="24">
        <v>5.0999999999999996</v>
      </c>
      <c r="D581" s="93"/>
    </row>
    <row r="582" spans="1:4" ht="15.75" hidden="1" outlineLevel="1" x14ac:dyDescent="0.25">
      <c r="A582" s="24" t="s">
        <v>47</v>
      </c>
      <c r="B582" s="25" t="s">
        <v>0</v>
      </c>
      <c r="C582" s="24">
        <v>5.2</v>
      </c>
      <c r="D582" s="93"/>
    </row>
    <row r="583" spans="1:4" ht="15.75" hidden="1" outlineLevel="1" x14ac:dyDescent="0.25">
      <c r="A583" s="24" t="s">
        <v>47</v>
      </c>
      <c r="B583" s="25" t="s">
        <v>704</v>
      </c>
      <c r="C583" s="24">
        <v>5.9</v>
      </c>
      <c r="D583" s="92" t="s">
        <v>893</v>
      </c>
    </row>
    <row r="584" spans="1:4" ht="15.75" hidden="1" outlineLevel="1" x14ac:dyDescent="0.25">
      <c r="A584" s="24" t="s">
        <v>47</v>
      </c>
      <c r="B584" s="25" t="s">
        <v>705</v>
      </c>
      <c r="C584" s="24">
        <v>5.13</v>
      </c>
      <c r="D584" s="92" t="s">
        <v>893</v>
      </c>
    </row>
    <row r="585" spans="1:4" ht="15.75" hidden="1" outlineLevel="1" x14ac:dyDescent="0.25">
      <c r="A585" s="24" t="s">
        <v>47</v>
      </c>
      <c r="B585" s="25" t="s">
        <v>706</v>
      </c>
      <c r="C585" s="24">
        <v>5.16</v>
      </c>
      <c r="D585" s="92" t="s">
        <v>893</v>
      </c>
    </row>
    <row r="586" spans="1:4" ht="15.75" hidden="1" outlineLevel="1" x14ac:dyDescent="0.25">
      <c r="A586" s="24" t="s">
        <v>47</v>
      </c>
      <c r="B586" s="25" t="s">
        <v>707</v>
      </c>
      <c r="C586" s="24">
        <v>5.22</v>
      </c>
      <c r="D586" s="92"/>
    </row>
    <row r="587" spans="1:4" ht="15.75" hidden="1" outlineLevel="1" x14ac:dyDescent="0.25">
      <c r="A587" s="24" t="s">
        <v>47</v>
      </c>
      <c r="B587" s="25" t="s">
        <v>1</v>
      </c>
      <c r="C587" s="24">
        <v>5.26</v>
      </c>
      <c r="D587" s="93"/>
    </row>
    <row r="588" spans="1:4" ht="15.75" hidden="1" outlineLevel="1" x14ac:dyDescent="0.25">
      <c r="A588" s="24" t="s">
        <v>47</v>
      </c>
      <c r="B588" s="25" t="s">
        <v>875</v>
      </c>
      <c r="C588" s="24">
        <v>5.77</v>
      </c>
      <c r="D588" s="93"/>
    </row>
    <row r="589" spans="1:4" ht="15.75" hidden="1" outlineLevel="1" x14ac:dyDescent="0.25">
      <c r="A589" s="24" t="s">
        <v>47</v>
      </c>
      <c r="B589" s="25" t="s">
        <v>591</v>
      </c>
      <c r="C589" s="24">
        <v>5.27</v>
      </c>
      <c r="D589" s="93"/>
    </row>
    <row r="590" spans="1:4" ht="15.75" hidden="1" outlineLevel="1" x14ac:dyDescent="0.25">
      <c r="A590" s="24" t="s">
        <v>47</v>
      </c>
      <c r="B590" s="25" t="s">
        <v>592</v>
      </c>
      <c r="C590" s="24">
        <v>5.28</v>
      </c>
      <c r="D590" s="92" t="s">
        <v>893</v>
      </c>
    </row>
    <row r="591" spans="1:4" ht="15.75" hidden="1" outlineLevel="1" x14ac:dyDescent="0.25">
      <c r="A591" s="24" t="s">
        <v>47</v>
      </c>
      <c r="B591" s="25" t="s">
        <v>8</v>
      </c>
      <c r="C591" s="24">
        <v>5.31</v>
      </c>
      <c r="D591" s="93"/>
    </row>
    <row r="592" spans="1:4" ht="15.75" hidden="1" outlineLevel="1" x14ac:dyDescent="0.25">
      <c r="A592" s="24" t="s">
        <v>47</v>
      </c>
      <c r="B592" s="25" t="s">
        <v>593</v>
      </c>
      <c r="C592" s="24">
        <v>5.36</v>
      </c>
      <c r="D592" s="93"/>
    </row>
    <row r="593" spans="1:4" ht="15.75" hidden="1" outlineLevel="1" x14ac:dyDescent="0.25">
      <c r="A593" s="24" t="s">
        <v>47</v>
      </c>
      <c r="B593" s="25" t="s">
        <v>289</v>
      </c>
      <c r="C593" s="24">
        <v>5.78</v>
      </c>
      <c r="D593" s="93"/>
    </row>
    <row r="594" spans="1:4" ht="15.75" hidden="1" outlineLevel="1" x14ac:dyDescent="0.25">
      <c r="A594" s="24" t="s">
        <v>47</v>
      </c>
      <c r="B594" s="25" t="s">
        <v>579</v>
      </c>
      <c r="C594" s="24">
        <v>5.79</v>
      </c>
      <c r="D594" s="92" t="s">
        <v>893</v>
      </c>
    </row>
    <row r="595" spans="1:4" ht="15.75" hidden="1" outlineLevel="1" x14ac:dyDescent="0.25">
      <c r="A595" s="24" t="s">
        <v>47</v>
      </c>
      <c r="B595" s="25" t="s">
        <v>711</v>
      </c>
      <c r="C595" s="24">
        <v>5.41</v>
      </c>
      <c r="D595" s="93"/>
    </row>
    <row r="596" spans="1:4" ht="15.75" hidden="1" outlineLevel="1" x14ac:dyDescent="0.25">
      <c r="A596" s="24" t="s">
        <v>47</v>
      </c>
      <c r="B596" s="25" t="s">
        <v>5</v>
      </c>
      <c r="C596" s="24">
        <v>5.49</v>
      </c>
      <c r="D596" s="93"/>
    </row>
    <row r="597" spans="1:4" ht="15.75" hidden="1" outlineLevel="1" x14ac:dyDescent="0.25">
      <c r="A597" s="24" t="s">
        <v>47</v>
      </c>
      <c r="B597" s="25" t="s">
        <v>7</v>
      </c>
      <c r="C597" s="24">
        <v>5.51</v>
      </c>
      <c r="D597" s="93"/>
    </row>
    <row r="598" spans="1:4" ht="15.75" hidden="1" outlineLevel="1" x14ac:dyDescent="0.25">
      <c r="A598" s="24" t="s">
        <v>47</v>
      </c>
      <c r="B598" s="25" t="s">
        <v>751</v>
      </c>
      <c r="C598" s="24">
        <v>5.52</v>
      </c>
      <c r="D598" s="93"/>
    </row>
    <row r="599" spans="1:4" ht="15.75" hidden="1" outlineLevel="1" x14ac:dyDescent="0.25">
      <c r="A599" s="24" t="s">
        <v>47</v>
      </c>
      <c r="B599" s="25" t="s">
        <v>387</v>
      </c>
      <c r="C599" s="24">
        <v>5.53</v>
      </c>
      <c r="D599" s="93"/>
    </row>
    <row r="600" spans="1:4" ht="15.75" hidden="1" outlineLevel="1" x14ac:dyDescent="0.25">
      <c r="A600" s="24" t="s">
        <v>47</v>
      </c>
      <c r="B600" s="25" t="s">
        <v>12</v>
      </c>
      <c r="C600" s="24">
        <v>5.69</v>
      </c>
      <c r="D600" s="93"/>
    </row>
    <row r="601" spans="1:4" ht="15.75" hidden="1" outlineLevel="1" x14ac:dyDescent="0.25">
      <c r="A601" s="24" t="s">
        <v>47</v>
      </c>
      <c r="B601" s="25" t="s">
        <v>431</v>
      </c>
      <c r="C601" s="24">
        <v>5.71</v>
      </c>
      <c r="D601" s="93"/>
    </row>
    <row r="602" spans="1:4" ht="15.75" hidden="1" outlineLevel="1" x14ac:dyDescent="0.25">
      <c r="A602" s="24" t="s">
        <v>47</v>
      </c>
      <c r="B602" s="25" t="s">
        <v>13</v>
      </c>
      <c r="C602" s="26">
        <v>5.7</v>
      </c>
      <c r="D602" s="93"/>
    </row>
    <row r="603" spans="1:4" ht="15.75" hidden="1" outlineLevel="1" x14ac:dyDescent="0.25">
      <c r="A603" s="24" t="s">
        <v>47</v>
      </c>
      <c r="B603" s="25" t="s">
        <v>275</v>
      </c>
      <c r="C603" s="26">
        <v>5.8</v>
      </c>
      <c r="D603" s="92" t="s">
        <v>893</v>
      </c>
    </row>
    <row r="604" spans="1:4" ht="15.75" hidden="1" outlineLevel="1" x14ac:dyDescent="0.25">
      <c r="A604" s="24" t="s">
        <v>47</v>
      </c>
      <c r="B604" s="25" t="s">
        <v>301</v>
      </c>
      <c r="C604" s="26">
        <v>5.72</v>
      </c>
      <c r="D604" s="92" t="s">
        <v>893</v>
      </c>
    </row>
    <row r="605" spans="1:4" ht="15.75" hidden="1" outlineLevel="1" x14ac:dyDescent="0.25">
      <c r="A605" s="24" t="s">
        <v>47</v>
      </c>
      <c r="B605" s="25" t="s">
        <v>656</v>
      </c>
      <c r="C605" s="24">
        <v>5.73</v>
      </c>
      <c r="D605" s="92" t="s">
        <v>893</v>
      </c>
    </row>
    <row r="606" spans="1:4" ht="15.75" hidden="1" outlineLevel="1" x14ac:dyDescent="0.25">
      <c r="A606" s="24" t="s">
        <v>47</v>
      </c>
      <c r="B606" s="25" t="s">
        <v>608</v>
      </c>
      <c r="C606" s="24">
        <v>5.74</v>
      </c>
      <c r="D606" s="93"/>
    </row>
    <row r="607" spans="1:4" ht="15.75" hidden="1" outlineLevel="1" x14ac:dyDescent="0.25">
      <c r="A607" s="24" t="s">
        <v>47</v>
      </c>
      <c r="B607" s="25" t="s">
        <v>412</v>
      </c>
      <c r="C607" s="24">
        <v>5.75</v>
      </c>
      <c r="D607" s="93"/>
    </row>
    <row r="608" spans="1:4" ht="15.75" hidden="1" outlineLevel="1" x14ac:dyDescent="0.25">
      <c r="A608" s="24" t="s">
        <v>47</v>
      </c>
      <c r="B608" s="25" t="s">
        <v>884</v>
      </c>
      <c r="C608" s="24">
        <v>5.76</v>
      </c>
      <c r="D608" s="93"/>
    </row>
    <row r="609" spans="1:4" ht="15.75" hidden="1" outlineLevel="1" x14ac:dyDescent="0.25">
      <c r="A609" s="24" t="s">
        <v>47</v>
      </c>
      <c r="B609" s="25" t="s">
        <v>19</v>
      </c>
      <c r="C609" s="24">
        <v>5.81</v>
      </c>
      <c r="D609" s="92" t="s">
        <v>893</v>
      </c>
    </row>
    <row r="610" spans="1:4" ht="15.75" hidden="1" outlineLevel="1" x14ac:dyDescent="0.25">
      <c r="A610" s="24" t="s">
        <v>47</v>
      </c>
      <c r="B610" s="25" t="s">
        <v>744</v>
      </c>
      <c r="C610" s="24">
        <v>5.82</v>
      </c>
      <c r="D610" s="92" t="s">
        <v>893</v>
      </c>
    </row>
    <row r="611" spans="1:4" ht="15.75" hidden="1" outlineLevel="1" x14ac:dyDescent="0.25">
      <c r="A611" s="24" t="s">
        <v>47</v>
      </c>
      <c r="B611" s="25" t="s">
        <v>643</v>
      </c>
      <c r="C611" s="24">
        <v>5.83</v>
      </c>
      <c r="D611" s="92" t="s">
        <v>893</v>
      </c>
    </row>
    <row r="612" spans="1:4" ht="15.75" hidden="1" outlineLevel="1" x14ac:dyDescent="0.25">
      <c r="A612" s="24" t="s">
        <v>47</v>
      </c>
      <c r="B612" s="25" t="s">
        <v>644</v>
      </c>
      <c r="C612" s="24">
        <v>5.84</v>
      </c>
      <c r="D612" s="93"/>
    </row>
    <row r="613" spans="1:4" ht="15.75" hidden="1" outlineLevel="1" x14ac:dyDescent="0.25">
      <c r="A613" s="24" t="s">
        <v>47</v>
      </c>
      <c r="B613" s="25" t="s">
        <v>809</v>
      </c>
      <c r="C613" s="24">
        <v>5.85</v>
      </c>
      <c r="D613" s="92" t="s">
        <v>893</v>
      </c>
    </row>
    <row r="614" spans="1:4" ht="15.75" hidden="1" outlineLevel="1" x14ac:dyDescent="0.25">
      <c r="A614" s="24" t="s">
        <v>47</v>
      </c>
      <c r="B614" s="25" t="s">
        <v>411</v>
      </c>
      <c r="C614" s="24">
        <v>5.86</v>
      </c>
      <c r="D614" s="92" t="s">
        <v>893</v>
      </c>
    </row>
    <row r="615" spans="1:4" ht="15.75" hidden="1" outlineLevel="1" x14ac:dyDescent="0.25">
      <c r="A615" s="24" t="s">
        <v>47</v>
      </c>
      <c r="B615" s="25" t="s">
        <v>20</v>
      </c>
      <c r="C615" s="24">
        <v>5.88</v>
      </c>
      <c r="D615" s="92" t="s">
        <v>893</v>
      </c>
    </row>
    <row r="616" spans="1:4" ht="15.75" hidden="1" outlineLevel="1" x14ac:dyDescent="0.25">
      <c r="A616" s="24" t="s">
        <v>47</v>
      </c>
      <c r="B616" s="25" t="s">
        <v>657</v>
      </c>
      <c r="C616" s="24">
        <v>5.87</v>
      </c>
      <c r="D616" s="93"/>
    </row>
    <row r="617" spans="1:4" ht="15.75" hidden="1" outlineLevel="1" x14ac:dyDescent="0.25">
      <c r="A617" s="24" t="s">
        <v>47</v>
      </c>
      <c r="B617" s="25" t="s">
        <v>876</v>
      </c>
      <c r="C617" s="24">
        <v>5.109</v>
      </c>
      <c r="D617" s="93"/>
    </row>
    <row r="618" spans="1:4" ht="15.75" hidden="1" outlineLevel="1" x14ac:dyDescent="0.25">
      <c r="A618" s="24" t="s">
        <v>47</v>
      </c>
      <c r="B618" s="25" t="s">
        <v>710</v>
      </c>
      <c r="C618" s="27">
        <v>5.1100000000000003</v>
      </c>
      <c r="D618" s="92" t="s">
        <v>893</v>
      </c>
    </row>
    <row r="619" spans="1:4" ht="15.75" hidden="1" outlineLevel="1" x14ac:dyDescent="0.25">
      <c r="A619" s="24" t="s">
        <v>47</v>
      </c>
      <c r="B619" s="25" t="s">
        <v>363</v>
      </c>
      <c r="C619" s="24">
        <v>5.1109999999999998</v>
      </c>
      <c r="D619" s="93"/>
    </row>
    <row r="620" spans="1:4" ht="15.75" hidden="1" outlineLevel="1" x14ac:dyDescent="0.25">
      <c r="A620" s="24" t="s">
        <v>47</v>
      </c>
      <c r="B620" s="25" t="s">
        <v>15</v>
      </c>
      <c r="C620" s="24">
        <v>5.1120000000000001</v>
      </c>
      <c r="D620" s="93"/>
    </row>
    <row r="621" spans="1:4" ht="15.75" hidden="1" outlineLevel="1" x14ac:dyDescent="0.25">
      <c r="A621" s="24" t="s">
        <v>47</v>
      </c>
      <c r="B621" s="25" t="s">
        <v>462</v>
      </c>
      <c r="C621" s="24">
        <v>5.1130000000000004</v>
      </c>
      <c r="D621" s="93"/>
    </row>
    <row r="622" spans="1:4" ht="15.75" hidden="1" outlineLevel="1" x14ac:dyDescent="0.25">
      <c r="A622" s="24" t="s">
        <v>47</v>
      </c>
      <c r="B622" s="25" t="s">
        <v>609</v>
      </c>
      <c r="C622" s="24">
        <v>5.99</v>
      </c>
      <c r="D622" s="92" t="s">
        <v>893</v>
      </c>
    </row>
    <row r="623" spans="1:4" ht="15.75" hidden="1" outlineLevel="1" x14ac:dyDescent="0.25">
      <c r="A623" s="24" t="s">
        <v>47</v>
      </c>
      <c r="B623" s="25" t="s">
        <v>901</v>
      </c>
      <c r="C623" s="24">
        <v>5.58</v>
      </c>
      <c r="D623" s="92"/>
    </row>
    <row r="624" spans="1:4" ht="15.75" hidden="1" outlineLevel="1" x14ac:dyDescent="0.25">
      <c r="A624" s="24" t="s">
        <v>47</v>
      </c>
      <c r="B624" s="25" t="s">
        <v>10</v>
      </c>
      <c r="C624" s="24">
        <v>5.54</v>
      </c>
      <c r="D624" s="93"/>
    </row>
    <row r="625" spans="1:4" ht="15.75" hidden="1" outlineLevel="1" x14ac:dyDescent="0.25">
      <c r="A625" s="24" t="s">
        <v>47</v>
      </c>
      <c r="B625" s="25" t="s">
        <v>708</v>
      </c>
      <c r="C625" s="24">
        <v>5.56</v>
      </c>
      <c r="D625" s="93"/>
    </row>
    <row r="626" spans="1:4" ht="15.75" hidden="1" outlineLevel="1" x14ac:dyDescent="0.25">
      <c r="A626" s="24" t="s">
        <v>47</v>
      </c>
      <c r="B626" s="25" t="s">
        <v>1105</v>
      </c>
      <c r="C626" s="24">
        <v>5.63</v>
      </c>
      <c r="D626" s="93"/>
    </row>
    <row r="627" spans="1:4" ht="15.75" hidden="1" outlineLevel="1" x14ac:dyDescent="0.25">
      <c r="A627" s="24" t="s">
        <v>47</v>
      </c>
      <c r="B627" s="25" t="s">
        <v>759</v>
      </c>
      <c r="C627" s="24">
        <v>5.64</v>
      </c>
      <c r="D627" s="93"/>
    </row>
    <row r="628" spans="1:4" ht="15.75" hidden="1" outlineLevel="1" x14ac:dyDescent="0.25">
      <c r="A628" s="24" t="s">
        <v>47</v>
      </c>
      <c r="B628" s="25" t="s">
        <v>1106</v>
      </c>
      <c r="C628" s="24">
        <v>5.65</v>
      </c>
      <c r="D628" s="93"/>
    </row>
    <row r="629" spans="1:4" ht="15.75" hidden="1" outlineLevel="1" x14ac:dyDescent="0.25">
      <c r="A629" s="24" t="s">
        <v>47</v>
      </c>
      <c r="B629" s="25" t="s">
        <v>760</v>
      </c>
      <c r="C629" s="24">
        <v>5.66</v>
      </c>
      <c r="D629" s="93"/>
    </row>
    <row r="630" spans="1:4" ht="15.75" hidden="1" outlineLevel="1" x14ac:dyDescent="0.25">
      <c r="A630" s="24" t="s">
        <v>47</v>
      </c>
      <c r="B630" s="25" t="s">
        <v>654</v>
      </c>
      <c r="C630" s="24">
        <v>5.89</v>
      </c>
      <c r="D630" s="92" t="s">
        <v>893</v>
      </c>
    </row>
    <row r="631" spans="1:4" ht="15.75" hidden="1" outlineLevel="1" x14ac:dyDescent="0.25">
      <c r="A631" s="24" t="s">
        <v>47</v>
      </c>
      <c r="B631" s="25" t="s">
        <v>25</v>
      </c>
      <c r="C631" s="24">
        <v>5.68</v>
      </c>
      <c r="D631" s="93"/>
    </row>
    <row r="632" spans="1:4" ht="15.75" hidden="1" outlineLevel="1" x14ac:dyDescent="0.25">
      <c r="A632" s="24" t="s">
        <v>47</v>
      </c>
      <c r="B632" s="25" t="s">
        <v>18</v>
      </c>
      <c r="C632" s="24">
        <v>5.47</v>
      </c>
      <c r="D632" s="93"/>
    </row>
    <row r="633" spans="1:4" ht="15.75" hidden="1" outlineLevel="1" x14ac:dyDescent="0.25">
      <c r="A633" s="24" t="s">
        <v>47</v>
      </c>
      <c r="B633" s="25" t="s">
        <v>29</v>
      </c>
      <c r="C633" s="24">
        <v>5.48</v>
      </c>
      <c r="D633" s="93"/>
    </row>
    <row r="634" spans="1:4" ht="15.75" collapsed="1" x14ac:dyDescent="0.25">
      <c r="A634" s="28" t="s">
        <v>47</v>
      </c>
      <c r="B634" s="25"/>
      <c r="C634" s="24"/>
      <c r="D634" s="93"/>
    </row>
    <row r="635" spans="1:4" ht="15.75" hidden="1" outlineLevel="1" x14ac:dyDescent="0.25">
      <c r="A635" s="24" t="s">
        <v>48</v>
      </c>
      <c r="B635" s="25" t="s">
        <v>636</v>
      </c>
      <c r="C635" s="24">
        <v>5.0999999999999996</v>
      </c>
      <c r="D635" s="93"/>
    </row>
    <row r="636" spans="1:4" ht="15.75" hidden="1" outlineLevel="1" x14ac:dyDescent="0.25">
      <c r="A636" s="24" t="s">
        <v>48</v>
      </c>
      <c r="B636" s="25" t="s">
        <v>0</v>
      </c>
      <c r="C636" s="24">
        <v>5.2</v>
      </c>
      <c r="D636" s="93"/>
    </row>
    <row r="637" spans="1:4" ht="15.75" hidden="1" outlineLevel="1" x14ac:dyDescent="0.25">
      <c r="A637" s="24" t="s">
        <v>48</v>
      </c>
      <c r="B637" s="25" t="s">
        <v>703</v>
      </c>
      <c r="C637" s="24">
        <v>5.3</v>
      </c>
      <c r="D637" s="93"/>
    </row>
    <row r="638" spans="1:4" ht="15.75" hidden="1" outlineLevel="1" x14ac:dyDescent="0.25">
      <c r="A638" s="24" t="s">
        <v>48</v>
      </c>
      <c r="B638" s="25" t="s">
        <v>2</v>
      </c>
      <c r="C638" s="24">
        <v>5.6</v>
      </c>
      <c r="D638" s="93"/>
    </row>
    <row r="639" spans="1:4" ht="15.75" hidden="1" outlineLevel="1" x14ac:dyDescent="0.25">
      <c r="A639" s="24" t="s">
        <v>48</v>
      </c>
      <c r="B639" s="25" t="s">
        <v>709</v>
      </c>
      <c r="C639" s="26">
        <v>5.0999999999999996</v>
      </c>
      <c r="D639" s="93"/>
    </row>
    <row r="640" spans="1:4" ht="15.75" hidden="1" outlineLevel="1" x14ac:dyDescent="0.25">
      <c r="A640" s="24" t="s">
        <v>48</v>
      </c>
      <c r="B640" s="25" t="s">
        <v>3</v>
      </c>
      <c r="C640" s="24">
        <v>5.14</v>
      </c>
      <c r="D640" s="93"/>
    </row>
    <row r="641" spans="1:4" ht="15.75" hidden="1" outlineLevel="1" x14ac:dyDescent="0.25">
      <c r="A641" s="24" t="s">
        <v>48</v>
      </c>
      <c r="B641" s="25" t="s">
        <v>28</v>
      </c>
      <c r="C641" s="24">
        <v>5.19</v>
      </c>
      <c r="D641" s="93"/>
    </row>
    <row r="642" spans="1:4" ht="15.75" hidden="1" outlineLevel="1" x14ac:dyDescent="0.25">
      <c r="A642" s="24" t="s">
        <v>48</v>
      </c>
      <c r="B642" s="25" t="s">
        <v>27</v>
      </c>
      <c r="C642" s="24">
        <v>5.24</v>
      </c>
      <c r="D642" s="93"/>
    </row>
    <row r="643" spans="1:4" ht="15.75" hidden="1" outlineLevel="1" x14ac:dyDescent="0.25">
      <c r="A643" s="24" t="s">
        <v>48</v>
      </c>
      <c r="B643" s="25" t="s">
        <v>1</v>
      </c>
      <c r="C643" s="24">
        <v>5.26</v>
      </c>
      <c r="D643" s="93"/>
    </row>
    <row r="644" spans="1:4" ht="15.75" hidden="1" outlineLevel="1" x14ac:dyDescent="0.25">
      <c r="A644" s="24" t="s">
        <v>48</v>
      </c>
      <c r="B644" s="25" t="s">
        <v>591</v>
      </c>
      <c r="C644" s="24">
        <v>5.27</v>
      </c>
      <c r="D644" s="93"/>
    </row>
    <row r="645" spans="1:4" ht="15.75" hidden="1" outlineLevel="1" x14ac:dyDescent="0.25">
      <c r="A645" s="24" t="s">
        <v>48</v>
      </c>
      <c r="B645" s="25" t="s">
        <v>592</v>
      </c>
      <c r="C645" s="24">
        <v>5.28</v>
      </c>
      <c r="D645" s="93"/>
    </row>
    <row r="646" spans="1:4" ht="15.75" hidden="1" outlineLevel="1" x14ac:dyDescent="0.25">
      <c r="A646" s="24" t="s">
        <v>48</v>
      </c>
      <c r="B646" s="25" t="s">
        <v>593</v>
      </c>
      <c r="C646" s="24">
        <v>5.36</v>
      </c>
      <c r="D646" s="93"/>
    </row>
    <row r="647" spans="1:4" ht="15.75" hidden="1" outlineLevel="1" x14ac:dyDescent="0.25">
      <c r="A647" s="24" t="s">
        <v>48</v>
      </c>
      <c r="B647" s="25" t="s">
        <v>9</v>
      </c>
      <c r="C647" s="24">
        <v>5.33</v>
      </c>
      <c r="D647" s="93"/>
    </row>
    <row r="648" spans="1:4" ht="15.75" hidden="1" outlineLevel="1" x14ac:dyDescent="0.25">
      <c r="A648" s="24" t="s">
        <v>48</v>
      </c>
      <c r="B648" s="25" t="s">
        <v>11</v>
      </c>
      <c r="C648" s="24">
        <v>5.37</v>
      </c>
      <c r="D648" s="93"/>
    </row>
    <row r="649" spans="1:4" ht="15.75" hidden="1" outlineLevel="1" x14ac:dyDescent="0.25">
      <c r="A649" s="24" t="s">
        <v>48</v>
      </c>
      <c r="B649" s="25" t="s">
        <v>5</v>
      </c>
      <c r="C649" s="24">
        <v>5.49</v>
      </c>
      <c r="D649" s="93"/>
    </row>
    <row r="650" spans="1:4" ht="15.75" hidden="1" outlineLevel="1" x14ac:dyDescent="0.25">
      <c r="A650" s="24" t="s">
        <v>48</v>
      </c>
      <c r="B650" s="25" t="s">
        <v>7</v>
      </c>
      <c r="C650" s="24">
        <v>5.51</v>
      </c>
      <c r="D650" s="93"/>
    </row>
    <row r="651" spans="1:4" ht="15.75" hidden="1" outlineLevel="1" x14ac:dyDescent="0.25">
      <c r="A651" s="24" t="s">
        <v>48</v>
      </c>
      <c r="B651" s="25" t="s">
        <v>6</v>
      </c>
      <c r="C651" s="24">
        <v>5.52</v>
      </c>
      <c r="D651" s="93"/>
    </row>
    <row r="652" spans="1:4" ht="15.75" hidden="1" outlineLevel="1" x14ac:dyDescent="0.25">
      <c r="A652" s="24" t="s">
        <v>48</v>
      </c>
      <c r="B652" s="25" t="s">
        <v>387</v>
      </c>
      <c r="C652" s="24">
        <v>5.53</v>
      </c>
      <c r="D652" s="93"/>
    </row>
    <row r="653" spans="1:4" ht="15.75" hidden="1" outlineLevel="1" x14ac:dyDescent="0.25">
      <c r="A653" s="24" t="s">
        <v>48</v>
      </c>
      <c r="B653" s="25" t="s">
        <v>12</v>
      </c>
      <c r="C653" s="24">
        <v>5.69</v>
      </c>
      <c r="D653" s="93"/>
    </row>
    <row r="654" spans="1:4" ht="15.75" hidden="1" outlineLevel="1" x14ac:dyDescent="0.25">
      <c r="A654" s="24" t="s">
        <v>48</v>
      </c>
      <c r="B654" s="25" t="s">
        <v>13</v>
      </c>
      <c r="C654" s="26">
        <v>5.7</v>
      </c>
      <c r="D654" s="93"/>
    </row>
    <row r="655" spans="1:4" ht="15.75" hidden="1" outlineLevel="1" x14ac:dyDescent="0.25">
      <c r="A655" s="24" t="s">
        <v>48</v>
      </c>
      <c r="B655" s="25" t="s">
        <v>608</v>
      </c>
      <c r="C655" s="24">
        <v>5.74</v>
      </c>
      <c r="D655" s="93"/>
    </row>
    <row r="656" spans="1:4" ht="15.75" hidden="1" outlineLevel="1" x14ac:dyDescent="0.25">
      <c r="A656" s="24" t="s">
        <v>48</v>
      </c>
      <c r="B656" s="25" t="s">
        <v>876</v>
      </c>
      <c r="C656" s="24">
        <v>5.109</v>
      </c>
      <c r="D656" s="93"/>
    </row>
    <row r="657" spans="1:4" ht="15.75" hidden="1" outlineLevel="1" x14ac:dyDescent="0.25">
      <c r="A657" s="24" t="s">
        <v>48</v>
      </c>
      <c r="B657" s="25" t="s">
        <v>363</v>
      </c>
      <c r="C657" s="24">
        <v>5.1109999999999998</v>
      </c>
      <c r="D657" s="93"/>
    </row>
    <row r="658" spans="1:4" ht="15.75" hidden="1" outlineLevel="1" x14ac:dyDescent="0.25">
      <c r="A658" s="24" t="s">
        <v>48</v>
      </c>
      <c r="B658" s="25" t="s">
        <v>15</v>
      </c>
      <c r="C658" s="24">
        <v>5.1120000000000001</v>
      </c>
      <c r="D658" s="93"/>
    </row>
    <row r="659" spans="1:4" ht="15.75" hidden="1" outlineLevel="1" x14ac:dyDescent="0.25">
      <c r="A659" s="24" t="s">
        <v>48</v>
      </c>
      <c r="B659" s="25" t="s">
        <v>747</v>
      </c>
      <c r="C659" s="24">
        <v>5.58</v>
      </c>
      <c r="D659" s="93"/>
    </row>
    <row r="660" spans="1:4" ht="15.75" hidden="1" outlineLevel="1" x14ac:dyDescent="0.25">
      <c r="A660" s="24" t="s">
        <v>48</v>
      </c>
      <c r="B660" s="25" t="s">
        <v>10</v>
      </c>
      <c r="C660" s="24">
        <v>5.54</v>
      </c>
      <c r="D660" s="93"/>
    </row>
    <row r="661" spans="1:4" ht="15.75" hidden="1" outlineLevel="1" x14ac:dyDescent="0.25">
      <c r="A661" s="24" t="s">
        <v>48</v>
      </c>
      <c r="B661" s="25" t="s">
        <v>14</v>
      </c>
      <c r="C661" s="24">
        <v>5.55</v>
      </c>
      <c r="D661" s="93"/>
    </row>
    <row r="662" spans="1:4" ht="15.75" hidden="1" outlineLevel="1" x14ac:dyDescent="0.25">
      <c r="A662" s="24" t="s">
        <v>48</v>
      </c>
      <c r="B662" s="25" t="s">
        <v>1105</v>
      </c>
      <c r="C662" s="24">
        <v>5.63</v>
      </c>
      <c r="D662" s="93"/>
    </row>
    <row r="663" spans="1:4" ht="15.75" hidden="1" outlineLevel="1" x14ac:dyDescent="0.25">
      <c r="A663" s="24" t="s">
        <v>48</v>
      </c>
      <c r="B663" s="25" t="s">
        <v>18</v>
      </c>
      <c r="C663" s="24">
        <v>5.47</v>
      </c>
      <c r="D663" s="93"/>
    </row>
    <row r="664" spans="1:4" ht="15.75" hidden="1" outlineLevel="1" x14ac:dyDescent="0.25">
      <c r="A664" s="24" t="s">
        <v>48</v>
      </c>
      <c r="B664" s="25" t="s">
        <v>29</v>
      </c>
      <c r="C664" s="24">
        <v>5.48</v>
      </c>
      <c r="D664" s="93"/>
    </row>
    <row r="665" spans="1:4" ht="15.75" collapsed="1" x14ac:dyDescent="0.25">
      <c r="A665" s="28" t="s">
        <v>48</v>
      </c>
      <c r="B665" s="25"/>
      <c r="C665" s="24"/>
      <c r="D665" s="93"/>
    </row>
    <row r="666" spans="1:4" ht="15.75" hidden="1" outlineLevel="1" x14ac:dyDescent="0.25">
      <c r="A666" s="24" t="s">
        <v>49</v>
      </c>
      <c r="B666" s="25" t="s">
        <v>636</v>
      </c>
      <c r="C666" s="24">
        <v>5.0999999999999996</v>
      </c>
      <c r="D666" s="93"/>
    </row>
    <row r="667" spans="1:4" ht="15.75" hidden="1" outlineLevel="1" x14ac:dyDescent="0.25">
      <c r="A667" s="24" t="s">
        <v>49</v>
      </c>
      <c r="B667" s="25" t="s">
        <v>0</v>
      </c>
      <c r="C667" s="24">
        <v>5.2</v>
      </c>
      <c r="D667" s="93"/>
    </row>
    <row r="668" spans="1:4" ht="15.75" hidden="1" outlineLevel="1" x14ac:dyDescent="0.25">
      <c r="A668" s="24" t="s">
        <v>49</v>
      </c>
      <c r="B668" s="25" t="s">
        <v>702</v>
      </c>
      <c r="C668" s="24">
        <v>5.4</v>
      </c>
      <c r="D668" s="93"/>
    </row>
    <row r="669" spans="1:4" ht="15.75" hidden="1" outlineLevel="1" x14ac:dyDescent="0.25">
      <c r="A669" s="24" t="s">
        <v>49</v>
      </c>
      <c r="B669" s="25" t="s">
        <v>720</v>
      </c>
      <c r="C669" s="24">
        <v>5.7</v>
      </c>
      <c r="D669" s="93"/>
    </row>
    <row r="670" spans="1:4" ht="15.75" hidden="1" outlineLevel="1" x14ac:dyDescent="0.25">
      <c r="A670" s="24" t="s">
        <v>49</v>
      </c>
      <c r="B670" s="25" t="s">
        <v>721</v>
      </c>
      <c r="C670" s="24">
        <v>5.1100000000000003</v>
      </c>
      <c r="D670" s="93"/>
    </row>
    <row r="671" spans="1:4" ht="15.75" hidden="1" outlineLevel="1" x14ac:dyDescent="0.25">
      <c r="A671" s="24" t="s">
        <v>49</v>
      </c>
      <c r="B671" s="25" t="s">
        <v>1</v>
      </c>
      <c r="C671" s="24">
        <v>5.26</v>
      </c>
      <c r="D671" s="93"/>
    </row>
    <row r="672" spans="1:4" ht="15.75" hidden="1" outlineLevel="1" x14ac:dyDescent="0.25">
      <c r="A672" s="24" t="s">
        <v>49</v>
      </c>
      <c r="B672" s="25" t="s">
        <v>611</v>
      </c>
      <c r="C672" s="24">
        <v>5.43</v>
      </c>
      <c r="D672" s="93"/>
    </row>
    <row r="673" spans="1:4" ht="15.75" hidden="1" outlineLevel="1" x14ac:dyDescent="0.25">
      <c r="A673" s="24" t="s">
        <v>49</v>
      </c>
      <c r="B673" s="25" t="s">
        <v>591</v>
      </c>
      <c r="C673" s="24">
        <v>5.27</v>
      </c>
      <c r="D673" s="93"/>
    </row>
    <row r="674" spans="1:4" ht="15.75" hidden="1" outlineLevel="1" x14ac:dyDescent="0.25">
      <c r="A674" s="24" t="s">
        <v>49</v>
      </c>
      <c r="B674" s="25" t="s">
        <v>592</v>
      </c>
      <c r="C674" s="24">
        <v>5.28</v>
      </c>
      <c r="D674" s="93"/>
    </row>
    <row r="675" spans="1:4" ht="15.75" hidden="1" outlineLevel="1" x14ac:dyDescent="0.25">
      <c r="A675" s="24" t="s">
        <v>49</v>
      </c>
      <c r="B675" s="25" t="s">
        <v>593</v>
      </c>
      <c r="C675" s="24">
        <v>5.36</v>
      </c>
      <c r="D675" s="93"/>
    </row>
    <row r="676" spans="1:4" ht="15.75" hidden="1" outlineLevel="1" x14ac:dyDescent="0.25">
      <c r="A676" s="24" t="s">
        <v>49</v>
      </c>
      <c r="B676" s="25" t="s">
        <v>746</v>
      </c>
      <c r="C676" s="26">
        <v>5.5</v>
      </c>
      <c r="D676" s="93"/>
    </row>
    <row r="677" spans="1:4" ht="15.75" hidden="1" outlineLevel="1" x14ac:dyDescent="0.25">
      <c r="A677" s="24" t="s">
        <v>49</v>
      </c>
      <c r="B677" s="25" t="s">
        <v>7</v>
      </c>
      <c r="C677" s="24">
        <v>5.51</v>
      </c>
      <c r="D677" s="93"/>
    </row>
    <row r="678" spans="1:4" ht="15.75" hidden="1" outlineLevel="1" x14ac:dyDescent="0.25">
      <c r="A678" s="24" t="s">
        <v>49</v>
      </c>
      <c r="B678" s="25" t="s">
        <v>387</v>
      </c>
      <c r="C678" s="24">
        <v>5.53</v>
      </c>
      <c r="D678" s="93"/>
    </row>
    <row r="679" spans="1:4" ht="15.75" hidden="1" outlineLevel="1" x14ac:dyDescent="0.25">
      <c r="A679" s="24" t="s">
        <v>49</v>
      </c>
      <c r="B679" s="25" t="s">
        <v>12</v>
      </c>
      <c r="C679" s="24">
        <v>5.69</v>
      </c>
      <c r="D679" s="93"/>
    </row>
    <row r="680" spans="1:4" ht="15.75" hidden="1" outlineLevel="1" x14ac:dyDescent="0.25">
      <c r="A680" s="24" t="s">
        <v>49</v>
      </c>
      <c r="B680" s="25" t="s">
        <v>13</v>
      </c>
      <c r="C680" s="26">
        <v>5.7</v>
      </c>
      <c r="D680" s="92" t="s">
        <v>893</v>
      </c>
    </row>
    <row r="681" spans="1:4" ht="15.75" hidden="1" outlineLevel="1" x14ac:dyDescent="0.25">
      <c r="A681" s="24" t="s">
        <v>49</v>
      </c>
      <c r="B681" s="25" t="s">
        <v>608</v>
      </c>
      <c r="C681" s="24">
        <v>5.74</v>
      </c>
      <c r="D681" s="93"/>
    </row>
    <row r="682" spans="1:4" ht="15.75" hidden="1" outlineLevel="1" x14ac:dyDescent="0.25">
      <c r="A682" s="24" t="s">
        <v>49</v>
      </c>
      <c r="B682" s="25" t="s">
        <v>881</v>
      </c>
      <c r="C682" s="24">
        <v>5.59</v>
      </c>
      <c r="D682" s="93"/>
    </row>
    <row r="683" spans="1:4" ht="15.75" hidden="1" outlineLevel="1" x14ac:dyDescent="0.25">
      <c r="A683" s="24" t="s">
        <v>49</v>
      </c>
      <c r="B683" s="25" t="s">
        <v>10</v>
      </c>
      <c r="C683" s="24">
        <v>5.54</v>
      </c>
      <c r="D683" s="93"/>
    </row>
    <row r="684" spans="1:4" ht="15.75" hidden="1" outlineLevel="1" x14ac:dyDescent="0.25">
      <c r="A684" s="24" t="s">
        <v>49</v>
      </c>
      <c r="B684" s="25" t="s">
        <v>765</v>
      </c>
      <c r="C684" s="24">
        <v>5.57</v>
      </c>
      <c r="D684" s="93"/>
    </row>
    <row r="685" spans="1:4" ht="15.75" hidden="1" outlineLevel="1" x14ac:dyDescent="0.25">
      <c r="A685" s="24" t="s">
        <v>49</v>
      </c>
      <c r="B685" s="25" t="s">
        <v>1105</v>
      </c>
      <c r="C685" s="24">
        <v>5.63</v>
      </c>
      <c r="D685" s="93"/>
    </row>
    <row r="686" spans="1:4" ht="15.75" hidden="1" outlineLevel="1" x14ac:dyDescent="0.25">
      <c r="A686" s="24" t="s">
        <v>49</v>
      </c>
      <c r="B686" s="25" t="s">
        <v>18</v>
      </c>
      <c r="C686" s="24">
        <v>5.47</v>
      </c>
      <c r="D686" s="93"/>
    </row>
    <row r="687" spans="1:4" ht="15.75" hidden="1" outlineLevel="1" x14ac:dyDescent="0.25">
      <c r="A687" s="24" t="s">
        <v>49</v>
      </c>
      <c r="B687" s="25" t="s">
        <v>29</v>
      </c>
      <c r="C687" s="24">
        <v>5.48</v>
      </c>
      <c r="D687" s="93"/>
    </row>
    <row r="688" spans="1:4" ht="15.75" collapsed="1" x14ac:dyDescent="0.25">
      <c r="A688" s="28" t="s">
        <v>49</v>
      </c>
      <c r="B688" s="25"/>
      <c r="C688" s="24"/>
      <c r="D688" s="93"/>
    </row>
    <row r="689" spans="1:4" ht="15.75" hidden="1" outlineLevel="1" x14ac:dyDescent="0.25">
      <c r="A689" s="24" t="s">
        <v>50</v>
      </c>
      <c r="B689" s="25" t="s">
        <v>636</v>
      </c>
      <c r="C689" s="24">
        <v>5.0999999999999996</v>
      </c>
      <c r="D689" s="93"/>
    </row>
    <row r="690" spans="1:4" ht="15.75" hidden="1" outlineLevel="1" x14ac:dyDescent="0.25">
      <c r="A690" s="24" t="s">
        <v>50</v>
      </c>
      <c r="B690" s="25" t="s">
        <v>0</v>
      </c>
      <c r="C690" s="24">
        <v>5.2</v>
      </c>
      <c r="D690" s="93"/>
    </row>
    <row r="691" spans="1:4" ht="15.75" hidden="1" outlineLevel="1" x14ac:dyDescent="0.25">
      <c r="A691" s="24" t="s">
        <v>50</v>
      </c>
      <c r="B691" s="25" t="s">
        <v>291</v>
      </c>
      <c r="C691" s="24">
        <v>5.17</v>
      </c>
      <c r="D691" s="93"/>
    </row>
    <row r="692" spans="1:4" ht="15.75" hidden="1" outlineLevel="1" x14ac:dyDescent="0.25">
      <c r="A692" s="24" t="s">
        <v>50</v>
      </c>
      <c r="B692" s="25" t="s">
        <v>1</v>
      </c>
      <c r="C692" s="24">
        <v>5.26</v>
      </c>
      <c r="D692" s="93"/>
    </row>
    <row r="693" spans="1:4" ht="15.75" hidden="1" outlineLevel="1" x14ac:dyDescent="0.25">
      <c r="A693" s="24" t="s">
        <v>50</v>
      </c>
      <c r="B693" s="25" t="s">
        <v>755</v>
      </c>
      <c r="C693" s="24">
        <v>5.1029999999999998</v>
      </c>
      <c r="D693" s="93"/>
    </row>
    <row r="694" spans="1:4" ht="15.75" hidden="1" outlineLevel="1" x14ac:dyDescent="0.25">
      <c r="A694" s="24" t="s">
        <v>50</v>
      </c>
      <c r="B694" s="25" t="s">
        <v>593</v>
      </c>
      <c r="C694" s="24">
        <v>5.36</v>
      </c>
      <c r="D694" s="93"/>
    </row>
    <row r="695" spans="1:4" ht="15.75" hidden="1" outlineLevel="1" x14ac:dyDescent="0.25">
      <c r="A695" s="24" t="s">
        <v>50</v>
      </c>
      <c r="B695" s="25" t="s">
        <v>11</v>
      </c>
      <c r="C695" s="24">
        <v>5.37</v>
      </c>
      <c r="D695" s="93"/>
    </row>
    <row r="696" spans="1:4" ht="15.75" hidden="1" outlineLevel="1" x14ac:dyDescent="0.25">
      <c r="A696" s="24" t="s">
        <v>50</v>
      </c>
      <c r="B696" s="25" t="s">
        <v>23</v>
      </c>
      <c r="C696" s="24">
        <v>5.1040000000000001</v>
      </c>
      <c r="D696" s="93"/>
    </row>
    <row r="697" spans="1:4" ht="15.75" hidden="1" outlineLevel="1" x14ac:dyDescent="0.25">
      <c r="A697" s="24" t="s">
        <v>50</v>
      </c>
      <c r="B697" s="25" t="s">
        <v>279</v>
      </c>
      <c r="C697" s="24">
        <v>5.1050000000000004</v>
      </c>
      <c r="D697" s="93"/>
    </row>
    <row r="698" spans="1:4" ht="15.75" hidden="1" outlineLevel="1" x14ac:dyDescent="0.25">
      <c r="A698" s="24" t="s">
        <v>50</v>
      </c>
      <c r="B698" s="25" t="s">
        <v>24</v>
      </c>
      <c r="C698" s="24">
        <v>5.1059999999999999</v>
      </c>
      <c r="D698" s="93"/>
    </row>
    <row r="699" spans="1:4" ht="15.75" hidden="1" outlineLevel="1" x14ac:dyDescent="0.25">
      <c r="A699" s="24" t="s">
        <v>50</v>
      </c>
      <c r="B699" s="25" t="s">
        <v>902</v>
      </c>
      <c r="C699" s="24">
        <v>5.1070000000000002</v>
      </c>
      <c r="D699" s="93"/>
    </row>
    <row r="700" spans="1:4" ht="15.75" hidden="1" outlineLevel="1" x14ac:dyDescent="0.25">
      <c r="A700" s="24" t="s">
        <v>50</v>
      </c>
      <c r="B700" s="25" t="s">
        <v>281</v>
      </c>
      <c r="C700" s="24">
        <v>5.1079999999999997</v>
      </c>
      <c r="D700" s="92" t="s">
        <v>893</v>
      </c>
    </row>
    <row r="701" spans="1:4" ht="15.75" hidden="1" outlineLevel="1" x14ac:dyDescent="0.25">
      <c r="A701" s="24" t="s">
        <v>50</v>
      </c>
      <c r="B701" s="25" t="s">
        <v>876</v>
      </c>
      <c r="C701" s="24">
        <v>5.109</v>
      </c>
      <c r="D701" s="93"/>
    </row>
    <row r="702" spans="1:4" ht="15.75" hidden="1" outlineLevel="1" x14ac:dyDescent="0.25">
      <c r="A702" s="24" t="s">
        <v>50</v>
      </c>
      <c r="B702" s="25" t="s">
        <v>710</v>
      </c>
      <c r="C702" s="27">
        <v>5.1100000000000003</v>
      </c>
      <c r="D702" s="92" t="s">
        <v>893</v>
      </c>
    </row>
    <row r="703" spans="1:4" ht="15.75" hidden="1" outlineLevel="1" x14ac:dyDescent="0.25">
      <c r="A703" s="24" t="s">
        <v>50</v>
      </c>
      <c r="B703" s="25" t="s">
        <v>363</v>
      </c>
      <c r="C703" s="24">
        <v>5.1109999999999998</v>
      </c>
      <c r="D703" s="93"/>
    </row>
    <row r="704" spans="1:4" ht="15.75" hidden="1" outlineLevel="1" x14ac:dyDescent="0.25">
      <c r="A704" s="24" t="s">
        <v>50</v>
      </c>
      <c r="B704" s="25" t="s">
        <v>15</v>
      </c>
      <c r="C704" s="24">
        <v>5.1120000000000001</v>
      </c>
      <c r="D704" s="93"/>
    </row>
    <row r="705" spans="1:4" ht="15.75" hidden="1" outlineLevel="1" x14ac:dyDescent="0.25">
      <c r="A705" s="24" t="s">
        <v>50</v>
      </c>
      <c r="B705" s="25" t="s">
        <v>387</v>
      </c>
      <c r="C705" s="24">
        <v>5.53</v>
      </c>
      <c r="D705" s="93"/>
    </row>
    <row r="706" spans="1:4" ht="15.75" hidden="1" outlineLevel="1" x14ac:dyDescent="0.25">
      <c r="A706" s="24" t="s">
        <v>50</v>
      </c>
      <c r="B706" s="25" t="s">
        <v>759</v>
      </c>
      <c r="C706" s="24">
        <v>5.64</v>
      </c>
      <c r="D706" s="93"/>
    </row>
    <row r="707" spans="1:4" ht="15.75" hidden="1" outlineLevel="1" x14ac:dyDescent="0.25">
      <c r="A707" s="24" t="s">
        <v>50</v>
      </c>
      <c r="B707" s="25" t="s">
        <v>1105</v>
      </c>
      <c r="C707" s="24">
        <v>5.63</v>
      </c>
      <c r="D707" s="93"/>
    </row>
    <row r="708" spans="1:4" ht="15.75" hidden="1" outlineLevel="1" x14ac:dyDescent="0.25">
      <c r="A708" s="24" t="s">
        <v>50</v>
      </c>
      <c r="B708" s="25" t="s">
        <v>1106</v>
      </c>
      <c r="C708" s="24">
        <v>5.65</v>
      </c>
      <c r="D708" s="93"/>
    </row>
    <row r="709" spans="1:4" ht="15.75" hidden="1" outlineLevel="1" x14ac:dyDescent="0.25">
      <c r="A709" s="24" t="s">
        <v>50</v>
      </c>
      <c r="B709" s="25" t="s">
        <v>760</v>
      </c>
      <c r="C709" s="24">
        <v>5.66</v>
      </c>
      <c r="D709" s="93"/>
    </row>
    <row r="710" spans="1:4" ht="15.75" hidden="1" outlineLevel="1" x14ac:dyDescent="0.25">
      <c r="A710" s="24" t="s">
        <v>50</v>
      </c>
      <c r="B710" s="25" t="s">
        <v>25</v>
      </c>
      <c r="C710" s="24">
        <v>5.68</v>
      </c>
      <c r="D710" s="93"/>
    </row>
    <row r="711" spans="1:4" ht="15.75" hidden="1" outlineLevel="1" x14ac:dyDescent="0.25">
      <c r="A711" s="24" t="s">
        <v>50</v>
      </c>
      <c r="B711" s="25" t="s">
        <v>18</v>
      </c>
      <c r="C711" s="24">
        <v>5.47</v>
      </c>
      <c r="D711" s="93"/>
    </row>
    <row r="712" spans="1:4" ht="15.75" hidden="1" outlineLevel="1" x14ac:dyDescent="0.25">
      <c r="A712" s="24" t="s">
        <v>50</v>
      </c>
      <c r="B712" s="25" t="s">
        <v>29</v>
      </c>
      <c r="C712" s="24">
        <v>5.48</v>
      </c>
      <c r="D712" s="93"/>
    </row>
    <row r="713" spans="1:4" ht="15.75" collapsed="1" x14ac:dyDescent="0.25">
      <c r="A713" s="28" t="s">
        <v>50</v>
      </c>
      <c r="B713" s="25"/>
      <c r="C713" s="24"/>
      <c r="D713" s="93"/>
    </row>
    <row r="714" spans="1:4" ht="15.75" hidden="1" outlineLevel="1" x14ac:dyDescent="0.25">
      <c r="A714" s="24" t="s">
        <v>493</v>
      </c>
      <c r="B714" s="25" t="s">
        <v>636</v>
      </c>
      <c r="C714" s="24">
        <v>5.0999999999999996</v>
      </c>
      <c r="D714" s="93"/>
    </row>
    <row r="715" spans="1:4" ht="15.75" hidden="1" outlineLevel="1" x14ac:dyDescent="0.25">
      <c r="A715" s="24" t="s">
        <v>493</v>
      </c>
      <c r="B715" s="25" t="s">
        <v>0</v>
      </c>
      <c r="C715" s="24">
        <v>5.2</v>
      </c>
      <c r="D715" s="93"/>
    </row>
    <row r="716" spans="1:4" ht="15.75" hidden="1" outlineLevel="1" x14ac:dyDescent="0.25">
      <c r="A716" s="24" t="s">
        <v>493</v>
      </c>
      <c r="B716" s="25" t="s">
        <v>703</v>
      </c>
      <c r="C716" s="24">
        <v>5.3</v>
      </c>
      <c r="D716" s="93"/>
    </row>
    <row r="717" spans="1:4" ht="15.75" hidden="1" outlineLevel="1" x14ac:dyDescent="0.25">
      <c r="A717" s="24" t="s">
        <v>493</v>
      </c>
      <c r="B717" s="25" t="s">
        <v>2</v>
      </c>
      <c r="C717" s="24">
        <v>5.6</v>
      </c>
      <c r="D717" s="93"/>
    </row>
    <row r="718" spans="1:4" ht="15.75" hidden="1" outlineLevel="1" x14ac:dyDescent="0.25">
      <c r="A718" s="24" t="s">
        <v>493</v>
      </c>
      <c r="B718" s="25" t="s">
        <v>709</v>
      </c>
      <c r="C718" s="26">
        <v>5.0999999999999996</v>
      </c>
      <c r="D718" s="93"/>
    </row>
    <row r="719" spans="1:4" ht="15.75" hidden="1" outlineLevel="1" x14ac:dyDescent="0.25">
      <c r="A719" s="24" t="s">
        <v>493</v>
      </c>
      <c r="B719" s="25" t="s">
        <v>3</v>
      </c>
      <c r="C719" s="24">
        <v>5.14</v>
      </c>
      <c r="D719" s="93"/>
    </row>
    <row r="720" spans="1:4" ht="15.75" hidden="1" outlineLevel="1" x14ac:dyDescent="0.25">
      <c r="A720" s="24" t="s">
        <v>493</v>
      </c>
      <c r="B720" s="25" t="s">
        <v>28</v>
      </c>
      <c r="C720" s="24">
        <v>5.19</v>
      </c>
      <c r="D720" s="93"/>
    </row>
    <row r="721" spans="1:4" ht="15.75" hidden="1" outlineLevel="1" x14ac:dyDescent="0.25">
      <c r="A721" s="24" t="s">
        <v>493</v>
      </c>
      <c r="B721" s="25" t="s">
        <v>27</v>
      </c>
      <c r="C721" s="24">
        <v>5.24</v>
      </c>
      <c r="D721" s="93"/>
    </row>
    <row r="722" spans="1:4" ht="15.75" hidden="1" outlineLevel="1" x14ac:dyDescent="0.25">
      <c r="A722" s="24" t="s">
        <v>493</v>
      </c>
      <c r="B722" s="25" t="s">
        <v>1</v>
      </c>
      <c r="C722" s="24">
        <v>5.26</v>
      </c>
      <c r="D722" s="93"/>
    </row>
    <row r="723" spans="1:4" ht="15.75" hidden="1" outlineLevel="1" x14ac:dyDescent="0.25">
      <c r="A723" s="24" t="s">
        <v>493</v>
      </c>
      <c r="B723" s="25" t="s">
        <v>591</v>
      </c>
      <c r="C723" s="24">
        <v>5.27</v>
      </c>
      <c r="D723" s="93"/>
    </row>
    <row r="724" spans="1:4" ht="15.75" hidden="1" outlineLevel="1" x14ac:dyDescent="0.25">
      <c r="A724" s="24" t="s">
        <v>493</v>
      </c>
      <c r="B724" s="25" t="s">
        <v>592</v>
      </c>
      <c r="C724" s="24">
        <v>5.28</v>
      </c>
      <c r="D724" s="93"/>
    </row>
    <row r="725" spans="1:4" ht="15.75" hidden="1" outlineLevel="1" x14ac:dyDescent="0.25">
      <c r="A725" s="24" t="s">
        <v>493</v>
      </c>
      <c r="B725" s="25" t="s">
        <v>8</v>
      </c>
      <c r="C725" s="24">
        <v>5.31</v>
      </c>
      <c r="D725" s="93"/>
    </row>
    <row r="726" spans="1:4" ht="15.75" hidden="1" outlineLevel="1" x14ac:dyDescent="0.25">
      <c r="A726" s="24" t="s">
        <v>493</v>
      </c>
      <c r="B726" s="25" t="s">
        <v>593</v>
      </c>
      <c r="C726" s="24">
        <v>5.36</v>
      </c>
      <c r="D726" s="93"/>
    </row>
    <row r="727" spans="1:4" ht="15.75" hidden="1" outlineLevel="1" x14ac:dyDescent="0.25">
      <c r="A727" s="24" t="s">
        <v>493</v>
      </c>
      <c r="B727" s="25" t="s">
        <v>387</v>
      </c>
      <c r="C727" s="24">
        <v>5.53</v>
      </c>
      <c r="D727" s="93"/>
    </row>
    <row r="728" spans="1:4" ht="15.75" hidden="1" outlineLevel="1" x14ac:dyDescent="0.25">
      <c r="A728" s="24" t="s">
        <v>493</v>
      </c>
      <c r="B728" s="25" t="s">
        <v>876</v>
      </c>
      <c r="C728" s="24">
        <v>5.109</v>
      </c>
      <c r="D728" s="93"/>
    </row>
    <row r="729" spans="1:4" ht="15.75" hidden="1" outlineLevel="1" x14ac:dyDescent="0.25">
      <c r="A729" s="24" t="s">
        <v>493</v>
      </c>
      <c r="B729" s="25" t="s">
        <v>363</v>
      </c>
      <c r="C729" s="24">
        <v>5.1109999999999998</v>
      </c>
      <c r="D729" s="93"/>
    </row>
    <row r="730" spans="1:4" ht="15.75" hidden="1" outlineLevel="1" x14ac:dyDescent="0.25">
      <c r="A730" s="24" t="s">
        <v>493</v>
      </c>
      <c r="B730" s="25" t="s">
        <v>15</v>
      </c>
      <c r="C730" s="24">
        <v>5.1120000000000001</v>
      </c>
      <c r="D730" s="93"/>
    </row>
    <row r="731" spans="1:4" ht="15.75" hidden="1" outlineLevel="1" x14ac:dyDescent="0.25">
      <c r="A731" s="24" t="s">
        <v>493</v>
      </c>
      <c r="B731" s="25" t="s">
        <v>462</v>
      </c>
      <c r="C731" s="24">
        <v>5.1130000000000004</v>
      </c>
      <c r="D731" s="93"/>
    </row>
    <row r="732" spans="1:4" ht="15.75" hidden="1" outlineLevel="1" x14ac:dyDescent="0.25">
      <c r="A732" s="24" t="s">
        <v>493</v>
      </c>
      <c r="B732" s="25" t="s">
        <v>605</v>
      </c>
      <c r="C732" s="24">
        <v>5.117</v>
      </c>
      <c r="D732" s="93"/>
    </row>
    <row r="733" spans="1:4" ht="15.75" hidden="1" outlineLevel="1" x14ac:dyDescent="0.25">
      <c r="A733" s="24" t="s">
        <v>493</v>
      </c>
      <c r="B733" s="25" t="s">
        <v>1107</v>
      </c>
      <c r="C733" s="24">
        <v>5.67</v>
      </c>
      <c r="D733" s="93"/>
    </row>
    <row r="734" spans="1:4" ht="15.75" hidden="1" outlineLevel="1" x14ac:dyDescent="0.25">
      <c r="A734" s="24" t="s">
        <v>493</v>
      </c>
      <c r="B734" s="25" t="s">
        <v>1105</v>
      </c>
      <c r="C734" s="24">
        <v>5.63</v>
      </c>
      <c r="D734" s="93"/>
    </row>
    <row r="735" spans="1:4" ht="15.75" hidden="1" outlineLevel="1" x14ac:dyDescent="0.25">
      <c r="A735" s="24" t="s">
        <v>493</v>
      </c>
      <c r="B735" s="25" t="s">
        <v>18</v>
      </c>
      <c r="C735" s="24">
        <v>5.47</v>
      </c>
      <c r="D735" s="93"/>
    </row>
    <row r="736" spans="1:4" ht="15.75" hidden="1" outlineLevel="1" x14ac:dyDescent="0.25">
      <c r="A736" s="24" t="s">
        <v>493</v>
      </c>
      <c r="B736" s="25" t="s">
        <v>29</v>
      </c>
      <c r="C736" s="24">
        <v>5.48</v>
      </c>
      <c r="D736" s="93"/>
    </row>
    <row r="737" spans="1:4" ht="15.75" collapsed="1" x14ac:dyDescent="0.25">
      <c r="A737" s="28" t="s">
        <v>493</v>
      </c>
      <c r="B737" s="25"/>
      <c r="C737" s="24"/>
      <c r="D737" s="93"/>
    </row>
    <row r="738" spans="1:4" ht="15.75" hidden="1" outlineLevel="1" x14ac:dyDescent="0.25">
      <c r="A738" s="24" t="s">
        <v>51</v>
      </c>
      <c r="B738" s="25" t="s">
        <v>636</v>
      </c>
      <c r="C738" s="24">
        <v>5.0999999999999996</v>
      </c>
      <c r="D738" s="93"/>
    </row>
    <row r="739" spans="1:4" ht="15.75" hidden="1" outlineLevel="1" x14ac:dyDescent="0.25">
      <c r="A739" s="24" t="s">
        <v>51</v>
      </c>
      <c r="B739" s="25" t="s">
        <v>0</v>
      </c>
      <c r="C739" s="24">
        <v>5.2</v>
      </c>
      <c r="D739" s="93"/>
    </row>
    <row r="740" spans="1:4" ht="15.75" hidden="1" outlineLevel="1" x14ac:dyDescent="0.25">
      <c r="A740" s="24" t="s">
        <v>51</v>
      </c>
      <c r="B740" s="25" t="s">
        <v>757</v>
      </c>
      <c r="C740" s="24">
        <v>5.18</v>
      </c>
      <c r="D740" s="93"/>
    </row>
    <row r="741" spans="1:4" ht="15.75" hidden="1" outlineLevel="1" x14ac:dyDescent="0.25">
      <c r="A741" s="24" t="s">
        <v>51</v>
      </c>
      <c r="B741" s="25" t="s">
        <v>758</v>
      </c>
      <c r="C741" s="24">
        <v>5.23</v>
      </c>
      <c r="D741" s="93"/>
    </row>
    <row r="742" spans="1:4" ht="15.75" hidden="1" outlineLevel="1" x14ac:dyDescent="0.25">
      <c r="A742" s="24" t="s">
        <v>51</v>
      </c>
      <c r="B742" s="25" t="s">
        <v>1</v>
      </c>
      <c r="C742" s="24">
        <v>5.26</v>
      </c>
      <c r="D742" s="93"/>
    </row>
    <row r="743" spans="1:4" ht="15.75" hidden="1" outlineLevel="1" x14ac:dyDescent="0.25">
      <c r="A743" s="24" t="s">
        <v>51</v>
      </c>
      <c r="B743" s="25" t="s">
        <v>591</v>
      </c>
      <c r="C743" s="24">
        <v>5.27</v>
      </c>
      <c r="D743" s="93"/>
    </row>
    <row r="744" spans="1:4" ht="15.75" hidden="1" outlineLevel="1" x14ac:dyDescent="0.25">
      <c r="A744" s="24" t="s">
        <v>51</v>
      </c>
      <c r="B744" s="25" t="s">
        <v>592</v>
      </c>
      <c r="C744" s="24">
        <v>5.28</v>
      </c>
      <c r="D744" s="93"/>
    </row>
    <row r="745" spans="1:4" ht="15.75" hidden="1" outlineLevel="1" x14ac:dyDescent="0.25">
      <c r="A745" s="24" t="s">
        <v>51</v>
      </c>
      <c r="B745" s="25" t="s">
        <v>593</v>
      </c>
      <c r="C745" s="24">
        <v>5.36</v>
      </c>
      <c r="D745" s="93"/>
    </row>
    <row r="746" spans="1:4" ht="15.75" hidden="1" outlineLevel="1" x14ac:dyDescent="0.25">
      <c r="A746" s="24" t="s">
        <v>51</v>
      </c>
      <c r="B746" s="25" t="s">
        <v>764</v>
      </c>
      <c r="C746" s="24">
        <v>5.44</v>
      </c>
      <c r="D746" s="93"/>
    </row>
    <row r="747" spans="1:4" ht="15.75" hidden="1" outlineLevel="1" x14ac:dyDescent="0.25">
      <c r="A747" s="24" t="s">
        <v>51</v>
      </c>
      <c r="B747" s="25" t="s">
        <v>387</v>
      </c>
      <c r="C747" s="24">
        <v>5.53</v>
      </c>
      <c r="D747" s="93"/>
    </row>
    <row r="748" spans="1:4" ht="15.75" hidden="1" outlineLevel="1" x14ac:dyDescent="0.25">
      <c r="A748" s="24" t="s">
        <v>51</v>
      </c>
      <c r="B748" s="25" t="s">
        <v>15</v>
      </c>
      <c r="C748" s="24">
        <v>5.1120000000000001</v>
      </c>
      <c r="D748" s="93"/>
    </row>
    <row r="749" spans="1:4" ht="15.75" hidden="1" outlineLevel="1" x14ac:dyDescent="0.25">
      <c r="A749" s="24" t="s">
        <v>51</v>
      </c>
      <c r="B749" s="25" t="s">
        <v>881</v>
      </c>
      <c r="C749" s="24">
        <v>5.59</v>
      </c>
      <c r="D749" s="93"/>
    </row>
    <row r="750" spans="1:4" ht="15.75" hidden="1" outlineLevel="1" x14ac:dyDescent="0.25">
      <c r="A750" s="24" t="s">
        <v>51</v>
      </c>
      <c r="B750" s="25" t="s">
        <v>10</v>
      </c>
      <c r="C750" s="24">
        <v>5.54</v>
      </c>
      <c r="D750" s="93"/>
    </row>
    <row r="751" spans="1:4" ht="15.75" hidden="1" outlineLevel="1" x14ac:dyDescent="0.25">
      <c r="A751" s="24" t="s">
        <v>51</v>
      </c>
      <c r="B751" s="25" t="s">
        <v>1105</v>
      </c>
      <c r="C751" s="24">
        <v>5.63</v>
      </c>
      <c r="D751" s="93"/>
    </row>
    <row r="752" spans="1:4" ht="15.75" hidden="1" outlineLevel="1" x14ac:dyDescent="0.25">
      <c r="A752" s="24" t="s">
        <v>51</v>
      </c>
      <c r="B752" s="25" t="s">
        <v>1106</v>
      </c>
      <c r="C752" s="24">
        <v>5.65</v>
      </c>
      <c r="D752" s="93"/>
    </row>
    <row r="753" spans="1:4" ht="15.75" hidden="1" outlineLevel="1" x14ac:dyDescent="0.25">
      <c r="A753" s="24" t="s">
        <v>51</v>
      </c>
      <c r="B753" s="25" t="s">
        <v>25</v>
      </c>
      <c r="C753" s="24">
        <v>5.68</v>
      </c>
      <c r="D753" s="93"/>
    </row>
    <row r="754" spans="1:4" ht="15.75" hidden="1" outlineLevel="1" x14ac:dyDescent="0.25">
      <c r="A754" s="24" t="s">
        <v>51</v>
      </c>
      <c r="B754" s="25" t="s">
        <v>18</v>
      </c>
      <c r="C754" s="24">
        <v>5.47</v>
      </c>
      <c r="D754" s="93"/>
    </row>
    <row r="755" spans="1:4" ht="15.75" hidden="1" outlineLevel="1" x14ac:dyDescent="0.25">
      <c r="A755" s="24" t="s">
        <v>51</v>
      </c>
      <c r="B755" s="25" t="s">
        <v>29</v>
      </c>
      <c r="C755" s="24">
        <v>5.48</v>
      </c>
      <c r="D755" s="93"/>
    </row>
    <row r="756" spans="1:4" ht="15.75" collapsed="1" x14ac:dyDescent="0.25">
      <c r="A756" s="28" t="s">
        <v>51</v>
      </c>
      <c r="B756" s="25"/>
      <c r="C756" s="24"/>
      <c r="D756" s="93"/>
    </row>
    <row r="757" spans="1:4" ht="15.75" hidden="1" outlineLevel="1" x14ac:dyDescent="0.25">
      <c r="A757" s="24" t="s">
        <v>732</v>
      </c>
      <c r="B757" s="25" t="s">
        <v>636</v>
      </c>
      <c r="C757" s="24">
        <v>5.0999999999999996</v>
      </c>
      <c r="D757" s="93"/>
    </row>
    <row r="758" spans="1:4" ht="15.75" hidden="1" outlineLevel="1" x14ac:dyDescent="0.25">
      <c r="A758" s="24" t="s">
        <v>732</v>
      </c>
      <c r="B758" s="25" t="s">
        <v>0</v>
      </c>
      <c r="C758" s="24">
        <v>5.2</v>
      </c>
      <c r="D758" s="93"/>
    </row>
    <row r="759" spans="1:4" ht="15.75" hidden="1" outlineLevel="1" x14ac:dyDescent="0.25">
      <c r="A759" s="24" t="s">
        <v>732</v>
      </c>
      <c r="B759" s="25" t="s">
        <v>704</v>
      </c>
      <c r="C759" s="24">
        <v>5.9</v>
      </c>
      <c r="D759" s="92" t="s">
        <v>893</v>
      </c>
    </row>
    <row r="760" spans="1:4" ht="15.75" hidden="1" outlineLevel="1" x14ac:dyDescent="0.25">
      <c r="A760" s="24" t="s">
        <v>732</v>
      </c>
      <c r="B760" s="25" t="s">
        <v>705</v>
      </c>
      <c r="C760" s="24">
        <v>5.13</v>
      </c>
      <c r="D760" s="93"/>
    </row>
    <row r="761" spans="1:4" ht="15.75" hidden="1" outlineLevel="1" x14ac:dyDescent="0.25">
      <c r="A761" s="24" t="s">
        <v>732</v>
      </c>
      <c r="B761" s="25" t="s">
        <v>706</v>
      </c>
      <c r="C761" s="24">
        <v>5.16</v>
      </c>
      <c r="D761" s="92" t="s">
        <v>893</v>
      </c>
    </row>
    <row r="762" spans="1:4" ht="15.75" hidden="1" outlineLevel="1" x14ac:dyDescent="0.25">
      <c r="A762" s="24" t="s">
        <v>732</v>
      </c>
      <c r="B762" s="25" t="s">
        <v>707</v>
      </c>
      <c r="C762" s="24">
        <v>5.22</v>
      </c>
      <c r="D762" s="92"/>
    </row>
    <row r="763" spans="1:4" ht="15.75" hidden="1" outlineLevel="1" x14ac:dyDescent="0.25">
      <c r="A763" s="24" t="s">
        <v>732</v>
      </c>
      <c r="B763" s="25" t="s">
        <v>712</v>
      </c>
      <c r="C763" s="24">
        <v>5.42</v>
      </c>
      <c r="D763" s="93"/>
    </row>
    <row r="764" spans="1:4" ht="15.75" hidden="1" outlineLevel="1" x14ac:dyDescent="0.25">
      <c r="A764" s="24" t="s">
        <v>732</v>
      </c>
      <c r="B764" s="25" t="s">
        <v>591</v>
      </c>
      <c r="C764" s="24">
        <v>5.27</v>
      </c>
      <c r="D764" s="93"/>
    </row>
    <row r="765" spans="1:4" ht="15.75" hidden="1" outlineLevel="1" x14ac:dyDescent="0.25">
      <c r="A765" s="24" t="s">
        <v>732</v>
      </c>
      <c r="B765" s="25" t="s">
        <v>592</v>
      </c>
      <c r="C765" s="24">
        <v>5.28</v>
      </c>
      <c r="D765" s="92" t="s">
        <v>893</v>
      </c>
    </row>
    <row r="766" spans="1:4" ht="15.75" hidden="1" outlineLevel="1" x14ac:dyDescent="0.25">
      <c r="A766" s="24" t="s">
        <v>732</v>
      </c>
      <c r="B766" s="25" t="s">
        <v>593</v>
      </c>
      <c r="C766" s="24">
        <v>5.36</v>
      </c>
      <c r="D766" s="93"/>
    </row>
    <row r="767" spans="1:4" ht="15.75" hidden="1" outlineLevel="1" x14ac:dyDescent="0.25">
      <c r="A767" s="24" t="s">
        <v>732</v>
      </c>
      <c r="B767" s="25" t="s">
        <v>5</v>
      </c>
      <c r="C767" s="24">
        <v>5.49</v>
      </c>
      <c r="D767" s="93"/>
    </row>
    <row r="768" spans="1:4" ht="15.75" hidden="1" outlineLevel="1" x14ac:dyDescent="0.25">
      <c r="A768" s="24" t="s">
        <v>732</v>
      </c>
      <c r="B768" s="25" t="s">
        <v>7</v>
      </c>
      <c r="C768" s="24">
        <v>5.51</v>
      </c>
      <c r="D768" s="93"/>
    </row>
    <row r="769" spans="1:4" ht="15.75" hidden="1" outlineLevel="1" x14ac:dyDescent="0.25">
      <c r="A769" s="24" t="s">
        <v>732</v>
      </c>
      <c r="B769" s="25" t="s">
        <v>751</v>
      </c>
      <c r="C769" s="24">
        <v>5.52</v>
      </c>
      <c r="D769" s="93"/>
    </row>
    <row r="770" spans="1:4" ht="15.75" hidden="1" outlineLevel="1" x14ac:dyDescent="0.25">
      <c r="A770" s="24" t="s">
        <v>732</v>
      </c>
      <c r="B770" s="25" t="s">
        <v>387</v>
      </c>
      <c r="C770" s="24">
        <v>5.53</v>
      </c>
      <c r="D770" s="93"/>
    </row>
    <row r="771" spans="1:4" ht="15.75" hidden="1" outlineLevel="1" x14ac:dyDescent="0.25">
      <c r="A771" s="24" t="s">
        <v>732</v>
      </c>
      <c r="B771" s="25" t="s">
        <v>10</v>
      </c>
      <c r="C771" s="24">
        <v>5.54</v>
      </c>
      <c r="D771" s="93"/>
    </row>
    <row r="772" spans="1:4" ht="15.75" hidden="1" outlineLevel="1" x14ac:dyDescent="0.25">
      <c r="A772" s="24" t="s">
        <v>732</v>
      </c>
      <c r="B772" s="25" t="s">
        <v>13</v>
      </c>
      <c r="C772" s="26">
        <v>5.7</v>
      </c>
      <c r="D772" s="93"/>
    </row>
    <row r="773" spans="1:4" ht="15.75" hidden="1" outlineLevel="1" x14ac:dyDescent="0.25">
      <c r="A773" s="24" t="s">
        <v>732</v>
      </c>
      <c r="B773" s="25" t="s">
        <v>431</v>
      </c>
      <c r="C773" s="24">
        <v>5.71</v>
      </c>
      <c r="D773" s="93"/>
    </row>
    <row r="774" spans="1:4" ht="15.75" hidden="1" outlineLevel="1" x14ac:dyDescent="0.25">
      <c r="A774" s="24" t="s">
        <v>732</v>
      </c>
      <c r="B774" s="25" t="s">
        <v>766</v>
      </c>
      <c r="C774" s="26">
        <v>5.9</v>
      </c>
      <c r="D774" s="93"/>
    </row>
    <row r="775" spans="1:4" ht="15.75" hidden="1" outlineLevel="1" x14ac:dyDescent="0.25">
      <c r="A775" s="24" t="s">
        <v>732</v>
      </c>
      <c r="B775" s="25" t="s">
        <v>1108</v>
      </c>
      <c r="C775" s="24">
        <v>5.91</v>
      </c>
      <c r="D775" s="93"/>
    </row>
    <row r="776" spans="1:4" ht="15.75" hidden="1" outlineLevel="1" x14ac:dyDescent="0.25">
      <c r="A776" s="24" t="s">
        <v>732</v>
      </c>
      <c r="B776" s="25" t="s">
        <v>727</v>
      </c>
      <c r="C776" s="24">
        <v>5.97</v>
      </c>
      <c r="D776" s="93"/>
    </row>
    <row r="777" spans="1:4" ht="15.75" collapsed="1" x14ac:dyDescent="0.25">
      <c r="A777" s="28" t="s">
        <v>732</v>
      </c>
      <c r="B777" s="25"/>
      <c r="C777" s="24"/>
      <c r="D777" s="93"/>
    </row>
    <row r="778" spans="1:4" ht="15.75" hidden="1" outlineLevel="1" x14ac:dyDescent="0.25">
      <c r="A778" s="24" t="s">
        <v>748</v>
      </c>
      <c r="B778" s="25" t="s">
        <v>636</v>
      </c>
      <c r="C778" s="24">
        <v>5.0999999999999996</v>
      </c>
      <c r="D778" s="93"/>
    </row>
    <row r="779" spans="1:4" ht="15.75" hidden="1" outlineLevel="1" x14ac:dyDescent="0.25">
      <c r="A779" s="24" t="s">
        <v>748</v>
      </c>
      <c r="B779" s="25" t="s">
        <v>0</v>
      </c>
      <c r="C779" s="24">
        <v>5.2</v>
      </c>
      <c r="D779" s="93"/>
    </row>
    <row r="780" spans="1:4" ht="15.75" hidden="1" outlineLevel="1" x14ac:dyDescent="0.25">
      <c r="A780" s="24" t="s">
        <v>748</v>
      </c>
      <c r="B780" s="25" t="s">
        <v>1</v>
      </c>
      <c r="C780" s="24">
        <v>5.26</v>
      </c>
      <c r="D780" s="93"/>
    </row>
    <row r="781" spans="1:4" ht="15.75" hidden="1" outlineLevel="1" x14ac:dyDescent="0.25">
      <c r="A781" s="24" t="s">
        <v>748</v>
      </c>
      <c r="B781" s="25" t="s">
        <v>753</v>
      </c>
      <c r="C781" s="24">
        <v>5.5</v>
      </c>
      <c r="D781" s="93"/>
    </row>
    <row r="782" spans="1:4" ht="15.75" hidden="1" outlineLevel="1" x14ac:dyDescent="0.25">
      <c r="A782" s="24" t="s">
        <v>748</v>
      </c>
      <c r="B782" s="25" t="s">
        <v>763</v>
      </c>
      <c r="C782" s="24">
        <v>5.8</v>
      </c>
      <c r="D782" s="92" t="s">
        <v>893</v>
      </c>
    </row>
    <row r="783" spans="1:4" ht="15.75" hidden="1" outlineLevel="1" x14ac:dyDescent="0.25">
      <c r="A783" s="24" t="s">
        <v>748</v>
      </c>
      <c r="B783" s="25" t="s">
        <v>754</v>
      </c>
      <c r="C783" s="24">
        <v>5.12</v>
      </c>
      <c r="D783" s="24"/>
    </row>
    <row r="784" spans="1:4" ht="15.75" hidden="1" outlineLevel="1" x14ac:dyDescent="0.25">
      <c r="A784" s="24" t="s">
        <v>748</v>
      </c>
      <c r="B784" s="25" t="s">
        <v>726</v>
      </c>
      <c r="C784" s="24">
        <v>5.15</v>
      </c>
      <c r="D784" s="24"/>
    </row>
    <row r="785" spans="1:4" ht="15.75" hidden="1" outlineLevel="1" x14ac:dyDescent="0.25">
      <c r="A785" s="24" t="s">
        <v>748</v>
      </c>
      <c r="B785" s="25" t="s">
        <v>725</v>
      </c>
      <c r="C785" s="26">
        <v>5.2</v>
      </c>
      <c r="D785" s="92"/>
    </row>
    <row r="786" spans="1:4" ht="15.75" hidden="1" outlineLevel="1" x14ac:dyDescent="0.25">
      <c r="A786" s="24" t="s">
        <v>748</v>
      </c>
      <c r="B786" s="25" t="s">
        <v>730</v>
      </c>
      <c r="C786" s="24">
        <v>5.25</v>
      </c>
      <c r="D786" s="24"/>
    </row>
    <row r="787" spans="1:4" ht="15.75" hidden="1" outlineLevel="1" x14ac:dyDescent="0.25">
      <c r="A787" s="24" t="s">
        <v>748</v>
      </c>
      <c r="B787" s="25" t="s">
        <v>387</v>
      </c>
      <c r="C787" s="24">
        <v>5.53</v>
      </c>
      <c r="D787" s="24"/>
    </row>
    <row r="788" spans="1:4" ht="15.75" hidden="1" outlineLevel="1" x14ac:dyDescent="0.25">
      <c r="A788" s="24" t="s">
        <v>748</v>
      </c>
      <c r="B788" s="25" t="s">
        <v>724</v>
      </c>
      <c r="C788" s="26">
        <v>5.4</v>
      </c>
      <c r="D788" s="24"/>
    </row>
    <row r="789" spans="1:4" ht="31.5" hidden="1" outlineLevel="1" x14ac:dyDescent="0.25">
      <c r="A789" s="24" t="s">
        <v>748</v>
      </c>
      <c r="B789" s="25" t="s">
        <v>882</v>
      </c>
      <c r="C789" s="24">
        <v>5.92</v>
      </c>
      <c r="D789" s="24"/>
    </row>
    <row r="790" spans="1:4" ht="15.75" hidden="1" outlineLevel="1" x14ac:dyDescent="0.25">
      <c r="A790" s="24" t="s">
        <v>748</v>
      </c>
      <c r="B790" s="25" t="s">
        <v>1109</v>
      </c>
      <c r="C790" s="24">
        <v>5.93</v>
      </c>
      <c r="D790" s="24"/>
    </row>
    <row r="791" spans="1:4" ht="31.5" hidden="1" outlineLevel="1" x14ac:dyDescent="0.25">
      <c r="A791" s="24" t="s">
        <v>748</v>
      </c>
      <c r="B791" s="25" t="s">
        <v>883</v>
      </c>
      <c r="C791" s="24">
        <v>5.94</v>
      </c>
      <c r="D791" s="24"/>
    </row>
    <row r="792" spans="1:4" ht="15.75" hidden="1" outlineLevel="1" x14ac:dyDescent="0.25">
      <c r="A792" s="24" t="s">
        <v>748</v>
      </c>
      <c r="B792" s="25" t="s">
        <v>1110</v>
      </c>
      <c r="C792" s="24">
        <v>5.95</v>
      </c>
      <c r="D792" s="24"/>
    </row>
    <row r="793" spans="1:4" ht="15.75" hidden="1" outlineLevel="1" x14ac:dyDescent="0.25">
      <c r="A793" s="24" t="s">
        <v>748</v>
      </c>
      <c r="B793" s="25" t="s">
        <v>21</v>
      </c>
      <c r="C793" s="24">
        <v>5.98</v>
      </c>
      <c r="D793" s="24"/>
    </row>
    <row r="794" spans="1:4" ht="15.75" hidden="1" outlineLevel="1" x14ac:dyDescent="0.25">
      <c r="A794" s="24" t="s">
        <v>748</v>
      </c>
      <c r="B794" s="25" t="s">
        <v>767</v>
      </c>
      <c r="C794" s="24">
        <v>5.96</v>
      </c>
      <c r="D794" s="24"/>
    </row>
    <row r="795" spans="1:4" ht="15.75" collapsed="1" x14ac:dyDescent="0.25">
      <c r="A795" s="28" t="s">
        <v>748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" x14ac:dyDescent="0.3"/>
  <cols>
    <col min="1" max="1" width="17.4140625" bestFit="1" customWidth="1"/>
    <col min="2" max="2" width="32.1640625" customWidth="1"/>
    <col min="3" max="3" width="172.4140625" bestFit="1" customWidth="1"/>
  </cols>
  <sheetData>
    <row r="1" spans="1:3" x14ac:dyDescent="0.3">
      <c r="A1" s="16" t="s">
        <v>1248</v>
      </c>
      <c r="B1" s="16" t="s">
        <v>1247</v>
      </c>
      <c r="C1" s="16" t="s">
        <v>1246</v>
      </c>
    </row>
    <row r="2" spans="1:3" x14ac:dyDescent="0.3">
      <c r="A2" t="s">
        <v>1231</v>
      </c>
      <c r="B2" t="s">
        <v>1241</v>
      </c>
      <c r="C2" s="118" t="s">
        <v>1245</v>
      </c>
    </row>
    <row r="3" spans="1:3" x14ac:dyDescent="0.3">
      <c r="A3" t="s">
        <v>1231</v>
      </c>
      <c r="B3" t="s">
        <v>1241</v>
      </c>
      <c r="C3" s="118" t="s">
        <v>1244</v>
      </c>
    </row>
    <row r="4" spans="1:3" x14ac:dyDescent="0.3">
      <c r="A4" t="s">
        <v>1231</v>
      </c>
      <c r="B4" t="s">
        <v>1241</v>
      </c>
      <c r="C4" s="118" t="s">
        <v>1243</v>
      </c>
    </row>
    <row r="5" spans="1:3" x14ac:dyDescent="0.3">
      <c r="A5" t="s">
        <v>1231</v>
      </c>
      <c r="B5" t="s">
        <v>1241</v>
      </c>
      <c r="C5" s="118" t="s">
        <v>1242</v>
      </c>
    </row>
    <row r="6" spans="1:3" x14ac:dyDescent="0.3">
      <c r="A6" t="s">
        <v>1231</v>
      </c>
      <c r="B6" t="s">
        <v>1241</v>
      </c>
      <c r="C6" s="118" t="s">
        <v>1240</v>
      </c>
    </row>
    <row r="7" spans="1:3" x14ac:dyDescent="0.3">
      <c r="A7" t="s">
        <v>1231</v>
      </c>
      <c r="B7" t="s">
        <v>1232</v>
      </c>
      <c r="C7" s="118" t="s">
        <v>1239</v>
      </c>
    </row>
    <row r="8" spans="1:3" x14ac:dyDescent="0.3">
      <c r="A8" t="s">
        <v>1231</v>
      </c>
      <c r="B8" t="s">
        <v>1238</v>
      </c>
      <c r="C8" s="118" t="s">
        <v>1237</v>
      </c>
    </row>
    <row r="9" spans="1:3" x14ac:dyDescent="0.3">
      <c r="A9" t="s">
        <v>1231</v>
      </c>
      <c r="B9" t="s">
        <v>1236</v>
      </c>
      <c r="C9" s="118" t="s">
        <v>1235</v>
      </c>
    </row>
    <row r="10" spans="1:3" x14ac:dyDescent="0.3">
      <c r="A10" t="s">
        <v>1231</v>
      </c>
      <c r="B10" t="s">
        <v>1234</v>
      </c>
      <c r="C10" s="118" t="s">
        <v>1233</v>
      </c>
    </row>
    <row r="11" spans="1:3" x14ac:dyDescent="0.3">
      <c r="A11" t="s">
        <v>1231</v>
      </c>
      <c r="B11" t="s">
        <v>1232</v>
      </c>
      <c r="C11" s="118" t="s">
        <v>1249</v>
      </c>
    </row>
    <row r="12" spans="1:3" x14ac:dyDescent="0.3">
      <c r="A12" t="s">
        <v>1231</v>
      </c>
      <c r="B12" t="s">
        <v>1230</v>
      </c>
      <c r="C12" s="118" t="s">
        <v>1229</v>
      </c>
    </row>
    <row r="13" spans="1:3" x14ac:dyDescent="0.3">
      <c r="A13" t="s">
        <v>34</v>
      </c>
      <c r="B13" t="s">
        <v>1224</v>
      </c>
      <c r="C13" s="118" t="s">
        <v>1228</v>
      </c>
    </row>
    <row r="14" spans="1:3" x14ac:dyDescent="0.3">
      <c r="A14" t="s">
        <v>449</v>
      </c>
      <c r="B14" t="s">
        <v>1224</v>
      </c>
      <c r="C14" s="118" t="s">
        <v>1227</v>
      </c>
    </row>
    <row r="15" spans="1:3" x14ac:dyDescent="0.3">
      <c r="A15" t="s">
        <v>46</v>
      </c>
      <c r="B15" t="s">
        <v>1224</v>
      </c>
      <c r="C15" s="118" t="s">
        <v>1226</v>
      </c>
    </row>
    <row r="16" spans="1:3" x14ac:dyDescent="0.3">
      <c r="A16" t="s">
        <v>449</v>
      </c>
      <c r="B16" t="s">
        <v>1224</v>
      </c>
      <c r="C16" s="118" t="s">
        <v>1252</v>
      </c>
    </row>
    <row r="17" spans="1:3" x14ac:dyDescent="0.3">
      <c r="A17" t="s">
        <v>1225</v>
      </c>
      <c r="B17" t="s">
        <v>1224</v>
      </c>
      <c r="C17" s="118" t="s">
        <v>1223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" x14ac:dyDescent="0.3"/>
  <cols>
    <col min="1" max="1" width="63.25" bestFit="1" customWidth="1"/>
    <col min="2" max="2" width="13.75" customWidth="1"/>
  </cols>
  <sheetData>
    <row r="2" spans="1:2" x14ac:dyDescent="0.3">
      <c r="A2" s="16" t="s">
        <v>784</v>
      </c>
    </row>
    <row r="3" spans="1:2" x14ac:dyDescent="0.3">
      <c r="A3" t="s">
        <v>780</v>
      </c>
      <c r="B3" t="s">
        <v>771</v>
      </c>
    </row>
    <row r="4" spans="1:2" x14ac:dyDescent="0.3">
      <c r="A4" t="s">
        <v>776</v>
      </c>
      <c r="B4" t="s">
        <v>783</v>
      </c>
    </row>
    <row r="5" spans="1:2" x14ac:dyDescent="0.3">
      <c r="A5" t="s">
        <v>777</v>
      </c>
      <c r="B5" t="s">
        <v>782</v>
      </c>
    </row>
    <row r="6" spans="1:2" x14ac:dyDescent="0.3">
      <c r="A6" t="s">
        <v>778</v>
      </c>
      <c r="B6" t="s">
        <v>772</v>
      </c>
    </row>
    <row r="7" spans="1:2" x14ac:dyDescent="0.3">
      <c r="A7" t="s">
        <v>779</v>
      </c>
      <c r="B7" t="s">
        <v>658</v>
      </c>
    </row>
    <row r="8" spans="1:2" x14ac:dyDescent="0.3">
      <c r="A8" t="s">
        <v>781</v>
      </c>
      <c r="B8" t="s">
        <v>659</v>
      </c>
    </row>
    <row r="10" spans="1:2" x14ac:dyDescent="0.3">
      <c r="A10" s="16" t="s">
        <v>785</v>
      </c>
    </row>
    <row r="11" spans="1:2" x14ac:dyDescent="0.3">
      <c r="A11" t="s">
        <v>585</v>
      </c>
    </row>
    <row r="12" spans="1:2" x14ac:dyDescent="0.3">
      <c r="A12" t="s">
        <v>586</v>
      </c>
      <c r="B12" t="s">
        <v>498</v>
      </c>
    </row>
    <row r="14" spans="1:2" ht="14.5" x14ac:dyDescent="0.35">
      <c r="A14" s="23"/>
    </row>
    <row r="15" spans="1:2" x14ac:dyDescent="0.3">
      <c r="A15" s="16" t="s">
        <v>500</v>
      </c>
    </row>
    <row r="16" spans="1:2" x14ac:dyDescent="0.3">
      <c r="A16" s="21" t="s">
        <v>501</v>
      </c>
    </row>
    <row r="17" spans="1:2" x14ac:dyDescent="0.3">
      <c r="A17" s="21" t="s">
        <v>502</v>
      </c>
    </row>
    <row r="18" spans="1:2" x14ac:dyDescent="0.3">
      <c r="A18" s="21" t="s">
        <v>503</v>
      </c>
    </row>
    <row r="19" spans="1:2" x14ac:dyDescent="0.3">
      <c r="A19" s="21" t="s">
        <v>504</v>
      </c>
    </row>
    <row r="21" spans="1:2" x14ac:dyDescent="0.3">
      <c r="A21" s="22" t="s">
        <v>499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16" t="s">
        <v>558</v>
      </c>
      <c r="B34" s="16" t="s">
        <v>420</v>
      </c>
    </row>
    <row r="35" spans="1:2" x14ac:dyDescent="0.3">
      <c r="A35" s="10" t="s">
        <v>561</v>
      </c>
      <c r="B35" s="111">
        <v>520023185</v>
      </c>
    </row>
    <row r="36" spans="1:2" x14ac:dyDescent="0.3">
      <c r="A36" t="s">
        <v>562</v>
      </c>
      <c r="B36" s="111">
        <v>520024647</v>
      </c>
    </row>
    <row r="37" spans="1:2" x14ac:dyDescent="0.3">
      <c r="A37" t="s">
        <v>565</v>
      </c>
      <c r="B37" s="111">
        <v>520004896</v>
      </c>
    </row>
    <row r="38" spans="1:2" x14ac:dyDescent="0.3">
      <c r="A38" t="s">
        <v>560</v>
      </c>
      <c r="B38" s="111">
        <v>520042540</v>
      </c>
    </row>
    <row r="39" spans="1:2" x14ac:dyDescent="0.3">
      <c r="A39" t="s">
        <v>1135</v>
      </c>
      <c r="B39" s="111">
        <v>520021916</v>
      </c>
    </row>
    <row r="40" spans="1:2" x14ac:dyDescent="0.3">
      <c r="A40" t="s">
        <v>573</v>
      </c>
      <c r="B40" s="10">
        <v>510015951</v>
      </c>
    </row>
    <row r="41" spans="1:2" x14ac:dyDescent="0.3">
      <c r="A41" t="s">
        <v>1136</v>
      </c>
      <c r="B41" s="10">
        <v>510888985</v>
      </c>
    </row>
    <row r="42" spans="1:2" x14ac:dyDescent="0.3">
      <c r="A42" t="s">
        <v>564</v>
      </c>
      <c r="B42" s="10">
        <v>520042177</v>
      </c>
    </row>
    <row r="43" spans="1:2" x14ac:dyDescent="0.3">
      <c r="A43" t="s">
        <v>572</v>
      </c>
      <c r="B43">
        <v>520031030</v>
      </c>
    </row>
    <row r="44" spans="1:2" x14ac:dyDescent="0.3">
      <c r="A44" t="s">
        <v>563</v>
      </c>
      <c r="B44">
        <v>520030677</v>
      </c>
    </row>
    <row r="45" spans="1:2" x14ac:dyDescent="0.3">
      <c r="A45" t="s">
        <v>576</v>
      </c>
      <c r="B45">
        <v>513879189</v>
      </c>
    </row>
    <row r="46" spans="1:2" x14ac:dyDescent="0.3">
      <c r="A46" t="s">
        <v>1137</v>
      </c>
      <c r="B46" s="10">
        <v>520027848</v>
      </c>
    </row>
    <row r="47" spans="1:2" x14ac:dyDescent="0.3">
      <c r="A47" t="s">
        <v>1138</v>
      </c>
      <c r="B47" s="10">
        <v>570003152</v>
      </c>
    </row>
    <row r="48" spans="1:2" x14ac:dyDescent="0.3">
      <c r="A48" t="s">
        <v>566</v>
      </c>
      <c r="B48">
        <v>513910703</v>
      </c>
    </row>
    <row r="49" spans="1:2" x14ac:dyDescent="0.3">
      <c r="A49" t="s">
        <v>1139</v>
      </c>
      <c r="B49" s="10">
        <v>512304882</v>
      </c>
    </row>
    <row r="50" spans="1:2" x14ac:dyDescent="0.3">
      <c r="A50" t="s">
        <v>1140</v>
      </c>
      <c r="B50" s="10">
        <v>512310509</v>
      </c>
    </row>
    <row r="51" spans="1:2" x14ac:dyDescent="0.3">
      <c r="A51" t="s">
        <v>1141</v>
      </c>
      <c r="B51" s="10">
        <v>512904608</v>
      </c>
    </row>
    <row r="52" spans="1:2" x14ac:dyDescent="0.3">
      <c r="A52" t="s">
        <v>1142</v>
      </c>
      <c r="B52" s="10">
        <v>500500376</v>
      </c>
    </row>
    <row r="53" spans="1:2" x14ac:dyDescent="0.3">
      <c r="A53" t="s">
        <v>568</v>
      </c>
      <c r="B53" s="10">
        <v>520044025</v>
      </c>
    </row>
    <row r="54" spans="1:2" x14ac:dyDescent="0.3">
      <c r="A54" t="s">
        <v>1143</v>
      </c>
      <c r="B54" s="10">
        <v>513136895</v>
      </c>
    </row>
    <row r="55" spans="1:2" x14ac:dyDescent="0.3">
      <c r="A55" t="s">
        <v>567</v>
      </c>
      <c r="B55" s="10">
        <v>520004078</v>
      </c>
    </row>
    <row r="56" spans="1:2" x14ac:dyDescent="0.3">
      <c r="A56" t="s">
        <v>571</v>
      </c>
      <c r="B56" s="10">
        <v>515761625</v>
      </c>
    </row>
    <row r="57" spans="1:2" x14ac:dyDescent="0.3">
      <c r="A57" t="s">
        <v>570</v>
      </c>
      <c r="B57" s="10">
        <v>515764868</v>
      </c>
    </row>
    <row r="58" spans="1:2" x14ac:dyDescent="0.3">
      <c r="A58" t="s">
        <v>569</v>
      </c>
      <c r="B58">
        <v>515859379</v>
      </c>
    </row>
    <row r="59" spans="1:2" x14ac:dyDescent="0.3">
      <c r="A59" t="s">
        <v>1144</v>
      </c>
      <c r="B59" s="10">
        <v>516687407</v>
      </c>
    </row>
    <row r="60" spans="1:2" x14ac:dyDescent="0.3">
      <c r="A60" t="s">
        <v>1145</v>
      </c>
      <c r="B60" s="10">
        <v>516885639</v>
      </c>
    </row>
    <row r="61" spans="1:2" x14ac:dyDescent="0.3">
      <c r="A61" t="s">
        <v>543</v>
      </c>
      <c r="B61">
        <v>570009449</v>
      </c>
    </row>
    <row r="62" spans="1:2" x14ac:dyDescent="0.3">
      <c r="A62" t="s">
        <v>541</v>
      </c>
      <c r="B62" s="10">
        <v>520027954</v>
      </c>
    </row>
    <row r="63" spans="1:2" x14ac:dyDescent="0.3">
      <c r="A63" t="s">
        <v>523</v>
      </c>
      <c r="B63" s="10">
        <v>512362914</v>
      </c>
    </row>
    <row r="64" spans="1:2" x14ac:dyDescent="0.3">
      <c r="A64" t="s">
        <v>550</v>
      </c>
      <c r="B64" s="10">
        <v>511880460</v>
      </c>
    </row>
    <row r="65" spans="1:2" x14ac:dyDescent="0.3">
      <c r="A65" t="s">
        <v>537</v>
      </c>
      <c r="B65">
        <v>511033060</v>
      </c>
    </row>
    <row r="66" spans="1:2" x14ac:dyDescent="0.3">
      <c r="A66" t="s">
        <v>511</v>
      </c>
      <c r="B66">
        <v>570005850</v>
      </c>
    </row>
    <row r="67" spans="1:2" x14ac:dyDescent="0.3">
      <c r="A67" t="s">
        <v>542</v>
      </c>
      <c r="B67" s="10">
        <v>510694821</v>
      </c>
    </row>
    <row r="68" spans="1:2" x14ac:dyDescent="0.3">
      <c r="A68" t="s">
        <v>1146</v>
      </c>
      <c r="B68">
        <v>520027624</v>
      </c>
    </row>
    <row r="69" spans="1:2" x14ac:dyDescent="0.3">
      <c r="A69" t="s">
        <v>526</v>
      </c>
      <c r="B69" s="10">
        <v>520027715</v>
      </c>
    </row>
    <row r="70" spans="1:2" x14ac:dyDescent="0.3">
      <c r="A70" t="s">
        <v>540</v>
      </c>
      <c r="B70" s="10">
        <v>520028861</v>
      </c>
    </row>
    <row r="71" spans="1:2" x14ac:dyDescent="0.3">
      <c r="A71" t="s">
        <v>578</v>
      </c>
      <c r="B71" s="10">
        <v>520029620</v>
      </c>
    </row>
    <row r="72" spans="1:2" x14ac:dyDescent="0.3">
      <c r="A72" t="s">
        <v>507</v>
      </c>
      <c r="B72" s="10">
        <v>520030743</v>
      </c>
    </row>
    <row r="73" spans="1:2" x14ac:dyDescent="0.3">
      <c r="A73" t="s">
        <v>1147</v>
      </c>
      <c r="B73" s="10">
        <v>520030198</v>
      </c>
    </row>
    <row r="74" spans="1:2" x14ac:dyDescent="0.3">
      <c r="A74" t="s">
        <v>1148</v>
      </c>
      <c r="B74" s="10">
        <v>520042631</v>
      </c>
    </row>
    <row r="75" spans="1:2" x14ac:dyDescent="0.3">
      <c r="A75" t="s">
        <v>529</v>
      </c>
      <c r="B75" s="10">
        <v>520030941</v>
      </c>
    </row>
    <row r="76" spans="1:2" x14ac:dyDescent="0.3">
      <c r="A76" t="s">
        <v>549</v>
      </c>
      <c r="B76" s="10">
        <v>520032269</v>
      </c>
    </row>
    <row r="77" spans="1:2" x14ac:dyDescent="0.3">
      <c r="A77" t="s">
        <v>515</v>
      </c>
      <c r="B77">
        <v>510806870</v>
      </c>
    </row>
    <row r="78" spans="1:2" x14ac:dyDescent="0.3">
      <c r="A78" t="s">
        <v>544</v>
      </c>
      <c r="B78">
        <v>520031824</v>
      </c>
    </row>
    <row r="79" spans="1:2" x14ac:dyDescent="0.3">
      <c r="A79" t="s">
        <v>510</v>
      </c>
      <c r="B79" s="10">
        <v>510927536</v>
      </c>
    </row>
    <row r="80" spans="1:2" x14ac:dyDescent="0.3">
      <c r="A80" t="s">
        <v>1149</v>
      </c>
      <c r="B80" s="10">
        <v>510930654</v>
      </c>
    </row>
    <row r="81" spans="1:2" x14ac:dyDescent="0.3">
      <c r="A81" t="s">
        <v>545</v>
      </c>
      <c r="B81">
        <v>510930670</v>
      </c>
    </row>
    <row r="82" spans="1:2" x14ac:dyDescent="0.3">
      <c r="A82" t="s">
        <v>506</v>
      </c>
      <c r="B82" s="10">
        <v>520034968</v>
      </c>
    </row>
    <row r="83" spans="1:2" x14ac:dyDescent="0.3">
      <c r="A83" t="s">
        <v>518</v>
      </c>
      <c r="B83" s="10">
        <v>520024985</v>
      </c>
    </row>
    <row r="84" spans="1:2" x14ac:dyDescent="0.3">
      <c r="A84" t="s">
        <v>538</v>
      </c>
      <c r="B84">
        <v>520030990</v>
      </c>
    </row>
    <row r="85" spans="1:2" x14ac:dyDescent="0.3">
      <c r="A85" t="s">
        <v>522</v>
      </c>
      <c r="B85" s="10">
        <v>520042615</v>
      </c>
    </row>
    <row r="86" spans="1:2" x14ac:dyDescent="0.3">
      <c r="A86" t="s">
        <v>535</v>
      </c>
      <c r="B86" s="10">
        <v>520042607</v>
      </c>
    </row>
    <row r="87" spans="1:2" x14ac:dyDescent="0.3">
      <c r="A87" t="s">
        <v>513</v>
      </c>
      <c r="B87" s="10">
        <v>520019688</v>
      </c>
    </row>
    <row r="88" spans="1:2" x14ac:dyDescent="0.3">
      <c r="A88" t="s">
        <v>551</v>
      </c>
      <c r="B88" s="10">
        <v>570014928</v>
      </c>
    </row>
    <row r="89" spans="1:2" x14ac:dyDescent="0.3">
      <c r="A89" t="s">
        <v>530</v>
      </c>
      <c r="B89" s="10">
        <v>510960586</v>
      </c>
    </row>
    <row r="90" spans="1:2" x14ac:dyDescent="0.3">
      <c r="A90" t="s">
        <v>547</v>
      </c>
      <c r="B90">
        <v>520042581</v>
      </c>
    </row>
    <row r="91" spans="1:2" x14ac:dyDescent="0.3">
      <c r="A91" t="s">
        <v>531</v>
      </c>
      <c r="B91" s="10">
        <v>570005959</v>
      </c>
    </row>
    <row r="92" spans="1:2" x14ac:dyDescent="0.3">
      <c r="A92" t="s">
        <v>527</v>
      </c>
      <c r="B92" s="10">
        <v>570002618</v>
      </c>
    </row>
    <row r="93" spans="1:2" x14ac:dyDescent="0.3">
      <c r="A93" t="s">
        <v>1150</v>
      </c>
      <c r="B93" s="10">
        <v>511789190</v>
      </c>
    </row>
    <row r="94" spans="1:2" x14ac:dyDescent="0.3">
      <c r="A94" t="s">
        <v>509</v>
      </c>
      <c r="B94" s="10">
        <v>520022518</v>
      </c>
    </row>
    <row r="95" spans="1:2" x14ac:dyDescent="0.3">
      <c r="A95" t="s">
        <v>508</v>
      </c>
      <c r="B95" s="10">
        <v>520031659</v>
      </c>
    </row>
    <row r="96" spans="1:2" x14ac:dyDescent="0.3">
      <c r="A96" t="s">
        <v>512</v>
      </c>
      <c r="B96" s="10">
        <v>570007476</v>
      </c>
    </row>
    <row r="97" spans="1:2" x14ac:dyDescent="0.3">
      <c r="A97" t="s">
        <v>514</v>
      </c>
      <c r="B97" s="10">
        <v>570009852</v>
      </c>
    </row>
    <row r="98" spans="1:2" x14ac:dyDescent="0.3">
      <c r="A98" t="s">
        <v>505</v>
      </c>
      <c r="B98" s="10">
        <v>510800402</v>
      </c>
    </row>
    <row r="99" spans="1:2" x14ac:dyDescent="0.3">
      <c r="A99" t="s">
        <v>539</v>
      </c>
      <c r="B99" s="10">
        <v>510773922</v>
      </c>
    </row>
    <row r="100" spans="1:2" x14ac:dyDescent="0.3">
      <c r="A100" t="s">
        <v>546</v>
      </c>
      <c r="B100" s="10">
        <v>512008335</v>
      </c>
    </row>
    <row r="101" spans="1:2" x14ac:dyDescent="0.3">
      <c r="A101" t="s">
        <v>557</v>
      </c>
      <c r="B101" s="10">
        <v>510142789</v>
      </c>
    </row>
    <row r="102" spans="1:2" x14ac:dyDescent="0.3">
      <c r="A102" t="s">
        <v>534</v>
      </c>
      <c r="B102" s="10">
        <v>520028556</v>
      </c>
    </row>
    <row r="103" spans="1:2" x14ac:dyDescent="0.3">
      <c r="A103" t="s">
        <v>524</v>
      </c>
      <c r="B103" s="10">
        <v>520030693</v>
      </c>
    </row>
    <row r="104" spans="1:2" x14ac:dyDescent="0.3">
      <c r="A104" t="s">
        <v>548</v>
      </c>
      <c r="B104" s="10">
        <v>520042573</v>
      </c>
    </row>
    <row r="105" spans="1:2" x14ac:dyDescent="0.3">
      <c r="A105" t="s">
        <v>552</v>
      </c>
      <c r="B105" s="10">
        <v>511423048</v>
      </c>
    </row>
    <row r="106" spans="1:2" x14ac:dyDescent="0.3">
      <c r="A106" t="s">
        <v>517</v>
      </c>
      <c r="B106" s="10">
        <v>570011767</v>
      </c>
    </row>
    <row r="107" spans="1:2" x14ac:dyDescent="0.3">
      <c r="A107" t="s">
        <v>1151</v>
      </c>
      <c r="B107" s="10">
        <v>512065202</v>
      </c>
    </row>
    <row r="108" spans="1:2" x14ac:dyDescent="0.3">
      <c r="A108" t="s">
        <v>1152</v>
      </c>
      <c r="B108" s="10">
        <v>512711409</v>
      </c>
    </row>
    <row r="109" spans="1:2" x14ac:dyDescent="0.3">
      <c r="A109" t="s">
        <v>1153</v>
      </c>
      <c r="B109" s="10">
        <v>520005497</v>
      </c>
    </row>
    <row r="110" spans="1:2" x14ac:dyDescent="0.3">
      <c r="A110" t="s">
        <v>1154</v>
      </c>
      <c r="B110" s="10">
        <v>570024109</v>
      </c>
    </row>
    <row r="111" spans="1:2" x14ac:dyDescent="0.3">
      <c r="A111" t="s">
        <v>555</v>
      </c>
      <c r="B111" s="10">
        <v>520020447</v>
      </c>
    </row>
    <row r="112" spans="1:2" x14ac:dyDescent="0.3">
      <c r="A112" t="s">
        <v>553</v>
      </c>
      <c r="B112" s="10">
        <v>520023094</v>
      </c>
    </row>
    <row r="113" spans="1:2" x14ac:dyDescent="0.3">
      <c r="A113" t="s">
        <v>556</v>
      </c>
      <c r="B113" s="10">
        <v>520028812</v>
      </c>
    </row>
    <row r="114" spans="1:2" x14ac:dyDescent="0.3">
      <c r="A114" t="s">
        <v>554</v>
      </c>
      <c r="B114" s="10">
        <v>520022963</v>
      </c>
    </row>
    <row r="115" spans="1:2" x14ac:dyDescent="0.3">
      <c r="A115" t="s">
        <v>532</v>
      </c>
      <c r="B115" s="10">
        <v>520027251</v>
      </c>
    </row>
    <row r="116" spans="1:2" x14ac:dyDescent="0.3">
      <c r="A116" t="s">
        <v>533</v>
      </c>
      <c r="B116" s="10">
        <v>520028390</v>
      </c>
    </row>
    <row r="117" spans="1:2" x14ac:dyDescent="0.3">
      <c r="A117" t="s">
        <v>1155</v>
      </c>
      <c r="B117" s="10">
        <v>513026484</v>
      </c>
    </row>
    <row r="118" spans="1:2" x14ac:dyDescent="0.3">
      <c r="A118" t="s">
        <v>520</v>
      </c>
      <c r="B118" s="10">
        <v>513173393</v>
      </c>
    </row>
    <row r="119" spans="1:2" x14ac:dyDescent="0.3">
      <c r="A119" t="s">
        <v>528</v>
      </c>
      <c r="B119" s="10">
        <v>513452003</v>
      </c>
    </row>
    <row r="120" spans="1:2" x14ac:dyDescent="0.3">
      <c r="A120" t="s">
        <v>519</v>
      </c>
      <c r="B120" s="10">
        <v>513611509</v>
      </c>
    </row>
    <row r="121" spans="1:2" x14ac:dyDescent="0.3">
      <c r="A121" t="s">
        <v>773</v>
      </c>
      <c r="B121" s="10">
        <v>513621110</v>
      </c>
    </row>
    <row r="122" spans="1:2" x14ac:dyDescent="0.3">
      <c r="A122" t="s">
        <v>516</v>
      </c>
      <c r="B122">
        <v>512244146</v>
      </c>
    </row>
    <row r="123" spans="1:2" x14ac:dyDescent="0.3">
      <c r="A123" t="s">
        <v>521</v>
      </c>
      <c r="B123" s="10">
        <v>512237744</v>
      </c>
    </row>
    <row r="124" spans="1:2" x14ac:dyDescent="0.3">
      <c r="A124" t="s">
        <v>536</v>
      </c>
      <c r="B124" s="10">
        <v>512267592</v>
      </c>
    </row>
    <row r="125" spans="1:2" x14ac:dyDescent="0.3">
      <c r="A125" t="s">
        <v>1156</v>
      </c>
      <c r="B125" s="10">
        <v>514767490</v>
      </c>
    </row>
    <row r="126" spans="1:2" x14ac:dyDescent="0.3">
      <c r="A126" t="s">
        <v>774</v>
      </c>
      <c r="B126" s="10">
        <v>514956465</v>
      </c>
    </row>
    <row r="127" spans="1:2" x14ac:dyDescent="0.3">
      <c r="A127" t="s">
        <v>525</v>
      </c>
      <c r="B127" s="10">
        <v>512245812</v>
      </c>
    </row>
    <row r="128" spans="1:2" x14ac:dyDescent="0.3">
      <c r="A128" t="s">
        <v>1157</v>
      </c>
      <c r="B128" s="10">
        <v>515447035</v>
      </c>
    </row>
    <row r="129" spans="1:2" x14ac:dyDescent="0.3">
      <c r="A129" t="s">
        <v>1158</v>
      </c>
      <c r="B129" s="10">
        <v>516463635</v>
      </c>
    </row>
    <row r="130" spans="1:2" x14ac:dyDescent="0.3">
      <c r="A130" t="s">
        <v>1159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Avishai Fridson</cp:lastModifiedBy>
  <cp:lastPrinted>2022-08-08T09:16:18Z</cp:lastPrinted>
  <dcterms:created xsi:type="dcterms:W3CDTF">2021-05-03T04:41:48Z</dcterms:created>
  <dcterms:modified xsi:type="dcterms:W3CDTF">2026-08-28T09:42:50Z</dcterms:modified>
</cp:coreProperties>
</file>