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הנגשות\"/>
    </mc:Choice>
  </mc:AlternateContent>
  <xr:revisionPtr revIDLastSave="0" documentId="13_ncr:1_{11704AEB-CDAC-4C21-82BC-DE58D45E2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נספח 1" sheetId="1" r:id="rId1"/>
    <sheet name="נספח 2" sheetId="2" r:id="rId2"/>
    <sheet name="נספח 3 א" sheetId="3" r:id="rId3"/>
    <sheet name="נספח 3 ב" sheetId="4" r:id="rId4"/>
    <sheet name="נספח 3 ג" sheetId="5" r:id="rId5"/>
    <sheet name="נספח 4" sheetId="6" r:id="rId6"/>
  </sheets>
  <definedNames>
    <definedName name="_xlnm._FilterDatabase" localSheetId="4" hidden="1">'נספח 3 ג'!$A$11:$G$27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I32" i="2"/>
  <c r="J32" i="2"/>
  <c r="G18" i="4" l="1"/>
  <c r="F19" i="1"/>
  <c r="F22" i="1" s="1"/>
  <c r="C22" i="1" l="1"/>
  <c r="B22" i="1"/>
  <c r="I22" i="1" l="1"/>
  <c r="H22" i="1"/>
  <c r="G26" i="5" l="1"/>
  <c r="I52" i="2" l="1"/>
  <c r="G27" i="5"/>
  <c r="J52" i="2" l="1"/>
  <c r="J51" i="2"/>
  <c r="I51" i="2"/>
  <c r="G37" i="4"/>
  <c r="G38" i="4"/>
</calcChain>
</file>

<file path=xl/sharedStrings.xml><?xml version="1.0" encoding="utf-8"?>
<sst xmlns="http://schemas.openxmlformats.org/spreadsheetml/2006/main" count="1151" uniqueCount="129">
  <si>
    <t>סה"כ היקף עסקאות לפי שם צד קשור</t>
  </si>
  <si>
    <t>יתרות השקעות לסוף התקופה</t>
  </si>
  <si>
    <t>שיעור מסך נכסי ההשקעה</t>
  </si>
  <si>
    <t>באלפי ש"ח</t>
  </si>
  <si>
    <t>אחוזים</t>
  </si>
  <si>
    <t>נספח 2</t>
  </si>
  <si>
    <t>עסקאות</t>
  </si>
  <si>
    <t>עסקאות שבוצעו בבורסה, 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</si>
  <si>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</si>
  <si>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</si>
  <si>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רכישות</t>
  </si>
  <si>
    <t>מכירות (-)</t>
  </si>
  <si>
    <t>נספח 3א</t>
  </si>
  <si>
    <t>נספח 3ב</t>
  </si>
  <si>
    <t>נספח 3ג</t>
  </si>
  <si>
    <t>רכישת ני"ע בהנפקות באמצעות צד קשור (חתם או מי ששווק את ההנפקה)</t>
  </si>
  <si>
    <t>נספח 4</t>
  </si>
  <si>
    <t>מספר נייר ערך</t>
  </si>
  <si>
    <t>דירוג</t>
  </si>
  <si>
    <t>שם המדרג</t>
  </si>
  <si>
    <t xml:space="preserve">שיעור ריבית </t>
  </si>
  <si>
    <t>מח"מ</t>
  </si>
  <si>
    <t>תשואה לפדיון</t>
  </si>
  <si>
    <t>שווי עסקאות המכירה (-)</t>
  </si>
  <si>
    <t>שווי עסקאות הרכישה</t>
  </si>
  <si>
    <t>תאריך</t>
  </si>
  <si>
    <t>שער בורסה בסוף יום המסחר</t>
  </si>
  <si>
    <t>שער העיסקה (2)</t>
  </si>
  <si>
    <t>שווי העיסקה (רכישה\ מכירה* ) (1)*(2)</t>
  </si>
  <si>
    <t>תאריך ההנפקה</t>
  </si>
  <si>
    <t>שיעור מהערך הנקוב המונפק</t>
  </si>
  <si>
    <t>שווי עסקת הרכישה</t>
  </si>
  <si>
    <t>שם החתם הקשור</t>
  </si>
  <si>
    <t>אלפי ש"ח</t>
  </si>
  <si>
    <t>שנים</t>
  </si>
  <si>
    <t>שם צד הקשור</t>
  </si>
  <si>
    <t>א. עסקאות מחוץ לבורסה ועסקאות מתואמות בבורסה</t>
  </si>
  <si>
    <t>שיעור מהערך הנקוב המונפק (1)</t>
  </si>
  <si>
    <t>ניירות ערך סחירים</t>
  </si>
  <si>
    <t>מניות</t>
  </si>
  <si>
    <t>ניירות ערך אחרים</t>
  </si>
  <si>
    <t>א. ניירות ערך סחירים</t>
  </si>
  <si>
    <t>(1) אגרות חוב קונצרניות סחירות</t>
  </si>
  <si>
    <t>(2) מניות וניירות ערך אחרים</t>
  </si>
  <si>
    <t>סה"כ ניירות ערך סחירים</t>
  </si>
  <si>
    <t>ב. ניירות ערך לא סחירים</t>
  </si>
  <si>
    <t>(1) אגרות חוב קונצרניות</t>
  </si>
  <si>
    <t>איגרת א'</t>
  </si>
  <si>
    <t>איגרת ב'</t>
  </si>
  <si>
    <t>סה"כ ניירות ערך לא סחירים</t>
  </si>
  <si>
    <t>סה"כ רכישות</t>
  </si>
  <si>
    <t>(1) אגרות חוב ממשלתיות סחירות לרבות מול עושה שוק (רכישות- סיכום מצרפי)</t>
  </si>
  <si>
    <t>(2) אגרות חוב ממשלתיות סחירות לרבות מול עושה שוק (מכירות- סיכום מצרפי)</t>
  </si>
  <si>
    <t>(3)אגרות חוב קונצרניות סחירות</t>
  </si>
  <si>
    <t>תעודות סל</t>
  </si>
  <si>
    <t>שם הנכס</t>
  </si>
  <si>
    <t>(4) מניות וניירות ערך אחרים</t>
  </si>
  <si>
    <t>ב. עיסקאות בנכסים אחרים לא סחירים</t>
  </si>
  <si>
    <t xml:space="preserve">סה"כ היקף עיסקאות מול צד קשור </t>
  </si>
  <si>
    <t>סה"כ היקף עיסקאות מול כל הצדדים הקשורים</t>
  </si>
  <si>
    <t>שיעור ריבית</t>
  </si>
  <si>
    <t>שווי העיסקה (רכישה / מכירה*)</t>
  </si>
  <si>
    <t>א. ניירות ערך לא סחירים</t>
  </si>
  <si>
    <t>(1) אגרות חוב קונצרניות לא סחירות</t>
  </si>
  <si>
    <t>ב. פקדונות מעל 3 חודשים</t>
  </si>
  <si>
    <t>סה"כ פקדונות מעל 3 חודשים</t>
  </si>
  <si>
    <t>ג. הלוואות</t>
  </si>
  <si>
    <t>סה"כ הלוואות</t>
  </si>
  <si>
    <t>ד. נכסים אחרים</t>
  </si>
  <si>
    <t>פיקדון א'</t>
  </si>
  <si>
    <t>פיקדון ב'</t>
  </si>
  <si>
    <t>(1) מובטחות</t>
  </si>
  <si>
    <t>(2) לא מובטחות</t>
  </si>
  <si>
    <t>(1) סיכום מצרפי - רכישת מזומנים ופקדונות עד שלושה חודשים</t>
  </si>
  <si>
    <t>סיכום מצרפי - פדיונות של מזומנים ופיקדונות עד שלושה חודשים</t>
  </si>
  <si>
    <t>(2) נכסים אחרים שלא הוגדרו בסעיפים לעיל</t>
  </si>
  <si>
    <t>נכס א'</t>
  </si>
  <si>
    <t>נכס ב'</t>
  </si>
  <si>
    <t>סה"כ נכסים אחרים</t>
  </si>
  <si>
    <t>כתבי אופציות, אופציות וחוזים עתידיים</t>
  </si>
  <si>
    <t>קרנות השקעה וניירות ערך אחרים</t>
  </si>
  <si>
    <t>אופציות, כתבי אופציה וחוזים עתידיים</t>
  </si>
  <si>
    <t>אופציות, כתבי אופציות וחוזים עתידיים</t>
  </si>
  <si>
    <t xml:space="preserve">סה"כ היקף עסקאות לצורך רכישה או מכירה של ני"ע של צד קשור </t>
  </si>
  <si>
    <t>סה"כ היקף עסקאות לצורך רכישה או מכירה של ני"ע של כל הצדדים הקשורים</t>
  </si>
  <si>
    <t>ערך שוק / שווי הוגן / שווי בספרים</t>
  </si>
  <si>
    <t>ג. פקדונות מעל 3 חודשים</t>
  </si>
  <si>
    <t>ד. הלוואות</t>
  </si>
  <si>
    <t>ה. נכסים אחרים</t>
  </si>
  <si>
    <t>(1) מזומנים ושווה מזומנים (סיכום מצרפי - פקדונות עד שלושה חודשים)</t>
  </si>
  <si>
    <t xml:space="preserve">סה"כ השקעה בצד קשור </t>
  </si>
  <si>
    <t>סה"כ השקעה בכל הצדדים הקשורים</t>
  </si>
  <si>
    <t>הלוואות ליחידים</t>
  </si>
  <si>
    <t xml:space="preserve">סה"כ </t>
  </si>
  <si>
    <t>נספח 1 - צדדים קשורים - יתרות ועסקאות לשנה המסתיימת ביום 31.12.2025 (נתונים מצרפים)</t>
  </si>
  <si>
    <t>נספח 2 - צדדים קשורים - יתרות השקעה לשנה המסתיימת ביום 31.12.2025</t>
  </si>
  <si>
    <t>נספח 3א - צדדים קשורים - עסקאות שבוצעו בבורסה, בבורסת חוץ או שוק מוסדר לרכישת או מכירת ני"ע סחירים של צד קשור לשנה המסתיימת ביום 31.12.2025</t>
  </si>
  <si>
    <t>נספח 3ב - עסקאות שבוצעו לצורך השקעה בנכסים לא סחירים של צד קשור לשנה המסתיימת ביום 31.12.2025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</si>
  <si>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31.12.2025</t>
  </si>
  <si>
    <t>נספח 4 - רכישת נייר ערך בהנפקות באמצעות חתם קשור או באמצעות צד קשור ששיווק את ההנפקה לשנה המסתיימת ביום 31.12.2025</t>
  </si>
  <si>
    <t>MORE 8/23</t>
  </si>
  <si>
    <t>MORE 10/24</t>
  </si>
  <si>
    <t>FSK 7 7/8 01/15/29</t>
  </si>
  <si>
    <t>FSK 6 7/8 08/15</t>
  </si>
  <si>
    <t>ISRAEL 5 5/8 02/19/35</t>
  </si>
  <si>
    <t xml:space="preserve">MORE 3/23      </t>
  </si>
  <si>
    <t>1L MORE ALT USD</t>
  </si>
  <si>
    <t>ENOIGA 8   09/3</t>
  </si>
  <si>
    <t>GM 5.85 04/06/3</t>
  </si>
  <si>
    <t>GM 6.4 01/09/33</t>
  </si>
  <si>
    <t>MORE 2/23</t>
  </si>
  <si>
    <t xml:space="preserve">1L MORE 11     </t>
  </si>
  <si>
    <t xml:space="preserve">מור קופות גמל ופנסיה בע"מ - אפיק מבטיח תשואה                         </t>
  </si>
  <si>
    <t xml:space="preserve">מור קופות גמל ופנסיה בע"מ - אפיק מבטיח תשואה              </t>
  </si>
  <si>
    <t xml:space="preserve">מור קופות גמל ופנסיה בע"מ - אפיק מבטיח תשואה                                              </t>
  </si>
  <si>
    <t xml:space="preserve">מור קופות גמל ופנסיה בע"מ - אפיק מבטיח תשואה                                       </t>
  </si>
  <si>
    <t>IL0011971442</t>
  </si>
  <si>
    <t>US46514Y8B63</t>
  </si>
  <si>
    <t>US302635AM98</t>
  </si>
  <si>
    <t>US37045XEG79</t>
  </si>
  <si>
    <t>US302635AN71</t>
  </si>
  <si>
    <t>US37045XED49</t>
  </si>
  <si>
    <t xml:space="preserve">MORE MAGNA AM LTD </t>
  </si>
  <si>
    <t>Column1</t>
  </si>
  <si>
    <t>Column2</t>
  </si>
  <si>
    <t>Column3</t>
  </si>
  <si>
    <t>Column4</t>
  </si>
  <si>
    <t>Column5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</si>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</sst>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_ ;\-#,##0.00\ "/>
    <numFmt numFmtId="167" formatCode="0.0000"/>
    <numFmt numFmtId="168" formatCode=";;;"/>
  </numFmts>
  <fonts count="12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222222"/>
      <name val="Arial"/>
      <family val="2"/>
    </font>
    <font>
      <b/>
      <sz val="10"/>
      <color rgb="FF454545"/>
      <name val="Arial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  <charset val="177"/>
    </font>
    <font>
      <b/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b/>
      <sz val="14"/>
      <color rgb="FF222222"/>
      <name val="Arial"/>
      <family val="2"/>
      <charset val="177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4" fontId="0" fillId="0" borderId="1" xfId="0" applyNumberForma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67" fontId="0" fillId="0" borderId="1" xfId="0" applyNumberFormat="1" applyBorder="1"/>
    <xf numFmtId="0" fontId="8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top" indent="1"/>
    </xf>
    <xf numFmtId="165" fontId="2" fillId="0" borderId="1" xfId="0" applyNumberFormat="1" applyFont="1" applyBorder="1" applyAlignment="1">
      <alignment horizontal="right" vertical="center"/>
    </xf>
    <xf numFmtId="165" fontId="0" fillId="0" borderId="1" xfId="1" applyNumberFormat="1" applyFont="1" applyFill="1" applyBorder="1"/>
    <xf numFmtId="10" fontId="1" fillId="0" borderId="1" xfId="2" applyNumberFormat="1" applyFont="1" applyFill="1" applyBorder="1" applyAlignment="1">
      <alignment horizontal="center" vertical="center"/>
    </xf>
    <xf numFmtId="164" fontId="1" fillId="0" borderId="1" xfId="1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 vertical="top"/>
    </xf>
    <xf numFmtId="10" fontId="8" fillId="0" borderId="1" xfId="2" applyNumberFormat="1" applyFont="1" applyFill="1" applyBorder="1" applyAlignment="1">
      <alignment horizontal="center" vertical="top"/>
    </xf>
    <xf numFmtId="164" fontId="2" fillId="0" borderId="1" xfId="1" applyFont="1" applyBorder="1" applyAlignment="1">
      <alignment horizontal="center" vertical="center"/>
    </xf>
    <xf numFmtId="164" fontId="0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/>
    <xf numFmtId="0" fontId="2" fillId="0" borderId="0" xfId="0" applyFont="1" applyAlignment="1">
      <alignment horizontal="right" vertical="center"/>
    </xf>
    <xf numFmtId="0" fontId="5" fillId="0" borderId="0" xfId="0" applyFont="1"/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4" fontId="0" fillId="0" borderId="2" xfId="0" applyNumberFormat="1" applyBorder="1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5" fillId="3" borderId="5" xfId="0" applyFont="1" applyFill="1" applyBorder="1"/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68" fontId="5" fillId="3" borderId="2" xfId="0" applyNumberFormat="1" applyFont="1" applyFill="1" applyBorder="1"/>
    <xf numFmtId="168" fontId="2" fillId="3" borderId="1" xfId="0" applyNumberFormat="1" applyFont="1" applyFill="1" applyBorder="1" applyAlignment="1">
      <alignment horizontal="center" wrapText="1"/>
    </xf>
    <xf numFmtId="168" fontId="2" fillId="3" borderId="1" xfId="0" applyNumberFormat="1" applyFont="1" applyFill="1" applyBorder="1" applyAlignment="1">
      <alignment horizontal="center"/>
    </xf>
    <xf numFmtId="168" fontId="5" fillId="3" borderId="1" xfId="0" applyNumberFormat="1" applyFont="1" applyFill="1" applyBorder="1"/>
    <xf numFmtId="168" fontId="2" fillId="3" borderId="3" xfId="0" applyNumberFormat="1" applyFont="1" applyFill="1" applyBorder="1" applyAlignment="1">
      <alignment horizontal="center" wrapText="1"/>
    </xf>
    <xf numFmtId="168" fontId="5" fillId="3" borderId="1" xfId="0" applyNumberFormat="1" applyFont="1" applyFill="1" applyBorder="1" applyAlignment="1">
      <alignment wrapText="1"/>
    </xf>
    <xf numFmtId="168" fontId="5" fillId="3" borderId="3" xfId="0" applyNumberFormat="1" applyFont="1" applyFill="1" applyBorder="1"/>
    <xf numFmtId="168" fontId="0" fillId="0" borderId="1" xfId="0" applyNumberFormat="1" applyBorder="1"/>
    <xf numFmtId="168" fontId="0" fillId="0" borderId="3" xfId="0" applyNumberFormat="1" applyBorder="1"/>
    <xf numFmtId="168" fontId="0" fillId="0" borderId="1" xfId="0" applyNumberFormat="1" applyBorder="1" applyAlignment="1">
      <alignment horizontal="center"/>
    </xf>
    <xf numFmtId="168" fontId="0" fillId="0" borderId="0" xfId="0" applyNumberFormat="1"/>
    <xf numFmtId="168" fontId="2" fillId="3" borderId="1" xfId="0" applyNumberFormat="1" applyFont="1" applyFill="1" applyBorder="1" applyAlignment="1">
      <alignment horizontal="center" vertical="center"/>
    </xf>
    <xf numFmtId="168" fontId="2" fillId="3" borderId="3" xfId="0" applyNumberFormat="1" applyFont="1" applyFill="1" applyBorder="1" applyAlignment="1">
      <alignment horizontal="center" vertical="center"/>
    </xf>
    <xf numFmtId="168" fontId="0" fillId="0" borderId="8" xfId="0" applyNumberFormat="1" applyBorder="1"/>
    <xf numFmtId="168" fontId="0" fillId="0" borderId="9" xfId="0" applyNumberFormat="1" applyBorder="1"/>
    <xf numFmtId="0" fontId="8" fillId="2" borderId="2" xfId="0" applyFont="1" applyFill="1" applyBorder="1" applyAlignment="1">
      <alignment horizontal="right" vertical="top"/>
    </xf>
    <xf numFmtId="0" fontId="8" fillId="2" borderId="2" xfId="0" applyFont="1" applyFill="1" applyBorder="1" applyAlignment="1">
      <alignment horizontal="right" vertical="top" indent="1" readingOrder="2"/>
    </xf>
    <xf numFmtId="0" fontId="1" fillId="2" borderId="2" xfId="0" applyFont="1" applyFill="1" applyBorder="1" applyAlignment="1">
      <alignment horizontal="right" vertical="top" indent="2" readingOrder="2"/>
    </xf>
    <xf numFmtId="0" fontId="8" fillId="2" borderId="2" xfId="0" applyFont="1" applyFill="1" applyBorder="1" applyAlignment="1">
      <alignment horizontal="right" vertical="top" indent="1"/>
    </xf>
    <xf numFmtId="0" fontId="9" fillId="2" borderId="2" xfId="0" applyFont="1" applyFill="1" applyBorder="1" applyAlignment="1">
      <alignment horizontal="right" vertical="top" indent="2" readingOrder="2"/>
    </xf>
    <xf numFmtId="0" fontId="9" fillId="0" borderId="2" xfId="0" applyFont="1" applyBorder="1" applyAlignment="1">
      <alignment horizontal="right" vertical="top" indent="2" readingOrder="2"/>
    </xf>
    <xf numFmtId="0" fontId="1" fillId="2" borderId="2" xfId="0" applyFont="1" applyFill="1" applyBorder="1" applyAlignment="1">
      <alignment horizontal="right" vertical="top" indent="2"/>
    </xf>
    <xf numFmtId="0" fontId="8" fillId="2" borderId="2" xfId="0" applyFont="1" applyFill="1" applyBorder="1" applyAlignment="1">
      <alignment horizontal="right" vertical="top" wrapText="1" indent="1" readingOrder="2"/>
    </xf>
    <xf numFmtId="0" fontId="2" fillId="2" borderId="3" xfId="0" applyFont="1" applyFill="1" applyBorder="1" applyAlignment="1">
      <alignment horizontal="center" vertical="center"/>
    </xf>
    <xf numFmtId="10" fontId="1" fillId="0" borderId="3" xfId="2" applyNumberFormat="1" applyFont="1" applyFill="1" applyBorder="1" applyAlignment="1">
      <alignment horizontal="center" vertical="center"/>
    </xf>
    <xf numFmtId="10" fontId="2" fillId="0" borderId="3" xfId="2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0" fontId="0" fillId="2" borderId="4" xfId="0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right" vertical="top"/>
    </xf>
    <xf numFmtId="164" fontId="2" fillId="0" borderId="8" xfId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168" fontId="0" fillId="2" borderId="2" xfId="0" applyNumberFormat="1" applyFill="1" applyBorder="1"/>
    <xf numFmtId="168" fontId="2" fillId="2" borderId="1" xfId="0" applyNumberFormat="1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right" vertical="top" indent="1"/>
    </xf>
    <xf numFmtId="168" fontId="8" fillId="0" borderId="1" xfId="0" applyNumberFormat="1" applyFont="1" applyBorder="1" applyAlignment="1">
      <alignment horizontal="right" vertical="top" indent="1"/>
    </xf>
    <xf numFmtId="168" fontId="8" fillId="2" borderId="2" xfId="0" applyNumberFormat="1" applyFont="1" applyFill="1" applyBorder="1" applyAlignment="1">
      <alignment horizontal="right" vertical="top"/>
    </xf>
    <xf numFmtId="168" fontId="8" fillId="2" borderId="2" xfId="0" applyNumberFormat="1" applyFont="1" applyFill="1" applyBorder="1" applyAlignment="1">
      <alignment horizontal="right" vertical="top" indent="1"/>
    </xf>
    <xf numFmtId="168" fontId="8" fillId="2" borderId="8" xfId="0" applyNumberFormat="1" applyFont="1" applyFill="1" applyBorder="1" applyAlignment="1">
      <alignment horizontal="right" vertical="top" indent="1"/>
    </xf>
    <xf numFmtId="0" fontId="8" fillId="2" borderId="2" xfId="0" applyFont="1" applyFill="1" applyBorder="1" applyAlignment="1">
      <alignment horizontal="right" vertical="top" readingOrder="2"/>
    </xf>
    <xf numFmtId="0" fontId="2" fillId="2" borderId="2" xfId="0" applyFont="1" applyFill="1" applyBorder="1" applyAlignment="1">
      <alignment horizontal="right" vertical="top" wrapText="1" readingOrder="2"/>
    </xf>
    <xf numFmtId="0" fontId="2" fillId="2" borderId="2" xfId="0" applyFont="1" applyFill="1" applyBorder="1" applyAlignment="1">
      <alignment horizontal="right" vertical="top" readingOrder="2"/>
    </xf>
    <xf numFmtId="0" fontId="2" fillId="2" borderId="7" xfId="0" applyFont="1" applyFill="1" applyBorder="1" applyAlignment="1">
      <alignment horizontal="right" vertical="top" wrapText="1" readingOrder="2"/>
    </xf>
    <xf numFmtId="168" fontId="2" fillId="2" borderId="3" xfId="0" applyNumberFormat="1" applyFont="1" applyFill="1" applyBorder="1" applyAlignment="1">
      <alignment horizontal="center"/>
    </xf>
    <xf numFmtId="168" fontId="1" fillId="2" borderId="2" xfId="0" applyNumberFormat="1" applyFont="1" applyFill="1" applyBorder="1" applyAlignment="1">
      <alignment horizontal="right" vertical="top" indent="2" readingOrder="2"/>
    </xf>
    <xf numFmtId="168" fontId="2" fillId="2" borderId="2" xfId="0" applyNumberFormat="1" applyFont="1" applyFill="1" applyBorder="1" applyAlignment="1">
      <alignment horizontal="right" vertical="top" readingOrder="2"/>
    </xf>
    <xf numFmtId="0" fontId="8" fillId="2" borderId="3" xfId="0" applyFont="1" applyFill="1" applyBorder="1" applyAlignment="1">
      <alignment horizontal="center" vertical="top"/>
    </xf>
    <xf numFmtId="164" fontId="8" fillId="0" borderId="3" xfId="1" applyFont="1" applyBorder="1" applyAlignment="1">
      <alignment horizontal="center" vertical="top"/>
    </xf>
    <xf numFmtId="0" fontId="7" fillId="2" borderId="4" xfId="0" applyFont="1" applyFill="1" applyBorder="1"/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64" fontId="8" fillId="0" borderId="9" xfId="1" applyFont="1" applyBorder="1" applyAlignment="1">
      <alignment horizontal="center" vertical="top"/>
    </xf>
    <xf numFmtId="168" fontId="8" fillId="2" borderId="2" xfId="0" applyNumberFormat="1" applyFont="1" applyFill="1" applyBorder="1" applyAlignment="1">
      <alignment horizontal="center" vertical="top"/>
    </xf>
    <xf numFmtId="168" fontId="8" fillId="2" borderId="1" xfId="0" applyNumberFormat="1" applyFont="1" applyFill="1" applyBorder="1" applyAlignment="1">
      <alignment horizontal="center" vertical="top"/>
    </xf>
    <xf numFmtId="168" fontId="8" fillId="0" borderId="1" xfId="0" applyNumberFormat="1" applyFont="1" applyBorder="1" applyAlignment="1">
      <alignment horizontal="center" vertical="top"/>
    </xf>
    <xf numFmtId="168" fontId="8" fillId="0" borderId="3" xfId="0" applyNumberFormat="1" applyFont="1" applyBorder="1" applyAlignment="1">
      <alignment horizontal="center" vertical="top"/>
    </xf>
    <xf numFmtId="168" fontId="8" fillId="2" borderId="1" xfId="0" applyNumberFormat="1" applyFont="1" applyFill="1" applyBorder="1" applyAlignment="1">
      <alignment horizontal="right" vertical="top"/>
    </xf>
    <xf numFmtId="168" fontId="8" fillId="0" borderId="1" xfId="0" applyNumberFormat="1" applyFont="1" applyBorder="1" applyAlignment="1">
      <alignment horizontal="right" vertical="top"/>
    </xf>
    <xf numFmtId="168" fontId="8" fillId="0" borderId="3" xfId="1" applyNumberFormat="1" applyFont="1" applyBorder="1" applyAlignment="1">
      <alignment horizontal="center" vertical="top"/>
    </xf>
    <xf numFmtId="168" fontId="8" fillId="2" borderId="8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top"/>
    </xf>
    <xf numFmtId="0" fontId="1" fillId="0" borderId="2" xfId="0" applyFont="1" applyBorder="1" applyAlignment="1">
      <alignment horizontal="left" vertical="top" indent="2" readingOrder="2"/>
    </xf>
    <xf numFmtId="0" fontId="4" fillId="2" borderId="3" xfId="0" applyFont="1" applyFill="1" applyBorder="1" applyAlignment="1">
      <alignment horizontal="center" vertical="top"/>
    </xf>
    <xf numFmtId="2" fontId="0" fillId="0" borderId="3" xfId="1" applyNumberFormat="1" applyFont="1" applyBorder="1"/>
    <xf numFmtId="2" fontId="0" fillId="0" borderId="3" xfId="1" applyNumberFormat="1" applyFont="1" applyFill="1" applyBorder="1"/>
    <xf numFmtId="164" fontId="5" fillId="0" borderId="3" xfId="0" applyNumberFormat="1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top" readingOrder="2"/>
    </xf>
    <xf numFmtId="164" fontId="5" fillId="0" borderId="9" xfId="0" applyNumberFormat="1" applyFont="1" applyBorder="1"/>
    <xf numFmtId="168" fontId="2" fillId="2" borderId="2" xfId="0" applyNumberFormat="1" applyFont="1" applyFill="1" applyBorder="1" applyAlignment="1">
      <alignment horizontal="center" vertical="top"/>
    </xf>
    <xf numFmtId="168" fontId="4" fillId="2" borderId="1" xfId="0" applyNumberFormat="1" applyFont="1" applyFill="1" applyBorder="1" applyAlignment="1">
      <alignment horizontal="center" vertical="top"/>
    </xf>
    <xf numFmtId="168" fontId="4" fillId="2" borderId="1" xfId="0" applyNumberFormat="1" applyFont="1" applyFill="1" applyBorder="1" applyAlignment="1">
      <alignment horizontal="right" vertical="top" readingOrder="2"/>
    </xf>
    <xf numFmtId="168" fontId="4" fillId="2" borderId="8" xfId="0" applyNumberFormat="1" applyFont="1" applyFill="1" applyBorder="1" applyAlignment="1">
      <alignment horizontal="right" vertical="top" readingOrder="2"/>
    </xf>
    <xf numFmtId="0" fontId="8" fillId="2" borderId="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right" vertical="top" readingOrder="2"/>
    </xf>
    <xf numFmtId="168" fontId="7" fillId="0" borderId="1" xfId="0" applyNumberFormat="1" applyFont="1" applyBorder="1"/>
    <xf numFmtId="168" fontId="7" fillId="0" borderId="3" xfId="0" applyNumberFormat="1" applyFont="1" applyBorder="1"/>
    <xf numFmtId="168" fontId="8" fillId="2" borderId="1" xfId="0" applyNumberFormat="1" applyFont="1" applyFill="1" applyBorder="1" applyAlignment="1">
      <alignment horizontal="right" vertical="top" readingOrder="2"/>
    </xf>
    <xf numFmtId="168" fontId="8" fillId="2" borderId="2" xfId="0" applyNumberFormat="1" applyFont="1" applyFill="1" applyBorder="1" applyAlignment="1">
      <alignment horizontal="right" vertical="top" readingOrder="2"/>
    </xf>
    <xf numFmtId="168" fontId="8" fillId="2" borderId="8" xfId="0" applyNumberFormat="1" applyFont="1" applyFill="1" applyBorder="1" applyAlignment="1">
      <alignment horizontal="right" vertical="top" readingOrder="2"/>
    </xf>
    <xf numFmtId="168" fontId="7" fillId="0" borderId="9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6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charset val="177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54545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54545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54545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54545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54545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  <scheme val="none"/>
      </font>
      <fill>
        <patternFill patternType="solid">
          <fgColor indexed="64"/>
          <bgColor rgb="FFC0C0C0"/>
        </patternFill>
      </fill>
      <alignment horizontal="right" vertical="top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87086</xdr:colOff>
      <xdr:row>2</xdr:row>
      <xdr:rowOff>21771</xdr:rowOff>
    </xdr:from>
    <xdr:to>
      <xdr:col>11</xdr:col>
      <xdr:colOff>422366</xdr:colOff>
      <xdr:row>4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47638-3914-2E7E-7CF4-9899022EC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0558434" y="45720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F5B60-6D8C-49B2-B8B0-E2F5F0B9CE62}" name="TitleRegion1.a5.j22.1" displayName="TitleRegion1.a5.j22.1" ref="A5:J22" totalsRowShown="0" headerRowDxfId="52" headerRowBorderDxfId="63" tableBorderDxfId="64">
  <autoFilter ref="A5:J22" xr:uid="{791F5B60-6D8C-49B2-B8B0-E2F5F0B9C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8E6A703-A4D7-4BFF-A1DE-60B13A6602EA}" name="סה&quot;כ היקף עסקאות לפי שם צד קשור" dataDxfId="62"/>
    <tableColumn id="2" xr3:uid="{EF2F010D-BE78-425B-94B2-5E36BAEFC764}" name="יתרות השקעות לסוף התקופה" dataDxfId="61"/>
    <tableColumn id="3" xr3:uid="{44D60D82-B76D-4EB9-B28E-8C1838AC1B68}" name="שיעור מסך נכסי ההשקעה" dataDxfId="60" dataCellStyle="Percent"/>
    <tableColumn id="4" xr3:uid="{FC1842E1-E9FA-4713-B36E-F58D0E0FD9F4}" name="עסקאות" dataDxfId="59"/>
    <tableColumn id="5" xr3:uid="{17190B63-AC01-45F4-A4EC-BDA5DA292C55}" name="Column1" dataDxfId="58"/>
    <tableColumn id="6" xr3:uid="{3447BE69-410B-47A4-843F-9E99E51265E3}" name="Column2" dataDxfId="57"/>
    <tableColumn id="7" xr3:uid="{CBB64DDD-A5B7-4038-8ECD-4C6364EE06B0}" name="Column3" dataDxfId="56"/>
    <tableColumn id="8" xr3:uid="{022E976E-CB58-4D4E-8B02-EA131B296B99}" name="Column4" dataDxfId="55"/>
    <tableColumn id="9" xr3:uid="{891ECEA3-430F-4BDD-AF5A-4F6F8F4043BD}" name="Column5" dataDxfId="54"/>
    <tableColumn id="10" xr3:uid="{03F80A38-8288-462C-8A72-4F7264B55E04}" name="רכישת ני&quot;ע בהנפקות באמצעות צד קשור (חתם או מי ששווק את ההנפקה)" dataDxfId="53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495F97-049D-40D0-B9D8-69F5474CA5C6}" name="TitleRegion1.a4.j52.1" displayName="TitleRegion1.a4.j52.1" ref="A4:J52" totalsRowShown="0" headerRowDxfId="38" dataDxfId="39" headerRowBorderDxfId="50" tableBorderDxfId="51" totalsRowBorderDxfId="49">
  <autoFilter ref="A4:J52" xr:uid="{7B495F97-049D-40D0-B9D8-69F5474CA5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9495791-FE6D-4EB5-A83C-2746ADBF04D0}" name="Column1"/>
    <tableColumn id="2" xr3:uid="{5970437D-FA92-4E0A-8CD4-ADD5BF1DDC92}" name="מספר נייר ערך" dataDxfId="48"/>
    <tableColumn id="3" xr3:uid="{5CDECBFB-9F89-40C0-8F97-9632C052DEB8}" name="דירוג" dataDxfId="47"/>
    <tableColumn id="4" xr3:uid="{D5D33FBD-1CC2-4D23-8F76-75EFE8560AF8}" name="שם המדרג" dataDxfId="46"/>
    <tableColumn id="5" xr3:uid="{91C97409-57A9-4EC8-AFC8-0C5923908D5C}" name="שיעור ריבית " dataDxfId="45"/>
    <tableColumn id="6" xr3:uid="{0EB5F029-02A8-42E6-AE9F-D61364A2DB32}" name="מח&quot;מ" dataDxfId="44"/>
    <tableColumn id="7" xr3:uid="{D2A5F8B2-48C8-47EB-ABB2-9C3C0DC2ADFF}" name="תשואה לפדיון" dataDxfId="43"/>
    <tableColumn id="8" xr3:uid="{6E3A90A7-5966-4134-A3A5-C40964453628}" name="שיעור מהערך הנקוב המונפק" dataDxfId="42"/>
    <tableColumn id="9" xr3:uid="{4A7E6C2F-197F-4003-A593-8EA8C88B6D56}" name="ערך שוק / שווי הוגן / שווי בספרים" dataDxfId="41" dataCellStyle="Comma"/>
    <tableColumn id="10" xr3:uid="{AB6F6931-A877-410A-986B-EA584E4BB2C6}" name="שיעור מסך נכסי ההשקעה" dataDxfId="4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34A26C-568C-4E4D-941C-7302C6B62697}" name="TitleRegion1.a5.c20.1" displayName="TitleRegion1.a5.c20.1" ref="A5:C20" totalsRowShown="0" headerRowBorderDxfId="36" tableBorderDxfId="37" totalsRowBorderDxfId="35">
  <autoFilter ref="A5:C20" xr:uid="{ED34A26C-568C-4E4D-941C-7302C6B62697}">
    <filterColumn colId="0" hiddenButton="1"/>
    <filterColumn colId="1" hiddenButton="1"/>
    <filterColumn colId="2" hiddenButton="1"/>
  </autoFilter>
  <tableColumns count="3">
    <tableColumn id="1" xr3:uid="{EDFA4A9B-D711-47A3-86A3-D1A2831F11F6}" name="Column1"/>
    <tableColumn id="2" xr3:uid="{327C79C6-EBC5-4398-83C9-3BE185A122A3}" name="שווי עסקאות הרכישה" dataDxfId="34"/>
    <tableColumn id="3" xr3:uid="{58A17CB6-5488-4342-9144-F48789147514}" name="שווי עסקאות המכירה (-)" dataDxfId="33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56B66F-B4A6-4F0A-85D6-5D095241D925}" name="TitleRegion1.a5.g38.1" displayName="TitleRegion1.a5.g38.1" ref="A5:G38" totalsRowShown="0" headerRowDxfId="21" dataDxfId="22" headerRowBorderDxfId="31" tableBorderDxfId="32" totalsRowBorderDxfId="30">
  <autoFilter ref="A5:G38" xr:uid="{5E56B66F-B4A6-4F0A-85D6-5D095241D9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A407809-7EFA-45A4-AE5F-82F03CEAC3C7}" name="Column1" dataDxfId="29"/>
    <tableColumn id="2" xr3:uid="{DA52CE95-4B98-4C63-998C-D9A66F2EA2C1}" name="תאריך" dataDxfId="28"/>
    <tableColumn id="3" xr3:uid="{8C10C58D-C529-49EA-99E0-4EB278A512F7}" name="דירוג" dataDxfId="27"/>
    <tableColumn id="4" xr3:uid="{9243FAC9-73B0-4B9F-8C2A-18337DD29F72}" name="שם המדרג" dataDxfId="26"/>
    <tableColumn id="5" xr3:uid="{856C8D2E-DDA0-42ED-A8D0-915104C119EF}" name="שיעור ריבית" dataDxfId="25"/>
    <tableColumn id="6" xr3:uid="{CE1C261F-01FB-461B-9BF1-2696354C7F64}" name="שיעור מהערך הנקוב המונפק" dataDxfId="24"/>
    <tableColumn id="7" xr3:uid="{E9AE2F41-C1DD-4901-B80F-91188E0B73E2}" name="שווי העיסקה (רכישה / מכירה*)" dataDxfId="23" dataCellStyle="Comma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50C838-4993-462C-8E0E-1A15A3A4A03F}" name="TitleRegion1.a5.g27.1" displayName="TitleRegion1.a5.g27.1" ref="A5:G27" totalsRowShown="0" headerRowDxfId="9" dataDxfId="10" headerRowBorderDxfId="19" tableBorderDxfId="20" totalsRowBorderDxfId="18">
  <autoFilter ref="A5:G27" xr:uid="{D950C838-4993-462C-8E0E-1A15A3A4A0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93BB1C8-B7B1-4D1E-8DFF-E46849334AE6}" name="Column1" dataDxfId="17"/>
    <tableColumn id="2" xr3:uid="{F242FE8C-6A75-4ECF-8AF4-03F4942C0C47}" name="תאריך" dataDxfId="16"/>
    <tableColumn id="3" xr3:uid="{ACF3EF34-AE7C-47A2-8F00-72ABC4A479BD}" name="מספר נייר ערך" dataDxfId="15"/>
    <tableColumn id="4" xr3:uid="{08EF5876-D12D-41AF-8151-CD2BBF49ED24}" name="שיעור מהערך הנקוב המונפק (1)" dataDxfId="14"/>
    <tableColumn id="5" xr3:uid="{E28E7896-3CD4-4F8E-892D-DDD6B2220941}" name="שער בורסה בסוף יום המסחר" dataDxfId="13"/>
    <tableColumn id="6" xr3:uid="{4084BBE3-E4E2-497B-BD4B-A60611DEA794}" name="שער העיסקה (2)" dataDxfId="12"/>
    <tableColumn id="7" xr3:uid="{1D020B08-009A-4708-88E6-B62CEB99ADDD}" name="שווי העיסקה (רכישה\ מכירה* ) (1)*(2)" dataDxfId="11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8EBAE2-5399-4D50-A382-F8E135618B79}" name="TitleRegion1.a5.e26.1" displayName="TitleRegion1.a5.e26.1" ref="A5:E26" totalsRowShown="0" headerRowDxfId="0" dataDxfId="1" headerRowBorderDxfId="7" tableBorderDxfId="8" totalsRowBorderDxfId="6">
  <autoFilter ref="A5:E26" xr:uid="{518EBAE2-5399-4D50-A382-F8E135618B7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DF5425D-BA2C-4567-A4B2-A1DABC7DBBE9}" name="Column1"/>
    <tableColumn id="2" xr3:uid="{BF050343-E83E-4A2F-B21B-C8BF7C7D05CD}" name="תאריך ההנפקה" dataDxfId="5"/>
    <tableColumn id="3" xr3:uid="{D82D9AC3-B0B7-422A-BBD2-3CD59442E94A}" name="מספר נייר ערך" dataDxfId="4"/>
    <tableColumn id="4" xr3:uid="{6D878A2A-053B-48C4-B770-8E07596EA3D3}" name="שיעור מהערך הנקוב המונפק" dataDxfId="3"/>
    <tableColumn id="5" xr3:uid="{A6A591C7-F944-4113-98CD-792C834970EB}" name="שווי עסקת הרכישה" dataDxfId="2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70" zoomScaleNormal="70" workbookViewId="0">
      <selection activeCell="M7" sqref="M7"/>
    </sheetView>
  </sheetViews>
  <sheetFormatPr defaultRowHeight="12.75" customHeight="1" x14ac:dyDescent="0.25"/>
  <cols>
    <col min="1" max="1" width="31.109375" customWidth="1"/>
    <col min="2" max="2" width="25.21875" customWidth="1"/>
    <col min="3" max="3" width="22.5546875" customWidth="1"/>
    <col min="4" max="4" width="9.21875" customWidth="1"/>
    <col min="5" max="5" width="11.5546875" customWidth="1"/>
    <col min="6" max="6" width="12.6640625" bestFit="1" customWidth="1"/>
    <col min="7" max="7" width="11.5546875" customWidth="1"/>
    <col min="8" max="8" width="11.5546875" bestFit="1" customWidth="1"/>
    <col min="9" max="9" width="11.5546875" customWidth="1"/>
    <col min="10" max="10" width="58.77734375" customWidth="1"/>
  </cols>
  <sheetData>
    <row r="1" spans="1:13" ht="21" customHeight="1" x14ac:dyDescent="0.25">
      <c r="A1" s="25" t="s">
        <v>94</v>
      </c>
      <c r="B1" s="26"/>
      <c r="C1" s="26"/>
      <c r="D1" s="26"/>
      <c r="E1" s="26"/>
      <c r="F1" s="26"/>
      <c r="G1" s="26"/>
      <c r="H1" s="26"/>
      <c r="I1" s="26"/>
      <c r="J1" s="26"/>
    </row>
    <row r="2" spans="1:13" ht="12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3" ht="13.2" x14ac:dyDescent="0.25">
      <c r="A3" s="28" t="s">
        <v>112</v>
      </c>
      <c r="B3" s="29"/>
      <c r="C3" s="29"/>
      <c r="D3" s="29"/>
      <c r="E3" s="29"/>
      <c r="F3" s="29"/>
      <c r="G3" s="29"/>
      <c r="H3" s="29"/>
      <c r="I3" s="29"/>
      <c r="J3" s="29"/>
    </row>
    <row r="4" spans="1:13" ht="12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3" ht="26.4" x14ac:dyDescent="0.25">
      <c r="A5" s="36" t="s">
        <v>0</v>
      </c>
      <c r="B5" s="37" t="s">
        <v>1</v>
      </c>
      <c r="C5" s="38" t="s">
        <v>2</v>
      </c>
      <c r="D5" s="39" t="s">
        <v>6</v>
      </c>
      <c r="E5" s="40" t="s">
        <v>123</v>
      </c>
      <c r="F5" s="40" t="s">
        <v>124</v>
      </c>
      <c r="G5" s="40" t="s">
        <v>125</v>
      </c>
      <c r="H5" s="40" t="s">
        <v>126</v>
      </c>
      <c r="I5" s="40" t="s">
        <v>127</v>
      </c>
      <c r="J5" s="41" t="s">
        <v>15</v>
      </c>
    </row>
    <row r="6" spans="1:13" ht="13.2" x14ac:dyDescent="0.25">
      <c r="A6" s="45" t="s">
        <v>128</v>
      </c>
      <c r="B6" s="46" t="s">
        <v>128</v>
      </c>
      <c r="C6" s="47" t="s">
        <v>128</v>
      </c>
      <c r="D6" s="48" t="s">
        <v>128</v>
      </c>
      <c r="E6" s="48" t="s">
        <v>128</v>
      </c>
      <c r="F6" s="48" t="s">
        <v>128</v>
      </c>
      <c r="G6" s="48" t="s">
        <v>128</v>
      </c>
      <c r="H6" s="48" t="s">
        <v>128</v>
      </c>
      <c r="I6" s="48" t="s">
        <v>128</v>
      </c>
      <c r="J6" s="49" t="s">
        <v>128</v>
      </c>
    </row>
    <row r="7" spans="1:13" s="1" customFormat="1" ht="63" customHeight="1" x14ac:dyDescent="0.25">
      <c r="A7" s="45" t="s">
        <v>128</v>
      </c>
      <c r="B7" s="46" t="s">
        <v>128</v>
      </c>
      <c r="C7" s="47" t="s">
        <v>128</v>
      </c>
      <c r="D7" s="23" t="s">
        <v>7</v>
      </c>
      <c r="E7" s="50" t="s">
        <v>128</v>
      </c>
      <c r="F7" s="23" t="s">
        <v>8</v>
      </c>
      <c r="G7" s="50" t="s">
        <v>128</v>
      </c>
      <c r="H7" s="23" t="s">
        <v>9</v>
      </c>
      <c r="I7" s="50" t="s">
        <v>128</v>
      </c>
      <c r="J7" s="49" t="s">
        <v>128</v>
      </c>
      <c r="M7"/>
    </row>
    <row r="8" spans="1:13" ht="13.2" x14ac:dyDescent="0.25">
      <c r="A8" s="45" t="s">
        <v>128</v>
      </c>
      <c r="B8" s="46" t="s">
        <v>128</v>
      </c>
      <c r="C8" s="47" t="s">
        <v>128</v>
      </c>
      <c r="D8" s="13" t="s">
        <v>10</v>
      </c>
      <c r="E8" s="13" t="s">
        <v>11</v>
      </c>
      <c r="F8" s="13" t="s">
        <v>10</v>
      </c>
      <c r="G8" s="13" t="s">
        <v>11</v>
      </c>
      <c r="H8" s="13" t="s">
        <v>10</v>
      </c>
      <c r="I8" s="13" t="s">
        <v>11</v>
      </c>
      <c r="J8" s="49" t="s">
        <v>128</v>
      </c>
    </row>
    <row r="9" spans="1:13" ht="13.2" x14ac:dyDescent="0.25">
      <c r="A9" s="45" t="s">
        <v>128</v>
      </c>
      <c r="B9" s="46" t="s">
        <v>128</v>
      </c>
      <c r="C9" s="47" t="s">
        <v>128</v>
      </c>
      <c r="D9" s="48" t="s">
        <v>128</v>
      </c>
      <c r="E9" s="48" t="s">
        <v>128</v>
      </c>
      <c r="F9" s="48" t="s">
        <v>128</v>
      </c>
      <c r="G9" s="48" t="s">
        <v>128</v>
      </c>
      <c r="H9" s="48" t="s">
        <v>128</v>
      </c>
      <c r="I9" s="48" t="s">
        <v>128</v>
      </c>
      <c r="J9" s="49" t="s">
        <v>128</v>
      </c>
    </row>
    <row r="10" spans="1:13" ht="13.2" x14ac:dyDescent="0.25">
      <c r="A10" s="45" t="s">
        <v>128</v>
      </c>
      <c r="B10" s="13" t="s">
        <v>3</v>
      </c>
      <c r="C10" s="13" t="s">
        <v>4</v>
      </c>
      <c r="D10" s="13" t="s">
        <v>3</v>
      </c>
      <c r="E10" s="48" t="s">
        <v>128</v>
      </c>
      <c r="F10" s="13" t="s">
        <v>3</v>
      </c>
      <c r="G10" s="48" t="s">
        <v>128</v>
      </c>
      <c r="H10" s="13" t="s">
        <v>3</v>
      </c>
      <c r="I10" s="48" t="s">
        <v>128</v>
      </c>
      <c r="J10" s="35" t="s">
        <v>3</v>
      </c>
    </row>
    <row r="11" spans="1:13" ht="13.2" x14ac:dyDescent="0.25">
      <c r="A11" s="45" t="s">
        <v>128</v>
      </c>
      <c r="B11" s="48" t="s">
        <v>128</v>
      </c>
      <c r="C11" s="48" t="s">
        <v>128</v>
      </c>
      <c r="D11" s="48" t="s">
        <v>128</v>
      </c>
      <c r="E11" s="48" t="s">
        <v>128</v>
      </c>
      <c r="F11" s="48" t="s">
        <v>128</v>
      </c>
      <c r="G11" s="48" t="s">
        <v>128</v>
      </c>
      <c r="H11" s="48" t="s">
        <v>128</v>
      </c>
      <c r="I11" s="48" t="s">
        <v>128</v>
      </c>
      <c r="J11" s="51" t="s">
        <v>128</v>
      </c>
    </row>
    <row r="12" spans="1:13" ht="13.2" x14ac:dyDescent="0.25">
      <c r="A12" s="45" t="s">
        <v>128</v>
      </c>
      <c r="B12" s="13" t="s">
        <v>5</v>
      </c>
      <c r="C12" s="48" t="s">
        <v>128</v>
      </c>
      <c r="D12" s="13" t="s">
        <v>12</v>
      </c>
      <c r="E12" s="48" t="s">
        <v>128</v>
      </c>
      <c r="F12" s="13" t="s">
        <v>13</v>
      </c>
      <c r="G12" s="48" t="s">
        <v>128</v>
      </c>
      <c r="H12" s="13" t="s">
        <v>14</v>
      </c>
      <c r="I12" s="48" t="s">
        <v>128</v>
      </c>
      <c r="J12" s="35" t="s">
        <v>16</v>
      </c>
    </row>
    <row r="13" spans="1:13" ht="13.2" x14ac:dyDescent="0.25">
      <c r="A13" s="45" t="s">
        <v>128</v>
      </c>
      <c r="B13" s="48" t="s">
        <v>128</v>
      </c>
      <c r="C13" s="48" t="s">
        <v>128</v>
      </c>
      <c r="D13" s="48" t="s">
        <v>128</v>
      </c>
      <c r="E13" s="48" t="s">
        <v>128</v>
      </c>
      <c r="F13" s="48" t="s">
        <v>128</v>
      </c>
      <c r="G13" s="48" t="s">
        <v>128</v>
      </c>
      <c r="H13" s="48" t="s">
        <v>128</v>
      </c>
      <c r="I13" s="48" t="s">
        <v>128</v>
      </c>
      <c r="J13" s="51" t="s">
        <v>128</v>
      </c>
    </row>
    <row r="14" spans="1:13" ht="12.75" customHeight="1" x14ac:dyDescent="0.25">
      <c r="A14" s="33" t="s">
        <v>122</v>
      </c>
      <c r="B14" s="52" t="s">
        <v>128</v>
      </c>
      <c r="C14" s="52" t="s">
        <v>128</v>
      </c>
      <c r="D14" s="52" t="s">
        <v>128</v>
      </c>
      <c r="E14" s="52" t="s">
        <v>128</v>
      </c>
      <c r="F14" s="52" t="s">
        <v>128</v>
      </c>
      <c r="G14" s="52" t="s">
        <v>128</v>
      </c>
      <c r="H14" s="5">
        <v>2088.8101956</v>
      </c>
      <c r="I14" s="5">
        <v>-1649.5851600999999</v>
      </c>
      <c r="J14" s="53" t="s">
        <v>128</v>
      </c>
    </row>
    <row r="15" spans="1:13" ht="12.75" customHeight="1" x14ac:dyDescent="0.25">
      <c r="A15" s="33" t="s">
        <v>110</v>
      </c>
      <c r="B15" s="5">
        <v>1043.7380000000001</v>
      </c>
      <c r="C15" s="7">
        <v>2.4219659984297135E-4</v>
      </c>
      <c r="D15" s="52" t="s">
        <v>128</v>
      </c>
      <c r="E15" s="52" t="s">
        <v>128</v>
      </c>
      <c r="F15" s="52" t="s">
        <v>128</v>
      </c>
      <c r="G15" s="52" t="s">
        <v>128</v>
      </c>
      <c r="H15" s="54" t="s">
        <v>128</v>
      </c>
      <c r="I15" s="54" t="s">
        <v>128</v>
      </c>
      <c r="J15" s="53" t="s">
        <v>128</v>
      </c>
    </row>
    <row r="16" spans="1:13" ht="12.75" customHeight="1" x14ac:dyDescent="0.25">
      <c r="A16" s="33" t="s">
        <v>105</v>
      </c>
      <c r="B16" s="5">
        <v>1477.646</v>
      </c>
      <c r="C16" s="7">
        <v>3.4288367695849679E-4</v>
      </c>
      <c r="D16" s="52" t="s">
        <v>128</v>
      </c>
      <c r="E16" s="52" t="s">
        <v>128</v>
      </c>
      <c r="F16" s="52" t="s">
        <v>128</v>
      </c>
      <c r="G16" s="52" t="s">
        <v>128</v>
      </c>
      <c r="H16" s="54" t="s">
        <v>128</v>
      </c>
      <c r="I16" s="54" t="s">
        <v>128</v>
      </c>
      <c r="J16" s="53" t="s">
        <v>128</v>
      </c>
    </row>
    <row r="17" spans="1:10" ht="12.75" customHeight="1" x14ac:dyDescent="0.25">
      <c r="A17" s="33" t="s">
        <v>100</v>
      </c>
      <c r="B17" s="5">
        <v>557.36599999999999</v>
      </c>
      <c r="C17" s="7">
        <v>1.2933520170382702E-4</v>
      </c>
      <c r="D17" s="52" t="s">
        <v>128</v>
      </c>
      <c r="E17" s="52" t="s">
        <v>128</v>
      </c>
      <c r="F17" s="52" t="s">
        <v>128</v>
      </c>
      <c r="G17" s="52" t="s">
        <v>128</v>
      </c>
      <c r="H17" s="54" t="s">
        <v>128</v>
      </c>
      <c r="I17" s="54" t="s">
        <v>128</v>
      </c>
      <c r="J17" s="53" t="s">
        <v>128</v>
      </c>
    </row>
    <row r="18" spans="1:10" ht="12.75" customHeight="1" x14ac:dyDescent="0.25">
      <c r="A18" s="33" t="s">
        <v>101</v>
      </c>
      <c r="B18" s="5">
        <v>2894.9279999999999</v>
      </c>
      <c r="C18" s="7">
        <v>6.7176009410956528E-4</v>
      </c>
      <c r="D18" s="52" t="s">
        <v>128</v>
      </c>
      <c r="E18" s="52" t="s">
        <v>128</v>
      </c>
      <c r="F18" s="55" t="s">
        <v>128</v>
      </c>
      <c r="G18" s="52" t="s">
        <v>128</v>
      </c>
      <c r="H18" s="54" t="s">
        <v>128</v>
      </c>
      <c r="I18" s="54" t="s">
        <v>128</v>
      </c>
      <c r="J18" s="53" t="s">
        <v>128</v>
      </c>
    </row>
    <row r="19" spans="1:10" ht="12.75" customHeight="1" x14ac:dyDescent="0.25">
      <c r="A19" s="33" t="s">
        <v>106</v>
      </c>
      <c r="B19" s="5">
        <v>4014.1950000000002</v>
      </c>
      <c r="C19" s="7">
        <v>9.3148274122666183E-4</v>
      </c>
      <c r="D19" s="52" t="s">
        <v>128</v>
      </c>
      <c r="E19" s="52" t="s">
        <v>128</v>
      </c>
      <c r="F19" s="5">
        <f>+'נספח 3 ב'!G17</f>
        <v>4053.7739999999999</v>
      </c>
      <c r="G19" s="52" t="s">
        <v>128</v>
      </c>
      <c r="H19" s="54" t="s">
        <v>128</v>
      </c>
      <c r="I19" s="54" t="s">
        <v>128</v>
      </c>
      <c r="J19" s="53" t="s">
        <v>128</v>
      </c>
    </row>
    <row r="20" spans="1:10" ht="12.75" customHeight="1" x14ac:dyDescent="0.25">
      <c r="A20" s="33" t="s">
        <v>111</v>
      </c>
      <c r="B20" s="5">
        <v>671.19799999999998</v>
      </c>
      <c r="C20" s="7">
        <v>1.5574968834401051E-4</v>
      </c>
      <c r="D20" s="52" t="s">
        <v>128</v>
      </c>
      <c r="E20" s="52" t="s">
        <v>128</v>
      </c>
      <c r="F20" s="54" t="s">
        <v>128</v>
      </c>
      <c r="G20" s="52" t="s">
        <v>128</v>
      </c>
      <c r="H20" s="54" t="s">
        <v>128</v>
      </c>
      <c r="I20" s="54" t="s">
        <v>128</v>
      </c>
      <c r="J20" s="53" t="s">
        <v>128</v>
      </c>
    </row>
    <row r="21" spans="1:10" ht="12.75" customHeight="1" x14ac:dyDescent="0.25">
      <c r="A21" s="34" t="s">
        <v>92</v>
      </c>
      <c r="B21" s="52" t="s">
        <v>128</v>
      </c>
      <c r="C21" s="52" t="s">
        <v>128</v>
      </c>
      <c r="D21" s="56" t="s">
        <v>128</v>
      </c>
      <c r="E21" s="56" t="s">
        <v>128</v>
      </c>
      <c r="F21" s="56" t="s">
        <v>128</v>
      </c>
      <c r="G21" s="56" t="s">
        <v>128</v>
      </c>
      <c r="H21" s="56" t="s">
        <v>128</v>
      </c>
      <c r="I21" s="56" t="s">
        <v>128</v>
      </c>
      <c r="J21" s="57" t="s">
        <v>128</v>
      </c>
    </row>
    <row r="22" spans="1:10" ht="12.75" customHeight="1" x14ac:dyDescent="0.25">
      <c r="A22" s="42" t="s">
        <v>93</v>
      </c>
      <c r="B22" s="43">
        <f>SUM(B14:B21)</f>
        <v>10659.071</v>
      </c>
      <c r="C22" s="44">
        <f>SUM(C14:C21)</f>
        <v>2.4734080021855329E-3</v>
      </c>
      <c r="D22" s="58" t="s">
        <v>128</v>
      </c>
      <c r="E22" s="58" t="s">
        <v>128</v>
      </c>
      <c r="F22" s="43">
        <f>SUM(F14:F21)</f>
        <v>4053.7739999999999</v>
      </c>
      <c r="G22" s="58" t="s">
        <v>128</v>
      </c>
      <c r="H22" s="43">
        <f>SUM(H14:H21)</f>
        <v>2088.8101956</v>
      </c>
      <c r="I22" s="43">
        <f>SUM(I14:I21)</f>
        <v>-1649.5851600999999</v>
      </c>
      <c r="J22" s="59" t="s">
        <v>128</v>
      </c>
    </row>
    <row r="10000" spans="52:52" ht="12.75" customHeight="1" x14ac:dyDescent="0.25">
      <c r="AZ10000">
        <v>1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000"/>
  <sheetViews>
    <sheetView rightToLeft="1" zoomScale="70" zoomScaleNormal="70" workbookViewId="0">
      <pane ySplit="5" topLeftCell="A16" activePane="bottomLeft" state="frozen"/>
      <selection pane="bottomLeft" activeCell="A5" sqref="A5:J52"/>
    </sheetView>
  </sheetViews>
  <sheetFormatPr defaultRowHeight="12.75" customHeight="1" x14ac:dyDescent="0.25"/>
  <cols>
    <col min="1" max="1" width="52.33203125" bestFit="1" customWidth="1"/>
    <col min="2" max="2" width="16.33203125" bestFit="1" customWidth="1"/>
    <col min="3" max="3" width="7" customWidth="1"/>
    <col min="4" max="4" width="12.44140625" bestFit="1" customWidth="1"/>
    <col min="5" max="5" width="13.6640625" bestFit="1" customWidth="1"/>
    <col min="6" max="6" width="7.6640625" customWidth="1"/>
    <col min="7" max="7" width="15" bestFit="1" customWidth="1"/>
    <col min="8" max="8" width="27.6640625" bestFit="1" customWidth="1"/>
    <col min="9" max="9" width="28.33203125" bestFit="1" customWidth="1"/>
    <col min="10" max="10" width="22.5546875" customWidth="1"/>
  </cols>
  <sheetData>
    <row r="1" spans="1:10" ht="21" customHeight="1" x14ac:dyDescent="0.25">
      <c r="A1" s="30" t="s">
        <v>95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2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3.2" x14ac:dyDescent="0.25">
      <c r="A3" s="28" t="s">
        <v>112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13.2" x14ac:dyDescent="0.25">
      <c r="A4" s="72" t="s">
        <v>123</v>
      </c>
      <c r="B4" s="73" t="s">
        <v>17</v>
      </c>
      <c r="C4" s="73" t="s">
        <v>18</v>
      </c>
      <c r="D4" s="73" t="s">
        <v>19</v>
      </c>
      <c r="E4" s="73" t="s">
        <v>20</v>
      </c>
      <c r="F4" s="73" t="s">
        <v>21</v>
      </c>
      <c r="G4" s="73" t="s">
        <v>22</v>
      </c>
      <c r="H4" s="73" t="s">
        <v>30</v>
      </c>
      <c r="I4" s="73" t="s">
        <v>85</v>
      </c>
      <c r="J4" s="74" t="s">
        <v>2</v>
      </c>
    </row>
    <row r="5" spans="1:10" ht="13.2" x14ac:dyDescent="0.25">
      <c r="A5" s="78" t="s">
        <v>128</v>
      </c>
      <c r="B5" s="79" t="s">
        <v>128</v>
      </c>
      <c r="C5" s="79" t="s">
        <v>128</v>
      </c>
      <c r="D5" s="79" t="s">
        <v>128</v>
      </c>
      <c r="E5" s="9" t="s">
        <v>4</v>
      </c>
      <c r="F5" s="9" t="s">
        <v>34</v>
      </c>
      <c r="G5" s="9" t="s">
        <v>4</v>
      </c>
      <c r="H5" s="9" t="s">
        <v>4</v>
      </c>
      <c r="I5" s="9" t="s">
        <v>33</v>
      </c>
      <c r="J5" s="68" t="s">
        <v>4</v>
      </c>
    </row>
    <row r="6" spans="1:10" ht="13.2" x14ac:dyDescent="0.25">
      <c r="A6" s="60" t="s">
        <v>35</v>
      </c>
      <c r="B6" s="80" t="s">
        <v>128</v>
      </c>
      <c r="C6" s="80" t="s">
        <v>128</v>
      </c>
      <c r="D6" s="80" t="s">
        <v>128</v>
      </c>
      <c r="E6" s="80" t="s">
        <v>128</v>
      </c>
      <c r="F6" s="80" t="s">
        <v>128</v>
      </c>
      <c r="G6" s="80" t="s">
        <v>128</v>
      </c>
      <c r="H6" s="80" t="s">
        <v>128</v>
      </c>
      <c r="I6" s="80" t="s">
        <v>128</v>
      </c>
      <c r="J6" s="81" t="s">
        <v>128</v>
      </c>
    </row>
    <row r="7" spans="1:10" ht="13.2" x14ac:dyDescent="0.25">
      <c r="A7" s="60" t="s">
        <v>41</v>
      </c>
      <c r="B7" s="80" t="s">
        <v>128</v>
      </c>
      <c r="C7" s="80" t="s">
        <v>128</v>
      </c>
      <c r="D7" s="80" t="s">
        <v>128</v>
      </c>
      <c r="E7" s="80" t="s">
        <v>128</v>
      </c>
      <c r="F7" s="80" t="s">
        <v>128</v>
      </c>
      <c r="G7" s="80" t="s">
        <v>128</v>
      </c>
      <c r="H7" s="80" t="s">
        <v>128</v>
      </c>
      <c r="I7" s="80" t="s">
        <v>128</v>
      </c>
      <c r="J7" s="81" t="s">
        <v>128</v>
      </c>
    </row>
    <row r="8" spans="1:10" ht="13.2" x14ac:dyDescent="0.25">
      <c r="A8" s="61" t="s">
        <v>42</v>
      </c>
      <c r="B8" s="80" t="s">
        <v>128</v>
      </c>
      <c r="C8" s="80" t="s">
        <v>128</v>
      </c>
      <c r="D8" s="80" t="s">
        <v>128</v>
      </c>
      <c r="E8" s="80" t="s">
        <v>128</v>
      </c>
      <c r="F8" s="80" t="s">
        <v>128</v>
      </c>
      <c r="G8" s="80" t="s">
        <v>128</v>
      </c>
      <c r="H8" s="80" t="s">
        <v>128</v>
      </c>
      <c r="I8" s="80" t="s">
        <v>128</v>
      </c>
      <c r="J8" s="81" t="s">
        <v>128</v>
      </c>
    </row>
    <row r="9" spans="1:10" ht="13.2" x14ac:dyDescent="0.25">
      <c r="A9" s="62" t="s">
        <v>47</v>
      </c>
      <c r="B9" s="80" t="s">
        <v>128</v>
      </c>
      <c r="C9" s="80" t="s">
        <v>128</v>
      </c>
      <c r="D9" s="80" t="s">
        <v>128</v>
      </c>
      <c r="E9" s="80" t="s">
        <v>128</v>
      </c>
      <c r="F9" s="80" t="s">
        <v>128</v>
      </c>
      <c r="G9" s="80" t="s">
        <v>128</v>
      </c>
      <c r="H9" s="80" t="s">
        <v>128</v>
      </c>
      <c r="I9" s="80" t="s">
        <v>128</v>
      </c>
      <c r="J9" s="81" t="s">
        <v>128</v>
      </c>
    </row>
    <row r="10" spans="1:10" ht="13.2" x14ac:dyDescent="0.25">
      <c r="A10" s="62" t="s">
        <v>48</v>
      </c>
      <c r="B10" s="80" t="s">
        <v>128</v>
      </c>
      <c r="C10" s="80" t="s">
        <v>128</v>
      </c>
      <c r="D10" s="80" t="s">
        <v>128</v>
      </c>
      <c r="E10" s="80" t="s">
        <v>128</v>
      </c>
      <c r="F10" s="80" t="s">
        <v>128</v>
      </c>
      <c r="G10" s="80" t="s">
        <v>128</v>
      </c>
      <c r="H10" s="80" t="s">
        <v>128</v>
      </c>
      <c r="I10" s="80" t="s">
        <v>128</v>
      </c>
      <c r="J10" s="81" t="s">
        <v>128</v>
      </c>
    </row>
    <row r="11" spans="1:10" ht="13.2" x14ac:dyDescent="0.25">
      <c r="A11" s="61" t="s">
        <v>43</v>
      </c>
      <c r="B11" s="80" t="s">
        <v>128</v>
      </c>
      <c r="C11" s="80" t="s">
        <v>128</v>
      </c>
      <c r="D11" s="80" t="s">
        <v>128</v>
      </c>
      <c r="E11" s="80" t="s">
        <v>128</v>
      </c>
      <c r="F11" s="80" t="s">
        <v>128</v>
      </c>
      <c r="G11" s="80" t="s">
        <v>128</v>
      </c>
      <c r="H11" s="80" t="s">
        <v>128</v>
      </c>
      <c r="I11" s="80" t="s">
        <v>128</v>
      </c>
      <c r="J11" s="81" t="s">
        <v>128</v>
      </c>
    </row>
    <row r="12" spans="1:10" ht="13.2" x14ac:dyDescent="0.25">
      <c r="A12" s="62" t="s">
        <v>39</v>
      </c>
      <c r="B12" s="80" t="s">
        <v>128</v>
      </c>
      <c r="C12" s="82" t="s">
        <v>128</v>
      </c>
      <c r="D12" s="82" t="s">
        <v>128</v>
      </c>
      <c r="E12" s="82" t="s">
        <v>128</v>
      </c>
      <c r="F12" s="82" t="s">
        <v>128</v>
      </c>
      <c r="G12" s="82" t="s">
        <v>128</v>
      </c>
      <c r="H12" s="80" t="s">
        <v>128</v>
      </c>
      <c r="I12" s="80" t="s">
        <v>128</v>
      </c>
      <c r="J12" s="81" t="s">
        <v>128</v>
      </c>
    </row>
    <row r="13" spans="1:10" ht="13.2" x14ac:dyDescent="0.25">
      <c r="A13" s="62" t="s">
        <v>54</v>
      </c>
      <c r="B13" s="80" t="s">
        <v>128</v>
      </c>
      <c r="C13" s="82" t="s">
        <v>128</v>
      </c>
      <c r="D13" s="82" t="s">
        <v>128</v>
      </c>
      <c r="E13" s="82" t="s">
        <v>128</v>
      </c>
      <c r="F13" s="82" t="s">
        <v>128</v>
      </c>
      <c r="G13" s="82" t="s">
        <v>128</v>
      </c>
      <c r="H13" s="80" t="s">
        <v>128</v>
      </c>
      <c r="I13" s="80" t="s">
        <v>128</v>
      </c>
      <c r="J13" s="81" t="s">
        <v>128</v>
      </c>
    </row>
    <row r="14" spans="1:10" ht="13.2" x14ac:dyDescent="0.25">
      <c r="A14" s="62" t="s">
        <v>81</v>
      </c>
      <c r="B14" s="80" t="s">
        <v>128</v>
      </c>
      <c r="C14" s="82" t="s">
        <v>128</v>
      </c>
      <c r="D14" s="82" t="s">
        <v>128</v>
      </c>
      <c r="E14" s="82" t="s">
        <v>128</v>
      </c>
      <c r="F14" s="82" t="s">
        <v>128</v>
      </c>
      <c r="G14" s="82" t="s">
        <v>128</v>
      </c>
      <c r="H14" s="80" t="s">
        <v>128</v>
      </c>
      <c r="I14" s="80" t="s">
        <v>128</v>
      </c>
      <c r="J14" s="81" t="s">
        <v>128</v>
      </c>
    </row>
    <row r="15" spans="1:10" ht="13.2" x14ac:dyDescent="0.25">
      <c r="A15" s="62" t="s">
        <v>40</v>
      </c>
      <c r="B15" s="80" t="s">
        <v>128</v>
      </c>
      <c r="C15" s="82" t="s">
        <v>128</v>
      </c>
      <c r="D15" s="82" t="s">
        <v>128</v>
      </c>
      <c r="E15" s="82" t="s">
        <v>128</v>
      </c>
      <c r="F15" s="82" t="s">
        <v>128</v>
      </c>
      <c r="G15" s="82" t="s">
        <v>128</v>
      </c>
      <c r="H15" s="80" t="s">
        <v>128</v>
      </c>
      <c r="I15" s="80" t="s">
        <v>128</v>
      </c>
      <c r="J15" s="81" t="s">
        <v>128</v>
      </c>
    </row>
    <row r="16" spans="1:10" ht="13.2" x14ac:dyDescent="0.25">
      <c r="A16" s="63" t="s">
        <v>44</v>
      </c>
      <c r="B16" s="82" t="s">
        <v>128</v>
      </c>
      <c r="C16" s="82" t="s">
        <v>128</v>
      </c>
      <c r="D16" s="82" t="s">
        <v>128</v>
      </c>
      <c r="E16" s="82" t="s">
        <v>128</v>
      </c>
      <c r="F16" s="82" t="s">
        <v>128</v>
      </c>
      <c r="G16" s="82" t="s">
        <v>128</v>
      </c>
      <c r="H16" s="82" t="s">
        <v>128</v>
      </c>
      <c r="I16" s="80" t="s">
        <v>128</v>
      </c>
      <c r="J16" s="81" t="s">
        <v>128</v>
      </c>
    </row>
    <row r="17" spans="1:10" ht="13.2" x14ac:dyDescent="0.25">
      <c r="A17" s="78" t="s">
        <v>128</v>
      </c>
      <c r="B17" s="80" t="s">
        <v>128</v>
      </c>
      <c r="C17" s="80" t="s">
        <v>128</v>
      </c>
      <c r="D17" s="80" t="s">
        <v>128</v>
      </c>
      <c r="E17" s="80" t="s">
        <v>128</v>
      </c>
      <c r="F17" s="80" t="s">
        <v>128</v>
      </c>
      <c r="G17" s="80" t="s">
        <v>128</v>
      </c>
      <c r="H17" s="80" t="s">
        <v>128</v>
      </c>
      <c r="I17" s="80" t="s">
        <v>128</v>
      </c>
      <c r="J17" s="81" t="s">
        <v>128</v>
      </c>
    </row>
    <row r="18" spans="1:10" ht="13.2" x14ac:dyDescent="0.25">
      <c r="A18" s="60" t="s">
        <v>45</v>
      </c>
      <c r="B18" s="80" t="s">
        <v>128</v>
      </c>
      <c r="C18" s="80" t="s">
        <v>128</v>
      </c>
      <c r="D18" s="80" t="s">
        <v>128</v>
      </c>
      <c r="E18" s="80" t="s">
        <v>128</v>
      </c>
      <c r="F18" s="80" t="s">
        <v>128</v>
      </c>
      <c r="G18" s="80" t="s">
        <v>128</v>
      </c>
      <c r="H18" s="80" t="s">
        <v>128</v>
      </c>
      <c r="I18" s="80" t="s">
        <v>128</v>
      </c>
      <c r="J18" s="81" t="s">
        <v>128</v>
      </c>
    </row>
    <row r="19" spans="1:10" ht="13.2" x14ac:dyDescent="0.25">
      <c r="A19" s="61" t="s">
        <v>63</v>
      </c>
      <c r="B19" s="80" t="s">
        <v>128</v>
      </c>
      <c r="C19" s="80" t="s">
        <v>128</v>
      </c>
      <c r="D19" s="80" t="s">
        <v>128</v>
      </c>
      <c r="E19" s="80" t="s">
        <v>128</v>
      </c>
      <c r="F19" s="80" t="s">
        <v>128</v>
      </c>
      <c r="G19" s="80" t="s">
        <v>128</v>
      </c>
      <c r="H19" s="80" t="s">
        <v>128</v>
      </c>
      <c r="I19" s="80" t="s">
        <v>128</v>
      </c>
      <c r="J19" s="81" t="s">
        <v>128</v>
      </c>
    </row>
    <row r="20" spans="1:10" ht="13.2" x14ac:dyDescent="0.25">
      <c r="A20" s="62" t="s">
        <v>47</v>
      </c>
      <c r="B20" s="82" t="s">
        <v>128</v>
      </c>
      <c r="C20" s="80" t="s">
        <v>128</v>
      </c>
      <c r="D20" s="80" t="s">
        <v>128</v>
      </c>
      <c r="E20" s="80" t="s">
        <v>128</v>
      </c>
      <c r="F20" s="80" t="s">
        <v>128</v>
      </c>
      <c r="G20" s="80" t="s">
        <v>128</v>
      </c>
      <c r="H20" s="80" t="s">
        <v>128</v>
      </c>
      <c r="I20" s="80" t="s">
        <v>128</v>
      </c>
      <c r="J20" s="81" t="s">
        <v>128</v>
      </c>
    </row>
    <row r="21" spans="1:10" ht="13.2" x14ac:dyDescent="0.25">
      <c r="A21" s="62" t="s">
        <v>48</v>
      </c>
      <c r="B21" s="82" t="s">
        <v>128</v>
      </c>
      <c r="C21" s="80" t="s">
        <v>128</v>
      </c>
      <c r="D21" s="80" t="s">
        <v>128</v>
      </c>
      <c r="E21" s="80" t="s">
        <v>128</v>
      </c>
      <c r="F21" s="80" t="s">
        <v>128</v>
      </c>
      <c r="G21" s="80" t="s">
        <v>128</v>
      </c>
      <c r="H21" s="80" t="s">
        <v>128</v>
      </c>
      <c r="I21" s="80" t="s">
        <v>128</v>
      </c>
      <c r="J21" s="81" t="s">
        <v>128</v>
      </c>
    </row>
    <row r="22" spans="1:10" ht="13.2" x14ac:dyDescent="0.25">
      <c r="A22" s="61" t="s">
        <v>43</v>
      </c>
      <c r="B22" s="80" t="s">
        <v>128</v>
      </c>
      <c r="C22" s="80" t="s">
        <v>128</v>
      </c>
      <c r="D22" s="80" t="s">
        <v>128</v>
      </c>
      <c r="E22" s="80" t="s">
        <v>128</v>
      </c>
      <c r="F22" s="80" t="s">
        <v>128</v>
      </c>
      <c r="G22" s="80" t="s">
        <v>128</v>
      </c>
      <c r="H22" s="80" t="s">
        <v>128</v>
      </c>
      <c r="I22" s="80" t="s">
        <v>128</v>
      </c>
      <c r="J22" s="81" t="s">
        <v>128</v>
      </c>
    </row>
    <row r="23" spans="1:10" ht="13.2" x14ac:dyDescent="0.25">
      <c r="A23" s="64" t="s">
        <v>39</v>
      </c>
      <c r="B23" s="82" t="s">
        <v>128</v>
      </c>
      <c r="C23" s="82" t="s">
        <v>128</v>
      </c>
      <c r="D23" s="82" t="s">
        <v>128</v>
      </c>
      <c r="E23" s="82" t="s">
        <v>128</v>
      </c>
      <c r="F23" s="82" t="s">
        <v>128</v>
      </c>
      <c r="G23" s="82" t="s">
        <v>128</v>
      </c>
      <c r="H23" s="80" t="s">
        <v>128</v>
      </c>
      <c r="I23" s="80" t="s">
        <v>128</v>
      </c>
      <c r="J23" s="81" t="s">
        <v>128</v>
      </c>
    </row>
    <row r="24" spans="1:10" ht="13.2" x14ac:dyDescent="0.25">
      <c r="A24" s="64" t="s">
        <v>81</v>
      </c>
      <c r="B24" s="82" t="s">
        <v>128</v>
      </c>
      <c r="C24" s="82" t="s">
        <v>128</v>
      </c>
      <c r="D24" s="82" t="s">
        <v>128</v>
      </c>
      <c r="E24" s="82" t="s">
        <v>128</v>
      </c>
      <c r="F24" s="82" t="s">
        <v>128</v>
      </c>
      <c r="G24" s="82" t="s">
        <v>128</v>
      </c>
      <c r="H24" s="80" t="s">
        <v>128</v>
      </c>
      <c r="I24" s="80" t="s">
        <v>128</v>
      </c>
      <c r="J24" s="81" t="s">
        <v>128</v>
      </c>
    </row>
    <row r="25" spans="1:10" ht="13.2" x14ac:dyDescent="0.25">
      <c r="A25" s="64" t="s">
        <v>80</v>
      </c>
      <c r="B25" s="82" t="s">
        <v>128</v>
      </c>
      <c r="C25" s="82" t="s">
        <v>128</v>
      </c>
      <c r="D25" s="82" t="s">
        <v>128</v>
      </c>
      <c r="E25" s="82" t="s">
        <v>128</v>
      </c>
      <c r="F25" s="82" t="s">
        <v>128</v>
      </c>
      <c r="G25" s="82" t="s">
        <v>128</v>
      </c>
      <c r="H25" s="80" t="s">
        <v>128</v>
      </c>
      <c r="I25" s="80" t="s">
        <v>128</v>
      </c>
      <c r="J25" s="81" t="s">
        <v>128</v>
      </c>
    </row>
    <row r="26" spans="1:10" ht="13.2" x14ac:dyDescent="0.25">
      <c r="A26" s="65" t="s">
        <v>110</v>
      </c>
      <c r="B26" s="14">
        <v>62013628</v>
      </c>
      <c r="C26" s="83" t="s">
        <v>128</v>
      </c>
      <c r="D26" s="83" t="s">
        <v>128</v>
      </c>
      <c r="E26" s="83" t="s">
        <v>128</v>
      </c>
      <c r="F26" s="83" t="s">
        <v>128</v>
      </c>
      <c r="G26" s="83" t="s">
        <v>128</v>
      </c>
      <c r="H26" s="17">
        <v>1.4100503880685288E-3</v>
      </c>
      <c r="I26" s="18">
        <v>1043.7380000000001</v>
      </c>
      <c r="J26" s="69">
        <v>2.4219659984297135E-4</v>
      </c>
    </row>
    <row r="27" spans="1:10" ht="13.2" x14ac:dyDescent="0.25">
      <c r="A27" s="65" t="s">
        <v>105</v>
      </c>
      <c r="B27" s="14">
        <v>62013636</v>
      </c>
      <c r="C27" s="83" t="s">
        <v>128</v>
      </c>
      <c r="D27" s="83" t="s">
        <v>128</v>
      </c>
      <c r="E27" s="83" t="s">
        <v>128</v>
      </c>
      <c r="F27" s="83" t="s">
        <v>128</v>
      </c>
      <c r="G27" s="83" t="s">
        <v>128</v>
      </c>
      <c r="H27" s="17">
        <v>1.9962436126000098E-3</v>
      </c>
      <c r="I27" s="18">
        <v>1477.646</v>
      </c>
      <c r="J27" s="69">
        <v>3.4288367695849679E-4</v>
      </c>
    </row>
    <row r="28" spans="1:10" ht="13.2" x14ac:dyDescent="0.25">
      <c r="A28" s="65" t="s">
        <v>100</v>
      </c>
      <c r="B28" s="14">
        <v>62013610</v>
      </c>
      <c r="C28" s="83" t="s">
        <v>128</v>
      </c>
      <c r="D28" s="83" t="s">
        <v>128</v>
      </c>
      <c r="E28" s="83" t="s">
        <v>128</v>
      </c>
      <c r="F28" s="83" t="s">
        <v>128</v>
      </c>
      <c r="G28" s="83" t="s">
        <v>128</v>
      </c>
      <c r="H28" s="17">
        <v>7.5298029256020522E-4</v>
      </c>
      <c r="I28" s="18">
        <v>557.36599999999999</v>
      </c>
      <c r="J28" s="69">
        <v>1.2933520170382702E-4</v>
      </c>
    </row>
    <row r="29" spans="1:10" ht="13.2" x14ac:dyDescent="0.25">
      <c r="A29" s="65" t="s">
        <v>101</v>
      </c>
      <c r="B29" s="14">
        <v>62013651</v>
      </c>
      <c r="C29" s="83" t="s">
        <v>128</v>
      </c>
      <c r="D29" s="83" t="s">
        <v>128</v>
      </c>
      <c r="E29" s="83" t="s">
        <v>128</v>
      </c>
      <c r="F29" s="83" t="s">
        <v>128</v>
      </c>
      <c r="G29" s="83" t="s">
        <v>128</v>
      </c>
      <c r="H29" s="17">
        <v>3.9109377543314989E-3</v>
      </c>
      <c r="I29" s="18">
        <v>2894.9279999999999</v>
      </c>
      <c r="J29" s="69">
        <v>6.7176009410956528E-4</v>
      </c>
    </row>
    <row r="30" spans="1:10" ht="13.2" x14ac:dyDescent="0.25">
      <c r="A30" s="65" t="s">
        <v>106</v>
      </c>
      <c r="B30" s="14">
        <v>62013768</v>
      </c>
      <c r="C30" s="83" t="s">
        <v>128</v>
      </c>
      <c r="D30" s="83" t="s">
        <v>128</v>
      </c>
      <c r="E30" s="83" t="s">
        <v>128</v>
      </c>
      <c r="F30" s="83" t="s">
        <v>128</v>
      </c>
      <c r="G30" s="83" t="s">
        <v>128</v>
      </c>
      <c r="H30" s="17">
        <v>5.4230249521745382E-3</v>
      </c>
      <c r="I30" s="18">
        <v>4014.1950000000002</v>
      </c>
      <c r="J30" s="69">
        <v>9.3148274122666183E-4</v>
      </c>
    </row>
    <row r="31" spans="1:10" ht="13.2" x14ac:dyDescent="0.25">
      <c r="A31" s="65" t="s">
        <v>111</v>
      </c>
      <c r="B31" s="14">
        <v>62013719</v>
      </c>
      <c r="C31" s="83" t="s">
        <v>128</v>
      </c>
      <c r="D31" s="83" t="s">
        <v>128</v>
      </c>
      <c r="E31" s="83" t="s">
        <v>128</v>
      </c>
      <c r="F31" s="83" t="s">
        <v>128</v>
      </c>
      <c r="G31" s="83" t="s">
        <v>128</v>
      </c>
      <c r="H31" s="17">
        <v>9.0676300026522013E-4</v>
      </c>
      <c r="I31" s="18">
        <v>671.19799999999998</v>
      </c>
      <c r="J31" s="69">
        <v>1.5574968834401051E-4</v>
      </c>
    </row>
    <row r="32" spans="1:10" ht="13.2" x14ac:dyDescent="0.25">
      <c r="A32" s="63" t="s">
        <v>49</v>
      </c>
      <c r="B32" s="82" t="s">
        <v>128</v>
      </c>
      <c r="C32" s="82" t="s">
        <v>128</v>
      </c>
      <c r="D32" s="82" t="s">
        <v>128</v>
      </c>
      <c r="E32" s="82" t="s">
        <v>128</v>
      </c>
      <c r="F32" s="82" t="s">
        <v>128</v>
      </c>
      <c r="G32" s="82" t="s">
        <v>128</v>
      </c>
      <c r="H32" s="82" t="s">
        <v>128</v>
      </c>
      <c r="I32" s="15">
        <f>SUM(I26:I31)</f>
        <v>10659.071</v>
      </c>
      <c r="J32" s="70">
        <f>SUM(J26:J31)</f>
        <v>2.4734080021855329E-3</v>
      </c>
    </row>
    <row r="33" spans="1:10" ht="13.2" x14ac:dyDescent="0.25">
      <c r="A33" s="84" t="s">
        <v>128</v>
      </c>
      <c r="B33" s="80" t="s">
        <v>128</v>
      </c>
      <c r="C33" s="80" t="s">
        <v>128</v>
      </c>
      <c r="D33" s="80" t="s">
        <v>128</v>
      </c>
      <c r="E33" s="80" t="s">
        <v>128</v>
      </c>
      <c r="F33" s="80" t="s">
        <v>128</v>
      </c>
      <c r="G33" s="80" t="s">
        <v>128</v>
      </c>
      <c r="H33" s="80" t="s">
        <v>128</v>
      </c>
      <c r="I33" s="80" t="s">
        <v>128</v>
      </c>
      <c r="J33" s="81" t="s">
        <v>128</v>
      </c>
    </row>
    <row r="34" spans="1:10" ht="13.2" x14ac:dyDescent="0.25">
      <c r="A34" s="60" t="s">
        <v>86</v>
      </c>
      <c r="B34" s="80" t="s">
        <v>128</v>
      </c>
      <c r="C34" s="80" t="s">
        <v>128</v>
      </c>
      <c r="D34" s="80" t="s">
        <v>128</v>
      </c>
      <c r="E34" s="80" t="s">
        <v>128</v>
      </c>
      <c r="F34" s="80" t="s">
        <v>128</v>
      </c>
      <c r="G34" s="80" t="s">
        <v>128</v>
      </c>
      <c r="H34" s="80" t="s">
        <v>128</v>
      </c>
      <c r="I34" s="80" t="s">
        <v>128</v>
      </c>
      <c r="J34" s="81" t="s">
        <v>128</v>
      </c>
    </row>
    <row r="35" spans="1:10" ht="13.2" x14ac:dyDescent="0.25">
      <c r="A35" s="66" t="s">
        <v>69</v>
      </c>
      <c r="B35" s="82" t="s">
        <v>128</v>
      </c>
      <c r="C35" s="80" t="s">
        <v>128</v>
      </c>
      <c r="D35" s="80" t="s">
        <v>128</v>
      </c>
      <c r="E35" s="80" t="s">
        <v>128</v>
      </c>
      <c r="F35" s="80" t="s">
        <v>128</v>
      </c>
      <c r="G35" s="80" t="s">
        <v>128</v>
      </c>
      <c r="H35" s="82" t="s">
        <v>128</v>
      </c>
      <c r="I35" s="80" t="s">
        <v>128</v>
      </c>
      <c r="J35" s="81" t="s">
        <v>128</v>
      </c>
    </row>
    <row r="36" spans="1:10" ht="13.2" x14ac:dyDescent="0.25">
      <c r="A36" s="66" t="s">
        <v>70</v>
      </c>
      <c r="B36" s="82" t="s">
        <v>128</v>
      </c>
      <c r="C36" s="80" t="s">
        <v>128</v>
      </c>
      <c r="D36" s="80" t="s">
        <v>128</v>
      </c>
      <c r="E36" s="80" t="s">
        <v>128</v>
      </c>
      <c r="F36" s="80" t="s">
        <v>128</v>
      </c>
      <c r="G36" s="80" t="s">
        <v>128</v>
      </c>
      <c r="H36" s="82" t="s">
        <v>128</v>
      </c>
      <c r="I36" s="80" t="s">
        <v>128</v>
      </c>
      <c r="J36" s="81" t="s">
        <v>128</v>
      </c>
    </row>
    <row r="37" spans="1:10" ht="13.2" x14ac:dyDescent="0.25">
      <c r="A37" s="63" t="s">
        <v>65</v>
      </c>
      <c r="B37" s="82" t="s">
        <v>128</v>
      </c>
      <c r="C37" s="82" t="s">
        <v>128</v>
      </c>
      <c r="D37" s="82" t="s">
        <v>128</v>
      </c>
      <c r="E37" s="82" t="s">
        <v>128</v>
      </c>
      <c r="F37" s="82" t="s">
        <v>128</v>
      </c>
      <c r="G37" s="82" t="s">
        <v>128</v>
      </c>
      <c r="H37" s="82" t="s">
        <v>128</v>
      </c>
      <c r="I37" s="80" t="s">
        <v>128</v>
      </c>
      <c r="J37" s="81" t="s">
        <v>128</v>
      </c>
    </row>
    <row r="38" spans="1:10" ht="13.2" x14ac:dyDescent="0.25">
      <c r="A38" s="84" t="s">
        <v>128</v>
      </c>
      <c r="B38" s="82" t="s">
        <v>128</v>
      </c>
      <c r="C38" s="82" t="s">
        <v>128</v>
      </c>
      <c r="D38" s="82" t="s">
        <v>128</v>
      </c>
      <c r="E38" s="82" t="s">
        <v>128</v>
      </c>
      <c r="F38" s="82" t="s">
        <v>128</v>
      </c>
      <c r="G38" s="82" t="s">
        <v>128</v>
      </c>
      <c r="H38" s="82" t="s">
        <v>128</v>
      </c>
      <c r="I38" s="80" t="s">
        <v>128</v>
      </c>
      <c r="J38" s="81" t="s">
        <v>128</v>
      </c>
    </row>
    <row r="39" spans="1:10" ht="13.2" x14ac:dyDescent="0.25">
      <c r="A39" s="60" t="s">
        <v>87</v>
      </c>
      <c r="B39" s="80" t="s">
        <v>128</v>
      </c>
      <c r="C39" s="80" t="s">
        <v>128</v>
      </c>
      <c r="D39" s="80" t="s">
        <v>128</v>
      </c>
      <c r="E39" s="80" t="s">
        <v>128</v>
      </c>
      <c r="F39" s="80" t="s">
        <v>128</v>
      </c>
      <c r="G39" s="80" t="s">
        <v>128</v>
      </c>
      <c r="H39" s="80" t="s">
        <v>128</v>
      </c>
      <c r="I39" s="80" t="s">
        <v>128</v>
      </c>
      <c r="J39" s="81" t="s">
        <v>128</v>
      </c>
    </row>
    <row r="40" spans="1:10" ht="13.2" x14ac:dyDescent="0.25">
      <c r="A40" s="62" t="s">
        <v>71</v>
      </c>
      <c r="B40" s="82" t="s">
        <v>128</v>
      </c>
      <c r="C40" s="80" t="s">
        <v>128</v>
      </c>
      <c r="D40" s="80" t="s">
        <v>128</v>
      </c>
      <c r="E40" s="80" t="s">
        <v>128</v>
      </c>
      <c r="F40" s="80" t="s">
        <v>128</v>
      </c>
      <c r="G40" s="80" t="s">
        <v>128</v>
      </c>
      <c r="H40" s="82" t="s">
        <v>128</v>
      </c>
      <c r="I40" s="80" t="s">
        <v>128</v>
      </c>
      <c r="J40" s="81" t="s">
        <v>128</v>
      </c>
    </row>
    <row r="41" spans="1:10" ht="13.2" x14ac:dyDescent="0.25">
      <c r="A41" s="62" t="s">
        <v>72</v>
      </c>
      <c r="B41" s="82" t="s">
        <v>128</v>
      </c>
      <c r="C41" s="80" t="s">
        <v>128</v>
      </c>
      <c r="D41" s="80" t="s">
        <v>128</v>
      </c>
      <c r="E41" s="80" t="s">
        <v>128</v>
      </c>
      <c r="F41" s="80" t="s">
        <v>128</v>
      </c>
      <c r="G41" s="80" t="s">
        <v>128</v>
      </c>
      <c r="H41" s="82" t="s">
        <v>128</v>
      </c>
      <c r="I41" s="80" t="s">
        <v>128</v>
      </c>
      <c r="J41" s="81" t="s">
        <v>128</v>
      </c>
    </row>
    <row r="42" spans="1:10" ht="13.2" x14ac:dyDescent="0.25">
      <c r="A42" s="63" t="s">
        <v>67</v>
      </c>
      <c r="B42" s="82" t="s">
        <v>128</v>
      </c>
      <c r="C42" s="82" t="s">
        <v>128</v>
      </c>
      <c r="D42" s="82" t="s">
        <v>128</v>
      </c>
      <c r="E42" s="82" t="s">
        <v>128</v>
      </c>
      <c r="F42" s="82" t="s">
        <v>128</v>
      </c>
      <c r="G42" s="82" t="s">
        <v>128</v>
      </c>
      <c r="H42" s="82" t="s">
        <v>128</v>
      </c>
      <c r="I42" s="80" t="s">
        <v>128</v>
      </c>
      <c r="J42" s="81" t="s">
        <v>128</v>
      </c>
    </row>
    <row r="43" spans="1:10" ht="13.2" x14ac:dyDescent="0.25">
      <c r="A43" s="84" t="s">
        <v>128</v>
      </c>
      <c r="B43" s="80" t="s">
        <v>128</v>
      </c>
      <c r="C43" s="80" t="s">
        <v>128</v>
      </c>
      <c r="D43" s="80" t="s">
        <v>128</v>
      </c>
      <c r="E43" s="80" t="s">
        <v>128</v>
      </c>
      <c r="F43" s="80" t="s">
        <v>128</v>
      </c>
      <c r="G43" s="80" t="s">
        <v>128</v>
      </c>
      <c r="H43" s="80" t="s">
        <v>128</v>
      </c>
      <c r="I43" s="80" t="s">
        <v>128</v>
      </c>
      <c r="J43" s="81" t="s">
        <v>128</v>
      </c>
    </row>
    <row r="44" spans="1:10" ht="13.2" x14ac:dyDescent="0.25">
      <c r="A44" s="60" t="s">
        <v>88</v>
      </c>
      <c r="B44" s="80" t="s">
        <v>128</v>
      </c>
      <c r="C44" s="80" t="s">
        <v>128</v>
      </c>
      <c r="D44" s="80" t="s">
        <v>128</v>
      </c>
      <c r="E44" s="80" t="s">
        <v>128</v>
      </c>
      <c r="F44" s="80" t="s">
        <v>128</v>
      </c>
      <c r="G44" s="80" t="s">
        <v>128</v>
      </c>
      <c r="H44" s="80" t="s">
        <v>128</v>
      </c>
      <c r="I44" s="80" t="s">
        <v>128</v>
      </c>
      <c r="J44" s="81" t="s">
        <v>128</v>
      </c>
    </row>
    <row r="45" spans="1:10" ht="26.4" x14ac:dyDescent="0.25">
      <c r="A45" s="67" t="s">
        <v>89</v>
      </c>
      <c r="B45" s="82" t="s">
        <v>128</v>
      </c>
      <c r="C45" s="80" t="s">
        <v>128</v>
      </c>
      <c r="D45" s="80" t="s">
        <v>128</v>
      </c>
      <c r="E45" s="82" t="s">
        <v>128</v>
      </c>
      <c r="F45" s="82" t="s">
        <v>128</v>
      </c>
      <c r="G45" s="82" t="s">
        <v>128</v>
      </c>
      <c r="H45" s="82" t="s">
        <v>128</v>
      </c>
      <c r="I45" s="80" t="s">
        <v>128</v>
      </c>
      <c r="J45" s="81" t="s">
        <v>128</v>
      </c>
    </row>
    <row r="46" spans="1:10" ht="13.2" x14ac:dyDescent="0.25">
      <c r="A46" s="61" t="s">
        <v>75</v>
      </c>
      <c r="B46" s="80" t="s">
        <v>128</v>
      </c>
      <c r="C46" s="80" t="s">
        <v>128</v>
      </c>
      <c r="D46" s="80" t="s">
        <v>128</v>
      </c>
      <c r="E46" s="80" t="s">
        <v>128</v>
      </c>
      <c r="F46" s="80" t="s">
        <v>128</v>
      </c>
      <c r="G46" s="80" t="s">
        <v>128</v>
      </c>
      <c r="H46" s="80" t="s">
        <v>128</v>
      </c>
      <c r="I46" s="80" t="s">
        <v>128</v>
      </c>
      <c r="J46" s="81" t="s">
        <v>128</v>
      </c>
    </row>
    <row r="47" spans="1:10" ht="13.2" x14ac:dyDescent="0.25">
      <c r="A47" s="66" t="s">
        <v>76</v>
      </c>
      <c r="B47" s="82" t="s">
        <v>128</v>
      </c>
      <c r="C47" s="82" t="s">
        <v>128</v>
      </c>
      <c r="D47" s="82" t="s">
        <v>128</v>
      </c>
      <c r="E47" s="82" t="s">
        <v>128</v>
      </c>
      <c r="F47" s="82" t="s">
        <v>128</v>
      </c>
      <c r="G47" s="82" t="s">
        <v>128</v>
      </c>
      <c r="H47" s="82" t="s">
        <v>128</v>
      </c>
      <c r="I47" s="80" t="s">
        <v>128</v>
      </c>
      <c r="J47" s="81" t="s">
        <v>128</v>
      </c>
    </row>
    <row r="48" spans="1:10" ht="13.2" x14ac:dyDescent="0.25">
      <c r="A48" s="66" t="s">
        <v>77</v>
      </c>
      <c r="B48" s="82" t="s">
        <v>128</v>
      </c>
      <c r="C48" s="82" t="s">
        <v>128</v>
      </c>
      <c r="D48" s="82" t="s">
        <v>128</v>
      </c>
      <c r="E48" s="82" t="s">
        <v>128</v>
      </c>
      <c r="F48" s="82" t="s">
        <v>128</v>
      </c>
      <c r="G48" s="82" t="s">
        <v>128</v>
      </c>
      <c r="H48" s="82" t="s">
        <v>128</v>
      </c>
      <c r="I48" s="80" t="s">
        <v>128</v>
      </c>
      <c r="J48" s="81" t="s">
        <v>128</v>
      </c>
    </row>
    <row r="49" spans="1:10" ht="13.2" x14ac:dyDescent="0.25">
      <c r="A49" s="63" t="s">
        <v>78</v>
      </c>
      <c r="B49" s="82" t="s">
        <v>128</v>
      </c>
      <c r="C49" s="82" t="s">
        <v>128</v>
      </c>
      <c r="D49" s="82" t="s">
        <v>128</v>
      </c>
      <c r="E49" s="82" t="s">
        <v>128</v>
      </c>
      <c r="F49" s="82" t="s">
        <v>128</v>
      </c>
      <c r="G49" s="82" t="s">
        <v>128</v>
      </c>
      <c r="H49" s="82" t="s">
        <v>128</v>
      </c>
      <c r="I49" s="80" t="s">
        <v>128</v>
      </c>
      <c r="J49" s="81" t="s">
        <v>128</v>
      </c>
    </row>
    <row r="50" spans="1:10" ht="13.2" x14ac:dyDescent="0.25">
      <c r="A50" s="85" t="s">
        <v>128</v>
      </c>
      <c r="B50" s="80" t="s">
        <v>128</v>
      </c>
      <c r="C50" s="80" t="s">
        <v>128</v>
      </c>
      <c r="D50" s="80" t="s">
        <v>128</v>
      </c>
      <c r="E50" s="80" t="s">
        <v>128</v>
      </c>
      <c r="F50" s="80" t="s">
        <v>128</v>
      </c>
      <c r="G50" s="80" t="s">
        <v>128</v>
      </c>
      <c r="H50" s="80" t="s">
        <v>128</v>
      </c>
      <c r="I50" s="80" t="s">
        <v>128</v>
      </c>
      <c r="J50" s="81" t="s">
        <v>128</v>
      </c>
    </row>
    <row r="51" spans="1:10" ht="13.2" x14ac:dyDescent="0.25">
      <c r="A51" s="60" t="s">
        <v>90</v>
      </c>
      <c r="B51" s="82" t="s">
        <v>128</v>
      </c>
      <c r="C51" s="82" t="s">
        <v>128</v>
      </c>
      <c r="D51" s="82" t="s">
        <v>128</v>
      </c>
      <c r="E51" s="82" t="s">
        <v>128</v>
      </c>
      <c r="F51" s="82" t="s">
        <v>128</v>
      </c>
      <c r="G51" s="82" t="s">
        <v>128</v>
      </c>
      <c r="H51" s="82" t="s">
        <v>128</v>
      </c>
      <c r="I51" s="21">
        <f>I32</f>
        <v>10659.071</v>
      </c>
      <c r="J51" s="71">
        <f>J32</f>
        <v>2.4734080021855329E-3</v>
      </c>
    </row>
    <row r="52" spans="1:10" ht="13.2" x14ac:dyDescent="0.25">
      <c r="A52" s="75" t="s">
        <v>91</v>
      </c>
      <c r="B52" s="86" t="s">
        <v>128</v>
      </c>
      <c r="C52" s="86" t="s">
        <v>128</v>
      </c>
      <c r="D52" s="86" t="s">
        <v>128</v>
      </c>
      <c r="E52" s="86" t="s">
        <v>128</v>
      </c>
      <c r="F52" s="86" t="s">
        <v>128</v>
      </c>
      <c r="G52" s="86" t="s">
        <v>128</v>
      </c>
      <c r="H52" s="86" t="s">
        <v>128</v>
      </c>
      <c r="I52" s="76">
        <f>I32</f>
        <v>10659.071</v>
      </c>
      <c r="J52" s="77">
        <f>J32</f>
        <v>2.4734080021855329E-3</v>
      </c>
    </row>
    <row r="53" spans="1:10" ht="12.75" customHeight="1" x14ac:dyDescent="0.25">
      <c r="C53" s="3"/>
      <c r="D53" s="3"/>
      <c r="E53" s="3"/>
      <c r="F53" s="3"/>
      <c r="G53" s="3"/>
      <c r="H53" s="6"/>
      <c r="I53" s="4"/>
      <c r="J53" s="6"/>
    </row>
    <row r="10000" spans="52:52" ht="12.75" customHeight="1" x14ac:dyDescent="0.25">
      <c r="AZ10000">
        <v>1</v>
      </c>
    </row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0000"/>
  <sheetViews>
    <sheetView rightToLeft="1" zoomScale="70" zoomScaleNormal="70" workbookViewId="0">
      <selection activeCell="A6" sqref="A6:C20"/>
    </sheetView>
  </sheetViews>
  <sheetFormatPr defaultRowHeight="12.75" customHeight="1" x14ac:dyDescent="0.25"/>
  <cols>
    <col min="1" max="1" width="37.88671875" bestFit="1" customWidth="1"/>
    <col min="2" max="2" width="50.44140625" bestFit="1" customWidth="1"/>
    <col min="3" max="3" width="46.6640625" bestFit="1" customWidth="1"/>
  </cols>
  <sheetData>
    <row r="1" spans="1:3" ht="21" customHeight="1" x14ac:dyDescent="0.25">
      <c r="A1" s="31" t="s">
        <v>96</v>
      </c>
      <c r="B1" s="26"/>
      <c r="C1" s="26"/>
    </row>
    <row r="2" spans="1:3" ht="21" customHeight="1" x14ac:dyDescent="0.25">
      <c r="A2" s="26"/>
      <c r="B2" s="26"/>
      <c r="C2" s="26"/>
    </row>
    <row r="3" spans="1:3" ht="12.75" customHeight="1" x14ac:dyDescent="0.25">
      <c r="A3" s="27"/>
      <c r="B3" s="27"/>
      <c r="C3" s="27"/>
    </row>
    <row r="4" spans="1:3" ht="13.2" x14ac:dyDescent="0.25">
      <c r="A4" s="28" t="s">
        <v>113</v>
      </c>
      <c r="B4" s="29"/>
      <c r="C4" s="29"/>
    </row>
    <row r="5" spans="1:3" ht="13.2" x14ac:dyDescent="0.25">
      <c r="A5" s="72" t="s">
        <v>123</v>
      </c>
      <c r="B5" s="73" t="s">
        <v>24</v>
      </c>
      <c r="C5" s="74" t="s">
        <v>23</v>
      </c>
    </row>
    <row r="6" spans="1:3" ht="13.2" x14ac:dyDescent="0.25">
      <c r="A6" s="78" t="s">
        <v>128</v>
      </c>
      <c r="B6" s="24" t="s">
        <v>3</v>
      </c>
      <c r="C6" s="91" t="s">
        <v>128</v>
      </c>
    </row>
    <row r="7" spans="1:3" ht="12.75" customHeight="1" x14ac:dyDescent="0.25">
      <c r="A7" s="60" t="s">
        <v>35</v>
      </c>
      <c r="B7" s="52" t="s">
        <v>128</v>
      </c>
      <c r="C7" s="53" t="s">
        <v>128</v>
      </c>
    </row>
    <row r="8" spans="1:3" ht="12.75" customHeight="1" x14ac:dyDescent="0.25">
      <c r="A8" s="60" t="s">
        <v>38</v>
      </c>
      <c r="B8" s="52" t="s">
        <v>128</v>
      </c>
      <c r="C8" s="53" t="s">
        <v>128</v>
      </c>
    </row>
    <row r="9" spans="1:3" ht="12.75" customHeight="1" x14ac:dyDescent="0.25">
      <c r="A9" s="87" t="s">
        <v>42</v>
      </c>
      <c r="B9" s="52" t="s">
        <v>128</v>
      </c>
      <c r="C9" s="53" t="s">
        <v>128</v>
      </c>
    </row>
    <row r="10" spans="1:3" ht="12.75" customHeight="1" x14ac:dyDescent="0.25">
      <c r="A10" s="62" t="s">
        <v>47</v>
      </c>
      <c r="B10" s="52" t="s">
        <v>128</v>
      </c>
      <c r="C10" s="53" t="s">
        <v>128</v>
      </c>
    </row>
    <row r="11" spans="1:3" ht="12.75" customHeight="1" x14ac:dyDescent="0.25">
      <c r="A11" s="62" t="s">
        <v>48</v>
      </c>
      <c r="B11" s="52" t="s">
        <v>128</v>
      </c>
      <c r="C11" s="53" t="s">
        <v>128</v>
      </c>
    </row>
    <row r="12" spans="1:3" ht="12.75" customHeight="1" x14ac:dyDescent="0.25">
      <c r="A12" s="87" t="s">
        <v>43</v>
      </c>
      <c r="B12" s="52" t="s">
        <v>128</v>
      </c>
      <c r="C12" s="53" t="s">
        <v>128</v>
      </c>
    </row>
    <row r="13" spans="1:3" ht="12.75" customHeight="1" x14ac:dyDescent="0.25">
      <c r="A13" s="62" t="s">
        <v>39</v>
      </c>
      <c r="B13" s="52" t="s">
        <v>128</v>
      </c>
      <c r="C13" s="53" t="s">
        <v>128</v>
      </c>
    </row>
    <row r="14" spans="1:3" ht="12.75" customHeight="1" x14ac:dyDescent="0.25">
      <c r="A14" s="62" t="s">
        <v>54</v>
      </c>
      <c r="B14" s="52" t="s">
        <v>128</v>
      </c>
      <c r="C14" s="53" t="s">
        <v>128</v>
      </c>
    </row>
    <row r="15" spans="1:3" ht="12.75" customHeight="1" x14ac:dyDescent="0.25">
      <c r="A15" s="62" t="s">
        <v>82</v>
      </c>
      <c r="B15" s="52" t="s">
        <v>128</v>
      </c>
      <c r="C15" s="53" t="s">
        <v>128</v>
      </c>
    </row>
    <row r="16" spans="1:3" ht="12.75" customHeight="1" x14ac:dyDescent="0.25">
      <c r="A16" s="62" t="s">
        <v>40</v>
      </c>
      <c r="B16" s="52" t="s">
        <v>128</v>
      </c>
      <c r="C16" s="53" t="s">
        <v>128</v>
      </c>
    </row>
    <row r="17" spans="1:3" ht="12.75" customHeight="1" x14ac:dyDescent="0.25">
      <c r="A17" s="92" t="s">
        <v>128</v>
      </c>
      <c r="B17" s="52" t="s">
        <v>128</v>
      </c>
      <c r="C17" s="53" t="s">
        <v>128</v>
      </c>
    </row>
    <row r="18" spans="1:3" ht="26.4" x14ac:dyDescent="0.25">
      <c r="A18" s="88" t="s">
        <v>83</v>
      </c>
      <c r="B18" s="52" t="s">
        <v>128</v>
      </c>
      <c r="C18" s="53" t="s">
        <v>128</v>
      </c>
    </row>
    <row r="19" spans="1:3" ht="12.75" customHeight="1" x14ac:dyDescent="0.25">
      <c r="A19" s="93" t="s">
        <v>128</v>
      </c>
      <c r="B19" s="52" t="s">
        <v>128</v>
      </c>
      <c r="C19" s="53" t="s">
        <v>128</v>
      </c>
    </row>
    <row r="20" spans="1:3" ht="26.4" x14ac:dyDescent="0.25">
      <c r="A20" s="90" t="s">
        <v>84</v>
      </c>
      <c r="B20" s="58" t="s">
        <v>128</v>
      </c>
      <c r="C20" s="59" t="s">
        <v>128</v>
      </c>
    </row>
    <row r="10000" spans="52:52" ht="12.75" customHeight="1" x14ac:dyDescent="0.25">
      <c r="AZ10000">
        <v>1</v>
      </c>
    </row>
  </sheetData>
  <mergeCells count="3">
    <mergeCell ref="A1:C2"/>
    <mergeCell ref="A3:C3"/>
    <mergeCell ref="A4:C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0000"/>
  <sheetViews>
    <sheetView rightToLeft="1" zoomScale="70" zoomScaleNormal="70" workbookViewId="0">
      <selection activeCell="A6" sqref="A6:G38"/>
    </sheetView>
  </sheetViews>
  <sheetFormatPr defaultRowHeight="12.75" customHeight="1" x14ac:dyDescent="0.25"/>
  <cols>
    <col min="1" max="1" width="52.33203125" bestFit="1" customWidth="1"/>
    <col min="2" max="2" width="10.44140625" bestFit="1" customWidth="1"/>
    <col min="3" max="3" width="7" customWidth="1"/>
    <col min="4" max="4" width="11.44140625" customWidth="1"/>
    <col min="5" max="5" width="12.21875" customWidth="1"/>
    <col min="6" max="6" width="24.77734375" customWidth="1"/>
    <col min="7" max="7" width="26" customWidth="1"/>
  </cols>
  <sheetData>
    <row r="1" spans="1:7" ht="21" customHeight="1" x14ac:dyDescent="0.25">
      <c r="A1" s="31" t="s">
        <v>97</v>
      </c>
      <c r="B1" s="26"/>
      <c r="C1" s="26"/>
      <c r="D1" s="26"/>
      <c r="E1" s="26"/>
      <c r="F1" s="26"/>
      <c r="G1" s="26"/>
    </row>
    <row r="2" spans="1:7" ht="21" customHeight="1" x14ac:dyDescent="0.25">
      <c r="A2" s="26"/>
      <c r="B2" s="26"/>
      <c r="C2" s="26"/>
      <c r="D2" s="26"/>
      <c r="E2" s="26"/>
      <c r="F2" s="26"/>
      <c r="G2" s="26"/>
    </row>
    <row r="3" spans="1:7" ht="12.75" customHeight="1" x14ac:dyDescent="0.25">
      <c r="A3" s="27"/>
      <c r="B3" s="27"/>
      <c r="C3" s="27"/>
      <c r="D3" s="27"/>
      <c r="E3" s="27"/>
      <c r="F3" s="27"/>
      <c r="G3" s="27"/>
    </row>
    <row r="4" spans="1:7" ht="13.2" x14ac:dyDescent="0.25">
      <c r="A4" s="28" t="s">
        <v>113</v>
      </c>
      <c r="B4" s="29"/>
      <c r="C4" s="29"/>
      <c r="D4" s="29"/>
      <c r="E4" s="29"/>
      <c r="F4" s="29"/>
      <c r="G4" s="29"/>
    </row>
    <row r="5" spans="1:7" ht="13.2" x14ac:dyDescent="0.25">
      <c r="A5" s="96" t="s">
        <v>123</v>
      </c>
      <c r="B5" s="97" t="s">
        <v>25</v>
      </c>
      <c r="C5" s="97" t="s">
        <v>18</v>
      </c>
      <c r="D5" s="97" t="s">
        <v>19</v>
      </c>
      <c r="E5" s="97" t="s">
        <v>60</v>
      </c>
      <c r="F5" s="97" t="s">
        <v>30</v>
      </c>
      <c r="G5" s="98" t="s">
        <v>61</v>
      </c>
    </row>
    <row r="6" spans="1:7" ht="13.2" x14ac:dyDescent="0.25">
      <c r="A6" s="100" t="s">
        <v>128</v>
      </c>
      <c r="B6" s="101" t="s">
        <v>128</v>
      </c>
      <c r="C6" s="101" t="s">
        <v>128</v>
      </c>
      <c r="D6" s="101" t="s">
        <v>128</v>
      </c>
      <c r="E6" s="12" t="s">
        <v>4</v>
      </c>
      <c r="F6" s="12" t="s">
        <v>4</v>
      </c>
      <c r="G6" s="94" t="s">
        <v>33</v>
      </c>
    </row>
    <row r="7" spans="1:7" ht="13.2" x14ac:dyDescent="0.25">
      <c r="A7" s="60" t="s">
        <v>35</v>
      </c>
      <c r="B7" s="102" t="s">
        <v>128</v>
      </c>
      <c r="C7" s="102" t="s">
        <v>128</v>
      </c>
      <c r="D7" s="102" t="s">
        <v>128</v>
      </c>
      <c r="E7" s="102" t="s">
        <v>128</v>
      </c>
      <c r="F7" s="102" t="s">
        <v>128</v>
      </c>
      <c r="G7" s="103" t="s">
        <v>128</v>
      </c>
    </row>
    <row r="8" spans="1:7" ht="13.2" x14ac:dyDescent="0.25">
      <c r="A8" s="84" t="s">
        <v>128</v>
      </c>
      <c r="B8" s="102" t="s">
        <v>128</v>
      </c>
      <c r="C8" s="102" t="s">
        <v>128</v>
      </c>
      <c r="D8" s="102" t="s">
        <v>128</v>
      </c>
      <c r="E8" s="102" t="s">
        <v>128</v>
      </c>
      <c r="F8" s="102" t="s">
        <v>128</v>
      </c>
      <c r="G8" s="103" t="s">
        <v>128</v>
      </c>
    </row>
    <row r="9" spans="1:7" ht="13.2" x14ac:dyDescent="0.25">
      <c r="A9" s="60" t="s">
        <v>62</v>
      </c>
      <c r="B9" s="102" t="s">
        <v>128</v>
      </c>
      <c r="C9" s="102" t="s">
        <v>128</v>
      </c>
      <c r="D9" s="102" t="s">
        <v>128</v>
      </c>
      <c r="E9" s="102" t="s">
        <v>128</v>
      </c>
      <c r="F9" s="102" t="s">
        <v>128</v>
      </c>
      <c r="G9" s="103" t="s">
        <v>128</v>
      </c>
    </row>
    <row r="10" spans="1:7" ht="13.2" x14ac:dyDescent="0.25">
      <c r="A10" s="87" t="s">
        <v>63</v>
      </c>
      <c r="B10" s="102" t="s">
        <v>128</v>
      </c>
      <c r="C10" s="102" t="s">
        <v>128</v>
      </c>
      <c r="D10" s="102" t="s">
        <v>128</v>
      </c>
      <c r="E10" s="102" t="s">
        <v>128</v>
      </c>
      <c r="F10" s="102" t="s">
        <v>128</v>
      </c>
      <c r="G10" s="103" t="s">
        <v>128</v>
      </c>
    </row>
    <row r="11" spans="1:7" ht="13.2" x14ac:dyDescent="0.25">
      <c r="A11" s="62" t="s">
        <v>47</v>
      </c>
      <c r="B11" s="102" t="s">
        <v>128</v>
      </c>
      <c r="C11" s="102" t="s">
        <v>128</v>
      </c>
      <c r="D11" s="102" t="s">
        <v>128</v>
      </c>
      <c r="E11" s="102" t="s">
        <v>128</v>
      </c>
      <c r="F11" s="102" t="s">
        <v>128</v>
      </c>
      <c r="G11" s="103" t="s">
        <v>128</v>
      </c>
    </row>
    <row r="12" spans="1:7" ht="13.2" x14ac:dyDescent="0.25">
      <c r="A12" s="62" t="s">
        <v>48</v>
      </c>
      <c r="B12" s="102" t="s">
        <v>128</v>
      </c>
      <c r="C12" s="102" t="s">
        <v>128</v>
      </c>
      <c r="D12" s="102" t="s">
        <v>128</v>
      </c>
      <c r="E12" s="102" t="s">
        <v>128</v>
      </c>
      <c r="F12" s="102" t="s">
        <v>128</v>
      </c>
      <c r="G12" s="103" t="s">
        <v>128</v>
      </c>
    </row>
    <row r="13" spans="1:7" ht="13.2" x14ac:dyDescent="0.25">
      <c r="A13" s="87" t="s">
        <v>43</v>
      </c>
      <c r="B13" s="102" t="s">
        <v>128</v>
      </c>
      <c r="C13" s="102" t="s">
        <v>128</v>
      </c>
      <c r="D13" s="102" t="s">
        <v>128</v>
      </c>
      <c r="E13" s="102" t="s">
        <v>128</v>
      </c>
      <c r="F13" s="102" t="s">
        <v>128</v>
      </c>
      <c r="G13" s="103" t="s">
        <v>128</v>
      </c>
    </row>
    <row r="14" spans="1:7" ht="13.2" x14ac:dyDescent="0.25">
      <c r="A14" s="64" t="s">
        <v>39</v>
      </c>
      <c r="B14" s="102" t="s">
        <v>128</v>
      </c>
      <c r="C14" s="104" t="s">
        <v>128</v>
      </c>
      <c r="D14" s="104" t="s">
        <v>128</v>
      </c>
      <c r="E14" s="104" t="s">
        <v>128</v>
      </c>
      <c r="F14" s="102" t="s">
        <v>128</v>
      </c>
      <c r="G14" s="103" t="s">
        <v>128</v>
      </c>
    </row>
    <row r="15" spans="1:7" ht="13.2" x14ac:dyDescent="0.25">
      <c r="A15" s="64" t="s">
        <v>81</v>
      </c>
      <c r="B15" s="102" t="s">
        <v>128</v>
      </c>
      <c r="C15" s="104" t="s">
        <v>128</v>
      </c>
      <c r="D15" s="104" t="s">
        <v>128</v>
      </c>
      <c r="E15" s="104" t="s">
        <v>128</v>
      </c>
      <c r="F15" s="102" t="s">
        <v>128</v>
      </c>
      <c r="G15" s="103" t="s">
        <v>128</v>
      </c>
    </row>
    <row r="16" spans="1:7" ht="13.2" x14ac:dyDescent="0.25">
      <c r="A16" s="64" t="s">
        <v>80</v>
      </c>
      <c r="B16" s="102" t="s">
        <v>128</v>
      </c>
      <c r="C16" s="104" t="s">
        <v>128</v>
      </c>
      <c r="D16" s="104" t="s">
        <v>128</v>
      </c>
      <c r="E16" s="104" t="s">
        <v>128</v>
      </c>
      <c r="F16" s="102" t="s">
        <v>128</v>
      </c>
      <c r="G16" s="103" t="s">
        <v>128</v>
      </c>
    </row>
    <row r="17" spans="1:7" ht="13.2" x14ac:dyDescent="0.25">
      <c r="A17" s="65" t="s">
        <v>106</v>
      </c>
      <c r="B17" s="19">
        <v>45963</v>
      </c>
      <c r="C17" s="105" t="s">
        <v>128</v>
      </c>
      <c r="D17" s="105" t="s">
        <v>128</v>
      </c>
      <c r="E17" s="105" t="s">
        <v>128</v>
      </c>
      <c r="F17" s="20">
        <f>'נספח 2'!H30</f>
        <v>5.4230249521745382E-3</v>
      </c>
      <c r="G17" s="95">
        <v>4053.7739999999999</v>
      </c>
    </row>
    <row r="18" spans="1:7" ht="13.2" x14ac:dyDescent="0.25">
      <c r="A18" s="60" t="s">
        <v>49</v>
      </c>
      <c r="B18" s="104" t="s">
        <v>128</v>
      </c>
      <c r="C18" s="104" t="s">
        <v>128</v>
      </c>
      <c r="D18" s="104" t="s">
        <v>128</v>
      </c>
      <c r="E18" s="104" t="s">
        <v>128</v>
      </c>
      <c r="F18" s="104" t="s">
        <v>128</v>
      </c>
      <c r="G18" s="95">
        <f>SUM(G17)</f>
        <v>4053.7739999999999</v>
      </c>
    </row>
    <row r="19" spans="1:7" ht="13.2" x14ac:dyDescent="0.25">
      <c r="A19" s="84" t="s">
        <v>128</v>
      </c>
      <c r="B19" s="102" t="s">
        <v>128</v>
      </c>
      <c r="C19" s="102" t="s">
        <v>128</v>
      </c>
      <c r="D19" s="102" t="s">
        <v>128</v>
      </c>
      <c r="E19" s="102" t="s">
        <v>128</v>
      </c>
      <c r="F19" s="102" t="s">
        <v>128</v>
      </c>
      <c r="G19" s="106" t="s">
        <v>128</v>
      </c>
    </row>
    <row r="20" spans="1:7" ht="13.2" x14ac:dyDescent="0.25">
      <c r="A20" s="60" t="s">
        <v>64</v>
      </c>
      <c r="B20" s="102" t="s">
        <v>128</v>
      </c>
      <c r="C20" s="102" t="s">
        <v>128</v>
      </c>
      <c r="D20" s="102" t="s">
        <v>128</v>
      </c>
      <c r="E20" s="102" t="s">
        <v>128</v>
      </c>
      <c r="F20" s="102" t="s">
        <v>128</v>
      </c>
      <c r="G20" s="106" t="s">
        <v>128</v>
      </c>
    </row>
    <row r="21" spans="1:7" ht="13.2" x14ac:dyDescent="0.25">
      <c r="A21" s="66" t="s">
        <v>69</v>
      </c>
      <c r="B21" s="102" t="s">
        <v>128</v>
      </c>
      <c r="C21" s="102" t="s">
        <v>128</v>
      </c>
      <c r="D21" s="102" t="s">
        <v>128</v>
      </c>
      <c r="E21" s="102" t="s">
        <v>128</v>
      </c>
      <c r="F21" s="104" t="s">
        <v>128</v>
      </c>
      <c r="G21" s="106" t="s">
        <v>128</v>
      </c>
    </row>
    <row r="22" spans="1:7" ht="13.2" x14ac:dyDescent="0.25">
      <c r="A22" s="66" t="s">
        <v>70</v>
      </c>
      <c r="B22" s="102" t="s">
        <v>128</v>
      </c>
      <c r="C22" s="102" t="s">
        <v>128</v>
      </c>
      <c r="D22" s="102" t="s">
        <v>128</v>
      </c>
      <c r="E22" s="102" t="s">
        <v>128</v>
      </c>
      <c r="F22" s="104" t="s">
        <v>128</v>
      </c>
      <c r="G22" s="106" t="s">
        <v>128</v>
      </c>
    </row>
    <row r="23" spans="1:7" ht="13.2" x14ac:dyDescent="0.25">
      <c r="A23" s="60" t="s">
        <v>65</v>
      </c>
      <c r="B23" s="104" t="s">
        <v>128</v>
      </c>
      <c r="C23" s="104" t="s">
        <v>128</v>
      </c>
      <c r="D23" s="104" t="s">
        <v>128</v>
      </c>
      <c r="E23" s="104" t="s">
        <v>128</v>
      </c>
      <c r="F23" s="104" t="s">
        <v>128</v>
      </c>
      <c r="G23" s="106" t="s">
        <v>128</v>
      </c>
    </row>
    <row r="24" spans="1:7" ht="13.2" x14ac:dyDescent="0.25">
      <c r="A24" s="84" t="s">
        <v>128</v>
      </c>
      <c r="B24" s="102" t="s">
        <v>128</v>
      </c>
      <c r="C24" s="102" t="s">
        <v>128</v>
      </c>
      <c r="D24" s="102" t="s">
        <v>128</v>
      </c>
      <c r="E24" s="102" t="s">
        <v>128</v>
      </c>
      <c r="F24" s="102" t="s">
        <v>128</v>
      </c>
      <c r="G24" s="106" t="s">
        <v>128</v>
      </c>
    </row>
    <row r="25" spans="1:7" ht="13.2" x14ac:dyDescent="0.25">
      <c r="A25" s="60" t="s">
        <v>66</v>
      </c>
      <c r="B25" s="102" t="s">
        <v>128</v>
      </c>
      <c r="C25" s="102" t="s">
        <v>128</v>
      </c>
      <c r="D25" s="102" t="s">
        <v>128</v>
      </c>
      <c r="E25" s="102" t="s">
        <v>128</v>
      </c>
      <c r="F25" s="102" t="s">
        <v>128</v>
      </c>
      <c r="G25" s="106" t="s">
        <v>128</v>
      </c>
    </row>
    <row r="26" spans="1:7" ht="13.2" x14ac:dyDescent="0.25">
      <c r="A26" s="62" t="s">
        <v>71</v>
      </c>
      <c r="B26" s="102" t="s">
        <v>128</v>
      </c>
      <c r="C26" s="102" t="s">
        <v>128</v>
      </c>
      <c r="D26" s="102" t="s">
        <v>128</v>
      </c>
      <c r="E26" s="102" t="s">
        <v>128</v>
      </c>
      <c r="F26" s="104" t="s">
        <v>128</v>
      </c>
      <c r="G26" s="106" t="s">
        <v>128</v>
      </c>
    </row>
    <row r="27" spans="1:7" ht="13.2" x14ac:dyDescent="0.25">
      <c r="A27" s="62" t="s">
        <v>72</v>
      </c>
      <c r="B27" s="102" t="s">
        <v>128</v>
      </c>
      <c r="C27" s="102" t="s">
        <v>128</v>
      </c>
      <c r="D27" s="102" t="s">
        <v>128</v>
      </c>
      <c r="E27" s="102" t="s">
        <v>128</v>
      </c>
      <c r="F27" s="104" t="s">
        <v>128</v>
      </c>
      <c r="G27" s="106" t="s">
        <v>128</v>
      </c>
    </row>
    <row r="28" spans="1:7" ht="13.2" x14ac:dyDescent="0.25">
      <c r="A28" s="60" t="s">
        <v>67</v>
      </c>
      <c r="B28" s="104" t="s">
        <v>128</v>
      </c>
      <c r="C28" s="104" t="s">
        <v>128</v>
      </c>
      <c r="D28" s="104" t="s">
        <v>128</v>
      </c>
      <c r="E28" s="104" t="s">
        <v>128</v>
      </c>
      <c r="F28" s="104" t="s">
        <v>128</v>
      </c>
      <c r="G28" s="106" t="s">
        <v>128</v>
      </c>
    </row>
    <row r="29" spans="1:7" ht="13.2" x14ac:dyDescent="0.25">
      <c r="A29" s="84" t="s">
        <v>128</v>
      </c>
      <c r="B29" s="102" t="s">
        <v>128</v>
      </c>
      <c r="C29" s="102" t="s">
        <v>128</v>
      </c>
      <c r="D29" s="102" t="s">
        <v>128</v>
      </c>
      <c r="E29" s="102" t="s">
        <v>128</v>
      </c>
      <c r="F29" s="102" t="s">
        <v>128</v>
      </c>
      <c r="G29" s="106" t="s">
        <v>128</v>
      </c>
    </row>
    <row r="30" spans="1:7" ht="13.2" x14ac:dyDescent="0.25">
      <c r="A30" s="60" t="s">
        <v>68</v>
      </c>
      <c r="B30" s="102" t="s">
        <v>128</v>
      </c>
      <c r="C30" s="102" t="s">
        <v>128</v>
      </c>
      <c r="D30" s="102" t="s">
        <v>128</v>
      </c>
      <c r="E30" s="102" t="s">
        <v>128</v>
      </c>
      <c r="F30" s="102" t="s">
        <v>128</v>
      </c>
      <c r="G30" s="106" t="s">
        <v>128</v>
      </c>
    </row>
    <row r="31" spans="1:7" ht="13.2" x14ac:dyDescent="0.25">
      <c r="A31" s="87" t="s">
        <v>73</v>
      </c>
      <c r="B31" s="104" t="s">
        <v>128</v>
      </c>
      <c r="C31" s="102" t="s">
        <v>128</v>
      </c>
      <c r="D31" s="102" t="s">
        <v>128</v>
      </c>
      <c r="E31" s="104" t="s">
        <v>128</v>
      </c>
      <c r="F31" s="104" t="s">
        <v>128</v>
      </c>
      <c r="G31" s="106" t="s">
        <v>128</v>
      </c>
    </row>
    <row r="32" spans="1:7" ht="13.2" x14ac:dyDescent="0.25">
      <c r="A32" s="87" t="s">
        <v>74</v>
      </c>
      <c r="B32" s="104" t="s">
        <v>128</v>
      </c>
      <c r="C32" s="102" t="s">
        <v>128</v>
      </c>
      <c r="D32" s="102" t="s">
        <v>128</v>
      </c>
      <c r="E32" s="104" t="s">
        <v>128</v>
      </c>
      <c r="F32" s="104" t="s">
        <v>128</v>
      </c>
      <c r="G32" s="106" t="s">
        <v>128</v>
      </c>
    </row>
    <row r="33" spans="1:7" ht="13.2" x14ac:dyDescent="0.25">
      <c r="A33" s="87" t="s">
        <v>75</v>
      </c>
      <c r="B33" s="102" t="s">
        <v>128</v>
      </c>
      <c r="C33" s="102" t="s">
        <v>128</v>
      </c>
      <c r="D33" s="102" t="s">
        <v>128</v>
      </c>
      <c r="E33" s="102" t="s">
        <v>128</v>
      </c>
      <c r="F33" s="102" t="s">
        <v>128</v>
      </c>
      <c r="G33" s="106" t="s">
        <v>128</v>
      </c>
    </row>
    <row r="34" spans="1:7" ht="13.2" x14ac:dyDescent="0.25">
      <c r="A34" s="66" t="s">
        <v>76</v>
      </c>
      <c r="B34" s="102" t="s">
        <v>128</v>
      </c>
      <c r="C34" s="104" t="s">
        <v>128</v>
      </c>
      <c r="D34" s="104" t="s">
        <v>128</v>
      </c>
      <c r="E34" s="104" t="s">
        <v>128</v>
      </c>
      <c r="F34" s="104" t="s">
        <v>128</v>
      </c>
      <c r="G34" s="106" t="s">
        <v>128</v>
      </c>
    </row>
    <row r="35" spans="1:7" ht="13.2" x14ac:dyDescent="0.25">
      <c r="A35" s="66" t="s">
        <v>77</v>
      </c>
      <c r="B35" s="102" t="s">
        <v>128</v>
      </c>
      <c r="C35" s="104" t="s">
        <v>128</v>
      </c>
      <c r="D35" s="104" t="s">
        <v>128</v>
      </c>
      <c r="E35" s="104" t="s">
        <v>128</v>
      </c>
      <c r="F35" s="104" t="s">
        <v>128</v>
      </c>
      <c r="G35" s="106" t="s">
        <v>128</v>
      </c>
    </row>
    <row r="36" spans="1:7" ht="13.2" x14ac:dyDescent="0.25">
      <c r="A36" s="60" t="s">
        <v>78</v>
      </c>
      <c r="B36" s="104" t="s">
        <v>128</v>
      </c>
      <c r="C36" s="104" t="s">
        <v>128</v>
      </c>
      <c r="D36" s="104" t="s">
        <v>128</v>
      </c>
      <c r="E36" s="104" t="s">
        <v>128</v>
      </c>
      <c r="F36" s="104" t="s">
        <v>128</v>
      </c>
      <c r="G36" s="106" t="s">
        <v>128</v>
      </c>
    </row>
    <row r="37" spans="1:7" ht="13.2" x14ac:dyDescent="0.25">
      <c r="A37" s="60" t="s">
        <v>58</v>
      </c>
      <c r="B37" s="104" t="s">
        <v>128</v>
      </c>
      <c r="C37" s="104" t="s">
        <v>128</v>
      </c>
      <c r="D37" s="104" t="s">
        <v>128</v>
      </c>
      <c r="E37" s="104" t="s">
        <v>128</v>
      </c>
      <c r="F37" s="104" t="s">
        <v>128</v>
      </c>
      <c r="G37" s="95">
        <f>G18</f>
        <v>4053.7739999999999</v>
      </c>
    </row>
    <row r="38" spans="1:7" ht="13.2" x14ac:dyDescent="0.25">
      <c r="A38" s="75" t="s">
        <v>59</v>
      </c>
      <c r="B38" s="107" t="s">
        <v>128</v>
      </c>
      <c r="C38" s="107" t="s">
        <v>128</v>
      </c>
      <c r="D38" s="107" t="s">
        <v>128</v>
      </c>
      <c r="E38" s="107" t="s">
        <v>128</v>
      </c>
      <c r="F38" s="107" t="s">
        <v>128</v>
      </c>
      <c r="G38" s="99">
        <f>G18</f>
        <v>4053.7739999999999</v>
      </c>
    </row>
    <row r="10000" spans="52:52" ht="12.75" customHeight="1" x14ac:dyDescent="0.25">
      <c r="AZ10000">
        <v>1</v>
      </c>
    </row>
  </sheetData>
  <mergeCells count="3">
    <mergeCell ref="A1:G2"/>
    <mergeCell ref="A3:G3"/>
    <mergeCell ref="A4:G4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0000"/>
  <sheetViews>
    <sheetView rightToLeft="1" zoomScale="55" zoomScaleNormal="55" workbookViewId="0">
      <pane ySplit="6" topLeftCell="A7" activePane="bottomLeft" state="frozen"/>
      <selection pane="bottomLeft" activeCell="A6" sqref="A6:G27"/>
    </sheetView>
  </sheetViews>
  <sheetFormatPr defaultRowHeight="12.75" customHeight="1" x14ac:dyDescent="0.25"/>
  <cols>
    <col min="1" max="1" width="34.44140625" customWidth="1"/>
    <col min="2" max="2" width="10.44140625" bestFit="1" customWidth="1"/>
    <col min="3" max="3" width="16.33203125" bestFit="1" customWidth="1"/>
    <col min="4" max="4" width="27.21875" customWidth="1"/>
    <col min="5" max="5" width="25" customWidth="1"/>
    <col min="6" max="6" width="18.88671875" bestFit="1" customWidth="1"/>
    <col min="7" max="7" width="31.88671875" customWidth="1"/>
  </cols>
  <sheetData>
    <row r="1" spans="1:7" ht="21" customHeight="1" x14ac:dyDescent="0.25">
      <c r="A1" s="32" t="s">
        <v>98</v>
      </c>
      <c r="B1" s="27"/>
      <c r="C1" s="27"/>
      <c r="D1" s="27"/>
      <c r="E1" s="27"/>
      <c r="F1" s="27"/>
      <c r="G1" s="27"/>
    </row>
    <row r="2" spans="1:7" ht="21" customHeight="1" x14ac:dyDescent="0.25">
      <c r="A2" s="27"/>
      <c r="B2" s="27"/>
      <c r="C2" s="27"/>
      <c r="D2" s="27"/>
      <c r="E2" s="27"/>
      <c r="F2" s="27"/>
      <c r="G2" s="27"/>
    </row>
    <row r="3" spans="1:7" ht="12.75" customHeight="1" x14ac:dyDescent="0.25">
      <c r="A3" s="27"/>
      <c r="B3" s="27"/>
      <c r="C3" s="27"/>
      <c r="D3" s="27"/>
      <c r="E3" s="27"/>
      <c r="F3" s="27"/>
      <c r="G3" s="27"/>
    </row>
    <row r="4" spans="1:7" ht="13.2" x14ac:dyDescent="0.25">
      <c r="A4" s="28" t="s">
        <v>114</v>
      </c>
      <c r="B4" s="29"/>
      <c r="C4" s="29"/>
      <c r="D4" s="29"/>
      <c r="E4" s="29"/>
      <c r="F4" s="29"/>
      <c r="G4" s="29"/>
    </row>
    <row r="5" spans="1:7" ht="13.2" x14ac:dyDescent="0.25">
      <c r="A5" s="114" t="s">
        <v>123</v>
      </c>
      <c r="B5" s="73" t="s">
        <v>25</v>
      </c>
      <c r="C5" s="73" t="s">
        <v>17</v>
      </c>
      <c r="D5" s="73" t="s">
        <v>37</v>
      </c>
      <c r="E5" s="73" t="s">
        <v>26</v>
      </c>
      <c r="F5" s="73" t="s">
        <v>27</v>
      </c>
      <c r="G5" s="74" t="s">
        <v>28</v>
      </c>
    </row>
    <row r="6" spans="1:7" s="3" customFormat="1" ht="12.75" customHeight="1" x14ac:dyDescent="0.25">
      <c r="A6" s="117" t="s">
        <v>128</v>
      </c>
      <c r="B6" s="118" t="s">
        <v>128</v>
      </c>
      <c r="C6" s="118" t="s">
        <v>128</v>
      </c>
      <c r="D6" s="8" t="s">
        <v>4</v>
      </c>
      <c r="E6" s="8" t="s">
        <v>33</v>
      </c>
      <c r="F6" s="8" t="s">
        <v>33</v>
      </c>
      <c r="G6" s="110" t="s">
        <v>33</v>
      </c>
    </row>
    <row r="7" spans="1:7" ht="12.75" customHeight="1" x14ac:dyDescent="0.25">
      <c r="A7" s="108" t="s">
        <v>35</v>
      </c>
      <c r="B7" s="52" t="s">
        <v>128</v>
      </c>
      <c r="C7" s="52" t="s">
        <v>128</v>
      </c>
      <c r="D7" s="52" t="s">
        <v>128</v>
      </c>
      <c r="E7" s="52" t="s">
        <v>128</v>
      </c>
      <c r="F7" s="52" t="s">
        <v>128</v>
      </c>
      <c r="G7" s="53" t="s">
        <v>128</v>
      </c>
    </row>
    <row r="8" spans="1:7" ht="12.75" customHeight="1" x14ac:dyDescent="0.25">
      <c r="A8" s="108" t="s">
        <v>36</v>
      </c>
      <c r="B8" s="52" t="s">
        <v>128</v>
      </c>
      <c r="C8" s="52" t="s">
        <v>128</v>
      </c>
      <c r="D8" s="52" t="s">
        <v>128</v>
      </c>
      <c r="E8" s="52" t="s">
        <v>128</v>
      </c>
      <c r="F8" s="52" t="s">
        <v>128</v>
      </c>
      <c r="G8" s="53" t="s">
        <v>128</v>
      </c>
    </row>
    <row r="9" spans="1:7" ht="12.75" customHeight="1" x14ac:dyDescent="0.25">
      <c r="A9" s="89" t="s">
        <v>51</v>
      </c>
      <c r="B9" s="119" t="s">
        <v>128</v>
      </c>
      <c r="C9" s="119" t="s">
        <v>128</v>
      </c>
      <c r="D9" s="119" t="s">
        <v>128</v>
      </c>
      <c r="E9" s="119" t="s">
        <v>128</v>
      </c>
      <c r="F9" s="119" t="s">
        <v>128</v>
      </c>
      <c r="G9" s="53" t="s">
        <v>128</v>
      </c>
    </row>
    <row r="10" spans="1:7" ht="12.75" customHeight="1" x14ac:dyDescent="0.25">
      <c r="A10" s="89" t="s">
        <v>52</v>
      </c>
      <c r="B10" s="119" t="s">
        <v>128</v>
      </c>
      <c r="C10" s="119" t="s">
        <v>128</v>
      </c>
      <c r="D10" s="119" t="s">
        <v>128</v>
      </c>
      <c r="E10" s="119" t="s">
        <v>128</v>
      </c>
      <c r="F10" s="119" t="s">
        <v>128</v>
      </c>
      <c r="G10" s="53" t="s">
        <v>128</v>
      </c>
    </row>
    <row r="11" spans="1:7" ht="12.75" customHeight="1" x14ac:dyDescent="0.25">
      <c r="A11" s="89" t="s">
        <v>53</v>
      </c>
      <c r="B11" s="52" t="s">
        <v>128</v>
      </c>
      <c r="C11" s="52" t="s">
        <v>128</v>
      </c>
      <c r="D11" s="52" t="s">
        <v>128</v>
      </c>
      <c r="E11" s="52" t="s">
        <v>128</v>
      </c>
      <c r="F11" s="52" t="s">
        <v>128</v>
      </c>
      <c r="G11" s="53" t="s">
        <v>128</v>
      </c>
    </row>
    <row r="12" spans="1:7" ht="12.75" customHeight="1" x14ac:dyDescent="0.25">
      <c r="A12" s="109" t="s">
        <v>107</v>
      </c>
      <c r="B12" s="10">
        <v>45659</v>
      </c>
      <c r="C12" s="2" t="s">
        <v>116</v>
      </c>
      <c r="D12" s="16">
        <v>5.3333333333333337E-2</v>
      </c>
      <c r="E12" s="11">
        <v>89.787999999999997</v>
      </c>
      <c r="F12" s="11">
        <v>98.600559776089568</v>
      </c>
      <c r="G12" s="111">
        <v>1440.144</v>
      </c>
    </row>
    <row r="13" spans="1:7" ht="12.75" customHeight="1" x14ac:dyDescent="0.25">
      <c r="A13" s="109" t="s">
        <v>104</v>
      </c>
      <c r="B13" s="10">
        <v>45701</v>
      </c>
      <c r="C13" s="2" t="s">
        <v>117</v>
      </c>
      <c r="D13" s="16">
        <v>7.3999999999999995E-3</v>
      </c>
      <c r="E13" s="11">
        <v>98.02</v>
      </c>
      <c r="F13" s="11">
        <v>98.011795281887245</v>
      </c>
      <c r="G13" s="112">
        <v>648.66600000000005</v>
      </c>
    </row>
    <row r="14" spans="1:7" ht="12.75" customHeight="1" x14ac:dyDescent="0.25">
      <c r="A14" s="109" t="s">
        <v>102</v>
      </c>
      <c r="B14" s="10">
        <v>45720</v>
      </c>
      <c r="C14" s="2" t="s">
        <v>118</v>
      </c>
      <c r="D14" s="16">
        <v>-0.05</v>
      </c>
      <c r="E14" s="11">
        <v>108.12260000000001</v>
      </c>
      <c r="F14" s="11">
        <v>106.90523790483806</v>
      </c>
      <c r="G14" s="111">
        <v>-772.37800000000004</v>
      </c>
    </row>
    <row r="15" spans="1:7" ht="12.75" customHeight="1" x14ac:dyDescent="0.25">
      <c r="A15" s="109" t="s">
        <v>108</v>
      </c>
      <c r="B15" s="10">
        <v>45728</v>
      </c>
      <c r="C15" s="2" t="s">
        <v>119</v>
      </c>
      <c r="D15" s="16">
        <v>-0.01</v>
      </c>
      <c r="E15" s="11">
        <v>104.48350000000001</v>
      </c>
      <c r="F15" s="11">
        <v>102.250099960016</v>
      </c>
      <c r="G15" s="111">
        <v>-372.03199999999998</v>
      </c>
    </row>
    <row r="16" spans="1:7" ht="12.75" customHeight="1" x14ac:dyDescent="0.25">
      <c r="A16" s="109" t="s">
        <v>103</v>
      </c>
      <c r="B16" s="10">
        <v>45879</v>
      </c>
      <c r="C16" s="2" t="s">
        <v>120</v>
      </c>
      <c r="D16" s="16">
        <v>-1.55E-2</v>
      </c>
      <c r="E16" s="11">
        <v>105.7822</v>
      </c>
      <c r="F16" s="11">
        <v>102.37105157936827</v>
      </c>
      <c r="G16" s="111">
        <v>-327.16000000000003</v>
      </c>
    </row>
    <row r="17" spans="1:7" ht="12.75" customHeight="1" x14ac:dyDescent="0.25">
      <c r="A17" s="109" t="s">
        <v>109</v>
      </c>
      <c r="B17" s="10">
        <v>45903</v>
      </c>
      <c r="C17" s="2" t="s">
        <v>121</v>
      </c>
      <c r="D17" s="16">
        <v>-5.0000000000000001E-3</v>
      </c>
      <c r="E17" s="11">
        <v>107.1296</v>
      </c>
      <c r="F17" s="11">
        <v>105.57277089164334</v>
      </c>
      <c r="G17" s="111">
        <v>-178.01400000000001</v>
      </c>
    </row>
    <row r="18" spans="1:7" ht="12.75" customHeight="1" x14ac:dyDescent="0.25">
      <c r="A18" s="89" t="s">
        <v>56</v>
      </c>
      <c r="B18" s="52" t="s">
        <v>128</v>
      </c>
      <c r="C18" s="52" t="s">
        <v>128</v>
      </c>
      <c r="D18" s="52" t="s">
        <v>128</v>
      </c>
      <c r="E18" s="52" t="s">
        <v>128</v>
      </c>
      <c r="F18" s="52" t="s">
        <v>128</v>
      </c>
      <c r="G18" s="53" t="s">
        <v>128</v>
      </c>
    </row>
    <row r="19" spans="1:7" ht="12.75" customHeight="1" x14ac:dyDescent="0.25">
      <c r="A19" s="62" t="s">
        <v>39</v>
      </c>
      <c r="B19" s="52" t="s">
        <v>128</v>
      </c>
      <c r="C19" s="52" t="s">
        <v>128</v>
      </c>
      <c r="D19" s="52" t="s">
        <v>128</v>
      </c>
      <c r="E19" s="52" t="s">
        <v>128</v>
      </c>
      <c r="F19" s="52" t="s">
        <v>128</v>
      </c>
      <c r="G19" s="53" t="s">
        <v>128</v>
      </c>
    </row>
    <row r="20" spans="1:7" ht="12.75" customHeight="1" x14ac:dyDescent="0.25">
      <c r="A20" s="62" t="s">
        <v>54</v>
      </c>
      <c r="B20" s="52" t="s">
        <v>128</v>
      </c>
      <c r="C20" s="52" t="s">
        <v>128</v>
      </c>
      <c r="D20" s="52" t="s">
        <v>128</v>
      </c>
      <c r="E20" s="52" t="s">
        <v>128</v>
      </c>
      <c r="F20" s="52" t="s">
        <v>128</v>
      </c>
      <c r="G20" s="53" t="s">
        <v>128</v>
      </c>
    </row>
    <row r="21" spans="1:7" ht="12.75" customHeight="1" x14ac:dyDescent="0.25">
      <c r="A21" s="62" t="s">
        <v>79</v>
      </c>
      <c r="B21" s="52" t="s">
        <v>128</v>
      </c>
      <c r="C21" s="52" t="s">
        <v>128</v>
      </c>
      <c r="D21" s="52" t="s">
        <v>128</v>
      </c>
      <c r="E21" s="52" t="s">
        <v>128</v>
      </c>
      <c r="F21" s="52" t="s">
        <v>128</v>
      </c>
      <c r="G21" s="53" t="s">
        <v>128</v>
      </c>
    </row>
    <row r="22" spans="1:7" ht="12.75" customHeight="1" x14ac:dyDescent="0.25">
      <c r="A22" s="62" t="s">
        <v>40</v>
      </c>
      <c r="B22" s="52" t="s">
        <v>128</v>
      </c>
      <c r="C22" s="52" t="s">
        <v>128</v>
      </c>
      <c r="D22" s="52" t="s">
        <v>128</v>
      </c>
      <c r="E22" s="52" t="s">
        <v>128</v>
      </c>
      <c r="F22" s="52" t="s">
        <v>128</v>
      </c>
      <c r="G22" s="53" t="s">
        <v>128</v>
      </c>
    </row>
    <row r="23" spans="1:7" ht="12.75" customHeight="1" x14ac:dyDescent="0.25">
      <c r="A23" s="89" t="s">
        <v>57</v>
      </c>
      <c r="B23" s="52" t="s">
        <v>128</v>
      </c>
      <c r="C23" s="52" t="s">
        <v>128</v>
      </c>
      <c r="D23" s="52" t="s">
        <v>128</v>
      </c>
      <c r="E23" s="52" t="s">
        <v>128</v>
      </c>
      <c r="F23" s="52" t="s">
        <v>128</v>
      </c>
      <c r="G23" s="53" t="s">
        <v>128</v>
      </c>
    </row>
    <row r="24" spans="1:7" ht="12.75" customHeight="1" x14ac:dyDescent="0.25">
      <c r="A24" s="62" t="s">
        <v>55</v>
      </c>
      <c r="B24" s="52" t="s">
        <v>128</v>
      </c>
      <c r="C24" s="119" t="s">
        <v>128</v>
      </c>
      <c r="D24" s="119" t="s">
        <v>128</v>
      </c>
      <c r="E24" s="119" t="s">
        <v>128</v>
      </c>
      <c r="F24" s="119" t="s">
        <v>128</v>
      </c>
      <c r="G24" s="53" t="s">
        <v>128</v>
      </c>
    </row>
    <row r="25" spans="1:7" ht="12.75" customHeight="1" x14ac:dyDescent="0.25">
      <c r="A25" s="62" t="s">
        <v>55</v>
      </c>
      <c r="B25" s="52" t="s">
        <v>128</v>
      </c>
      <c r="C25" s="119" t="s">
        <v>128</v>
      </c>
      <c r="D25" s="119" t="s">
        <v>128</v>
      </c>
      <c r="E25" s="119" t="s">
        <v>128</v>
      </c>
      <c r="F25" s="119" t="s">
        <v>128</v>
      </c>
      <c r="G25" s="53" t="s">
        <v>128</v>
      </c>
    </row>
    <row r="26" spans="1:7" ht="12.75" customHeight="1" x14ac:dyDescent="0.25">
      <c r="A26" s="89" t="s">
        <v>58</v>
      </c>
      <c r="B26" s="119" t="s">
        <v>128</v>
      </c>
      <c r="C26" s="119" t="s">
        <v>128</v>
      </c>
      <c r="D26" s="119" t="s">
        <v>128</v>
      </c>
      <c r="E26" s="119" t="s">
        <v>128</v>
      </c>
      <c r="F26" s="119" t="s">
        <v>128</v>
      </c>
      <c r="G26" s="113">
        <f>SUM(G12:G25)</f>
        <v>439.22599999999977</v>
      </c>
    </row>
    <row r="27" spans="1:7" ht="12.75" customHeight="1" x14ac:dyDescent="0.25">
      <c r="A27" s="115" t="s">
        <v>59</v>
      </c>
      <c r="B27" s="120" t="s">
        <v>128</v>
      </c>
      <c r="C27" s="120" t="s">
        <v>128</v>
      </c>
      <c r="D27" s="120" t="s">
        <v>128</v>
      </c>
      <c r="E27" s="120" t="s">
        <v>128</v>
      </c>
      <c r="F27" s="120" t="s">
        <v>128</v>
      </c>
      <c r="G27" s="116">
        <f>G26</f>
        <v>439.22599999999977</v>
      </c>
    </row>
    <row r="31" spans="1:7" ht="12.75" customHeight="1" x14ac:dyDescent="0.25">
      <c r="F31" s="22"/>
    </row>
    <row r="32" spans="1:7" ht="12.75" customHeight="1" x14ac:dyDescent="0.25">
      <c r="F32" s="22"/>
    </row>
    <row r="33" spans="6:6" ht="12.75" customHeight="1" x14ac:dyDescent="0.25">
      <c r="F33" s="22"/>
    </row>
    <row r="34" spans="6:6" ht="12.75" customHeight="1" x14ac:dyDescent="0.25">
      <c r="F34" s="22"/>
    </row>
    <row r="35" spans="6:6" ht="12.75" customHeight="1" x14ac:dyDescent="0.25">
      <c r="F35" s="22"/>
    </row>
    <row r="36" spans="6:6" ht="12.75" customHeight="1" x14ac:dyDescent="0.25">
      <c r="F36" s="22"/>
    </row>
    <row r="10000" spans="52:52" ht="12.75" customHeight="1" x14ac:dyDescent="0.25">
      <c r="AZ10000">
        <v>1</v>
      </c>
    </row>
  </sheetData>
  <mergeCells count="3">
    <mergeCell ref="A1:G2"/>
    <mergeCell ref="A3:G3"/>
    <mergeCell ref="A4:G4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0000"/>
  <sheetViews>
    <sheetView rightToLeft="1" zoomScale="85" zoomScaleNormal="85" workbookViewId="0">
      <selection activeCell="A6" sqref="A6:E26"/>
    </sheetView>
  </sheetViews>
  <sheetFormatPr defaultRowHeight="12.75" customHeight="1" x14ac:dyDescent="0.25"/>
  <cols>
    <col min="1" max="1" width="26.44140625" bestFit="1" customWidth="1"/>
    <col min="2" max="2" width="14.21875" customWidth="1"/>
    <col min="3" max="3" width="13.77734375" customWidth="1"/>
    <col min="4" max="4" width="24" customWidth="1"/>
    <col min="5" max="5" width="17.21875" customWidth="1"/>
  </cols>
  <sheetData>
    <row r="1" spans="1:5" ht="21" customHeight="1" x14ac:dyDescent="0.25">
      <c r="A1" s="32" t="s">
        <v>99</v>
      </c>
      <c r="B1" s="27"/>
      <c r="C1" s="27"/>
      <c r="D1" s="27"/>
      <c r="E1" s="27"/>
    </row>
    <row r="2" spans="1:5" ht="21" customHeight="1" x14ac:dyDescent="0.25">
      <c r="A2" s="27"/>
      <c r="B2" s="27"/>
      <c r="C2" s="27"/>
      <c r="D2" s="27"/>
      <c r="E2" s="27"/>
    </row>
    <row r="3" spans="1:5" ht="12.75" customHeight="1" x14ac:dyDescent="0.25">
      <c r="A3" s="27"/>
      <c r="B3" s="27"/>
      <c r="C3" s="27"/>
      <c r="D3" s="27"/>
      <c r="E3" s="27"/>
    </row>
    <row r="4" spans="1:5" ht="13.2" x14ac:dyDescent="0.25">
      <c r="A4" s="28" t="s">
        <v>115</v>
      </c>
      <c r="B4" s="29"/>
      <c r="C4" s="29"/>
      <c r="D4" s="29"/>
      <c r="E4" s="29"/>
    </row>
    <row r="5" spans="1:5" ht="13.2" x14ac:dyDescent="0.25">
      <c r="A5" s="121" t="s">
        <v>123</v>
      </c>
      <c r="B5" s="122" t="s">
        <v>29</v>
      </c>
      <c r="C5" s="122" t="s">
        <v>17</v>
      </c>
      <c r="D5" s="122" t="s">
        <v>30</v>
      </c>
      <c r="E5" s="123" t="s">
        <v>31</v>
      </c>
    </row>
    <row r="6" spans="1:5" ht="13.2" x14ac:dyDescent="0.25">
      <c r="A6" s="100" t="s">
        <v>128</v>
      </c>
      <c r="B6" s="101" t="s">
        <v>128</v>
      </c>
      <c r="C6" s="101" t="s">
        <v>128</v>
      </c>
      <c r="D6" s="12" t="s">
        <v>4</v>
      </c>
      <c r="E6" s="94" t="s">
        <v>33</v>
      </c>
    </row>
    <row r="7" spans="1:5" ht="12.75" customHeight="1" x14ac:dyDescent="0.25">
      <c r="A7" s="87" t="s">
        <v>32</v>
      </c>
      <c r="B7" s="125" t="s">
        <v>128</v>
      </c>
      <c r="C7" s="125" t="s">
        <v>128</v>
      </c>
      <c r="D7" s="125" t="s">
        <v>128</v>
      </c>
      <c r="E7" s="126" t="s">
        <v>128</v>
      </c>
    </row>
    <row r="8" spans="1:5" ht="12.75" customHeight="1" x14ac:dyDescent="0.25">
      <c r="A8" s="87" t="s">
        <v>41</v>
      </c>
      <c r="B8" s="125" t="s">
        <v>128</v>
      </c>
      <c r="C8" s="125" t="s">
        <v>128</v>
      </c>
      <c r="D8" s="125" t="s">
        <v>128</v>
      </c>
      <c r="E8" s="126" t="s">
        <v>128</v>
      </c>
    </row>
    <row r="9" spans="1:5" ht="12.75" customHeight="1" x14ac:dyDescent="0.25">
      <c r="A9" s="87" t="s">
        <v>42</v>
      </c>
      <c r="B9" s="125" t="s">
        <v>128</v>
      </c>
      <c r="C9" s="125" t="s">
        <v>128</v>
      </c>
      <c r="D9" s="125" t="s">
        <v>128</v>
      </c>
      <c r="E9" s="126" t="s">
        <v>128</v>
      </c>
    </row>
    <row r="10" spans="1:5" ht="12.75" customHeight="1" x14ac:dyDescent="0.25">
      <c r="A10" s="62" t="s">
        <v>47</v>
      </c>
      <c r="B10" s="125" t="s">
        <v>128</v>
      </c>
      <c r="C10" s="125" t="s">
        <v>128</v>
      </c>
      <c r="D10" s="125" t="s">
        <v>128</v>
      </c>
      <c r="E10" s="126" t="s">
        <v>128</v>
      </c>
    </row>
    <row r="11" spans="1:5" ht="12.75" customHeight="1" x14ac:dyDescent="0.25">
      <c r="A11" s="62" t="s">
        <v>48</v>
      </c>
      <c r="B11" s="125" t="s">
        <v>128</v>
      </c>
      <c r="C11" s="125" t="s">
        <v>128</v>
      </c>
      <c r="D11" s="125" t="s">
        <v>128</v>
      </c>
      <c r="E11" s="126" t="s">
        <v>128</v>
      </c>
    </row>
    <row r="12" spans="1:5" ht="12.75" customHeight="1" x14ac:dyDescent="0.25">
      <c r="A12" s="87" t="s">
        <v>43</v>
      </c>
      <c r="B12" s="125" t="s">
        <v>128</v>
      </c>
      <c r="C12" s="125" t="s">
        <v>128</v>
      </c>
      <c r="D12" s="125" t="s">
        <v>128</v>
      </c>
      <c r="E12" s="126" t="s">
        <v>128</v>
      </c>
    </row>
    <row r="13" spans="1:5" ht="12.75" customHeight="1" x14ac:dyDescent="0.25">
      <c r="A13" s="62" t="s">
        <v>39</v>
      </c>
      <c r="B13" s="125" t="s">
        <v>128</v>
      </c>
      <c r="C13" s="125" t="s">
        <v>128</v>
      </c>
      <c r="D13" s="125" t="s">
        <v>128</v>
      </c>
      <c r="E13" s="126" t="s">
        <v>128</v>
      </c>
    </row>
    <row r="14" spans="1:5" ht="12.75" customHeight="1" x14ac:dyDescent="0.25">
      <c r="A14" s="62" t="s">
        <v>40</v>
      </c>
      <c r="B14" s="125" t="s">
        <v>128</v>
      </c>
      <c r="C14" s="125" t="s">
        <v>128</v>
      </c>
      <c r="D14" s="125" t="s">
        <v>128</v>
      </c>
      <c r="E14" s="126" t="s">
        <v>128</v>
      </c>
    </row>
    <row r="15" spans="1:5" ht="12.75" customHeight="1" x14ac:dyDescent="0.25">
      <c r="A15" s="87" t="s">
        <v>44</v>
      </c>
      <c r="B15" s="127" t="s">
        <v>128</v>
      </c>
      <c r="C15" s="127" t="s">
        <v>128</v>
      </c>
      <c r="D15" s="127" t="s">
        <v>128</v>
      </c>
      <c r="E15" s="126" t="s">
        <v>128</v>
      </c>
    </row>
    <row r="16" spans="1:5" ht="12.75" customHeight="1" x14ac:dyDescent="0.25">
      <c r="A16" s="128" t="s">
        <v>128</v>
      </c>
      <c r="B16" s="127" t="s">
        <v>128</v>
      </c>
      <c r="C16" s="127" t="s">
        <v>128</v>
      </c>
      <c r="D16" s="127" t="s">
        <v>128</v>
      </c>
      <c r="E16" s="126" t="s">
        <v>128</v>
      </c>
    </row>
    <row r="17" spans="1:5" ht="12.75" customHeight="1" x14ac:dyDescent="0.25">
      <c r="A17" s="87" t="s">
        <v>45</v>
      </c>
      <c r="B17" s="125" t="s">
        <v>128</v>
      </c>
      <c r="C17" s="125" t="s">
        <v>128</v>
      </c>
      <c r="D17" s="125" t="s">
        <v>128</v>
      </c>
      <c r="E17" s="126" t="s">
        <v>128</v>
      </c>
    </row>
    <row r="18" spans="1:5" ht="12.75" customHeight="1" x14ac:dyDescent="0.25">
      <c r="A18" s="87" t="s">
        <v>46</v>
      </c>
      <c r="B18" s="125" t="s">
        <v>128</v>
      </c>
      <c r="C18" s="127" t="s">
        <v>128</v>
      </c>
      <c r="D18" s="125" t="s">
        <v>128</v>
      </c>
      <c r="E18" s="126" t="s">
        <v>128</v>
      </c>
    </row>
    <row r="19" spans="1:5" ht="12.75" customHeight="1" x14ac:dyDescent="0.25">
      <c r="A19" s="62" t="s">
        <v>47</v>
      </c>
      <c r="B19" s="125" t="s">
        <v>128</v>
      </c>
      <c r="C19" s="127" t="s">
        <v>128</v>
      </c>
      <c r="D19" s="125" t="s">
        <v>128</v>
      </c>
      <c r="E19" s="126" t="s">
        <v>128</v>
      </c>
    </row>
    <row r="20" spans="1:5" ht="12.75" customHeight="1" x14ac:dyDescent="0.25">
      <c r="A20" s="62" t="s">
        <v>48</v>
      </c>
      <c r="B20" s="125" t="s">
        <v>128</v>
      </c>
      <c r="C20" s="127" t="s">
        <v>128</v>
      </c>
      <c r="D20" s="125" t="s">
        <v>128</v>
      </c>
      <c r="E20" s="126" t="s">
        <v>128</v>
      </c>
    </row>
    <row r="21" spans="1:5" ht="12.75" customHeight="1" x14ac:dyDescent="0.25">
      <c r="A21" s="87" t="s">
        <v>43</v>
      </c>
      <c r="B21" s="125" t="s">
        <v>128</v>
      </c>
      <c r="C21" s="127" t="s">
        <v>128</v>
      </c>
      <c r="D21" s="125" t="s">
        <v>128</v>
      </c>
      <c r="E21" s="126" t="s">
        <v>128</v>
      </c>
    </row>
    <row r="22" spans="1:5" ht="12.75" customHeight="1" x14ac:dyDescent="0.25">
      <c r="A22" s="62" t="s">
        <v>39</v>
      </c>
      <c r="B22" s="125" t="s">
        <v>128</v>
      </c>
      <c r="C22" s="127" t="s">
        <v>128</v>
      </c>
      <c r="D22" s="125" t="s">
        <v>128</v>
      </c>
      <c r="E22" s="126" t="s">
        <v>128</v>
      </c>
    </row>
    <row r="23" spans="1:5" ht="12.75" customHeight="1" x14ac:dyDescent="0.25">
      <c r="A23" s="62" t="s">
        <v>40</v>
      </c>
      <c r="B23" s="125" t="s">
        <v>128</v>
      </c>
      <c r="C23" s="127" t="s">
        <v>128</v>
      </c>
      <c r="D23" s="125" t="s">
        <v>128</v>
      </c>
      <c r="E23" s="126" t="s">
        <v>128</v>
      </c>
    </row>
    <row r="24" spans="1:5" ht="12.75" customHeight="1" x14ac:dyDescent="0.25">
      <c r="A24" s="87" t="s">
        <v>49</v>
      </c>
      <c r="B24" s="127" t="s">
        <v>128</v>
      </c>
      <c r="C24" s="127" t="s">
        <v>128</v>
      </c>
      <c r="D24" s="127" t="s">
        <v>128</v>
      </c>
      <c r="E24" s="126" t="s">
        <v>128</v>
      </c>
    </row>
    <row r="25" spans="1:5" ht="12.75" customHeight="1" x14ac:dyDescent="0.25">
      <c r="A25" s="100" t="s">
        <v>128</v>
      </c>
      <c r="B25" s="127" t="s">
        <v>128</v>
      </c>
      <c r="C25" s="127" t="s">
        <v>128</v>
      </c>
      <c r="D25" s="127" t="s">
        <v>128</v>
      </c>
      <c r="E25" s="126" t="s">
        <v>128</v>
      </c>
    </row>
    <row r="26" spans="1:5" ht="12.75" customHeight="1" x14ac:dyDescent="0.25">
      <c r="A26" s="124" t="s">
        <v>50</v>
      </c>
      <c r="B26" s="129" t="s">
        <v>128</v>
      </c>
      <c r="C26" s="129" t="s">
        <v>128</v>
      </c>
      <c r="D26" s="129" t="s">
        <v>128</v>
      </c>
      <c r="E26" s="130" t="s">
        <v>128</v>
      </c>
    </row>
    <row r="10000" spans="52:52" ht="12.75" customHeight="1" x14ac:dyDescent="0.25">
      <c r="AZ10000">
        <v>1</v>
      </c>
    </row>
  </sheetData>
  <mergeCells count="3">
    <mergeCell ref="A1:E2"/>
    <mergeCell ref="A3:E3"/>
    <mergeCell ref="A4:E4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 א</vt:lpstr>
      <vt:lpstr>נספח 3 ב</vt:lpstr>
      <vt:lpstr>נספח 3 ג</vt:lpstr>
      <vt:lpstr>נספח 4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9_13_0_2025_14</dc:title>
  <dc:creator>Zeevik Levinger</dc:creator>
  <cp:lastModifiedBy>Ofek Sharon</cp:lastModifiedBy>
  <dcterms:created xsi:type="dcterms:W3CDTF">2022-03-02T18:20:32Z</dcterms:created>
  <dcterms:modified xsi:type="dcterms:W3CDTF">2026-04-05T08:07:59Z</dcterms:modified>
  <dc:language>עברית</dc:language>
</cp:coreProperties>
</file>