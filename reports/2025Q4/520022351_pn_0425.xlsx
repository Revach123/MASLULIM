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CE0FD5E4-8820-48B9-8880-50B8F58DE33D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<sst xmlns="http://schemas.openxmlformats.org/spreadsheetml/2006/main" count="5110" uniqueCount="1370">
  <si>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</si>
  <si>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</si>
  <si>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</si>
  <si>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</si>
  <si>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</si>
  <si>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</si>
  <si>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</si>
  <si>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</si>
  <si>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</si>
  <si>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</si>
  <si>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</si>
  <si>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</si>
  <si>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</si>
  <si>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</si>
  <si>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</si>
  <si>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</si>
  <si>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</si>
  <si>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</si>
  <si>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</si>
  <si>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</si>
  <si>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</si>
  <si>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</si>
  <si>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</si>
  <si>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</si>
  <si>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</si>
  <si>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</si>
  <si>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</si>
  <si>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</si>
  <si>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</si>
  <si>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</si>
  <si>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</si>
  <si>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</si>
  <si>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</si>
  <si>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</si>
  <si>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</si>
  <si>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</si>
  <si>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</si>
  <si>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</si>
  <si>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</si>
  <si>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</si>
  <si>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</si>
  <si>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</si>
  <si>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</si>
  <si>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</si>
  <si>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</si>
  <si>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</si>
  <si>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</si>
  <si>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</si>
  <si>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</si>
  <si>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</si>
  <si>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</si>
  <si>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</si>
  <si>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</si>
  <si>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</si>
  <si>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</si>
  <si>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</si>
  <si>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</si>
  <si>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</si>
  <si>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</si>
  <si>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</si>
  <si>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</si>
  <si>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</si>
  <si>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</si>
  <si>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</si>
  <si>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</si>
  <si>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</si>
  <si>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</si>
  <si>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</si>
  <si>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</si>
  <si>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</si>
  <si>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</si>
  <si>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</si>
  <si>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</si>
  <si>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</si>
  <si>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</si>
  <si>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</si>
  <si>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</si>
  <si>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</si>
  <si>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</si>
  <si>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</si>
  <si>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</si>
  <si>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</si>
  <si>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</si>
  <si>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</si>
  <si>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</si>
  <si>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</si>
  <si>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</si>
  <si>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</si>
  <si>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</si>
  <si>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</si>
  <si>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</si>
  <si>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</si>
  <si>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</si>
  <si>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</si>
  <si>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</si>
  <si>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</si>
  <si>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</si>
  <si>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</si>
  <si>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</si>
  <si>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</si>
  <si>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</si>
  <si>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</si>
  <si>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</si>
  <si>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</si>
  <si>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</si>
  <si>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</si>
  <si>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</si>
  <si>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</si>
  <si>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</si>
  <si>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</si>
  <si>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</si>
  <si>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</si>
  <si>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</si>
  <si>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</si>
  <si>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</si>
  <si>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</si>
  <si>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</si>
  <si>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</si>
  <si>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</si>
  <si>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</si>
  <si>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</si>
  <si>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</si>
  <si>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</si>
  <si>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</si>
  <si>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</si>
  <si>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</si>
  <si>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</si>
  <si>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</si>
  <si>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</si>
  <si>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</si>
  <si>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</si>
  <si>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</si>
  <si>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</si>
  <si>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</si>
  <si>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</si>
  <si>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</si>
  <si>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</si>
  <si>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</si>
  <si>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</si>
  <si>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</si>
  <si>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</si>
  <si>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</si>
  <si>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</si>
  <si>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</si>
  <si>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</si>
  <si>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</si>
  <si>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</si>
  <si>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</si>
  <si>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</si>
  <si>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</si>
  <si>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</si>
  <si>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</si>
  <si>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</si>
  <si>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</si>
  <si>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</si>
  <si>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</si>
  <si>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</si>
  <si>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</si>
  <si>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</si>
  <si>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</si>
  <si>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</si>
  <si>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</si>
  <si>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</si>
  <si>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</si>
  <si>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</si>
  <si>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</si>
  <si>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</si>
  <si>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</si>
  <si>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</si>
  <si>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</si>
  <si>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</si>
  <si>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</si>
  <si>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</si>
  <si>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</si>
  <si>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</si>
  <si>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</si>
  <si>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</si>
  <si>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</si>
  <si>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</si>
  <si>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</si>
  <si>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</si>
  <si>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</si>
  <si>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</si>
  <si>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</si>
  <si>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</si>
  <si>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</si>
  <si>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</si>
  <si>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</si>
  <si>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</si>
  <si>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</si>
  <si>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</si>
  <si>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</si>
  <si>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</si>
  <si>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</si>
  <si>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</si>
  <si>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</si>
  <si>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</si>
  <si>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</si>
  <si>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</si>
  <si>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</si>
  <si>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</si>
  <si>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</si>
  <si>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</si>
  <si>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</si>
  <si>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</si>
  <si>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</si>
  <si>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</si>
  <si>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</si>
  <si>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</si>
  <si>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</si>
  <si>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</si>
  <si>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</si>
  <si>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</si>
  <si>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</si>
  <si>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</si>
  <si>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</si>
  <si>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</si>
  <si>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</si>
  <si>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</si>
  <si>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</si>
  <si>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</si>
  <si>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</si>
  <si>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</si>
  <si>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</si>
  <si>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</si>
  <si>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</si>
  <si>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</si>
  <si>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</si>
  <si>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</si>
  <si>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</si>
  <si>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</si>
  <si>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</si>
  <si>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</si>
  <si>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</si>
  <si>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</si>
  <si>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</si>
  <si>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</si>
  <si>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</si>
  <si>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</si>
  <si>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</si>
  <si>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</si>
  <si>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</si>
  <si>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</si>
  <si>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</si>
  <si>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</si>
  <si>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</si>
  <si>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</si>
  <si>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</si>
  <si>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</si>
  <si>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</si>
  <si>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</si>
  <si>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</si>
  <si>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</si>
  <si>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</si>
  <si>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</si>
  <si>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</si>
  <si>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</si>
  <si>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</si>
  <si>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</si>
  <si>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</si>
  <si>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</si>
  <si>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</si>
  <si>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</si>
  <si>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</si>
  <si>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</si>
  <si>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</si>
  <si>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</si>
  <si>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</si>
  <si>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</si>
  <si>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</si>
  <si>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</si>
  <si>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</si>
  <si>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</si>
  <si>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</si>
  <si>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</si>
  <si>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</si>
  <si>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</si>
  <si>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</si>
  <si>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</si>
  <si>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</si>
  <si>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</si>
  <si>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</si>
  <si>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</si>
  <si>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</si>
  <si>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</si>
  <si>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</si>
  <si>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</si>
  <si>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</si>
  <si>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</si>
  <si>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</si>
  <si>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</si>
  <si>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</si>
  <si>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</si>
  <si>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</si>
  <si>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</si>
  <si>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</si>
  <si>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</si>
  <si>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</si>
  <si>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</si>
  <si>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</si>
  <si>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</si>
  <si>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</si>
  <si>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</si>
  <si>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</si>
  <si>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</si>
  <si>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</si>
  <si>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</si>
  <si>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</si>
  <si>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</si>
  <si>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</si>
  <si>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</si>
  <si>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</si>
  <si>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</si>
  <si>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</si>
  <si>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</si>
  <si>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</si>
  <si>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</si>
  <si>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</si>
  <si>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</si>
  <si>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</si>
  <si>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</si>
  <si>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</si>
  <si>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</si>
  <si>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</si>
  <si>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</si>
  <si>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</si>
  <si>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</si>
  <si>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</si>
  <si>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</si>
  <si>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</si>
  <si>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</si>
  <si>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</si>
  <si>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</si>
  <si>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</si>
  <si>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</si>
  <si>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</si>
  <si>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</si>
  <si>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</si>
  <si>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</si>
  <si>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</si>
  <si>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</si>
  <si>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</si>
  <si>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</si>
  <si>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</si>
  <si>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</si>
  <si>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</si>
  <si>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</si>
  <si>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</si>
  <si>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</si>
  <si>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</si>
  <si>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</si>
  <si>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</si>
  <si>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</si>
  <si>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</si>
  <si>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</si>
  <si>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</si>
  <si>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</si>
  <si>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</si>
  <si>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</si>
  <si>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</si>
  <si>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</si>
  <si>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</si>
  <si>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</si>
  <si>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</si>
  <si>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</si>
  <si>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</si>
  <si>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</si>
  <si>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</si>
  <si>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</si>
  <si>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</si>
  <si>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</si>
  <si>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</si>
  <si>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</si>
  <si>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</si>
  <si>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</si>
  <si>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</si>
  <si>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</si>
  <si>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</si>
  <si>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</si>
  <si>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</si>
  <si>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</si>
  <si>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</si>
  <si>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</si>
  <si>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</si>
  <si>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</si>
  <si>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</si>
  <si>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</si>
  <si>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</si>
  <si>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</si>
  <si>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</si>
  <si>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</si>
  <si>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</si>
  <si>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</si>
  <si>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</si>
  <si>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</si>
  <si>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</si>
  <si>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</si>
  <si>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</si>
  <si>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</si>
  <si>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</si>
  <si>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</si>
  <si>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</si>
  <si>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</si>
  <si>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</si>
  <si>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</si>
  <si>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</si>
  <si>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</si>
  <si>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</si>
  <si>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</si>
  <si>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</si>
  <si>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</si>
  <si>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</si>
  <si>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</si>
  <si>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</si>
  <si>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</si>
  <si>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</si>
  <si>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</si>
  <si>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</si>
  <si>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</si>
  <si>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</si>
  <si>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</si>
  <si>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</si>
  <si>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</si>
  <si>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</si>
  <si>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</si>
  <si>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</si>
  <si>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</si>
  <si>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</si>
  <si>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</si>
  <si>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</si>
  <si>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</si>
  <si>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</si>
  <si>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</si>
  <si>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</si>
  <si>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</si>
  <si>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</si>
  <si>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</si>
  <si>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</si>
  <si>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</si>
  <si>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</si>
  <si>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</si>
  <si>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</si>
  <si>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</si>
  <si>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</si>
  <si>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</si>
  <si>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</si>
  <si>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</si>
  <si>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</si>
  <si>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</si>
  <si>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</si>
  <si>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</si>
  <si>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</si>
  <si>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</si>
  <si>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</si>
  <si>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</si>
  <si>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</si>
  <si>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</si>
  <si>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</si>
  <si>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</si>
  <si>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</si>
  <si>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</si>
  <si>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</si>
  <si>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</si>
  <si>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</si>
  <si>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</si>
  <si>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</si>
  <si>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</si>
  <si>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</si>
  <si>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</si>
  <si>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</si>
  <si>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</si>
  <si>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</si>
  <si>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</si>
  <si>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</si>
  <si>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</si>
  <si>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</si>
  <si>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</si>
  <si>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</si>
  <si>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</si>
  <si>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</si>
  <si>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</si>
  <si>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</si>
  <si>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</si>
  <si>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</si>
  <si>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</si>
  <si>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</si>
  <si>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</si>
  <si>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</si>
  <si>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</si>
  <si>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</si>
  <si>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</si>
  <si>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</si>
  <si>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</si>
  <si>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</si>
  <si>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</si>
  <si>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</si>
  <si>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</si>
  <si>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</si>
  <si>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</si>
  <si>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</si>
  <si>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</si>
  <si>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</si>
  <si>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</si>
  <si>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</si>
  <si>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</si>
  <si>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</si>
  <si>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</si>
  <si>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</si>
  <si>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</si>
  <si>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</si>
  <si>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</si>
  <si>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</si>
  <si>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</si>
  <si>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</si>
  <si>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</si>
  <si>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</si>
  <si>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</si>
  <si>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</si>
  <si>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</si>
  <si>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</si>
  <si>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</si>
  <si>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</si>
  <si>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</si>
  <si>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</si>
  <si>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</si>
  <si>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</si>
  <si>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</si>
  <si>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</si>
  <si>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</si>
  <si>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</si>
  <si>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</si>
  <si>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</si>
  <si>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</si>
  <si>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</si>
  <si>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</si>
  <si>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</si>
  <si>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</si>
  <si>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</si>
  <si>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</si>
  <si>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</si>
  <si>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</si>
  <si>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</si>
  <si>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</si>
  <si>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</si>
  <si>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</si>
  <si>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</si>
  <si>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</si>
  <si>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</si>
  <si>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</si>
  <si>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</si>
  <si>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</si>
  <si>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</si>
  <si>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</si>
  <si>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</si>
  <si>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</si>
  <si>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</si>
  <si>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</si>
  <si>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</si>
  <si>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</si>
  <si>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</si>
  <si>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</si>
  <si>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</si>
  <si>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</si>
  <si>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</si>
  <si>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</si>
  <si>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</si>
  <si>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</si>
  <si>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</si>
  <si>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</si>
  <si>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</si>
  <si>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</si>
  <si>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</si>
  <si>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</si>
  <si>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</si>
  <si>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</si>
  <si>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</si>
  <si>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</si>
  <si>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</si>
  <si>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</si>
  <si>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</si>
  <si>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</si>
  <si>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</si>
  <si>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</si>
  <si>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</si>
  <si>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</si>
  <si>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</si>
  <si>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</si>
  <si>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</si>
  <si>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</si>
  <si>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</si>
  <si>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</si>
  <si>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</si>
  <si>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</si>
  <si>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</si>
  <si>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</si>
  <si>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</si>
  <si>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</si>
  <si>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</si>
  <si>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</si>
  <si>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</si>
  <si>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</si>
  <si>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</si>
  <si>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</si>
  <si>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</si>
  <si>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</si>
  <si>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</si>
  <si>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</si>
  <si>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</si>
  <si>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</si>
  <si>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</si>
  <si>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</si>
  <si>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</si>
  <si>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</si>
  <si>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</si>
  <si>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</si>
  <si>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</si>
  <si>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</si>
  <si>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</si>
  <si>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</si>
  <si>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</si>
  <si>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</si>
  <si>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</si>
  <si>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</si>
  <si>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</si>
  <si>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</si>
  <si>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</si>
  <si>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</si>
  <si>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</si>
  <si>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</si>
  <si>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</si>
  <si>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</si>
  <si>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</si>
  <si>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</si>
  <si>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</si>
  <si>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</si>
  <si>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</si>
  <si>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</si>
  <si>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</si>
  <si>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</si>
  <si>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</si>
  <si>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</si>
  <si>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</si>
  <si>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</si>
  <si>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</si>
  <si>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</si>
  <si>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</si>
  <si>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</si>
  <si>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</si>
  <si>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</si>
  <si>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</si>
  <si>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</si>
  <si>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</si>
  <si>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</si>
  <si>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</si>
  <si>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</si>
  <si>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</si>
  <si>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</si>
  <si>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</si>
  <si>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</si>
  <si>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</si>
  <si>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</si>
  <si>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</si>
  <si>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</si>
  <si>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</si>
  <si>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</si>
  <si>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</si>
  <si>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</si>
  <si>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</si>
  <si>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</si>
  <si>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</si>
  <si>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</si>
  <si>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</si>
  <si>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</si>
  <si>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</si>
  <si>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</si>
  <si>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</si>
  <si>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</si>
  <si>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</si>
  <si>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</si>
  <si>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</si>
  <si>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</si>
  <si>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</si>
  <si>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</si>
  <si>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</si>
  <si>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</si>
  <si>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</si>
  <si>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</si>
  <si>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</si>
  <si>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</si>
  <si>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</si>
  <si>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</si>
  <si>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</si>
  <si>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</si>
  <si>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</si>
  <si>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</si>
  <si>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</si>
  <si>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</si>
  <si>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</si>
  <si>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</si>
  <si>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</si>
  <si>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</si>
  <si>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</si>
  <si>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</si>
  <si>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</si>
  <si>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</si>
  <si>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</si>
  <si>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</si>
  <si>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</si>
  <si>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</si>
  <si>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</si>
  <si>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</si>
  <si>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</si>
  <si>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</si>
  <si>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</si>
  <si>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</si>
  <si>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</si>
  <si>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</si>
  <si>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</si>
  <si>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</si>
  <si>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</si>
  <si>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</si>
  <si>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</si>
  <si>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</si>
  <si>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</si>
  <si>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</si>
  <si>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</si>
  <si>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</si>
  <si>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</si>
  <si>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</si>
  <si>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</si>
  <si>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</si>
  <si>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</si>
  <si>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</si>
  <si>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</si>
  <si>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</si>
  <si>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</si>
  <si>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</si>
  <si>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</si>
  <si>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</si>
  <si>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</si>
  <si>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</si>
  <si>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</si>
  <si>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</si>
  <si>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</si>
  <si>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</si>
  <si>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</si>
  <si>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</si>
  <si>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</si>
  <si>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</si>
  <si>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</si>
  <si>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</si>
  <si>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</si>
  <si>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</si>
  <si>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</si>
  <si>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</si>
  <si>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</si>
  <si>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</si>
  <si>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</si>
  <si>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</si>
  <si>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</si>
  <si>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</si>
  <si>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</si>
  <si>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</si>
  <si>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</si>
  <si>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</si>
  <si>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</si>
  <si>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</si>
  <si>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</si>
  <si>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</si>
  <si>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</si>
  <si>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</si>
  <si>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</si>
  <si>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</si>
  <si>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</si>
  <si>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</si>
  <si>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</si>
  <si>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</si>
  <si>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</si>
  <si>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</si>
  <si>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</si>
  <si>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</si>
  <si>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</si>
  <si>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</si>
  <si>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</si>
  <si>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</si>
  <si>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</si>
  <si>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</si>
  <si>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</si>
  <si>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</si>
  <si>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</si>
  <si>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</si>
  <si>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</si>
  <si>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</si>
  <si>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</si>
  <si>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</si>
  <si>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</si>
  <si>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</si>
  <si>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</si>
  <si>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</si>
  <si>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</si>
  <si>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</si>
  <si>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</si>
  <si>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</si>
  <si>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</si>
  <si>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</si>
  <si>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</si>
  <si>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</si>
  <si>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</si>
  <si>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</si>
  <si>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</si>
  <si>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</si>
  <si>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</si>
  <si>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</si>
  <si>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</si>
  <si>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</si>
  <si>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</si>
  <si>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</si>
  <si>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</si>
  <si>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</si>
  <si>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</si>
  <si>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</si>
  <si>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</si>
  <si>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</si>
  <si>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</si>
  <si>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</si>
  <si>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</si>
  <si>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</si>
  <si>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</si>
  <si>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</si>
  <si>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</si>
  <si>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</si>
  <si>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</si>
  <si>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</si>
  <si>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</si>
  <si>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</si>
  <si>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</si>
  <si>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</si>
  <si>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</si>
  <si>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</si>
  <si>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</si>
  <si>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</si>
  <si>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</si>
  <si>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</si>
  <si>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</si>
  <si>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</si>
  <si>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</si>
  <si>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</si>
  <si>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</si>
  <si>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</si>
  <si>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</si>
  <si>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</si>
  <si>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</si>
  <si>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</si>
  <si>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</si>
  <si>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</si>
  <si>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</si>
  <si>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</si>
  <si>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</si>
  <si>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</si>
  <si>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</si>
  <si>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</si>
  <si>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</si>
  <si>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</si>
  <si>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</si>
  <si>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</si>
  <si>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</si>
  <si>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</si>
  <si>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</si>
  <si>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</si>
  <si>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</si>
  <si>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</si>
  <si>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</si>
  <si>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</si>
  <si>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</si>
  <si>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</si>
  <si>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</si>
  <si>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</si>
  <si>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</si>
  <si>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</si>
  <si>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</si>
  <si>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</si>
  <si>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</si>
  <si>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</si>
  <si>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</si>
  <si>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</si>
  <si>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</si>
  <si>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</si>
  <si>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</si>
  <si>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</si>
  <si>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</si>
  <si>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</si>
  <si>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</si>
  <si>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</si>
  <si>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</si>
  <si>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</si>
  <si>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</si>
  <si>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</si>
  <si>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</si>
  <si>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</si>
  <si>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</si>
  <si>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</si>
  <si>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</si>
  <si>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</si>
  <si>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</si>
  <si>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</si>
  <si>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</si>
  <si>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</si>
  <si>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</si>
  <si>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</si>
  <si>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</si>
  <si>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</si>
  <si>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</si>
  <si>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</si>
  <si>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</si>
  <si>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</si>
  <si>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</si>
  <si>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</si>
  <si>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</si>
  <si>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</si>
  <si>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</si>
  <si>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</si>
  <si>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</si>
  <si>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</si>
  <si>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</si>
  <si>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</si>
  <si>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</si>
  <si>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</si>
  <si>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</si>
  <si>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</si>
  <si>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</si>
  <si>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</si>
  <si>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</si>
  <si>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</si>
  <si>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</si>
  <si>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</si>
  <si>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</si>
  <si>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</si>
  <si>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</si>
  <si>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</si>
  <si>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</si>
  <si>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</si>
  <si>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</si>
  <si>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</si>
  <si>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</si>
  <si>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</si>
  <si>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</si>
  <si>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</si>
  <si>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</si>
  <si>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</si>
  <si>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</si>
  <si>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</si>
  <si>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</si>
  <si>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</si>
  <si>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</si>
  <si>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</si>
  <si>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</si>
  <si>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</si>
  <si>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</si>
  <si>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</si>
  <si>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</si>
  <si>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</si>
  <si>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</si>
  <si>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</si>
  <si>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</si>
  <si>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</si>
  <si>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</si>
  <si>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</si>
  <si>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</si>
  <si>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</si>
  <si>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</si>
  <si>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</si>
  <si>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</si>
  <si>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</si>
  <si>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</si>
  <si>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</si>
  <si>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</si>
  <si>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</si>
  <si>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</si>
  <si>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</si>
  <si>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</si>
  <si>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</si>
  <si>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</si>
  <si>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</si>
  <si>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</si>
  <si>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</si>
  <si>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</si>
  <si>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</si>
  <si>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</si>
  <si>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</si>
  <si>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</si>
  <si>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</si>
  <si>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</si>
  <si>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</si>
  <si>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</si>
  <si>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</si>
  <si>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</si>
  <si>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</si>
  <si>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</si>
  <si>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</si>
  <si>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</si>
  <si>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</si>
  <si>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</si>
  <si>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</si>
  <si>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</si>
  <si>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</si>
  <si>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</si>
  <si>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</si>
  <si>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</si>
  <si>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</si>
  <si>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</si>
  <si>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</si>
  <si>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</si>
  <si>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</si>
  <si>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</si>
  <si>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</si>
  <si>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</si>
  <si>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</si>
  <si>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</si>
  <si>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</si>
  <si>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</si>
  <si>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</si>
  <si>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</si>
  <si>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</si>
  <si>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</si>
  <si>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</si>
  <si>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</si>
  <si>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</si>
  <si>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</si>
  <si>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</si>
  <si>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</si>
  <si>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</si>
  <si>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</si>
  <si>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</si>
  <si>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</si>
  <si>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</si>
  <si>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</si>
  <si>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</si>
  <si>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</si>
  <si>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</si>
  <si>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</si>
  <si>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</si>
  <si>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</si>
  <si>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</si>
  <si>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</si>
  <si>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</si>
  <si>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</si>
  <si>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</si>
  <si>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</si>
  <si>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</si>
  <si>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</si>
  <si>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</si>
  <si>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</si>
  <si>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</si>
  <si>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</si>
  <si>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</si>
  <si>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</si>
  <si>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</si>
  <si>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</si>
  <si>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</si>
  <si>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</si>
  <si>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</si>
  <si>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</si>
  <si>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</si>
  <si>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</si>
  <si>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</si>
  <si>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</si>
  <si>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</si>
  <si>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</si>
  <si>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</si>
  <si>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</si>
  <si>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</si>
  <si>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</si>
  <si>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</si>
  <si>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</si>
  <si>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</si>
  <si>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</si>
  <si>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</si>
  <si>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</si>
  <si>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</si>
  <si>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</si>
  <si>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</si>
  <si>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</si>
  <si>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</si>
  <si>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</si>
  <si>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</si>
  <si>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</si>
  <si>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</si>
  <si>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</si>
  <si>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</si>
  <si>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</si>
  <si>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</si>
  <si>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</si>
  <si>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</si>
  <si>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</si>
  <si>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</si>
  <si>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</si>
  <si>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</si>
  <si>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</si>
  <si>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</si>
  <si>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</si>
  <si>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</si>
  <si>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</si>
  <si>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</si>
  <si>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</si>
  <si>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</si>
  <si>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</si>
  <si>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</si>
  <si>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</si>
  <si>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</si>
  <si>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</si>
  <si>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</si>
  <si>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</si>
  <si>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</si>
  <si>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</si>
  <si>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</si>
  <si>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</si>
  <si>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</si>
  <si>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</si>
  <si>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</si>
  <si>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</si>
  <si>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</si>
  <si>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</si>
  <si>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</si>
  <si>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</si>
  <si>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</si>
  <si>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</si>
  <si>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</si>
  <si>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</si>
  <si>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</si>
  <si>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</si>
  <si>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</si>
  <si>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</si>
  <si>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</si>
  <si>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</si>
  <si>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</si>
  <si>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</si>
  <si>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</si>
  <si>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</si>
  <si>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</si>
  <si>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</si>
  <si>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</si>
  <si>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</si>
  <si>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</si>
  <si>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</si>
  <si>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</si>
  <si>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</si>
  <si>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</si>
  <si>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</si>
  <si>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</si>
  <si>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</si>
  <si>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</si>
  <si>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</si>
  <si>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</si>
  <si>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</si>
  <si>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</si>
  <si>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</si>
  <si>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</si>
  <si>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</si>
  <si>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</si>
  <si>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</si>
  <si>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</si>
  <si>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</si>
  <si>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</si>
  <si>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</si>
  <si>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</si>
  <si>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</si>
  <si>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</si>
  <si>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</si>
  <si>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</si>
  <si>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</si>
  <si>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</si>
  <si>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</si>
  <si>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</si>
  <si>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</si>
  <si>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</si>
  <si>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</si>
  <si>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</si>
  <si>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</si>
  <si>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</si>
  <si>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</si>
  <si>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</si>
  <si>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</si>
  <si>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</si>
  <si>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</si>
  <si>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</si>
  <si>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</si>
  <si>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</si>
  <si>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</si>
  <si>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</si>
  <si>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</si>
  <si>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</si>
  <si>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</si>
  <si>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</si>
  <si>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</si>
  <si>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</si>
  <si>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</si>
  <si>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</si>
  <si>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</si>
  <si>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</si>
  <si>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</si>
  <si>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</si>
  <si>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</si>
  <si>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</si>
  <si>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</si>
  <si>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</si>
  <si>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</si>
  <si>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</si>
  <si>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</si>
  <si>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</si>
  <si>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</si>
  <si>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</si>
  <si>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</si>
  <si>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</si>
  <si>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</si>
  <si>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נתיב קרן הפנסיה של פועלי ועובדי מפעלי משק ההסתדרות בע"מ</t>
  </si>
  <si>
    <t>בנק לאומי</t>
  </si>
  <si>
    <t>10-800</t>
  </si>
  <si>
    <t>ilAAA</t>
  </si>
  <si>
    <t>EUR</t>
  </si>
  <si>
    <t>בנק הפועלים</t>
  </si>
  <si>
    <t>12-600</t>
  </si>
  <si>
    <t>Aaa.il</t>
  </si>
  <si>
    <t>ILS</t>
  </si>
  <si>
    <t>בנק מזרחי</t>
  </si>
  <si>
    <t>20-21</t>
  </si>
  <si>
    <t>USD</t>
  </si>
  <si>
    <t>ממשלת ישראל</t>
  </si>
  <si>
    <t>ממשל צמודה 1131</t>
  </si>
  <si>
    <t>IL0011722209</t>
  </si>
  <si>
    <t>ilRF</t>
  </si>
  <si>
    <t>ממשלתי צמוד  1151</t>
  </si>
  <si>
    <t>IL0011683013</t>
  </si>
  <si>
    <t>ממשלתי צמוד 0536</t>
  </si>
  <si>
    <t>IL0010977085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</si>
  <si>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</si>
  <si>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</si>
  <si>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</si>
  <si>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</si>
  <si>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</si>
  <si>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</si>
  <si>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ממשלתי  צמוד 0841</t>
  </si>
  <si>
    <t>IL0011205833</t>
  </si>
  <si>
    <t>ממשל שקלית 0330</t>
  </si>
  <si>
    <t>IL0011609851</t>
  </si>
  <si>
    <t>ממשל צמודה 1033</t>
  </si>
  <si>
    <t>IL0012043795</t>
  </si>
  <si>
    <t>ממשל צמודה 0726</t>
  </si>
  <si>
    <t>IL0011695645</t>
  </si>
  <si>
    <t>ממשל צמודה 0456</t>
  </si>
  <si>
    <t>IL0012307133</t>
  </si>
  <si>
    <t>מזרחי טפחות הנפקות</t>
  </si>
  <si>
    <t>מזרחי טפחות הנפקות אגח 62</t>
  </si>
  <si>
    <t>IL0023104982</t>
  </si>
  <si>
    <t>חברת החשמל לישראל בע"מ</t>
  </si>
  <si>
    <t>חשמל אגח 27</t>
  </si>
  <si>
    <t>IL0060002107</t>
  </si>
  <si>
    <t>מקורות חברת מים בע"מ</t>
  </si>
  <si>
    <t>מקורות סדרה 11</t>
  </si>
  <si>
    <t>IL0011584765</t>
  </si>
  <si>
    <t>חשמל אגח 33</t>
  </si>
  <si>
    <t>IL0060003923</t>
  </si>
  <si>
    <t>לאומי</t>
  </si>
  <si>
    <t>לאומי אגח 182</t>
  </si>
  <si>
    <t>IL0060405391</t>
  </si>
  <si>
    <t>חשמל 31</t>
  </si>
  <si>
    <t>IL0060002859</t>
  </si>
  <si>
    <t>פועלים אגח 201</t>
  </si>
  <si>
    <t>IL0011913451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</si>
  <si>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</si>
  <si>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</si>
  <si>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</si>
  <si>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</si>
  <si>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</si>
  <si>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מזרחי  טפחות הנפקות 64</t>
  </si>
  <si>
    <t>IL0023105559</t>
  </si>
  <si>
    <t>לאומי 186</t>
  </si>
  <si>
    <t>IL0012018391</t>
  </si>
  <si>
    <t>פועלים התח נד ז</t>
  </si>
  <si>
    <t>IL0011913295</t>
  </si>
  <si>
    <t>ilAA-</t>
  </si>
  <si>
    <t>נתיבי הגז הטבעי לישראל בע"מ</t>
  </si>
  <si>
    <t>נתיבי גז אגח ד</t>
  </si>
  <si>
    <t>IL0011475030</t>
  </si>
  <si>
    <t>מימון ישיר</t>
  </si>
  <si>
    <t>מימון ישיר קבוצה ו</t>
  </si>
  <si>
    <t>IL0011916595</t>
  </si>
  <si>
    <t>A1.il</t>
  </si>
  <si>
    <t>מזרחי טפ הנ אגח 68</t>
  </si>
  <si>
    <t>IL0012021429</t>
  </si>
  <si>
    <t>מזרחי טפחות הנפקות 46</t>
  </si>
  <si>
    <t>IL0023102259</t>
  </si>
  <si>
    <t>פועלים 200</t>
  </si>
  <si>
    <t>IL0066204962</t>
  </si>
  <si>
    <t>מזרחי  טפחות הנפקות  52</t>
  </si>
  <si>
    <t>IL0023103810</t>
  </si>
  <si>
    <t>מימון ישיר אגח ד</t>
  </si>
  <si>
    <t>IL0011756603</t>
  </si>
  <si>
    <t>לאומי 183</t>
  </si>
  <si>
    <t>IL0060405474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</si>
  <si>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</si>
  <si>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</si>
  <si>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</si>
  <si>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</si>
  <si>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</si>
  <si>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</si>
  <si>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</si>
  <si>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</si>
  <si>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</si>
  <si>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</si>
  <si>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(00) תל בונד 40</t>
  </si>
  <si>
    <t>IL0011450934</t>
  </si>
  <si>
    <t>הראל סל תא 35</t>
  </si>
  <si>
    <t>IL0011489072</t>
  </si>
  <si>
    <t>תכלית סל תא 35</t>
  </si>
  <si>
    <t>IL0011437006</t>
  </si>
  <si>
    <t>קסם ETF תלבונד 40</t>
  </si>
  <si>
    <t>IL0011462160</t>
  </si>
  <si>
    <t>הראל סל תלבונד 40</t>
  </si>
  <si>
    <t>IL0011504995</t>
  </si>
  <si>
    <t>קסם ETF תא 35</t>
  </si>
  <si>
    <t>IL0011465700</t>
  </si>
  <si>
    <t>מגדל קרנות נאמנות בע"מ</t>
  </si>
  <si>
    <t>MTF סל (4A) ת"א 35</t>
  </si>
  <si>
    <t>IL0011501843</t>
  </si>
  <si>
    <t>INVESCO MARKETS PLC</t>
  </si>
  <si>
    <t>ECPGFXU8A2SHKVVGJI15</t>
  </si>
  <si>
    <t>MXWO  LN -  MSCI World (P)</t>
  </si>
  <si>
    <t>IE00B60SX394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</si>
  <si>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</si>
  <si>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</si>
  <si>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</si>
  <si>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</si>
  <si>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</si>
  <si>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</si>
  <si>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</si>
  <si>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</si>
  <si>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</si>
  <si>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</si>
  <si>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</si>
  <si>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</si>
  <si>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</si>
  <si>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</si>
  <si>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</si>
  <si>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</si>
  <si>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8774 02.01.26 4.8%</t>
  </si>
  <si>
    <t>ערד 8822 1.1.30 4.8%</t>
  </si>
  <si>
    <t>ערד 8898 01.06.36 4.8%</t>
  </si>
  <si>
    <t>ערד 8859 01.02.33 4.8%</t>
  </si>
  <si>
    <t>ערד 8798 01.01.28 4.8%</t>
  </si>
  <si>
    <t>ערד 8835 01.02.31 4.8%</t>
  </si>
  <si>
    <t>ערד 8894 01.02.36 4.8%</t>
  </si>
  <si>
    <t>ערד 8807 01.10.28 4.8%</t>
  </si>
  <si>
    <t>ערד 8883 02.02.35 4.8%</t>
  </si>
  <si>
    <t>ערד 8847 1.2.32 4.8%</t>
  </si>
  <si>
    <t>ערד 8893 01.01.36 4.8%</t>
  </si>
  <si>
    <t>ערד 8871 1.02.34 4.8%</t>
  </si>
  <si>
    <t>ערד 8897 02.05.36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</si>
  <si>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</si>
  <si>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</si>
  <si>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</si>
  <si>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</si>
  <si>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</si>
  <si>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</si>
  <si>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</si>
  <si>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קרן השקעות של ח.העובדים וחב"ע</t>
  </si>
  <si>
    <t>נתניה -בן צבי ג.8244 שטח חקל</t>
  </si>
  <si>
    <t>רפאל איתן פינת שדרות בן צבי נתניה</t>
  </si>
  <si>
    <t>נתיב ס.מ.ישיר 30.09.25</t>
  </si>
  <si>
    <t>התח.ממש.אי העלאת ג.פרישה נשים</t>
  </si>
  <si>
    <t>520022351_pn_p_0425.xlsx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</si>
</sst>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  <numFmt numFmtId="170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70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167" fontId="0" fillId="0" borderId="0" xfId="4" applyNumberFormat="1" applyFont="1" applyFill="1" applyBorder="1"/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808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1214</v>
      </c>
    </row>
    <row r="12" spans="1:4" x14ac:dyDescent="0.2"/>
    <row r="13" spans="1:4" ht="15" x14ac:dyDescent="0.2">
      <c r="A13" t="s">
        <v>509</v>
      </c>
      <c r="D13" s="95">
        <v>520022351</v>
      </c>
    </row>
    <row r="14" spans="1:4" x14ac:dyDescent="0.2"/>
    <row r="15" spans="1:4" ht="15" x14ac:dyDescent="0.25">
      <c r="A15" s="16" t="s">
        <v>371</v>
      </c>
      <c r="D15" s="147" t="s">
        <v>1369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24" sqref="B24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263027.00420000002</v>
      </c>
      <c r="C3" s="42"/>
      <c r="D3" s="42"/>
      <c r="E3" s="130">
        <f>IFERROR(B3/$B$30,0)</f>
        <v>1.5562660751840745E-2</v>
      </c>
    </row>
    <row r="4" spans="1:5" x14ac:dyDescent="0.2">
      <c r="A4" s="41" t="s">
        <v>40</v>
      </c>
      <c r="B4" s="128">
        <f>SUM('איגרות חוב ממשלתיות'!U:U)</f>
        <v>2239119.4915</v>
      </c>
      <c r="C4" s="42"/>
      <c r="D4" s="42"/>
      <c r="E4" s="130">
        <f t="shared" ref="E4:E29" si="0">IFERROR(B4/$B$30,0)</f>
        <v>0.13248319173552239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205314.36528999999</v>
      </c>
      <c r="C6" s="42"/>
      <c r="D6" s="42"/>
      <c r="E6" s="130">
        <f t="shared" si="0"/>
        <v>1.2147945889457749E-2</v>
      </c>
    </row>
    <row r="7" spans="1:5" x14ac:dyDescent="0.2">
      <c r="A7" s="41" t="s">
        <v>459</v>
      </c>
      <c r="B7" s="128">
        <f>SUM('מניות מבכ ויהש'!U:U)</f>
        <v>0</v>
      </c>
      <c r="C7" s="42"/>
      <c r="D7" s="42"/>
      <c r="E7" s="130">
        <f t="shared" si="0"/>
        <v>0</v>
      </c>
    </row>
    <row r="8" spans="1:5" x14ac:dyDescent="0.2">
      <c r="A8" s="41" t="s">
        <v>34</v>
      </c>
      <c r="B8" s="128">
        <f>SUM('קרנות סל'!T:T)</f>
        <v>1096646.83241</v>
      </c>
      <c r="C8" s="42"/>
      <c r="D8" s="42"/>
      <c r="E8" s="130">
        <f t="shared" si="0"/>
        <v>6.4885895154705872E-2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1257076.1691000001</v>
      </c>
      <c r="C15" s="42"/>
      <c r="D15" s="42"/>
      <c r="E15" s="130">
        <f t="shared" si="0"/>
        <v>7.4378104325939345E-2</v>
      </c>
    </row>
    <row r="16" spans="1:5" x14ac:dyDescent="0.2">
      <c r="A16" s="41" t="s">
        <v>667</v>
      </c>
      <c r="B16" s="128">
        <f>SUM('אפיק השקעה מובטח תשואה'!F:F)</f>
        <v>77804.240380000003</v>
      </c>
      <c r="C16" s="42"/>
      <c r="D16" s="42"/>
      <c r="E16" s="130">
        <f t="shared" si="0"/>
        <v>4.6034854929492778E-3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25622.331259999999</v>
      </c>
      <c r="C18" s="42"/>
      <c r="D18" s="42"/>
      <c r="E18" s="130">
        <f t="shared" si="0"/>
        <v>1.5160103057991038E-3</v>
      </c>
    </row>
    <row r="19" spans="1:5" x14ac:dyDescent="0.2">
      <c r="A19" s="41" t="s">
        <v>462</v>
      </c>
      <c r="B19" s="128">
        <f>SUM('לא סחיר מניות מבכ ויהש'!X:X)</f>
        <v>1E-4</v>
      </c>
      <c r="C19" s="42"/>
      <c r="D19" s="42"/>
      <c r="E19" s="130">
        <f t="shared" si="0"/>
        <v>5.9167539847000789E-12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0</v>
      </c>
      <c r="C23" s="42"/>
      <c r="D23" s="42"/>
      <c r="E23" s="130">
        <f t="shared" si="0"/>
        <v>0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390674.08529000002</v>
      </c>
      <c r="C26" s="42"/>
      <c r="D26" s="42"/>
      <c r="E26" s="130">
        <f t="shared" si="0"/>
        <v>2.3115224508586659E-2</v>
      </c>
    </row>
    <row r="27" spans="1:5" x14ac:dyDescent="0.2">
      <c r="A27" s="41" t="s">
        <v>51</v>
      </c>
      <c r="B27" s="128">
        <f>SUM('זכויות מקרקעין'!S:S)</f>
        <v>117580</v>
      </c>
      <c r="C27" s="42"/>
      <c r="D27" s="42"/>
      <c r="E27" s="130">
        <f t="shared" si="0"/>
        <v>6.9569193352103523E-3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11228294.504249999</v>
      </c>
      <c r="C29" s="122"/>
      <c r="D29" s="122"/>
      <c r="E29" s="130">
        <f t="shared" si="0"/>
        <v>0.66435056249407176</v>
      </c>
    </row>
    <row r="30" spans="1:5" ht="15.75" thickBot="1" x14ac:dyDescent="0.25">
      <c r="A30" s="40" t="s">
        <v>603</v>
      </c>
      <c r="B30" s="129">
        <f>SUM(B3:B29)</f>
        <v>16901159.023779999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B16" sqref="B1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332</v>
      </c>
      <c r="B2">
        <v>332</v>
      </c>
      <c r="C2" t="s">
        <v>1215</v>
      </c>
      <c r="D2" t="s">
        <v>1216</v>
      </c>
      <c r="E2" t="s">
        <v>776</v>
      </c>
      <c r="F2" t="s">
        <v>218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3">
        <v>78.464839999999995</v>
      </c>
      <c r="M2" s="133">
        <v>3.7454999999999998</v>
      </c>
      <c r="N2" s="136"/>
      <c r="O2" s="133">
        <v>293.89006000000001</v>
      </c>
      <c r="P2" s="136">
        <v>1.1169999999999999E-3</v>
      </c>
      <c r="Q2" s="136">
        <v>1.7E-5</v>
      </c>
    </row>
    <row r="3" spans="1:17" x14ac:dyDescent="0.2">
      <c r="A3">
        <v>332</v>
      </c>
      <c r="B3">
        <v>332</v>
      </c>
      <c r="C3" t="s">
        <v>1219</v>
      </c>
      <c r="D3" t="s">
        <v>1220</v>
      </c>
      <c r="E3" t="s">
        <v>776</v>
      </c>
      <c r="F3" t="s">
        <v>213</v>
      </c>
      <c r="G3" t="s">
        <v>53</v>
      </c>
      <c r="H3" t="s">
        <v>62</v>
      </c>
      <c r="I3" t="s">
        <v>1221</v>
      </c>
      <c r="J3" t="s">
        <v>70</v>
      </c>
      <c r="K3" t="s">
        <v>1222</v>
      </c>
      <c r="L3" s="133">
        <v>93721.368950000004</v>
      </c>
      <c r="M3" s="133">
        <v>1</v>
      </c>
      <c r="N3" s="136"/>
      <c r="O3" s="133">
        <v>93721.368950000004</v>
      </c>
      <c r="P3" s="136">
        <v>0.35631600000000002</v>
      </c>
      <c r="Q3" s="136">
        <v>5.5430000000000002E-3</v>
      </c>
    </row>
    <row r="4" spans="1:17" x14ac:dyDescent="0.2">
      <c r="A4">
        <v>332</v>
      </c>
      <c r="B4">
        <v>332</v>
      </c>
      <c r="C4" t="s">
        <v>1223</v>
      </c>
      <c r="D4" t="s">
        <v>1224</v>
      </c>
      <c r="E4" t="s">
        <v>776</v>
      </c>
      <c r="F4" t="s">
        <v>219</v>
      </c>
      <c r="G4" t="s">
        <v>53</v>
      </c>
      <c r="H4" t="s">
        <v>62</v>
      </c>
      <c r="I4" t="s">
        <v>1217</v>
      </c>
      <c r="J4" t="s">
        <v>65</v>
      </c>
      <c r="K4" t="s">
        <v>1222</v>
      </c>
      <c r="L4" s="133">
        <v>83168.888779999994</v>
      </c>
      <c r="M4" s="133">
        <v>1</v>
      </c>
      <c r="N4" s="136"/>
      <c r="O4" s="133">
        <v>83168.888779999994</v>
      </c>
      <c r="P4" s="136">
        <v>0.31619900000000001</v>
      </c>
      <c r="Q4" s="136">
        <v>4.9199999999999999E-3</v>
      </c>
    </row>
    <row r="5" spans="1:17" x14ac:dyDescent="0.2">
      <c r="A5">
        <v>332</v>
      </c>
      <c r="B5">
        <v>332</v>
      </c>
      <c r="C5" t="s">
        <v>1223</v>
      </c>
      <c r="D5" t="s">
        <v>1224</v>
      </c>
      <c r="E5" t="s">
        <v>776</v>
      </c>
      <c r="F5" t="s">
        <v>218</v>
      </c>
      <c r="G5" t="s">
        <v>53</v>
      </c>
      <c r="H5" t="s">
        <v>62</v>
      </c>
      <c r="I5" t="s">
        <v>1217</v>
      </c>
      <c r="J5" t="s">
        <v>65</v>
      </c>
      <c r="K5" t="s">
        <v>1225</v>
      </c>
      <c r="L5" s="133">
        <v>190.34522999999999</v>
      </c>
      <c r="M5" s="133">
        <v>3.19</v>
      </c>
      <c r="N5" s="136"/>
      <c r="O5" s="133">
        <v>607.20128</v>
      </c>
      <c r="P5" s="136">
        <v>2.3080000000000002E-3</v>
      </c>
      <c r="Q5" s="136">
        <v>3.4999999999999997E-5</v>
      </c>
    </row>
    <row r="6" spans="1:17" x14ac:dyDescent="0.2">
      <c r="A6">
        <v>332</v>
      </c>
      <c r="B6">
        <v>332</v>
      </c>
      <c r="C6" t="s">
        <v>1215</v>
      </c>
      <c r="D6" t="s">
        <v>1216</v>
      </c>
      <c r="E6" t="s">
        <v>776</v>
      </c>
      <c r="F6" t="s">
        <v>214</v>
      </c>
      <c r="G6" t="s">
        <v>53</v>
      </c>
      <c r="H6" t="s">
        <v>62</v>
      </c>
      <c r="I6" t="s">
        <v>1221</v>
      </c>
      <c r="J6" t="s">
        <v>70</v>
      </c>
      <c r="K6" t="s">
        <v>1222</v>
      </c>
      <c r="L6" s="133">
        <v>30006.124660000001</v>
      </c>
      <c r="M6" s="133">
        <v>1</v>
      </c>
      <c r="N6" s="136"/>
      <c r="O6" s="133">
        <v>30006.124660000001</v>
      </c>
      <c r="P6" s="136">
        <v>0.114079</v>
      </c>
      <c r="Q6" s="136">
        <v>1.7750000000000001E-3</v>
      </c>
    </row>
    <row r="7" spans="1:17" x14ac:dyDescent="0.2">
      <c r="A7">
        <v>332</v>
      </c>
      <c r="B7">
        <v>332</v>
      </c>
      <c r="C7" t="s">
        <v>1215</v>
      </c>
      <c r="D7" t="s">
        <v>1216</v>
      </c>
      <c r="E7" t="s">
        <v>776</v>
      </c>
      <c r="F7" t="s">
        <v>218</v>
      </c>
      <c r="G7" t="s">
        <v>53</v>
      </c>
      <c r="H7" t="s">
        <v>62</v>
      </c>
      <c r="I7" t="s">
        <v>1217</v>
      </c>
      <c r="J7" t="s">
        <v>65</v>
      </c>
      <c r="K7" t="s">
        <v>1225</v>
      </c>
      <c r="L7" s="133">
        <v>1089.8586299999999</v>
      </c>
      <c r="M7" s="133">
        <v>3.19</v>
      </c>
      <c r="N7" s="136"/>
      <c r="O7" s="133">
        <v>3476.64903</v>
      </c>
      <c r="P7" s="136">
        <v>1.3217E-2</v>
      </c>
      <c r="Q7" s="136">
        <v>2.05E-4</v>
      </c>
    </row>
    <row r="8" spans="1:17" x14ac:dyDescent="0.2">
      <c r="A8">
        <v>332</v>
      </c>
      <c r="B8">
        <v>332</v>
      </c>
      <c r="C8" t="s">
        <v>1215</v>
      </c>
      <c r="D8" t="s">
        <v>1216</v>
      </c>
      <c r="E8" t="s">
        <v>776</v>
      </c>
      <c r="F8" t="s">
        <v>213</v>
      </c>
      <c r="G8" t="s">
        <v>53</v>
      </c>
      <c r="H8" t="s">
        <v>62</v>
      </c>
      <c r="I8" t="s">
        <v>1217</v>
      </c>
      <c r="J8" t="s">
        <v>65</v>
      </c>
      <c r="K8" t="s">
        <v>1222</v>
      </c>
      <c r="L8" s="133">
        <v>21640.04088</v>
      </c>
      <c r="M8" s="133">
        <v>1</v>
      </c>
      <c r="N8" s="136"/>
      <c r="O8" s="133">
        <v>21640.04088</v>
      </c>
      <c r="P8" s="136">
        <v>8.2272999999999999E-2</v>
      </c>
      <c r="Q8" s="136">
        <v>1.2800000000000001E-3</v>
      </c>
    </row>
    <row r="9" spans="1:17" x14ac:dyDescent="0.2">
      <c r="A9">
        <v>332</v>
      </c>
      <c r="B9">
        <v>332</v>
      </c>
      <c r="C9" t="s">
        <v>1223</v>
      </c>
      <c r="D9" t="s">
        <v>1224</v>
      </c>
      <c r="E9" t="s">
        <v>776</v>
      </c>
      <c r="F9" t="s">
        <v>213</v>
      </c>
      <c r="G9" t="s">
        <v>53</v>
      </c>
      <c r="H9" t="s">
        <v>62</v>
      </c>
      <c r="I9" t="s">
        <v>1217</v>
      </c>
      <c r="J9" t="s">
        <v>65</v>
      </c>
      <c r="K9" t="s">
        <v>1222</v>
      </c>
      <c r="L9" s="133">
        <v>3.0125099999999998</v>
      </c>
      <c r="M9" s="133">
        <v>1</v>
      </c>
      <c r="N9" s="136"/>
      <c r="O9" s="133">
        <v>3.0125099999999998</v>
      </c>
      <c r="P9" s="136">
        <v>1.1E-5</v>
      </c>
      <c r="Q9" s="136">
        <v>0</v>
      </c>
    </row>
    <row r="10" spans="1:17" x14ac:dyDescent="0.2">
      <c r="A10">
        <v>332</v>
      </c>
      <c r="B10">
        <v>332</v>
      </c>
      <c r="C10" t="s">
        <v>1219</v>
      </c>
      <c r="D10" t="s">
        <v>1220</v>
      </c>
      <c r="E10" t="s">
        <v>776</v>
      </c>
      <c r="F10" t="s">
        <v>218</v>
      </c>
      <c r="G10" t="s">
        <v>53</v>
      </c>
      <c r="H10" t="s">
        <v>62</v>
      </c>
      <c r="I10" t="s">
        <v>1221</v>
      </c>
      <c r="J10" t="s">
        <v>70</v>
      </c>
      <c r="K10" t="s">
        <v>1225</v>
      </c>
      <c r="L10" s="133">
        <v>9438.8175699999993</v>
      </c>
      <c r="M10" s="133">
        <v>3.19</v>
      </c>
      <c r="N10" s="136"/>
      <c r="O10" s="133">
        <v>30109.82805</v>
      </c>
      <c r="P10" s="136">
        <v>0.11447400000000001</v>
      </c>
      <c r="Q10" s="136">
        <v>1.781E-3</v>
      </c>
    </row>
    <row r="11" spans="1:17" x14ac:dyDescent="0.2">
      <c r="D11"/>
      <c r="E11" s="17"/>
      <c r="M11"/>
      <c r="N11"/>
      <c r="O11"/>
      <c r="P11"/>
      <c r="Q11"/>
    </row>
    <row r="12" spans="1:17" x14ac:dyDescent="0.2">
      <c r="D12"/>
      <c r="E12" s="17"/>
      <c r="M12"/>
      <c r="N12"/>
      <c r="O12"/>
      <c r="P12"/>
      <c r="Q12"/>
    </row>
    <row r="13" spans="1:17" x14ac:dyDescent="0.2">
      <c r="D13"/>
      <c r="E13" s="17"/>
      <c r="M13"/>
      <c r="N13"/>
      <c r="O13"/>
      <c r="P13"/>
      <c r="Q13"/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7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332</v>
      </c>
      <c r="B2">
        <v>332</v>
      </c>
      <c r="C2" t="s">
        <v>1226</v>
      </c>
      <c r="D2" t="s">
        <v>1227</v>
      </c>
      <c r="E2" t="s">
        <v>1228</v>
      </c>
      <c r="F2" t="s">
        <v>221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1222</v>
      </c>
      <c r="M2" s="133">
        <v>5.9</v>
      </c>
      <c r="N2" s="137">
        <v>48182</v>
      </c>
      <c r="O2" s="136">
        <v>1E-3</v>
      </c>
      <c r="P2" s="136">
        <v>1.7000000000000001E-2</v>
      </c>
      <c r="Q2" s="133"/>
      <c r="R2" s="133">
        <v>282587894</v>
      </c>
      <c r="S2" s="133">
        <v>1</v>
      </c>
      <c r="T2" s="133">
        <v>107.5</v>
      </c>
      <c r="U2" s="133">
        <v>303781.98605000001</v>
      </c>
      <c r="V2" s="133"/>
      <c r="W2"/>
      <c r="X2" s="136">
        <v>8.2550000000000002E-3</v>
      </c>
      <c r="Y2" s="136">
        <v>0.13567000000000001</v>
      </c>
      <c r="Z2" s="136">
        <v>1.7974E-2</v>
      </c>
    </row>
    <row r="3" spans="1:26" x14ac:dyDescent="0.2">
      <c r="A3">
        <v>332</v>
      </c>
      <c r="B3">
        <v>332</v>
      </c>
      <c r="C3" t="s">
        <v>1226</v>
      </c>
      <c r="D3" t="s">
        <v>1230</v>
      </c>
      <c r="E3" t="s">
        <v>1231</v>
      </c>
      <c r="F3" t="s">
        <v>221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1222</v>
      </c>
      <c r="M3" s="133">
        <v>23.94</v>
      </c>
      <c r="N3" s="137">
        <v>55487</v>
      </c>
      <c r="O3" s="136">
        <v>5.0000000000000001E-3</v>
      </c>
      <c r="P3" s="136">
        <v>2.0799999999999999E-2</v>
      </c>
      <c r="Q3" s="135"/>
      <c r="R3" s="133">
        <v>1208862652</v>
      </c>
      <c r="S3" s="133">
        <v>1</v>
      </c>
      <c r="T3" s="133">
        <v>80.86</v>
      </c>
      <c r="U3" s="133">
        <v>977486.34040999995</v>
      </c>
      <c r="V3" s="135"/>
      <c r="W3"/>
      <c r="X3" s="136">
        <v>3.7678000000000003E-2</v>
      </c>
      <c r="Y3" s="136">
        <v>0.43654900000000002</v>
      </c>
      <c r="Z3" s="136">
        <v>5.7834999999999998E-2</v>
      </c>
    </row>
    <row r="4" spans="1:26" x14ac:dyDescent="0.2">
      <c r="A4">
        <v>332</v>
      </c>
      <c r="B4">
        <v>332</v>
      </c>
      <c r="C4" t="s">
        <v>1226</v>
      </c>
      <c r="D4" t="s">
        <v>1232</v>
      </c>
      <c r="E4" t="s">
        <v>1233</v>
      </c>
      <c r="F4" t="s">
        <v>221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1222</v>
      </c>
      <c r="M4" s="133">
        <v>8.73</v>
      </c>
      <c r="N4" s="137">
        <v>49825</v>
      </c>
      <c r="O4" s="136">
        <v>0.04</v>
      </c>
      <c r="P4" s="136">
        <v>1.8200000000000001E-2</v>
      </c>
      <c r="Q4" s="135"/>
      <c r="R4" s="133">
        <v>127938870</v>
      </c>
      <c r="S4" s="133">
        <v>1</v>
      </c>
      <c r="T4" s="133">
        <v>172.35</v>
      </c>
      <c r="U4" s="133">
        <v>220502.64245000001</v>
      </c>
      <c r="V4" s="135"/>
      <c r="W4"/>
      <c r="X4" s="136">
        <v>8.0300000000000007E-3</v>
      </c>
      <c r="Y4" s="136">
        <v>9.8476999999999995E-2</v>
      </c>
      <c r="Z4" s="136">
        <v>1.3046E-2</v>
      </c>
    </row>
    <row r="5" spans="1:26" x14ac:dyDescent="0.2">
      <c r="A5">
        <v>332</v>
      </c>
      <c r="B5">
        <v>332</v>
      </c>
      <c r="C5" t="s">
        <v>1226</v>
      </c>
      <c r="D5" t="s">
        <v>1234</v>
      </c>
      <c r="E5" t="s">
        <v>1235</v>
      </c>
      <c r="F5" t="s">
        <v>223</v>
      </c>
      <c r="G5" t="s">
        <v>53</v>
      </c>
      <c r="H5" t="s">
        <v>53</v>
      </c>
      <c r="I5" t="s">
        <v>311</v>
      </c>
      <c r="J5" t="s">
        <v>1229</v>
      </c>
      <c r="K5" t="s">
        <v>65</v>
      </c>
      <c r="L5" t="s">
        <v>1222</v>
      </c>
      <c r="M5" s="133">
        <v>14.3</v>
      </c>
      <c r="N5" s="137">
        <v>53782</v>
      </c>
      <c r="O5" s="136">
        <v>3.7499999999999999E-2</v>
      </c>
      <c r="P5" s="136">
        <v>4.3099999999999999E-2</v>
      </c>
      <c r="Q5" s="135"/>
      <c r="R5" s="133">
        <v>7489322</v>
      </c>
      <c r="S5" s="133">
        <v>1</v>
      </c>
      <c r="T5" s="133">
        <v>95.14</v>
      </c>
      <c r="U5" s="133">
        <v>7125.3409499999998</v>
      </c>
      <c r="V5" s="135"/>
      <c r="W5"/>
      <c r="X5" s="136">
        <v>2.7599999999999999E-4</v>
      </c>
      <c r="Y5" s="136">
        <v>3.1819999999999999E-3</v>
      </c>
      <c r="Z5" s="136">
        <v>4.2099999999999999E-4</v>
      </c>
    </row>
    <row r="6" spans="1:26" x14ac:dyDescent="0.2">
      <c r="A6">
        <v>332</v>
      </c>
      <c r="B6">
        <v>332</v>
      </c>
      <c r="C6" t="s">
        <v>1226</v>
      </c>
      <c r="D6" t="s">
        <v>1236</v>
      </c>
      <c r="E6" t="s">
        <v>1237</v>
      </c>
      <c r="F6" t="s">
        <v>221</v>
      </c>
      <c r="G6" t="s">
        <v>53</v>
      </c>
      <c r="H6" t="s">
        <v>53</v>
      </c>
      <c r="I6" t="s">
        <v>311</v>
      </c>
      <c r="J6" t="s">
        <v>1229</v>
      </c>
      <c r="K6" t="s">
        <v>65</v>
      </c>
      <c r="L6" t="s">
        <v>1222</v>
      </c>
      <c r="M6" s="133">
        <v>17.440000000000001</v>
      </c>
      <c r="N6" s="137">
        <v>53113</v>
      </c>
      <c r="O6" s="136">
        <v>0.01</v>
      </c>
      <c r="P6" s="136">
        <v>1.9800000000000002E-2</v>
      </c>
      <c r="Q6" s="135"/>
      <c r="R6" s="133">
        <v>432932999</v>
      </c>
      <c r="S6" s="133">
        <v>1</v>
      </c>
      <c r="T6" s="133">
        <v>101.1</v>
      </c>
      <c r="U6" s="133">
        <v>437695.26199000003</v>
      </c>
      <c r="V6" s="135"/>
      <c r="W6"/>
      <c r="X6" s="136">
        <v>1.9644999999999999E-2</v>
      </c>
      <c r="Y6" s="136">
        <v>0.19547600000000001</v>
      </c>
      <c r="Z6" s="136">
        <v>2.5897E-2</v>
      </c>
    </row>
    <row r="7" spans="1:26" x14ac:dyDescent="0.2">
      <c r="A7">
        <v>332</v>
      </c>
      <c r="B7">
        <v>332</v>
      </c>
      <c r="C7" t="s">
        <v>1226</v>
      </c>
      <c r="D7" t="s">
        <v>1238</v>
      </c>
      <c r="E7" t="s">
        <v>1239</v>
      </c>
      <c r="F7" t="s">
        <v>224</v>
      </c>
      <c r="G7" t="s">
        <v>53</v>
      </c>
      <c r="H7" t="s">
        <v>53</v>
      </c>
      <c r="I7" t="s">
        <v>311</v>
      </c>
      <c r="J7" t="s">
        <v>1229</v>
      </c>
      <c r="K7" t="s">
        <v>65</v>
      </c>
      <c r="L7" t="s">
        <v>1222</v>
      </c>
      <c r="M7" s="133">
        <v>0.41</v>
      </c>
      <c r="N7" s="137">
        <v>46173</v>
      </c>
      <c r="O7" s="136">
        <v>0</v>
      </c>
      <c r="P7" s="136">
        <v>3.9800000000000002E-2</v>
      </c>
      <c r="Q7" s="135"/>
      <c r="R7" s="133">
        <v>416739</v>
      </c>
      <c r="S7" s="133">
        <v>1</v>
      </c>
      <c r="T7" s="133">
        <v>100.28</v>
      </c>
      <c r="U7" s="133">
        <v>417.90586999999999</v>
      </c>
      <c r="V7" s="135"/>
      <c r="W7"/>
      <c r="X7" s="136">
        <v>1.9000000000000001E-5</v>
      </c>
      <c r="Y7" s="136">
        <v>1.8599999999999999E-4</v>
      </c>
      <c r="Z7" s="136">
        <v>2.4000000000000001E-5</v>
      </c>
    </row>
    <row r="8" spans="1:26" x14ac:dyDescent="0.2">
      <c r="A8">
        <v>332</v>
      </c>
      <c r="B8">
        <v>332</v>
      </c>
      <c r="C8" t="s">
        <v>1226</v>
      </c>
      <c r="D8" t="s">
        <v>1240</v>
      </c>
      <c r="E8" t="s">
        <v>1241</v>
      </c>
      <c r="F8" t="s">
        <v>221</v>
      </c>
      <c r="G8" t="s">
        <v>53</v>
      </c>
      <c r="H8" t="s">
        <v>53</v>
      </c>
      <c r="I8" t="s">
        <v>311</v>
      </c>
      <c r="J8" t="s">
        <v>1229</v>
      </c>
      <c r="K8" t="s">
        <v>65</v>
      </c>
      <c r="L8" t="s">
        <v>1222</v>
      </c>
      <c r="M8" s="133">
        <v>13.01</v>
      </c>
      <c r="N8" s="137">
        <v>51744</v>
      </c>
      <c r="O8" s="136">
        <v>2.75E-2</v>
      </c>
      <c r="P8" s="136">
        <v>1.9099999999999999E-2</v>
      </c>
      <c r="Q8" s="135"/>
      <c r="R8" s="133">
        <v>36158308</v>
      </c>
      <c r="S8" s="133">
        <v>1</v>
      </c>
      <c r="T8" s="133">
        <v>141.80000000000001</v>
      </c>
      <c r="U8" s="133">
        <v>51272.480739999999</v>
      </c>
      <c r="V8" s="135"/>
      <c r="W8"/>
      <c r="X8" s="136">
        <v>1.8159999999999999E-3</v>
      </c>
      <c r="Y8" s="136">
        <v>2.2898000000000002E-2</v>
      </c>
      <c r="Z8" s="136">
        <v>3.0330000000000001E-3</v>
      </c>
    </row>
    <row r="9" spans="1:26" x14ac:dyDescent="0.2">
      <c r="A9">
        <v>332</v>
      </c>
      <c r="B9">
        <v>332</v>
      </c>
      <c r="C9" t="s">
        <v>1226</v>
      </c>
      <c r="D9" t="s">
        <v>1242</v>
      </c>
      <c r="E9" t="s">
        <v>1243</v>
      </c>
      <c r="F9" t="s">
        <v>223</v>
      </c>
      <c r="G9" t="s">
        <v>53</v>
      </c>
      <c r="H9" t="s">
        <v>53</v>
      </c>
      <c r="I9" t="s">
        <v>311</v>
      </c>
      <c r="J9" t="s">
        <v>1229</v>
      </c>
      <c r="K9" t="s">
        <v>65</v>
      </c>
      <c r="L9" t="s">
        <v>1222</v>
      </c>
      <c r="M9" s="133">
        <v>4.1399999999999997</v>
      </c>
      <c r="N9" s="137">
        <v>47573</v>
      </c>
      <c r="O9" s="136">
        <v>0.01</v>
      </c>
      <c r="P9" s="136">
        <v>3.7199999999999997E-2</v>
      </c>
      <c r="Q9" s="135"/>
      <c r="R9" s="133">
        <v>94992</v>
      </c>
      <c r="S9" s="133">
        <v>1</v>
      </c>
      <c r="T9" s="133">
        <v>90.26</v>
      </c>
      <c r="U9" s="133">
        <v>85.739779999999996</v>
      </c>
      <c r="V9" s="135"/>
      <c r="W9"/>
      <c r="X9" s="136">
        <v>1.9999999999999999E-6</v>
      </c>
      <c r="Y9" s="136">
        <v>3.8000000000000002E-5</v>
      </c>
      <c r="Z9" s="136">
        <v>5.0000000000000004E-6</v>
      </c>
    </row>
    <row r="10" spans="1:26" x14ac:dyDescent="0.2">
      <c r="A10">
        <v>332</v>
      </c>
      <c r="B10">
        <v>332</v>
      </c>
      <c r="C10" t="s">
        <v>1226</v>
      </c>
      <c r="D10" t="s">
        <v>1244</v>
      </c>
      <c r="E10" t="s">
        <v>1245</v>
      </c>
      <c r="F10" t="s">
        <v>221</v>
      </c>
      <c r="G10" t="s">
        <v>53</v>
      </c>
      <c r="H10" t="s">
        <v>53</v>
      </c>
      <c r="I10" t="s">
        <v>311</v>
      </c>
      <c r="J10" t="s">
        <v>1229</v>
      </c>
      <c r="K10" t="s">
        <v>65</v>
      </c>
      <c r="L10" t="s">
        <v>1222</v>
      </c>
      <c r="M10" s="133">
        <v>7.4</v>
      </c>
      <c r="N10" s="137">
        <v>48883</v>
      </c>
      <c r="O10" s="136">
        <v>1.6E-2</v>
      </c>
      <c r="P10" s="136">
        <v>1.7899999999999999E-2</v>
      </c>
      <c r="Q10" s="135"/>
      <c r="R10" s="133">
        <v>124884620</v>
      </c>
      <c r="S10" s="133">
        <v>1</v>
      </c>
      <c r="T10" s="133">
        <v>104.8</v>
      </c>
      <c r="U10" s="133">
        <v>130879.08176</v>
      </c>
      <c r="V10" s="135"/>
      <c r="W10"/>
      <c r="X10" s="136">
        <v>4.3400000000000001E-3</v>
      </c>
      <c r="Y10" s="136">
        <v>5.8451000000000003E-2</v>
      </c>
      <c r="Z10" s="136">
        <v>7.7429999999999999E-3</v>
      </c>
    </row>
    <row r="11" spans="1:26" x14ac:dyDescent="0.2">
      <c r="A11">
        <v>332</v>
      </c>
      <c r="B11">
        <v>332</v>
      </c>
      <c r="C11" t="s">
        <v>1226</v>
      </c>
      <c r="D11" t="s">
        <v>1246</v>
      </c>
      <c r="E11" t="s">
        <v>1247</v>
      </c>
      <c r="F11" t="s">
        <v>221</v>
      </c>
      <c r="G11" t="s">
        <v>53</v>
      </c>
      <c r="H11" t="s">
        <v>53</v>
      </c>
      <c r="I11" t="s">
        <v>311</v>
      </c>
      <c r="J11" t="s">
        <v>1229</v>
      </c>
      <c r="K11" t="s">
        <v>65</v>
      </c>
      <c r="L11" t="s">
        <v>1222</v>
      </c>
      <c r="M11" s="133">
        <v>0.57999999999999996</v>
      </c>
      <c r="N11" s="137">
        <v>46234</v>
      </c>
      <c r="O11" s="136">
        <v>1E-3</v>
      </c>
      <c r="P11" s="136">
        <v>2.58E-2</v>
      </c>
      <c r="Q11" s="135"/>
      <c r="R11" s="133">
        <v>1388873</v>
      </c>
      <c r="S11" s="133">
        <v>1</v>
      </c>
      <c r="T11" s="133">
        <v>116.46</v>
      </c>
      <c r="U11" s="133">
        <v>1617.4815000000001</v>
      </c>
      <c r="V11" s="135"/>
      <c r="W11"/>
      <c r="X11" s="136">
        <v>6.7999999999999999E-5</v>
      </c>
      <c r="Y11" s="136">
        <v>7.2199999999999999E-4</v>
      </c>
      <c r="Z11" s="136">
        <v>9.5000000000000005E-5</v>
      </c>
    </row>
    <row r="12" spans="1:26" x14ac:dyDescent="0.2">
      <c r="A12">
        <v>332</v>
      </c>
      <c r="B12">
        <v>332</v>
      </c>
      <c r="C12" t="s">
        <v>1226</v>
      </c>
      <c r="D12" t="s">
        <v>1248</v>
      </c>
      <c r="E12" t="s">
        <v>1249</v>
      </c>
      <c r="F12" t="s">
        <v>221</v>
      </c>
      <c r="G12" t="s">
        <v>53</v>
      </c>
      <c r="H12" t="s">
        <v>53</v>
      </c>
      <c r="I12" t="s">
        <v>311</v>
      </c>
      <c r="J12" t="s">
        <v>1229</v>
      </c>
      <c r="K12" t="s">
        <v>65</v>
      </c>
      <c r="L12" t="s">
        <v>1222</v>
      </c>
      <c r="M12" s="133">
        <v>22.84</v>
      </c>
      <c r="N12" s="137">
        <v>57100</v>
      </c>
      <c r="O12" s="136">
        <v>0.02</v>
      </c>
      <c r="P12" s="136">
        <v>2.1299999999999999E-2</v>
      </c>
      <c r="Q12" s="135"/>
      <c r="R12" s="133">
        <v>111145000</v>
      </c>
      <c r="S12" s="133">
        <v>1</v>
      </c>
      <c r="T12" s="133">
        <v>97.4</v>
      </c>
      <c r="U12" s="133">
        <v>108255.23</v>
      </c>
      <c r="V12" s="135"/>
      <c r="W12"/>
      <c r="X12" s="136">
        <v>4.0121999999999998E-2</v>
      </c>
      <c r="Y12" s="136">
        <v>4.8347000000000001E-2</v>
      </c>
      <c r="Z12" s="136">
        <v>6.4050000000000001E-3</v>
      </c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3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332</v>
      </c>
      <c r="B2">
        <v>332</v>
      </c>
      <c r="C2" t="s">
        <v>1250</v>
      </c>
      <c r="D2">
        <v>520032046</v>
      </c>
      <c r="E2" t="s">
        <v>429</v>
      </c>
      <c r="F2" t="s">
        <v>1251</v>
      </c>
      <c r="G2" t="s">
        <v>1252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1217</v>
      </c>
      <c r="Q2" t="s">
        <v>65</v>
      </c>
      <c r="R2" t="s">
        <v>57</v>
      </c>
      <c r="S2" t="s">
        <v>1222</v>
      </c>
      <c r="T2" s="133">
        <v>2.8</v>
      </c>
      <c r="U2" s="137">
        <v>47048</v>
      </c>
      <c r="V2" s="136">
        <v>1E-3</v>
      </c>
      <c r="W2" s="136">
        <v>2.1899999999999999E-2</v>
      </c>
      <c r="X2" t="s">
        <v>620</v>
      </c>
      <c r="Y2"/>
      <c r="Z2" s="133">
        <v>8665044</v>
      </c>
      <c r="AA2" s="133">
        <v>1</v>
      </c>
      <c r="AB2" s="133">
        <v>108.71</v>
      </c>
      <c r="AC2" s="133"/>
      <c r="AD2" s="133">
        <v>9419.7693299999992</v>
      </c>
      <c r="AE2" s="133"/>
      <c r="AF2" s="133"/>
      <c r="AG2"/>
      <c r="AH2" s="136">
        <v>2.565E-3</v>
      </c>
      <c r="AI2" s="136">
        <v>4.5879000000000003E-2</v>
      </c>
      <c r="AJ2" s="136">
        <v>5.5699999999999999E-4</v>
      </c>
    </row>
    <row r="3" spans="1:36" x14ac:dyDescent="0.2">
      <c r="A3">
        <v>332</v>
      </c>
      <c r="B3">
        <v>332</v>
      </c>
      <c r="C3" t="s">
        <v>1253</v>
      </c>
      <c r="D3">
        <v>520000472</v>
      </c>
      <c r="E3" t="s">
        <v>429</v>
      </c>
      <c r="F3" t="s">
        <v>1254</v>
      </c>
      <c r="G3" t="s">
        <v>1255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1217</v>
      </c>
      <c r="Q3" t="s">
        <v>65</v>
      </c>
      <c r="R3" t="s">
        <v>57</v>
      </c>
      <c r="S3" t="s">
        <v>1222</v>
      </c>
      <c r="T3" s="133">
        <v>2.3199999999999998</v>
      </c>
      <c r="U3" s="137">
        <v>47220</v>
      </c>
      <c r="V3" s="136">
        <v>3.85E-2</v>
      </c>
      <c r="W3" s="136">
        <v>2.3400000000000001E-2</v>
      </c>
      <c r="X3" t="s">
        <v>620</v>
      </c>
      <c r="Y3"/>
      <c r="Z3" s="133">
        <v>5675518.6500000004</v>
      </c>
      <c r="AA3" s="133">
        <v>1</v>
      </c>
      <c r="AB3" s="133">
        <v>123.99</v>
      </c>
      <c r="AC3" s="135"/>
      <c r="AD3" s="133">
        <v>7037.07557</v>
      </c>
      <c r="AE3" s="135"/>
      <c r="AF3" s="135"/>
      <c r="AG3"/>
      <c r="AH3" s="136">
        <v>2.245E-3</v>
      </c>
      <c r="AI3" s="136">
        <v>3.4273999999999999E-2</v>
      </c>
      <c r="AJ3" s="136">
        <v>4.1599999999999997E-4</v>
      </c>
    </row>
    <row r="4" spans="1:36" x14ac:dyDescent="0.2">
      <c r="A4">
        <v>332</v>
      </c>
      <c r="B4">
        <v>332</v>
      </c>
      <c r="C4" t="s">
        <v>1256</v>
      </c>
      <c r="D4">
        <v>520010869</v>
      </c>
      <c r="E4" t="s">
        <v>429</v>
      </c>
      <c r="F4" t="s">
        <v>1257</v>
      </c>
      <c r="G4" t="s">
        <v>1258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258</v>
      </c>
      <c r="O4" t="s">
        <v>62</v>
      </c>
      <c r="P4" t="s">
        <v>1217</v>
      </c>
      <c r="Q4" t="s">
        <v>65</v>
      </c>
      <c r="R4" t="s">
        <v>57</v>
      </c>
      <c r="S4" t="s">
        <v>1222</v>
      </c>
      <c r="T4" s="133">
        <v>11.85</v>
      </c>
      <c r="U4" s="137">
        <v>56249</v>
      </c>
      <c r="V4" s="136">
        <v>2.07E-2</v>
      </c>
      <c r="W4" s="136">
        <v>2.6700000000000002E-2</v>
      </c>
      <c r="X4" t="s">
        <v>620</v>
      </c>
      <c r="Y4"/>
      <c r="Z4" s="133">
        <v>58436599.640000001</v>
      </c>
      <c r="AA4" s="133">
        <v>1</v>
      </c>
      <c r="AB4" s="133">
        <v>108.47</v>
      </c>
      <c r="AC4" s="135"/>
      <c r="AD4" s="133">
        <v>63386.179629999999</v>
      </c>
      <c r="AE4" s="135"/>
      <c r="AF4" s="135"/>
      <c r="AG4"/>
      <c r="AH4" s="136">
        <v>8.8559999999999993E-3</v>
      </c>
      <c r="AI4" s="136">
        <v>0.30872699999999997</v>
      </c>
      <c r="AJ4" s="136">
        <v>3.7499999999999999E-3</v>
      </c>
    </row>
    <row r="5" spans="1:36" x14ac:dyDescent="0.2">
      <c r="A5">
        <v>332</v>
      </c>
      <c r="B5">
        <v>332</v>
      </c>
      <c r="C5" t="s">
        <v>1253</v>
      </c>
      <c r="D5">
        <v>520000472</v>
      </c>
      <c r="E5" t="s">
        <v>429</v>
      </c>
      <c r="F5" t="s">
        <v>1259</v>
      </c>
      <c r="G5" t="s">
        <v>1260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156</v>
      </c>
      <c r="O5" t="s">
        <v>62</v>
      </c>
      <c r="P5" t="s">
        <v>1217</v>
      </c>
      <c r="Q5" t="s">
        <v>65</v>
      </c>
      <c r="R5" t="s">
        <v>57</v>
      </c>
      <c r="S5" t="s">
        <v>1222</v>
      </c>
      <c r="T5" s="133">
        <v>9.6999999999999993</v>
      </c>
      <c r="U5" s="137">
        <v>49825</v>
      </c>
      <c r="V5" s="136">
        <v>1.2500000000000001E-2</v>
      </c>
      <c r="W5" s="136">
        <v>2.5600000000000001E-2</v>
      </c>
      <c r="X5" t="s">
        <v>620</v>
      </c>
      <c r="Y5"/>
      <c r="Z5" s="133">
        <v>4957600</v>
      </c>
      <c r="AA5" s="133">
        <v>1</v>
      </c>
      <c r="AB5" s="133">
        <v>103.24</v>
      </c>
      <c r="AC5" s="135"/>
      <c r="AD5" s="133">
        <v>5118.22624</v>
      </c>
      <c r="AE5" s="135"/>
      <c r="AF5" s="135"/>
      <c r="AG5"/>
      <c r="AH5" s="136">
        <v>1.155E-3</v>
      </c>
      <c r="AI5" s="136">
        <v>2.4927999999999999E-2</v>
      </c>
      <c r="AJ5" s="136">
        <v>3.0200000000000002E-4</v>
      </c>
    </row>
    <row r="6" spans="1:36" x14ac:dyDescent="0.2">
      <c r="A6">
        <v>332</v>
      </c>
      <c r="B6">
        <v>332</v>
      </c>
      <c r="C6" t="s">
        <v>1261</v>
      </c>
      <c r="D6">
        <v>520018078</v>
      </c>
      <c r="E6" t="s">
        <v>429</v>
      </c>
      <c r="F6" t="s">
        <v>1262</v>
      </c>
      <c r="G6" t="s">
        <v>1263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1221</v>
      </c>
      <c r="Q6" t="s">
        <v>70</v>
      </c>
      <c r="R6" t="s">
        <v>57</v>
      </c>
      <c r="S6" t="s">
        <v>1222</v>
      </c>
      <c r="T6" s="133">
        <v>1.9</v>
      </c>
      <c r="U6" s="137">
        <v>46716</v>
      </c>
      <c r="V6" s="136">
        <v>1E-3</v>
      </c>
      <c r="W6" s="136">
        <v>2.3199999999999998E-2</v>
      </c>
      <c r="X6" t="s">
        <v>620</v>
      </c>
      <c r="Y6"/>
      <c r="Z6" s="133">
        <v>5444676</v>
      </c>
      <c r="AA6" s="133">
        <v>1</v>
      </c>
      <c r="AB6" s="133">
        <v>110.39</v>
      </c>
      <c r="AC6" s="135"/>
      <c r="AD6" s="133">
        <v>6010.3778400000001</v>
      </c>
      <c r="AE6" s="135"/>
      <c r="AF6" s="135"/>
      <c r="AG6"/>
      <c r="AH6" s="136">
        <v>1.735E-3</v>
      </c>
      <c r="AI6" s="136">
        <v>2.9274000000000001E-2</v>
      </c>
      <c r="AJ6" s="136">
        <v>3.5500000000000001E-4</v>
      </c>
    </row>
    <row r="7" spans="1:36" x14ac:dyDescent="0.2">
      <c r="A7">
        <v>332</v>
      </c>
      <c r="B7">
        <v>332</v>
      </c>
      <c r="C7" t="s">
        <v>1253</v>
      </c>
      <c r="D7">
        <v>520000472</v>
      </c>
      <c r="E7" t="s">
        <v>429</v>
      </c>
      <c r="F7" t="s">
        <v>1264</v>
      </c>
      <c r="G7" t="s">
        <v>1265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156</v>
      </c>
      <c r="O7" t="s">
        <v>62</v>
      </c>
      <c r="P7" t="s">
        <v>1217</v>
      </c>
      <c r="Q7" t="s">
        <v>65</v>
      </c>
      <c r="R7" t="s">
        <v>57</v>
      </c>
      <c r="S7" t="s">
        <v>1222</v>
      </c>
      <c r="T7" s="133">
        <v>4.68</v>
      </c>
      <c r="U7" s="137">
        <v>48112</v>
      </c>
      <c r="V7" s="136">
        <v>2.3900000000000001E-2</v>
      </c>
      <c r="W7" s="136">
        <v>2.3099999999999999E-2</v>
      </c>
      <c r="X7" t="s">
        <v>620</v>
      </c>
      <c r="Y7"/>
      <c r="Z7" s="133">
        <v>19925751</v>
      </c>
      <c r="AA7" s="133">
        <v>1</v>
      </c>
      <c r="AB7" s="133">
        <v>118.92</v>
      </c>
      <c r="AC7" s="135"/>
      <c r="AD7" s="133">
        <v>23695.703089999999</v>
      </c>
      <c r="AE7" s="135"/>
      <c r="AF7" s="135"/>
      <c r="AG7"/>
      <c r="AH7" s="136">
        <v>5.1229999999999999E-3</v>
      </c>
      <c r="AI7" s="136">
        <v>0.115411</v>
      </c>
      <c r="AJ7" s="136">
        <v>1.402E-3</v>
      </c>
    </row>
    <row r="8" spans="1:36" x14ac:dyDescent="0.2">
      <c r="A8">
        <v>332</v>
      </c>
      <c r="B8">
        <v>332</v>
      </c>
      <c r="C8" t="s">
        <v>1219</v>
      </c>
      <c r="D8">
        <v>520000118</v>
      </c>
      <c r="E8" t="s">
        <v>429</v>
      </c>
      <c r="F8" t="s">
        <v>1266</v>
      </c>
      <c r="G8" t="s">
        <v>1267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1221</v>
      </c>
      <c r="Q8" t="s">
        <v>70</v>
      </c>
      <c r="R8" t="s">
        <v>57</v>
      </c>
      <c r="S8" t="s">
        <v>1222</v>
      </c>
      <c r="T8" s="133">
        <v>3.77</v>
      </c>
      <c r="U8" s="137">
        <v>48547</v>
      </c>
      <c r="V8" s="136">
        <v>1.3899999999999999E-2</v>
      </c>
      <c r="W8" s="136">
        <v>2.1899999999999999E-2</v>
      </c>
      <c r="X8" t="s">
        <v>620</v>
      </c>
      <c r="Y8"/>
      <c r="Z8" s="133">
        <v>998200</v>
      </c>
      <c r="AA8" s="133">
        <v>1</v>
      </c>
      <c r="AB8" s="133">
        <v>106.41</v>
      </c>
      <c r="AC8" s="135"/>
      <c r="AD8" s="133">
        <v>1062.18462</v>
      </c>
      <c r="AE8" s="135"/>
      <c r="AF8" s="135"/>
      <c r="AG8"/>
      <c r="AH8" s="136">
        <v>7.1299999999999998E-4</v>
      </c>
      <c r="AI8" s="136">
        <v>5.1729999999999996E-3</v>
      </c>
      <c r="AJ8" s="136">
        <v>6.2000000000000003E-5</v>
      </c>
    </row>
    <row r="9" spans="1:36" x14ac:dyDescent="0.2">
      <c r="A9">
        <v>332</v>
      </c>
      <c r="B9">
        <v>332</v>
      </c>
      <c r="C9" t="s">
        <v>1250</v>
      </c>
      <c r="D9">
        <v>520032046</v>
      </c>
      <c r="E9" t="s">
        <v>429</v>
      </c>
      <c r="F9" t="s">
        <v>1268</v>
      </c>
      <c r="G9" t="s">
        <v>1269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1217</v>
      </c>
      <c r="Q9" t="s">
        <v>65</v>
      </c>
      <c r="R9" t="s">
        <v>57</v>
      </c>
      <c r="S9" t="s">
        <v>1222</v>
      </c>
      <c r="T9" s="133">
        <v>3.33</v>
      </c>
      <c r="U9" s="137">
        <v>48190</v>
      </c>
      <c r="V9" s="136">
        <v>1.6400000000000001E-2</v>
      </c>
      <c r="W9" s="136">
        <v>2.1899999999999999E-2</v>
      </c>
      <c r="X9" t="s">
        <v>620</v>
      </c>
      <c r="Y9"/>
      <c r="Z9" s="133">
        <v>3504175.2</v>
      </c>
      <c r="AA9" s="133">
        <v>1</v>
      </c>
      <c r="AB9" s="133">
        <v>107.68</v>
      </c>
      <c r="AC9" s="135"/>
      <c r="AD9" s="133">
        <v>3773.2958600000002</v>
      </c>
      <c r="AE9" s="135"/>
      <c r="AF9" s="135"/>
      <c r="AG9"/>
      <c r="AH9" s="136">
        <v>4.3429999999999996E-3</v>
      </c>
      <c r="AI9" s="136">
        <v>1.8377999999999999E-2</v>
      </c>
      <c r="AJ9" s="136">
        <v>2.23E-4</v>
      </c>
    </row>
    <row r="10" spans="1:36" x14ac:dyDescent="0.2">
      <c r="A10">
        <v>332</v>
      </c>
      <c r="B10">
        <v>332</v>
      </c>
      <c r="C10" t="s">
        <v>1270</v>
      </c>
      <c r="D10">
        <v>520029935</v>
      </c>
      <c r="E10" t="s">
        <v>429</v>
      </c>
      <c r="F10" t="s">
        <v>1271</v>
      </c>
      <c r="G10" t="s">
        <v>1272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1217</v>
      </c>
      <c r="Q10" t="s">
        <v>65</v>
      </c>
      <c r="R10" t="s">
        <v>57</v>
      </c>
      <c r="S10" t="s">
        <v>1222</v>
      </c>
      <c r="T10" s="133">
        <v>3.27</v>
      </c>
      <c r="U10" s="137">
        <v>48441</v>
      </c>
      <c r="V10" s="136">
        <v>2E-3</v>
      </c>
      <c r="W10" s="136">
        <v>2.24E-2</v>
      </c>
      <c r="X10" t="s">
        <v>620</v>
      </c>
      <c r="Y10"/>
      <c r="Z10" s="133">
        <v>5565098.0099999998</v>
      </c>
      <c r="AA10" s="133">
        <v>1</v>
      </c>
      <c r="AB10" s="133">
        <v>107.7</v>
      </c>
      <c r="AC10" s="135"/>
      <c r="AD10" s="133">
        <v>5993.6105600000001</v>
      </c>
      <c r="AE10" s="135"/>
      <c r="AF10" s="135"/>
      <c r="AG10"/>
      <c r="AH10" s="136">
        <v>1.7489999999999999E-3</v>
      </c>
      <c r="AI10" s="136">
        <v>2.9191999999999999E-2</v>
      </c>
      <c r="AJ10" s="136">
        <v>3.5399999999999999E-4</v>
      </c>
    </row>
    <row r="11" spans="1:36" x14ac:dyDescent="0.2">
      <c r="A11">
        <v>332</v>
      </c>
      <c r="B11">
        <v>332</v>
      </c>
      <c r="C11" t="s">
        <v>1250</v>
      </c>
      <c r="D11">
        <v>520032046</v>
      </c>
      <c r="E11" t="s">
        <v>429</v>
      </c>
      <c r="F11" t="s">
        <v>1273</v>
      </c>
      <c r="G11" t="s">
        <v>1274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1217</v>
      </c>
      <c r="Q11" t="s">
        <v>65</v>
      </c>
      <c r="R11" t="s">
        <v>57</v>
      </c>
      <c r="S11" t="s">
        <v>1222</v>
      </c>
      <c r="T11" s="133">
        <v>2.71</v>
      </c>
      <c r="U11" s="137">
        <v>47950</v>
      </c>
      <c r="V11" s="136">
        <v>1E-3</v>
      </c>
      <c r="W11" s="136">
        <v>2.23E-2</v>
      </c>
      <c r="X11" t="s">
        <v>620</v>
      </c>
      <c r="Y11"/>
      <c r="Z11" s="133">
        <v>1670258</v>
      </c>
      <c r="AA11" s="133">
        <v>1</v>
      </c>
      <c r="AB11" s="133">
        <v>107.55</v>
      </c>
      <c r="AC11" s="135"/>
      <c r="AD11" s="133">
        <v>1796.36248</v>
      </c>
      <c r="AE11" s="135"/>
      <c r="AF11" s="135"/>
      <c r="AG11"/>
      <c r="AH11" s="136">
        <v>7.4799999999999997E-4</v>
      </c>
      <c r="AI11" s="136">
        <v>8.7489999999999998E-3</v>
      </c>
      <c r="AJ11" s="136">
        <v>1.06E-4</v>
      </c>
    </row>
    <row r="12" spans="1:36" x14ac:dyDescent="0.2">
      <c r="A12">
        <v>332</v>
      </c>
      <c r="B12">
        <v>332</v>
      </c>
      <c r="C12" t="s">
        <v>1261</v>
      </c>
      <c r="D12">
        <v>520018078</v>
      </c>
      <c r="E12" t="s">
        <v>429</v>
      </c>
      <c r="F12" t="s">
        <v>1275</v>
      </c>
      <c r="G12" t="s">
        <v>1276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1221</v>
      </c>
      <c r="Q12" t="s">
        <v>70</v>
      </c>
      <c r="R12" t="s">
        <v>57</v>
      </c>
      <c r="S12" t="s">
        <v>1222</v>
      </c>
      <c r="T12" s="133">
        <v>3.95</v>
      </c>
      <c r="U12" s="137">
        <v>48913</v>
      </c>
      <c r="V12" s="136">
        <v>2.0199999999999999E-2</v>
      </c>
      <c r="W12" s="136">
        <v>2.1899999999999999E-2</v>
      </c>
      <c r="X12" t="s">
        <v>620</v>
      </c>
      <c r="Y12"/>
      <c r="Z12" s="133">
        <v>5200000</v>
      </c>
      <c r="AA12" s="133">
        <v>1</v>
      </c>
      <c r="AB12" s="133">
        <v>105.39</v>
      </c>
      <c r="AC12" s="135"/>
      <c r="AD12" s="133">
        <v>5480.28</v>
      </c>
      <c r="AE12" s="135"/>
      <c r="AF12" s="135"/>
      <c r="AG12"/>
      <c r="AH12" s="136">
        <v>1.457E-3</v>
      </c>
      <c r="AI12" s="136">
        <v>2.6692E-2</v>
      </c>
      <c r="AJ12" s="136">
        <v>3.2400000000000001E-4</v>
      </c>
    </row>
    <row r="13" spans="1:36" x14ac:dyDescent="0.2">
      <c r="A13">
        <v>332</v>
      </c>
      <c r="B13">
        <v>332</v>
      </c>
      <c r="C13" t="s">
        <v>1219</v>
      </c>
      <c r="D13">
        <v>520000118</v>
      </c>
      <c r="E13" t="s">
        <v>429</v>
      </c>
      <c r="F13" t="s">
        <v>1277</v>
      </c>
      <c r="G13" t="s">
        <v>1278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1279</v>
      </c>
      <c r="Q13" t="s">
        <v>65</v>
      </c>
      <c r="R13" t="s">
        <v>57</v>
      </c>
      <c r="S13" t="s">
        <v>1222</v>
      </c>
      <c r="T13" s="133">
        <v>2.82</v>
      </c>
      <c r="U13" s="137">
        <v>47086</v>
      </c>
      <c r="V13" s="136">
        <v>3.09E-2</v>
      </c>
      <c r="W13" s="136">
        <v>2.4400000000000002E-2</v>
      </c>
      <c r="X13" t="s">
        <v>620</v>
      </c>
      <c r="Y13"/>
      <c r="Z13" s="133">
        <v>2350000</v>
      </c>
      <c r="AA13" s="133">
        <v>1</v>
      </c>
      <c r="AB13" s="133">
        <v>111.77</v>
      </c>
      <c r="AC13" s="135"/>
      <c r="AD13" s="133">
        <v>2626.5949999999998</v>
      </c>
      <c r="AE13" s="135"/>
      <c r="AF13" s="135"/>
      <c r="AG13"/>
      <c r="AH13" s="136">
        <v>2.4729999999999999E-3</v>
      </c>
      <c r="AI13" s="136">
        <v>1.2793000000000001E-2</v>
      </c>
      <c r="AJ13" s="136">
        <v>1.55E-4</v>
      </c>
    </row>
    <row r="14" spans="1:36" x14ac:dyDescent="0.2">
      <c r="A14">
        <v>332</v>
      </c>
      <c r="B14">
        <v>332</v>
      </c>
      <c r="C14" t="s">
        <v>1280</v>
      </c>
      <c r="D14">
        <v>513436394</v>
      </c>
      <c r="E14" t="s">
        <v>429</v>
      </c>
      <c r="F14" t="s">
        <v>1281</v>
      </c>
      <c r="G14" t="s">
        <v>1282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258</v>
      </c>
      <c r="O14" t="s">
        <v>62</v>
      </c>
      <c r="P14" t="s">
        <v>1217</v>
      </c>
      <c r="Q14" t="s">
        <v>65</v>
      </c>
      <c r="R14" t="s">
        <v>57</v>
      </c>
      <c r="S14" t="s">
        <v>1222</v>
      </c>
      <c r="T14" s="133">
        <v>4.75</v>
      </c>
      <c r="U14" s="137">
        <v>48760</v>
      </c>
      <c r="V14" s="136">
        <v>2.9499999999999998E-2</v>
      </c>
      <c r="W14" s="136">
        <v>2.1999999999999999E-2</v>
      </c>
      <c r="X14" t="s">
        <v>620</v>
      </c>
      <c r="Y14"/>
      <c r="Z14" s="133">
        <v>17027952.620000001</v>
      </c>
      <c r="AA14" s="133">
        <v>1</v>
      </c>
      <c r="AB14" s="133">
        <v>121.24</v>
      </c>
      <c r="AC14" s="135"/>
      <c r="AD14" s="133">
        <v>20644.689760000001</v>
      </c>
      <c r="AE14" s="135"/>
      <c r="AF14" s="135"/>
      <c r="AG14"/>
      <c r="AH14" s="136">
        <v>1.2328E-2</v>
      </c>
      <c r="AI14" s="136">
        <v>0.100551</v>
      </c>
      <c r="AJ14" s="136">
        <v>1.2210000000000001E-3</v>
      </c>
    </row>
    <row r="15" spans="1:36" x14ac:dyDescent="0.2">
      <c r="A15">
        <v>332</v>
      </c>
      <c r="B15">
        <v>332</v>
      </c>
      <c r="C15" t="s">
        <v>1283</v>
      </c>
      <c r="D15">
        <v>513893123</v>
      </c>
      <c r="E15" t="s">
        <v>429</v>
      </c>
      <c r="F15" t="s">
        <v>1284</v>
      </c>
      <c r="G15" t="s">
        <v>1285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633</v>
      </c>
      <c r="O15" t="s">
        <v>62</v>
      </c>
      <c r="P15" t="s">
        <v>1286</v>
      </c>
      <c r="Q15" t="s">
        <v>70</v>
      </c>
      <c r="R15" t="s">
        <v>57</v>
      </c>
      <c r="S15" t="s">
        <v>1222</v>
      </c>
      <c r="T15" s="133">
        <v>0.73</v>
      </c>
      <c r="U15" s="137">
        <v>46477</v>
      </c>
      <c r="V15" s="136">
        <v>3.5400000000000001E-2</v>
      </c>
      <c r="W15" s="136">
        <v>3.2099999999999997E-2</v>
      </c>
      <c r="X15" t="s">
        <v>620</v>
      </c>
      <c r="Y15"/>
      <c r="Z15" s="133">
        <v>2388004.5</v>
      </c>
      <c r="AA15" s="133">
        <v>1</v>
      </c>
      <c r="AB15" s="133">
        <v>110.78</v>
      </c>
      <c r="AC15" s="135"/>
      <c r="AD15" s="133">
        <v>2645.4313900000002</v>
      </c>
      <c r="AE15" s="135"/>
      <c r="AF15" s="135"/>
      <c r="AG15"/>
      <c r="AH15" s="136">
        <v>2.8500000000000001E-3</v>
      </c>
      <c r="AI15" s="136">
        <v>1.2884E-2</v>
      </c>
      <c r="AJ15" s="136">
        <v>1.56E-4</v>
      </c>
    </row>
    <row r="16" spans="1:36" x14ac:dyDescent="0.2">
      <c r="A16">
        <v>332</v>
      </c>
      <c r="B16">
        <v>332</v>
      </c>
      <c r="C16" t="s">
        <v>1250</v>
      </c>
      <c r="D16">
        <v>520032046</v>
      </c>
      <c r="E16" t="s">
        <v>429</v>
      </c>
      <c r="F16" t="s">
        <v>1287</v>
      </c>
      <c r="G16" t="s">
        <v>1288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1217</v>
      </c>
      <c r="Q16" t="s">
        <v>65</v>
      </c>
      <c r="R16" t="s">
        <v>57</v>
      </c>
      <c r="S16" t="s">
        <v>1222</v>
      </c>
      <c r="T16" s="133">
        <v>4.2699999999999996</v>
      </c>
      <c r="U16" s="137">
        <v>48938</v>
      </c>
      <c r="V16" s="136">
        <v>1.9900000000000001E-2</v>
      </c>
      <c r="W16" s="136">
        <v>2.2800000000000001E-2</v>
      </c>
      <c r="X16" t="s">
        <v>620</v>
      </c>
      <c r="Y16"/>
      <c r="Z16" s="133">
        <v>14631689.779999999</v>
      </c>
      <c r="AA16" s="133">
        <v>1</v>
      </c>
      <c r="AB16" s="133">
        <v>104.63</v>
      </c>
      <c r="AC16" s="135"/>
      <c r="AD16" s="133">
        <v>15309.13702</v>
      </c>
      <c r="AE16" s="135"/>
      <c r="AF16" s="135"/>
      <c r="AG16"/>
      <c r="AH16" s="136">
        <v>6.7730000000000004E-3</v>
      </c>
      <c r="AI16" s="136">
        <v>7.4564000000000005E-2</v>
      </c>
      <c r="AJ16" s="136">
        <v>9.0499999999999999E-4</v>
      </c>
    </row>
    <row r="17" spans="1:36" x14ac:dyDescent="0.2">
      <c r="A17">
        <v>332</v>
      </c>
      <c r="B17">
        <v>332</v>
      </c>
      <c r="C17" t="s">
        <v>1250</v>
      </c>
      <c r="D17">
        <v>520032046</v>
      </c>
      <c r="E17" t="s">
        <v>429</v>
      </c>
      <c r="F17" t="s">
        <v>1289</v>
      </c>
      <c r="G17" t="s">
        <v>1290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1217</v>
      </c>
      <c r="Q17" t="s">
        <v>65</v>
      </c>
      <c r="R17" t="s">
        <v>57</v>
      </c>
      <c r="S17" t="s">
        <v>1222</v>
      </c>
      <c r="T17" s="133">
        <v>1.73</v>
      </c>
      <c r="U17" s="137">
        <v>46658</v>
      </c>
      <c r="V17" s="136">
        <v>1.2200000000000001E-2</v>
      </c>
      <c r="W17" s="136">
        <v>2.3300000000000001E-2</v>
      </c>
      <c r="X17" t="s">
        <v>620</v>
      </c>
      <c r="Y17"/>
      <c r="Z17" s="133">
        <v>346996</v>
      </c>
      <c r="AA17" s="133">
        <v>1</v>
      </c>
      <c r="AB17" s="133">
        <v>117.28</v>
      </c>
      <c r="AC17" s="135"/>
      <c r="AD17" s="133">
        <v>406.95690999999999</v>
      </c>
      <c r="AE17" s="135"/>
      <c r="AF17" s="135"/>
      <c r="AG17"/>
      <c r="AH17" s="136">
        <v>1.15E-4</v>
      </c>
      <c r="AI17" s="136">
        <v>1.9819999999999998E-3</v>
      </c>
      <c r="AJ17" s="136">
        <v>2.4000000000000001E-5</v>
      </c>
    </row>
    <row r="18" spans="1:36" x14ac:dyDescent="0.2">
      <c r="A18">
        <v>332</v>
      </c>
      <c r="B18">
        <v>332</v>
      </c>
      <c r="C18" t="s">
        <v>1219</v>
      </c>
      <c r="D18">
        <v>520000118</v>
      </c>
      <c r="E18" t="s">
        <v>429</v>
      </c>
      <c r="F18" t="s">
        <v>1291</v>
      </c>
      <c r="G18" t="s">
        <v>1292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1221</v>
      </c>
      <c r="Q18" t="s">
        <v>70</v>
      </c>
      <c r="R18" t="s">
        <v>57</v>
      </c>
      <c r="S18" t="s">
        <v>1222</v>
      </c>
      <c r="T18" s="133">
        <v>3.37</v>
      </c>
      <c r="U18" s="137">
        <v>48191</v>
      </c>
      <c r="V18" s="136">
        <v>1E-3</v>
      </c>
      <c r="W18" s="136">
        <v>2.1399999999999999E-2</v>
      </c>
      <c r="X18" t="s">
        <v>620</v>
      </c>
      <c r="Y18"/>
      <c r="Z18" s="133">
        <v>9410362.1099999994</v>
      </c>
      <c r="AA18" s="133">
        <v>1</v>
      </c>
      <c r="AB18" s="133">
        <v>107.43</v>
      </c>
      <c r="AC18" s="135"/>
      <c r="AD18" s="133">
        <v>10109.552009999999</v>
      </c>
      <c r="AE18" s="135"/>
      <c r="AF18" s="135"/>
      <c r="AG18"/>
      <c r="AH18" s="136">
        <v>1.1155E-2</v>
      </c>
      <c r="AI18" s="136">
        <v>4.9238999999999998E-2</v>
      </c>
      <c r="AJ18" s="136">
        <v>5.9800000000000001E-4</v>
      </c>
    </row>
    <row r="19" spans="1:36" x14ac:dyDescent="0.2">
      <c r="A19">
        <v>332</v>
      </c>
      <c r="B19">
        <v>332</v>
      </c>
      <c r="C19" t="s">
        <v>1250</v>
      </c>
      <c r="D19">
        <v>520032046</v>
      </c>
      <c r="E19" t="s">
        <v>429</v>
      </c>
      <c r="F19" t="s">
        <v>1293</v>
      </c>
      <c r="G19" t="s">
        <v>1294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1217</v>
      </c>
      <c r="Q19" t="s">
        <v>65</v>
      </c>
      <c r="R19" t="s">
        <v>57</v>
      </c>
      <c r="S19" t="s">
        <v>1222</v>
      </c>
      <c r="T19" s="133">
        <v>4.4800000000000004</v>
      </c>
      <c r="U19" s="137">
        <v>47665</v>
      </c>
      <c r="V19" s="136">
        <v>2E-3</v>
      </c>
      <c r="W19" s="136">
        <v>2.2800000000000001E-2</v>
      </c>
      <c r="X19" t="s">
        <v>620</v>
      </c>
      <c r="Y19"/>
      <c r="Z19" s="133">
        <v>16375500</v>
      </c>
      <c r="AA19" s="133">
        <v>1</v>
      </c>
      <c r="AB19" s="133">
        <v>107.79</v>
      </c>
      <c r="AC19" s="135"/>
      <c r="AD19" s="133">
        <v>17651.151450000001</v>
      </c>
      <c r="AE19" s="135"/>
      <c r="AF19" s="135"/>
      <c r="AG19"/>
      <c r="AH19" s="136">
        <v>4.7340000000000004E-3</v>
      </c>
      <c r="AI19" s="136">
        <v>8.5971000000000006E-2</v>
      </c>
      <c r="AJ19" s="136">
        <v>1.044E-3</v>
      </c>
    </row>
    <row r="20" spans="1:36" x14ac:dyDescent="0.2">
      <c r="A20">
        <v>332</v>
      </c>
      <c r="B20">
        <v>332</v>
      </c>
      <c r="C20" t="s">
        <v>1283</v>
      </c>
      <c r="D20">
        <v>513893123</v>
      </c>
      <c r="E20" t="s">
        <v>429</v>
      </c>
      <c r="F20" t="s">
        <v>1295</v>
      </c>
      <c r="G20" t="s">
        <v>1296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633</v>
      </c>
      <c r="O20" t="s">
        <v>62</v>
      </c>
      <c r="P20" t="s">
        <v>1286</v>
      </c>
      <c r="Q20" t="s">
        <v>70</v>
      </c>
      <c r="R20" t="s">
        <v>57</v>
      </c>
      <c r="S20" t="s">
        <v>1222</v>
      </c>
      <c r="T20" s="133">
        <v>0.08</v>
      </c>
      <c r="U20" s="137">
        <v>46054</v>
      </c>
      <c r="V20" s="136">
        <v>0.01</v>
      </c>
      <c r="W20" s="136">
        <v>7.7799999999999994E-2</v>
      </c>
      <c r="X20" t="s">
        <v>620</v>
      </c>
      <c r="Y20"/>
      <c r="Z20" s="133">
        <v>210113.76</v>
      </c>
      <c r="AA20" s="133">
        <v>1</v>
      </c>
      <c r="AB20" s="133">
        <v>116.62</v>
      </c>
      <c r="AC20" s="135"/>
      <c r="AD20" s="133">
        <v>245.03467000000001</v>
      </c>
      <c r="AE20" s="135"/>
      <c r="AF20" s="135"/>
      <c r="AG20"/>
      <c r="AH20" s="136">
        <v>6.2110000000000004E-3</v>
      </c>
      <c r="AI20" s="136">
        <v>1.193E-3</v>
      </c>
      <c r="AJ20" s="136">
        <v>1.4E-5</v>
      </c>
    </row>
    <row r="21" spans="1:36" x14ac:dyDescent="0.2">
      <c r="A21">
        <v>332</v>
      </c>
      <c r="B21">
        <v>332</v>
      </c>
      <c r="C21" t="s">
        <v>1261</v>
      </c>
      <c r="D21">
        <v>520018078</v>
      </c>
      <c r="E21" t="s">
        <v>429</v>
      </c>
      <c r="F21" t="s">
        <v>1297</v>
      </c>
      <c r="G21" t="s">
        <v>1298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1221</v>
      </c>
      <c r="Q21" t="s">
        <v>70</v>
      </c>
      <c r="R21" t="s">
        <v>57</v>
      </c>
      <c r="S21" t="s">
        <v>1222</v>
      </c>
      <c r="T21" s="133">
        <v>3.9</v>
      </c>
      <c r="U21" s="137">
        <v>47447</v>
      </c>
      <c r="V21" s="136">
        <v>1E-3</v>
      </c>
      <c r="W21" s="136">
        <v>2.1899999999999999E-2</v>
      </c>
      <c r="X21" t="s">
        <v>620</v>
      </c>
      <c r="Y21"/>
      <c r="Z21" s="133">
        <v>2733288</v>
      </c>
      <c r="AA21" s="133">
        <v>1</v>
      </c>
      <c r="AB21" s="133">
        <v>106.2</v>
      </c>
      <c r="AC21" s="135"/>
      <c r="AD21" s="133">
        <v>2902.7518599999999</v>
      </c>
      <c r="AE21" s="135"/>
      <c r="AF21" s="135"/>
      <c r="AG21"/>
      <c r="AH21" s="136">
        <v>6.3699999999999998E-4</v>
      </c>
      <c r="AI21" s="136">
        <v>1.4138E-2</v>
      </c>
      <c r="AJ21" s="136">
        <v>1.7100000000000001E-4</v>
      </c>
    </row>
    <row r="22" spans="1:36" x14ac:dyDescent="0.2">
      <c r="H22" s="4"/>
      <c r="L22"/>
      <c r="M22" s="4"/>
    </row>
    <row r="23" spans="1:36" x14ac:dyDescent="0.2">
      <c r="H23" s="4"/>
      <c r="L23"/>
    </row>
    <row r="24" spans="1:36" x14ac:dyDescent="0.2">
      <c r="L24"/>
    </row>
    <row r="25" spans="1:36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7.75" style="4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938</v>
      </c>
      <c r="U1" s="132" t="s">
        <v>1153</v>
      </c>
      <c r="V1" s="139" t="s">
        <v>18</v>
      </c>
      <c r="W1" s="139" t="s">
        <v>19</v>
      </c>
      <c r="X1" s="139" t="s">
        <v>30</v>
      </c>
    </row>
    <row r="2" spans="1:24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3"/>
      <c r="R2" s="133"/>
      <c r="S2" s="133"/>
      <c r="T2" s="133"/>
      <c r="U2" s="133"/>
      <c r="V2" s="136"/>
      <c r="W2" s="136"/>
      <c r="X2" s="136"/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75" style="2" bestFit="1" customWidth="1"/>
    <col min="5" max="5" width="9.125" style="4" bestFit="1" customWidth="1"/>
    <col min="6" max="6" width="33.8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43.875" style="144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2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332</v>
      </c>
      <c r="B2">
        <v>332</v>
      </c>
      <c r="C2" t="s">
        <v>1299</v>
      </c>
      <c r="D2">
        <v>510938608</v>
      </c>
      <c r="E2" t="s">
        <v>429</v>
      </c>
      <c r="F2" t="s">
        <v>1300</v>
      </c>
      <c r="G2" t="s">
        <v>1301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963</v>
      </c>
      <c r="N2" t="s">
        <v>62</v>
      </c>
      <c r="O2" t="s">
        <v>1222</v>
      </c>
      <c r="P2" s="133">
        <v>832723.37</v>
      </c>
      <c r="Q2" s="133">
        <v>1</v>
      </c>
      <c r="R2" s="133">
        <v>4035.8</v>
      </c>
      <c r="S2" s="133"/>
      <c r="T2" s="133">
        <v>33607.049769999998</v>
      </c>
      <c r="U2" s="136">
        <v>1.5959999999999998E-2</v>
      </c>
      <c r="V2" s="136">
        <v>3.0644999999999999E-2</v>
      </c>
      <c r="W2" s="136">
        <v>1.9880000000000002E-3</v>
      </c>
    </row>
    <row r="3" spans="1:23" x14ac:dyDescent="0.2">
      <c r="A3">
        <v>332</v>
      </c>
      <c r="B3">
        <v>332</v>
      </c>
      <c r="C3" t="s">
        <v>1302</v>
      </c>
      <c r="D3">
        <v>513765339</v>
      </c>
      <c r="E3" t="s">
        <v>429</v>
      </c>
      <c r="F3" t="s">
        <v>1303</v>
      </c>
      <c r="G3" t="s">
        <v>1304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964</v>
      </c>
      <c r="N3" t="s">
        <v>62</v>
      </c>
      <c r="O3" t="s">
        <v>1222</v>
      </c>
      <c r="P3" s="133">
        <v>3177180</v>
      </c>
      <c r="Q3" s="133">
        <v>1</v>
      </c>
      <c r="R3" s="133">
        <v>384.92</v>
      </c>
      <c r="S3" s="135"/>
      <c r="T3" s="133">
        <v>12229.601259999999</v>
      </c>
      <c r="U3" s="136">
        <v>3.3310000000000002E-3</v>
      </c>
      <c r="V3" s="136">
        <v>1.1150999999999999E-2</v>
      </c>
      <c r="W3" s="136">
        <v>7.2300000000000001E-4</v>
      </c>
    </row>
    <row r="4" spans="1:23" x14ac:dyDescent="0.2">
      <c r="A4">
        <v>332</v>
      </c>
      <c r="B4">
        <v>332</v>
      </c>
      <c r="C4" t="s">
        <v>1305</v>
      </c>
      <c r="D4">
        <v>511776783</v>
      </c>
      <c r="E4" t="s">
        <v>429</v>
      </c>
      <c r="F4" t="s">
        <v>1306</v>
      </c>
      <c r="G4" t="s">
        <v>1307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963</v>
      </c>
      <c r="N4" t="s">
        <v>62</v>
      </c>
      <c r="O4" t="s">
        <v>1222</v>
      </c>
      <c r="P4" s="133">
        <v>4845640</v>
      </c>
      <c r="Q4" s="133">
        <v>1</v>
      </c>
      <c r="R4" s="133">
        <v>407.48</v>
      </c>
      <c r="S4" s="135"/>
      <c r="T4" s="133">
        <v>19745.013869999999</v>
      </c>
      <c r="U4" s="136">
        <v>1.9875E-2</v>
      </c>
      <c r="V4" s="136">
        <v>1.8003999999999999E-2</v>
      </c>
      <c r="W4" s="136">
        <v>1.168E-3</v>
      </c>
    </row>
    <row r="5" spans="1:23" x14ac:dyDescent="0.2">
      <c r="A5">
        <v>332</v>
      </c>
      <c r="B5">
        <v>332</v>
      </c>
      <c r="C5" t="s">
        <v>1308</v>
      </c>
      <c r="D5">
        <v>513534974</v>
      </c>
      <c r="E5" t="s">
        <v>429</v>
      </c>
      <c r="F5" t="s">
        <v>1309</v>
      </c>
      <c r="G5" t="s">
        <v>1310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2" t="s">
        <v>964</v>
      </c>
      <c r="N5" t="s">
        <v>62</v>
      </c>
      <c r="O5" t="s">
        <v>1222</v>
      </c>
      <c r="P5" s="133">
        <v>517738</v>
      </c>
      <c r="Q5" s="133">
        <v>1</v>
      </c>
      <c r="R5" s="133">
        <v>384.29</v>
      </c>
      <c r="S5" s="135"/>
      <c r="T5" s="133">
        <v>1989.61536</v>
      </c>
      <c r="U5" s="136">
        <v>9.01E-4</v>
      </c>
      <c r="V5" s="136">
        <v>1.8140000000000001E-3</v>
      </c>
      <c r="W5" s="136">
        <v>1.17E-4</v>
      </c>
    </row>
    <row r="6" spans="1:23" x14ac:dyDescent="0.2">
      <c r="A6">
        <v>332</v>
      </c>
      <c r="B6">
        <v>332</v>
      </c>
      <c r="C6" t="s">
        <v>1305</v>
      </c>
      <c r="D6">
        <v>511776783</v>
      </c>
      <c r="E6" t="s">
        <v>429</v>
      </c>
      <c r="F6" t="s">
        <v>1311</v>
      </c>
      <c r="G6" t="s">
        <v>1312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2" t="s">
        <v>1044</v>
      </c>
      <c r="N6" t="s">
        <v>62</v>
      </c>
      <c r="O6" t="s">
        <v>1222</v>
      </c>
      <c r="P6" s="133">
        <v>234781</v>
      </c>
      <c r="Q6" s="133">
        <v>1</v>
      </c>
      <c r="R6" s="133">
        <v>3577</v>
      </c>
      <c r="S6" s="135"/>
      <c r="T6" s="133">
        <v>8398.1163699999997</v>
      </c>
      <c r="U6" s="136">
        <v>2.7550000000000001E-3</v>
      </c>
      <c r="V6" s="136">
        <v>7.6569999999999997E-3</v>
      </c>
      <c r="W6" s="136">
        <v>4.9600000000000002E-4</v>
      </c>
    </row>
    <row r="7" spans="1:23" x14ac:dyDescent="0.2">
      <c r="A7">
        <v>332</v>
      </c>
      <c r="B7">
        <v>332</v>
      </c>
      <c r="C7" t="s">
        <v>1308</v>
      </c>
      <c r="D7">
        <v>513534974</v>
      </c>
      <c r="E7" t="s">
        <v>429</v>
      </c>
      <c r="F7" t="s">
        <v>1313</v>
      </c>
      <c r="G7" t="s">
        <v>1314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2" t="s">
        <v>1044</v>
      </c>
      <c r="N7" t="s">
        <v>62</v>
      </c>
      <c r="O7" t="s">
        <v>1222</v>
      </c>
      <c r="P7" s="133">
        <v>2295854</v>
      </c>
      <c r="Q7" s="133">
        <v>1</v>
      </c>
      <c r="R7" s="133">
        <v>3563</v>
      </c>
      <c r="S7" s="135"/>
      <c r="T7" s="133">
        <v>81801.278019999998</v>
      </c>
      <c r="U7" s="136">
        <v>8.9529999999999992E-3</v>
      </c>
      <c r="V7" s="136">
        <v>7.4592000000000006E-2</v>
      </c>
      <c r="W7" s="136">
        <v>4.8390000000000004E-3</v>
      </c>
    </row>
    <row r="8" spans="1:23" x14ac:dyDescent="0.2">
      <c r="A8">
        <v>332</v>
      </c>
      <c r="B8">
        <v>332</v>
      </c>
      <c r="C8" t="s">
        <v>1299</v>
      </c>
      <c r="D8">
        <v>510938608</v>
      </c>
      <c r="E8" t="s">
        <v>429</v>
      </c>
      <c r="F8" t="s">
        <v>1315</v>
      </c>
      <c r="G8" t="s">
        <v>1316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964</v>
      </c>
      <c r="N8" t="s">
        <v>62</v>
      </c>
      <c r="O8" t="s">
        <v>1222</v>
      </c>
      <c r="P8" s="133">
        <v>313071</v>
      </c>
      <c r="Q8" s="133">
        <v>1</v>
      </c>
      <c r="R8" s="133">
        <v>3820.18</v>
      </c>
      <c r="S8" s="135"/>
      <c r="T8" s="133">
        <v>11959.87573</v>
      </c>
      <c r="U8" s="136">
        <v>1.4227999999999999E-2</v>
      </c>
      <c r="V8" s="136">
        <v>1.0905E-2</v>
      </c>
      <c r="W8" s="136">
        <v>7.0699999999999995E-4</v>
      </c>
    </row>
    <row r="9" spans="1:23" x14ac:dyDescent="0.2">
      <c r="A9">
        <v>332</v>
      </c>
      <c r="B9">
        <v>332</v>
      </c>
      <c r="C9" t="s">
        <v>1305</v>
      </c>
      <c r="D9">
        <v>511776783</v>
      </c>
      <c r="E9" t="s">
        <v>429</v>
      </c>
      <c r="F9" t="s">
        <v>1317</v>
      </c>
      <c r="G9" t="s">
        <v>1318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2" t="s">
        <v>964</v>
      </c>
      <c r="N9" t="s">
        <v>62</v>
      </c>
      <c r="O9" t="s">
        <v>1222</v>
      </c>
      <c r="P9" s="133">
        <v>2238580</v>
      </c>
      <c r="Q9" s="133">
        <v>1</v>
      </c>
      <c r="R9" s="133">
        <v>384.19</v>
      </c>
      <c r="S9" s="135"/>
      <c r="T9" s="133">
        <v>8600.4004999999997</v>
      </c>
      <c r="U9" s="136">
        <v>1.5448999999999999E-2</v>
      </c>
      <c r="V9" s="136">
        <v>7.842E-3</v>
      </c>
      <c r="W9" s="136">
        <v>5.0799999999999999E-4</v>
      </c>
    </row>
    <row r="10" spans="1:23" x14ac:dyDescent="0.2">
      <c r="A10">
        <v>332</v>
      </c>
      <c r="B10">
        <v>332</v>
      </c>
      <c r="C10" t="s">
        <v>1299</v>
      </c>
      <c r="D10">
        <v>510938608</v>
      </c>
      <c r="E10" t="s">
        <v>429</v>
      </c>
      <c r="F10" t="s">
        <v>1319</v>
      </c>
      <c r="G10" t="s">
        <v>1320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2" t="s">
        <v>1044</v>
      </c>
      <c r="N10" t="s">
        <v>62</v>
      </c>
      <c r="O10" t="s">
        <v>1222</v>
      </c>
      <c r="P10" s="133">
        <v>217682.29</v>
      </c>
      <c r="Q10" s="133">
        <v>1</v>
      </c>
      <c r="R10" s="133">
        <v>35510</v>
      </c>
      <c r="S10" s="135"/>
      <c r="T10" s="133">
        <v>77298.981180000002</v>
      </c>
      <c r="U10" s="136">
        <v>1.1251000000000001E-2</v>
      </c>
      <c r="V10" s="136">
        <v>7.0485999999999993E-2</v>
      </c>
      <c r="W10" s="136">
        <v>4.5729999999999998E-3</v>
      </c>
    </row>
    <row r="11" spans="1:23" x14ac:dyDescent="0.2">
      <c r="A11">
        <v>332</v>
      </c>
      <c r="B11">
        <v>332</v>
      </c>
      <c r="C11" t="s">
        <v>1321</v>
      </c>
      <c r="D11">
        <v>511303661</v>
      </c>
      <c r="E11" t="s">
        <v>429</v>
      </c>
      <c r="F11" t="s">
        <v>1322</v>
      </c>
      <c r="G11" t="s">
        <v>1323</v>
      </c>
      <c r="H11" t="s">
        <v>76</v>
      </c>
      <c r="I11" t="s">
        <v>234</v>
      </c>
      <c r="J11" t="s">
        <v>53</v>
      </c>
      <c r="K11" t="s">
        <v>53</v>
      </c>
      <c r="L11" t="s">
        <v>311</v>
      </c>
      <c r="M11" s="142" t="s">
        <v>1044</v>
      </c>
      <c r="N11" t="s">
        <v>62</v>
      </c>
      <c r="O11" t="s">
        <v>1222</v>
      </c>
      <c r="P11" s="133">
        <v>1394109</v>
      </c>
      <c r="Q11" s="133">
        <v>1</v>
      </c>
      <c r="R11" s="133">
        <v>4859</v>
      </c>
      <c r="S11" s="135"/>
      <c r="T11" s="133">
        <v>67739.756309999997</v>
      </c>
      <c r="U11" s="136">
        <v>1.9914999999999999E-2</v>
      </c>
      <c r="V11" s="136">
        <v>6.1768999999999998E-2</v>
      </c>
      <c r="W11" s="136">
        <v>4.0070000000000001E-3</v>
      </c>
    </row>
    <row r="12" spans="1:23" x14ac:dyDescent="0.2">
      <c r="A12">
        <v>332</v>
      </c>
      <c r="B12">
        <v>332</v>
      </c>
      <c r="C12" t="s">
        <v>1324</v>
      </c>
      <c r="D12" t="s">
        <v>1325</v>
      </c>
      <c r="E12" t="s">
        <v>430</v>
      </c>
      <c r="F12" t="s">
        <v>1326</v>
      </c>
      <c r="G12" t="s">
        <v>1327</v>
      </c>
      <c r="H12" t="s">
        <v>76</v>
      </c>
      <c r="I12" t="s">
        <v>235</v>
      </c>
      <c r="J12" t="s">
        <v>61</v>
      </c>
      <c r="K12" t="s">
        <v>316</v>
      </c>
      <c r="L12" t="s">
        <v>494</v>
      </c>
      <c r="M12" s="142" t="s">
        <v>759</v>
      </c>
      <c r="N12" t="s">
        <v>62</v>
      </c>
      <c r="O12" t="s">
        <v>1225</v>
      </c>
      <c r="P12" s="133">
        <v>825000</v>
      </c>
      <c r="Q12" s="133">
        <v>3.19</v>
      </c>
      <c r="R12" s="133">
        <v>14060.5</v>
      </c>
      <c r="S12" s="135"/>
      <c r="T12" s="133">
        <v>370037.20874999999</v>
      </c>
      <c r="U12" s="136">
        <v>1.6552000000000001E-2</v>
      </c>
      <c r="V12" s="136">
        <v>0.337426</v>
      </c>
      <c r="W12" s="136">
        <v>2.1894E-2</v>
      </c>
    </row>
    <row r="13" spans="1:23" x14ac:dyDescent="0.2">
      <c r="A13">
        <v>332</v>
      </c>
      <c r="B13">
        <v>332</v>
      </c>
      <c r="C13" t="s">
        <v>1328</v>
      </c>
      <c r="D13" t="s">
        <v>1329</v>
      </c>
      <c r="E13" t="s">
        <v>430</v>
      </c>
      <c r="F13" t="s">
        <v>1330</v>
      </c>
      <c r="G13" t="s">
        <v>1331</v>
      </c>
      <c r="H13" t="s">
        <v>76</v>
      </c>
      <c r="I13" t="s">
        <v>235</v>
      </c>
      <c r="J13" t="s">
        <v>61</v>
      </c>
      <c r="K13" t="s">
        <v>316</v>
      </c>
      <c r="L13" t="s">
        <v>494</v>
      </c>
      <c r="M13" s="142" t="s">
        <v>759</v>
      </c>
      <c r="N13" t="s">
        <v>62</v>
      </c>
      <c r="O13" t="s">
        <v>1225</v>
      </c>
      <c r="P13" s="133">
        <v>442630</v>
      </c>
      <c r="Q13" s="133">
        <v>3.19</v>
      </c>
      <c r="R13" s="133">
        <v>13111</v>
      </c>
      <c r="S13" s="135"/>
      <c r="T13" s="133">
        <v>185125.96956999999</v>
      </c>
      <c r="U13" s="136">
        <v>4.5399999999999998E-4</v>
      </c>
      <c r="V13" s="136">
        <v>0.16880999999999999</v>
      </c>
      <c r="W13" s="136">
        <v>1.0952999999999999E-2</v>
      </c>
    </row>
    <row r="14" spans="1:23" x14ac:dyDescent="0.2">
      <c r="A14">
        <v>332</v>
      </c>
      <c r="B14">
        <v>332</v>
      </c>
      <c r="C14" t="s">
        <v>1332</v>
      </c>
      <c r="D14" t="s">
        <v>1333</v>
      </c>
      <c r="E14" t="s">
        <v>430</v>
      </c>
      <c r="F14" t="s">
        <v>1334</v>
      </c>
      <c r="G14" t="s">
        <v>1335</v>
      </c>
      <c r="H14" t="s">
        <v>76</v>
      </c>
      <c r="I14" t="s">
        <v>235</v>
      </c>
      <c r="J14" t="s">
        <v>61</v>
      </c>
      <c r="K14" t="s">
        <v>316</v>
      </c>
      <c r="L14" t="s">
        <v>494</v>
      </c>
      <c r="M14" s="142" t="s">
        <v>759</v>
      </c>
      <c r="N14" t="s">
        <v>62</v>
      </c>
      <c r="O14" t="s">
        <v>1225</v>
      </c>
      <c r="P14" s="133">
        <v>390491</v>
      </c>
      <c r="Q14" s="133">
        <v>3.19</v>
      </c>
      <c r="R14" s="133">
        <v>4790.75</v>
      </c>
      <c r="S14" s="135"/>
      <c r="T14" s="133">
        <v>59676.757790000003</v>
      </c>
      <c r="U14" s="136">
        <v>1.155E-3</v>
      </c>
      <c r="V14" s="136">
        <v>5.4417E-2</v>
      </c>
      <c r="W14" s="136">
        <v>3.5300000000000002E-3</v>
      </c>
    </row>
    <row r="15" spans="1:23" x14ac:dyDescent="0.2">
      <c r="A15">
        <v>332</v>
      </c>
      <c r="B15">
        <v>332</v>
      </c>
      <c r="C15" t="s">
        <v>1336</v>
      </c>
      <c r="D15" t="s">
        <v>1337</v>
      </c>
      <c r="E15" t="s">
        <v>430</v>
      </c>
      <c r="F15" t="s">
        <v>1338</v>
      </c>
      <c r="G15" t="s">
        <v>1339</v>
      </c>
      <c r="H15" t="s">
        <v>76</v>
      </c>
      <c r="I15" t="s">
        <v>235</v>
      </c>
      <c r="J15" t="s">
        <v>61</v>
      </c>
      <c r="K15" t="s">
        <v>317</v>
      </c>
      <c r="L15" t="s">
        <v>494</v>
      </c>
      <c r="M15" s="142" t="s">
        <v>759</v>
      </c>
      <c r="N15" t="s">
        <v>62</v>
      </c>
      <c r="O15" t="s">
        <v>1225</v>
      </c>
      <c r="P15" s="133">
        <v>420854</v>
      </c>
      <c r="Q15" s="133">
        <v>3.19</v>
      </c>
      <c r="R15" s="133">
        <v>6149</v>
      </c>
      <c r="S15" s="135"/>
      <c r="T15" s="133">
        <v>82551.816749999998</v>
      </c>
      <c r="U15" s="136">
        <v>6.3299999999999997E-3</v>
      </c>
      <c r="V15" s="136">
        <v>7.5275999999999996E-2</v>
      </c>
      <c r="W15" s="136">
        <v>4.8840000000000003E-3</v>
      </c>
    </row>
    <row r="16" spans="1:23" x14ac:dyDescent="0.2">
      <c r="A16">
        <v>332</v>
      </c>
      <c r="B16">
        <v>332</v>
      </c>
      <c r="C16" t="s">
        <v>1340</v>
      </c>
      <c r="D16" t="s">
        <v>1341</v>
      </c>
      <c r="E16" t="s">
        <v>430</v>
      </c>
      <c r="F16" t="s">
        <v>1342</v>
      </c>
      <c r="G16" t="s">
        <v>1343</v>
      </c>
      <c r="H16" t="s">
        <v>76</v>
      </c>
      <c r="I16" t="s">
        <v>235</v>
      </c>
      <c r="J16" t="s">
        <v>61</v>
      </c>
      <c r="K16" t="s">
        <v>316</v>
      </c>
      <c r="L16" t="s">
        <v>494</v>
      </c>
      <c r="M16" s="142" t="s">
        <v>759</v>
      </c>
      <c r="N16" t="s">
        <v>62</v>
      </c>
      <c r="O16" t="s">
        <v>1225</v>
      </c>
      <c r="P16" s="133">
        <v>165924</v>
      </c>
      <c r="Q16" s="133">
        <v>3.19</v>
      </c>
      <c r="R16" s="133">
        <v>14337</v>
      </c>
      <c r="S16" s="135"/>
      <c r="T16" s="133">
        <v>75885.391180000006</v>
      </c>
      <c r="U16" s="136">
        <v>1.2489999999999999E-3</v>
      </c>
      <c r="V16" s="136">
        <v>6.9196999999999995E-2</v>
      </c>
      <c r="W16" s="136">
        <v>4.4889999999999999E-3</v>
      </c>
    </row>
    <row r="17" spans="1:2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43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43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43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43"/>
      <c r="N20" s="19"/>
      <c r="P20" s="17"/>
    </row>
    <row r="21" spans="1:23" x14ac:dyDescent="0.2">
      <c r="H21" s="4"/>
      <c r="L21" s="4"/>
      <c r="M21" s="142"/>
    </row>
    <row r="22" spans="1:23" x14ac:dyDescent="0.2">
      <c r="L22" s="4"/>
      <c r="M22" s="142"/>
    </row>
    <row r="23" spans="1:23" x14ac:dyDescent="0.2">
      <c r="M23" s="142"/>
    </row>
    <row r="24" spans="1:23" x14ac:dyDescent="0.2">
      <c r="M24" s="142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3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3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3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3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3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3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3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3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3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3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3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3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3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3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3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3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3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3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332</v>
      </c>
      <c r="B2">
        <v>332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2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332</v>
      </c>
      <c r="B2">
        <v>332</v>
      </c>
      <c r="C2" t="s">
        <v>649</v>
      </c>
      <c r="D2" t="s">
        <v>1344</v>
      </c>
      <c r="E2">
        <v>8287740</v>
      </c>
      <c r="F2" s="137">
        <v>40545</v>
      </c>
      <c r="G2" s="133">
        <v>0.01</v>
      </c>
      <c r="H2" t="s">
        <v>229</v>
      </c>
      <c r="I2" s="137">
        <v>46024</v>
      </c>
      <c r="J2" s="136">
        <v>4.8000000000000001E-2</v>
      </c>
      <c r="K2" s="136">
        <v>2.3300000000000001E-2</v>
      </c>
      <c r="L2" s="133">
        <v>188571000</v>
      </c>
      <c r="M2" s="133">
        <v>127.8918</v>
      </c>
      <c r="N2" s="133">
        <v>241166.91339</v>
      </c>
      <c r="O2" s="133"/>
      <c r="Q2" s="136">
        <v>0.19184699999999999</v>
      </c>
      <c r="R2" s="136">
        <v>1.4269E-2</v>
      </c>
    </row>
    <row r="3" spans="1:18" x14ac:dyDescent="0.2">
      <c r="A3">
        <v>332</v>
      </c>
      <c r="B3">
        <v>332</v>
      </c>
      <c r="C3" t="s">
        <v>649</v>
      </c>
      <c r="D3" t="s">
        <v>1345</v>
      </c>
      <c r="E3">
        <v>8288227</v>
      </c>
      <c r="F3" s="137">
        <v>42005</v>
      </c>
      <c r="G3" s="133">
        <v>3.63</v>
      </c>
      <c r="H3" t="s">
        <v>229</v>
      </c>
      <c r="I3" s="137">
        <v>47484</v>
      </c>
      <c r="J3" s="136">
        <v>4.8000000000000001E-2</v>
      </c>
      <c r="K3" s="136">
        <v>1.7299999999999999E-2</v>
      </c>
      <c r="L3" s="133">
        <v>9850000</v>
      </c>
      <c r="M3" s="133">
        <v>134.75139999999999</v>
      </c>
      <c r="N3" s="133">
        <v>13273.017599999999</v>
      </c>
      <c r="O3" s="135"/>
      <c r="Q3" s="136">
        <v>1.0558E-2</v>
      </c>
      <c r="R3" s="136">
        <v>7.85E-4</v>
      </c>
    </row>
    <row r="4" spans="1:18" x14ac:dyDescent="0.2">
      <c r="A4">
        <v>332</v>
      </c>
      <c r="B4">
        <v>332</v>
      </c>
      <c r="C4" t="s">
        <v>649</v>
      </c>
      <c r="D4" t="s">
        <v>1346</v>
      </c>
      <c r="E4">
        <v>8288987</v>
      </c>
      <c r="F4" s="137">
        <v>44348</v>
      </c>
      <c r="G4" s="133">
        <v>8.59</v>
      </c>
      <c r="H4" t="s">
        <v>229</v>
      </c>
      <c r="I4" s="137">
        <v>49827</v>
      </c>
      <c r="J4" s="136">
        <v>4.8000000000000001E-2</v>
      </c>
      <c r="K4" s="136">
        <v>1.7999999999999999E-2</v>
      </c>
      <c r="L4" s="133">
        <v>163872000</v>
      </c>
      <c r="M4" s="133">
        <v>150.42359999999999</v>
      </c>
      <c r="N4" s="133">
        <v>246502.19138</v>
      </c>
      <c r="O4" s="135"/>
      <c r="Q4" s="136">
        <v>0.19609099999999999</v>
      </c>
      <c r="R4" s="136">
        <v>1.4584E-2</v>
      </c>
    </row>
    <row r="5" spans="1:18" x14ac:dyDescent="0.2">
      <c r="A5">
        <v>332</v>
      </c>
      <c r="B5">
        <v>332</v>
      </c>
      <c r="C5" t="s">
        <v>649</v>
      </c>
      <c r="D5" t="s">
        <v>1347</v>
      </c>
      <c r="E5">
        <v>8288599</v>
      </c>
      <c r="F5" s="137">
        <v>43132</v>
      </c>
      <c r="G5" s="133">
        <v>6.1</v>
      </c>
      <c r="H5" t="s">
        <v>229</v>
      </c>
      <c r="I5" s="137">
        <v>48611</v>
      </c>
      <c r="J5" s="136">
        <v>4.8000000000000001E-2</v>
      </c>
      <c r="K5" s="136">
        <v>1.7500000000000002E-2</v>
      </c>
      <c r="L5" s="133">
        <v>47201000</v>
      </c>
      <c r="M5" s="133">
        <v>145.339</v>
      </c>
      <c r="N5" s="133">
        <v>68601.470069999996</v>
      </c>
      <c r="O5" s="135"/>
      <c r="Q5" s="136">
        <v>5.4572000000000002E-2</v>
      </c>
      <c r="R5" s="136">
        <v>4.058E-3</v>
      </c>
    </row>
    <row r="6" spans="1:18" x14ac:dyDescent="0.2">
      <c r="A6">
        <v>332</v>
      </c>
      <c r="B6">
        <v>332</v>
      </c>
      <c r="C6" t="s">
        <v>649</v>
      </c>
      <c r="D6" t="s">
        <v>1348</v>
      </c>
      <c r="E6">
        <v>8287989</v>
      </c>
      <c r="F6" s="137">
        <v>41275</v>
      </c>
      <c r="G6" s="133">
        <v>1.9</v>
      </c>
      <c r="H6" t="s">
        <v>229</v>
      </c>
      <c r="I6" s="137">
        <v>46754</v>
      </c>
      <c r="J6" s="136">
        <v>4.8000000000000001E-2</v>
      </c>
      <c r="K6" s="136">
        <v>1.8100000000000002E-2</v>
      </c>
      <c r="L6" s="133">
        <v>57618000</v>
      </c>
      <c r="M6" s="133">
        <v>130.00909999999999</v>
      </c>
      <c r="N6" s="133">
        <v>74908.63953</v>
      </c>
      <c r="O6" s="135"/>
      <c r="Q6" s="136">
        <v>5.9589000000000003E-2</v>
      </c>
      <c r="R6" s="136">
        <v>4.4320000000000002E-3</v>
      </c>
    </row>
    <row r="7" spans="1:18" x14ac:dyDescent="0.2">
      <c r="A7">
        <v>332</v>
      </c>
      <c r="B7">
        <v>332</v>
      </c>
      <c r="C7" t="s">
        <v>649</v>
      </c>
      <c r="D7" t="s">
        <v>1349</v>
      </c>
      <c r="E7">
        <v>8288359</v>
      </c>
      <c r="F7" s="137">
        <v>42401</v>
      </c>
      <c r="G7" s="133">
        <v>4.54</v>
      </c>
      <c r="H7" t="s">
        <v>229</v>
      </c>
      <c r="I7" s="137">
        <v>47880</v>
      </c>
      <c r="J7" s="136">
        <v>4.8000000000000001E-2</v>
      </c>
      <c r="K7" s="136">
        <v>1.7299999999999999E-2</v>
      </c>
      <c r="L7" s="133">
        <v>17243000</v>
      </c>
      <c r="M7" s="133">
        <v>139.27209999999999</v>
      </c>
      <c r="N7" s="133">
        <v>24014.686539999999</v>
      </c>
      <c r="O7" s="135"/>
      <c r="Q7" s="136">
        <v>1.9102999999999998E-2</v>
      </c>
      <c r="R7" s="136">
        <v>1.42E-3</v>
      </c>
    </row>
    <row r="8" spans="1:18" x14ac:dyDescent="0.2">
      <c r="A8">
        <v>332</v>
      </c>
      <c r="B8">
        <v>332</v>
      </c>
      <c r="C8" t="s">
        <v>649</v>
      </c>
      <c r="D8" t="s">
        <v>1350</v>
      </c>
      <c r="E8">
        <v>8288946</v>
      </c>
      <c r="F8" s="137">
        <v>44228</v>
      </c>
      <c r="G8" s="133">
        <v>8.26</v>
      </c>
      <c r="H8" t="s">
        <v>229</v>
      </c>
      <c r="I8" s="137">
        <v>49706</v>
      </c>
      <c r="J8" s="136">
        <v>4.8000000000000001E-2</v>
      </c>
      <c r="K8" s="136">
        <v>1.7999999999999999E-2</v>
      </c>
      <c r="L8" s="133">
        <v>74862000</v>
      </c>
      <c r="M8" s="133">
        <v>153.06790000000001</v>
      </c>
      <c r="N8" s="133">
        <v>114589.68184999999</v>
      </c>
      <c r="O8" s="135"/>
      <c r="Q8" s="136">
        <v>9.1155E-2</v>
      </c>
      <c r="R8" s="136">
        <v>6.7790000000000003E-3</v>
      </c>
    </row>
    <row r="9" spans="1:18" x14ac:dyDescent="0.2">
      <c r="A9">
        <v>332</v>
      </c>
      <c r="B9">
        <v>332</v>
      </c>
      <c r="C9" t="s">
        <v>649</v>
      </c>
      <c r="D9" t="s">
        <v>1351</v>
      </c>
      <c r="E9">
        <v>8288078</v>
      </c>
      <c r="F9" s="137">
        <v>41548</v>
      </c>
      <c r="G9" s="133">
        <v>2.59</v>
      </c>
      <c r="H9" t="s">
        <v>229</v>
      </c>
      <c r="I9" s="137">
        <v>47027</v>
      </c>
      <c r="J9" s="136">
        <v>4.8000000000000001E-2</v>
      </c>
      <c r="K9" s="136">
        <v>1.7500000000000002E-2</v>
      </c>
      <c r="L9" s="133">
        <v>126456000</v>
      </c>
      <c r="M9" s="133">
        <v>128.73150000000001</v>
      </c>
      <c r="N9" s="133">
        <v>162788.69589999999</v>
      </c>
      <c r="O9" s="135"/>
      <c r="Q9" s="136">
        <v>0.129497</v>
      </c>
      <c r="R9" s="136">
        <v>9.6310000000000007E-3</v>
      </c>
    </row>
    <row r="10" spans="1:18" x14ac:dyDescent="0.2">
      <c r="A10">
        <v>332</v>
      </c>
      <c r="B10">
        <v>332</v>
      </c>
      <c r="C10" t="s">
        <v>649</v>
      </c>
      <c r="D10" t="s">
        <v>1352</v>
      </c>
      <c r="E10">
        <v>8288839</v>
      </c>
      <c r="F10" s="137">
        <v>43863</v>
      </c>
      <c r="G10" s="133">
        <v>7.56</v>
      </c>
      <c r="H10" t="s">
        <v>229</v>
      </c>
      <c r="I10" s="137">
        <v>49342</v>
      </c>
      <c r="J10" s="136">
        <v>4.8000000000000001E-2</v>
      </c>
      <c r="K10" s="136">
        <v>1.78E-2</v>
      </c>
      <c r="L10" s="133">
        <v>28080000</v>
      </c>
      <c r="M10" s="133">
        <v>149.20009999999999</v>
      </c>
      <c r="N10" s="133">
        <v>41895.382250000002</v>
      </c>
      <c r="O10" s="135"/>
      <c r="Q10" s="136">
        <v>3.3327000000000002E-2</v>
      </c>
      <c r="R10" s="136">
        <v>2.4780000000000002E-3</v>
      </c>
    </row>
    <row r="11" spans="1:18" x14ac:dyDescent="0.2">
      <c r="A11">
        <v>332</v>
      </c>
      <c r="B11">
        <v>332</v>
      </c>
      <c r="C11" t="s">
        <v>649</v>
      </c>
      <c r="D11" t="s">
        <v>1353</v>
      </c>
      <c r="E11">
        <v>8288474</v>
      </c>
      <c r="F11" s="137">
        <v>42767</v>
      </c>
      <c r="G11" s="133">
        <v>5.33</v>
      </c>
      <c r="H11" t="s">
        <v>229</v>
      </c>
      <c r="I11" s="137">
        <v>48245</v>
      </c>
      <c r="J11" s="136">
        <v>4.8000000000000001E-2</v>
      </c>
      <c r="K11" s="136">
        <v>1.7399999999999999E-2</v>
      </c>
      <c r="L11" s="133">
        <v>71372000</v>
      </c>
      <c r="M11" s="133">
        <v>142.7852</v>
      </c>
      <c r="N11" s="133">
        <v>101908.66849</v>
      </c>
      <c r="O11" s="135"/>
      <c r="Q11" s="136">
        <v>8.1068000000000001E-2</v>
      </c>
      <c r="R11" s="136">
        <v>6.0289999999999996E-3</v>
      </c>
    </row>
    <row r="12" spans="1:18" x14ac:dyDescent="0.2">
      <c r="A12">
        <v>332</v>
      </c>
      <c r="B12">
        <v>332</v>
      </c>
      <c r="C12" t="s">
        <v>649</v>
      </c>
      <c r="D12" t="s">
        <v>1354</v>
      </c>
      <c r="E12">
        <v>8288938</v>
      </c>
      <c r="F12" s="137">
        <v>44197</v>
      </c>
      <c r="G12" s="133">
        <v>8.17</v>
      </c>
      <c r="H12" t="s">
        <v>229</v>
      </c>
      <c r="I12" s="137">
        <v>49675</v>
      </c>
      <c r="J12" s="136">
        <v>4.8000000000000001E-2</v>
      </c>
      <c r="K12" s="136">
        <v>1.7999999999999999E-2</v>
      </c>
      <c r="L12" s="133">
        <v>8142000</v>
      </c>
      <c r="M12" s="133">
        <v>153.1489</v>
      </c>
      <c r="N12" s="133">
        <v>12469.38085</v>
      </c>
      <c r="O12" s="135"/>
      <c r="Q12" s="136">
        <v>9.9190000000000007E-3</v>
      </c>
      <c r="R12" s="136">
        <v>7.3700000000000002E-4</v>
      </c>
    </row>
    <row r="13" spans="1:18" x14ac:dyDescent="0.2">
      <c r="A13">
        <v>332</v>
      </c>
      <c r="B13">
        <v>332</v>
      </c>
      <c r="C13" t="s">
        <v>649</v>
      </c>
      <c r="D13" t="s">
        <v>1355</v>
      </c>
      <c r="E13">
        <v>8288714</v>
      </c>
      <c r="F13" s="137">
        <v>43497</v>
      </c>
      <c r="G13" s="133">
        <v>6.84</v>
      </c>
      <c r="H13" t="s">
        <v>229</v>
      </c>
      <c r="I13" s="137">
        <v>48976</v>
      </c>
      <c r="J13" s="136">
        <v>4.8000000000000001E-2</v>
      </c>
      <c r="K13" s="136">
        <v>1.77E-2</v>
      </c>
      <c r="L13" s="133">
        <v>51977000</v>
      </c>
      <c r="M13" s="133">
        <v>147.1953</v>
      </c>
      <c r="N13" s="133">
        <v>76507.698130000004</v>
      </c>
      <c r="O13" s="135"/>
      <c r="Q13" s="136">
        <v>6.0860999999999998E-2</v>
      </c>
      <c r="R13" s="136">
        <v>4.5259999999999996E-3</v>
      </c>
    </row>
    <row r="14" spans="1:18" x14ac:dyDescent="0.2">
      <c r="A14">
        <v>332</v>
      </c>
      <c r="B14">
        <v>332</v>
      </c>
      <c r="C14" t="s">
        <v>649</v>
      </c>
      <c r="D14" t="s">
        <v>1356</v>
      </c>
      <c r="E14">
        <v>8288979</v>
      </c>
      <c r="F14" s="137">
        <v>44318</v>
      </c>
      <c r="G14" s="133">
        <v>8.51</v>
      </c>
      <c r="H14" t="s">
        <v>229</v>
      </c>
      <c r="I14" s="137">
        <v>49797</v>
      </c>
      <c r="J14" s="136">
        <v>4.8000000000000001E-2</v>
      </c>
      <c r="K14" s="136">
        <v>1.7999999999999999E-2</v>
      </c>
      <c r="L14" s="133">
        <v>51909000</v>
      </c>
      <c r="M14" s="133">
        <v>151.1294</v>
      </c>
      <c r="N14" s="133">
        <v>78449.743119999999</v>
      </c>
      <c r="O14" s="135"/>
      <c r="Q14" s="136">
        <v>6.2406000000000003E-2</v>
      </c>
      <c r="R14" s="136">
        <v>4.6410000000000002E-3</v>
      </c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C4" sqref="C4"/>
    </sheetView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8" t="s">
        <v>1161</v>
      </c>
      <c r="G1" s="18" t="s">
        <v>30</v>
      </c>
    </row>
    <row r="2" spans="1:7" x14ac:dyDescent="0.2">
      <c r="A2">
        <v>332</v>
      </c>
      <c r="B2">
        <v>332</v>
      </c>
      <c r="C2" t="s">
        <v>672</v>
      </c>
      <c r="D2" s="137"/>
      <c r="E2" s="137"/>
      <c r="F2" s="133">
        <v>85749.565000000002</v>
      </c>
      <c r="G2" s="136">
        <v>5.0699999999999999E-3</v>
      </c>
    </row>
    <row r="3" spans="1:7" x14ac:dyDescent="0.2">
      <c r="A3">
        <v>332</v>
      </c>
      <c r="B3">
        <v>332</v>
      </c>
      <c r="C3" t="s">
        <v>1357</v>
      </c>
      <c r="D3" s="137"/>
      <c r="E3" s="137"/>
      <c r="F3" s="133">
        <v>-7945.3246200000003</v>
      </c>
      <c r="G3" s="136">
        <v>-4.6999999999999999E-4</v>
      </c>
    </row>
    <row r="4" spans="1:7" x14ac:dyDescent="0.2">
      <c r="A4"/>
      <c r="B4"/>
      <c r="C4"/>
      <c r="D4" s="137"/>
      <c r="E4" s="137"/>
      <c r="F4" s="133"/>
      <c r="G4" s="136"/>
    </row>
    <row r="5" spans="1:7" x14ac:dyDescent="0.2">
      <c r="A5"/>
      <c r="B5"/>
      <c r="C5"/>
      <c r="F5" s="146"/>
      <c r="G5" s="136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332</v>
      </c>
      <c r="B2">
        <v>332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" style="2" bestFit="1" customWidth="1"/>
    <col min="17" max="17" width="9.7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4.5" style="2" bestFit="1" customWidth="1"/>
    <col min="31" max="31" width="8.625" style="2" bestFit="1" customWidth="1"/>
    <col min="32" max="32" width="11" style="2" bestFit="1" customWidth="1"/>
    <col min="33" max="33" width="10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38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2" t="s">
        <v>1154</v>
      </c>
      <c r="AI1" s="132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332</v>
      </c>
      <c r="B2">
        <v>332</v>
      </c>
      <c r="C2" t="s">
        <v>1256</v>
      </c>
      <c r="D2">
        <v>520010869</v>
      </c>
      <c r="E2" t="s">
        <v>429</v>
      </c>
      <c r="F2" t="s">
        <v>1358</v>
      </c>
      <c r="G2" t="s">
        <v>1359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7">
        <v>39076</v>
      </c>
      <c r="P2" t="s">
        <v>1217</v>
      </c>
      <c r="Q2" t="s">
        <v>65</v>
      </c>
      <c r="R2" t="s">
        <v>57</v>
      </c>
      <c r="S2" t="s">
        <v>1222</v>
      </c>
      <c r="T2" s="133">
        <v>5.37</v>
      </c>
      <c r="U2" s="137">
        <v>50034</v>
      </c>
      <c r="V2" s="136">
        <v>2.41E-2</v>
      </c>
      <c r="W2" s="136">
        <v>4.9000000000000002E-2</v>
      </c>
      <c r="X2" t="s">
        <v>620</v>
      </c>
      <c r="Y2"/>
      <c r="Z2" t="s">
        <v>775</v>
      </c>
      <c r="AA2" t="s">
        <v>305</v>
      </c>
      <c r="AB2" s="137">
        <v>46022</v>
      </c>
      <c r="AC2" s="137"/>
      <c r="AD2" s="133">
        <v>1808400.76</v>
      </c>
      <c r="AE2" s="133">
        <v>1</v>
      </c>
      <c r="AF2" s="133">
        <v>161.76</v>
      </c>
      <c r="AG2" s="133">
        <v>2925.2690699999998</v>
      </c>
      <c r="AH2" s="133"/>
      <c r="AI2" s="133"/>
      <c r="AJ2"/>
      <c r="AK2" s="136">
        <v>0.11416800000000001</v>
      </c>
      <c r="AL2" s="136">
        <v>1.73E-4</v>
      </c>
    </row>
    <row r="3" spans="1:38" x14ac:dyDescent="0.2">
      <c r="A3">
        <v>332</v>
      </c>
      <c r="B3">
        <v>332</v>
      </c>
      <c r="C3" t="s">
        <v>1256</v>
      </c>
      <c r="D3">
        <v>520010869</v>
      </c>
      <c r="E3" t="s">
        <v>429</v>
      </c>
      <c r="F3" t="s">
        <v>1360</v>
      </c>
      <c r="G3" t="s">
        <v>1361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7">
        <v>40738</v>
      </c>
      <c r="P3" t="s">
        <v>1217</v>
      </c>
      <c r="Q3" t="s">
        <v>65</v>
      </c>
      <c r="R3" t="s">
        <v>57</v>
      </c>
      <c r="S3" t="s">
        <v>1222</v>
      </c>
      <c r="T3" s="133">
        <v>9.27</v>
      </c>
      <c r="U3" s="137">
        <v>54253</v>
      </c>
      <c r="V3" s="136">
        <v>2.58E-2</v>
      </c>
      <c r="W3" s="136">
        <v>4.1000000000000002E-2</v>
      </c>
      <c r="X3" t="s">
        <v>620</v>
      </c>
      <c r="Y3"/>
      <c r="Z3" t="s">
        <v>775</v>
      </c>
      <c r="AA3" t="s">
        <v>305</v>
      </c>
      <c r="AB3" s="137">
        <v>46022</v>
      </c>
      <c r="AC3" s="137"/>
      <c r="AD3" s="133">
        <v>13269232.98</v>
      </c>
      <c r="AE3" s="133">
        <v>1</v>
      </c>
      <c r="AF3" s="133">
        <v>142.11000000000001</v>
      </c>
      <c r="AG3" s="133">
        <v>18856.906989999999</v>
      </c>
      <c r="AH3" s="135"/>
      <c r="AI3" s="135"/>
      <c r="AJ3"/>
      <c r="AK3" s="136">
        <v>0.73595500000000003</v>
      </c>
      <c r="AL3" s="136">
        <v>1.1150000000000001E-3</v>
      </c>
    </row>
    <row r="4" spans="1:38" x14ac:dyDescent="0.2">
      <c r="A4">
        <v>332</v>
      </c>
      <c r="B4">
        <v>332</v>
      </c>
      <c r="C4" t="s">
        <v>1280</v>
      </c>
      <c r="D4">
        <v>513436394</v>
      </c>
      <c r="E4" t="s">
        <v>429</v>
      </c>
      <c r="F4" t="s">
        <v>1362</v>
      </c>
      <c r="G4" t="s">
        <v>1363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7">
        <v>40910</v>
      </c>
      <c r="P4" t="s">
        <v>1217</v>
      </c>
      <c r="Q4" t="s">
        <v>65</v>
      </c>
      <c r="R4" t="s">
        <v>57</v>
      </c>
      <c r="S4" t="s">
        <v>1222</v>
      </c>
      <c r="T4" s="133">
        <v>2.91</v>
      </c>
      <c r="U4" s="137">
        <v>48213</v>
      </c>
      <c r="V4" s="136">
        <v>2.5100000000000001E-2</v>
      </c>
      <c r="W4" s="136">
        <v>4.8000000000000001E-2</v>
      </c>
      <c r="X4" t="s">
        <v>620</v>
      </c>
      <c r="Y4"/>
      <c r="Z4" t="s">
        <v>775</v>
      </c>
      <c r="AA4" t="s">
        <v>305</v>
      </c>
      <c r="AB4" s="137">
        <v>46022</v>
      </c>
      <c r="AC4" s="137"/>
      <c r="AD4" s="133">
        <v>2953738.33</v>
      </c>
      <c r="AE4" s="133">
        <v>1</v>
      </c>
      <c r="AF4" s="133">
        <v>130.01</v>
      </c>
      <c r="AG4" s="133">
        <v>3840.1552000000001</v>
      </c>
      <c r="AH4" s="135"/>
      <c r="AI4" s="135"/>
      <c r="AJ4"/>
      <c r="AK4" s="136">
        <v>0.14987500000000001</v>
      </c>
      <c r="AL4" s="136">
        <v>2.2699999999999999E-4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875" style="2" bestFit="1" customWidth="1"/>
    <col min="5" max="5" width="9.125" style="4" bestFit="1" customWidth="1"/>
    <col min="6" max="6" width="25.6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9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38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332</v>
      </c>
      <c r="B2">
        <v>332</v>
      </c>
      <c r="C2" t="s">
        <v>102</v>
      </c>
      <c r="D2">
        <v>510905847</v>
      </c>
      <c r="E2" t="s">
        <v>429</v>
      </c>
      <c r="F2" t="s">
        <v>1364</v>
      </c>
      <c r="G2">
        <v>31000359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7">
        <v>24473</v>
      </c>
      <c r="P2" t="s">
        <v>1222</v>
      </c>
      <c r="Q2" t="s">
        <v>102</v>
      </c>
      <c r="R2" t="s">
        <v>305</v>
      </c>
      <c r="S2" s="137">
        <v>46022</v>
      </c>
      <c r="T2" s="137"/>
      <c r="U2" s="133">
        <v>9405.1200000000008</v>
      </c>
      <c r="V2" s="133">
        <v>1</v>
      </c>
      <c r="W2" s="133">
        <v>1E-4</v>
      </c>
      <c r="X2" s="133">
        <v>1E-4</v>
      </c>
      <c r="Y2" s="136">
        <v>0</v>
      </c>
      <c r="Z2" s="136">
        <v>0</v>
      </c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9.125" style="7" bestFit="1" customWidth="1"/>
    <col min="7" max="7" width="8" style="7" bestFit="1" customWidth="1"/>
    <col min="8" max="8" width="10.625" style="7" customWidth="1"/>
    <col min="9" max="9" width="9.75" style="7" bestFit="1" customWidth="1"/>
    <col min="10" max="10" width="8.75" style="7" bestFit="1" customWidth="1"/>
    <col min="11" max="11" width="9.625" style="7" bestFit="1" customWidth="1"/>
    <col min="12" max="12" width="10.375" style="7" bestFit="1" customWidth="1"/>
    <col min="13" max="13" width="9.125" style="134" bestFit="1" customWidth="1"/>
    <col min="14" max="14" width="8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9.12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4.25" style="7" bestFit="1" customWidth="1"/>
    <col min="25" max="25" width="9.625" style="7" bestFit="1" customWidth="1"/>
    <col min="26" max="26" width="9.25" style="7" bestFit="1" customWidth="1"/>
    <col min="27" max="27" width="8.125" style="7" bestFit="1" customWidth="1"/>
    <col min="28" max="28" width="6.375" style="7" bestFit="1" customWidth="1"/>
    <col min="29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32" t="s">
        <v>11</v>
      </c>
      <c r="G1" s="132" t="s">
        <v>326</v>
      </c>
      <c r="H1" s="132" t="s">
        <v>330</v>
      </c>
      <c r="I1" s="139" t="s">
        <v>328</v>
      </c>
      <c r="J1" s="139" t="s">
        <v>329</v>
      </c>
      <c r="K1" s="18" t="s">
        <v>419</v>
      </c>
      <c r="L1" s="18" t="s">
        <v>799</v>
      </c>
      <c r="M1" s="132" t="s">
        <v>11</v>
      </c>
      <c r="N1" s="132" t="s">
        <v>327</v>
      </c>
      <c r="O1" s="132" t="s">
        <v>331</v>
      </c>
      <c r="P1" s="139" t="s">
        <v>943</v>
      </c>
      <c r="Q1" s="139" t="s">
        <v>348</v>
      </c>
      <c r="R1" s="132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38" t="s">
        <v>365</v>
      </c>
      <c r="AA1" s="13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39" t="s">
        <v>349</v>
      </c>
      <c r="AI1" s="132" t="s">
        <v>367</v>
      </c>
      <c r="AJ1" s="132" t="s">
        <v>617</v>
      </c>
      <c r="AK1" s="18" t="s">
        <v>364</v>
      </c>
      <c r="AL1" s="139" t="s">
        <v>458</v>
      </c>
      <c r="AM1" s="18" t="s">
        <v>436</v>
      </c>
      <c r="AN1" s="139" t="s">
        <v>19</v>
      </c>
      <c r="AO1" s="139" t="s">
        <v>30</v>
      </c>
    </row>
    <row r="2" spans="1:41" x14ac:dyDescent="0.2">
      <c r="A2">
        <v>332</v>
      </c>
      <c r="B2">
        <v>332</v>
      </c>
      <c r="C2"/>
      <c r="D2"/>
      <c r="E2"/>
      <c r="F2" s="133"/>
      <c r="G2" s="133"/>
      <c r="H2" s="133"/>
      <c r="I2" s="136"/>
      <c r="J2" s="136"/>
      <c r="K2"/>
      <c r="L2"/>
      <c r="M2" s="133"/>
      <c r="N2" s="133"/>
      <c r="O2" s="133"/>
      <c r="P2" s="136"/>
      <c r="Q2" s="136"/>
      <c r="R2" s="133"/>
      <c r="S2"/>
      <c r="T2"/>
      <c r="U2"/>
      <c r="V2"/>
      <c r="W2"/>
      <c r="X2"/>
      <c r="Y2"/>
      <c r="Z2" s="137"/>
      <c r="AA2" s="137"/>
      <c r="AB2"/>
      <c r="AC2"/>
      <c r="AD2"/>
      <c r="AE2"/>
      <c r="AF2"/>
      <c r="AG2"/>
      <c r="AH2" s="136"/>
      <c r="AI2" s="133"/>
      <c r="AJ2" s="133"/>
      <c r="AK2"/>
      <c r="AL2" s="136"/>
      <c r="AM2"/>
      <c r="AN2" s="136"/>
      <c r="AO2" s="136"/>
    </row>
    <row r="3" spans="1:41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 s="133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3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3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8.3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6.375" style="2" bestFit="1" customWidth="1"/>
    <col min="15" max="15" width="9.25" style="2" bestFit="1" customWidth="1"/>
    <col min="16" max="16" width="10.375" style="2" bestFit="1" customWidth="1"/>
    <col min="17" max="17" width="11.875" style="2" bestFit="1" customWidth="1"/>
    <col min="18" max="18" width="8.625" style="2" bestFit="1" customWidth="1"/>
    <col min="19" max="19" width="8.75" style="2" bestFit="1" customWidth="1"/>
    <col min="20" max="20" width="11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x14ac:dyDescent="0.2">
      <c r="A2">
        <v>332</v>
      </c>
      <c r="B2">
        <v>332</v>
      </c>
      <c r="C2" t="s">
        <v>1223</v>
      </c>
      <c r="D2" t="s">
        <v>1224</v>
      </c>
      <c r="E2" t="s">
        <v>776</v>
      </c>
      <c r="F2" t="s">
        <v>228</v>
      </c>
      <c r="G2" s="137">
        <v>46237</v>
      </c>
      <c r="H2" t="s">
        <v>53</v>
      </c>
      <c r="I2" t="s">
        <v>53</v>
      </c>
      <c r="J2" t="s">
        <v>62</v>
      </c>
      <c r="K2" t="s">
        <v>1221</v>
      </c>
      <c r="L2" t="s">
        <v>70</v>
      </c>
      <c r="M2" t="s">
        <v>1222</v>
      </c>
      <c r="N2" s="133">
        <v>0.59</v>
      </c>
      <c r="O2" s="136"/>
      <c r="P2" s="136">
        <v>4.2000000000000003E-2</v>
      </c>
      <c r="Q2" s="133">
        <v>136556.9</v>
      </c>
      <c r="R2" s="133">
        <v>1</v>
      </c>
      <c r="S2" s="133">
        <v>100.78</v>
      </c>
      <c r="T2" s="133">
        <v>136556.9</v>
      </c>
      <c r="U2" s="136">
        <v>0.34954099999999999</v>
      </c>
      <c r="V2" s="136">
        <v>8.0789999999999994E-3</v>
      </c>
    </row>
    <row r="3" spans="1:22" x14ac:dyDescent="0.2">
      <c r="A3">
        <v>332</v>
      </c>
      <c r="B3">
        <v>332</v>
      </c>
      <c r="C3" t="s">
        <v>1223</v>
      </c>
      <c r="D3" t="s">
        <v>1224</v>
      </c>
      <c r="E3" t="s">
        <v>776</v>
      </c>
      <c r="F3" t="s">
        <v>228</v>
      </c>
      <c r="G3" s="137">
        <v>46206</v>
      </c>
      <c r="H3" t="s">
        <v>53</v>
      </c>
      <c r="I3" t="s">
        <v>53</v>
      </c>
      <c r="J3" t="s">
        <v>62</v>
      </c>
      <c r="K3" t="s">
        <v>1221</v>
      </c>
      <c r="L3" t="s">
        <v>70</v>
      </c>
      <c r="M3" t="s">
        <v>1222</v>
      </c>
      <c r="N3" s="133">
        <v>0.5</v>
      </c>
      <c r="O3" s="136"/>
      <c r="P3" s="136">
        <v>4.2099999999999999E-2</v>
      </c>
      <c r="Q3" s="133">
        <v>68516.800000000003</v>
      </c>
      <c r="R3" s="133">
        <v>1</v>
      </c>
      <c r="S3" s="133">
        <v>100.76</v>
      </c>
      <c r="T3" s="133">
        <v>68516.800000000003</v>
      </c>
      <c r="U3" s="136">
        <v>0.17538000000000001</v>
      </c>
      <c r="V3" s="136">
        <v>4.0530000000000002E-3</v>
      </c>
    </row>
    <row r="4" spans="1:22" x14ac:dyDescent="0.2">
      <c r="A4">
        <v>332</v>
      </c>
      <c r="B4">
        <v>332</v>
      </c>
      <c r="C4" t="s">
        <v>1223</v>
      </c>
      <c r="D4" t="s">
        <v>1224</v>
      </c>
      <c r="E4" t="s">
        <v>776</v>
      </c>
      <c r="F4" t="s">
        <v>228</v>
      </c>
      <c r="G4" s="137">
        <v>46176</v>
      </c>
      <c r="H4" t="s">
        <v>53</v>
      </c>
      <c r="I4" t="s">
        <v>53</v>
      </c>
      <c r="J4" t="s">
        <v>62</v>
      </c>
      <c r="K4" t="s">
        <v>1221</v>
      </c>
      <c r="L4" t="s">
        <v>70</v>
      </c>
      <c r="M4" t="s">
        <v>1222</v>
      </c>
      <c r="N4" s="133">
        <v>0.42</v>
      </c>
      <c r="O4" s="136"/>
      <c r="P4" s="136">
        <v>4.2299999999999997E-2</v>
      </c>
      <c r="Q4" s="133">
        <v>68503.199999999997</v>
      </c>
      <c r="R4" s="133">
        <v>1</v>
      </c>
      <c r="S4" s="133">
        <v>100.74</v>
      </c>
      <c r="T4" s="133">
        <v>68503.199999999997</v>
      </c>
      <c r="U4" s="136">
        <v>0.175346</v>
      </c>
      <c r="V4" s="136">
        <v>4.0530000000000002E-3</v>
      </c>
    </row>
    <row r="5" spans="1:22" x14ac:dyDescent="0.2">
      <c r="A5">
        <v>332</v>
      </c>
      <c r="B5">
        <v>332</v>
      </c>
      <c r="C5" t="s">
        <v>1223</v>
      </c>
      <c r="D5" t="s">
        <v>1224</v>
      </c>
      <c r="E5" t="s">
        <v>776</v>
      </c>
      <c r="F5" t="s">
        <v>228</v>
      </c>
      <c r="G5" s="137">
        <v>46143</v>
      </c>
      <c r="H5" t="s">
        <v>53</v>
      </c>
      <c r="I5" t="s">
        <v>53</v>
      </c>
      <c r="J5" t="s">
        <v>62</v>
      </c>
      <c r="K5" t="s">
        <v>1221</v>
      </c>
      <c r="L5" t="s">
        <v>70</v>
      </c>
      <c r="M5" t="s">
        <v>1222</v>
      </c>
      <c r="N5" s="133">
        <v>0.33</v>
      </c>
      <c r="O5" s="136"/>
      <c r="P5" s="136">
        <v>4.3799999999999999E-2</v>
      </c>
      <c r="Q5" s="133">
        <v>75052.5</v>
      </c>
      <c r="R5" s="133">
        <v>1</v>
      </c>
      <c r="S5" s="133">
        <v>100.07</v>
      </c>
      <c r="T5" s="133">
        <v>75052.5</v>
      </c>
      <c r="U5" s="136">
        <v>0.19211</v>
      </c>
      <c r="V5" s="136">
        <v>4.4400000000000004E-3</v>
      </c>
    </row>
    <row r="6" spans="1:22" x14ac:dyDescent="0.2">
      <c r="A6">
        <v>332</v>
      </c>
      <c r="B6">
        <v>332</v>
      </c>
      <c r="C6" t="s">
        <v>1223</v>
      </c>
      <c r="D6" t="s">
        <v>1224</v>
      </c>
      <c r="E6" t="s">
        <v>776</v>
      </c>
      <c r="F6" t="s">
        <v>228</v>
      </c>
      <c r="G6" s="137">
        <v>46113</v>
      </c>
      <c r="H6" t="s">
        <v>53</v>
      </c>
      <c r="I6" t="s">
        <v>53</v>
      </c>
      <c r="J6" t="s">
        <v>62</v>
      </c>
      <c r="K6" t="s">
        <v>1221</v>
      </c>
      <c r="L6" t="s">
        <v>70</v>
      </c>
      <c r="M6" t="s">
        <v>1222</v>
      </c>
      <c r="N6" s="133">
        <v>0.25</v>
      </c>
      <c r="O6" s="136"/>
      <c r="P6" s="136">
        <v>4.1700000000000001E-2</v>
      </c>
      <c r="Q6" s="133">
        <v>42044.685290000001</v>
      </c>
      <c r="R6" s="133">
        <v>1</v>
      </c>
      <c r="S6" s="133">
        <v>100.10639999999999</v>
      </c>
      <c r="T6" s="133">
        <v>42044.685290000001</v>
      </c>
      <c r="U6" s="136">
        <v>0.10761999999999999</v>
      </c>
      <c r="V6" s="136">
        <v>2.4870000000000001E-3</v>
      </c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topLeftCell="G1" workbookViewId="0">
      <selection activeCell="L2" sqref="L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75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7" width="10.125" style="2" bestFit="1" customWidth="1"/>
    <col min="8" max="8" width="15.875" style="2" bestFit="1" customWidth="1"/>
    <col min="9" max="9" width="11.25" style="2" bestFit="1" customWidth="1"/>
    <col min="10" max="10" width="27" style="2" bestFit="1" customWidth="1"/>
    <col min="11" max="11" width="10.75" style="2" bestFit="1" customWidth="1"/>
    <col min="12" max="12" width="12.25" style="2" bestFit="1" customWidth="1"/>
    <col min="13" max="13" width="13.25" style="2" bestFit="1" customWidth="1"/>
    <col min="14" max="14" width="14.1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1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32" t="s">
        <v>1154</v>
      </c>
      <c r="U1" s="132" t="s">
        <v>788</v>
      </c>
      <c r="V1" s="18" t="s">
        <v>26</v>
      </c>
      <c r="W1" s="18" t="s">
        <v>19</v>
      </c>
      <c r="X1" s="18" t="s">
        <v>30</v>
      </c>
    </row>
    <row r="2" spans="1:24" x14ac:dyDescent="0.2">
      <c r="A2">
        <v>332</v>
      </c>
      <c r="B2">
        <v>332</v>
      </c>
      <c r="C2" t="s">
        <v>1365</v>
      </c>
      <c r="D2" t="s">
        <v>734</v>
      </c>
      <c r="E2" t="s">
        <v>53</v>
      </c>
      <c r="F2" t="s">
        <v>62</v>
      </c>
      <c r="G2" s="137">
        <v>21976</v>
      </c>
      <c r="H2" t="s">
        <v>397</v>
      </c>
      <c r="I2" t="s">
        <v>284</v>
      </c>
      <c r="J2" t="s">
        <v>1366</v>
      </c>
      <c r="K2" s="136">
        <v>0</v>
      </c>
      <c r="L2"/>
      <c r="M2" t="s">
        <v>301</v>
      </c>
      <c r="N2"/>
      <c r="O2" t="s">
        <v>305</v>
      </c>
      <c r="P2" s="137">
        <v>46022</v>
      </c>
      <c r="Q2" t="s">
        <v>1222</v>
      </c>
      <c r="R2" s="133">
        <v>117580</v>
      </c>
      <c r="S2" s="133">
        <v>117580</v>
      </c>
      <c r="T2" s="133"/>
      <c r="U2" s="133"/>
      <c r="V2"/>
      <c r="W2" s="136">
        <v>1</v>
      </c>
      <c r="X2" s="136">
        <v>6.9560000000000004E-3</v>
      </c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332</v>
      </c>
      <c r="B2">
        <v>332</v>
      </c>
      <c r="C2" t="s">
        <v>1367</v>
      </c>
      <c r="D2">
        <v>7893887</v>
      </c>
      <c r="E2" t="s">
        <v>694</v>
      </c>
      <c r="F2" t="s">
        <v>53</v>
      </c>
      <c r="G2" t="s">
        <v>53</v>
      </c>
      <c r="H2" t="s">
        <v>62</v>
      </c>
      <c r="I2" s="137">
        <v>37668</v>
      </c>
      <c r="J2" t="s">
        <v>1222</v>
      </c>
      <c r="K2" s="137">
        <v>46022</v>
      </c>
      <c r="L2" s="133">
        <v>11158294.504249999</v>
      </c>
      <c r="M2" s="133">
        <v>1</v>
      </c>
      <c r="N2" s="133">
        <v>11158294.504249999</v>
      </c>
      <c r="O2" s="133"/>
      <c r="P2"/>
      <c r="Q2" s="136">
        <v>0.99376500000000001</v>
      </c>
      <c r="R2" s="136">
        <v>0.66020800000000002</v>
      </c>
    </row>
    <row r="3" spans="1:18" x14ac:dyDescent="0.2">
      <c r="A3">
        <v>332</v>
      </c>
      <c r="B3">
        <v>332</v>
      </c>
      <c r="C3" t="s">
        <v>1368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7">
        <v>39658</v>
      </c>
      <c r="J3" t="s">
        <v>1222</v>
      </c>
      <c r="K3" s="137">
        <v>46022</v>
      </c>
      <c r="L3" s="133">
        <v>70000</v>
      </c>
      <c r="M3" s="133">
        <v>1</v>
      </c>
      <c r="N3" s="133">
        <v>70000</v>
      </c>
      <c r="O3" s="133"/>
      <c r="P3"/>
      <c r="Q3" s="136">
        <v>6.234E-3</v>
      </c>
      <c r="R3" s="136">
        <v>4.1409999999999997E-3</v>
      </c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332</v>
      </c>
      <c r="B2">
        <v>332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332</v>
      </c>
      <c r="B2">
        <v>332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2026-02-16T06:58:58Z</dcterms:modified>
</cp:coreProperties>
</file>