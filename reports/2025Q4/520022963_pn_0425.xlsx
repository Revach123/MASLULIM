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1E3ACD9D-8E72-4834-BA25-B423128A5A27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הלוואות!$A$1:$BA$89</definedName>
    <definedName name="_xlnm._FilterDatabase" localSheetId="22" hidden="1">'לא סחיר נגזרים אחרים'!$A$1:$AO$22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סל'!$A$1:$W$49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<sst xmlns="http://schemas.openxmlformats.org/spreadsheetml/2006/main" count="9522" uniqueCount="1916">
  <si>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</si>
  <si>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</si>
  <si>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</si>
  <si>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</si>
  <si>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</si>
  <si>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</si>
  <si>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</si>
  <si>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</si>
  <si>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</si>
  <si>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</si>
  <si>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</si>
  <si>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</si>
  <si>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</si>
  <si>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</si>
  <si>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</si>
  <si>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</si>
  <si>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</si>
  <si>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</si>
  <si>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</si>
  <si>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</si>
  <si>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</si>
  <si>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</si>
  <si>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</si>
  <si>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</si>
  <si>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</si>
  <si>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</si>
  <si>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</si>
  <si>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</si>
  <si>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</si>
  <si>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</si>
  <si>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</si>
  <si>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</si>
  <si>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</si>
  <si>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</si>
  <si>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</si>
  <si>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</si>
  <si>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</si>
  <si>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</si>
  <si>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</si>
  <si>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</si>
  <si>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</si>
  <si>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</si>
  <si>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</si>
  <si>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</si>
  <si>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</si>
  <si>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</si>
  <si>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</si>
  <si>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</si>
  <si>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</si>
  <si>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</si>
  <si>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</si>
  <si>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</si>
  <si>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</si>
  <si>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</si>
  <si>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</si>
  <si>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</si>
  <si>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</si>
  <si>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</si>
  <si>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</si>
  <si>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</si>
  <si>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</si>
  <si>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</si>
  <si>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</si>
  <si>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</si>
  <si>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</si>
  <si>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</si>
  <si>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</si>
  <si>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</si>
  <si>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</si>
  <si>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</si>
  <si>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</si>
  <si>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</si>
  <si>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</si>
  <si>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</si>
  <si>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</si>
  <si>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</si>
  <si>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</si>
  <si>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</si>
  <si>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</si>
  <si>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</si>
  <si>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</si>
  <si>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</si>
  <si>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</si>
  <si>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</si>
  <si>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</si>
  <si>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</si>
  <si>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</si>
  <si>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</si>
  <si>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</si>
  <si>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</si>
  <si>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</si>
  <si>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</si>
  <si>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</si>
  <si>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</si>
  <si>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</si>
  <si>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</si>
  <si>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</si>
  <si>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</si>
  <si>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</si>
  <si>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</si>
  <si>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</si>
  <si>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</si>
  <si>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</si>
  <si>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</si>
  <si>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</si>
  <si>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</si>
  <si>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</si>
  <si>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</si>
  <si>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</si>
  <si>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</si>
  <si>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</si>
  <si>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</si>
  <si>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</si>
  <si>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</si>
  <si>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</si>
  <si>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</si>
  <si>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</si>
  <si>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</si>
  <si>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</si>
  <si>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</si>
  <si>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</si>
  <si>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</si>
  <si>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</si>
  <si>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</si>
  <si>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</si>
  <si>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</si>
  <si>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</si>
  <si>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</si>
  <si>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</si>
  <si>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</si>
  <si>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</si>
  <si>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</si>
  <si>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</si>
  <si>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</si>
  <si>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</si>
  <si>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</si>
  <si>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</si>
  <si>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</si>
  <si>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</si>
  <si>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</si>
  <si>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</si>
  <si>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</si>
  <si>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</si>
  <si>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</si>
  <si>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</si>
  <si>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</si>
  <si>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</si>
  <si>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</si>
  <si>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</si>
  <si>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</si>
  <si>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</si>
  <si>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</si>
  <si>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</si>
  <si>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</si>
  <si>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</si>
  <si>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</si>
  <si>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</si>
  <si>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</si>
  <si>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</si>
  <si>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</si>
  <si>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</si>
  <si>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</si>
  <si>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</si>
  <si>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</si>
  <si>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</si>
  <si>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</si>
  <si>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</si>
  <si>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</si>
  <si>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</si>
  <si>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</si>
  <si>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</si>
  <si>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</si>
  <si>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</si>
  <si>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</si>
  <si>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</si>
  <si>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</si>
  <si>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</si>
  <si>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</si>
  <si>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</si>
  <si>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</si>
  <si>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</si>
  <si>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</si>
  <si>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</si>
  <si>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</si>
  <si>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</si>
  <si>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</si>
  <si>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</si>
  <si>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</si>
  <si>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</si>
  <si>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</si>
  <si>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</si>
  <si>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</si>
  <si>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</si>
  <si>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</si>
  <si>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</si>
  <si>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</si>
  <si>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</si>
  <si>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</si>
  <si>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</si>
  <si>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</si>
  <si>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</si>
  <si>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</si>
  <si>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</si>
  <si>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</si>
  <si>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</si>
  <si>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</si>
  <si>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</si>
  <si>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</si>
  <si>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</si>
  <si>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</si>
  <si>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</si>
  <si>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</si>
  <si>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</si>
  <si>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</si>
  <si>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</si>
  <si>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</si>
  <si>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</si>
  <si>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</si>
  <si>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</si>
  <si>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</si>
  <si>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</si>
  <si>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</si>
  <si>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</si>
  <si>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</si>
  <si>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</si>
  <si>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</si>
  <si>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</si>
  <si>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</si>
  <si>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</si>
  <si>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</si>
  <si>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</si>
  <si>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</si>
  <si>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</si>
  <si>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</si>
  <si>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</si>
  <si>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</si>
  <si>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</si>
  <si>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</si>
  <si>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</si>
  <si>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</si>
  <si>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</si>
  <si>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</si>
  <si>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</si>
  <si>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</si>
  <si>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</si>
  <si>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</si>
  <si>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</si>
  <si>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</si>
  <si>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</si>
  <si>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</si>
  <si>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</si>
  <si>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</si>
  <si>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</si>
  <si>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</si>
  <si>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</si>
  <si>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</si>
  <si>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</si>
  <si>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</si>
  <si>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</si>
  <si>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</si>
  <si>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</si>
  <si>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</si>
  <si>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</si>
  <si>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</si>
  <si>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</si>
  <si>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</si>
  <si>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</si>
  <si>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</si>
  <si>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</si>
  <si>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</si>
  <si>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</si>
  <si>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</si>
  <si>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</si>
  <si>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</si>
  <si>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</si>
  <si>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</si>
  <si>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</si>
  <si>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</si>
  <si>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</si>
  <si>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</si>
  <si>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</si>
  <si>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</si>
  <si>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</si>
  <si>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</si>
  <si>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</si>
  <si>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</si>
  <si>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</si>
  <si>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</si>
  <si>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</si>
  <si>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</si>
  <si>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</si>
  <si>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</si>
  <si>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</si>
  <si>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</si>
  <si>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</si>
  <si>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</si>
  <si>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</si>
  <si>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</si>
  <si>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</si>
  <si>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</si>
  <si>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</si>
  <si>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</si>
  <si>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</si>
  <si>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</si>
  <si>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</si>
  <si>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</si>
  <si>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</si>
  <si>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</si>
  <si>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</si>
  <si>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</si>
  <si>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</si>
  <si>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</si>
  <si>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</si>
  <si>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</si>
  <si>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</si>
  <si>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</si>
  <si>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</si>
  <si>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</si>
  <si>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</si>
  <si>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</si>
  <si>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</si>
  <si>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</si>
  <si>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</si>
  <si>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</si>
  <si>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</si>
  <si>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</si>
  <si>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</si>
  <si>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</si>
  <si>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</si>
  <si>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</si>
  <si>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</si>
  <si>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</si>
  <si>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</si>
  <si>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</si>
  <si>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</si>
  <si>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</si>
  <si>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</si>
  <si>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</si>
  <si>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</si>
  <si>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</si>
  <si>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</si>
  <si>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</si>
  <si>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</si>
  <si>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</si>
  <si>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</si>
  <si>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</si>
  <si>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</si>
  <si>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</si>
  <si>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</si>
  <si>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</si>
  <si>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</si>
  <si>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</si>
  <si>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</si>
  <si>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</si>
  <si>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</si>
  <si>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</si>
  <si>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</si>
  <si>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</si>
  <si>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</si>
  <si>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</si>
  <si>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</si>
  <si>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</si>
  <si>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</si>
  <si>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</si>
  <si>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</si>
  <si>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</si>
  <si>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</si>
  <si>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</si>
  <si>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</si>
  <si>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</si>
  <si>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</si>
  <si>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</si>
  <si>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</si>
  <si>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</si>
  <si>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</si>
  <si>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</si>
  <si>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</si>
  <si>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</si>
  <si>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</si>
  <si>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</si>
  <si>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</si>
  <si>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</si>
  <si>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</si>
  <si>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</si>
  <si>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</si>
  <si>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</si>
  <si>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</si>
  <si>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</si>
  <si>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</si>
  <si>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</si>
  <si>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</si>
  <si>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</si>
  <si>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</si>
  <si>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</si>
  <si>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</si>
  <si>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</si>
  <si>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</si>
  <si>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</si>
  <si>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</si>
  <si>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</si>
  <si>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</si>
  <si>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</si>
  <si>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</si>
  <si>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</si>
  <si>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</si>
  <si>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</si>
  <si>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</si>
  <si>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</si>
  <si>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</si>
  <si>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</si>
  <si>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</si>
  <si>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</si>
  <si>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</si>
  <si>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</si>
  <si>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</si>
  <si>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</si>
  <si>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</si>
  <si>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</si>
  <si>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</si>
  <si>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</si>
  <si>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</si>
  <si>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</si>
  <si>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</si>
  <si>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</si>
  <si>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</si>
  <si>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</si>
  <si>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</si>
  <si>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</si>
  <si>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</si>
  <si>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</si>
  <si>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</si>
  <si>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</si>
  <si>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</si>
  <si>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</si>
  <si>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</si>
  <si>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</si>
  <si>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</si>
  <si>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</si>
  <si>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</si>
  <si>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</si>
  <si>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</si>
  <si>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</si>
  <si>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</si>
  <si>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</si>
  <si>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</si>
  <si>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</si>
  <si>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</si>
  <si>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</si>
  <si>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</si>
  <si>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</si>
  <si>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</si>
  <si>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</si>
  <si>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</si>
  <si>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</si>
  <si>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</si>
  <si>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</si>
  <si>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</si>
  <si>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</si>
  <si>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</si>
  <si>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</si>
  <si>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</si>
  <si>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</si>
  <si>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</si>
  <si>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</si>
  <si>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</si>
  <si>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</si>
  <si>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</si>
  <si>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</si>
  <si>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</si>
  <si>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</si>
  <si>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</si>
  <si>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</si>
  <si>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</si>
  <si>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</si>
  <si>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</si>
  <si>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</si>
  <si>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</si>
  <si>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</si>
  <si>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</si>
  <si>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</si>
  <si>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</si>
  <si>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</si>
  <si>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</si>
  <si>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</si>
  <si>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</si>
  <si>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</si>
  <si>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</si>
  <si>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</si>
  <si>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</si>
  <si>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</si>
  <si>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</si>
  <si>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</si>
  <si>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</si>
  <si>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</si>
  <si>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</si>
  <si>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</si>
  <si>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</si>
  <si>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</si>
  <si>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</si>
  <si>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</si>
  <si>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</si>
  <si>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</si>
  <si>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</si>
  <si>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</si>
  <si>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</si>
  <si>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</si>
  <si>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</si>
  <si>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</si>
  <si>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</si>
  <si>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</si>
  <si>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</si>
  <si>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</si>
  <si>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</si>
  <si>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</si>
  <si>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</si>
  <si>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</si>
  <si>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</si>
  <si>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</si>
  <si>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</si>
  <si>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</si>
  <si>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</si>
  <si>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</si>
  <si>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</si>
  <si>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</si>
  <si>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</si>
  <si>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</si>
  <si>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</si>
  <si>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</si>
  <si>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</si>
  <si>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</si>
  <si>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</si>
  <si>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</si>
  <si>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</si>
  <si>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</si>
  <si>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</si>
  <si>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</si>
  <si>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</si>
  <si>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</si>
  <si>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</si>
  <si>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</si>
  <si>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</si>
  <si>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</si>
  <si>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</si>
  <si>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</si>
  <si>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</si>
  <si>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</si>
  <si>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</si>
  <si>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</si>
  <si>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</si>
  <si>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</si>
  <si>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</si>
  <si>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</si>
  <si>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</si>
  <si>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</si>
  <si>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</si>
  <si>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</si>
  <si>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</si>
  <si>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</si>
  <si>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</si>
  <si>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</si>
  <si>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</si>
  <si>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</si>
  <si>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</si>
  <si>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</si>
  <si>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</si>
  <si>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</si>
  <si>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</si>
  <si>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</si>
  <si>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</si>
  <si>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</si>
  <si>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</si>
  <si>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</si>
  <si>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</si>
  <si>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</si>
  <si>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</si>
  <si>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</si>
  <si>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</si>
  <si>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</si>
  <si>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</si>
  <si>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</si>
  <si>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</si>
  <si>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</si>
  <si>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</si>
  <si>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</si>
  <si>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</si>
  <si>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</si>
  <si>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</si>
  <si>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</si>
  <si>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</si>
  <si>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</si>
  <si>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</si>
  <si>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</si>
  <si>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</si>
  <si>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</si>
  <si>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</si>
  <si>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</si>
  <si>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</si>
  <si>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</si>
  <si>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</si>
  <si>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</si>
  <si>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</si>
  <si>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</si>
  <si>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</si>
  <si>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</si>
  <si>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</si>
  <si>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</si>
  <si>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</si>
  <si>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</si>
  <si>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</si>
  <si>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</si>
  <si>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</si>
  <si>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</si>
  <si>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</si>
  <si>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</si>
  <si>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</si>
  <si>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</si>
  <si>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</si>
  <si>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</si>
  <si>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</si>
  <si>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</si>
  <si>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</si>
  <si>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</si>
  <si>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</si>
  <si>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</si>
  <si>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</si>
  <si>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</si>
  <si>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</si>
  <si>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</si>
  <si>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</si>
  <si>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</si>
  <si>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</si>
  <si>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</si>
  <si>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</si>
  <si>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</si>
  <si>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</si>
  <si>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</si>
  <si>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</si>
  <si>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</si>
  <si>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</si>
  <si>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</si>
  <si>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</si>
  <si>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</si>
  <si>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</si>
  <si>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</si>
  <si>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</si>
  <si>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</si>
  <si>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</si>
  <si>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</si>
  <si>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</si>
  <si>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</si>
  <si>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</si>
  <si>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</si>
  <si>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</si>
  <si>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</si>
  <si>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</si>
  <si>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</si>
  <si>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</si>
  <si>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</si>
  <si>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</si>
  <si>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</si>
  <si>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</si>
  <si>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</si>
  <si>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</si>
  <si>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</si>
  <si>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</si>
  <si>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</si>
  <si>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</si>
  <si>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</si>
  <si>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</si>
  <si>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</si>
  <si>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</si>
  <si>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</si>
  <si>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</si>
  <si>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</si>
  <si>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</si>
  <si>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</si>
  <si>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</si>
  <si>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</si>
  <si>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</si>
  <si>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</si>
  <si>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</si>
  <si>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</si>
  <si>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</si>
  <si>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</si>
  <si>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</si>
  <si>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</si>
  <si>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</si>
  <si>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</si>
  <si>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</si>
  <si>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</si>
  <si>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</si>
  <si>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</si>
  <si>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</si>
  <si>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</si>
  <si>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</si>
  <si>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</si>
  <si>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</si>
  <si>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</si>
  <si>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</si>
  <si>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</si>
  <si>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</si>
  <si>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</si>
  <si>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</si>
  <si>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</si>
  <si>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</si>
  <si>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</si>
  <si>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</si>
  <si>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</si>
  <si>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</si>
  <si>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</si>
  <si>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</si>
  <si>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</si>
  <si>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</si>
  <si>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</si>
  <si>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</si>
  <si>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</si>
  <si>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</si>
  <si>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</si>
  <si>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</si>
  <si>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</si>
  <si>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</si>
  <si>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</si>
  <si>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</si>
  <si>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</si>
  <si>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</si>
  <si>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</si>
  <si>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</si>
  <si>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</si>
  <si>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</si>
  <si>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</si>
  <si>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</si>
  <si>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</si>
  <si>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</si>
  <si>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</si>
  <si>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</si>
  <si>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</si>
  <si>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</si>
  <si>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</si>
  <si>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</si>
  <si>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</si>
  <si>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</si>
  <si>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</si>
  <si>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</si>
  <si>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</si>
  <si>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</si>
  <si>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</si>
  <si>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</si>
  <si>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</si>
  <si>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</si>
  <si>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</si>
  <si>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</si>
  <si>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</si>
  <si>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</si>
  <si>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</si>
  <si>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</si>
  <si>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</si>
  <si>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</si>
  <si>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</si>
  <si>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</si>
  <si>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</si>
  <si>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</si>
  <si>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</si>
  <si>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</si>
  <si>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</si>
  <si>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</si>
  <si>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</si>
  <si>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</si>
  <si>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</si>
  <si>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</si>
  <si>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</si>
  <si>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</si>
  <si>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</si>
  <si>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</si>
  <si>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</si>
  <si>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</si>
  <si>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</si>
  <si>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</si>
  <si>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</si>
  <si>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</si>
  <si>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</si>
  <si>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</si>
  <si>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</si>
  <si>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</si>
  <si>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</si>
  <si>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</si>
  <si>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</si>
  <si>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</si>
  <si>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</si>
  <si>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</si>
  <si>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</si>
  <si>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</si>
  <si>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</si>
  <si>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</si>
  <si>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</si>
  <si>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</si>
  <si>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</si>
  <si>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</si>
  <si>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</si>
  <si>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</si>
  <si>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</si>
  <si>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</si>
  <si>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</si>
  <si>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</si>
  <si>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</si>
  <si>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</si>
  <si>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</si>
  <si>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</si>
  <si>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</si>
  <si>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</si>
  <si>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</si>
  <si>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</si>
  <si>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</si>
  <si>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</si>
  <si>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</si>
  <si>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</si>
  <si>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</si>
  <si>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</si>
  <si>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</si>
  <si>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</si>
  <si>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</si>
  <si>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</si>
  <si>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</si>
  <si>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</si>
  <si>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</si>
  <si>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</si>
  <si>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</si>
  <si>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</si>
  <si>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</si>
  <si>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</si>
  <si>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</si>
  <si>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</si>
  <si>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</si>
  <si>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</si>
  <si>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</si>
  <si>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</si>
  <si>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</si>
  <si>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</si>
  <si>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</si>
  <si>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</si>
  <si>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</si>
  <si>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</si>
  <si>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</si>
  <si>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</si>
  <si>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</si>
  <si>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</si>
  <si>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</si>
  <si>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</si>
  <si>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</si>
  <si>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</si>
  <si>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</si>
  <si>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</si>
  <si>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</si>
  <si>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</si>
  <si>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</si>
  <si>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</si>
  <si>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</si>
  <si>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</si>
  <si>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</si>
  <si>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</si>
  <si>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</si>
  <si>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</si>
  <si>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</si>
  <si>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</si>
  <si>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</si>
  <si>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</si>
  <si>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</si>
  <si>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</si>
  <si>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</si>
  <si>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</si>
  <si>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</si>
  <si>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</si>
  <si>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</si>
  <si>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</si>
  <si>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</si>
  <si>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</si>
  <si>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</si>
  <si>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</si>
  <si>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</si>
  <si>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</si>
  <si>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</si>
  <si>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</si>
  <si>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</si>
  <si>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</si>
  <si>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</si>
  <si>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</si>
  <si>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</si>
  <si>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</si>
  <si>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</si>
  <si>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</si>
  <si>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</si>
  <si>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</si>
  <si>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</si>
  <si>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</si>
  <si>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</si>
  <si>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</si>
  <si>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</si>
  <si>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</si>
  <si>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</si>
  <si>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</si>
  <si>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</si>
  <si>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</si>
  <si>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</si>
  <si>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</si>
  <si>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</si>
  <si>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</si>
  <si>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</si>
  <si>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</si>
  <si>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</si>
  <si>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</si>
  <si>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</si>
  <si>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</si>
  <si>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</si>
  <si>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</si>
  <si>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</si>
  <si>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</si>
  <si>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</si>
  <si>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</si>
  <si>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</si>
  <si>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</si>
  <si>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</si>
  <si>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</si>
  <si>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</si>
  <si>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</si>
  <si>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</si>
  <si>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</si>
  <si>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</si>
  <si>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</si>
  <si>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</si>
  <si>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</si>
  <si>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</si>
  <si>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</si>
  <si>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</si>
  <si>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</si>
  <si>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</si>
  <si>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</si>
  <si>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</si>
  <si>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</si>
  <si>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</si>
  <si>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</si>
  <si>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</si>
  <si>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</si>
  <si>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</si>
  <si>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</si>
  <si>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</si>
  <si>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</si>
  <si>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</si>
  <si>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</si>
  <si>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</si>
  <si>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</si>
  <si>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</si>
  <si>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</si>
  <si>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</si>
  <si>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</si>
  <si>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</si>
  <si>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</si>
  <si>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</si>
  <si>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</si>
  <si>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</si>
  <si>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</si>
  <si>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</si>
  <si>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</si>
  <si>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</si>
  <si>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</si>
  <si>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</si>
  <si>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</si>
  <si>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</si>
  <si>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</si>
  <si>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</si>
  <si>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</si>
  <si>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</si>
  <si>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</si>
  <si>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</si>
  <si>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</si>
  <si>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</si>
  <si>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</si>
  <si>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</si>
  <si>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</si>
  <si>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</si>
  <si>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</si>
  <si>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</si>
  <si>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</si>
  <si>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</si>
  <si>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</si>
  <si>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</si>
  <si>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</si>
  <si>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</si>
  <si>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</si>
  <si>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</si>
  <si>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</si>
  <si>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</si>
  <si>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</si>
  <si>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</si>
  <si>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</si>
  <si>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</si>
  <si>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</si>
  <si>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</si>
  <si>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</si>
  <si>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</si>
  <si>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</si>
  <si>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</si>
  <si>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</si>
  <si>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</si>
  <si>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</si>
  <si>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</si>
  <si>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</si>
  <si>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</si>
  <si>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</si>
  <si>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</si>
  <si>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</si>
  <si>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</si>
  <si>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</si>
  <si>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</si>
  <si>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</si>
  <si>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</si>
  <si>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</si>
  <si>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</si>
  <si>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</si>
  <si>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</si>
  <si>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</si>
  <si>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</si>
  <si>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</si>
  <si>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</si>
  <si>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</si>
  <si>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</si>
  <si>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</si>
  <si>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</si>
  <si>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</si>
  <si>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</si>
  <si>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</si>
  <si>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</si>
  <si>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</si>
  <si>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</si>
  <si>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</si>
  <si>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</si>
  <si>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</si>
  <si>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</si>
  <si>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</si>
  <si>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</si>
  <si>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</si>
  <si>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</si>
  <si>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</si>
  <si>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</si>
  <si>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</si>
  <si>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</si>
  <si>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</si>
  <si>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</si>
  <si>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</si>
  <si>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</si>
  <si>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</si>
  <si>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</si>
  <si>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</si>
  <si>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</si>
  <si>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</si>
  <si>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</si>
  <si>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</si>
  <si>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</si>
  <si>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</si>
  <si>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</si>
  <si>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</si>
  <si>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</si>
  <si>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</si>
  <si>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</si>
  <si>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</si>
  <si>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</si>
  <si>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</si>
  <si>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</si>
  <si>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</si>
  <si>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</si>
  <si>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</si>
  <si>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</si>
  <si>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</si>
  <si>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</si>
  <si>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</si>
  <si>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</si>
  <si>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</si>
  <si>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</si>
  <si>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</si>
  <si>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</si>
  <si>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</si>
  <si>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</si>
  <si>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</si>
  <si>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</si>
  <si>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</si>
  <si>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</si>
  <si>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</si>
  <si>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</si>
  <si>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</si>
  <si>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</si>
  <si>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</si>
  <si>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</si>
  <si>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</si>
  <si>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</si>
  <si>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</si>
  <si>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</si>
  <si>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</si>
  <si>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</si>
  <si>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</si>
  <si>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</si>
  <si>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</si>
  <si>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</si>
  <si>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</si>
  <si>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</si>
  <si>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</si>
  <si>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</si>
  <si>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</si>
  <si>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</si>
  <si>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</si>
  <si>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</si>
  <si>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</si>
  <si>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</si>
  <si>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</si>
  <si>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</si>
  <si>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</si>
  <si>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</si>
  <si>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</si>
  <si>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</si>
  <si>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</si>
  <si>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</si>
  <si>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</si>
  <si>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</si>
  <si>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</si>
  <si>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</si>
  <si>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</si>
  <si>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</si>
  <si>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</si>
  <si>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</si>
  <si>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</si>
  <si>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</si>
  <si>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</si>
  <si>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</si>
  <si>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</si>
  <si>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</si>
  <si>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</si>
  <si>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</si>
  <si>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</si>
  <si>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</si>
  <si>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</si>
  <si>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</si>
  <si>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</si>
  <si>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</si>
  <si>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</si>
  <si>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</si>
  <si>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</si>
  <si>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</si>
  <si>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</si>
  <si>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</si>
  <si>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</si>
  <si>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</si>
  <si>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</si>
  <si>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</si>
  <si>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</si>
  <si>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</si>
  <si>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</si>
  <si>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</si>
  <si>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</si>
  <si>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</si>
  <si>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</si>
  <si>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</si>
  <si>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</si>
  <si>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</si>
  <si>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</si>
  <si>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</si>
  <si>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</si>
  <si>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</si>
  <si>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</si>
  <si>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</si>
  <si>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</si>
  <si>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</si>
  <si>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</si>
  <si>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</si>
  <si>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</si>
  <si>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</si>
  <si>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</si>
  <si>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</si>
  <si>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</si>
  <si>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</si>
  <si>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</si>
  <si>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</si>
  <si>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</si>
  <si>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</si>
  <si>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</si>
  <si>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</si>
  <si>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</si>
  <si>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</si>
  <si>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</si>
  <si>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</si>
  <si>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</si>
  <si>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</si>
  <si>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</si>
  <si>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</si>
  <si>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</si>
  <si>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</si>
  <si>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</si>
  <si>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</si>
  <si>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</si>
  <si>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</si>
  <si>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</si>
  <si>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</si>
  <si>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</si>
  <si>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</si>
  <si>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</si>
  <si>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</si>
  <si>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</si>
  <si>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</si>
  <si>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</si>
  <si>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</si>
  <si>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</si>
  <si>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</si>
  <si>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</si>
  <si>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</si>
  <si>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</si>
  <si>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</si>
  <si>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</si>
  <si>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</si>
  <si>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</si>
  <si>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</si>
  <si>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</si>
  <si>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</si>
  <si>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</si>
  <si>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יו-בנק</t>
  </si>
  <si>
    <t>26-273</t>
  </si>
  <si>
    <t>ILS</t>
  </si>
  <si>
    <t>בנק דיסקונט</t>
  </si>
  <si>
    <t>11-10</t>
  </si>
  <si>
    <t>בנק הפועלים</t>
  </si>
  <si>
    <t>12-600</t>
  </si>
  <si>
    <t>Aaa.il</t>
  </si>
  <si>
    <t>בנק לאומי</t>
  </si>
  <si>
    <t>10-800</t>
  </si>
  <si>
    <t>DKK</t>
  </si>
  <si>
    <t>CAD</t>
  </si>
  <si>
    <t>GBP</t>
  </si>
  <si>
    <t>EUR</t>
  </si>
  <si>
    <t>AUD</t>
  </si>
  <si>
    <t>JPY</t>
  </si>
  <si>
    <t>ממשלת ישראל</t>
  </si>
  <si>
    <t>ממשל צמודה 0456</t>
  </si>
  <si>
    <t>IL0012307133</t>
  </si>
  <si>
    <t>ilRF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</si>
  <si>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</si>
  <si>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</si>
  <si>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</si>
  <si>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</si>
  <si>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</si>
  <si>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</si>
  <si>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</si>
  <si>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</si>
  <si>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</si>
  <si>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</si>
  <si>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</si>
  <si>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</si>
  <si>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 צמודה 0726</t>
  </si>
  <si>
    <t>IL0011695645</t>
  </si>
  <si>
    <t>ממשלתי שקלי 347</t>
  </si>
  <si>
    <t>IL0011401937</t>
  </si>
  <si>
    <t>ממשלתי 0327</t>
  </si>
  <si>
    <t>IL0011393449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</si>
  <si>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</si>
  <si>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</si>
  <si>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</si>
  <si>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</si>
  <si>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</si>
  <si>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</si>
  <si>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</si>
  <si>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</si>
  <si>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ממשלתי שקלי 1152</t>
  </si>
  <si>
    <t>IL0011840761</t>
  </si>
  <si>
    <t>US Government</t>
  </si>
  <si>
    <t>B 04/09/26</t>
  </si>
  <si>
    <t>US912797SL24</t>
  </si>
  <si>
    <t>Aa1</t>
  </si>
  <si>
    <t>ISRAEL 2.75 07/03/30</t>
  </si>
  <si>
    <t>US46513JB346</t>
  </si>
  <si>
    <t>Baa1</t>
  </si>
  <si>
    <t>B 0 10/29/26</t>
  </si>
  <si>
    <t>US912797SK41</t>
  </si>
  <si>
    <t>לאומי</t>
  </si>
  <si>
    <t>לאומי 186</t>
  </si>
  <si>
    <t>IL0012018391</t>
  </si>
  <si>
    <t>חברת החשמל לישראל בע"מ</t>
  </si>
  <si>
    <t>חשמל 35</t>
  </si>
  <si>
    <t>IL0011967994</t>
  </si>
  <si>
    <t>פועלים אגח 201</t>
  </si>
  <si>
    <t>IL0011913451</t>
  </si>
  <si>
    <t>לאומי מימון 179</t>
  </si>
  <si>
    <t>IL0060403727</t>
  </si>
  <si>
    <t>פועלים  אגח 202</t>
  </si>
  <si>
    <t>IL0011998502</t>
  </si>
  <si>
    <t>לאומי אגח 182</t>
  </si>
  <si>
    <t>IL0060405391</t>
  </si>
  <si>
    <t>פועלים התח נד ז</t>
  </si>
  <si>
    <t>IL0011913295</t>
  </si>
  <si>
    <t>ilAA-</t>
  </si>
  <si>
    <t>חשמל אגח 33</t>
  </si>
  <si>
    <t>IL0060003923</t>
  </si>
  <si>
    <t>קבוצת עזריאלי בע"מ</t>
  </si>
  <si>
    <t>עזריאלי   אגח ד</t>
  </si>
  <si>
    <t>IL0011386500</t>
  </si>
  <si>
    <t>Aa1.il</t>
  </si>
  <si>
    <t>מזרחי טפחות הנפקות</t>
  </si>
  <si>
    <t>מזרחי  טפחות הנפקות 64</t>
  </si>
  <si>
    <t>IL0023105559</t>
  </si>
  <si>
    <t>דיסקונט מנפיקים בע"מ</t>
  </si>
  <si>
    <t>דיסקונט מנפיקים אגח טו</t>
  </si>
  <si>
    <t>IL0074803045</t>
  </si>
  <si>
    <t>פועלים התח נד ה</t>
  </si>
  <si>
    <t>IL0066204624</t>
  </si>
  <si>
    <t>פועלים 200</t>
  </si>
  <si>
    <t>IL0066204962</t>
  </si>
  <si>
    <t>לאומי 183</t>
  </si>
  <si>
    <t>IL0060405474</t>
  </si>
  <si>
    <t>חשמל אגח 27</t>
  </si>
  <si>
    <t>IL0060002107</t>
  </si>
  <si>
    <t>הראל ביטוח מימון והנפקות בע"מ</t>
  </si>
  <si>
    <t>הראל שטר הון נדחה יג 2029 3.95%</t>
  </si>
  <si>
    <t>IL0011381717</t>
  </si>
  <si>
    <t>Aa3.il</t>
  </si>
  <si>
    <t>מקורות חברת מים בע"מ</t>
  </si>
  <si>
    <t>מקורות סדרה 10</t>
  </si>
  <si>
    <t>IL0011584682</t>
  </si>
  <si>
    <t>מז טפ הנ אגח 67</t>
  </si>
  <si>
    <t>IL0011968075</t>
  </si>
  <si>
    <t>נתיבי הגז הטבעי לישראל בע"מ</t>
  </si>
  <si>
    <t>נתיבי גז אגח ד</t>
  </si>
  <si>
    <t>IL0011475030</t>
  </si>
  <si>
    <t>מזרחי טפחות  הנפקות 49</t>
  </si>
  <si>
    <t>IL0023102820</t>
  </si>
  <si>
    <t>מקורות סדרה 11</t>
  </si>
  <si>
    <t>IL0011584765</t>
  </si>
  <si>
    <t>מזרחי  טפחות הנפקות  52</t>
  </si>
  <si>
    <t>IL0023103810</t>
  </si>
  <si>
    <t>עזריאלי אגח ה</t>
  </si>
  <si>
    <t>IL0011566036</t>
  </si>
  <si>
    <t>מימון ישיר</t>
  </si>
  <si>
    <t>מימון ישיר אגח ד</t>
  </si>
  <si>
    <t>IL0011756603</t>
  </si>
  <si>
    <t>A1.il</t>
  </si>
  <si>
    <t>מזרחי טפחות הנפקות 46</t>
  </si>
  <si>
    <t>IL0023102259</t>
  </si>
  <si>
    <t>מימון ישיר קבוצה ו</t>
  </si>
  <si>
    <t>IL0011916595</t>
  </si>
  <si>
    <t>חשמל 31</t>
  </si>
  <si>
    <t>IL0060002859</t>
  </si>
  <si>
    <t>עזריאלי אגח ט</t>
  </si>
  <si>
    <t>IL0012092537</t>
  </si>
  <si>
    <t>מזרחי טפחות הנפקות אגח 62</t>
  </si>
  <si>
    <t>IL0023104982</t>
  </si>
  <si>
    <t>מזרחי טפ הנ אגח 68</t>
  </si>
  <si>
    <t>IL0012021429</t>
  </si>
  <si>
    <t>מז טפ הנ אגח 66</t>
  </si>
  <si>
    <t>IL0011916678</t>
  </si>
  <si>
    <t>חשמל 34</t>
  </si>
  <si>
    <t>IL0011967812</t>
  </si>
  <si>
    <t>Verisign</t>
  </si>
  <si>
    <t>LMPL4N8ZOJRMF0KOF759</t>
  </si>
  <si>
    <t>VRSN 2.7 06/15/31</t>
  </si>
  <si>
    <t>US92343EAM49</t>
  </si>
  <si>
    <t>Baa3</t>
  </si>
  <si>
    <t>Micron Technology Inc</t>
  </si>
  <si>
    <t>B3DXGBC8GAIYWI2Z0172</t>
  </si>
  <si>
    <t>MU 5 7.8 09.15.33</t>
  </si>
  <si>
    <t>US595112CB74</t>
  </si>
  <si>
    <t>ISRAEL ELECTRIC 8.1% 2096</t>
  </si>
  <si>
    <t>USM60170AC79</t>
  </si>
  <si>
    <t>Baa2</t>
  </si>
  <si>
    <t>POSCO</t>
  </si>
  <si>
    <t>988400E5HRVX81AYLM04</t>
  </si>
  <si>
    <t>POHANG 5.75 01/17/28</t>
  </si>
  <si>
    <t>USY7S272AG74</t>
  </si>
  <si>
    <t>Lenovo</t>
  </si>
  <si>
    <t>254900VUZRGD5U73RE46</t>
  </si>
  <si>
    <t>Lenovo 3.421 11/02/30</t>
  </si>
  <si>
    <t>USY5257YAJ65</t>
  </si>
  <si>
    <t>BBB</t>
  </si>
  <si>
    <t>valero energy corp</t>
  </si>
  <si>
    <t>549300XTO5VR8SKV1V74</t>
  </si>
  <si>
    <t>VLO 5.15 02/15/30</t>
  </si>
  <si>
    <t>US91913YBF60</t>
  </si>
  <si>
    <t>Tapestry</t>
  </si>
  <si>
    <t>549300LJNVY5SW3VTN33</t>
  </si>
  <si>
    <t>TPR 4 1/8 07/15/27</t>
  </si>
  <si>
    <t>US189754AC88</t>
  </si>
  <si>
    <t>HF SINCLAIR CORP</t>
  </si>
  <si>
    <t>98840072S6T63E2V1291</t>
  </si>
  <si>
    <t>DINO 4 1/2 10/01/30</t>
  </si>
  <si>
    <t>US403949AC48</t>
  </si>
  <si>
    <t>H&amp;R Block</t>
  </si>
  <si>
    <t>549300CE3KUCWLZBG404</t>
  </si>
  <si>
    <t>HRB 3.875 08/15/30</t>
  </si>
  <si>
    <t>US093662AH70</t>
  </si>
  <si>
    <t>Hong Kong Airport Authority</t>
  </si>
  <si>
    <t>549300DSMAD69T7GGN13</t>
  </si>
  <si>
    <t>HKAA 2.4 PERP</t>
  </si>
  <si>
    <t>XS2264055182</t>
  </si>
  <si>
    <t>AA+</t>
  </si>
  <si>
    <t>Juniper Networks Inc.</t>
  </si>
  <si>
    <t>AUHIXNGG7U2U7JEHM527</t>
  </si>
  <si>
    <t>JNPR 2 12/10/30 COR</t>
  </si>
  <si>
    <t>US48203RAP91</t>
  </si>
  <si>
    <t>VRSN 5 ¼ 06/01/32</t>
  </si>
  <si>
    <t>US92343EAQ52</t>
  </si>
  <si>
    <t>HYUNDAI CAPITAL AMERICA</t>
  </si>
  <si>
    <t>9884004RQX8PRBXQ8S60</t>
  </si>
  <si>
    <t>HYNMTR 5.35% 03/19/29</t>
  </si>
  <si>
    <t>US44891CCY75</t>
  </si>
  <si>
    <t>A-</t>
  </si>
  <si>
    <t>Kyndryl Holdings, Inc.</t>
  </si>
  <si>
    <t>549300LQ4LWX2R8ZV130</t>
  </si>
  <si>
    <t>KD 6.35 02/20/34</t>
  </si>
  <si>
    <t>US50155QAN07</t>
  </si>
  <si>
    <t>BBB-</t>
  </si>
  <si>
    <t>GENERAL MOTORS</t>
  </si>
  <si>
    <t>54930070NSV60J38I987</t>
  </si>
  <si>
    <t>GM 4.2 01.10.27</t>
  </si>
  <si>
    <t>US37045VAN01</t>
  </si>
  <si>
    <t>Alibaba Group Holding</t>
  </si>
  <si>
    <t>5493001NTNQJDH60PM02</t>
  </si>
  <si>
    <t>ALIBABA 5.25 26/5/35</t>
  </si>
  <si>
    <t>US01609WBP68</t>
  </si>
  <si>
    <t>A1</t>
  </si>
  <si>
    <t>TPR 3.05 03/15/32</t>
  </si>
  <si>
    <t>US876030AA54</t>
  </si>
  <si>
    <t>D.R. Horton Inc</t>
  </si>
  <si>
    <t>529900ZIUEYVSB8QDD25</t>
  </si>
  <si>
    <t>DHI 5 10/15/34</t>
  </si>
  <si>
    <t>US23331ABS78</t>
  </si>
  <si>
    <t>BBB+</t>
  </si>
  <si>
    <t>Pershing Square Holdings</t>
  </si>
  <si>
    <t>G67KJ524WPCAX4V2X190</t>
  </si>
  <si>
    <t>PSHNA 3.25 10/01/31</t>
  </si>
  <si>
    <t>XS2392997172</t>
  </si>
  <si>
    <t>7.75% I.ELECTRIC 12/27</t>
  </si>
  <si>
    <t>US46507WAB63</t>
  </si>
  <si>
    <t>Expedia group</t>
  </si>
  <si>
    <t>549300IMO4B4W5RWYH14</t>
  </si>
  <si>
    <t>EXPE 2.95 03/15/31</t>
  </si>
  <si>
    <t>US30212PBH73</t>
  </si>
  <si>
    <t>או פי סי אנרגיה</t>
  </si>
  <si>
    <t>IL0011415713</t>
  </si>
  <si>
    <t>הראל השקעות</t>
  </si>
  <si>
    <t>IL0005850180</t>
  </si>
  <si>
    <t>נובה מכשירי מדידה</t>
  </si>
  <si>
    <t>נובה</t>
  </si>
  <si>
    <t>IL0010845571</t>
  </si>
  <si>
    <t>שפיר הנדסה ותעשיה בע"מ</t>
  </si>
  <si>
    <t>IL0011338758</t>
  </si>
  <si>
    <t>כלל חברה לביטוח</t>
  </si>
  <si>
    <t>כלל עסקי ביטוח</t>
  </si>
  <si>
    <t>IL0002240146</t>
  </si>
  <si>
    <t>פתאל החזקות</t>
  </si>
  <si>
    <t>IL0011434292</t>
  </si>
  <si>
    <t>אר פי אופטיקל לאב בע"מ</t>
  </si>
  <si>
    <t>אר פי אופטיקל</t>
  </si>
  <si>
    <t>IL0012224627</t>
  </si>
  <si>
    <t>בנק מזרחי טפחות בע"מ</t>
  </si>
  <si>
    <t>מזרחי טפחות</t>
  </si>
  <si>
    <t>IL0006954379</t>
  </si>
  <si>
    <t>מליסרון</t>
  </si>
  <si>
    <t>IL0003230146</t>
  </si>
  <si>
    <t>מגדל ביטוח</t>
  </si>
  <si>
    <t>IL0010811656</t>
  </si>
  <si>
    <t>נקסט ויז'ן מערכות מיוצבות בע"מ</t>
  </si>
  <si>
    <t>נקסט ויז'ן</t>
  </si>
  <si>
    <t>IL0011765935</t>
  </si>
  <si>
    <t>הפניקס אחזקות</t>
  </si>
  <si>
    <t>הפניקס 1</t>
  </si>
  <si>
    <t>IL0007670123</t>
  </si>
  <si>
    <t>אנלייט אנרגיה</t>
  </si>
  <si>
    <t>IL0007200111</t>
  </si>
  <si>
    <t>טאואר</t>
  </si>
  <si>
    <t>IL0010823792</t>
  </si>
  <si>
    <t>ביג מרכזי קניות</t>
  </si>
  <si>
    <t>ביג</t>
  </si>
  <si>
    <t>IL0010972607</t>
  </si>
  <si>
    <t>טבע</t>
  </si>
  <si>
    <t>IL0006290147</t>
  </si>
  <si>
    <t>בזק החברה הישראלית לתקשורת בע"מ</t>
  </si>
  <si>
    <t>בזק</t>
  </si>
  <si>
    <t>IL0002300114</t>
  </si>
  <si>
    <t>שטראוס גרופ</t>
  </si>
  <si>
    <t>שטראוס-עלית</t>
  </si>
  <si>
    <t>IL0007460160</t>
  </si>
  <si>
    <t>דלק קידוחים</t>
  </si>
  <si>
    <t>ניו-מד אנרג יהש</t>
  </si>
  <si>
    <t>IL0004750209</t>
  </si>
  <si>
    <t>בינלאומי</t>
  </si>
  <si>
    <t>בינלאומי  5</t>
  </si>
  <si>
    <t>IL0005930388</t>
  </si>
  <si>
    <t>החברה לישראל</t>
  </si>
  <si>
    <t>חברה לישראל</t>
  </si>
  <si>
    <t>IL0005760173</t>
  </si>
  <si>
    <t>דמרי</t>
  </si>
  <si>
    <t>IL0010903156</t>
  </si>
  <si>
    <t>אמות השקעות</t>
  </si>
  <si>
    <t>אמות</t>
  </si>
  <si>
    <t>IL0010972789</t>
  </si>
  <si>
    <t>רציו חיפושי נפט</t>
  </si>
  <si>
    <t>רציו יהש</t>
  </si>
  <si>
    <t>IL0003940157</t>
  </si>
  <si>
    <t>פועלים</t>
  </si>
  <si>
    <t>IL0006625771</t>
  </si>
  <si>
    <t>שיכון ובינוי</t>
  </si>
  <si>
    <t>IL0010819428</t>
  </si>
  <si>
    <t>נייס</t>
  </si>
  <si>
    <t>IL0002730112</t>
  </si>
  <si>
    <t>קבוצת דלק בע"מ</t>
  </si>
  <si>
    <t>דלק קבוצה</t>
  </si>
  <si>
    <t>IL0010841281</t>
  </si>
  <si>
    <t>מנורה מבטחים החזקות</t>
  </si>
  <si>
    <t>IL0005660183</t>
  </si>
  <si>
    <t>מבנה נדל"ן (כ.ד) בע"מ</t>
  </si>
  <si>
    <t>מבני תעשיה</t>
  </si>
  <si>
    <t>IL0002260193</t>
  </si>
  <si>
    <t>סלקום ישראל בע"מ</t>
  </si>
  <si>
    <t>סלקום</t>
  </si>
  <si>
    <t>IL0011015349</t>
  </si>
  <si>
    <t>אורמת טכנולוגיות, אינק (דואלי)</t>
  </si>
  <si>
    <t>אורמת טכנולוגיות בע"מ</t>
  </si>
  <si>
    <t>US6866881021</t>
  </si>
  <si>
    <t>פרטנר</t>
  </si>
  <si>
    <t>IL0010834849</t>
  </si>
  <si>
    <t>נאוויטס פטרוליום, שותפות מוגבלת</t>
  </si>
  <si>
    <t>נאוויטס פטר יהש</t>
  </si>
  <si>
    <t>IL0011419699</t>
  </si>
  <si>
    <t>קבוצת אשטרום</t>
  </si>
  <si>
    <t>אשטרום קבוצה</t>
  </si>
  <si>
    <t>IL0011323156</t>
  </si>
  <si>
    <t>קמטק</t>
  </si>
  <si>
    <t>IL0010952641</t>
  </si>
  <si>
    <t>כיל</t>
  </si>
  <si>
    <t>אי.סי. אל  -  כיל</t>
  </si>
  <si>
    <t>IL0002810146</t>
  </si>
  <si>
    <t>עזריאלי קבוצה</t>
  </si>
  <si>
    <t>IL0011194789</t>
  </si>
  <si>
    <t>ריט 1</t>
  </si>
  <si>
    <t>IL0010989205</t>
  </si>
  <si>
    <t>IL0006046119</t>
  </si>
  <si>
    <t>דיסקונט א</t>
  </si>
  <si>
    <t>IL0006912120</t>
  </si>
  <si>
    <t>אלביט מערכות</t>
  </si>
  <si>
    <t>IL0010811243</t>
  </si>
  <si>
    <t>ג'י סיטי בע"מ</t>
  </si>
  <si>
    <t>גזית גלוב</t>
  </si>
  <si>
    <t>IL0001260111</t>
  </si>
  <si>
    <t>שופרסל</t>
  </si>
  <si>
    <t>IL0007770378</t>
  </si>
  <si>
    <t>NICE US ( poalim)</t>
  </si>
  <si>
    <t>US6536561086</t>
  </si>
  <si>
    <t>Teva US(poalim)</t>
  </si>
  <si>
    <t>US8816242098</t>
  </si>
  <si>
    <t>Taiwan Semiconductor</t>
  </si>
  <si>
    <t>549300KB6NK5SBD14S87</t>
  </si>
  <si>
    <t>TSM - Taiwan Semiconductor (P)</t>
  </si>
  <si>
    <t>US8740391003</t>
  </si>
  <si>
    <t>MU - Micron (P)</t>
  </si>
  <si>
    <t>US5951121038</t>
  </si>
  <si>
    <t>camt-קמטק חול(poalim)</t>
  </si>
  <si>
    <t>ALPHABET</t>
  </si>
  <si>
    <t>5493006MHB84DD0ZWV18</t>
  </si>
  <si>
    <t>GOOGL - ALPHABET (P)</t>
  </si>
  <si>
    <t>US02079K3059</t>
  </si>
  <si>
    <t>META PLATFORMS INC</t>
  </si>
  <si>
    <t>BQ4BKCS1HXDV9HN80Z93</t>
  </si>
  <si>
    <t>META - Meta Platforms (P)</t>
  </si>
  <si>
    <t>US30303M1027</t>
  </si>
  <si>
    <t>NVMI US (POALIM)</t>
  </si>
  <si>
    <t>TOWER TSEM US( POALIM)</t>
  </si>
  <si>
    <t>TESLA INC</t>
  </si>
  <si>
    <t>54930043XZGB27CTOV49</t>
  </si>
  <si>
    <t>TSLA Tesla Inc (P)</t>
  </si>
  <si>
    <t>US88160R1014</t>
  </si>
  <si>
    <t>FIRST SOLAR</t>
  </si>
  <si>
    <t>549300NPYMLM4NHTOF27</t>
  </si>
  <si>
    <t>FSLR - First Solar (P)</t>
  </si>
  <si>
    <t>US3364331070</t>
  </si>
  <si>
    <t>SOLAREDGE</t>
  </si>
  <si>
    <t>5493000K6Y58XXPDF853</t>
  </si>
  <si>
    <t>SEDG US ( POALIM)</t>
  </si>
  <si>
    <t>US83417M1045</t>
  </si>
  <si>
    <t>NVIDIA Corporation</t>
  </si>
  <si>
    <t>549300S4KLFTLO7GSQ80</t>
  </si>
  <si>
    <t>NVDA - NVIDIA (P)</t>
  </si>
  <si>
    <t>US67066G1040</t>
  </si>
  <si>
    <t>SEA LTD</t>
  </si>
  <si>
    <t>529900OM6JLLW44YKI15</t>
  </si>
  <si>
    <t>SE - SEA (P)</t>
  </si>
  <si>
    <t>US81141R1005</t>
  </si>
  <si>
    <t>Oracle Corp</t>
  </si>
  <si>
    <t>1Z4GXXU7ZHVWFCD8TV52</t>
  </si>
  <si>
    <t>ORCL - Oracle (P)</t>
  </si>
  <si>
    <t>US68389X1054</t>
  </si>
  <si>
    <t>ORA US (POALIM)</t>
  </si>
  <si>
    <t>ENLIGHT RENEWABLE ENERGY LTD(poalim)</t>
  </si>
  <si>
    <t>COHERENT Corp</t>
  </si>
  <si>
    <t>549300O5C25A0MMHHU33</t>
  </si>
  <si>
    <t>COHR - COHERENT (P)</t>
  </si>
  <si>
    <t>US19247G1076</t>
  </si>
  <si>
    <t>מגדל קרנות נאמנות בע"מ</t>
  </si>
  <si>
    <t>MTF סל (00) תל בונד 20</t>
  </si>
  <si>
    <t>IL0011499881</t>
  </si>
  <si>
    <t>MTF סל תל בונד 60</t>
  </si>
  <si>
    <t>IL0011499964</t>
  </si>
  <si>
    <t>מיטב תכלית קרנות נאמנות בע"מ</t>
  </si>
  <si>
    <t>תכלית סל (00) תל בונד 40</t>
  </si>
  <si>
    <t>IL0011450934</t>
  </si>
  <si>
    <t>קסם קרנות נאמנות בע"מ</t>
  </si>
  <si>
    <t>קסם ETF תלבונד 20</t>
  </si>
  <si>
    <t>IL0011459604</t>
  </si>
  <si>
    <t>הראל קרנות נאמנות בע"מ</t>
  </si>
  <si>
    <t>הראל סל תא 35</t>
  </si>
  <si>
    <t>IL0011489072</t>
  </si>
  <si>
    <t>תכלית סל תא 35</t>
  </si>
  <si>
    <t>IL0011437006</t>
  </si>
  <si>
    <t>MTF סל (4A) ת"א 35</t>
  </si>
  <si>
    <t>IL0011501843</t>
  </si>
  <si>
    <t>הראל סל תלבונד 20</t>
  </si>
  <si>
    <t>IL0011504409</t>
  </si>
  <si>
    <t>קסם ETF תא 35</t>
  </si>
  <si>
    <t>IL0011465700</t>
  </si>
  <si>
    <t>AMUNDI INVT SOLUTIONS</t>
  </si>
  <si>
    <t>549300FMBJ5S1PXQ2305</t>
  </si>
  <si>
    <t>MFE  FP -   MSCI EMU (P)</t>
  </si>
  <si>
    <t>LU1646360971</t>
  </si>
  <si>
    <t>ISHARES</t>
  </si>
  <si>
    <t>549300LRIF3NWCU26A80</t>
  </si>
  <si>
    <t>IAI US - Broker-Dealers (P)</t>
  </si>
  <si>
    <t>US4642887941</t>
  </si>
  <si>
    <t>INVESCO</t>
  </si>
  <si>
    <t>ECPGFXU8A2SHKVVGJI15</t>
  </si>
  <si>
    <t>TAN US-Solar Energy (P)</t>
  </si>
  <si>
    <t>US46138G7060</t>
  </si>
  <si>
    <t>State Street</t>
  </si>
  <si>
    <t>549300ZFEEJ2IP5VME73</t>
  </si>
  <si>
    <t>XLU US (p)</t>
  </si>
  <si>
    <t>US81369Y8865</t>
  </si>
  <si>
    <t>KRANE FUNDS ADVISORS LLC</t>
  </si>
  <si>
    <t>549300VLDRC0RUX0E553</t>
  </si>
  <si>
    <t>KWEB  US -  China Internet (P)</t>
  </si>
  <si>
    <t>US5007673065</t>
  </si>
  <si>
    <t>U127  LN -  MSCI Emerging Markets (P)</t>
  </si>
  <si>
    <t>LU2573966905</t>
  </si>
  <si>
    <t>XLC  US -  Communication Services (P)</t>
  </si>
  <si>
    <t>US81369Y8527</t>
  </si>
  <si>
    <t>PPA - Invesco Aerospace &amp; Defense (p)</t>
  </si>
  <si>
    <t>US46137V1008</t>
  </si>
  <si>
    <t>MUNI LN</t>
  </si>
  <si>
    <t>IE00BNG70R26</t>
  </si>
  <si>
    <t>INVESCO MARKETS PLC</t>
  </si>
  <si>
    <t>SPXS  LN -  S&amp;P 500 (P)</t>
  </si>
  <si>
    <t>IE00B3YCGJ38</t>
  </si>
  <si>
    <t>SDIG LN SHORT DUR CORP</t>
  </si>
  <si>
    <t>IE00BCRY5Y77</t>
  </si>
  <si>
    <t>DWS</t>
  </si>
  <si>
    <t>7LTWFZYICNSX8D621K86</t>
  </si>
  <si>
    <t>XDWD  LN -  MSCI World (P)</t>
  </si>
  <si>
    <t>IE00BJ0KDQ92</t>
  </si>
  <si>
    <t>XDJP  GR -  Nikkei 225 (P)</t>
  </si>
  <si>
    <t>LU0839027447</t>
  </si>
  <si>
    <t>SP5C  LN -   S&amp;P 500 (P)</t>
  </si>
  <si>
    <t>LU1135865084</t>
  </si>
  <si>
    <t>Nomura holdings Inc</t>
  </si>
  <si>
    <t>549300B3CEAHYG7K8164</t>
  </si>
  <si>
    <t>1615 JP -  TOPIX Banks (P)</t>
  </si>
  <si>
    <t>JP3040170007</t>
  </si>
  <si>
    <t>XBI   US  Biotech  (P)</t>
  </si>
  <si>
    <t>US78464A8707</t>
  </si>
  <si>
    <t>XLV  US -  Health Care (P)</t>
  </si>
  <si>
    <t>US81369Y2090</t>
  </si>
  <si>
    <t>LYXOR INTL</t>
  </si>
  <si>
    <t>BCEHGB.99999.SL.442</t>
  </si>
  <si>
    <t>BRES FP - Basic resources (P)</t>
  </si>
  <si>
    <t>LU1834983550</t>
  </si>
  <si>
    <t>XLF  US -  Financial (P)</t>
  </si>
  <si>
    <t>US81369Y6059</t>
  </si>
  <si>
    <t>Vanguard Group Inc</t>
  </si>
  <si>
    <t>5493002789CX3L0CJP65</t>
  </si>
  <si>
    <t>VWO  US -   FTSE Emerging Markets (P)</t>
  </si>
  <si>
    <t>US9220428588</t>
  </si>
  <si>
    <t>I500  NA -   S&amp;P 500 (P)</t>
  </si>
  <si>
    <t>IE00BMTX1Y45</t>
  </si>
  <si>
    <t>FXI  US -  China Large (P)</t>
  </si>
  <si>
    <t>US4642871846</t>
  </si>
  <si>
    <t>1306 JP -  TOPIX (P)</t>
  </si>
  <si>
    <t>JP3027630007</t>
  </si>
  <si>
    <t>UBS</t>
  </si>
  <si>
    <t>549300SZJ9VS8SGXAN81</t>
  </si>
  <si>
    <t>CBSEUD SW</t>
  </si>
  <si>
    <t>LU1484799926</t>
  </si>
  <si>
    <t>Global X</t>
  </si>
  <si>
    <t>254900QBKK4WBSO3GE51</t>
  </si>
  <si>
    <t>HXT  CN -  Canada TSX 60 (P)</t>
  </si>
  <si>
    <t>CA37963M1086</t>
  </si>
  <si>
    <t>EWY Ishares Korea (P)</t>
  </si>
  <si>
    <t>US4642867729</t>
  </si>
  <si>
    <t>IWDS NA - MSCI WORLD (P)</t>
  </si>
  <si>
    <t>IE000F9IDGB5</t>
  </si>
  <si>
    <t>XLY  US -  Consumer Discretionary (P)</t>
  </si>
  <si>
    <t>US81369Y4070</t>
  </si>
  <si>
    <t>Europe SX600 Industrials (p) -IND FP</t>
  </si>
  <si>
    <t>LU1834987890</t>
  </si>
  <si>
    <t>XLK  US -  Technology (P)</t>
  </si>
  <si>
    <t>US81369Y8030</t>
  </si>
  <si>
    <t>Tabula</t>
  </si>
  <si>
    <t>635400BK5J6GBMBFNG77</t>
  </si>
  <si>
    <t>TAHY LN - Asia USD HY</t>
  </si>
  <si>
    <t>IE000LZC9NM0</t>
  </si>
  <si>
    <t>XMEU  GR -  MSCI Europe (P)</t>
  </si>
  <si>
    <t>LU0274209237</t>
  </si>
  <si>
    <t>FIRST TRUST</t>
  </si>
  <si>
    <t>254900RHL9MEUS5NKX63</t>
  </si>
  <si>
    <t>GRID  US -   Grid Infrastructure (P)</t>
  </si>
  <si>
    <t>US33737A1088</t>
  </si>
  <si>
    <t>XMUD  LN -   MSCI USA (P)</t>
  </si>
  <si>
    <t>LU0274210672</t>
  </si>
  <si>
    <t>XD9U  LN -   MSCI USA (P)</t>
  </si>
  <si>
    <t>IE00BJ0KDR00</t>
  </si>
  <si>
    <t>SWRD  LN -  MSCI World (P)</t>
  </si>
  <si>
    <t>IE00BFY0GT14</t>
  </si>
  <si>
    <t>DEAM GY - MDAX (P)</t>
  </si>
  <si>
    <t>IE00BHJYDV33</t>
  </si>
  <si>
    <t>LQDE LN</t>
  </si>
  <si>
    <t>IE0032895942</t>
  </si>
  <si>
    <t>MUSD  NA -   MSCI USA (P)</t>
  </si>
  <si>
    <t>IE0002W8NB38</t>
  </si>
  <si>
    <t>Nomura Asset Management UK</t>
  </si>
  <si>
    <t>Nomura US HY</t>
  </si>
  <si>
    <t>IE00B3RW8498</t>
  </si>
  <si>
    <t>Liontrust</t>
  </si>
  <si>
    <t>549300XVXU6S7PLCL855</t>
  </si>
  <si>
    <t>Liontrust European Dynamic</t>
  </si>
  <si>
    <t>GB00BKPQVT86</t>
  </si>
  <si>
    <t>Pinebridge</t>
  </si>
  <si>
    <t>549300KM5F6LSTMERC50</t>
  </si>
  <si>
    <t>PineBridge US IG</t>
  </si>
  <si>
    <t>IE00BD82R632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</si>
  <si>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</si>
  <si>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</si>
  <si>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</si>
  <si>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</si>
  <si>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</si>
  <si>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</si>
  <si>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</si>
  <si>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</si>
  <si>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</si>
  <si>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</si>
  <si>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</si>
  <si>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</si>
  <si>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HSBC Global Investment Funds</t>
  </si>
  <si>
    <t>2138009R2RHG7P8LL653</t>
  </si>
  <si>
    <t>HSBC IG Global Securitized Credit</t>
  </si>
  <si>
    <t>LU1194161839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</si>
  <si>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</si>
  <si>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</si>
  <si>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</si>
  <si>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</si>
  <si>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</si>
  <si>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</si>
  <si>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</si>
  <si>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</si>
  <si>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RAM (Lux) Systematic funds</t>
  </si>
  <si>
    <t>54930031J1R3XQN7ZR19</t>
  </si>
  <si>
    <t>RAM (Lux) Systematic EM</t>
  </si>
  <si>
    <t>LU1433244511</t>
  </si>
  <si>
    <t>Oaktree Capital Management LP</t>
  </si>
  <si>
    <t>5493003O8J2P3YCBEH15 </t>
  </si>
  <si>
    <t>Oaktree Global Credit</t>
  </si>
  <si>
    <t>LU1617688392</t>
  </si>
  <si>
    <t>HSBC HY Global Securitized Credit</t>
  </si>
  <si>
    <t>LU1194162217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</si>
  <si>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</si>
  <si>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</si>
  <si>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</si>
  <si>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</si>
  <si>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</si>
  <si>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</si>
  <si>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</si>
  <si>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</si>
  <si>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</si>
  <si>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</si>
  <si>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</si>
  <si>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</si>
  <si>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</si>
  <si>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</si>
  <si>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</si>
  <si>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</si>
  <si>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</si>
  <si>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</si>
  <si>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Threadneedle</t>
  </si>
  <si>
    <t>6ZLKQF7QB6JAEKQS5388</t>
  </si>
  <si>
    <t>Threadneedle US</t>
  </si>
  <si>
    <t>LU1859430891</t>
  </si>
  <si>
    <t>ARTEMIS</t>
  </si>
  <si>
    <t>549300CN3YT7REW82D41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</si>
  <si>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</si>
  <si>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</si>
  <si>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</si>
  <si>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</si>
  <si>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</si>
  <si>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</si>
  <si>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</si>
  <si>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</si>
  <si>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</si>
  <si>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</si>
  <si>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</si>
  <si>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</si>
  <si>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</si>
  <si>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</si>
  <si>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</si>
  <si>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</si>
  <si>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</si>
  <si>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</si>
  <si>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</si>
  <si>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</si>
  <si>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</si>
  <si>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</si>
  <si>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</si>
  <si>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</si>
  <si>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</si>
  <si>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</si>
  <si>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</si>
  <si>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</si>
  <si>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</si>
  <si>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</si>
  <si>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</si>
  <si>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</si>
  <si>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</si>
  <si>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</si>
  <si>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</si>
  <si>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</si>
  <si>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</si>
  <si>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</si>
  <si>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</si>
  <si>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</si>
  <si>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</si>
  <si>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</si>
  <si>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</si>
  <si>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</si>
  <si>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</si>
  <si>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</si>
  <si>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</si>
  <si>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</si>
  <si>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</si>
  <si>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</si>
  <si>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</si>
  <si>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</si>
  <si>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</si>
  <si>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</si>
  <si>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</si>
  <si>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</si>
  <si>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</si>
  <si>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</si>
  <si>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</si>
  <si>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</si>
  <si>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</si>
  <si>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</si>
  <si>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</si>
  <si>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</si>
  <si>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</si>
  <si>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</si>
  <si>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</si>
  <si>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</si>
  <si>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</si>
  <si>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</si>
  <si>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</si>
  <si>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</si>
  <si>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</si>
  <si>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</si>
  <si>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</si>
  <si>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</si>
  <si>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</si>
  <si>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</si>
  <si>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</si>
  <si>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</si>
  <si>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</si>
  <si>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</si>
  <si>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</si>
  <si>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</si>
  <si>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</si>
  <si>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</si>
  <si>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</si>
  <si>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</si>
  <si>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</si>
  <si>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</si>
  <si>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</si>
  <si>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</si>
  <si>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</si>
  <si>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</si>
  <si>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</si>
  <si>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</si>
  <si>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</si>
  <si>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רשות שדות התעופה בישראל</t>
  </si>
  <si>
    <t>רש"ת אגח א-רמ</t>
  </si>
  <si>
    <t>IL0011873358</t>
  </si>
  <si>
    <t>רש"ת אגח ב-רמ</t>
  </si>
  <si>
    <t>IL0011873432</t>
  </si>
  <si>
    <t>אוצר החייל כ.התח 03/26 3.95%</t>
  </si>
  <si>
    <t>ilAA+</t>
  </si>
  <si>
    <t>IIF</t>
  </si>
  <si>
    <t>A ת.ש.י דרכים מר</t>
  </si>
  <si>
    <t>IDBLILITXXX</t>
  </si>
  <si>
    <t>NDDUWI INDEX</t>
  </si>
  <si>
    <t>LEUMIILILTXXX</t>
  </si>
  <si>
    <t>POALIILIT</t>
  </si>
  <si>
    <t>MIZBILIT</t>
  </si>
  <si>
    <t>CITIUS33</t>
  </si>
  <si>
    <t>BARCUS33</t>
  </si>
  <si>
    <t>USDILS</t>
  </si>
  <si>
    <t>GOLDUS33001</t>
  </si>
  <si>
    <t>CHASUS33</t>
  </si>
  <si>
    <t>ILSILS</t>
  </si>
  <si>
    <t>קבועה</t>
  </si>
  <si>
    <t>A3.il</t>
  </si>
  <si>
    <t>Aa2.il</t>
  </si>
  <si>
    <t>הדסה ס.מ.ישיר 30.09.25</t>
  </si>
  <si>
    <t>התח.ממש.אי העלאת ג.פרישה נשים</t>
  </si>
  <si>
    <t>520022963_pn_p_0425.xlsx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</si>
</sst>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4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1214</v>
      </c>
    </row>
    <row r="12" spans="1:4" x14ac:dyDescent="0.2"/>
    <row r="13" spans="1:4" ht="15" x14ac:dyDescent="0.2">
      <c r="A13" t="s">
        <v>509</v>
      </c>
      <c r="D13" s="92">
        <v>520022963</v>
      </c>
    </row>
    <row r="14" spans="1:4" x14ac:dyDescent="0.2"/>
    <row r="15" spans="1:4" ht="15" x14ac:dyDescent="0.25">
      <c r="A15" s="13" t="s">
        <v>371</v>
      </c>
      <c r="D15" s="143" t="s">
        <v>1915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1" sqref="B3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87580.924349999987</v>
      </c>
      <c r="C3" s="39"/>
      <c r="D3" s="39"/>
      <c r="E3" s="127">
        <f>IFERROR(B3/$B$30,0)</f>
        <v>2.1163461441306888E-2</v>
      </c>
    </row>
    <row r="4" spans="1:5" x14ac:dyDescent="0.2">
      <c r="A4" s="38" t="s">
        <v>40</v>
      </c>
      <c r="B4" s="125">
        <f>SUM('איגרות חוב ממשלתיות'!U:U)</f>
        <v>519706.81687000004</v>
      </c>
      <c r="C4" s="39"/>
      <c r="D4" s="39"/>
      <c r="E4" s="127">
        <f t="shared" ref="E4:E29" si="0">IFERROR(B4/$B$30,0)</f>
        <v>0.12558436967002148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87362.931229999987</v>
      </c>
      <c r="C6" s="39"/>
      <c r="D6" s="39"/>
      <c r="E6" s="127">
        <f t="shared" si="0"/>
        <v>2.1110784571042842E-2</v>
      </c>
    </row>
    <row r="7" spans="1:5" x14ac:dyDescent="0.2">
      <c r="A7" s="38" t="s">
        <v>459</v>
      </c>
      <c r="B7" s="125">
        <f>SUM('מניות מבכ ויהש'!U:U)</f>
        <v>72169.477199999979</v>
      </c>
      <c r="C7" s="39"/>
      <c r="D7" s="39"/>
      <c r="E7" s="127">
        <f t="shared" si="0"/>
        <v>1.7439367753846691E-2</v>
      </c>
    </row>
    <row r="8" spans="1:5" x14ac:dyDescent="0.2">
      <c r="A8" s="38" t="s">
        <v>34</v>
      </c>
      <c r="B8" s="125">
        <f>SUM('קרנות סל'!T:T)</f>
        <v>309985.54944999999</v>
      </c>
      <c r="C8" s="39"/>
      <c r="D8" s="39"/>
      <c r="E8" s="127">
        <f t="shared" si="0"/>
        <v>7.4906348292582331E-2</v>
      </c>
    </row>
    <row r="9" spans="1:5" x14ac:dyDescent="0.2">
      <c r="A9" s="38" t="s">
        <v>35</v>
      </c>
      <c r="B9" s="125">
        <f>SUM('קרנות נאמנות'!T:T)</f>
        <v>27718.783480000002</v>
      </c>
      <c r="C9" s="39"/>
      <c r="D9" s="39"/>
      <c r="E9" s="127">
        <f t="shared" si="0"/>
        <v>6.6980956153714589E-3</v>
      </c>
    </row>
    <row r="10" spans="1:5" x14ac:dyDescent="0.2">
      <c r="A10" s="38" t="s">
        <v>36</v>
      </c>
      <c r="B10" s="125">
        <f>SUM('כתבי אופציה'!W:W)</f>
        <v>39.519440000000003</v>
      </c>
      <c r="C10" s="39"/>
      <c r="D10" s="39"/>
      <c r="E10" s="127">
        <f t="shared" si="0"/>
        <v>9.5496610800733256E-6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821100.53306999989</v>
      </c>
      <c r="C15" s="39"/>
      <c r="D15" s="39"/>
      <c r="E15" s="127">
        <f t="shared" si="0"/>
        <v>0.19841454746033949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13686.628070000001</v>
      </c>
      <c r="C18" s="39"/>
      <c r="D18" s="39"/>
      <c r="E18" s="127">
        <f t="shared" si="0"/>
        <v>3.3073003918455851E-3</v>
      </c>
    </row>
    <row r="19" spans="1:5" x14ac:dyDescent="0.2">
      <c r="A19" s="38" t="s">
        <v>462</v>
      </c>
      <c r="B19" s="125">
        <f>SUM('לא סחיר מניות מבכ ויהש'!X:X)</f>
        <v>0</v>
      </c>
      <c r="C19" s="39"/>
      <c r="D19" s="39"/>
      <c r="E19" s="127">
        <f t="shared" si="0"/>
        <v>0</v>
      </c>
    </row>
    <row r="20" spans="1:5" x14ac:dyDescent="0.2">
      <c r="A20" s="38" t="s">
        <v>45</v>
      </c>
      <c r="B20" s="125">
        <f>SUM('קרנות השקעה'!W:W)</f>
        <v>2376.4807900000001</v>
      </c>
      <c r="C20" s="39"/>
      <c r="D20" s="39"/>
      <c r="E20" s="127">
        <f t="shared" si="0"/>
        <v>5.7426385869346604E-4</v>
      </c>
    </row>
    <row r="21" spans="1:5" x14ac:dyDescent="0.2">
      <c r="A21" s="38" t="s">
        <v>46</v>
      </c>
      <c r="B21" s="125">
        <f>SUM('לא סחיר כתבי אופציה'!Z:Z)</f>
        <v>0</v>
      </c>
      <c r="C21" s="39"/>
      <c r="D21" s="39"/>
      <c r="E21" s="127">
        <f t="shared" si="0"/>
        <v>0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901.87638129999993</v>
      </c>
      <c r="C23" s="39"/>
      <c r="D23" s="39"/>
      <c r="E23" s="127">
        <f t="shared" si="0"/>
        <v>2.1793359869314897E-4</v>
      </c>
    </row>
    <row r="24" spans="1:5" x14ac:dyDescent="0.2">
      <c r="A24" s="38" t="s">
        <v>48</v>
      </c>
      <c r="B24" s="125">
        <f>SUM(הלוואות!AT:AT)</f>
        <v>17123.089289999996</v>
      </c>
      <c r="C24" s="39"/>
      <c r="D24" s="39"/>
      <c r="E24" s="127">
        <f t="shared" si="0"/>
        <v>4.137702846076092E-3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31111.54724</v>
      </c>
      <c r="C26" s="39"/>
      <c r="D26" s="39"/>
      <c r="E26" s="127">
        <f t="shared" si="0"/>
        <v>7.5179388123589475E-3</v>
      </c>
    </row>
    <row r="27" spans="1:5" x14ac:dyDescent="0.2">
      <c r="A27" s="38" t="s">
        <v>51</v>
      </c>
      <c r="B27" s="125">
        <f>SUM('זכויות מקרקעין'!S:S)</f>
        <v>0</v>
      </c>
      <c r="C27" s="39"/>
      <c r="D27" s="39"/>
      <c r="E27" s="127">
        <f t="shared" si="0"/>
        <v>0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2147443.9640899999</v>
      </c>
      <c r="C29" s="119"/>
      <c r="D29" s="119"/>
      <c r="E29" s="127">
        <f t="shared" si="0"/>
        <v>0.51891833602674153</v>
      </c>
    </row>
    <row r="30" spans="1:5" ht="15.75" thickBot="1" x14ac:dyDescent="0.25">
      <c r="A30" s="37" t="s">
        <v>603</v>
      </c>
      <c r="B30" s="126">
        <f>SUM(B3:B29)</f>
        <v>4138308.1209512996</v>
      </c>
      <c r="C30" s="120"/>
      <c r="D30" s="120">
        <f t="shared" ref="D30:E30" si="1">SUM(D3:D29)</f>
        <v>0</v>
      </c>
      <c r="E30" s="128">
        <f t="shared" si="1"/>
        <v>1</v>
      </c>
    </row>
    <row r="31" spans="1:5" ht="13.5" thickTop="1" x14ac:dyDescent="0.2">
      <c r="A31" s="38" t="s">
        <v>755</v>
      </c>
      <c r="B31" s="125">
        <v>190.56</v>
      </c>
      <c r="C31" s="39"/>
      <c r="D31" s="39"/>
      <c r="E31" s="39"/>
    </row>
    <row r="32" spans="1:5" x14ac:dyDescent="0.2">
      <c r="A32" s="38" t="s">
        <v>756</v>
      </c>
      <c r="B32" s="39"/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workbookViewId="0">
      <selection activeCell="F9" sqref="F9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/>
      <c r="O1" s="15" t="s">
        <v>1153</v>
      </c>
      <c r="P1" s="15" t="s">
        <v>19</v>
      </c>
      <c r="Q1" s="15" t="s">
        <v>30</v>
      </c>
    </row>
    <row r="2" spans="1:17" x14ac:dyDescent="0.2">
      <c r="A2">
        <v>274</v>
      </c>
      <c r="B2">
        <v>274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0">
        <v>218.2628</v>
      </c>
      <c r="M2" s="130">
        <v>3.19</v>
      </c>
      <c r="N2" s="133"/>
      <c r="O2" s="130">
        <v>696.25833</v>
      </c>
      <c r="P2" s="133">
        <v>7.9489999999999995E-3</v>
      </c>
      <c r="Q2" s="133">
        <v>1.6799999999999999E-4</v>
      </c>
    </row>
    <row r="3" spans="1:17" x14ac:dyDescent="0.2">
      <c r="A3">
        <v>274</v>
      </c>
      <c r="B3">
        <v>274</v>
      </c>
      <c r="C3" t="s">
        <v>1219</v>
      </c>
      <c r="D3" t="s">
        <v>1220</v>
      </c>
      <c r="E3" t="s">
        <v>776</v>
      </c>
      <c r="F3" t="s">
        <v>213</v>
      </c>
      <c r="G3" t="s">
        <v>53</v>
      </c>
      <c r="H3" t="s">
        <v>62</v>
      </c>
      <c r="I3" t="s">
        <v>1217</v>
      </c>
      <c r="J3" t="s">
        <v>65</v>
      </c>
      <c r="K3" t="s">
        <v>1221</v>
      </c>
      <c r="L3" s="130">
        <v>74.38176</v>
      </c>
      <c r="M3" s="130">
        <v>1</v>
      </c>
      <c r="N3" s="133"/>
      <c r="O3" s="130">
        <v>74.38176</v>
      </c>
      <c r="P3" s="133">
        <v>8.4900000000000004E-4</v>
      </c>
      <c r="Q3" s="133">
        <v>1.7E-5</v>
      </c>
    </row>
    <row r="4" spans="1:17" x14ac:dyDescent="0.2">
      <c r="A4">
        <v>274</v>
      </c>
      <c r="B4">
        <v>274</v>
      </c>
      <c r="C4" t="s">
        <v>1222</v>
      </c>
      <c r="D4" t="s">
        <v>1223</v>
      </c>
      <c r="E4" t="s">
        <v>776</v>
      </c>
      <c r="F4" t="s">
        <v>218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30">
        <v>24.00562</v>
      </c>
      <c r="M4" s="130">
        <v>3.19</v>
      </c>
      <c r="N4" s="133"/>
      <c r="O4" s="130">
        <v>76.577929999999995</v>
      </c>
      <c r="P4" s="133">
        <v>8.7399999999999999E-4</v>
      </c>
      <c r="Q4" s="133">
        <v>1.8E-5</v>
      </c>
    </row>
    <row r="5" spans="1:17" x14ac:dyDescent="0.2">
      <c r="A5">
        <v>274</v>
      </c>
      <c r="B5">
        <v>274</v>
      </c>
      <c r="C5" t="s">
        <v>1224</v>
      </c>
      <c r="D5" t="s">
        <v>1225</v>
      </c>
      <c r="E5" t="s">
        <v>776</v>
      </c>
      <c r="F5" t="s">
        <v>213</v>
      </c>
      <c r="G5" t="s">
        <v>53</v>
      </c>
      <c r="H5" t="s">
        <v>62</v>
      </c>
      <c r="I5" t="s">
        <v>1226</v>
      </c>
      <c r="J5" t="s">
        <v>70</v>
      </c>
      <c r="K5" t="s">
        <v>1221</v>
      </c>
      <c r="L5" s="130">
        <v>22349.60987</v>
      </c>
      <c r="M5" s="130">
        <v>1</v>
      </c>
      <c r="N5" s="133"/>
      <c r="O5" s="130">
        <v>22349.60987</v>
      </c>
      <c r="P5" s="133">
        <v>0.255187</v>
      </c>
      <c r="Q5" s="133">
        <v>5.4000000000000003E-3</v>
      </c>
    </row>
    <row r="6" spans="1:17" x14ac:dyDescent="0.2">
      <c r="A6">
        <v>274</v>
      </c>
      <c r="B6">
        <v>274</v>
      </c>
      <c r="C6" t="s">
        <v>1215</v>
      </c>
      <c r="D6" t="s">
        <v>1216</v>
      </c>
      <c r="E6" t="s">
        <v>776</v>
      </c>
      <c r="F6" t="s">
        <v>219</v>
      </c>
      <c r="G6" t="s">
        <v>53</v>
      </c>
      <c r="H6" t="s">
        <v>62</v>
      </c>
      <c r="I6" t="s">
        <v>1217</v>
      </c>
      <c r="J6" t="s">
        <v>65</v>
      </c>
      <c r="K6" t="s">
        <v>1221</v>
      </c>
      <c r="L6" s="130">
        <v>24616.186140000002</v>
      </c>
      <c r="M6" s="130">
        <v>1</v>
      </c>
      <c r="N6" s="133"/>
      <c r="O6" s="130">
        <v>24616.186140000002</v>
      </c>
      <c r="P6" s="133">
        <v>0.28106700000000001</v>
      </c>
      <c r="Q6" s="133">
        <v>5.9480000000000002E-3</v>
      </c>
    </row>
    <row r="7" spans="1:17" x14ac:dyDescent="0.2">
      <c r="A7">
        <v>274</v>
      </c>
      <c r="B7">
        <v>274</v>
      </c>
      <c r="C7" t="s">
        <v>1224</v>
      </c>
      <c r="D7" t="s">
        <v>1225</v>
      </c>
      <c r="E7" t="s">
        <v>776</v>
      </c>
      <c r="F7" t="s">
        <v>218</v>
      </c>
      <c r="G7" t="s">
        <v>53</v>
      </c>
      <c r="H7" t="s">
        <v>62</v>
      </c>
      <c r="I7" t="s">
        <v>1226</v>
      </c>
      <c r="J7" t="s">
        <v>70</v>
      </c>
      <c r="K7" t="s">
        <v>1218</v>
      </c>
      <c r="L7" s="130">
        <v>1764.9705100000001</v>
      </c>
      <c r="M7" s="130">
        <v>3.19</v>
      </c>
      <c r="N7" s="133"/>
      <c r="O7" s="130">
        <v>5630.2559300000003</v>
      </c>
      <c r="P7" s="133">
        <v>6.4285999999999996E-2</v>
      </c>
      <c r="Q7" s="133">
        <v>1.3600000000000001E-3</v>
      </c>
    </row>
    <row r="8" spans="1:17" x14ac:dyDescent="0.2">
      <c r="A8">
        <v>274</v>
      </c>
      <c r="B8">
        <v>274</v>
      </c>
      <c r="C8" t="s">
        <v>1227</v>
      </c>
      <c r="D8" t="s">
        <v>1228</v>
      </c>
      <c r="E8" t="s">
        <v>776</v>
      </c>
      <c r="F8" t="s">
        <v>218</v>
      </c>
      <c r="G8" t="s">
        <v>53</v>
      </c>
      <c r="H8" t="s">
        <v>62</v>
      </c>
      <c r="I8" t="s">
        <v>1217</v>
      </c>
      <c r="J8" t="s">
        <v>65</v>
      </c>
      <c r="K8" t="s">
        <v>1229</v>
      </c>
      <c r="L8" s="130">
        <v>14.031090000000001</v>
      </c>
      <c r="M8" s="130">
        <v>0.50149999999999995</v>
      </c>
      <c r="N8" s="133"/>
      <c r="O8" s="130">
        <v>7.0365900000000003</v>
      </c>
      <c r="P8" s="133">
        <v>8.0000000000000007E-5</v>
      </c>
      <c r="Q8" s="133">
        <v>9.9999999999999995E-7</v>
      </c>
    </row>
    <row r="9" spans="1:17" x14ac:dyDescent="0.2">
      <c r="A9">
        <v>274</v>
      </c>
      <c r="B9">
        <v>274</v>
      </c>
      <c r="C9" t="s">
        <v>1224</v>
      </c>
      <c r="D9" t="s">
        <v>1225</v>
      </c>
      <c r="E9" t="s">
        <v>776</v>
      </c>
      <c r="F9" t="s">
        <v>214</v>
      </c>
      <c r="G9" t="s">
        <v>53</v>
      </c>
      <c r="H9" t="s">
        <v>62</v>
      </c>
      <c r="I9" t="s">
        <v>1226</v>
      </c>
      <c r="J9" t="s">
        <v>70</v>
      </c>
      <c r="K9" t="s">
        <v>1221</v>
      </c>
      <c r="L9" s="130">
        <v>5003.2712300000003</v>
      </c>
      <c r="M9" s="130">
        <v>1</v>
      </c>
      <c r="N9" s="133"/>
      <c r="O9" s="130">
        <v>5003.2712300000003</v>
      </c>
      <c r="P9" s="133">
        <v>5.7126999999999997E-2</v>
      </c>
      <c r="Q9" s="133">
        <v>1.209E-3</v>
      </c>
    </row>
    <row r="10" spans="1:17" x14ac:dyDescent="0.2">
      <c r="A10">
        <v>274</v>
      </c>
      <c r="B10">
        <v>274</v>
      </c>
      <c r="C10" t="s">
        <v>1224</v>
      </c>
      <c r="D10" t="s">
        <v>1225</v>
      </c>
      <c r="E10" t="s">
        <v>776</v>
      </c>
      <c r="F10" t="s">
        <v>218</v>
      </c>
      <c r="G10" t="s">
        <v>53</v>
      </c>
      <c r="H10" t="s">
        <v>62</v>
      </c>
      <c r="I10" t="s">
        <v>1226</v>
      </c>
      <c r="J10" t="s">
        <v>70</v>
      </c>
      <c r="K10" t="s">
        <v>1230</v>
      </c>
      <c r="L10" s="130">
        <v>0.38040000000000002</v>
      </c>
      <c r="M10" s="130">
        <v>2.3275000000000001</v>
      </c>
      <c r="N10" s="133"/>
      <c r="O10" s="130">
        <v>0.88537999999999994</v>
      </c>
      <c r="P10" s="133">
        <v>1.0000000000000001E-5</v>
      </c>
      <c r="Q10" s="133">
        <v>0</v>
      </c>
    </row>
    <row r="11" spans="1:17" x14ac:dyDescent="0.2">
      <c r="A11">
        <v>274</v>
      </c>
      <c r="B11">
        <v>274</v>
      </c>
      <c r="C11" t="s">
        <v>1219</v>
      </c>
      <c r="D11" t="s">
        <v>1220</v>
      </c>
      <c r="E11" t="s">
        <v>776</v>
      </c>
      <c r="F11" t="s">
        <v>218</v>
      </c>
      <c r="G11" t="s">
        <v>53</v>
      </c>
      <c r="H11" t="s">
        <v>62</v>
      </c>
      <c r="I11" t="s">
        <v>1217</v>
      </c>
      <c r="J11" t="s">
        <v>65</v>
      </c>
      <c r="K11" t="s">
        <v>1218</v>
      </c>
      <c r="L11" s="130">
        <v>21.194759999999999</v>
      </c>
      <c r="M11" s="130">
        <v>3.19</v>
      </c>
      <c r="N11" s="133"/>
      <c r="O11" s="130">
        <v>67.611279999999994</v>
      </c>
      <c r="P11" s="133">
        <v>7.7099999999999998E-4</v>
      </c>
      <c r="Q11" s="133">
        <v>1.5999999999999999E-5</v>
      </c>
    </row>
    <row r="12" spans="1:17" x14ac:dyDescent="0.2">
      <c r="A12">
        <v>274</v>
      </c>
      <c r="B12">
        <v>274</v>
      </c>
      <c r="C12" t="s">
        <v>1224</v>
      </c>
      <c r="D12" t="s">
        <v>1225</v>
      </c>
      <c r="E12" t="s">
        <v>776</v>
      </c>
      <c r="F12" t="s">
        <v>218</v>
      </c>
      <c r="G12" t="s">
        <v>53</v>
      </c>
      <c r="H12" t="s">
        <v>62</v>
      </c>
      <c r="I12" t="s">
        <v>1226</v>
      </c>
      <c r="J12" t="s">
        <v>70</v>
      </c>
      <c r="K12" t="s">
        <v>1231</v>
      </c>
      <c r="L12" s="130">
        <v>16.01492</v>
      </c>
      <c r="M12" s="130">
        <v>4.29</v>
      </c>
      <c r="N12" s="133"/>
      <c r="O12" s="130">
        <v>68.704009999999997</v>
      </c>
      <c r="P12" s="133">
        <v>7.8399999999999997E-4</v>
      </c>
      <c r="Q12" s="133">
        <v>1.5999999999999999E-5</v>
      </c>
    </row>
    <row r="13" spans="1:17" x14ac:dyDescent="0.2">
      <c r="A13">
        <v>274</v>
      </c>
      <c r="B13">
        <v>274</v>
      </c>
      <c r="C13" t="s">
        <v>1227</v>
      </c>
      <c r="D13" t="s">
        <v>1228</v>
      </c>
      <c r="E13" t="s">
        <v>776</v>
      </c>
      <c r="F13" t="s">
        <v>214</v>
      </c>
      <c r="G13" t="s">
        <v>53</v>
      </c>
      <c r="H13" t="s">
        <v>62</v>
      </c>
      <c r="I13" t="s">
        <v>1226</v>
      </c>
      <c r="J13" t="s">
        <v>70</v>
      </c>
      <c r="K13" t="s">
        <v>1221</v>
      </c>
      <c r="L13" s="130">
        <v>10001.131509999999</v>
      </c>
      <c r="M13" s="130">
        <v>1</v>
      </c>
      <c r="N13" s="133"/>
      <c r="O13" s="130">
        <v>10001.131509999999</v>
      </c>
      <c r="P13" s="133">
        <v>0.114193</v>
      </c>
      <c r="Q13" s="133">
        <v>2.4160000000000002E-3</v>
      </c>
    </row>
    <row r="14" spans="1:17" x14ac:dyDescent="0.2">
      <c r="A14">
        <v>274</v>
      </c>
      <c r="B14">
        <v>274</v>
      </c>
      <c r="C14" t="s">
        <v>1224</v>
      </c>
      <c r="D14" t="s">
        <v>1225</v>
      </c>
      <c r="E14" t="s">
        <v>776</v>
      </c>
      <c r="F14" t="s">
        <v>218</v>
      </c>
      <c r="G14" t="s">
        <v>53</v>
      </c>
      <c r="H14" t="s">
        <v>62</v>
      </c>
      <c r="I14" t="s">
        <v>1226</v>
      </c>
      <c r="J14" t="s">
        <v>70</v>
      </c>
      <c r="K14" t="s">
        <v>1229</v>
      </c>
      <c r="L14" s="130">
        <v>319.44623000000001</v>
      </c>
      <c r="M14" s="130">
        <v>0.50149999999999995</v>
      </c>
      <c r="N14" s="133"/>
      <c r="O14" s="130">
        <v>160.20228</v>
      </c>
      <c r="P14" s="133">
        <v>1.8289999999999999E-3</v>
      </c>
      <c r="Q14" s="133">
        <v>3.8000000000000002E-5</v>
      </c>
    </row>
    <row r="15" spans="1:17" x14ac:dyDescent="0.2">
      <c r="A15">
        <v>274</v>
      </c>
      <c r="B15">
        <v>274</v>
      </c>
      <c r="C15" t="s">
        <v>1227</v>
      </c>
      <c r="D15" t="s">
        <v>1228</v>
      </c>
      <c r="E15" t="s">
        <v>776</v>
      </c>
      <c r="F15" t="s">
        <v>218</v>
      </c>
      <c r="G15" t="s">
        <v>53</v>
      </c>
      <c r="H15" t="s">
        <v>62</v>
      </c>
      <c r="I15" t="s">
        <v>1217</v>
      </c>
      <c r="J15" t="s">
        <v>65</v>
      </c>
      <c r="K15" t="s">
        <v>1231</v>
      </c>
      <c r="L15" s="130">
        <v>0.92349999999999999</v>
      </c>
      <c r="M15" s="130">
        <v>4.29</v>
      </c>
      <c r="N15" s="133"/>
      <c r="O15" s="130">
        <v>3.9618199999999999</v>
      </c>
      <c r="P15" s="133">
        <v>4.5000000000000003E-5</v>
      </c>
      <c r="Q15" s="133">
        <v>0</v>
      </c>
    </row>
    <row r="16" spans="1:17" x14ac:dyDescent="0.2">
      <c r="A16">
        <v>274</v>
      </c>
      <c r="B16">
        <v>274</v>
      </c>
      <c r="C16" t="s">
        <v>1222</v>
      </c>
      <c r="D16" t="s">
        <v>1223</v>
      </c>
      <c r="E16" t="s">
        <v>776</v>
      </c>
      <c r="F16" t="s">
        <v>218</v>
      </c>
      <c r="G16" t="s">
        <v>53</v>
      </c>
      <c r="H16" t="s">
        <v>62</v>
      </c>
      <c r="I16" t="s">
        <v>1217</v>
      </c>
      <c r="J16" t="s">
        <v>65</v>
      </c>
      <c r="K16" t="s">
        <v>1232</v>
      </c>
      <c r="L16" s="130">
        <v>0.1</v>
      </c>
      <c r="M16" s="130">
        <v>3.7454999999999998</v>
      </c>
      <c r="N16" s="133"/>
      <c r="O16" s="130">
        <v>0.37454999999999999</v>
      </c>
      <c r="P16" s="133">
        <v>3.9999999999999998E-6</v>
      </c>
      <c r="Q16" s="133">
        <v>0</v>
      </c>
    </row>
    <row r="17" spans="1:17" x14ac:dyDescent="0.2">
      <c r="A17">
        <v>274</v>
      </c>
      <c r="B17">
        <v>274</v>
      </c>
      <c r="C17" t="s">
        <v>1227</v>
      </c>
      <c r="D17" t="s">
        <v>1228</v>
      </c>
      <c r="E17" t="s">
        <v>776</v>
      </c>
      <c r="F17" t="s">
        <v>218</v>
      </c>
      <c r="G17" t="s">
        <v>53</v>
      </c>
      <c r="H17" t="s">
        <v>62</v>
      </c>
      <c r="I17" t="s">
        <v>1217</v>
      </c>
      <c r="J17" t="s">
        <v>65</v>
      </c>
      <c r="K17" t="s">
        <v>1218</v>
      </c>
      <c r="L17" s="130">
        <v>80.975009999999997</v>
      </c>
      <c r="M17" s="130">
        <v>3.19</v>
      </c>
      <c r="N17" s="133"/>
      <c r="O17" s="130">
        <v>258.31027999999998</v>
      </c>
      <c r="P17" s="133">
        <v>2.9489999999999998E-3</v>
      </c>
      <c r="Q17" s="133">
        <v>6.2000000000000003E-5</v>
      </c>
    </row>
    <row r="18" spans="1:17" x14ac:dyDescent="0.2">
      <c r="A18">
        <v>274</v>
      </c>
      <c r="B18">
        <v>274</v>
      </c>
      <c r="C18" t="s">
        <v>1227</v>
      </c>
      <c r="D18" t="s">
        <v>1228</v>
      </c>
      <c r="E18" t="s">
        <v>776</v>
      </c>
      <c r="F18" t="s">
        <v>218</v>
      </c>
      <c r="G18" t="s">
        <v>53</v>
      </c>
      <c r="H18" t="s">
        <v>62</v>
      </c>
      <c r="I18" t="s">
        <v>1217</v>
      </c>
      <c r="J18" t="s">
        <v>65</v>
      </c>
      <c r="K18" t="s">
        <v>1233</v>
      </c>
      <c r="L18" s="130">
        <v>26.783449999999998</v>
      </c>
      <c r="M18" s="130">
        <v>2.1318999999999999</v>
      </c>
      <c r="N18" s="133"/>
      <c r="O18" s="130">
        <v>57.099640000000001</v>
      </c>
      <c r="P18" s="133">
        <v>6.5099999999999999E-4</v>
      </c>
      <c r="Q18" s="133">
        <v>1.2999999999999999E-5</v>
      </c>
    </row>
    <row r="19" spans="1:17" x14ac:dyDescent="0.2">
      <c r="A19">
        <v>274</v>
      </c>
      <c r="B19">
        <v>274</v>
      </c>
      <c r="C19" t="s">
        <v>1227</v>
      </c>
      <c r="D19" t="s">
        <v>1228</v>
      </c>
      <c r="E19" t="s">
        <v>776</v>
      </c>
      <c r="F19" t="s">
        <v>213</v>
      </c>
      <c r="G19" t="s">
        <v>53</v>
      </c>
      <c r="H19" t="s">
        <v>62</v>
      </c>
      <c r="I19" t="s">
        <v>1217</v>
      </c>
      <c r="J19" t="s">
        <v>65</v>
      </c>
      <c r="K19" t="s">
        <v>1221</v>
      </c>
      <c r="L19" s="130">
        <v>3069.75848</v>
      </c>
      <c r="M19" s="130">
        <v>1</v>
      </c>
      <c r="N19" s="133"/>
      <c r="O19" s="130">
        <v>3069.75848</v>
      </c>
      <c r="P19" s="133">
        <v>3.5049999999999998E-2</v>
      </c>
      <c r="Q19" s="133">
        <v>7.4200000000000004E-4</v>
      </c>
    </row>
    <row r="20" spans="1:17" x14ac:dyDescent="0.2">
      <c r="A20">
        <v>274</v>
      </c>
      <c r="B20">
        <v>274</v>
      </c>
      <c r="C20" t="s">
        <v>1227</v>
      </c>
      <c r="D20" t="s">
        <v>1228</v>
      </c>
      <c r="E20" t="s">
        <v>776</v>
      </c>
      <c r="F20" t="s">
        <v>218</v>
      </c>
      <c r="G20" t="s">
        <v>53</v>
      </c>
      <c r="H20" t="s">
        <v>62</v>
      </c>
      <c r="I20" t="s">
        <v>1217</v>
      </c>
      <c r="J20" t="s">
        <v>65</v>
      </c>
      <c r="K20" t="s">
        <v>1234</v>
      </c>
      <c r="L20" s="130">
        <v>113.6199</v>
      </c>
      <c r="M20" s="130">
        <v>2.0365000000000001E-2</v>
      </c>
      <c r="N20" s="133"/>
      <c r="O20" s="130">
        <v>2.3138700000000001</v>
      </c>
      <c r="P20" s="133">
        <v>2.5999999999999998E-5</v>
      </c>
      <c r="Q20" s="133">
        <v>0</v>
      </c>
    </row>
    <row r="21" spans="1:17" x14ac:dyDescent="0.2">
      <c r="A21">
        <v>274</v>
      </c>
      <c r="B21">
        <v>274</v>
      </c>
      <c r="C21" t="s">
        <v>1215</v>
      </c>
      <c r="D21" t="s">
        <v>1216</v>
      </c>
      <c r="E21" t="s">
        <v>776</v>
      </c>
      <c r="F21" t="s">
        <v>213</v>
      </c>
      <c r="G21" t="s">
        <v>53</v>
      </c>
      <c r="H21" t="s">
        <v>62</v>
      </c>
      <c r="I21" t="s">
        <v>1217</v>
      </c>
      <c r="J21" t="s">
        <v>65</v>
      </c>
      <c r="K21" t="s">
        <v>1221</v>
      </c>
      <c r="L21" s="130">
        <v>3.0030199999999998</v>
      </c>
      <c r="M21" s="130">
        <v>1</v>
      </c>
      <c r="N21" s="133"/>
      <c r="O21" s="130">
        <v>3.0030199999999998</v>
      </c>
      <c r="P21" s="133">
        <v>3.4E-5</v>
      </c>
      <c r="Q21" s="133">
        <v>0</v>
      </c>
    </row>
    <row r="22" spans="1:17" x14ac:dyDescent="0.2">
      <c r="A22">
        <v>274</v>
      </c>
      <c r="B22">
        <v>274</v>
      </c>
      <c r="C22" t="s">
        <v>1224</v>
      </c>
      <c r="D22" t="s">
        <v>1225</v>
      </c>
      <c r="E22" t="s">
        <v>776</v>
      </c>
      <c r="F22" t="s">
        <v>218</v>
      </c>
      <c r="G22" t="s">
        <v>53</v>
      </c>
      <c r="H22" t="s">
        <v>62</v>
      </c>
      <c r="I22" t="s">
        <v>1226</v>
      </c>
      <c r="J22" t="s">
        <v>70</v>
      </c>
      <c r="K22" t="s">
        <v>1234</v>
      </c>
      <c r="L22" s="130">
        <v>27379.262999999999</v>
      </c>
      <c r="M22" s="130">
        <v>2.0365000000000001E-2</v>
      </c>
      <c r="N22" s="133"/>
      <c r="O22" s="130">
        <v>557.57869000000005</v>
      </c>
      <c r="P22" s="133">
        <v>6.3660000000000001E-3</v>
      </c>
      <c r="Q22" s="133">
        <v>1.34E-4</v>
      </c>
    </row>
    <row r="23" spans="1:17" x14ac:dyDescent="0.2">
      <c r="A23">
        <v>274</v>
      </c>
      <c r="B23">
        <v>274</v>
      </c>
      <c r="C23" t="s">
        <v>1224</v>
      </c>
      <c r="D23" t="s">
        <v>1225</v>
      </c>
      <c r="E23" t="s">
        <v>776</v>
      </c>
      <c r="F23" t="s">
        <v>218</v>
      </c>
      <c r="G23" t="s">
        <v>53</v>
      </c>
      <c r="H23" t="s">
        <v>62</v>
      </c>
      <c r="I23" t="s">
        <v>1226</v>
      </c>
      <c r="J23" t="s">
        <v>70</v>
      </c>
      <c r="K23" t="s">
        <v>1232</v>
      </c>
      <c r="L23" s="130">
        <v>241.16195999999999</v>
      </c>
      <c r="M23" s="130">
        <v>3.7454999999999998</v>
      </c>
      <c r="N23" s="133"/>
      <c r="O23" s="130">
        <v>903.27211999999997</v>
      </c>
      <c r="P23" s="133">
        <v>1.0312999999999999E-2</v>
      </c>
      <c r="Q23" s="133">
        <v>2.1800000000000001E-4</v>
      </c>
    </row>
    <row r="24" spans="1:17" x14ac:dyDescent="0.2">
      <c r="A24">
        <v>274</v>
      </c>
      <c r="B24">
        <v>274</v>
      </c>
      <c r="C24" t="s">
        <v>1215</v>
      </c>
      <c r="D24" t="s">
        <v>1216</v>
      </c>
      <c r="E24" t="s">
        <v>776</v>
      </c>
      <c r="F24" t="s">
        <v>218</v>
      </c>
      <c r="G24" t="s">
        <v>53</v>
      </c>
      <c r="H24" t="s">
        <v>62</v>
      </c>
      <c r="I24" t="s">
        <v>1217</v>
      </c>
      <c r="J24" t="s">
        <v>65</v>
      </c>
      <c r="K24" t="s">
        <v>1231</v>
      </c>
      <c r="L24" s="130">
        <v>2.9341599999999999</v>
      </c>
      <c r="M24" s="130">
        <v>4.29</v>
      </c>
      <c r="N24" s="133"/>
      <c r="O24" s="130">
        <v>12.58755</v>
      </c>
      <c r="P24" s="133">
        <v>1.4300000000000001E-4</v>
      </c>
      <c r="Q24" s="133">
        <v>3.0000000000000001E-6</v>
      </c>
    </row>
    <row r="25" spans="1:17" x14ac:dyDescent="0.2">
      <c r="A25">
        <v>274</v>
      </c>
      <c r="B25">
        <v>274</v>
      </c>
      <c r="C25" t="s">
        <v>1227</v>
      </c>
      <c r="D25" t="s">
        <v>1228</v>
      </c>
      <c r="E25" t="s">
        <v>776</v>
      </c>
      <c r="F25" t="s">
        <v>218</v>
      </c>
      <c r="G25" t="s">
        <v>53</v>
      </c>
      <c r="H25" t="s">
        <v>62</v>
      </c>
      <c r="I25" t="s">
        <v>1217</v>
      </c>
      <c r="J25" t="s">
        <v>65</v>
      </c>
      <c r="K25" t="s">
        <v>1230</v>
      </c>
      <c r="L25" s="130">
        <v>23.096419999999998</v>
      </c>
      <c r="M25" s="130">
        <v>2.3275000000000001</v>
      </c>
      <c r="N25" s="133"/>
      <c r="O25" s="130">
        <v>53.756920000000001</v>
      </c>
      <c r="P25" s="133">
        <v>6.1300000000000005E-4</v>
      </c>
      <c r="Q25" s="133">
        <v>1.2E-5</v>
      </c>
    </row>
    <row r="26" spans="1:17" x14ac:dyDescent="0.2">
      <c r="A26">
        <v>274</v>
      </c>
      <c r="B26">
        <v>274</v>
      </c>
      <c r="C26" t="s">
        <v>1222</v>
      </c>
      <c r="D26" t="s">
        <v>1223</v>
      </c>
      <c r="E26" t="s">
        <v>776</v>
      </c>
      <c r="F26" t="s">
        <v>213</v>
      </c>
      <c r="G26" t="s">
        <v>53</v>
      </c>
      <c r="H26" t="s">
        <v>62</v>
      </c>
      <c r="I26" t="s">
        <v>1217</v>
      </c>
      <c r="J26" t="s">
        <v>65</v>
      </c>
      <c r="K26" t="s">
        <v>1221</v>
      </c>
      <c r="L26" s="130">
        <v>40.476149999999997</v>
      </c>
      <c r="M26" s="130">
        <v>1</v>
      </c>
      <c r="N26" s="133"/>
      <c r="O26" s="130">
        <v>40.476149999999997</v>
      </c>
      <c r="P26" s="133">
        <v>4.6200000000000001E-4</v>
      </c>
      <c r="Q26" s="133">
        <v>9.0000000000000002E-6</v>
      </c>
    </row>
    <row r="27" spans="1:17" x14ac:dyDescent="0.2">
      <c r="A27">
        <v>274</v>
      </c>
      <c r="B27">
        <v>274</v>
      </c>
      <c r="C27" t="s">
        <v>1222</v>
      </c>
      <c r="D27" t="s">
        <v>1223</v>
      </c>
      <c r="E27" t="s">
        <v>776</v>
      </c>
      <c r="F27" t="s">
        <v>214</v>
      </c>
      <c r="G27" t="s">
        <v>53</v>
      </c>
      <c r="H27" t="s">
        <v>62</v>
      </c>
      <c r="I27" t="s">
        <v>1226</v>
      </c>
      <c r="J27" t="s">
        <v>70</v>
      </c>
      <c r="K27" t="s">
        <v>1221</v>
      </c>
      <c r="L27" s="130">
        <v>13509.03206</v>
      </c>
      <c r="M27" s="130">
        <v>1</v>
      </c>
      <c r="N27" s="133"/>
      <c r="O27" s="130">
        <v>13509.03206</v>
      </c>
      <c r="P27" s="133">
        <v>0.15424499999999999</v>
      </c>
      <c r="Q27" s="133">
        <v>3.264E-3</v>
      </c>
    </row>
    <row r="28" spans="1:17" x14ac:dyDescent="0.2">
      <c r="A28">
        <v>274</v>
      </c>
      <c r="B28">
        <v>274</v>
      </c>
      <c r="C28" t="s">
        <v>1215</v>
      </c>
      <c r="D28" t="s">
        <v>1216</v>
      </c>
      <c r="E28" t="s">
        <v>776</v>
      </c>
      <c r="F28" t="s">
        <v>218</v>
      </c>
      <c r="G28" t="s">
        <v>53</v>
      </c>
      <c r="H28" t="s">
        <v>62</v>
      </c>
      <c r="I28" t="s">
        <v>1217</v>
      </c>
      <c r="J28" t="s">
        <v>65</v>
      </c>
      <c r="K28" t="s">
        <v>1232</v>
      </c>
      <c r="L28" s="130">
        <v>71.887870000000007</v>
      </c>
      <c r="M28" s="130">
        <v>3.7454999999999998</v>
      </c>
      <c r="N28" s="133"/>
      <c r="O28" s="130">
        <v>269.25601999999998</v>
      </c>
      <c r="P28" s="133">
        <v>3.0739999999999999E-3</v>
      </c>
      <c r="Q28" s="133">
        <v>6.4999999999999994E-5</v>
      </c>
    </row>
    <row r="29" spans="1:17" x14ac:dyDescent="0.2">
      <c r="A29">
        <v>274</v>
      </c>
      <c r="B29">
        <v>274</v>
      </c>
      <c r="C29" t="s">
        <v>1227</v>
      </c>
      <c r="D29" t="s">
        <v>1228</v>
      </c>
      <c r="E29" t="s">
        <v>776</v>
      </c>
      <c r="F29" t="s">
        <v>218</v>
      </c>
      <c r="G29" t="s">
        <v>53</v>
      </c>
      <c r="H29" t="s">
        <v>62</v>
      </c>
      <c r="I29" t="s">
        <v>1217</v>
      </c>
      <c r="J29" t="s">
        <v>65</v>
      </c>
      <c r="K29" t="s">
        <v>1232</v>
      </c>
      <c r="L29" s="130">
        <v>23.503119999999999</v>
      </c>
      <c r="M29" s="130">
        <v>3.7454999999999998</v>
      </c>
      <c r="N29" s="133"/>
      <c r="O29" s="130">
        <v>88.030940000000001</v>
      </c>
      <c r="P29" s="133">
        <v>1.005E-3</v>
      </c>
      <c r="Q29" s="133">
        <v>2.0999999999999999E-5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274</v>
      </c>
      <c r="B2">
        <v>274</v>
      </c>
      <c r="C2" t="s">
        <v>1235</v>
      </c>
      <c r="D2" t="s">
        <v>1236</v>
      </c>
      <c r="E2" t="s">
        <v>1237</v>
      </c>
      <c r="F2" t="s">
        <v>221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1221</v>
      </c>
      <c r="M2" s="130">
        <v>22.84</v>
      </c>
      <c r="N2" s="134">
        <v>57100</v>
      </c>
      <c r="O2" s="133">
        <v>0.02</v>
      </c>
      <c r="P2" s="133">
        <v>2.1299999999999999E-2</v>
      </c>
      <c r="Q2" s="130"/>
      <c r="R2" s="130">
        <v>1403000</v>
      </c>
      <c r="S2" s="130">
        <v>1</v>
      </c>
      <c r="T2" s="130">
        <v>97.4</v>
      </c>
      <c r="U2" s="130">
        <v>1366.5219999999999</v>
      </c>
      <c r="V2" s="130"/>
      <c r="W2"/>
      <c r="X2" s="133">
        <v>5.0600000000000005E-4</v>
      </c>
      <c r="Y2" s="133">
        <v>2.6289999999999998E-3</v>
      </c>
      <c r="Z2" s="133">
        <v>3.3E-4</v>
      </c>
    </row>
    <row r="3" spans="1:26" x14ac:dyDescent="0.2">
      <c r="A3">
        <v>274</v>
      </c>
      <c r="B3">
        <v>274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1221</v>
      </c>
      <c r="M3" s="130">
        <v>7.4</v>
      </c>
      <c r="N3" s="134">
        <v>48883</v>
      </c>
      <c r="O3" s="133">
        <v>1.6E-2</v>
      </c>
      <c r="P3" s="133">
        <v>1.7899999999999999E-2</v>
      </c>
      <c r="Q3" s="132"/>
      <c r="R3" s="130">
        <v>10973000</v>
      </c>
      <c r="S3" s="130">
        <v>1</v>
      </c>
      <c r="T3" s="130">
        <v>104.8</v>
      </c>
      <c r="U3" s="130">
        <v>11499.704</v>
      </c>
      <c r="V3" s="132"/>
      <c r="W3"/>
      <c r="X3" s="133">
        <v>3.8099999999999999E-4</v>
      </c>
      <c r="Y3" s="133">
        <v>2.2127000000000001E-2</v>
      </c>
      <c r="Z3" s="133">
        <v>2.7780000000000001E-3</v>
      </c>
    </row>
    <row r="4" spans="1:26" x14ac:dyDescent="0.2">
      <c r="A4">
        <v>274</v>
      </c>
      <c r="B4">
        <v>274</v>
      </c>
      <c r="C4" t="s">
        <v>1235</v>
      </c>
      <c r="D4" t="s">
        <v>1241</v>
      </c>
      <c r="E4" t="s">
        <v>1242</v>
      </c>
      <c r="F4" t="s">
        <v>223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1221</v>
      </c>
      <c r="M4" s="130">
        <v>4.1399999999999997</v>
      </c>
      <c r="N4" s="134">
        <v>47573</v>
      </c>
      <c r="O4" s="133">
        <v>0.01</v>
      </c>
      <c r="P4" s="133">
        <v>3.7199999999999997E-2</v>
      </c>
      <c r="Q4" s="132"/>
      <c r="R4" s="130">
        <v>756821</v>
      </c>
      <c r="S4" s="130">
        <v>1</v>
      </c>
      <c r="T4" s="130">
        <v>90.26</v>
      </c>
      <c r="U4" s="130">
        <v>683.10663</v>
      </c>
      <c r="V4" s="132"/>
      <c r="W4"/>
      <c r="X4" s="133">
        <v>2.0000000000000002E-5</v>
      </c>
      <c r="Y4" s="133">
        <v>1.3140000000000001E-3</v>
      </c>
      <c r="Z4" s="133">
        <v>1.65E-4</v>
      </c>
    </row>
    <row r="5" spans="1:26" x14ac:dyDescent="0.2">
      <c r="A5">
        <v>274</v>
      </c>
      <c r="B5">
        <v>274</v>
      </c>
      <c r="C5" t="s">
        <v>1235</v>
      </c>
      <c r="D5" t="s">
        <v>1243</v>
      </c>
      <c r="E5" t="s">
        <v>1244</v>
      </c>
      <c r="F5" t="s">
        <v>221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1221</v>
      </c>
      <c r="M5" s="130">
        <v>13.01</v>
      </c>
      <c r="N5" s="134">
        <v>51744</v>
      </c>
      <c r="O5" s="133">
        <v>2.75E-2</v>
      </c>
      <c r="P5" s="133">
        <v>1.9099999999999999E-2</v>
      </c>
      <c r="Q5" s="132"/>
      <c r="R5" s="130">
        <v>38734531</v>
      </c>
      <c r="S5" s="130">
        <v>1</v>
      </c>
      <c r="T5" s="130">
        <v>141.80000000000001</v>
      </c>
      <c r="U5" s="130">
        <v>54925.564960000003</v>
      </c>
      <c r="V5" s="132"/>
      <c r="W5"/>
      <c r="X5" s="133">
        <v>1.9449999999999999E-3</v>
      </c>
      <c r="Y5" s="133">
        <v>0.105685</v>
      </c>
      <c r="Z5" s="133">
        <v>1.3272000000000001E-2</v>
      </c>
    </row>
    <row r="6" spans="1:26" x14ac:dyDescent="0.2">
      <c r="A6">
        <v>274</v>
      </c>
      <c r="B6">
        <v>274</v>
      </c>
      <c r="C6" t="s">
        <v>1235</v>
      </c>
      <c r="D6" t="s">
        <v>1245</v>
      </c>
      <c r="E6" t="s">
        <v>1246</v>
      </c>
      <c r="F6" t="s">
        <v>223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1221</v>
      </c>
      <c r="M6" s="130">
        <v>2.68</v>
      </c>
      <c r="N6" s="134">
        <v>47024</v>
      </c>
      <c r="O6" s="133">
        <v>2.2499999999999999E-2</v>
      </c>
      <c r="P6" s="133">
        <v>3.73E-2</v>
      </c>
      <c r="Q6" s="132"/>
      <c r="R6" s="130">
        <v>45103</v>
      </c>
      <c r="S6" s="130">
        <v>1</v>
      </c>
      <c r="T6" s="130">
        <v>96.78</v>
      </c>
      <c r="U6" s="130">
        <v>43.650680000000001</v>
      </c>
      <c r="V6" s="132"/>
      <c r="W6"/>
      <c r="X6" s="133">
        <v>9.9999999999999995E-7</v>
      </c>
      <c r="Y6" s="133">
        <v>8.2999999999999998E-5</v>
      </c>
      <c r="Z6" s="133">
        <v>1.0000000000000001E-5</v>
      </c>
    </row>
    <row r="7" spans="1:26" x14ac:dyDescent="0.2">
      <c r="A7">
        <v>274</v>
      </c>
      <c r="B7">
        <v>274</v>
      </c>
      <c r="C7" t="s">
        <v>1235</v>
      </c>
      <c r="D7" t="s">
        <v>1247</v>
      </c>
      <c r="E7" t="s">
        <v>1248</v>
      </c>
      <c r="F7" t="s">
        <v>224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1221</v>
      </c>
      <c r="M7" s="130">
        <v>0.41</v>
      </c>
      <c r="N7" s="134">
        <v>46173</v>
      </c>
      <c r="O7" s="133">
        <v>0</v>
      </c>
      <c r="P7" s="133">
        <v>3.9800000000000002E-2</v>
      </c>
      <c r="Q7" s="132"/>
      <c r="R7" s="130">
        <v>2118357</v>
      </c>
      <c r="S7" s="130">
        <v>1</v>
      </c>
      <c r="T7" s="130">
        <v>100.28</v>
      </c>
      <c r="U7" s="130">
        <v>2124.2883999999999</v>
      </c>
      <c r="V7" s="132"/>
      <c r="W7"/>
      <c r="X7" s="133">
        <v>9.8999999999999994E-5</v>
      </c>
      <c r="Y7" s="133">
        <v>4.0870000000000004E-3</v>
      </c>
      <c r="Z7" s="133">
        <v>5.13E-4</v>
      </c>
    </row>
    <row r="8" spans="1:26" x14ac:dyDescent="0.2">
      <c r="A8">
        <v>274</v>
      </c>
      <c r="B8">
        <v>274</v>
      </c>
      <c r="C8" t="s">
        <v>1235</v>
      </c>
      <c r="D8" t="s">
        <v>1249</v>
      </c>
      <c r="E8" t="s">
        <v>1250</v>
      </c>
      <c r="F8" t="s">
        <v>221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1221</v>
      </c>
      <c r="M8" s="130">
        <v>17.440000000000001</v>
      </c>
      <c r="N8" s="134">
        <v>53113</v>
      </c>
      <c r="O8" s="133">
        <v>0.01</v>
      </c>
      <c r="P8" s="133">
        <v>1.9800000000000002E-2</v>
      </c>
      <c r="Q8" s="132"/>
      <c r="R8" s="130">
        <v>53461639</v>
      </c>
      <c r="S8" s="130">
        <v>1</v>
      </c>
      <c r="T8" s="130">
        <v>101.1</v>
      </c>
      <c r="U8" s="130">
        <v>54049.71703</v>
      </c>
      <c r="V8" s="132"/>
      <c r="W8"/>
      <c r="X8" s="133">
        <v>2.4250000000000001E-3</v>
      </c>
      <c r="Y8" s="133">
        <v>0.104</v>
      </c>
      <c r="Z8" s="133">
        <v>1.306E-2</v>
      </c>
    </row>
    <row r="9" spans="1:26" x14ac:dyDescent="0.2">
      <c r="A9">
        <v>274</v>
      </c>
      <c r="B9">
        <v>274</v>
      </c>
      <c r="C9" t="s">
        <v>1235</v>
      </c>
      <c r="D9" t="s">
        <v>1251</v>
      </c>
      <c r="E9" t="s">
        <v>1252</v>
      </c>
      <c r="F9" t="s">
        <v>221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1221</v>
      </c>
      <c r="M9" s="130">
        <v>0.57999999999999996</v>
      </c>
      <c r="N9" s="134">
        <v>46234</v>
      </c>
      <c r="O9" s="133">
        <v>1E-3</v>
      </c>
      <c r="P9" s="133">
        <v>2.58E-2</v>
      </c>
      <c r="Q9" s="132"/>
      <c r="R9" s="130">
        <v>5313038</v>
      </c>
      <c r="S9" s="130">
        <v>1</v>
      </c>
      <c r="T9" s="130">
        <v>116.46</v>
      </c>
      <c r="U9" s="130">
        <v>6187.56405</v>
      </c>
      <c r="V9" s="132"/>
      <c r="W9"/>
      <c r="X9" s="133">
        <v>2.6200000000000003E-4</v>
      </c>
      <c r="Y9" s="133">
        <v>1.1905000000000001E-2</v>
      </c>
      <c r="Z9" s="133">
        <v>1.495E-3</v>
      </c>
    </row>
    <row r="10" spans="1:26" x14ac:dyDescent="0.2">
      <c r="A10">
        <v>274</v>
      </c>
      <c r="B10">
        <v>274</v>
      </c>
      <c r="C10" t="s">
        <v>1235</v>
      </c>
      <c r="D10" t="s">
        <v>1253</v>
      </c>
      <c r="E10" t="s">
        <v>1254</v>
      </c>
      <c r="F10" t="s">
        <v>223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1221</v>
      </c>
      <c r="M10" s="130">
        <v>14.3</v>
      </c>
      <c r="N10" s="134">
        <v>53782</v>
      </c>
      <c r="O10" s="133">
        <v>3.7499999999999999E-2</v>
      </c>
      <c r="P10" s="133">
        <v>4.3099999999999999E-2</v>
      </c>
      <c r="Q10" s="132"/>
      <c r="R10" s="130">
        <v>39053346</v>
      </c>
      <c r="S10" s="130">
        <v>1</v>
      </c>
      <c r="T10" s="130">
        <v>95.14</v>
      </c>
      <c r="U10" s="130">
        <v>37155.35338</v>
      </c>
      <c r="V10" s="132"/>
      <c r="W10"/>
      <c r="X10" s="133">
        <v>1.4400000000000001E-3</v>
      </c>
      <c r="Y10" s="133">
        <v>7.1492E-2</v>
      </c>
      <c r="Z10" s="133">
        <v>8.9779999999999999E-3</v>
      </c>
    </row>
    <row r="11" spans="1:26" x14ac:dyDescent="0.2">
      <c r="A11">
        <v>274</v>
      </c>
      <c r="B11">
        <v>274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1221</v>
      </c>
      <c r="M11" s="130">
        <v>1.22</v>
      </c>
      <c r="N11" s="134">
        <v>46477</v>
      </c>
      <c r="O11" s="133">
        <v>0.02</v>
      </c>
      <c r="P11" s="133">
        <v>3.7600000000000001E-2</v>
      </c>
      <c r="Q11" s="132"/>
      <c r="R11" s="130">
        <v>13296396</v>
      </c>
      <c r="S11" s="130">
        <v>1</v>
      </c>
      <c r="T11" s="130">
        <v>99.41</v>
      </c>
      <c r="U11" s="130">
        <v>13217.947260000001</v>
      </c>
      <c r="V11" s="132"/>
      <c r="W11"/>
      <c r="X11" s="133">
        <v>4.7100000000000001E-4</v>
      </c>
      <c r="Y11" s="133">
        <v>2.5433000000000001E-2</v>
      </c>
      <c r="Z11" s="133">
        <v>3.1939999999999998E-3</v>
      </c>
    </row>
    <row r="12" spans="1:26" x14ac:dyDescent="0.2">
      <c r="A12">
        <v>274</v>
      </c>
      <c r="B12">
        <v>274</v>
      </c>
      <c r="C12" t="s">
        <v>1235</v>
      </c>
      <c r="D12" t="s">
        <v>1257</v>
      </c>
      <c r="E12" t="s">
        <v>1258</v>
      </c>
      <c r="F12" t="s">
        <v>221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1221</v>
      </c>
      <c r="M12" s="130">
        <v>8.73</v>
      </c>
      <c r="N12" s="134">
        <v>49825</v>
      </c>
      <c r="O12" s="133">
        <v>0.04</v>
      </c>
      <c r="P12" s="133">
        <v>1.8200000000000001E-2</v>
      </c>
      <c r="Q12" s="132"/>
      <c r="R12" s="130">
        <v>61925738</v>
      </c>
      <c r="S12" s="130">
        <v>1</v>
      </c>
      <c r="T12" s="130">
        <v>172.35</v>
      </c>
      <c r="U12" s="130">
        <v>106729.00943999999</v>
      </c>
      <c r="V12" s="132"/>
      <c r="W12"/>
      <c r="X12" s="133">
        <v>3.8860000000000001E-3</v>
      </c>
      <c r="Y12" s="133">
        <v>0.20536299999999999</v>
      </c>
      <c r="Z12" s="133">
        <v>2.579E-2</v>
      </c>
    </row>
    <row r="13" spans="1:26" x14ac:dyDescent="0.2">
      <c r="A13">
        <v>274</v>
      </c>
      <c r="B13">
        <v>274</v>
      </c>
      <c r="C13" t="s">
        <v>1235</v>
      </c>
      <c r="D13" t="s">
        <v>1259</v>
      </c>
      <c r="E13" t="s">
        <v>1260</v>
      </c>
      <c r="F13" t="s">
        <v>221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1221</v>
      </c>
      <c r="M13" s="130">
        <v>23.94</v>
      </c>
      <c r="N13" s="134">
        <v>55487</v>
      </c>
      <c r="O13" s="133">
        <v>5.0000000000000001E-3</v>
      </c>
      <c r="P13" s="133">
        <v>2.0799999999999999E-2</v>
      </c>
      <c r="Q13" s="132"/>
      <c r="R13" s="130">
        <v>165386445</v>
      </c>
      <c r="S13" s="130">
        <v>1</v>
      </c>
      <c r="T13" s="130">
        <v>80.86</v>
      </c>
      <c r="U13" s="130">
        <v>133731.47943000001</v>
      </c>
      <c r="V13" s="132"/>
      <c r="W13"/>
      <c r="X13" s="133">
        <v>5.1539999999999997E-3</v>
      </c>
      <c r="Y13" s="133">
        <v>0.25732100000000002</v>
      </c>
      <c r="Z13" s="133">
        <v>3.2315000000000003E-2</v>
      </c>
    </row>
    <row r="14" spans="1:26" x14ac:dyDescent="0.2">
      <c r="A14">
        <v>274</v>
      </c>
      <c r="B14">
        <v>274</v>
      </c>
      <c r="C14" t="s">
        <v>1235</v>
      </c>
      <c r="D14" t="s">
        <v>1261</v>
      </c>
      <c r="E14" t="s">
        <v>1262</v>
      </c>
      <c r="F14" t="s">
        <v>221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1221</v>
      </c>
      <c r="M14" s="130">
        <v>5.9</v>
      </c>
      <c r="N14" s="134">
        <v>48182</v>
      </c>
      <c r="O14" s="133">
        <v>1E-3</v>
      </c>
      <c r="P14" s="133">
        <v>1.7000000000000001E-2</v>
      </c>
      <c r="Q14" s="132"/>
      <c r="R14" s="130">
        <v>57829553</v>
      </c>
      <c r="S14" s="130">
        <v>1</v>
      </c>
      <c r="T14" s="130">
        <v>107.5</v>
      </c>
      <c r="U14" s="130">
        <v>62166.769480000003</v>
      </c>
      <c r="V14" s="132"/>
      <c r="W14"/>
      <c r="X14" s="133">
        <v>1.689E-3</v>
      </c>
      <c r="Y14" s="133">
        <v>0.119618</v>
      </c>
      <c r="Z14" s="133">
        <v>1.5022000000000001E-2</v>
      </c>
    </row>
    <row r="15" spans="1:26" x14ac:dyDescent="0.2">
      <c r="A15">
        <v>274</v>
      </c>
      <c r="B15">
        <v>274</v>
      </c>
      <c r="C15" t="s">
        <v>1235</v>
      </c>
      <c r="D15" t="s">
        <v>1263</v>
      </c>
      <c r="E15" t="s">
        <v>1264</v>
      </c>
      <c r="F15" t="s">
        <v>223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1221</v>
      </c>
      <c r="M15" s="130">
        <v>10.98</v>
      </c>
      <c r="N15" s="134">
        <v>51897</v>
      </c>
      <c r="O15" s="133">
        <v>5.5E-2</v>
      </c>
      <c r="P15" s="133">
        <v>4.1700000000000001E-2</v>
      </c>
      <c r="Q15" s="132"/>
      <c r="R15" s="130">
        <v>1746724</v>
      </c>
      <c r="S15" s="130">
        <v>1</v>
      </c>
      <c r="T15" s="130">
        <v>120.4</v>
      </c>
      <c r="U15" s="130">
        <v>2103.0556999999999</v>
      </c>
      <c r="V15" s="132"/>
      <c r="W15"/>
      <c r="X15" s="133">
        <v>5.3000000000000001E-5</v>
      </c>
      <c r="Y15" s="133">
        <v>4.0460000000000001E-3</v>
      </c>
      <c r="Z15" s="133">
        <v>5.0799999999999999E-4</v>
      </c>
    </row>
    <row r="16" spans="1:26" x14ac:dyDescent="0.2">
      <c r="A16">
        <v>274</v>
      </c>
      <c r="B16">
        <v>274</v>
      </c>
      <c r="C16" t="s">
        <v>1235</v>
      </c>
      <c r="D16" t="s">
        <v>1265</v>
      </c>
      <c r="E16" t="s">
        <v>1266</v>
      </c>
      <c r="F16" t="s">
        <v>223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1221</v>
      </c>
      <c r="M16" s="130">
        <v>17.82</v>
      </c>
      <c r="N16" s="134">
        <v>55852</v>
      </c>
      <c r="O16" s="133">
        <v>2.8000000000000001E-2</v>
      </c>
      <c r="P16" s="133">
        <v>4.4400000000000002E-2</v>
      </c>
      <c r="Q16" s="132"/>
      <c r="R16" s="130">
        <v>38702087</v>
      </c>
      <c r="S16" s="130">
        <v>1</v>
      </c>
      <c r="T16" s="130">
        <v>74.760000000000005</v>
      </c>
      <c r="U16" s="130">
        <v>28933.680240000002</v>
      </c>
      <c r="V16" s="132"/>
      <c r="W16"/>
      <c r="X16" s="133">
        <v>1.2899999999999999E-3</v>
      </c>
      <c r="Y16" s="133">
        <v>5.5673E-2</v>
      </c>
      <c r="Z16" s="133">
        <v>6.9909999999999998E-3</v>
      </c>
    </row>
    <row r="17" spans="1:26" x14ac:dyDescent="0.2">
      <c r="A17">
        <v>274</v>
      </c>
      <c r="B17">
        <v>274</v>
      </c>
      <c r="C17" t="s">
        <v>1267</v>
      </c>
      <c r="D17" t="s">
        <v>1268</v>
      </c>
      <c r="E17" t="s">
        <v>1269</v>
      </c>
      <c r="F17" t="s">
        <v>227</v>
      </c>
      <c r="G17" t="s">
        <v>61</v>
      </c>
      <c r="H17" t="s">
        <v>314</v>
      </c>
      <c r="I17" t="s">
        <v>102</v>
      </c>
      <c r="J17" t="s">
        <v>1270</v>
      </c>
      <c r="K17" t="s">
        <v>84</v>
      </c>
      <c r="L17" t="s">
        <v>1218</v>
      </c>
      <c r="M17" s="130">
        <v>0.27</v>
      </c>
      <c r="N17" s="134">
        <v>46121</v>
      </c>
      <c r="O17" s="133">
        <v>0</v>
      </c>
      <c r="P17" s="133">
        <v>3.5700000000000003E-2</v>
      </c>
      <c r="Q17" s="132"/>
      <c r="R17" s="130">
        <v>141000</v>
      </c>
      <c r="S17" s="130">
        <v>3.19</v>
      </c>
      <c r="T17" s="130">
        <v>99.052199999999999</v>
      </c>
      <c r="U17" s="130">
        <v>445.52686</v>
      </c>
      <c r="V17" s="132"/>
      <c r="W17"/>
      <c r="X17" s="133">
        <v>9.9999999999999995E-7</v>
      </c>
      <c r="Y17" s="133">
        <v>8.5700000000000001E-4</v>
      </c>
      <c r="Z17" s="133">
        <v>1.07E-4</v>
      </c>
    </row>
    <row r="18" spans="1:26" x14ac:dyDescent="0.2">
      <c r="A18">
        <v>274</v>
      </c>
      <c r="B18">
        <v>274</v>
      </c>
      <c r="C18" t="s">
        <v>1235</v>
      </c>
      <c r="D18" t="s">
        <v>1271</v>
      </c>
      <c r="E18" t="s">
        <v>1272</v>
      </c>
      <c r="F18" t="s">
        <v>246</v>
      </c>
      <c r="G18" t="s">
        <v>61</v>
      </c>
      <c r="H18" t="s">
        <v>53</v>
      </c>
      <c r="I18" t="s">
        <v>102</v>
      </c>
      <c r="J18" t="s">
        <v>1273</v>
      </c>
      <c r="K18" t="s">
        <v>84</v>
      </c>
      <c r="L18" t="s">
        <v>1218</v>
      </c>
      <c r="M18" s="130">
        <v>4.2</v>
      </c>
      <c r="N18" s="134">
        <v>47667</v>
      </c>
      <c r="O18" s="133">
        <v>2.75E-2</v>
      </c>
      <c r="P18" s="133">
        <v>4.5499999999999999E-2</v>
      </c>
      <c r="Q18" s="132"/>
      <c r="R18" s="130">
        <v>359000</v>
      </c>
      <c r="S18" s="130">
        <v>3.19</v>
      </c>
      <c r="T18" s="130">
        <v>94.279700000000005</v>
      </c>
      <c r="U18" s="130">
        <v>1079.70055</v>
      </c>
      <c r="V18" s="132"/>
      <c r="W18"/>
      <c r="X18" s="133">
        <v>1.7899999999999999E-4</v>
      </c>
      <c r="Y18" s="133">
        <v>2.0769999999999999E-3</v>
      </c>
      <c r="Z18" s="133">
        <v>2.5999999999999998E-4</v>
      </c>
    </row>
    <row r="19" spans="1:26" x14ac:dyDescent="0.2">
      <c r="A19">
        <v>274</v>
      </c>
      <c r="B19">
        <v>274</v>
      </c>
      <c r="C19" t="s">
        <v>1267</v>
      </c>
      <c r="D19" t="s">
        <v>1274</v>
      </c>
      <c r="E19" t="s">
        <v>1275</v>
      </c>
      <c r="F19" t="s">
        <v>227</v>
      </c>
      <c r="G19" t="s">
        <v>61</v>
      </c>
      <c r="H19" t="s">
        <v>314</v>
      </c>
      <c r="I19" t="s">
        <v>102</v>
      </c>
      <c r="J19" t="s">
        <v>1270</v>
      </c>
      <c r="K19" t="s">
        <v>84</v>
      </c>
      <c r="L19" t="s">
        <v>1218</v>
      </c>
      <c r="M19" s="130">
        <v>0.83</v>
      </c>
      <c r="N19" s="134">
        <v>46324</v>
      </c>
      <c r="O19" s="133">
        <v>0</v>
      </c>
      <c r="P19" s="133">
        <v>3.5200000000000002E-2</v>
      </c>
      <c r="Q19" s="132"/>
      <c r="R19" s="130">
        <v>1053000</v>
      </c>
      <c r="S19" s="130">
        <v>3.19</v>
      </c>
      <c r="T19" s="130">
        <v>97.174999999999997</v>
      </c>
      <c r="U19" s="130">
        <v>3264.1767799999998</v>
      </c>
      <c r="V19" s="132"/>
      <c r="W19"/>
      <c r="X19" s="133">
        <v>1.9000000000000001E-5</v>
      </c>
      <c r="Y19" s="133">
        <v>6.28E-3</v>
      </c>
      <c r="Z19" s="133">
        <v>7.8799999999999996E-4</v>
      </c>
    </row>
    <row r="20" spans="1:26" x14ac:dyDescent="0.2">
      <c r="F20" s="14"/>
      <c r="G20" s="14"/>
      <c r="H20" s="14"/>
      <c r="I20" s="14"/>
      <c r="K20" s="14"/>
      <c r="L20"/>
      <c r="M20"/>
      <c r="N20"/>
      <c r="O20"/>
      <c r="P20"/>
      <c r="Q20"/>
      <c r="R20"/>
      <c r="S20"/>
      <c r="T20"/>
      <c r="U20"/>
      <c r="V20"/>
      <c r="W20" s="14"/>
      <c r="X20"/>
      <c r="Y20"/>
      <c r="Z20"/>
    </row>
    <row r="21" spans="1:26" x14ac:dyDescent="0.2">
      <c r="L21" s="14"/>
    </row>
    <row r="22" spans="1:26" x14ac:dyDescent="0.2">
      <c r="L22" s="14"/>
    </row>
    <row r="23" spans="1:26" x14ac:dyDescent="0.2">
      <c r="L23" s="14"/>
    </row>
    <row r="24" spans="1:26" x14ac:dyDescent="0.2">
      <c r="L24" s="14"/>
    </row>
    <row r="25" spans="1:26" x14ac:dyDescent="0.2">
      <c r="L25" s="14"/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5" t="s">
        <v>421</v>
      </c>
      <c r="V1" s="136" t="s">
        <v>14</v>
      </c>
      <c r="W1" s="136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6" t="s">
        <v>18</v>
      </c>
      <c r="AI1" s="136" t="s">
        <v>19</v>
      </c>
      <c r="AJ1" s="136" t="s">
        <v>30</v>
      </c>
    </row>
    <row r="2" spans="1:36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4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5.5" style="2" bestFit="1" customWidth="1"/>
    <col min="4" max="4" width="24.25" style="2" bestFit="1" customWidth="1"/>
    <col min="5" max="5" width="9.125" style="4" bestFit="1" customWidth="1"/>
    <col min="6" max="6" width="27.75" style="2" bestFit="1" customWidth="1"/>
    <col min="7" max="7" width="14.8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274</v>
      </c>
      <c r="B2">
        <v>274</v>
      </c>
      <c r="C2" t="s">
        <v>1276</v>
      </c>
      <c r="D2">
        <v>520018078</v>
      </c>
      <c r="E2" t="s">
        <v>429</v>
      </c>
      <c r="F2" t="s">
        <v>1277</v>
      </c>
      <c r="G2" t="s">
        <v>1278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1226</v>
      </c>
      <c r="Q2" t="s">
        <v>70</v>
      </c>
      <c r="R2" t="s">
        <v>57</v>
      </c>
      <c r="S2" t="s">
        <v>1221</v>
      </c>
      <c r="T2" s="130">
        <v>3.95</v>
      </c>
      <c r="U2" s="134">
        <v>48913</v>
      </c>
      <c r="V2" s="133">
        <v>2.0199999999999999E-2</v>
      </c>
      <c r="W2" s="133">
        <v>2.1899999999999999E-2</v>
      </c>
      <c r="X2" t="s">
        <v>620</v>
      </c>
      <c r="Y2"/>
      <c r="Z2" s="130">
        <v>4200000</v>
      </c>
      <c r="AA2" s="130">
        <v>1</v>
      </c>
      <c r="AB2" s="130">
        <v>105.39</v>
      </c>
      <c r="AC2" s="130"/>
      <c r="AD2" s="130">
        <v>4426.38</v>
      </c>
      <c r="AE2" s="130"/>
      <c r="AF2" s="130"/>
      <c r="AG2"/>
      <c r="AH2" s="133">
        <v>1.1770000000000001E-3</v>
      </c>
      <c r="AI2" s="133">
        <v>5.0666000000000003E-2</v>
      </c>
      <c r="AJ2" s="133">
        <v>1.0690000000000001E-3</v>
      </c>
    </row>
    <row r="3" spans="1:36" x14ac:dyDescent="0.2">
      <c r="A3">
        <v>274</v>
      </c>
      <c r="B3">
        <v>274</v>
      </c>
      <c r="C3" t="s">
        <v>1279</v>
      </c>
      <c r="D3">
        <v>520000472</v>
      </c>
      <c r="E3" t="s">
        <v>429</v>
      </c>
      <c r="F3" t="s">
        <v>1280</v>
      </c>
      <c r="G3" t="s">
        <v>1281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1217</v>
      </c>
      <c r="Q3" t="s">
        <v>65</v>
      </c>
      <c r="R3" t="s">
        <v>57</v>
      </c>
      <c r="S3" t="s">
        <v>1221</v>
      </c>
      <c r="T3" s="130">
        <v>9.73</v>
      </c>
      <c r="U3" s="134">
        <v>50203</v>
      </c>
      <c r="V3" s="133">
        <v>3.2000000000000001E-2</v>
      </c>
      <c r="W3" s="133">
        <v>2.5700000000000001E-2</v>
      </c>
      <c r="X3" t="s">
        <v>620</v>
      </c>
      <c r="Y3"/>
      <c r="Z3" s="130">
        <v>1287000</v>
      </c>
      <c r="AA3" s="130">
        <v>1</v>
      </c>
      <c r="AB3" s="130">
        <v>113.96</v>
      </c>
      <c r="AC3" s="130"/>
      <c r="AD3" s="130">
        <v>1466.6651999999999</v>
      </c>
      <c r="AE3" s="132"/>
      <c r="AF3" s="132"/>
      <c r="AG3"/>
      <c r="AH3" s="133">
        <v>2.61E-4</v>
      </c>
      <c r="AI3" s="133">
        <v>1.6788000000000001E-2</v>
      </c>
      <c r="AJ3" s="133">
        <v>3.5399999999999999E-4</v>
      </c>
    </row>
    <row r="4" spans="1:36" x14ac:dyDescent="0.2">
      <c r="A4">
        <v>274</v>
      </c>
      <c r="B4">
        <v>274</v>
      </c>
      <c r="C4" t="s">
        <v>1224</v>
      </c>
      <c r="D4">
        <v>520000118</v>
      </c>
      <c r="E4" t="s">
        <v>429</v>
      </c>
      <c r="F4" t="s">
        <v>1282</v>
      </c>
      <c r="G4" t="s">
        <v>1283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1226</v>
      </c>
      <c r="Q4" t="s">
        <v>70</v>
      </c>
      <c r="R4" t="s">
        <v>57</v>
      </c>
      <c r="S4" t="s">
        <v>1221</v>
      </c>
      <c r="T4" s="130">
        <v>3.77</v>
      </c>
      <c r="U4" s="134">
        <v>48547</v>
      </c>
      <c r="V4" s="133">
        <v>1.3899999999999999E-2</v>
      </c>
      <c r="W4" s="133">
        <v>2.1899999999999999E-2</v>
      </c>
      <c r="X4" t="s">
        <v>620</v>
      </c>
      <c r="Y4"/>
      <c r="Z4" s="130">
        <v>100100</v>
      </c>
      <c r="AA4" s="130">
        <v>1</v>
      </c>
      <c r="AB4" s="130">
        <v>106.41</v>
      </c>
      <c r="AC4" s="130"/>
      <c r="AD4" s="130">
        <v>106.51640999999999</v>
      </c>
      <c r="AE4" s="132"/>
      <c r="AF4" s="132"/>
      <c r="AG4"/>
      <c r="AH4" s="133">
        <v>7.1000000000000005E-5</v>
      </c>
      <c r="AI4" s="133">
        <v>1.219E-3</v>
      </c>
      <c r="AJ4" s="133">
        <v>2.5000000000000001E-5</v>
      </c>
    </row>
    <row r="5" spans="1:36" x14ac:dyDescent="0.2">
      <c r="A5">
        <v>274</v>
      </c>
      <c r="B5">
        <v>274</v>
      </c>
      <c r="C5" t="s">
        <v>1276</v>
      </c>
      <c r="D5">
        <v>520018078</v>
      </c>
      <c r="E5" t="s">
        <v>429</v>
      </c>
      <c r="F5" t="s">
        <v>1284</v>
      </c>
      <c r="G5" t="s">
        <v>1285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1226</v>
      </c>
      <c r="Q5" t="s">
        <v>70</v>
      </c>
      <c r="R5" t="s">
        <v>57</v>
      </c>
      <c r="S5" t="s">
        <v>1221</v>
      </c>
      <c r="T5" s="130">
        <v>0.49</v>
      </c>
      <c r="U5" s="134">
        <v>46203</v>
      </c>
      <c r="V5" s="133">
        <v>8.3000000000000001E-3</v>
      </c>
      <c r="W5" s="133">
        <v>3.0300000000000001E-2</v>
      </c>
      <c r="X5" t="s">
        <v>620</v>
      </c>
      <c r="Y5"/>
      <c r="Z5" s="130">
        <v>377569</v>
      </c>
      <c r="AA5" s="130">
        <v>1</v>
      </c>
      <c r="AB5" s="130">
        <v>117.19</v>
      </c>
      <c r="AC5" s="130"/>
      <c r="AD5" s="130">
        <v>442.47311000000002</v>
      </c>
      <c r="AE5" s="132"/>
      <c r="AF5" s="132"/>
      <c r="AG5"/>
      <c r="AH5" s="133">
        <v>2.4800000000000001E-4</v>
      </c>
      <c r="AI5" s="133">
        <v>5.0639999999999999E-3</v>
      </c>
      <c r="AJ5" s="133">
        <v>1.06E-4</v>
      </c>
    </row>
    <row r="6" spans="1:36" x14ac:dyDescent="0.2">
      <c r="A6">
        <v>274</v>
      </c>
      <c r="B6">
        <v>274</v>
      </c>
      <c r="C6" t="s">
        <v>1224</v>
      </c>
      <c r="D6">
        <v>520000118</v>
      </c>
      <c r="E6" t="s">
        <v>429</v>
      </c>
      <c r="F6" t="s">
        <v>1286</v>
      </c>
      <c r="G6" t="s">
        <v>1287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1226</v>
      </c>
      <c r="Q6" t="s">
        <v>70</v>
      </c>
      <c r="R6" t="s">
        <v>57</v>
      </c>
      <c r="S6" t="s">
        <v>1221</v>
      </c>
      <c r="T6" s="130">
        <v>1.3</v>
      </c>
      <c r="U6" s="134">
        <v>46872</v>
      </c>
      <c r="V6" s="133">
        <v>6.0000000000000001E-3</v>
      </c>
      <c r="W6" s="133">
        <v>2.4500000000000001E-2</v>
      </c>
      <c r="X6" t="s">
        <v>620</v>
      </c>
      <c r="Y6"/>
      <c r="Z6" s="130">
        <v>386700</v>
      </c>
      <c r="AA6" s="130">
        <v>1</v>
      </c>
      <c r="AB6" s="130">
        <v>116.67</v>
      </c>
      <c r="AC6" s="130"/>
      <c r="AD6" s="130">
        <v>451.16289</v>
      </c>
      <c r="AE6" s="132"/>
      <c r="AF6" s="132"/>
      <c r="AG6"/>
      <c r="AH6" s="133">
        <v>5.7899999999999998E-4</v>
      </c>
      <c r="AI6" s="133">
        <v>5.1640000000000002E-3</v>
      </c>
      <c r="AJ6" s="133">
        <v>1.0900000000000001E-4</v>
      </c>
    </row>
    <row r="7" spans="1:36" x14ac:dyDescent="0.2">
      <c r="A7">
        <v>274</v>
      </c>
      <c r="B7">
        <v>274</v>
      </c>
      <c r="C7" t="s">
        <v>1276</v>
      </c>
      <c r="D7">
        <v>520018078</v>
      </c>
      <c r="E7" t="s">
        <v>429</v>
      </c>
      <c r="F7" t="s">
        <v>1288</v>
      </c>
      <c r="G7" t="s">
        <v>1289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1226</v>
      </c>
      <c r="Q7" t="s">
        <v>70</v>
      </c>
      <c r="R7" t="s">
        <v>57</v>
      </c>
      <c r="S7" t="s">
        <v>1221</v>
      </c>
      <c r="T7" s="130">
        <v>1.9</v>
      </c>
      <c r="U7" s="134">
        <v>46716</v>
      </c>
      <c r="V7" s="133">
        <v>1E-3</v>
      </c>
      <c r="W7" s="133">
        <v>2.3199999999999998E-2</v>
      </c>
      <c r="X7" t="s">
        <v>620</v>
      </c>
      <c r="Y7"/>
      <c r="Z7" s="130">
        <v>5623797</v>
      </c>
      <c r="AA7" s="130">
        <v>1</v>
      </c>
      <c r="AB7" s="130">
        <v>110.39</v>
      </c>
      <c r="AC7" s="130"/>
      <c r="AD7" s="130">
        <v>6208.1095100000002</v>
      </c>
      <c r="AE7" s="132"/>
      <c r="AF7" s="132"/>
      <c r="AG7"/>
      <c r="AH7" s="133">
        <v>1.792E-3</v>
      </c>
      <c r="AI7" s="133">
        <v>7.1060999999999999E-2</v>
      </c>
      <c r="AJ7" s="133">
        <v>1.5E-3</v>
      </c>
    </row>
    <row r="8" spans="1:36" x14ac:dyDescent="0.2">
      <c r="A8">
        <v>274</v>
      </c>
      <c r="B8">
        <v>274</v>
      </c>
      <c r="C8" t="s">
        <v>1224</v>
      </c>
      <c r="D8">
        <v>520000118</v>
      </c>
      <c r="E8" t="s">
        <v>429</v>
      </c>
      <c r="F8" t="s">
        <v>1290</v>
      </c>
      <c r="G8" t="s">
        <v>1291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1292</v>
      </c>
      <c r="Q8" t="s">
        <v>65</v>
      </c>
      <c r="R8" t="s">
        <v>57</v>
      </c>
      <c r="S8" t="s">
        <v>1221</v>
      </c>
      <c r="T8" s="130">
        <v>2.82</v>
      </c>
      <c r="U8" s="134">
        <v>47086</v>
      </c>
      <c r="V8" s="133">
        <v>3.09E-2</v>
      </c>
      <c r="W8" s="133">
        <v>2.4400000000000002E-2</v>
      </c>
      <c r="X8" t="s">
        <v>620</v>
      </c>
      <c r="Y8"/>
      <c r="Z8" s="130">
        <v>600000</v>
      </c>
      <c r="AA8" s="130">
        <v>1</v>
      </c>
      <c r="AB8" s="130">
        <v>111.77</v>
      </c>
      <c r="AC8" s="130"/>
      <c r="AD8" s="130">
        <v>670.62</v>
      </c>
      <c r="AE8" s="132"/>
      <c r="AF8" s="132"/>
      <c r="AG8"/>
      <c r="AH8" s="133">
        <v>6.3100000000000005E-4</v>
      </c>
      <c r="AI8" s="133">
        <v>7.6759999999999997E-3</v>
      </c>
      <c r="AJ8" s="133">
        <v>1.6200000000000001E-4</v>
      </c>
    </row>
    <row r="9" spans="1:36" x14ac:dyDescent="0.2">
      <c r="A9">
        <v>274</v>
      </c>
      <c r="B9">
        <v>274</v>
      </c>
      <c r="C9" t="s">
        <v>1279</v>
      </c>
      <c r="D9">
        <v>520000472</v>
      </c>
      <c r="E9" t="s">
        <v>429</v>
      </c>
      <c r="F9" t="s">
        <v>1293</v>
      </c>
      <c r="G9" t="s">
        <v>1294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156</v>
      </c>
      <c r="O9" t="s">
        <v>62</v>
      </c>
      <c r="P9" t="s">
        <v>1217</v>
      </c>
      <c r="Q9" t="s">
        <v>65</v>
      </c>
      <c r="R9" t="s">
        <v>57</v>
      </c>
      <c r="S9" t="s">
        <v>1221</v>
      </c>
      <c r="T9" s="130">
        <v>9.6999999999999993</v>
      </c>
      <c r="U9" s="134">
        <v>49825</v>
      </c>
      <c r="V9" s="133">
        <v>1.2500000000000001E-2</v>
      </c>
      <c r="W9" s="133">
        <v>2.5600000000000001E-2</v>
      </c>
      <c r="X9" t="s">
        <v>620</v>
      </c>
      <c r="Y9"/>
      <c r="Z9" s="130">
        <v>586000</v>
      </c>
      <c r="AA9" s="130">
        <v>1</v>
      </c>
      <c r="AB9" s="130">
        <v>103.24</v>
      </c>
      <c r="AC9" s="130"/>
      <c r="AD9" s="130">
        <v>604.9864</v>
      </c>
      <c r="AE9" s="132"/>
      <c r="AF9" s="132"/>
      <c r="AG9"/>
      <c r="AH9" s="133">
        <v>1.36E-4</v>
      </c>
      <c r="AI9" s="133">
        <v>6.9239999999999996E-3</v>
      </c>
      <c r="AJ9" s="133">
        <v>1.46E-4</v>
      </c>
    </row>
    <row r="10" spans="1:36" x14ac:dyDescent="0.2">
      <c r="A10">
        <v>274</v>
      </c>
      <c r="B10">
        <v>274</v>
      </c>
      <c r="C10" t="s">
        <v>1295</v>
      </c>
      <c r="D10">
        <v>510960719</v>
      </c>
      <c r="E10" t="s">
        <v>429</v>
      </c>
      <c r="F10" t="s">
        <v>1296</v>
      </c>
      <c r="G10" t="s">
        <v>1297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635</v>
      </c>
      <c r="O10" t="s">
        <v>62</v>
      </c>
      <c r="P10" t="s">
        <v>1298</v>
      </c>
      <c r="Q10" t="s">
        <v>70</v>
      </c>
      <c r="R10" t="s">
        <v>57</v>
      </c>
      <c r="S10" t="s">
        <v>1221</v>
      </c>
      <c r="T10" s="130">
        <v>2.4500000000000002</v>
      </c>
      <c r="U10" s="134">
        <v>47669</v>
      </c>
      <c r="V10" s="133">
        <v>1.34E-2</v>
      </c>
      <c r="W10" s="133">
        <v>2.5499999999999998E-2</v>
      </c>
      <c r="X10" t="s">
        <v>620</v>
      </c>
      <c r="Y10"/>
      <c r="Z10" s="130">
        <v>36977.980000000003</v>
      </c>
      <c r="AA10" s="130">
        <v>1</v>
      </c>
      <c r="AB10" s="130">
        <v>116.05</v>
      </c>
      <c r="AC10" s="130">
        <v>5.2382600000000004</v>
      </c>
      <c r="AD10" s="130">
        <v>48.151209999999999</v>
      </c>
      <c r="AE10" s="132"/>
      <c r="AF10" s="132"/>
      <c r="AG10"/>
      <c r="AH10" s="133">
        <v>1.8E-5</v>
      </c>
      <c r="AI10" s="133">
        <v>5.5000000000000003E-4</v>
      </c>
      <c r="AJ10" s="133">
        <v>1.1E-5</v>
      </c>
    </row>
    <row r="11" spans="1:36" x14ac:dyDescent="0.2">
      <c r="A11">
        <v>274</v>
      </c>
      <c r="B11">
        <v>274</v>
      </c>
      <c r="C11" t="s">
        <v>1299</v>
      </c>
      <c r="D11">
        <v>520032046</v>
      </c>
      <c r="E11" t="s">
        <v>429</v>
      </c>
      <c r="F11" t="s">
        <v>1300</v>
      </c>
      <c r="G11" t="s">
        <v>1301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65</v>
      </c>
      <c r="R11" t="s">
        <v>57</v>
      </c>
      <c r="S11" t="s">
        <v>1221</v>
      </c>
      <c r="T11" s="130">
        <v>2.71</v>
      </c>
      <c r="U11" s="134">
        <v>47950</v>
      </c>
      <c r="V11" s="133">
        <v>1E-3</v>
      </c>
      <c r="W11" s="133">
        <v>2.23E-2</v>
      </c>
      <c r="X11" t="s">
        <v>620</v>
      </c>
      <c r="Y11"/>
      <c r="Z11" s="130">
        <v>1408882</v>
      </c>
      <c r="AA11" s="130">
        <v>1</v>
      </c>
      <c r="AB11" s="130">
        <v>107.55</v>
      </c>
      <c r="AC11" s="130"/>
      <c r="AD11" s="130">
        <v>1515.2525900000001</v>
      </c>
      <c r="AE11" s="132"/>
      <c r="AF11" s="132"/>
      <c r="AG11"/>
      <c r="AH11" s="133">
        <v>6.3100000000000005E-4</v>
      </c>
      <c r="AI11" s="133">
        <v>1.7343999999999998E-2</v>
      </c>
      <c r="AJ11" s="133">
        <v>3.6600000000000001E-4</v>
      </c>
    </row>
    <row r="12" spans="1:36" x14ac:dyDescent="0.2">
      <c r="A12">
        <v>274</v>
      </c>
      <c r="B12">
        <v>274</v>
      </c>
      <c r="C12" t="s">
        <v>1302</v>
      </c>
      <c r="D12">
        <v>520029935</v>
      </c>
      <c r="E12" t="s">
        <v>429</v>
      </c>
      <c r="F12" t="s">
        <v>1303</v>
      </c>
      <c r="G12" t="s">
        <v>1304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1217</v>
      </c>
      <c r="Q12" t="s">
        <v>65</v>
      </c>
      <c r="R12" t="s">
        <v>57</v>
      </c>
      <c r="S12" t="s">
        <v>1221</v>
      </c>
      <c r="T12" s="130">
        <v>3.27</v>
      </c>
      <c r="U12" s="134">
        <v>48441</v>
      </c>
      <c r="V12" s="133">
        <v>2E-3</v>
      </c>
      <c r="W12" s="133">
        <v>2.24E-2</v>
      </c>
      <c r="X12" t="s">
        <v>620</v>
      </c>
      <c r="Y12"/>
      <c r="Z12" s="130">
        <v>4195480.95</v>
      </c>
      <c r="AA12" s="130">
        <v>1</v>
      </c>
      <c r="AB12" s="130">
        <v>107.7</v>
      </c>
      <c r="AC12" s="130"/>
      <c r="AD12" s="130">
        <v>4518.53298</v>
      </c>
      <c r="AE12" s="132"/>
      <c r="AF12" s="132"/>
      <c r="AG12"/>
      <c r="AH12" s="133">
        <v>1.3179999999999999E-3</v>
      </c>
      <c r="AI12" s="133">
        <v>5.1721000000000003E-2</v>
      </c>
      <c r="AJ12" s="133">
        <v>1.091E-3</v>
      </c>
    </row>
    <row r="13" spans="1:36" x14ac:dyDescent="0.2">
      <c r="A13">
        <v>274</v>
      </c>
      <c r="B13">
        <v>274</v>
      </c>
      <c r="C13" t="s">
        <v>1224</v>
      </c>
      <c r="D13">
        <v>520000118</v>
      </c>
      <c r="E13" t="s">
        <v>429</v>
      </c>
      <c r="F13" t="s">
        <v>1305</v>
      </c>
      <c r="G13" t="s">
        <v>1306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1292</v>
      </c>
      <c r="Q13" t="s">
        <v>65</v>
      </c>
      <c r="R13" t="s">
        <v>57</v>
      </c>
      <c r="S13" t="s">
        <v>1221</v>
      </c>
      <c r="T13" s="130">
        <v>0.62</v>
      </c>
      <c r="U13" s="134">
        <v>46251</v>
      </c>
      <c r="V13" s="133">
        <v>2.9700000000000001E-2</v>
      </c>
      <c r="W13" s="133">
        <v>2.7699999999999999E-2</v>
      </c>
      <c r="X13" t="s">
        <v>620</v>
      </c>
      <c r="Y13"/>
      <c r="Z13" s="130">
        <v>300000</v>
      </c>
      <c r="AA13" s="130">
        <v>1</v>
      </c>
      <c r="AB13" s="130">
        <v>119.4</v>
      </c>
      <c r="AC13" s="130"/>
      <c r="AD13" s="130">
        <v>358.2</v>
      </c>
      <c r="AE13" s="132"/>
      <c r="AF13" s="132"/>
      <c r="AG13"/>
      <c r="AH13" s="133">
        <v>4.28E-4</v>
      </c>
      <c r="AI13" s="133">
        <v>4.1000000000000003E-3</v>
      </c>
      <c r="AJ13" s="133">
        <v>8.6000000000000003E-5</v>
      </c>
    </row>
    <row r="14" spans="1:36" x14ac:dyDescent="0.2">
      <c r="A14">
        <v>274</v>
      </c>
      <c r="B14">
        <v>274</v>
      </c>
      <c r="C14" t="s">
        <v>1224</v>
      </c>
      <c r="D14">
        <v>520000118</v>
      </c>
      <c r="E14" t="s">
        <v>429</v>
      </c>
      <c r="F14" t="s">
        <v>1307</v>
      </c>
      <c r="G14" t="s">
        <v>1308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1226</v>
      </c>
      <c r="Q14" t="s">
        <v>70</v>
      </c>
      <c r="R14" t="s">
        <v>57</v>
      </c>
      <c r="S14" t="s">
        <v>1221</v>
      </c>
      <c r="T14" s="130">
        <v>3.37</v>
      </c>
      <c r="U14" s="134">
        <v>48191</v>
      </c>
      <c r="V14" s="133">
        <v>1E-3</v>
      </c>
      <c r="W14" s="133">
        <v>2.1399999999999999E-2</v>
      </c>
      <c r="X14" t="s">
        <v>620</v>
      </c>
      <c r="Y14"/>
      <c r="Z14" s="130">
        <v>333742.03000000003</v>
      </c>
      <c r="AA14" s="130">
        <v>1</v>
      </c>
      <c r="AB14" s="130">
        <v>107.43</v>
      </c>
      <c r="AC14" s="130"/>
      <c r="AD14" s="130">
        <v>358.53906000000001</v>
      </c>
      <c r="AE14" s="132"/>
      <c r="AF14" s="132"/>
      <c r="AG14"/>
      <c r="AH14" s="133">
        <v>3.9500000000000001E-4</v>
      </c>
      <c r="AI14" s="133">
        <v>4.104E-3</v>
      </c>
      <c r="AJ14" s="133">
        <v>8.6000000000000003E-5</v>
      </c>
    </row>
    <row r="15" spans="1:36" x14ac:dyDescent="0.2">
      <c r="A15">
        <v>274</v>
      </c>
      <c r="B15">
        <v>274</v>
      </c>
      <c r="C15" t="s">
        <v>1276</v>
      </c>
      <c r="D15">
        <v>520018078</v>
      </c>
      <c r="E15" t="s">
        <v>429</v>
      </c>
      <c r="F15" t="s">
        <v>1309</v>
      </c>
      <c r="G15" t="s">
        <v>1310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1226</v>
      </c>
      <c r="Q15" t="s">
        <v>70</v>
      </c>
      <c r="R15" t="s">
        <v>57</v>
      </c>
      <c r="S15" t="s">
        <v>1221</v>
      </c>
      <c r="T15" s="130">
        <v>3.9</v>
      </c>
      <c r="U15" s="134">
        <v>47447</v>
      </c>
      <c r="V15" s="133">
        <v>1E-3</v>
      </c>
      <c r="W15" s="133">
        <v>2.1899999999999999E-2</v>
      </c>
      <c r="X15" t="s">
        <v>620</v>
      </c>
      <c r="Y15"/>
      <c r="Z15" s="130">
        <v>1445042</v>
      </c>
      <c r="AA15" s="130">
        <v>1</v>
      </c>
      <c r="AB15" s="130">
        <v>106.2</v>
      </c>
      <c r="AC15" s="130"/>
      <c r="AD15" s="130">
        <v>1534.6346000000001</v>
      </c>
      <c r="AE15" s="132"/>
      <c r="AF15" s="132"/>
      <c r="AG15"/>
      <c r="AH15" s="133">
        <v>3.3700000000000001E-4</v>
      </c>
      <c r="AI15" s="133">
        <v>1.7565999999999998E-2</v>
      </c>
      <c r="AJ15" s="133">
        <v>3.6999999999999999E-4</v>
      </c>
    </row>
    <row r="16" spans="1:36" x14ac:dyDescent="0.2">
      <c r="A16">
        <v>274</v>
      </c>
      <c r="B16">
        <v>274</v>
      </c>
      <c r="C16" t="s">
        <v>1279</v>
      </c>
      <c r="D16">
        <v>520000472</v>
      </c>
      <c r="E16" t="s">
        <v>429</v>
      </c>
      <c r="F16" t="s">
        <v>1311</v>
      </c>
      <c r="G16" t="s">
        <v>1312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1217</v>
      </c>
      <c r="Q16" t="s">
        <v>65</v>
      </c>
      <c r="R16" t="s">
        <v>57</v>
      </c>
      <c r="S16" t="s">
        <v>1221</v>
      </c>
      <c r="T16" s="130">
        <v>2.3199999999999998</v>
      </c>
      <c r="U16" s="134">
        <v>47220</v>
      </c>
      <c r="V16" s="133">
        <v>3.85E-2</v>
      </c>
      <c r="W16" s="133">
        <v>2.3400000000000001E-2</v>
      </c>
      <c r="X16" t="s">
        <v>620</v>
      </c>
      <c r="Y16"/>
      <c r="Z16" s="130">
        <v>11092406.869999999</v>
      </c>
      <c r="AA16" s="130">
        <v>1</v>
      </c>
      <c r="AB16" s="130">
        <v>123.99</v>
      </c>
      <c r="AC16" s="130"/>
      <c r="AD16" s="130">
        <v>13753.475280000001</v>
      </c>
      <c r="AE16" s="132"/>
      <c r="AF16" s="132"/>
      <c r="AG16"/>
      <c r="AH16" s="133">
        <v>4.3889999999999997E-3</v>
      </c>
      <c r="AI16" s="133">
        <v>0.15742900000000001</v>
      </c>
      <c r="AJ16" s="133">
        <v>3.323E-3</v>
      </c>
    </row>
    <row r="17" spans="1:36" x14ac:dyDescent="0.2">
      <c r="A17">
        <v>274</v>
      </c>
      <c r="B17">
        <v>274</v>
      </c>
      <c r="C17" t="s">
        <v>1313</v>
      </c>
      <c r="D17">
        <v>513834200</v>
      </c>
      <c r="E17" t="s">
        <v>429</v>
      </c>
      <c r="F17" t="s">
        <v>1314</v>
      </c>
      <c r="G17" t="s">
        <v>1315</v>
      </c>
      <c r="H17" t="s">
        <v>76</v>
      </c>
      <c r="I17" t="s">
        <v>228</v>
      </c>
      <c r="J17" t="s">
        <v>53</v>
      </c>
      <c r="K17" t="s">
        <v>53</v>
      </c>
      <c r="L17" t="s">
        <v>805</v>
      </c>
      <c r="M17" t="s">
        <v>311</v>
      </c>
      <c r="N17" t="s">
        <v>269</v>
      </c>
      <c r="O17" t="s">
        <v>62</v>
      </c>
      <c r="P17" t="s">
        <v>1316</v>
      </c>
      <c r="Q17" t="s">
        <v>70</v>
      </c>
      <c r="R17" t="s">
        <v>57</v>
      </c>
      <c r="S17" t="s">
        <v>1221</v>
      </c>
      <c r="T17" s="130">
        <v>3.74</v>
      </c>
      <c r="U17" s="134">
        <v>47483</v>
      </c>
      <c r="V17" s="133">
        <v>3.95E-2</v>
      </c>
      <c r="W17" s="133">
        <v>4.0800000000000003E-2</v>
      </c>
      <c r="X17" t="s">
        <v>620</v>
      </c>
      <c r="Y17"/>
      <c r="Z17" s="130">
        <v>26066</v>
      </c>
      <c r="AA17" s="130">
        <v>1</v>
      </c>
      <c r="AB17" s="130">
        <v>99.69</v>
      </c>
      <c r="AC17" s="130"/>
      <c r="AD17" s="130">
        <v>25.985199999999999</v>
      </c>
      <c r="AE17" s="132"/>
      <c r="AF17" s="132"/>
      <c r="AG17"/>
      <c r="AH17" s="133">
        <v>1.08E-4</v>
      </c>
      <c r="AI17" s="133">
        <v>2.9700000000000001E-4</v>
      </c>
      <c r="AJ17" s="133">
        <v>6.0000000000000002E-6</v>
      </c>
    </row>
    <row r="18" spans="1:36" x14ac:dyDescent="0.2">
      <c r="A18">
        <v>274</v>
      </c>
      <c r="B18">
        <v>274</v>
      </c>
      <c r="C18" t="s">
        <v>1317</v>
      </c>
      <c r="D18">
        <v>520010869</v>
      </c>
      <c r="E18" t="s">
        <v>429</v>
      </c>
      <c r="F18" t="s">
        <v>1318</v>
      </c>
      <c r="G18" t="s">
        <v>1319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258</v>
      </c>
      <c r="O18" t="s">
        <v>62</v>
      </c>
      <c r="P18" t="s">
        <v>1217</v>
      </c>
      <c r="Q18" t="s">
        <v>65</v>
      </c>
      <c r="R18" t="s">
        <v>57</v>
      </c>
      <c r="S18" t="s">
        <v>1221</v>
      </c>
      <c r="T18" s="130">
        <v>1.49</v>
      </c>
      <c r="U18" s="134">
        <v>46752</v>
      </c>
      <c r="V18" s="133">
        <v>1E-3</v>
      </c>
      <c r="W18" s="133">
        <v>2.3199999999999998E-2</v>
      </c>
      <c r="X18" t="s">
        <v>620</v>
      </c>
      <c r="Y18"/>
      <c r="Z18" s="130">
        <v>644800</v>
      </c>
      <c r="AA18" s="130">
        <v>1</v>
      </c>
      <c r="AB18" s="130">
        <v>112.46</v>
      </c>
      <c r="AC18" s="130"/>
      <c r="AD18" s="130">
        <v>725.14207999999996</v>
      </c>
      <c r="AE18" s="132"/>
      <c r="AF18" s="132"/>
      <c r="AG18"/>
      <c r="AH18" s="133">
        <v>1.505E-3</v>
      </c>
      <c r="AI18" s="133">
        <v>8.3000000000000001E-3</v>
      </c>
      <c r="AJ18" s="133">
        <v>1.75E-4</v>
      </c>
    </row>
    <row r="19" spans="1:36" x14ac:dyDescent="0.2">
      <c r="A19">
        <v>274</v>
      </c>
      <c r="B19">
        <v>274</v>
      </c>
      <c r="C19" t="s">
        <v>1299</v>
      </c>
      <c r="D19">
        <v>520032046</v>
      </c>
      <c r="E19" t="s">
        <v>429</v>
      </c>
      <c r="F19" t="s">
        <v>1320</v>
      </c>
      <c r="G19" t="s">
        <v>1321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1217</v>
      </c>
      <c r="Q19" t="s">
        <v>65</v>
      </c>
      <c r="R19" t="s">
        <v>57</v>
      </c>
      <c r="S19" t="s">
        <v>1221</v>
      </c>
      <c r="T19" s="130">
        <v>3.73</v>
      </c>
      <c r="U19" s="134">
        <v>48742</v>
      </c>
      <c r="V19" s="133">
        <v>2.06E-2</v>
      </c>
      <c r="W19" s="133">
        <v>2.23E-2</v>
      </c>
      <c r="X19" t="s">
        <v>620</v>
      </c>
      <c r="Y19"/>
      <c r="Z19" s="130">
        <v>2080000</v>
      </c>
      <c r="AA19" s="130">
        <v>1</v>
      </c>
      <c r="AB19" s="130">
        <v>107.55</v>
      </c>
      <c r="AC19" s="130"/>
      <c r="AD19" s="130">
        <v>2237.04</v>
      </c>
      <c r="AE19" s="132"/>
      <c r="AF19" s="132"/>
      <c r="AG19"/>
      <c r="AH19" s="133">
        <v>1.299E-3</v>
      </c>
      <c r="AI19" s="133">
        <v>2.5606E-2</v>
      </c>
      <c r="AJ19" s="133">
        <v>5.4000000000000001E-4</v>
      </c>
    </row>
    <row r="20" spans="1:36" x14ac:dyDescent="0.2">
      <c r="A20">
        <v>274</v>
      </c>
      <c r="B20">
        <v>274</v>
      </c>
      <c r="C20" t="s">
        <v>1322</v>
      </c>
      <c r="D20">
        <v>513436394</v>
      </c>
      <c r="E20" t="s">
        <v>429</v>
      </c>
      <c r="F20" t="s">
        <v>1323</v>
      </c>
      <c r="G20" t="s">
        <v>1324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258</v>
      </c>
      <c r="O20" t="s">
        <v>62</v>
      </c>
      <c r="P20" t="s">
        <v>1217</v>
      </c>
      <c r="Q20" t="s">
        <v>65</v>
      </c>
      <c r="R20" t="s">
        <v>57</v>
      </c>
      <c r="S20" t="s">
        <v>1221</v>
      </c>
      <c r="T20" s="130">
        <v>4.75</v>
      </c>
      <c r="U20" s="134">
        <v>48760</v>
      </c>
      <c r="V20" s="133">
        <v>2.9499999999999998E-2</v>
      </c>
      <c r="W20" s="133">
        <v>2.1999999999999999E-2</v>
      </c>
      <c r="X20" t="s">
        <v>620</v>
      </c>
      <c r="Y20"/>
      <c r="Z20" s="130">
        <v>3745538.9</v>
      </c>
      <c r="AA20" s="130">
        <v>1</v>
      </c>
      <c r="AB20" s="130">
        <v>121.24</v>
      </c>
      <c r="AC20" s="130"/>
      <c r="AD20" s="130">
        <v>4541.0913600000003</v>
      </c>
      <c r="AE20" s="132"/>
      <c r="AF20" s="132"/>
      <c r="AG20"/>
      <c r="AH20" s="133">
        <v>2.7109999999999999E-3</v>
      </c>
      <c r="AI20" s="133">
        <v>5.1978999999999997E-2</v>
      </c>
      <c r="AJ20" s="133">
        <v>1.0970000000000001E-3</v>
      </c>
    </row>
    <row r="21" spans="1:36" x14ac:dyDescent="0.2">
      <c r="A21">
        <v>274</v>
      </c>
      <c r="B21">
        <v>274</v>
      </c>
      <c r="C21" t="s">
        <v>1299</v>
      </c>
      <c r="D21">
        <v>520032046</v>
      </c>
      <c r="E21" t="s">
        <v>429</v>
      </c>
      <c r="F21" t="s">
        <v>1325</v>
      </c>
      <c r="G21" t="s">
        <v>1326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1217</v>
      </c>
      <c r="Q21" t="s">
        <v>65</v>
      </c>
      <c r="R21" t="s">
        <v>57</v>
      </c>
      <c r="S21" t="s">
        <v>1221</v>
      </c>
      <c r="T21" s="130">
        <v>0.47</v>
      </c>
      <c r="U21" s="134">
        <v>46196</v>
      </c>
      <c r="V21" s="133">
        <v>3.8E-3</v>
      </c>
      <c r="W21" s="133">
        <v>2.8299999999999999E-2</v>
      </c>
      <c r="X21" t="s">
        <v>620</v>
      </c>
      <c r="Y21"/>
      <c r="Z21" s="130">
        <v>750000</v>
      </c>
      <c r="AA21" s="130">
        <v>1</v>
      </c>
      <c r="AB21" s="130">
        <v>115.12</v>
      </c>
      <c r="AC21" s="130"/>
      <c r="AD21" s="130">
        <v>863.4</v>
      </c>
      <c r="AE21" s="132"/>
      <c r="AF21" s="132"/>
      <c r="AG21"/>
      <c r="AH21" s="133">
        <v>2.5000000000000001E-4</v>
      </c>
      <c r="AI21" s="133">
        <v>9.8820000000000002E-3</v>
      </c>
      <c r="AJ21" s="133">
        <v>2.0799999999999999E-4</v>
      </c>
    </row>
    <row r="22" spans="1:36" x14ac:dyDescent="0.2">
      <c r="A22">
        <v>274</v>
      </c>
      <c r="B22">
        <v>274</v>
      </c>
      <c r="C22" t="s">
        <v>1317</v>
      </c>
      <c r="D22">
        <v>520010869</v>
      </c>
      <c r="E22" t="s">
        <v>429</v>
      </c>
      <c r="F22" t="s">
        <v>1327</v>
      </c>
      <c r="G22" t="s">
        <v>1328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258</v>
      </c>
      <c r="O22" t="s">
        <v>62</v>
      </c>
      <c r="P22" t="s">
        <v>1217</v>
      </c>
      <c r="Q22" t="s">
        <v>65</v>
      </c>
      <c r="R22" t="s">
        <v>57</v>
      </c>
      <c r="S22" t="s">
        <v>1221</v>
      </c>
      <c r="T22" s="130">
        <v>11.85</v>
      </c>
      <c r="U22" s="134">
        <v>56249</v>
      </c>
      <c r="V22" s="133">
        <v>2.07E-2</v>
      </c>
      <c r="W22" s="133">
        <v>2.6700000000000002E-2</v>
      </c>
      <c r="X22" t="s">
        <v>620</v>
      </c>
      <c r="Y22"/>
      <c r="Z22" s="130">
        <v>12015534.1</v>
      </c>
      <c r="AA22" s="130">
        <v>1</v>
      </c>
      <c r="AB22" s="130">
        <v>108.47</v>
      </c>
      <c r="AC22" s="130"/>
      <c r="AD22" s="130">
        <v>13033.24984</v>
      </c>
      <c r="AE22" s="132"/>
      <c r="AF22" s="132"/>
      <c r="AG22"/>
      <c r="AH22" s="133">
        <v>1.8209999999999999E-3</v>
      </c>
      <c r="AI22" s="133">
        <v>0.14918500000000001</v>
      </c>
      <c r="AJ22" s="133">
        <v>3.1489999999999999E-3</v>
      </c>
    </row>
    <row r="23" spans="1:36" x14ac:dyDescent="0.2">
      <c r="A23">
        <v>274</v>
      </c>
      <c r="B23">
        <v>274</v>
      </c>
      <c r="C23" t="s">
        <v>1299</v>
      </c>
      <c r="D23">
        <v>520032046</v>
      </c>
      <c r="E23" t="s">
        <v>429</v>
      </c>
      <c r="F23" t="s">
        <v>1329</v>
      </c>
      <c r="G23" t="s">
        <v>1330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1217</v>
      </c>
      <c r="Q23" t="s">
        <v>65</v>
      </c>
      <c r="R23" t="s">
        <v>57</v>
      </c>
      <c r="S23" t="s">
        <v>1221</v>
      </c>
      <c r="T23" s="130">
        <v>4.4800000000000004</v>
      </c>
      <c r="U23" s="134">
        <v>47665</v>
      </c>
      <c r="V23" s="133">
        <v>2E-3</v>
      </c>
      <c r="W23" s="133">
        <v>2.2800000000000001E-2</v>
      </c>
      <c r="X23" t="s">
        <v>620</v>
      </c>
      <c r="Y23"/>
      <c r="Z23" s="130">
        <v>2913500</v>
      </c>
      <c r="AA23" s="130">
        <v>1</v>
      </c>
      <c r="AB23" s="130">
        <v>107.79</v>
      </c>
      <c r="AC23" s="130"/>
      <c r="AD23" s="130">
        <v>3140.4616500000002</v>
      </c>
      <c r="AE23" s="132"/>
      <c r="AF23" s="132"/>
      <c r="AG23"/>
      <c r="AH23" s="133">
        <v>8.4199999999999998E-4</v>
      </c>
      <c r="AI23" s="133">
        <v>3.5947E-2</v>
      </c>
      <c r="AJ23" s="133">
        <v>7.5799999999999999E-4</v>
      </c>
    </row>
    <row r="24" spans="1:36" x14ac:dyDescent="0.2">
      <c r="A24">
        <v>274</v>
      </c>
      <c r="B24">
        <v>274</v>
      </c>
      <c r="C24" t="s">
        <v>1295</v>
      </c>
      <c r="D24">
        <v>510960719</v>
      </c>
      <c r="E24" t="s">
        <v>429</v>
      </c>
      <c r="F24" t="s">
        <v>1331</v>
      </c>
      <c r="G24" t="s">
        <v>1332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635</v>
      </c>
      <c r="O24" t="s">
        <v>62</v>
      </c>
      <c r="P24" t="s">
        <v>1298</v>
      </c>
      <c r="Q24" t="s">
        <v>70</v>
      </c>
      <c r="R24" t="s">
        <v>57</v>
      </c>
      <c r="S24" t="s">
        <v>1221</v>
      </c>
      <c r="T24" s="130">
        <v>1.47</v>
      </c>
      <c r="U24" s="134">
        <v>46934</v>
      </c>
      <c r="V24" s="133">
        <v>1.77E-2</v>
      </c>
      <c r="W24" s="133">
        <v>2.5700000000000001E-2</v>
      </c>
      <c r="X24" t="s">
        <v>620</v>
      </c>
      <c r="Y24"/>
      <c r="Z24" s="130">
        <v>1145250</v>
      </c>
      <c r="AA24" s="130">
        <v>1</v>
      </c>
      <c r="AB24" s="130">
        <v>116.62</v>
      </c>
      <c r="AC24" s="130"/>
      <c r="AD24" s="130">
        <v>1335.5905499999999</v>
      </c>
      <c r="AE24" s="132"/>
      <c r="AF24" s="132"/>
      <c r="AG24"/>
      <c r="AH24" s="133">
        <v>4.6999999999999999E-4</v>
      </c>
      <c r="AI24" s="133">
        <v>1.5287E-2</v>
      </c>
      <c r="AJ24" s="133">
        <v>3.2200000000000002E-4</v>
      </c>
    </row>
    <row r="25" spans="1:36" x14ac:dyDescent="0.2">
      <c r="A25">
        <v>274</v>
      </c>
      <c r="B25">
        <v>274</v>
      </c>
      <c r="C25" t="s">
        <v>1333</v>
      </c>
      <c r="D25">
        <v>513893123</v>
      </c>
      <c r="E25" t="s">
        <v>429</v>
      </c>
      <c r="F25" t="s">
        <v>1334</v>
      </c>
      <c r="G25" t="s">
        <v>1335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633</v>
      </c>
      <c r="O25" t="s">
        <v>62</v>
      </c>
      <c r="P25" t="s">
        <v>1336</v>
      </c>
      <c r="Q25" t="s">
        <v>70</v>
      </c>
      <c r="R25" t="s">
        <v>57</v>
      </c>
      <c r="S25" t="s">
        <v>1221</v>
      </c>
      <c r="T25" s="130">
        <v>0.08</v>
      </c>
      <c r="U25" s="134">
        <v>46054</v>
      </c>
      <c r="V25" s="133">
        <v>0.01</v>
      </c>
      <c r="W25" s="133">
        <v>7.7799999999999994E-2</v>
      </c>
      <c r="X25" t="s">
        <v>620</v>
      </c>
      <c r="Y25"/>
      <c r="Z25" s="130">
        <v>27646.57</v>
      </c>
      <c r="AA25" s="130">
        <v>1</v>
      </c>
      <c r="AB25" s="130">
        <v>116.62</v>
      </c>
      <c r="AC25" s="130"/>
      <c r="AD25" s="130">
        <v>32.241430000000001</v>
      </c>
      <c r="AE25" s="132"/>
      <c r="AF25" s="132"/>
      <c r="AG25"/>
      <c r="AH25" s="133">
        <v>8.1700000000000002E-4</v>
      </c>
      <c r="AI25" s="133">
        <v>3.6900000000000002E-4</v>
      </c>
      <c r="AJ25" s="133">
        <v>6.9999999999999999E-6</v>
      </c>
    </row>
    <row r="26" spans="1:36" x14ac:dyDescent="0.2">
      <c r="A26">
        <v>274</v>
      </c>
      <c r="B26">
        <v>274</v>
      </c>
      <c r="C26" t="s">
        <v>1299</v>
      </c>
      <c r="D26">
        <v>520032046</v>
      </c>
      <c r="E26" t="s">
        <v>429</v>
      </c>
      <c r="F26" t="s">
        <v>1337</v>
      </c>
      <c r="G26" t="s">
        <v>1338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1217</v>
      </c>
      <c r="Q26" t="s">
        <v>65</v>
      </c>
      <c r="R26" t="s">
        <v>57</v>
      </c>
      <c r="S26" t="s">
        <v>1221</v>
      </c>
      <c r="T26" s="130">
        <v>1.73</v>
      </c>
      <c r="U26" s="134">
        <v>46658</v>
      </c>
      <c r="V26" s="133">
        <v>1.2200000000000001E-2</v>
      </c>
      <c r="W26" s="133">
        <v>2.3300000000000001E-2</v>
      </c>
      <c r="X26" t="s">
        <v>620</v>
      </c>
      <c r="Y26"/>
      <c r="Z26" s="130">
        <v>381114</v>
      </c>
      <c r="AA26" s="130">
        <v>1</v>
      </c>
      <c r="AB26" s="130">
        <v>117.28</v>
      </c>
      <c r="AC26" s="130"/>
      <c r="AD26" s="130">
        <v>446.97050000000002</v>
      </c>
      <c r="AE26" s="132"/>
      <c r="AF26" s="132"/>
      <c r="AG26"/>
      <c r="AH26" s="133">
        <v>1.26E-4</v>
      </c>
      <c r="AI26" s="133">
        <v>5.1159999999999999E-3</v>
      </c>
      <c r="AJ26" s="133">
        <v>1.08E-4</v>
      </c>
    </row>
    <row r="27" spans="1:36" x14ac:dyDescent="0.2">
      <c r="A27">
        <v>274</v>
      </c>
      <c r="B27">
        <v>274</v>
      </c>
      <c r="C27" t="s">
        <v>1333</v>
      </c>
      <c r="D27">
        <v>513893123</v>
      </c>
      <c r="E27" t="s">
        <v>429</v>
      </c>
      <c r="F27" t="s">
        <v>1339</v>
      </c>
      <c r="G27" t="s">
        <v>1340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633</v>
      </c>
      <c r="O27" t="s">
        <v>62</v>
      </c>
      <c r="P27" t="s">
        <v>1336</v>
      </c>
      <c r="Q27" t="s">
        <v>70</v>
      </c>
      <c r="R27" t="s">
        <v>57</v>
      </c>
      <c r="S27" t="s">
        <v>1221</v>
      </c>
      <c r="T27" s="130">
        <v>0.73</v>
      </c>
      <c r="U27" s="134">
        <v>46477</v>
      </c>
      <c r="V27" s="133">
        <v>3.5400000000000001E-2</v>
      </c>
      <c r="W27" s="133">
        <v>3.2099999999999997E-2</v>
      </c>
      <c r="X27" t="s">
        <v>620</v>
      </c>
      <c r="Y27"/>
      <c r="Z27" s="130">
        <v>226448.25</v>
      </c>
      <c r="AA27" s="130">
        <v>1</v>
      </c>
      <c r="AB27" s="130">
        <v>110.78</v>
      </c>
      <c r="AC27" s="130"/>
      <c r="AD27" s="130">
        <v>250.85937000000001</v>
      </c>
      <c r="AE27" s="132"/>
      <c r="AF27" s="132"/>
      <c r="AG27"/>
      <c r="AH27" s="133">
        <v>2.7E-4</v>
      </c>
      <c r="AI27" s="133">
        <v>2.8709999999999999E-3</v>
      </c>
      <c r="AJ27" s="133">
        <v>6.0000000000000002E-5</v>
      </c>
    </row>
    <row r="28" spans="1:36" x14ac:dyDescent="0.2">
      <c r="A28">
        <v>274</v>
      </c>
      <c r="B28">
        <v>274</v>
      </c>
      <c r="C28" t="s">
        <v>1279</v>
      </c>
      <c r="D28">
        <v>520000472</v>
      </c>
      <c r="E28" t="s">
        <v>429</v>
      </c>
      <c r="F28" t="s">
        <v>1341</v>
      </c>
      <c r="G28" t="s">
        <v>1342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156</v>
      </c>
      <c r="O28" t="s">
        <v>62</v>
      </c>
      <c r="P28" t="s">
        <v>1217</v>
      </c>
      <c r="Q28" t="s">
        <v>65</v>
      </c>
      <c r="R28" t="s">
        <v>57</v>
      </c>
      <c r="S28" t="s">
        <v>1221</v>
      </c>
      <c r="T28" s="130">
        <v>4.68</v>
      </c>
      <c r="U28" s="134">
        <v>48112</v>
      </c>
      <c r="V28" s="133">
        <v>2.3900000000000001E-2</v>
      </c>
      <c r="W28" s="133">
        <v>2.3099999999999999E-2</v>
      </c>
      <c r="X28" t="s">
        <v>620</v>
      </c>
      <c r="Y28"/>
      <c r="Z28" s="130">
        <v>3431000</v>
      </c>
      <c r="AA28" s="130">
        <v>1</v>
      </c>
      <c r="AB28" s="130">
        <v>118.92</v>
      </c>
      <c r="AC28" s="130"/>
      <c r="AD28" s="130">
        <v>4080.1451999999999</v>
      </c>
      <c r="AE28" s="132"/>
      <c r="AF28" s="132"/>
      <c r="AG28"/>
      <c r="AH28" s="133">
        <v>8.8199999999999997E-4</v>
      </c>
      <c r="AI28" s="133">
        <v>4.6703000000000001E-2</v>
      </c>
      <c r="AJ28" s="133">
        <v>9.8499999999999998E-4</v>
      </c>
    </row>
    <row r="29" spans="1:36" x14ac:dyDescent="0.2">
      <c r="A29">
        <v>274</v>
      </c>
      <c r="B29">
        <v>274</v>
      </c>
      <c r="C29" t="s">
        <v>1295</v>
      </c>
      <c r="D29">
        <v>510960719</v>
      </c>
      <c r="E29" t="s">
        <v>429</v>
      </c>
      <c r="F29" t="s">
        <v>1343</v>
      </c>
      <c r="G29" t="s">
        <v>1344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635</v>
      </c>
      <c r="O29" t="s">
        <v>62</v>
      </c>
      <c r="P29" t="s">
        <v>1298</v>
      </c>
      <c r="Q29" t="s">
        <v>70</v>
      </c>
      <c r="R29" t="s">
        <v>57</v>
      </c>
      <c r="S29" t="s">
        <v>1221</v>
      </c>
      <c r="T29" s="130">
        <v>11.7</v>
      </c>
      <c r="U29" s="134">
        <v>53329</v>
      </c>
      <c r="V29" s="133">
        <v>3.6700000000000003E-2</v>
      </c>
      <c r="W29" s="133">
        <v>2.92E-2</v>
      </c>
      <c r="X29" t="s">
        <v>620</v>
      </c>
      <c r="Y29"/>
      <c r="Z29" s="130">
        <v>1882000</v>
      </c>
      <c r="AA29" s="130">
        <v>1</v>
      </c>
      <c r="AB29" s="130">
        <v>113.25</v>
      </c>
      <c r="AC29" s="130">
        <v>35.844700000000003</v>
      </c>
      <c r="AD29" s="130">
        <v>2167.2096999999999</v>
      </c>
      <c r="AE29" s="132"/>
      <c r="AF29" s="132"/>
      <c r="AG29"/>
      <c r="AH29" s="133">
        <v>3.6900000000000002E-4</v>
      </c>
      <c r="AI29" s="133">
        <v>2.4806000000000002E-2</v>
      </c>
      <c r="AJ29" s="133">
        <v>5.2300000000000003E-4</v>
      </c>
    </row>
    <row r="30" spans="1:36" x14ac:dyDescent="0.2">
      <c r="A30">
        <v>274</v>
      </c>
      <c r="B30">
        <v>274</v>
      </c>
      <c r="C30" t="s">
        <v>1299</v>
      </c>
      <c r="D30">
        <v>520032046</v>
      </c>
      <c r="E30" t="s">
        <v>429</v>
      </c>
      <c r="F30" t="s">
        <v>1345</v>
      </c>
      <c r="G30" t="s">
        <v>1346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256</v>
      </c>
      <c r="O30" t="s">
        <v>62</v>
      </c>
      <c r="P30" t="s">
        <v>1217</v>
      </c>
      <c r="Q30" t="s">
        <v>65</v>
      </c>
      <c r="R30" t="s">
        <v>57</v>
      </c>
      <c r="S30" t="s">
        <v>1221</v>
      </c>
      <c r="T30" s="130">
        <v>2.8</v>
      </c>
      <c r="U30" s="134">
        <v>47048</v>
      </c>
      <c r="V30" s="133">
        <v>1E-3</v>
      </c>
      <c r="W30" s="133">
        <v>2.1899999999999999E-2</v>
      </c>
      <c r="X30" t="s">
        <v>620</v>
      </c>
      <c r="Y30"/>
      <c r="Z30" s="130">
        <v>7344918</v>
      </c>
      <c r="AA30" s="130">
        <v>1</v>
      </c>
      <c r="AB30" s="130">
        <v>108.71</v>
      </c>
      <c r="AC30" s="132"/>
      <c r="AD30" s="130">
        <v>7984.6603599999999</v>
      </c>
      <c r="AE30" s="132"/>
      <c r="AF30" s="132"/>
      <c r="AG30"/>
      <c r="AH30" s="133">
        <v>2.1740000000000002E-3</v>
      </c>
      <c r="AI30" s="133">
        <v>9.1396000000000005E-2</v>
      </c>
      <c r="AJ30" s="133">
        <v>1.9289999999999999E-3</v>
      </c>
    </row>
    <row r="31" spans="1:36" x14ac:dyDescent="0.2">
      <c r="A31">
        <v>274</v>
      </c>
      <c r="B31">
        <v>274</v>
      </c>
      <c r="C31" t="s">
        <v>1299</v>
      </c>
      <c r="D31">
        <v>520032046</v>
      </c>
      <c r="E31" t="s">
        <v>429</v>
      </c>
      <c r="F31" t="s">
        <v>1347</v>
      </c>
      <c r="G31" t="s">
        <v>1348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1217</v>
      </c>
      <c r="Q31" t="s">
        <v>65</v>
      </c>
      <c r="R31" t="s">
        <v>57</v>
      </c>
      <c r="S31" t="s">
        <v>1221</v>
      </c>
      <c r="T31" s="130">
        <v>4.2699999999999996</v>
      </c>
      <c r="U31" s="134">
        <v>48938</v>
      </c>
      <c r="V31" s="133">
        <v>1.9900000000000001E-2</v>
      </c>
      <c r="W31" s="133">
        <v>2.2800000000000001E-2</v>
      </c>
      <c r="X31" t="s">
        <v>620</v>
      </c>
      <c r="Y31"/>
      <c r="Z31" s="130">
        <v>3360000</v>
      </c>
      <c r="AA31" s="130">
        <v>1</v>
      </c>
      <c r="AB31" s="130">
        <v>104.63</v>
      </c>
      <c r="AC31" s="132"/>
      <c r="AD31" s="130">
        <v>3515.5680000000002</v>
      </c>
      <c r="AE31" s="132"/>
      <c r="AF31" s="132"/>
      <c r="AG31"/>
      <c r="AH31" s="133">
        <v>1.555E-3</v>
      </c>
      <c r="AI31" s="133">
        <v>4.0239999999999998E-2</v>
      </c>
      <c r="AJ31" s="133">
        <v>8.4900000000000004E-4</v>
      </c>
    </row>
    <row r="32" spans="1:36" x14ac:dyDescent="0.2">
      <c r="A32">
        <v>274</v>
      </c>
      <c r="B32">
        <v>274</v>
      </c>
      <c r="C32" t="s">
        <v>1299</v>
      </c>
      <c r="D32">
        <v>520032046</v>
      </c>
      <c r="E32" t="s">
        <v>429</v>
      </c>
      <c r="F32" t="s">
        <v>1349</v>
      </c>
      <c r="G32" t="s">
        <v>1350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256</v>
      </c>
      <c r="O32" t="s">
        <v>62</v>
      </c>
      <c r="P32" t="s">
        <v>1217</v>
      </c>
      <c r="Q32" t="s">
        <v>65</v>
      </c>
      <c r="R32" t="s">
        <v>57</v>
      </c>
      <c r="S32" t="s">
        <v>1221</v>
      </c>
      <c r="T32" s="130">
        <v>3.33</v>
      </c>
      <c r="U32" s="134">
        <v>48190</v>
      </c>
      <c r="V32" s="133">
        <v>1.6400000000000001E-2</v>
      </c>
      <c r="W32" s="133">
        <v>2.1899999999999999E-2</v>
      </c>
      <c r="X32" t="s">
        <v>620</v>
      </c>
      <c r="Y32"/>
      <c r="Z32" s="130">
        <v>344017.2</v>
      </c>
      <c r="AA32" s="130">
        <v>1</v>
      </c>
      <c r="AB32" s="130">
        <v>107.68</v>
      </c>
      <c r="AC32" s="132"/>
      <c r="AD32" s="130">
        <v>370.43772000000001</v>
      </c>
      <c r="AE32" s="132"/>
      <c r="AF32" s="132"/>
      <c r="AG32"/>
      <c r="AH32" s="133">
        <v>4.26E-4</v>
      </c>
      <c r="AI32" s="133">
        <v>4.2399999999999998E-3</v>
      </c>
      <c r="AJ32" s="133">
        <v>8.8999999999999995E-5</v>
      </c>
    </row>
    <row r="33" spans="1:36" x14ac:dyDescent="0.2">
      <c r="A33">
        <v>274</v>
      </c>
      <c r="B33">
        <v>274</v>
      </c>
      <c r="C33" t="s">
        <v>1279</v>
      </c>
      <c r="D33">
        <v>520000472</v>
      </c>
      <c r="E33" t="s">
        <v>429</v>
      </c>
      <c r="F33" t="s">
        <v>1351</v>
      </c>
      <c r="G33" t="s">
        <v>1352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156</v>
      </c>
      <c r="O33" t="s">
        <v>62</v>
      </c>
      <c r="P33" t="s">
        <v>1217</v>
      </c>
      <c r="Q33" t="s">
        <v>65</v>
      </c>
      <c r="R33" t="s">
        <v>57</v>
      </c>
      <c r="S33" t="s">
        <v>1221</v>
      </c>
      <c r="T33" s="130">
        <v>6.74</v>
      </c>
      <c r="U33" s="134">
        <v>48742</v>
      </c>
      <c r="V33" s="133">
        <v>0.03</v>
      </c>
      <c r="W33" s="133">
        <v>2.3800000000000002E-2</v>
      </c>
      <c r="X33" t="s">
        <v>620</v>
      </c>
      <c r="Y33"/>
      <c r="Z33" s="130">
        <v>1976000</v>
      </c>
      <c r="AA33" s="130">
        <v>1</v>
      </c>
      <c r="AB33" s="130">
        <v>111.73</v>
      </c>
      <c r="AC33" s="132"/>
      <c r="AD33" s="130">
        <v>2207.7847999999999</v>
      </c>
      <c r="AE33" s="132"/>
      <c r="AF33" s="132"/>
      <c r="AG33"/>
      <c r="AH33" s="133">
        <v>4.84E-4</v>
      </c>
      <c r="AI33" s="133">
        <v>2.5270999999999998E-2</v>
      </c>
      <c r="AJ33" s="133">
        <v>5.3300000000000005E-4</v>
      </c>
    </row>
    <row r="34" spans="1:36" x14ac:dyDescent="0.2">
      <c r="A34">
        <v>274</v>
      </c>
      <c r="B34">
        <v>274</v>
      </c>
      <c r="C34" t="s">
        <v>1353</v>
      </c>
      <c r="D34" t="s">
        <v>1354</v>
      </c>
      <c r="E34" t="s">
        <v>430</v>
      </c>
      <c r="F34" t="s">
        <v>1355</v>
      </c>
      <c r="G34" t="s">
        <v>1356</v>
      </c>
      <c r="H34" t="s">
        <v>76</v>
      </c>
      <c r="I34" t="s">
        <v>230</v>
      </c>
      <c r="J34" t="s">
        <v>61</v>
      </c>
      <c r="K34" t="s">
        <v>314</v>
      </c>
      <c r="L34" t="s">
        <v>805</v>
      </c>
      <c r="M34" t="s">
        <v>102</v>
      </c>
      <c r="N34" t="s">
        <v>899</v>
      </c>
      <c r="O34" t="s">
        <v>62</v>
      </c>
      <c r="P34" t="s">
        <v>1357</v>
      </c>
      <c r="Q34" t="s">
        <v>84</v>
      </c>
      <c r="R34" t="s">
        <v>57</v>
      </c>
      <c r="S34" t="s">
        <v>1218</v>
      </c>
      <c r="T34" s="130">
        <v>5.08</v>
      </c>
      <c r="U34" s="134">
        <v>48014</v>
      </c>
      <c r="V34" s="133">
        <v>2.7E-2</v>
      </c>
      <c r="W34" s="133">
        <v>4.6399999999999997E-2</v>
      </c>
      <c r="X34" t="s">
        <v>620</v>
      </c>
      <c r="Y34"/>
      <c r="Z34" s="130">
        <v>25000</v>
      </c>
      <c r="AA34" s="130">
        <v>3.19</v>
      </c>
      <c r="AB34" s="130">
        <v>91.075299999999999</v>
      </c>
      <c r="AC34" s="132"/>
      <c r="AD34" s="130">
        <v>72.632549999999995</v>
      </c>
      <c r="AE34" s="132"/>
      <c r="AF34" s="132"/>
      <c r="AG34"/>
      <c r="AH34" s="133">
        <v>3.3000000000000003E-5</v>
      </c>
      <c r="AI34" s="133">
        <v>8.3100000000000003E-4</v>
      </c>
      <c r="AJ34" s="133">
        <v>1.7E-5</v>
      </c>
    </row>
    <row r="35" spans="1:36" x14ac:dyDescent="0.2">
      <c r="A35">
        <v>274</v>
      </c>
      <c r="B35">
        <v>274</v>
      </c>
      <c r="C35" t="s">
        <v>1358</v>
      </c>
      <c r="D35" t="s">
        <v>1359</v>
      </c>
      <c r="E35" t="s">
        <v>430</v>
      </c>
      <c r="F35" t="s">
        <v>1360</v>
      </c>
      <c r="G35" t="s">
        <v>1361</v>
      </c>
      <c r="H35" t="s">
        <v>76</v>
      </c>
      <c r="I35" t="s">
        <v>230</v>
      </c>
      <c r="J35" t="s">
        <v>61</v>
      </c>
      <c r="K35" t="s">
        <v>314</v>
      </c>
      <c r="L35" t="s">
        <v>805</v>
      </c>
      <c r="M35" t="s">
        <v>102</v>
      </c>
      <c r="N35" t="s">
        <v>901</v>
      </c>
      <c r="O35" t="s">
        <v>62</v>
      </c>
      <c r="P35" t="s">
        <v>1357</v>
      </c>
      <c r="Q35" t="s">
        <v>84</v>
      </c>
      <c r="R35" t="s">
        <v>57</v>
      </c>
      <c r="S35" t="s">
        <v>1218</v>
      </c>
      <c r="T35" s="130">
        <v>6.26</v>
      </c>
      <c r="U35" s="134">
        <v>48837</v>
      </c>
      <c r="V35" s="133">
        <v>5.8749999999999997E-2</v>
      </c>
      <c r="W35" s="133">
        <v>4.9099999999999998E-2</v>
      </c>
      <c r="X35" t="s">
        <v>620</v>
      </c>
      <c r="Y35"/>
      <c r="Z35" s="130">
        <v>18000</v>
      </c>
      <c r="AA35" s="130">
        <v>3.19</v>
      </c>
      <c r="AB35" s="130">
        <v>108.2303</v>
      </c>
      <c r="AC35" s="132"/>
      <c r="AD35" s="130">
        <v>62.14584</v>
      </c>
      <c r="AE35" s="132"/>
      <c r="AF35" s="132"/>
      <c r="AG35"/>
      <c r="AH35" s="133">
        <v>2.0000000000000002E-5</v>
      </c>
      <c r="AI35" s="133">
        <v>7.1100000000000004E-4</v>
      </c>
      <c r="AJ35" s="133">
        <v>1.5E-5</v>
      </c>
    </row>
    <row r="36" spans="1:36" x14ac:dyDescent="0.2">
      <c r="A36">
        <v>274</v>
      </c>
      <c r="B36">
        <v>274</v>
      </c>
      <c r="C36" t="s">
        <v>1279</v>
      </c>
      <c r="D36">
        <v>520000472</v>
      </c>
      <c r="E36" t="s">
        <v>429</v>
      </c>
      <c r="F36" t="s">
        <v>1362</v>
      </c>
      <c r="G36" t="s">
        <v>1363</v>
      </c>
      <c r="H36" t="s">
        <v>76</v>
      </c>
      <c r="I36" t="s">
        <v>230</v>
      </c>
      <c r="J36" t="s">
        <v>61</v>
      </c>
      <c r="K36" t="s">
        <v>53</v>
      </c>
      <c r="L36" t="s">
        <v>805</v>
      </c>
      <c r="M36" t="s">
        <v>102</v>
      </c>
      <c r="N36" t="s">
        <v>905</v>
      </c>
      <c r="O36" t="s">
        <v>62</v>
      </c>
      <c r="P36" t="s">
        <v>1364</v>
      </c>
      <c r="Q36" t="s">
        <v>84</v>
      </c>
      <c r="R36" t="s">
        <v>57</v>
      </c>
      <c r="S36" t="s">
        <v>1218</v>
      </c>
      <c r="T36" s="130">
        <v>16.27</v>
      </c>
      <c r="U36" s="134">
        <v>71939</v>
      </c>
      <c r="V36" s="133">
        <v>8.1000000000000003E-2</v>
      </c>
      <c r="W36" s="133">
        <v>6.2600000000000003E-2</v>
      </c>
      <c r="X36" t="s">
        <v>620</v>
      </c>
      <c r="Y36"/>
      <c r="Z36" s="130">
        <v>200000</v>
      </c>
      <c r="AA36" s="130">
        <v>3.19</v>
      </c>
      <c r="AB36" s="130">
        <v>131.15350000000001</v>
      </c>
      <c r="AC36" s="132"/>
      <c r="AD36" s="130">
        <v>836.75932999999998</v>
      </c>
      <c r="AE36" s="132"/>
      <c r="AF36" s="132"/>
      <c r="AG36"/>
      <c r="AH36" s="133">
        <v>1.6000000000000001E-3</v>
      </c>
      <c r="AI36" s="133">
        <v>9.5770000000000004E-3</v>
      </c>
      <c r="AJ36" s="133">
        <v>2.02E-4</v>
      </c>
    </row>
    <row r="37" spans="1:36" x14ac:dyDescent="0.2">
      <c r="A37">
        <v>274</v>
      </c>
      <c r="B37">
        <v>274</v>
      </c>
      <c r="C37" t="s">
        <v>1365</v>
      </c>
      <c r="D37" t="s">
        <v>1366</v>
      </c>
      <c r="E37" t="s">
        <v>430</v>
      </c>
      <c r="F37" t="s">
        <v>1367</v>
      </c>
      <c r="G37" t="s">
        <v>1368</v>
      </c>
      <c r="H37" t="s">
        <v>76</v>
      </c>
      <c r="I37" t="s">
        <v>230</v>
      </c>
      <c r="J37" t="s">
        <v>61</v>
      </c>
      <c r="K37" t="s">
        <v>1166</v>
      </c>
      <c r="L37" t="s">
        <v>805</v>
      </c>
      <c r="M37" t="s">
        <v>488</v>
      </c>
      <c r="N37" t="s">
        <v>867</v>
      </c>
      <c r="O37" t="s">
        <v>62</v>
      </c>
      <c r="P37" t="s">
        <v>1273</v>
      </c>
      <c r="Q37" t="s">
        <v>84</v>
      </c>
      <c r="R37" t="s">
        <v>57</v>
      </c>
      <c r="S37" t="s">
        <v>1218</v>
      </c>
      <c r="T37" s="130">
        <v>1.91</v>
      </c>
      <c r="U37" s="134">
        <v>46769</v>
      </c>
      <c r="V37" s="133">
        <v>5.7500000000000002E-2</v>
      </c>
      <c r="W37" s="133">
        <v>4.1399999999999999E-2</v>
      </c>
      <c r="X37" t="s">
        <v>620</v>
      </c>
      <c r="Y37"/>
      <c r="Z37" s="130">
        <v>26000</v>
      </c>
      <c r="AA37" s="130">
        <v>3.19</v>
      </c>
      <c r="AB37" s="130">
        <v>105.8116</v>
      </c>
      <c r="AC37" s="132"/>
      <c r="AD37" s="130">
        <v>87.760140000000007</v>
      </c>
      <c r="AE37" s="132"/>
      <c r="AF37" s="132"/>
      <c r="AG37"/>
      <c r="AH37" s="133">
        <v>2.5999999999999998E-5</v>
      </c>
      <c r="AI37" s="133">
        <v>1.0039999999999999E-3</v>
      </c>
      <c r="AJ37" s="133">
        <v>2.0999999999999999E-5</v>
      </c>
    </row>
    <row r="38" spans="1:36" x14ac:dyDescent="0.2">
      <c r="A38">
        <v>274</v>
      </c>
      <c r="B38">
        <v>274</v>
      </c>
      <c r="C38" t="s">
        <v>1369</v>
      </c>
      <c r="D38" t="s">
        <v>1370</v>
      </c>
      <c r="E38" t="s">
        <v>430</v>
      </c>
      <c r="F38" t="s">
        <v>1371</v>
      </c>
      <c r="G38" t="s">
        <v>1372</v>
      </c>
      <c r="H38" t="s">
        <v>76</v>
      </c>
      <c r="I38" t="s">
        <v>230</v>
      </c>
      <c r="J38" t="s">
        <v>61</v>
      </c>
      <c r="K38" t="s">
        <v>188</v>
      </c>
      <c r="L38" t="s">
        <v>805</v>
      </c>
      <c r="M38" t="s">
        <v>489</v>
      </c>
      <c r="N38" t="s">
        <v>901</v>
      </c>
      <c r="O38" t="s">
        <v>62</v>
      </c>
      <c r="P38" t="s">
        <v>1373</v>
      </c>
      <c r="Q38" t="s">
        <v>96</v>
      </c>
      <c r="R38" t="s">
        <v>57</v>
      </c>
      <c r="S38" t="s">
        <v>1218</v>
      </c>
      <c r="T38" s="130">
        <v>4.47</v>
      </c>
      <c r="U38" s="134">
        <v>47789</v>
      </c>
      <c r="V38" s="133">
        <v>3.4209999999999997E-2</v>
      </c>
      <c r="W38" s="133">
        <v>4.5699999999999998E-2</v>
      </c>
      <c r="X38" t="s">
        <v>620</v>
      </c>
      <c r="Y38"/>
      <c r="Z38" s="130">
        <v>44000</v>
      </c>
      <c r="AA38" s="130">
        <v>3.19</v>
      </c>
      <c r="AB38" s="130">
        <v>95.811800000000005</v>
      </c>
      <c r="AC38" s="132"/>
      <c r="AD38" s="130">
        <v>134.48143999999999</v>
      </c>
      <c r="AE38" s="132"/>
      <c r="AF38" s="132"/>
      <c r="AG38"/>
      <c r="AH38" s="133">
        <v>4.3999999999999999E-5</v>
      </c>
      <c r="AI38" s="133">
        <v>1.539E-3</v>
      </c>
      <c r="AJ38" s="133">
        <v>3.1999999999999999E-5</v>
      </c>
    </row>
    <row r="39" spans="1:36" x14ac:dyDescent="0.2">
      <c r="A39">
        <v>274</v>
      </c>
      <c r="B39">
        <v>274</v>
      </c>
      <c r="C39" t="s">
        <v>1374</v>
      </c>
      <c r="D39" t="s">
        <v>1375</v>
      </c>
      <c r="E39" t="s">
        <v>430</v>
      </c>
      <c r="F39" t="s">
        <v>1376</v>
      </c>
      <c r="G39" t="s">
        <v>1377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102</v>
      </c>
      <c r="N39" t="s">
        <v>862</v>
      </c>
      <c r="O39" t="s">
        <v>62</v>
      </c>
      <c r="P39" t="s">
        <v>1364</v>
      </c>
      <c r="Q39" t="s">
        <v>84</v>
      </c>
      <c r="R39" t="s">
        <v>57</v>
      </c>
      <c r="S39" t="s">
        <v>1218</v>
      </c>
      <c r="T39" s="130">
        <v>3.71</v>
      </c>
      <c r="U39" s="134">
        <v>47529</v>
      </c>
      <c r="V39" s="133">
        <v>5.1499999999999997E-2</v>
      </c>
      <c r="W39" s="133">
        <v>4.36E-2</v>
      </c>
      <c r="X39" t="s">
        <v>620</v>
      </c>
      <c r="Y39"/>
      <c r="Z39" s="130">
        <v>24000</v>
      </c>
      <c r="AA39" s="130">
        <v>3.19</v>
      </c>
      <c r="AB39" s="130">
        <v>105.02670000000001</v>
      </c>
      <c r="AC39" s="132"/>
      <c r="AD39" s="130">
        <v>80.408439999999999</v>
      </c>
      <c r="AE39" s="132"/>
      <c r="AF39" s="132"/>
      <c r="AG39"/>
      <c r="AH39" s="133">
        <v>3.6000000000000001E-5</v>
      </c>
      <c r="AI39" s="133">
        <v>9.2000000000000003E-4</v>
      </c>
      <c r="AJ39" s="133">
        <v>1.9000000000000001E-5</v>
      </c>
    </row>
    <row r="40" spans="1:36" x14ac:dyDescent="0.2">
      <c r="A40">
        <v>274</v>
      </c>
      <c r="B40">
        <v>274</v>
      </c>
      <c r="C40" t="s">
        <v>1378</v>
      </c>
      <c r="D40" t="s">
        <v>1379</v>
      </c>
      <c r="E40" t="s">
        <v>430</v>
      </c>
      <c r="F40" t="s">
        <v>1380</v>
      </c>
      <c r="G40" t="s">
        <v>1381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476</v>
      </c>
      <c r="N40" t="s">
        <v>1140</v>
      </c>
      <c r="O40" t="s">
        <v>62</v>
      </c>
      <c r="P40" t="s">
        <v>1373</v>
      </c>
      <c r="Q40" t="s">
        <v>96</v>
      </c>
      <c r="R40" t="s">
        <v>57</v>
      </c>
      <c r="S40" t="s">
        <v>1218</v>
      </c>
      <c r="T40" s="130">
        <v>1.48</v>
      </c>
      <c r="U40" s="134">
        <v>46583</v>
      </c>
      <c r="V40" s="133">
        <v>4.1250000000000002E-2</v>
      </c>
      <c r="W40" s="133">
        <v>4.2000000000000003E-2</v>
      </c>
      <c r="X40" t="s">
        <v>620</v>
      </c>
      <c r="Y40"/>
      <c r="Z40" s="130">
        <v>5000</v>
      </c>
      <c r="AA40" s="130">
        <v>3.19</v>
      </c>
      <c r="AB40" s="130">
        <v>101.8653</v>
      </c>
      <c r="AC40" s="132"/>
      <c r="AD40" s="130">
        <v>16.247520000000002</v>
      </c>
      <c r="AE40" s="132"/>
      <c r="AF40" s="132"/>
      <c r="AG40"/>
      <c r="AH40" s="133">
        <v>1.2E-5</v>
      </c>
      <c r="AI40" s="133">
        <v>1.85E-4</v>
      </c>
      <c r="AJ40" s="133">
        <v>3.0000000000000001E-6</v>
      </c>
    </row>
    <row r="41" spans="1:36" x14ac:dyDescent="0.2">
      <c r="A41">
        <v>274</v>
      </c>
      <c r="B41">
        <v>274</v>
      </c>
      <c r="C41" t="s">
        <v>1382</v>
      </c>
      <c r="D41" t="s">
        <v>1383</v>
      </c>
      <c r="E41" t="s">
        <v>430</v>
      </c>
      <c r="F41" t="s">
        <v>1384</v>
      </c>
      <c r="G41" t="s">
        <v>1385</v>
      </c>
      <c r="H41" t="s">
        <v>76</v>
      </c>
      <c r="I41" t="s">
        <v>230</v>
      </c>
      <c r="J41" t="s">
        <v>61</v>
      </c>
      <c r="K41" t="s">
        <v>314</v>
      </c>
      <c r="L41" t="s">
        <v>805</v>
      </c>
      <c r="M41" t="s">
        <v>102</v>
      </c>
      <c r="N41" t="s">
        <v>862</v>
      </c>
      <c r="O41" t="s">
        <v>62</v>
      </c>
      <c r="P41" t="s">
        <v>1357</v>
      </c>
      <c r="Q41" t="s">
        <v>84</v>
      </c>
      <c r="R41" t="s">
        <v>57</v>
      </c>
      <c r="S41" t="s">
        <v>1218</v>
      </c>
      <c r="T41" s="130">
        <v>4.28</v>
      </c>
      <c r="U41" s="134">
        <v>47757</v>
      </c>
      <c r="V41" s="133">
        <v>4.4999999999999998E-2</v>
      </c>
      <c r="W41" s="133">
        <v>4.8800000000000003E-2</v>
      </c>
      <c r="X41" t="s">
        <v>620</v>
      </c>
      <c r="Y41"/>
      <c r="Z41" s="130">
        <v>12000</v>
      </c>
      <c r="AA41" s="130">
        <v>3.19</v>
      </c>
      <c r="AB41" s="130">
        <v>99.768799999999999</v>
      </c>
      <c r="AC41" s="132"/>
      <c r="AD41" s="130">
        <v>38.191499999999998</v>
      </c>
      <c r="AE41" s="132"/>
      <c r="AF41" s="132"/>
      <c r="AG41"/>
      <c r="AH41" s="133">
        <v>3.6000000000000001E-5</v>
      </c>
      <c r="AI41" s="133">
        <v>4.37E-4</v>
      </c>
      <c r="AJ41" s="133">
        <v>9.0000000000000002E-6</v>
      </c>
    </row>
    <row r="42" spans="1:36" x14ac:dyDescent="0.2">
      <c r="A42">
        <v>274</v>
      </c>
      <c r="B42">
        <v>274</v>
      </c>
      <c r="C42" t="s">
        <v>1386</v>
      </c>
      <c r="D42" t="s">
        <v>1387</v>
      </c>
      <c r="E42" t="s">
        <v>430</v>
      </c>
      <c r="F42" t="s">
        <v>1388</v>
      </c>
      <c r="G42" t="s">
        <v>1389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476</v>
      </c>
      <c r="N42" t="s">
        <v>905</v>
      </c>
      <c r="O42" t="s">
        <v>62</v>
      </c>
      <c r="P42" t="s">
        <v>1357</v>
      </c>
      <c r="Q42" t="s">
        <v>84</v>
      </c>
      <c r="R42" t="s">
        <v>57</v>
      </c>
      <c r="S42" t="s">
        <v>1218</v>
      </c>
      <c r="T42" s="130">
        <v>4.21</v>
      </c>
      <c r="U42" s="134">
        <v>47710</v>
      </c>
      <c r="V42" s="133">
        <v>3.875E-2</v>
      </c>
      <c r="W42" s="133">
        <v>4.7800000000000002E-2</v>
      </c>
      <c r="X42" t="s">
        <v>620</v>
      </c>
      <c r="Y42"/>
      <c r="Z42" s="130">
        <v>45000</v>
      </c>
      <c r="AA42" s="130">
        <v>3.19</v>
      </c>
      <c r="AB42" s="130">
        <v>97.968000000000004</v>
      </c>
      <c r="AC42" s="132"/>
      <c r="AD42" s="130">
        <v>140.63306</v>
      </c>
      <c r="AE42" s="132"/>
      <c r="AF42" s="132"/>
      <c r="AG42"/>
      <c r="AH42" s="133">
        <v>6.8999999999999997E-5</v>
      </c>
      <c r="AI42" s="133">
        <v>1.609E-3</v>
      </c>
      <c r="AJ42" s="133">
        <v>3.3000000000000003E-5</v>
      </c>
    </row>
    <row r="43" spans="1:36" x14ac:dyDescent="0.2">
      <c r="A43">
        <v>274</v>
      </c>
      <c r="B43">
        <v>274</v>
      </c>
      <c r="C43" t="s">
        <v>1390</v>
      </c>
      <c r="D43" t="s">
        <v>1391</v>
      </c>
      <c r="E43" t="s">
        <v>430</v>
      </c>
      <c r="F43" t="s">
        <v>1392</v>
      </c>
      <c r="G43" t="s">
        <v>1393</v>
      </c>
      <c r="H43" t="s">
        <v>76</v>
      </c>
      <c r="I43" t="s">
        <v>230</v>
      </c>
      <c r="J43" t="s">
        <v>61</v>
      </c>
      <c r="K43" t="s">
        <v>159</v>
      </c>
      <c r="L43" t="s">
        <v>805</v>
      </c>
      <c r="M43" t="s">
        <v>489</v>
      </c>
      <c r="N43" t="s">
        <v>130</v>
      </c>
      <c r="O43" t="s">
        <v>62</v>
      </c>
      <c r="P43" t="s">
        <v>1394</v>
      </c>
      <c r="Q43" t="s">
        <v>96</v>
      </c>
      <c r="R43" t="s">
        <v>57</v>
      </c>
      <c r="S43" t="s">
        <v>1218</v>
      </c>
      <c r="T43" s="130">
        <v>2.14</v>
      </c>
      <c r="U43" s="134">
        <v>46820</v>
      </c>
      <c r="V43" s="133">
        <v>2.4E-2</v>
      </c>
      <c r="W43" s="133">
        <v>4.3099999999999999E-2</v>
      </c>
      <c r="X43" t="s">
        <v>620</v>
      </c>
      <c r="Y43"/>
      <c r="Z43" s="130">
        <v>45000</v>
      </c>
      <c r="AA43" s="130">
        <v>3.19</v>
      </c>
      <c r="AB43" s="130">
        <v>96.293999999999997</v>
      </c>
      <c r="AC43" s="132"/>
      <c r="AD43" s="130">
        <v>138.23004</v>
      </c>
      <c r="AE43" s="132"/>
      <c r="AF43" s="132"/>
      <c r="AG43"/>
      <c r="AH43" s="133">
        <v>6.0000000000000002E-5</v>
      </c>
      <c r="AI43" s="133">
        <v>1.5820000000000001E-3</v>
      </c>
      <c r="AJ43" s="133">
        <v>3.3000000000000003E-5</v>
      </c>
    </row>
    <row r="44" spans="1:36" x14ac:dyDescent="0.2">
      <c r="A44">
        <v>274</v>
      </c>
      <c r="B44">
        <v>274</v>
      </c>
      <c r="C44" t="s">
        <v>1395</v>
      </c>
      <c r="D44" t="s">
        <v>1396</v>
      </c>
      <c r="E44" t="s">
        <v>430</v>
      </c>
      <c r="F44" t="s">
        <v>1397</v>
      </c>
      <c r="G44" t="s">
        <v>1398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476</v>
      </c>
      <c r="N44" t="s">
        <v>901</v>
      </c>
      <c r="O44" t="s">
        <v>62</v>
      </c>
      <c r="P44" t="s">
        <v>1364</v>
      </c>
      <c r="Q44" t="s">
        <v>84</v>
      </c>
      <c r="R44" t="s">
        <v>57</v>
      </c>
      <c r="S44" t="s">
        <v>1218</v>
      </c>
      <c r="T44" s="130">
        <v>4.71</v>
      </c>
      <c r="U44" s="134">
        <v>47827</v>
      </c>
      <c r="V44" s="133">
        <v>0.02</v>
      </c>
      <c r="W44" s="133">
        <v>4.6899999999999997E-2</v>
      </c>
      <c r="X44" t="s">
        <v>620</v>
      </c>
      <c r="Y44"/>
      <c r="Z44" s="130">
        <v>42000</v>
      </c>
      <c r="AA44" s="130">
        <v>3.19</v>
      </c>
      <c r="AB44" s="130">
        <v>88.579899999999995</v>
      </c>
      <c r="AC44" s="132"/>
      <c r="AD44" s="130">
        <v>118.67935</v>
      </c>
      <c r="AE44" s="132"/>
      <c r="AF44" s="132"/>
      <c r="AG44"/>
      <c r="AH44" s="133">
        <v>1.05E-4</v>
      </c>
      <c r="AI44" s="133">
        <v>1.358E-3</v>
      </c>
      <c r="AJ44" s="133">
        <v>2.8E-5</v>
      </c>
    </row>
    <row r="45" spans="1:36" x14ac:dyDescent="0.2">
      <c r="A45">
        <v>274</v>
      </c>
      <c r="B45">
        <v>274</v>
      </c>
      <c r="C45" t="s">
        <v>1353</v>
      </c>
      <c r="D45" t="s">
        <v>1354</v>
      </c>
      <c r="E45" t="s">
        <v>430</v>
      </c>
      <c r="F45" t="s">
        <v>1399</v>
      </c>
      <c r="G45" t="s">
        <v>1400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903</v>
      </c>
      <c r="O45" t="s">
        <v>62</v>
      </c>
      <c r="P45" t="s">
        <v>1357</v>
      </c>
      <c r="Q45" t="s">
        <v>84</v>
      </c>
      <c r="R45" t="s">
        <v>57</v>
      </c>
      <c r="S45" t="s">
        <v>1218</v>
      </c>
      <c r="T45" s="130">
        <v>5.53</v>
      </c>
      <c r="U45" s="134">
        <v>48366</v>
      </c>
      <c r="V45" s="133">
        <v>5.2499999999999998E-2</v>
      </c>
      <c r="W45" s="133">
        <v>4.7800000000000002E-2</v>
      </c>
      <c r="X45" t="s">
        <v>620</v>
      </c>
      <c r="Y45"/>
      <c r="Z45" s="130">
        <v>15000</v>
      </c>
      <c r="AA45" s="130">
        <v>3.19</v>
      </c>
      <c r="AB45" s="130">
        <v>103.3147</v>
      </c>
      <c r="AC45" s="132"/>
      <c r="AD45" s="130">
        <v>49.436079999999997</v>
      </c>
      <c r="AE45" s="132"/>
      <c r="AF45" s="132"/>
      <c r="AG45"/>
      <c r="AH45" s="133">
        <v>3.0000000000000001E-5</v>
      </c>
      <c r="AI45" s="133">
        <v>5.6499999999999996E-4</v>
      </c>
      <c r="AJ45" s="133">
        <v>1.1E-5</v>
      </c>
    </row>
    <row r="46" spans="1:36" x14ac:dyDescent="0.2">
      <c r="A46">
        <v>274</v>
      </c>
      <c r="B46">
        <v>274</v>
      </c>
      <c r="C46" t="s">
        <v>1401</v>
      </c>
      <c r="D46" t="s">
        <v>1402</v>
      </c>
      <c r="E46" t="s">
        <v>430</v>
      </c>
      <c r="F46" t="s">
        <v>1403</v>
      </c>
      <c r="G46" t="s">
        <v>1404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102</v>
      </c>
      <c r="N46" t="s">
        <v>1134</v>
      </c>
      <c r="O46" t="s">
        <v>62</v>
      </c>
      <c r="P46" t="s">
        <v>1405</v>
      </c>
      <c r="Q46" t="s">
        <v>96</v>
      </c>
      <c r="R46" t="s">
        <v>57</v>
      </c>
      <c r="S46" t="s">
        <v>1218</v>
      </c>
      <c r="T46" s="130">
        <v>2.96</v>
      </c>
      <c r="U46" s="134">
        <v>47196</v>
      </c>
      <c r="V46" s="133">
        <v>5.3499999999999999E-2</v>
      </c>
      <c r="W46" s="133">
        <v>4.3799999999999999E-2</v>
      </c>
      <c r="X46" t="s">
        <v>620</v>
      </c>
      <c r="Y46"/>
      <c r="Z46" s="130">
        <v>10000</v>
      </c>
      <c r="AA46" s="130">
        <v>3.19</v>
      </c>
      <c r="AB46" s="130">
        <v>104.54640000000001</v>
      </c>
      <c r="AC46" s="132"/>
      <c r="AD46" s="130">
        <v>33.350299999999997</v>
      </c>
      <c r="AE46" s="132"/>
      <c r="AF46" s="132"/>
      <c r="AG46"/>
      <c r="AH46" s="133">
        <v>2.0000000000000002E-5</v>
      </c>
      <c r="AI46" s="133">
        <v>3.8099999999999999E-4</v>
      </c>
      <c r="AJ46" s="133">
        <v>7.9999999999999996E-6</v>
      </c>
    </row>
    <row r="47" spans="1:36" x14ac:dyDescent="0.2">
      <c r="A47">
        <v>274</v>
      </c>
      <c r="B47">
        <v>274</v>
      </c>
      <c r="C47" t="s">
        <v>1406</v>
      </c>
      <c r="D47" t="s">
        <v>1407</v>
      </c>
      <c r="E47" t="s">
        <v>430</v>
      </c>
      <c r="F47" t="s">
        <v>1408</v>
      </c>
      <c r="G47" t="s">
        <v>1409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476</v>
      </c>
      <c r="N47" t="s">
        <v>899</v>
      </c>
      <c r="O47" t="s">
        <v>62</v>
      </c>
      <c r="P47" t="s">
        <v>1410</v>
      </c>
      <c r="Q47" t="s">
        <v>96</v>
      </c>
      <c r="R47" t="s">
        <v>57</v>
      </c>
      <c r="S47" t="s">
        <v>1218</v>
      </c>
      <c r="T47" s="130">
        <v>6.4</v>
      </c>
      <c r="U47" s="134">
        <v>48995</v>
      </c>
      <c r="V47" s="133">
        <v>6.3500000000000001E-2</v>
      </c>
      <c r="W47" s="133">
        <v>5.5E-2</v>
      </c>
      <c r="X47" t="s">
        <v>620</v>
      </c>
      <c r="Y47"/>
      <c r="Z47" s="130">
        <v>18000</v>
      </c>
      <c r="AA47" s="130">
        <v>3.19</v>
      </c>
      <c r="AB47" s="130">
        <v>108.2482</v>
      </c>
      <c r="AC47" s="132"/>
      <c r="AD47" s="130">
        <v>62.156120000000001</v>
      </c>
      <c r="AE47" s="132"/>
      <c r="AF47" s="132"/>
      <c r="AG47"/>
      <c r="AH47" s="133">
        <v>3.6000000000000001E-5</v>
      </c>
      <c r="AI47" s="133">
        <v>7.1100000000000004E-4</v>
      </c>
      <c r="AJ47" s="133">
        <v>1.5E-5</v>
      </c>
    </row>
    <row r="48" spans="1:36" x14ac:dyDescent="0.2">
      <c r="A48">
        <v>274</v>
      </c>
      <c r="B48">
        <v>274</v>
      </c>
      <c r="C48" t="s">
        <v>1411</v>
      </c>
      <c r="D48" t="s">
        <v>1412</v>
      </c>
      <c r="E48" t="s">
        <v>430</v>
      </c>
      <c r="F48" t="s">
        <v>1413</v>
      </c>
      <c r="G48" t="s">
        <v>1414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476</v>
      </c>
      <c r="N48" t="s">
        <v>1134</v>
      </c>
      <c r="O48" t="s">
        <v>62</v>
      </c>
      <c r="P48" t="s">
        <v>1364</v>
      </c>
      <c r="Q48" t="s">
        <v>84</v>
      </c>
      <c r="R48" t="s">
        <v>57</v>
      </c>
      <c r="S48" t="s">
        <v>1218</v>
      </c>
      <c r="T48" s="130">
        <v>1.69</v>
      </c>
      <c r="U48" s="134">
        <v>46661</v>
      </c>
      <c r="V48" s="133">
        <v>4.2000000000000003E-2</v>
      </c>
      <c r="W48" s="133">
        <v>4.1200000000000001E-2</v>
      </c>
      <c r="X48" t="s">
        <v>620</v>
      </c>
      <c r="Y48"/>
      <c r="Z48" s="130">
        <v>27000</v>
      </c>
      <c r="AA48" s="130">
        <v>3.19</v>
      </c>
      <c r="AB48" s="130">
        <v>101.24</v>
      </c>
      <c r="AC48" s="132"/>
      <c r="AD48" s="130">
        <v>87.198009999999996</v>
      </c>
      <c r="AE48" s="132"/>
      <c r="AF48" s="132"/>
      <c r="AG48"/>
      <c r="AH48" s="133">
        <v>3.6000000000000001E-5</v>
      </c>
      <c r="AI48" s="133">
        <v>9.9799999999999997E-4</v>
      </c>
      <c r="AJ48" s="133">
        <v>2.0999999999999999E-5</v>
      </c>
    </row>
    <row r="49" spans="1:36" x14ac:dyDescent="0.2">
      <c r="A49">
        <v>274</v>
      </c>
      <c r="B49">
        <v>274</v>
      </c>
      <c r="C49" t="s">
        <v>1415</v>
      </c>
      <c r="D49" t="s">
        <v>1416</v>
      </c>
      <c r="E49" t="s">
        <v>430</v>
      </c>
      <c r="F49" t="s">
        <v>1417</v>
      </c>
      <c r="G49" t="s">
        <v>1418</v>
      </c>
      <c r="H49" t="s">
        <v>76</v>
      </c>
      <c r="I49" t="s">
        <v>230</v>
      </c>
      <c r="J49" t="s">
        <v>61</v>
      </c>
      <c r="K49" t="s">
        <v>188</v>
      </c>
      <c r="L49" t="s">
        <v>805</v>
      </c>
      <c r="M49" t="s">
        <v>499</v>
      </c>
      <c r="N49" t="s">
        <v>951</v>
      </c>
      <c r="O49" t="s">
        <v>62</v>
      </c>
      <c r="P49" t="s">
        <v>1419</v>
      </c>
      <c r="Q49" t="s">
        <v>84</v>
      </c>
      <c r="R49" t="s">
        <v>57</v>
      </c>
      <c r="S49" t="s">
        <v>1218</v>
      </c>
      <c r="T49" s="130">
        <v>7.55</v>
      </c>
      <c r="U49" s="134">
        <v>49455</v>
      </c>
      <c r="V49" s="133">
        <v>5.2499999999999998E-2</v>
      </c>
      <c r="W49" s="133">
        <v>4.7500000000000001E-2</v>
      </c>
      <c r="X49" t="s">
        <v>620</v>
      </c>
      <c r="Y49"/>
      <c r="Z49" s="130">
        <v>19000</v>
      </c>
      <c r="AA49" s="130">
        <v>3.19</v>
      </c>
      <c r="AB49" s="130">
        <v>104.6758</v>
      </c>
      <c r="AC49" s="132"/>
      <c r="AD49" s="130">
        <v>63.444000000000003</v>
      </c>
      <c r="AE49" s="132"/>
      <c r="AF49" s="132"/>
      <c r="AG49"/>
      <c r="AH49" s="133">
        <v>1.5999999999999999E-5</v>
      </c>
      <c r="AI49" s="133">
        <v>7.2599999999999997E-4</v>
      </c>
      <c r="AJ49" s="133">
        <v>1.5E-5</v>
      </c>
    </row>
    <row r="50" spans="1:36" x14ac:dyDescent="0.2">
      <c r="A50">
        <v>274</v>
      </c>
      <c r="B50">
        <v>274</v>
      </c>
      <c r="C50" t="s">
        <v>1378</v>
      </c>
      <c r="D50" t="s">
        <v>1379</v>
      </c>
      <c r="E50" t="s">
        <v>430</v>
      </c>
      <c r="F50" t="s">
        <v>1420</v>
      </c>
      <c r="G50" t="s">
        <v>1421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102</v>
      </c>
      <c r="N50" t="s">
        <v>1140</v>
      </c>
      <c r="O50" t="s">
        <v>62</v>
      </c>
      <c r="P50" t="s">
        <v>1373</v>
      </c>
      <c r="Q50" t="s">
        <v>96</v>
      </c>
      <c r="R50" t="s">
        <v>57</v>
      </c>
      <c r="S50" t="s">
        <v>1218</v>
      </c>
      <c r="T50" s="130">
        <v>5.62</v>
      </c>
      <c r="U50" s="134">
        <v>48288</v>
      </c>
      <c r="V50" s="133">
        <v>3.0499999999999999E-2</v>
      </c>
      <c r="W50" s="133">
        <v>4.7300000000000002E-2</v>
      </c>
      <c r="X50" t="s">
        <v>620</v>
      </c>
      <c r="Y50"/>
      <c r="Z50" s="130">
        <v>39000</v>
      </c>
      <c r="AA50" s="130">
        <v>3.19</v>
      </c>
      <c r="AB50" s="130">
        <v>92.192400000000006</v>
      </c>
      <c r="AC50" s="132"/>
      <c r="AD50" s="130">
        <v>114.69656000000001</v>
      </c>
      <c r="AE50" s="132"/>
      <c r="AF50" s="132"/>
      <c r="AG50"/>
      <c r="AH50" s="133">
        <v>7.7999999999999999E-5</v>
      </c>
      <c r="AI50" s="133">
        <v>1.312E-3</v>
      </c>
      <c r="AJ50" s="133">
        <v>2.6999999999999999E-5</v>
      </c>
    </row>
    <row r="51" spans="1:36" x14ac:dyDescent="0.2">
      <c r="A51">
        <v>274</v>
      </c>
      <c r="B51">
        <v>274</v>
      </c>
      <c r="C51" t="s">
        <v>1422</v>
      </c>
      <c r="D51" t="s">
        <v>1423</v>
      </c>
      <c r="E51" t="s">
        <v>430</v>
      </c>
      <c r="F51" t="s">
        <v>1424</v>
      </c>
      <c r="G51" t="s">
        <v>1425</v>
      </c>
      <c r="H51" t="s">
        <v>76</v>
      </c>
      <c r="I51" t="s">
        <v>230</v>
      </c>
      <c r="J51" t="s">
        <v>61</v>
      </c>
      <c r="K51" t="s">
        <v>314</v>
      </c>
      <c r="L51" t="s">
        <v>805</v>
      </c>
      <c r="M51" t="s">
        <v>102</v>
      </c>
      <c r="N51" t="s">
        <v>1140</v>
      </c>
      <c r="O51" t="s">
        <v>62</v>
      </c>
      <c r="P51" t="s">
        <v>1426</v>
      </c>
      <c r="Q51" t="s">
        <v>96</v>
      </c>
      <c r="R51" t="s">
        <v>57</v>
      </c>
      <c r="S51" t="s">
        <v>1218</v>
      </c>
      <c r="T51" s="130">
        <v>7.16</v>
      </c>
      <c r="U51" s="134">
        <v>49232</v>
      </c>
      <c r="V51" s="133">
        <v>0.05</v>
      </c>
      <c r="W51" s="133">
        <v>4.8599999999999997E-2</v>
      </c>
      <c r="X51" t="s">
        <v>620</v>
      </c>
      <c r="Y51"/>
      <c r="Z51" s="130">
        <v>26000</v>
      </c>
      <c r="AA51" s="130">
        <v>3.19</v>
      </c>
      <c r="AB51" s="130">
        <v>102.39879999999999</v>
      </c>
      <c r="AC51" s="132"/>
      <c r="AD51" s="130">
        <v>84.929559999999995</v>
      </c>
      <c r="AE51" s="132"/>
      <c r="AF51" s="132"/>
      <c r="AG51"/>
      <c r="AH51" s="133">
        <v>3.6999999999999998E-5</v>
      </c>
      <c r="AI51" s="133">
        <v>9.7199999999999999E-4</v>
      </c>
      <c r="AJ51" s="133">
        <v>2.0000000000000002E-5</v>
      </c>
    </row>
    <row r="52" spans="1:36" x14ac:dyDescent="0.2">
      <c r="A52">
        <v>274</v>
      </c>
      <c r="B52">
        <v>274</v>
      </c>
      <c r="C52" t="s">
        <v>1427</v>
      </c>
      <c r="D52" t="s">
        <v>1428</v>
      </c>
      <c r="E52" t="s">
        <v>430</v>
      </c>
      <c r="F52" t="s">
        <v>1429</v>
      </c>
      <c r="G52" t="s">
        <v>1430</v>
      </c>
      <c r="H52" t="s">
        <v>76</v>
      </c>
      <c r="I52" t="s">
        <v>230</v>
      </c>
      <c r="J52" t="s">
        <v>61</v>
      </c>
      <c r="K52" t="s">
        <v>153</v>
      </c>
      <c r="L52" t="s">
        <v>805</v>
      </c>
      <c r="M52" t="s">
        <v>488</v>
      </c>
      <c r="N52" t="s">
        <v>903</v>
      </c>
      <c r="O52" t="s">
        <v>62</v>
      </c>
      <c r="P52" t="s">
        <v>1405</v>
      </c>
      <c r="Q52" t="s">
        <v>96</v>
      </c>
      <c r="R52" t="s">
        <v>57</v>
      </c>
      <c r="S52" t="s">
        <v>1218</v>
      </c>
      <c r="T52" s="130">
        <v>5.22</v>
      </c>
      <c r="U52" s="134">
        <v>48122</v>
      </c>
      <c r="V52" s="133">
        <v>3.2500000000000001E-2</v>
      </c>
      <c r="W52" s="133">
        <v>5.2400000000000002E-2</v>
      </c>
      <c r="X52" t="s">
        <v>620</v>
      </c>
      <c r="Y52"/>
      <c r="Z52" s="130">
        <v>46000</v>
      </c>
      <c r="AA52" s="130">
        <v>3.19</v>
      </c>
      <c r="AB52" s="130">
        <v>91.317599999999999</v>
      </c>
      <c r="AC52" s="132"/>
      <c r="AD52" s="130">
        <v>133.99945</v>
      </c>
      <c r="AE52" s="132"/>
      <c r="AF52" s="132"/>
      <c r="AG52"/>
      <c r="AH52" s="133">
        <v>6.4999999999999994E-5</v>
      </c>
      <c r="AI52" s="133">
        <v>1.5330000000000001E-3</v>
      </c>
      <c r="AJ52" s="133">
        <v>3.1999999999999999E-5</v>
      </c>
    </row>
    <row r="53" spans="1:36" x14ac:dyDescent="0.2">
      <c r="A53">
        <v>274</v>
      </c>
      <c r="B53">
        <v>274</v>
      </c>
      <c r="C53" t="s">
        <v>1279</v>
      </c>
      <c r="D53">
        <v>520000472</v>
      </c>
      <c r="E53" t="s">
        <v>429</v>
      </c>
      <c r="F53" t="s">
        <v>1431</v>
      </c>
      <c r="G53" t="s">
        <v>1432</v>
      </c>
      <c r="H53" t="s">
        <v>76</v>
      </c>
      <c r="I53" t="s">
        <v>230</v>
      </c>
      <c r="J53" t="s">
        <v>61</v>
      </c>
      <c r="K53" t="s">
        <v>53</v>
      </c>
      <c r="L53" t="s">
        <v>805</v>
      </c>
      <c r="M53" t="s">
        <v>102</v>
      </c>
      <c r="N53" t="s">
        <v>905</v>
      </c>
      <c r="O53" t="s">
        <v>62</v>
      </c>
      <c r="P53" t="s">
        <v>1364</v>
      </c>
      <c r="Q53" t="s">
        <v>84</v>
      </c>
      <c r="R53" t="s">
        <v>57</v>
      </c>
      <c r="S53" t="s">
        <v>1218</v>
      </c>
      <c r="T53" s="130">
        <v>1.85</v>
      </c>
      <c r="U53" s="134">
        <v>46736</v>
      </c>
      <c r="V53" s="133">
        <v>7.7499999999999999E-2</v>
      </c>
      <c r="W53" s="133">
        <v>4.5999999999999999E-2</v>
      </c>
      <c r="X53" t="s">
        <v>620</v>
      </c>
      <c r="Y53"/>
      <c r="Z53" s="130">
        <v>444000</v>
      </c>
      <c r="AA53" s="130">
        <v>3.19</v>
      </c>
      <c r="AB53" s="130">
        <v>106.2634</v>
      </c>
      <c r="AC53" s="132"/>
      <c r="AD53" s="130">
        <v>1505.0722900000001</v>
      </c>
      <c r="AE53" s="132"/>
      <c r="AF53" s="132"/>
      <c r="AG53"/>
      <c r="AH53" s="133">
        <v>1.48E-3</v>
      </c>
      <c r="AI53" s="133">
        <v>1.7226999999999999E-2</v>
      </c>
      <c r="AJ53" s="133">
        <v>3.6299999999999999E-4</v>
      </c>
    </row>
    <row r="54" spans="1:36" x14ac:dyDescent="0.2">
      <c r="A54">
        <v>274</v>
      </c>
      <c r="B54">
        <v>274</v>
      </c>
      <c r="C54" t="s">
        <v>1433</v>
      </c>
      <c r="D54" t="s">
        <v>1434</v>
      </c>
      <c r="E54" t="s">
        <v>430</v>
      </c>
      <c r="F54" t="s">
        <v>1435</v>
      </c>
      <c r="G54" t="s">
        <v>1436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102</v>
      </c>
      <c r="N54" t="s">
        <v>883</v>
      </c>
      <c r="O54" t="s">
        <v>62</v>
      </c>
      <c r="P54" t="s">
        <v>1364</v>
      </c>
      <c r="Q54" t="s">
        <v>84</v>
      </c>
      <c r="R54" t="s">
        <v>57</v>
      </c>
      <c r="S54" t="s">
        <v>1218</v>
      </c>
      <c r="T54" s="130">
        <v>4.8</v>
      </c>
      <c r="U54" s="134">
        <v>47922</v>
      </c>
      <c r="V54" s="133">
        <v>2.9499999999999998E-2</v>
      </c>
      <c r="W54" s="133">
        <v>4.4999999999999998E-2</v>
      </c>
      <c r="X54" t="s">
        <v>620</v>
      </c>
      <c r="Y54"/>
      <c r="Z54" s="130">
        <v>27000</v>
      </c>
      <c r="AA54" s="130">
        <v>3.19</v>
      </c>
      <c r="AB54" s="130">
        <v>93.9773</v>
      </c>
      <c r="AC54" s="132"/>
      <c r="AD54" s="130">
        <v>80.94265</v>
      </c>
      <c r="AE54" s="132"/>
      <c r="AF54" s="132"/>
      <c r="AG54"/>
      <c r="AH54" s="133">
        <v>2.6999999999999999E-5</v>
      </c>
      <c r="AI54" s="133">
        <v>9.2599999999999996E-4</v>
      </c>
      <c r="AJ54" s="133">
        <v>1.9000000000000001E-5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3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3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1.87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9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274</v>
      </c>
      <c r="B2">
        <v>274</v>
      </c>
      <c r="C2" t="s">
        <v>1437</v>
      </c>
      <c r="D2">
        <v>514401702</v>
      </c>
      <c r="E2" t="s">
        <v>429</v>
      </c>
      <c r="F2" t="s">
        <v>1437</v>
      </c>
      <c r="G2" t="s">
        <v>1438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1221</v>
      </c>
      <c r="Q2" s="130">
        <v>10781.36</v>
      </c>
      <c r="R2" s="130">
        <v>1</v>
      </c>
      <c r="S2" s="130">
        <v>7459</v>
      </c>
      <c r="T2" s="130"/>
      <c r="U2" s="130">
        <v>804.18164000000002</v>
      </c>
      <c r="V2" s="133">
        <v>3.4999999999999997E-5</v>
      </c>
      <c r="W2" s="133">
        <v>1.1142000000000001E-2</v>
      </c>
      <c r="X2" s="133">
        <v>1.94E-4</v>
      </c>
    </row>
    <row r="3" spans="1:24" x14ac:dyDescent="0.2">
      <c r="A3">
        <v>274</v>
      </c>
      <c r="B3">
        <v>274</v>
      </c>
      <c r="C3" t="s">
        <v>1439</v>
      </c>
      <c r="D3">
        <v>520033986</v>
      </c>
      <c r="E3" t="s">
        <v>429</v>
      </c>
      <c r="F3" t="s">
        <v>1439</v>
      </c>
      <c r="G3" t="s">
        <v>1440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269</v>
      </c>
      <c r="O3" t="s">
        <v>62</v>
      </c>
      <c r="P3" t="s">
        <v>1221</v>
      </c>
      <c r="Q3" s="130">
        <v>14313</v>
      </c>
      <c r="R3" s="130">
        <v>1</v>
      </c>
      <c r="S3" s="130">
        <v>12430</v>
      </c>
      <c r="T3" s="130"/>
      <c r="U3" s="130">
        <v>1779.1059</v>
      </c>
      <c r="V3" s="133">
        <v>6.3E-5</v>
      </c>
      <c r="W3" s="133">
        <v>2.4650999999999999E-2</v>
      </c>
      <c r="X3" s="133">
        <v>4.2900000000000002E-4</v>
      </c>
    </row>
    <row r="4" spans="1:24" x14ac:dyDescent="0.2">
      <c r="A4">
        <v>274</v>
      </c>
      <c r="B4">
        <v>274</v>
      </c>
      <c r="C4" t="s">
        <v>1441</v>
      </c>
      <c r="D4">
        <v>511812463</v>
      </c>
      <c r="E4" t="s">
        <v>429</v>
      </c>
      <c r="F4" t="s">
        <v>1442</v>
      </c>
      <c r="G4" t="s">
        <v>1443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254</v>
      </c>
      <c r="O4" t="s">
        <v>62</v>
      </c>
      <c r="P4" t="s">
        <v>1221</v>
      </c>
      <c r="Q4" s="130">
        <v>1542</v>
      </c>
      <c r="R4" s="130">
        <v>1</v>
      </c>
      <c r="S4" s="130">
        <v>106610</v>
      </c>
      <c r="T4" s="130"/>
      <c r="U4" s="130">
        <v>1643.9262000000001</v>
      </c>
      <c r="V4" s="133">
        <v>5.0000000000000002E-5</v>
      </c>
      <c r="W4" s="133">
        <v>2.2778E-2</v>
      </c>
      <c r="X4" s="133">
        <v>3.97E-4</v>
      </c>
    </row>
    <row r="5" spans="1:24" x14ac:dyDescent="0.2">
      <c r="A5">
        <v>274</v>
      </c>
      <c r="B5">
        <v>274</v>
      </c>
      <c r="C5" t="s">
        <v>1444</v>
      </c>
      <c r="D5">
        <v>514892801</v>
      </c>
      <c r="E5" t="s">
        <v>429</v>
      </c>
      <c r="F5" t="s">
        <v>1444</v>
      </c>
      <c r="G5" t="s">
        <v>1445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263</v>
      </c>
      <c r="O5" t="s">
        <v>62</v>
      </c>
      <c r="P5" t="s">
        <v>1221</v>
      </c>
      <c r="Q5" s="130">
        <v>17680</v>
      </c>
      <c r="R5" s="130">
        <v>1</v>
      </c>
      <c r="S5" s="130">
        <v>3129</v>
      </c>
      <c r="T5" s="130"/>
      <c r="U5" s="130">
        <v>553.20719999999994</v>
      </c>
      <c r="V5" s="133">
        <v>4.8999999999999998E-5</v>
      </c>
      <c r="W5" s="133">
        <v>7.6649999999999999E-3</v>
      </c>
      <c r="X5" s="133">
        <v>1.3300000000000001E-4</v>
      </c>
    </row>
    <row r="6" spans="1:24" x14ac:dyDescent="0.2">
      <c r="A6">
        <v>274</v>
      </c>
      <c r="B6">
        <v>274</v>
      </c>
      <c r="C6" t="s">
        <v>1446</v>
      </c>
      <c r="D6">
        <v>520036120</v>
      </c>
      <c r="E6" t="s">
        <v>429</v>
      </c>
      <c r="F6" t="s">
        <v>1447</v>
      </c>
      <c r="G6" t="s">
        <v>1448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269</v>
      </c>
      <c r="O6" t="s">
        <v>62</v>
      </c>
      <c r="P6" t="s">
        <v>1221</v>
      </c>
      <c r="Q6" s="130">
        <v>6264</v>
      </c>
      <c r="R6" s="130">
        <v>1</v>
      </c>
      <c r="S6" s="130">
        <v>20570</v>
      </c>
      <c r="T6" s="130"/>
      <c r="U6" s="130">
        <v>1288.5047999999999</v>
      </c>
      <c r="V6" s="133">
        <v>7.7999999999999999E-5</v>
      </c>
      <c r="W6" s="133">
        <v>1.7853000000000001E-2</v>
      </c>
      <c r="X6" s="133">
        <v>3.1100000000000002E-4</v>
      </c>
    </row>
    <row r="7" spans="1:24" x14ac:dyDescent="0.2">
      <c r="A7">
        <v>274</v>
      </c>
      <c r="B7">
        <v>274</v>
      </c>
      <c r="C7" t="s">
        <v>1449</v>
      </c>
      <c r="D7">
        <v>512607888</v>
      </c>
      <c r="E7" t="s">
        <v>429</v>
      </c>
      <c r="F7" t="s">
        <v>1449</v>
      </c>
      <c r="G7" t="s">
        <v>1450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259</v>
      </c>
      <c r="O7" t="s">
        <v>62</v>
      </c>
      <c r="P7" t="s">
        <v>1221</v>
      </c>
      <c r="Q7" s="130">
        <v>1069</v>
      </c>
      <c r="R7" s="130">
        <v>1</v>
      </c>
      <c r="S7" s="130">
        <v>65150</v>
      </c>
      <c r="T7" s="130"/>
      <c r="U7" s="130">
        <v>696.45349999999996</v>
      </c>
      <c r="V7" s="133">
        <v>6.3999999999999997E-5</v>
      </c>
      <c r="W7" s="133">
        <v>9.6500000000000006E-3</v>
      </c>
      <c r="X7" s="133">
        <v>1.6799999999999999E-4</v>
      </c>
    </row>
    <row r="8" spans="1:24" x14ac:dyDescent="0.2">
      <c r="A8">
        <v>274</v>
      </c>
      <c r="B8">
        <v>274</v>
      </c>
      <c r="C8" t="s">
        <v>1451</v>
      </c>
      <c r="D8">
        <v>514454701</v>
      </c>
      <c r="E8" t="s">
        <v>429</v>
      </c>
      <c r="F8" t="s">
        <v>1452</v>
      </c>
      <c r="G8" t="s">
        <v>1453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638</v>
      </c>
      <c r="O8" t="s">
        <v>62</v>
      </c>
      <c r="P8" t="s">
        <v>1221</v>
      </c>
      <c r="Q8" s="130">
        <v>16000</v>
      </c>
      <c r="R8" s="130">
        <v>1</v>
      </c>
      <c r="S8" s="130">
        <v>2944</v>
      </c>
      <c r="T8" s="130"/>
      <c r="U8" s="130">
        <v>471.04</v>
      </c>
      <c r="V8" s="133">
        <v>2.1499999999999999E-4</v>
      </c>
      <c r="W8" s="133">
        <v>6.5259999999999997E-3</v>
      </c>
      <c r="X8" s="133">
        <v>1.13E-4</v>
      </c>
    </row>
    <row r="9" spans="1:24" x14ac:dyDescent="0.2">
      <c r="A9">
        <v>274</v>
      </c>
      <c r="B9">
        <v>274</v>
      </c>
      <c r="C9" t="s">
        <v>1454</v>
      </c>
      <c r="D9">
        <v>520000522</v>
      </c>
      <c r="E9" t="s">
        <v>429</v>
      </c>
      <c r="F9" t="s">
        <v>1455</v>
      </c>
      <c r="G9" t="s">
        <v>1456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1221</v>
      </c>
      <c r="Q9" s="130">
        <v>15405</v>
      </c>
      <c r="R9" s="130">
        <v>1</v>
      </c>
      <c r="S9" s="130">
        <v>22240</v>
      </c>
      <c r="T9" s="130"/>
      <c r="U9" s="130">
        <v>3426.0720000000001</v>
      </c>
      <c r="V9" s="133">
        <v>5.8999999999999998E-5</v>
      </c>
      <c r="W9" s="133">
        <v>4.7472E-2</v>
      </c>
      <c r="X9" s="133">
        <v>8.2700000000000004E-4</v>
      </c>
    </row>
    <row r="10" spans="1:24" x14ac:dyDescent="0.2">
      <c r="A10">
        <v>274</v>
      </c>
      <c r="B10">
        <v>274</v>
      </c>
      <c r="C10" t="s">
        <v>1457</v>
      </c>
      <c r="D10">
        <v>520037789</v>
      </c>
      <c r="E10" t="s">
        <v>429</v>
      </c>
      <c r="F10" t="s">
        <v>1457</v>
      </c>
      <c r="G10" t="s">
        <v>1458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635</v>
      </c>
      <c r="O10" t="s">
        <v>62</v>
      </c>
      <c r="P10" t="s">
        <v>1221</v>
      </c>
      <c r="Q10" s="130">
        <v>1295</v>
      </c>
      <c r="R10" s="130">
        <v>1</v>
      </c>
      <c r="S10" s="130">
        <v>41330</v>
      </c>
      <c r="T10" s="130"/>
      <c r="U10" s="130">
        <v>535.22349999999994</v>
      </c>
      <c r="V10" s="133">
        <v>2.6999999999999999E-5</v>
      </c>
      <c r="W10" s="133">
        <v>7.4159999999999998E-3</v>
      </c>
      <c r="X10" s="133">
        <v>1.2899999999999999E-4</v>
      </c>
    </row>
    <row r="11" spans="1:24" x14ac:dyDescent="0.2">
      <c r="A11">
        <v>274</v>
      </c>
      <c r="B11">
        <v>274</v>
      </c>
      <c r="C11" t="s">
        <v>1459</v>
      </c>
      <c r="D11">
        <v>520029984</v>
      </c>
      <c r="E11" t="s">
        <v>429</v>
      </c>
      <c r="F11" t="s">
        <v>1459</v>
      </c>
      <c r="G11" t="s">
        <v>1460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269</v>
      </c>
      <c r="O11" t="s">
        <v>62</v>
      </c>
      <c r="P11" t="s">
        <v>1221</v>
      </c>
      <c r="Q11" s="130">
        <v>45036</v>
      </c>
      <c r="R11" s="130">
        <v>1</v>
      </c>
      <c r="S11" s="130">
        <v>1546</v>
      </c>
      <c r="T11" s="130"/>
      <c r="U11" s="130">
        <v>696.25656000000004</v>
      </c>
      <c r="V11" s="133">
        <v>4.1999999999999998E-5</v>
      </c>
      <c r="W11" s="133">
        <v>9.6469999999999993E-3</v>
      </c>
      <c r="X11" s="133">
        <v>1.6799999999999999E-4</v>
      </c>
    </row>
    <row r="12" spans="1:24" x14ac:dyDescent="0.2">
      <c r="A12">
        <v>274</v>
      </c>
      <c r="B12">
        <v>274</v>
      </c>
      <c r="C12" t="s">
        <v>1461</v>
      </c>
      <c r="D12">
        <v>514259019</v>
      </c>
      <c r="E12" t="s">
        <v>429</v>
      </c>
      <c r="F12" t="s">
        <v>1462</v>
      </c>
      <c r="G12" t="s">
        <v>1463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638</v>
      </c>
      <c r="O12" t="s">
        <v>62</v>
      </c>
      <c r="P12" t="s">
        <v>1221</v>
      </c>
      <c r="Q12" s="130">
        <v>4120</v>
      </c>
      <c r="R12" s="130">
        <v>1</v>
      </c>
      <c r="S12" s="130">
        <v>20990</v>
      </c>
      <c r="T12" s="130"/>
      <c r="U12" s="130">
        <v>864.78800000000001</v>
      </c>
      <c r="V12" s="133">
        <v>4.5000000000000003E-5</v>
      </c>
      <c r="W12" s="133">
        <v>1.1982E-2</v>
      </c>
      <c r="X12" s="133">
        <v>2.0799999999999999E-4</v>
      </c>
    </row>
    <row r="13" spans="1:24" x14ac:dyDescent="0.2">
      <c r="A13">
        <v>274</v>
      </c>
      <c r="B13">
        <v>274</v>
      </c>
      <c r="C13" t="s">
        <v>1464</v>
      </c>
      <c r="D13">
        <v>520017450</v>
      </c>
      <c r="E13" t="s">
        <v>429</v>
      </c>
      <c r="F13" t="s">
        <v>1465</v>
      </c>
      <c r="G13" t="s">
        <v>1466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269</v>
      </c>
      <c r="O13" t="s">
        <v>62</v>
      </c>
      <c r="P13" t="s">
        <v>1221</v>
      </c>
      <c r="Q13" s="130">
        <v>15261</v>
      </c>
      <c r="R13" s="130">
        <v>1</v>
      </c>
      <c r="S13" s="130">
        <v>13180</v>
      </c>
      <c r="T13" s="130"/>
      <c r="U13" s="130">
        <v>2011.3997999999999</v>
      </c>
      <c r="V13" s="133">
        <v>5.7000000000000003E-5</v>
      </c>
      <c r="W13" s="133">
        <v>2.7869999999999999E-2</v>
      </c>
      <c r="X13" s="133">
        <v>4.86E-4</v>
      </c>
    </row>
    <row r="14" spans="1:24" x14ac:dyDescent="0.2">
      <c r="A14">
        <v>274</v>
      </c>
      <c r="B14">
        <v>274</v>
      </c>
      <c r="C14" t="s">
        <v>1467</v>
      </c>
      <c r="D14">
        <v>520041146</v>
      </c>
      <c r="E14" t="s">
        <v>429</v>
      </c>
      <c r="F14" t="s">
        <v>1467</v>
      </c>
      <c r="G14" t="s">
        <v>1468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631</v>
      </c>
      <c r="O14" t="s">
        <v>62</v>
      </c>
      <c r="P14" t="s">
        <v>1221</v>
      </c>
      <c r="Q14" s="130">
        <v>11476.4</v>
      </c>
      <c r="R14" s="130">
        <v>1</v>
      </c>
      <c r="S14" s="130">
        <v>14480</v>
      </c>
      <c r="T14" s="130"/>
      <c r="U14" s="130">
        <v>1661.7827199999999</v>
      </c>
      <c r="V14" s="133">
        <v>8.6000000000000003E-5</v>
      </c>
      <c r="W14" s="133">
        <v>2.3026000000000001E-2</v>
      </c>
      <c r="X14" s="133">
        <v>4.0099999999999999E-4</v>
      </c>
    </row>
    <row r="15" spans="1:24" x14ac:dyDescent="0.2">
      <c r="A15">
        <v>274</v>
      </c>
      <c r="B15">
        <v>274</v>
      </c>
      <c r="C15" t="s">
        <v>1469</v>
      </c>
      <c r="D15">
        <v>520041997</v>
      </c>
      <c r="E15" t="s">
        <v>429</v>
      </c>
      <c r="F15" t="s">
        <v>1469</v>
      </c>
      <c r="G15" t="s">
        <v>1470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254</v>
      </c>
      <c r="O15" t="s">
        <v>62</v>
      </c>
      <c r="P15" t="s">
        <v>1221</v>
      </c>
      <c r="Q15" s="130">
        <v>6922.76</v>
      </c>
      <c r="R15" s="130">
        <v>1</v>
      </c>
      <c r="S15" s="130">
        <v>37300</v>
      </c>
      <c r="T15" s="130"/>
      <c r="U15" s="130">
        <v>2582.18948</v>
      </c>
      <c r="V15" s="133">
        <v>6.0999999999999999E-5</v>
      </c>
      <c r="W15" s="133">
        <v>3.5778999999999998E-2</v>
      </c>
      <c r="X15" s="133">
        <v>6.2299999999999996E-4</v>
      </c>
    </row>
    <row r="16" spans="1:24" x14ac:dyDescent="0.2">
      <c r="A16">
        <v>274</v>
      </c>
      <c r="B16">
        <v>274</v>
      </c>
      <c r="C16" t="s">
        <v>1471</v>
      </c>
      <c r="D16">
        <v>513623314</v>
      </c>
      <c r="E16" t="s">
        <v>429</v>
      </c>
      <c r="F16" t="s">
        <v>1472</v>
      </c>
      <c r="G16" t="s">
        <v>1473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635</v>
      </c>
      <c r="O16" t="s">
        <v>62</v>
      </c>
      <c r="P16" t="s">
        <v>1221</v>
      </c>
      <c r="Q16" s="130">
        <v>1062</v>
      </c>
      <c r="R16" s="130">
        <v>1</v>
      </c>
      <c r="S16" s="130">
        <v>76490</v>
      </c>
      <c r="T16" s="130"/>
      <c r="U16" s="130">
        <v>812.32380000000001</v>
      </c>
      <c r="V16" s="133">
        <v>4.1999999999999998E-5</v>
      </c>
      <c r="W16" s="133">
        <v>1.1254999999999999E-2</v>
      </c>
      <c r="X16" s="133">
        <v>1.9599999999999999E-4</v>
      </c>
    </row>
    <row r="17" spans="1:24" x14ac:dyDescent="0.2">
      <c r="A17">
        <v>274</v>
      </c>
      <c r="B17">
        <v>274</v>
      </c>
      <c r="C17" t="s">
        <v>1474</v>
      </c>
      <c r="D17">
        <v>520013954</v>
      </c>
      <c r="E17" t="s">
        <v>429</v>
      </c>
      <c r="F17" t="s">
        <v>1474</v>
      </c>
      <c r="G17" t="s">
        <v>1475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85</v>
      </c>
      <c r="O17" t="s">
        <v>62</v>
      </c>
      <c r="P17" t="s">
        <v>1221</v>
      </c>
      <c r="Q17" s="130">
        <v>46805</v>
      </c>
      <c r="R17" s="130">
        <v>1</v>
      </c>
      <c r="S17" s="130">
        <v>10090</v>
      </c>
      <c r="T17" s="130"/>
      <c r="U17" s="130">
        <v>4722.6244999999999</v>
      </c>
      <c r="V17" s="133">
        <v>3.6999999999999998E-5</v>
      </c>
      <c r="W17" s="133">
        <v>6.5436999999999995E-2</v>
      </c>
      <c r="X17" s="133">
        <v>1.1410000000000001E-3</v>
      </c>
    </row>
    <row r="18" spans="1:24" x14ac:dyDescent="0.2">
      <c r="A18">
        <v>274</v>
      </c>
      <c r="B18">
        <v>274</v>
      </c>
      <c r="C18" t="s">
        <v>1476</v>
      </c>
      <c r="D18">
        <v>520031931</v>
      </c>
      <c r="E18" t="s">
        <v>429</v>
      </c>
      <c r="F18" t="s">
        <v>1477</v>
      </c>
      <c r="G18" t="s">
        <v>1478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260</v>
      </c>
      <c r="O18" t="s">
        <v>62</v>
      </c>
      <c r="P18" t="s">
        <v>1221</v>
      </c>
      <c r="Q18" s="130">
        <v>213331.5</v>
      </c>
      <c r="R18" s="130">
        <v>1</v>
      </c>
      <c r="S18" s="130">
        <v>709.9</v>
      </c>
      <c r="T18" s="130"/>
      <c r="U18" s="130">
        <v>1514.4403199999999</v>
      </c>
      <c r="V18" s="133">
        <v>7.6000000000000004E-5</v>
      </c>
      <c r="W18" s="133">
        <v>2.0983999999999999E-2</v>
      </c>
      <c r="X18" s="133">
        <v>3.6499999999999998E-4</v>
      </c>
    </row>
    <row r="19" spans="1:24" x14ac:dyDescent="0.2">
      <c r="A19">
        <v>274</v>
      </c>
      <c r="B19">
        <v>274</v>
      </c>
      <c r="C19" t="s">
        <v>1479</v>
      </c>
      <c r="D19">
        <v>520003781</v>
      </c>
      <c r="E19" t="s">
        <v>429</v>
      </c>
      <c r="F19" t="s">
        <v>1480</v>
      </c>
      <c r="G19" t="s">
        <v>1481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261</v>
      </c>
      <c r="O19" t="s">
        <v>62</v>
      </c>
      <c r="P19" t="s">
        <v>1221</v>
      </c>
      <c r="Q19" s="130">
        <v>6920</v>
      </c>
      <c r="R19" s="130">
        <v>1</v>
      </c>
      <c r="S19" s="130">
        <v>11100</v>
      </c>
      <c r="T19" s="130"/>
      <c r="U19" s="130">
        <v>768.12</v>
      </c>
      <c r="V19" s="133">
        <v>5.8E-5</v>
      </c>
      <c r="W19" s="133">
        <v>1.0643E-2</v>
      </c>
      <c r="X19" s="133">
        <v>1.85E-4</v>
      </c>
    </row>
    <row r="20" spans="1:24" x14ac:dyDescent="0.2">
      <c r="A20">
        <v>274</v>
      </c>
      <c r="B20">
        <v>274</v>
      </c>
      <c r="C20" t="s">
        <v>1482</v>
      </c>
      <c r="D20">
        <v>550013098</v>
      </c>
      <c r="E20" t="s">
        <v>429</v>
      </c>
      <c r="F20" t="s">
        <v>1483</v>
      </c>
      <c r="G20" t="s">
        <v>1484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267</v>
      </c>
      <c r="O20" t="s">
        <v>62</v>
      </c>
      <c r="P20" t="s">
        <v>1221</v>
      </c>
      <c r="Q20" s="130">
        <v>27828</v>
      </c>
      <c r="R20" s="130">
        <v>1</v>
      </c>
      <c r="S20" s="130">
        <v>1803</v>
      </c>
      <c r="T20" s="130"/>
      <c r="U20" s="130">
        <v>501.73883999999998</v>
      </c>
      <c r="V20" s="133">
        <v>2.3E-5</v>
      </c>
      <c r="W20" s="133">
        <v>6.9519999999999998E-3</v>
      </c>
      <c r="X20" s="133">
        <v>1.21E-4</v>
      </c>
    </row>
    <row r="21" spans="1:24" x14ac:dyDescent="0.2">
      <c r="A21">
        <v>274</v>
      </c>
      <c r="B21">
        <v>274</v>
      </c>
      <c r="C21" t="s">
        <v>1485</v>
      </c>
      <c r="D21">
        <v>520029083</v>
      </c>
      <c r="E21" t="s">
        <v>429</v>
      </c>
      <c r="F21" t="s">
        <v>1486</v>
      </c>
      <c r="G21" t="s">
        <v>1487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1221</v>
      </c>
      <c r="Q21" s="130">
        <v>4407</v>
      </c>
      <c r="R21" s="130">
        <v>1</v>
      </c>
      <c r="S21" s="130">
        <v>25050</v>
      </c>
      <c r="T21" s="130"/>
      <c r="U21" s="130">
        <v>1103.9535000000001</v>
      </c>
      <c r="V21" s="133">
        <v>4.3000000000000002E-5</v>
      </c>
      <c r="W21" s="133">
        <v>1.5296000000000001E-2</v>
      </c>
      <c r="X21" s="133">
        <v>2.6600000000000001E-4</v>
      </c>
    </row>
    <row r="22" spans="1:24" x14ac:dyDescent="0.2">
      <c r="A22">
        <v>274</v>
      </c>
      <c r="B22">
        <v>274</v>
      </c>
      <c r="C22" t="s">
        <v>1488</v>
      </c>
      <c r="D22">
        <v>520028010</v>
      </c>
      <c r="E22" t="s">
        <v>429</v>
      </c>
      <c r="F22" t="s">
        <v>1489</v>
      </c>
      <c r="G22" t="s">
        <v>1490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692</v>
      </c>
      <c r="O22" t="s">
        <v>62</v>
      </c>
      <c r="P22" t="s">
        <v>1221</v>
      </c>
      <c r="Q22" s="130">
        <v>330</v>
      </c>
      <c r="R22" s="130">
        <v>1</v>
      </c>
      <c r="S22" s="130">
        <v>92000</v>
      </c>
      <c r="T22" s="130"/>
      <c r="U22" s="130">
        <v>303.60000000000002</v>
      </c>
      <c r="V22" s="133">
        <v>4.1999999999999998E-5</v>
      </c>
      <c r="W22" s="133">
        <v>4.2059999999999997E-3</v>
      </c>
      <c r="X22" s="133">
        <v>7.2999999999999999E-5</v>
      </c>
    </row>
    <row r="23" spans="1:24" x14ac:dyDescent="0.2">
      <c r="A23">
        <v>274</v>
      </c>
      <c r="B23">
        <v>274</v>
      </c>
      <c r="C23" t="s">
        <v>1491</v>
      </c>
      <c r="D23">
        <v>511399388</v>
      </c>
      <c r="E23" t="s">
        <v>429</v>
      </c>
      <c r="F23" t="s">
        <v>1491</v>
      </c>
      <c r="G23" t="s">
        <v>1492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102</v>
      </c>
      <c r="O23" t="s">
        <v>62</v>
      </c>
      <c r="P23" t="s">
        <v>1221</v>
      </c>
      <c r="Q23" s="130">
        <v>1416</v>
      </c>
      <c r="R23" s="130">
        <v>1</v>
      </c>
      <c r="S23" s="130">
        <v>37470</v>
      </c>
      <c r="T23" s="130"/>
      <c r="U23" s="130">
        <v>530.5752</v>
      </c>
      <c r="V23" s="133">
        <v>6.3E-5</v>
      </c>
      <c r="W23" s="133">
        <v>7.3509999999999999E-3</v>
      </c>
      <c r="X23" s="133">
        <v>1.2799999999999999E-4</v>
      </c>
    </row>
    <row r="24" spans="1:24" x14ac:dyDescent="0.2">
      <c r="A24">
        <v>274</v>
      </c>
      <c r="B24">
        <v>274</v>
      </c>
      <c r="C24" t="s">
        <v>1493</v>
      </c>
      <c r="D24">
        <v>520026683</v>
      </c>
      <c r="E24" t="s">
        <v>429</v>
      </c>
      <c r="F24" t="s">
        <v>1494</v>
      </c>
      <c r="G24" t="s">
        <v>1495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635</v>
      </c>
      <c r="O24" t="s">
        <v>62</v>
      </c>
      <c r="P24" t="s">
        <v>1221</v>
      </c>
      <c r="Q24" s="130">
        <v>27219</v>
      </c>
      <c r="R24" s="130">
        <v>1</v>
      </c>
      <c r="S24" s="130">
        <v>2500</v>
      </c>
      <c r="T24" s="130"/>
      <c r="U24" s="130">
        <v>680.47500000000002</v>
      </c>
      <c r="V24" s="133">
        <v>5.5000000000000002E-5</v>
      </c>
      <c r="W24" s="133">
        <v>9.4280000000000006E-3</v>
      </c>
      <c r="X24" s="133">
        <v>1.64E-4</v>
      </c>
    </row>
    <row r="25" spans="1:24" x14ac:dyDescent="0.2">
      <c r="A25">
        <v>274</v>
      </c>
      <c r="B25">
        <v>274</v>
      </c>
      <c r="C25" t="s">
        <v>1496</v>
      </c>
      <c r="D25">
        <v>550012777</v>
      </c>
      <c r="E25" t="s">
        <v>429</v>
      </c>
      <c r="F25" t="s">
        <v>1497</v>
      </c>
      <c r="G25" t="s">
        <v>1498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267</v>
      </c>
      <c r="O25" t="s">
        <v>62</v>
      </c>
      <c r="P25" t="s">
        <v>1221</v>
      </c>
      <c r="Q25" s="130">
        <v>59330</v>
      </c>
      <c r="R25" s="130">
        <v>1</v>
      </c>
      <c r="S25" s="130">
        <v>477.4</v>
      </c>
      <c r="T25" s="130"/>
      <c r="U25" s="130">
        <v>283.24142000000001</v>
      </c>
      <c r="V25" s="133">
        <v>5.1999999999999997E-5</v>
      </c>
      <c r="W25" s="133">
        <v>3.9240000000000004E-3</v>
      </c>
      <c r="X25" s="133">
        <v>6.7999999999999999E-5</v>
      </c>
    </row>
    <row r="26" spans="1:24" x14ac:dyDescent="0.2">
      <c r="A26">
        <v>274</v>
      </c>
      <c r="B26">
        <v>274</v>
      </c>
      <c r="C26" t="s">
        <v>1224</v>
      </c>
      <c r="D26">
        <v>520000118</v>
      </c>
      <c r="E26" t="s">
        <v>429</v>
      </c>
      <c r="F26" t="s">
        <v>1499</v>
      </c>
      <c r="G26" t="s">
        <v>1500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1221</v>
      </c>
      <c r="Q26" s="130">
        <v>60320.18</v>
      </c>
      <c r="R26" s="130">
        <v>1</v>
      </c>
      <c r="S26" s="130">
        <v>7205</v>
      </c>
      <c r="T26" s="130"/>
      <c r="U26" s="130">
        <v>4346.0689700000003</v>
      </c>
      <c r="V26" s="133">
        <v>4.5000000000000003E-5</v>
      </c>
      <c r="W26" s="133">
        <v>6.0220000000000003E-2</v>
      </c>
      <c r="X26" s="133">
        <v>1.0499999999999999E-3</v>
      </c>
    </row>
    <row r="27" spans="1:24" x14ac:dyDescent="0.2">
      <c r="A27">
        <v>274</v>
      </c>
      <c r="B27">
        <v>274</v>
      </c>
      <c r="C27" t="s">
        <v>1501</v>
      </c>
      <c r="D27">
        <v>520036104</v>
      </c>
      <c r="E27" t="s">
        <v>429</v>
      </c>
      <c r="F27" t="s">
        <v>1501</v>
      </c>
      <c r="G27" t="s">
        <v>1502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140</v>
      </c>
      <c r="O27" t="s">
        <v>62</v>
      </c>
      <c r="P27" t="s">
        <v>1221</v>
      </c>
      <c r="Q27" s="130">
        <v>10262.6</v>
      </c>
      <c r="R27" s="130">
        <v>1</v>
      </c>
      <c r="S27" s="130">
        <v>1840</v>
      </c>
      <c r="T27" s="130"/>
      <c r="U27" s="130">
        <v>188.83184</v>
      </c>
      <c r="V27" s="133">
        <v>1.7E-5</v>
      </c>
      <c r="W27" s="133">
        <v>2.6159999999999998E-3</v>
      </c>
      <c r="X27" s="133">
        <v>4.5000000000000003E-5</v>
      </c>
    </row>
    <row r="28" spans="1:24" x14ac:dyDescent="0.2">
      <c r="A28">
        <v>274</v>
      </c>
      <c r="B28">
        <v>274</v>
      </c>
      <c r="C28" t="s">
        <v>1503</v>
      </c>
      <c r="D28">
        <v>520036872</v>
      </c>
      <c r="E28" t="s">
        <v>429</v>
      </c>
      <c r="F28" t="s">
        <v>1503</v>
      </c>
      <c r="G28" t="s">
        <v>1504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253</v>
      </c>
      <c r="O28" t="s">
        <v>62</v>
      </c>
      <c r="P28" t="s">
        <v>1221</v>
      </c>
      <c r="Q28" s="130">
        <v>5727</v>
      </c>
      <c r="R28" s="130">
        <v>1</v>
      </c>
      <c r="S28" s="130">
        <v>35710</v>
      </c>
      <c r="T28" s="130"/>
      <c r="U28" s="130">
        <v>2045.1116999999999</v>
      </c>
      <c r="V28" s="133">
        <v>7.6000000000000004E-5</v>
      </c>
      <c r="W28" s="133">
        <v>2.8337000000000001E-2</v>
      </c>
      <c r="X28" s="133">
        <v>4.9399999999999997E-4</v>
      </c>
    </row>
    <row r="29" spans="1:24" x14ac:dyDescent="0.2">
      <c r="A29">
        <v>274</v>
      </c>
      <c r="B29">
        <v>274</v>
      </c>
      <c r="C29" t="s">
        <v>1505</v>
      </c>
      <c r="D29">
        <v>520044322</v>
      </c>
      <c r="E29" t="s">
        <v>429</v>
      </c>
      <c r="F29" t="s">
        <v>1506</v>
      </c>
      <c r="G29" t="s">
        <v>1507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267</v>
      </c>
      <c r="O29" t="s">
        <v>62</v>
      </c>
      <c r="P29" t="s">
        <v>1221</v>
      </c>
      <c r="Q29" s="130">
        <v>349</v>
      </c>
      <c r="R29" s="130">
        <v>1</v>
      </c>
      <c r="S29" s="130">
        <v>85090</v>
      </c>
      <c r="T29" s="130"/>
      <c r="U29" s="130">
        <v>296.96409999999997</v>
      </c>
      <c r="V29" s="133">
        <v>1.8E-5</v>
      </c>
      <c r="W29" s="133">
        <v>4.1139999999999996E-3</v>
      </c>
      <c r="X29" s="133">
        <v>7.1000000000000005E-5</v>
      </c>
    </row>
    <row r="30" spans="1:24" x14ac:dyDescent="0.2">
      <c r="A30">
        <v>274</v>
      </c>
      <c r="B30">
        <v>274</v>
      </c>
      <c r="C30" t="s">
        <v>1508</v>
      </c>
      <c r="D30">
        <v>520007469</v>
      </c>
      <c r="E30" t="s">
        <v>429</v>
      </c>
      <c r="F30" t="s">
        <v>1508</v>
      </c>
      <c r="G30" t="s">
        <v>1509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1221</v>
      </c>
      <c r="Q30" s="130">
        <v>1782</v>
      </c>
      <c r="R30" s="130">
        <v>1</v>
      </c>
      <c r="S30" s="130">
        <v>39940</v>
      </c>
      <c r="T30" s="130"/>
      <c r="U30" s="130">
        <v>711.73080000000004</v>
      </c>
      <c r="V30" s="133">
        <v>2.8E-5</v>
      </c>
      <c r="W30" s="133">
        <v>9.861E-3</v>
      </c>
      <c r="X30" s="133">
        <v>1.7100000000000001E-4</v>
      </c>
    </row>
    <row r="31" spans="1:24" x14ac:dyDescent="0.2">
      <c r="A31">
        <v>274</v>
      </c>
      <c r="B31">
        <v>274</v>
      </c>
      <c r="C31" t="s">
        <v>1510</v>
      </c>
      <c r="D31">
        <v>520024126</v>
      </c>
      <c r="E31" t="s">
        <v>429</v>
      </c>
      <c r="F31" t="s">
        <v>1511</v>
      </c>
      <c r="G31" t="s">
        <v>1512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635</v>
      </c>
      <c r="O31" t="s">
        <v>62</v>
      </c>
      <c r="P31" t="s">
        <v>1221</v>
      </c>
      <c r="Q31" s="130">
        <v>19144</v>
      </c>
      <c r="R31" s="130">
        <v>1</v>
      </c>
      <c r="S31" s="130">
        <v>1559</v>
      </c>
      <c r="T31" s="130"/>
      <c r="U31" s="130">
        <v>298.45496000000003</v>
      </c>
      <c r="V31" s="133">
        <v>2.5999999999999998E-5</v>
      </c>
      <c r="W31" s="133">
        <v>4.1349999999999998E-3</v>
      </c>
      <c r="X31" s="133">
        <v>7.2000000000000002E-5</v>
      </c>
    </row>
    <row r="32" spans="1:24" x14ac:dyDescent="0.2">
      <c r="A32">
        <v>274</v>
      </c>
      <c r="B32">
        <v>274</v>
      </c>
      <c r="C32" t="s">
        <v>1513</v>
      </c>
      <c r="D32">
        <v>511930125</v>
      </c>
      <c r="E32" t="s">
        <v>429</v>
      </c>
      <c r="F32" t="s">
        <v>1514</v>
      </c>
      <c r="G32" t="s">
        <v>1515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75</v>
      </c>
      <c r="O32" t="s">
        <v>62</v>
      </c>
      <c r="P32" t="s">
        <v>1221</v>
      </c>
      <c r="Q32" s="130">
        <v>8680</v>
      </c>
      <c r="R32" s="130">
        <v>1</v>
      </c>
      <c r="S32" s="130">
        <v>3750</v>
      </c>
      <c r="T32" s="130"/>
      <c r="U32" s="130">
        <v>325.5</v>
      </c>
      <c r="V32" s="133">
        <v>5.1E-5</v>
      </c>
      <c r="W32" s="133">
        <v>4.5100000000000001E-3</v>
      </c>
      <c r="X32" s="133">
        <v>7.7999999999999999E-5</v>
      </c>
    </row>
    <row r="33" spans="1:24" x14ac:dyDescent="0.2">
      <c r="A33">
        <v>274</v>
      </c>
      <c r="B33">
        <v>274</v>
      </c>
      <c r="C33" t="s">
        <v>1516</v>
      </c>
      <c r="D33">
        <v>880326081</v>
      </c>
      <c r="E33" t="s">
        <v>429</v>
      </c>
      <c r="F33" t="s">
        <v>1517</v>
      </c>
      <c r="G33" t="s">
        <v>1518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631</v>
      </c>
      <c r="O33" t="s">
        <v>62</v>
      </c>
      <c r="P33" t="s">
        <v>1221</v>
      </c>
      <c r="Q33" s="130">
        <v>1662</v>
      </c>
      <c r="R33" s="130">
        <v>1</v>
      </c>
      <c r="S33" s="130">
        <v>35050</v>
      </c>
      <c r="T33" s="130"/>
      <c r="U33" s="130">
        <v>582.53099999999995</v>
      </c>
      <c r="V33" s="133">
        <v>2.9E-5</v>
      </c>
      <c r="W33" s="133">
        <v>8.071E-3</v>
      </c>
      <c r="X33" s="133">
        <v>1.3999999999999999E-4</v>
      </c>
    </row>
    <row r="34" spans="1:24" x14ac:dyDescent="0.2">
      <c r="A34">
        <v>274</v>
      </c>
      <c r="B34">
        <v>274</v>
      </c>
      <c r="C34" t="s">
        <v>1519</v>
      </c>
      <c r="D34">
        <v>520044314</v>
      </c>
      <c r="E34" t="s">
        <v>429</v>
      </c>
      <c r="F34" t="s">
        <v>1519</v>
      </c>
      <c r="G34" t="s">
        <v>1520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75</v>
      </c>
      <c r="O34" t="s">
        <v>62</v>
      </c>
      <c r="P34" t="s">
        <v>1221</v>
      </c>
      <c r="Q34" s="130">
        <v>5554</v>
      </c>
      <c r="R34" s="130">
        <v>1</v>
      </c>
      <c r="S34" s="130">
        <v>3849</v>
      </c>
      <c r="T34" s="130"/>
      <c r="U34" s="130">
        <v>213.77346</v>
      </c>
      <c r="V34" s="133">
        <v>2.8E-5</v>
      </c>
      <c r="W34" s="133">
        <v>2.9619999999999998E-3</v>
      </c>
      <c r="X34" s="133">
        <v>5.1E-5</v>
      </c>
    </row>
    <row r="35" spans="1:24" x14ac:dyDescent="0.2">
      <c r="A35">
        <v>274</v>
      </c>
      <c r="B35">
        <v>274</v>
      </c>
      <c r="C35" t="s">
        <v>1521</v>
      </c>
      <c r="D35">
        <v>550263107</v>
      </c>
      <c r="E35" t="s">
        <v>432</v>
      </c>
      <c r="F35" t="s">
        <v>1522</v>
      </c>
      <c r="G35" t="s">
        <v>1523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267</v>
      </c>
      <c r="O35" t="s">
        <v>62</v>
      </c>
      <c r="P35" t="s">
        <v>1221</v>
      </c>
      <c r="Q35" s="130">
        <v>10078</v>
      </c>
      <c r="R35" s="130">
        <v>1</v>
      </c>
      <c r="S35" s="130">
        <v>11640</v>
      </c>
      <c r="T35" s="130"/>
      <c r="U35" s="130">
        <v>1173.0791999999999</v>
      </c>
      <c r="V35" s="133">
        <v>8.6000000000000003E-5</v>
      </c>
      <c r="W35" s="133">
        <v>1.6254000000000001E-2</v>
      </c>
      <c r="X35" s="133">
        <v>2.8299999999999999E-4</v>
      </c>
    </row>
    <row r="36" spans="1:24" x14ac:dyDescent="0.2">
      <c r="A36">
        <v>274</v>
      </c>
      <c r="B36">
        <v>274</v>
      </c>
      <c r="C36" t="s">
        <v>1524</v>
      </c>
      <c r="D36">
        <v>510381601</v>
      </c>
      <c r="E36" t="s">
        <v>429</v>
      </c>
      <c r="F36" t="s">
        <v>1525</v>
      </c>
      <c r="G36" t="s">
        <v>1526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140</v>
      </c>
      <c r="O36" t="s">
        <v>62</v>
      </c>
      <c r="P36" t="s">
        <v>1221</v>
      </c>
      <c r="Q36" s="130">
        <v>4314</v>
      </c>
      <c r="R36" s="130">
        <v>1</v>
      </c>
      <c r="S36" s="130">
        <v>7015</v>
      </c>
      <c r="T36" s="130"/>
      <c r="U36" s="130">
        <v>302.62709999999998</v>
      </c>
      <c r="V36" s="133">
        <v>3.8000000000000002E-5</v>
      </c>
      <c r="W36" s="133">
        <v>4.1929999999999997E-3</v>
      </c>
      <c r="X36" s="133">
        <v>7.2999999999999999E-5</v>
      </c>
    </row>
    <row r="37" spans="1:24" x14ac:dyDescent="0.2">
      <c r="A37">
        <v>274</v>
      </c>
      <c r="B37">
        <v>274</v>
      </c>
      <c r="C37" t="s">
        <v>1527</v>
      </c>
      <c r="D37">
        <v>511235434</v>
      </c>
      <c r="E37" t="s">
        <v>429</v>
      </c>
      <c r="F37" t="s">
        <v>1527</v>
      </c>
      <c r="G37" t="s">
        <v>1528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252</v>
      </c>
      <c r="O37" t="s">
        <v>62</v>
      </c>
      <c r="P37" t="s">
        <v>1221</v>
      </c>
      <c r="Q37" s="130">
        <v>3006</v>
      </c>
      <c r="R37" s="130">
        <v>1</v>
      </c>
      <c r="S37" s="130">
        <v>34250</v>
      </c>
      <c r="T37" s="130"/>
      <c r="U37" s="130">
        <v>1029.5550000000001</v>
      </c>
      <c r="V37" s="133">
        <v>6.2000000000000003E-5</v>
      </c>
      <c r="W37" s="133">
        <v>1.4265E-2</v>
      </c>
      <c r="X37" s="133">
        <v>2.4800000000000001E-4</v>
      </c>
    </row>
    <row r="38" spans="1:24" x14ac:dyDescent="0.2">
      <c r="A38">
        <v>274</v>
      </c>
      <c r="B38">
        <v>274</v>
      </c>
      <c r="C38" t="s">
        <v>1529</v>
      </c>
      <c r="D38">
        <v>520027830</v>
      </c>
      <c r="E38" t="s">
        <v>429</v>
      </c>
      <c r="F38" t="s">
        <v>1530</v>
      </c>
      <c r="G38" t="s">
        <v>1531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265</v>
      </c>
      <c r="O38" t="s">
        <v>62</v>
      </c>
      <c r="P38" t="s">
        <v>1221</v>
      </c>
      <c r="Q38" s="130">
        <v>82882</v>
      </c>
      <c r="R38" s="130">
        <v>1</v>
      </c>
      <c r="S38" s="130">
        <v>1830</v>
      </c>
      <c r="T38" s="130"/>
      <c r="U38" s="130">
        <v>1516.7406000000001</v>
      </c>
      <c r="V38" s="133">
        <v>6.3E-5</v>
      </c>
      <c r="W38" s="133">
        <v>2.1016E-2</v>
      </c>
      <c r="X38" s="133">
        <v>3.6600000000000001E-4</v>
      </c>
    </row>
    <row r="39" spans="1:24" x14ac:dyDescent="0.2">
      <c r="A39">
        <v>274</v>
      </c>
      <c r="B39">
        <v>274</v>
      </c>
      <c r="C39" t="s">
        <v>1295</v>
      </c>
      <c r="D39">
        <v>510960719</v>
      </c>
      <c r="E39" t="s">
        <v>429</v>
      </c>
      <c r="F39" t="s">
        <v>1532</v>
      </c>
      <c r="G39" t="s">
        <v>1533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635</v>
      </c>
      <c r="O39" t="s">
        <v>62</v>
      </c>
      <c r="P39" t="s">
        <v>1221</v>
      </c>
      <c r="Q39" s="130">
        <v>3874</v>
      </c>
      <c r="R39" s="130">
        <v>1</v>
      </c>
      <c r="S39" s="130">
        <v>36050</v>
      </c>
      <c r="T39" s="130"/>
      <c r="U39" s="130">
        <v>1396.577</v>
      </c>
      <c r="V39" s="133">
        <v>3.1000000000000001E-5</v>
      </c>
      <c r="W39" s="133">
        <v>1.9351E-2</v>
      </c>
      <c r="X39" s="133">
        <v>3.3700000000000001E-4</v>
      </c>
    </row>
    <row r="40" spans="1:24" x14ac:dyDescent="0.2">
      <c r="A40">
        <v>274</v>
      </c>
      <c r="B40">
        <v>274</v>
      </c>
      <c r="C40" t="s">
        <v>1534</v>
      </c>
      <c r="D40">
        <v>513821488</v>
      </c>
      <c r="E40" t="s">
        <v>429</v>
      </c>
      <c r="F40" t="s">
        <v>1534</v>
      </c>
      <c r="G40" t="s">
        <v>1535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635</v>
      </c>
      <c r="O40" t="s">
        <v>62</v>
      </c>
      <c r="P40" t="s">
        <v>1221</v>
      </c>
      <c r="Q40" s="130">
        <v>20598</v>
      </c>
      <c r="R40" s="130">
        <v>1</v>
      </c>
      <c r="S40" s="130">
        <v>2721</v>
      </c>
      <c r="T40" s="130"/>
      <c r="U40" s="130">
        <v>560.47158000000002</v>
      </c>
      <c r="V40" s="133">
        <v>1.02E-4</v>
      </c>
      <c r="W40" s="133">
        <v>7.7660000000000003E-3</v>
      </c>
      <c r="X40" s="133">
        <v>1.35E-4</v>
      </c>
    </row>
    <row r="41" spans="1:24" x14ac:dyDescent="0.2">
      <c r="A41">
        <v>274</v>
      </c>
      <c r="B41">
        <v>274</v>
      </c>
      <c r="C41" t="s">
        <v>1276</v>
      </c>
      <c r="D41">
        <v>520018078</v>
      </c>
      <c r="E41" t="s">
        <v>429</v>
      </c>
      <c r="F41" t="s">
        <v>1276</v>
      </c>
      <c r="G41" t="s">
        <v>1536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256</v>
      </c>
      <c r="O41" t="s">
        <v>62</v>
      </c>
      <c r="P41" t="s">
        <v>1221</v>
      </c>
      <c r="Q41" s="130">
        <v>58076.21</v>
      </c>
      <c r="R41" s="130">
        <v>1</v>
      </c>
      <c r="S41" s="130">
        <v>7020</v>
      </c>
      <c r="T41" s="130"/>
      <c r="U41" s="130">
        <v>4076.94994</v>
      </c>
      <c r="V41" s="133">
        <v>3.4999999999999997E-5</v>
      </c>
      <c r="W41" s="133">
        <v>5.6491E-2</v>
      </c>
      <c r="X41" s="133">
        <v>9.8499999999999998E-4</v>
      </c>
    </row>
    <row r="42" spans="1:24" x14ac:dyDescent="0.2">
      <c r="A42">
        <v>274</v>
      </c>
      <c r="B42">
        <v>274</v>
      </c>
      <c r="C42" t="s">
        <v>1222</v>
      </c>
      <c r="D42">
        <v>520007030</v>
      </c>
      <c r="E42" t="s">
        <v>429</v>
      </c>
      <c r="F42" t="s">
        <v>1537</v>
      </c>
      <c r="G42" t="s">
        <v>1538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256</v>
      </c>
      <c r="O42" t="s">
        <v>62</v>
      </c>
      <c r="P42" t="s">
        <v>1221</v>
      </c>
      <c r="Q42" s="130">
        <v>130609.49</v>
      </c>
      <c r="R42" s="130">
        <v>1</v>
      </c>
      <c r="S42" s="130">
        <v>3382</v>
      </c>
      <c r="T42" s="130"/>
      <c r="U42" s="130">
        <v>4417.2129500000001</v>
      </c>
      <c r="V42" s="133">
        <v>1.05E-4</v>
      </c>
      <c r="W42" s="133">
        <v>6.1206000000000003E-2</v>
      </c>
      <c r="X42" s="133">
        <v>1.067E-3</v>
      </c>
    </row>
    <row r="43" spans="1:24" x14ac:dyDescent="0.2">
      <c r="A43">
        <v>274</v>
      </c>
      <c r="B43">
        <v>274</v>
      </c>
      <c r="C43" t="s">
        <v>1539</v>
      </c>
      <c r="D43">
        <v>520043027</v>
      </c>
      <c r="E43" t="s">
        <v>429</v>
      </c>
      <c r="F43" t="s">
        <v>1539</v>
      </c>
      <c r="G43" t="s">
        <v>1540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638</v>
      </c>
      <c r="O43" t="s">
        <v>62</v>
      </c>
      <c r="P43" t="s">
        <v>1221</v>
      </c>
      <c r="Q43" s="130">
        <v>2824</v>
      </c>
      <c r="R43" s="130">
        <v>1</v>
      </c>
      <c r="S43" s="130">
        <v>183600</v>
      </c>
      <c r="T43" s="130">
        <v>6.7373599999999998</v>
      </c>
      <c r="U43" s="130">
        <v>5191.6013599999997</v>
      </c>
      <c r="V43" s="133">
        <v>6.0000000000000002E-5</v>
      </c>
      <c r="W43" s="133">
        <v>7.1934999999999999E-2</v>
      </c>
      <c r="X43" s="133">
        <v>1.253E-3</v>
      </c>
    </row>
    <row r="44" spans="1:24" x14ac:dyDescent="0.2">
      <c r="A44">
        <v>274</v>
      </c>
      <c r="B44">
        <v>274</v>
      </c>
      <c r="C44" t="s">
        <v>1541</v>
      </c>
      <c r="D44">
        <v>520033234</v>
      </c>
      <c r="E44" t="s">
        <v>429</v>
      </c>
      <c r="F44" t="s">
        <v>1542</v>
      </c>
      <c r="G44" t="s">
        <v>1543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636</v>
      </c>
      <c r="O44" t="s">
        <v>62</v>
      </c>
      <c r="P44" t="s">
        <v>1221</v>
      </c>
      <c r="Q44" s="130">
        <v>49996</v>
      </c>
      <c r="R44" s="130">
        <v>1</v>
      </c>
      <c r="S44" s="130">
        <v>800</v>
      </c>
      <c r="T44" s="130"/>
      <c r="U44" s="130">
        <v>399.96800000000002</v>
      </c>
      <c r="V44" s="133">
        <v>2.4899999999999998E-4</v>
      </c>
      <c r="W44" s="133">
        <v>5.5420000000000001E-3</v>
      </c>
      <c r="X44" s="133">
        <v>9.6000000000000002E-5</v>
      </c>
    </row>
    <row r="45" spans="1:24" x14ac:dyDescent="0.2">
      <c r="A45">
        <v>274</v>
      </c>
      <c r="B45">
        <v>274</v>
      </c>
      <c r="C45" t="s">
        <v>1544</v>
      </c>
      <c r="D45">
        <v>520022732</v>
      </c>
      <c r="E45" t="s">
        <v>429</v>
      </c>
      <c r="F45" t="s">
        <v>1544</v>
      </c>
      <c r="G45" t="s">
        <v>1545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634</v>
      </c>
      <c r="O45" t="s">
        <v>62</v>
      </c>
      <c r="P45" t="s">
        <v>1221</v>
      </c>
      <c r="Q45" s="130">
        <v>20946</v>
      </c>
      <c r="R45" s="130">
        <v>1</v>
      </c>
      <c r="S45" s="130">
        <v>3976</v>
      </c>
      <c r="T45" s="130"/>
      <c r="U45" s="130">
        <v>832.81295999999998</v>
      </c>
      <c r="V45" s="133">
        <v>7.4999999999999993E-5</v>
      </c>
      <c r="W45" s="133">
        <v>1.1539000000000001E-2</v>
      </c>
      <c r="X45" s="133">
        <v>2.0100000000000001E-4</v>
      </c>
    </row>
    <row r="46" spans="1:24" x14ac:dyDescent="0.2">
      <c r="A46">
        <v>274</v>
      </c>
      <c r="B46">
        <v>274</v>
      </c>
      <c r="C46" t="s">
        <v>1503</v>
      </c>
      <c r="D46">
        <v>520036872</v>
      </c>
      <c r="E46" t="s">
        <v>429</v>
      </c>
      <c r="F46" t="s">
        <v>1546</v>
      </c>
      <c r="G46" t="s">
        <v>1547</v>
      </c>
      <c r="H46" t="s">
        <v>76</v>
      </c>
      <c r="I46" t="s">
        <v>73</v>
      </c>
      <c r="J46" t="s">
        <v>61</v>
      </c>
      <c r="K46" t="s">
        <v>53</v>
      </c>
      <c r="L46" t="s">
        <v>805</v>
      </c>
      <c r="M46" t="s">
        <v>479</v>
      </c>
      <c r="N46" t="s">
        <v>899</v>
      </c>
      <c r="O46" t="s">
        <v>62</v>
      </c>
      <c r="P46" t="s">
        <v>1218</v>
      </c>
      <c r="Q46" s="130">
        <v>928</v>
      </c>
      <c r="R46" s="130">
        <v>3.19</v>
      </c>
      <c r="S46" s="130">
        <v>11304</v>
      </c>
      <c r="T46" s="130"/>
      <c r="U46" s="130">
        <v>334.63457</v>
      </c>
      <c r="V46" s="133">
        <v>1.5E-5</v>
      </c>
      <c r="W46" s="133">
        <v>4.6360000000000004E-3</v>
      </c>
      <c r="X46" s="133">
        <v>8.0000000000000007E-5</v>
      </c>
    </row>
    <row r="47" spans="1:24" x14ac:dyDescent="0.2">
      <c r="A47">
        <v>274</v>
      </c>
      <c r="B47">
        <v>274</v>
      </c>
      <c r="C47" t="s">
        <v>1474</v>
      </c>
      <c r="D47">
        <v>520013954</v>
      </c>
      <c r="E47" t="s">
        <v>429</v>
      </c>
      <c r="F47" t="s">
        <v>1548</v>
      </c>
      <c r="G47" t="s">
        <v>1549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476</v>
      </c>
      <c r="N47" t="s">
        <v>894</v>
      </c>
      <c r="O47" t="s">
        <v>62</v>
      </c>
      <c r="P47" t="s">
        <v>1218</v>
      </c>
      <c r="Q47" s="130">
        <v>26725</v>
      </c>
      <c r="R47" s="130">
        <v>3.19</v>
      </c>
      <c r="S47" s="130">
        <v>3121</v>
      </c>
      <c r="T47" s="130"/>
      <c r="U47" s="130">
        <v>2660.7383300000001</v>
      </c>
      <c r="V47" s="133">
        <v>2.3E-5</v>
      </c>
      <c r="W47" s="133">
        <v>3.6866999999999997E-2</v>
      </c>
      <c r="X47" s="133">
        <v>6.4199999999999999E-4</v>
      </c>
    </row>
    <row r="48" spans="1:24" x14ac:dyDescent="0.2">
      <c r="A48">
        <v>274</v>
      </c>
      <c r="B48">
        <v>274</v>
      </c>
      <c r="C48" t="s">
        <v>1550</v>
      </c>
      <c r="D48" t="s">
        <v>1551</v>
      </c>
      <c r="E48" t="s">
        <v>430</v>
      </c>
      <c r="F48" t="s">
        <v>1552</v>
      </c>
      <c r="G48" t="s">
        <v>1553</v>
      </c>
      <c r="H48" t="s">
        <v>76</v>
      </c>
      <c r="I48" t="s">
        <v>73</v>
      </c>
      <c r="J48" t="s">
        <v>61</v>
      </c>
      <c r="K48" t="s">
        <v>317</v>
      </c>
      <c r="L48" t="s">
        <v>805</v>
      </c>
      <c r="M48" t="s">
        <v>476</v>
      </c>
      <c r="N48" t="s">
        <v>202</v>
      </c>
      <c r="O48" t="s">
        <v>62</v>
      </c>
      <c r="P48" t="s">
        <v>1218</v>
      </c>
      <c r="Q48" s="130">
        <v>282</v>
      </c>
      <c r="R48" s="130">
        <v>3.19</v>
      </c>
      <c r="S48" s="130">
        <v>30389</v>
      </c>
      <c r="T48" s="130">
        <v>0.2243</v>
      </c>
      <c r="U48" s="130">
        <v>274.08888999999999</v>
      </c>
      <c r="V48" s="133">
        <v>0</v>
      </c>
      <c r="W48" s="133">
        <v>3.7959999999999999E-3</v>
      </c>
      <c r="X48" s="133">
        <v>6.6000000000000005E-5</v>
      </c>
    </row>
    <row r="49" spans="1:24" x14ac:dyDescent="0.2">
      <c r="A49">
        <v>274</v>
      </c>
      <c r="B49">
        <v>274</v>
      </c>
      <c r="C49" t="s">
        <v>1358</v>
      </c>
      <c r="D49" t="s">
        <v>1359</v>
      </c>
      <c r="E49" t="s">
        <v>430</v>
      </c>
      <c r="F49" t="s">
        <v>1554</v>
      </c>
      <c r="G49" t="s">
        <v>1555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901</v>
      </c>
      <c r="O49" t="s">
        <v>62</v>
      </c>
      <c r="P49" t="s">
        <v>1218</v>
      </c>
      <c r="Q49" s="130">
        <v>114</v>
      </c>
      <c r="R49" s="130">
        <v>3.19</v>
      </c>
      <c r="S49" s="130">
        <v>28541</v>
      </c>
      <c r="T49" s="130">
        <v>1.3100000000000001E-2</v>
      </c>
      <c r="U49" s="130">
        <v>103.83399</v>
      </c>
      <c r="V49" s="133">
        <v>0</v>
      </c>
      <c r="W49" s="133">
        <v>1.438E-3</v>
      </c>
      <c r="X49" s="133">
        <v>2.5000000000000001E-5</v>
      </c>
    </row>
    <row r="50" spans="1:24" x14ac:dyDescent="0.2">
      <c r="A50">
        <v>274</v>
      </c>
      <c r="B50">
        <v>274</v>
      </c>
      <c r="C50" t="s">
        <v>1527</v>
      </c>
      <c r="D50">
        <v>511235434</v>
      </c>
      <c r="E50" t="s">
        <v>429</v>
      </c>
      <c r="F50" t="s">
        <v>1556</v>
      </c>
      <c r="G50" t="s">
        <v>1528</v>
      </c>
      <c r="H50" t="s">
        <v>76</v>
      </c>
      <c r="I50" t="s">
        <v>73</v>
      </c>
      <c r="J50" t="s">
        <v>61</v>
      </c>
      <c r="K50" t="s">
        <v>53</v>
      </c>
      <c r="L50" t="s">
        <v>805</v>
      </c>
      <c r="M50" t="s">
        <v>476</v>
      </c>
      <c r="N50" t="s">
        <v>202</v>
      </c>
      <c r="O50" t="s">
        <v>62</v>
      </c>
      <c r="P50" t="s">
        <v>1218</v>
      </c>
      <c r="Q50" s="130">
        <v>633</v>
      </c>
      <c r="R50" s="130">
        <v>3.19</v>
      </c>
      <c r="S50" s="130">
        <v>10634.5</v>
      </c>
      <c r="T50" s="132"/>
      <c r="U50" s="130">
        <v>214.73927</v>
      </c>
      <c r="V50" s="133">
        <v>1.2999999999999999E-5</v>
      </c>
      <c r="W50" s="133">
        <v>2.9750000000000002E-3</v>
      </c>
      <c r="X50" s="133">
        <v>5.1E-5</v>
      </c>
    </row>
    <row r="51" spans="1:24" x14ac:dyDescent="0.2">
      <c r="A51">
        <v>274</v>
      </c>
      <c r="B51">
        <v>274</v>
      </c>
      <c r="C51" t="s">
        <v>1557</v>
      </c>
      <c r="D51" t="s">
        <v>1558</v>
      </c>
      <c r="E51" t="s">
        <v>430</v>
      </c>
      <c r="F51" t="s">
        <v>1559</v>
      </c>
      <c r="G51" t="s">
        <v>1560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903</v>
      </c>
      <c r="O51" t="s">
        <v>62</v>
      </c>
      <c r="P51" t="s">
        <v>1218</v>
      </c>
      <c r="Q51" s="130">
        <v>380</v>
      </c>
      <c r="R51" s="130">
        <v>3.19</v>
      </c>
      <c r="S51" s="130">
        <v>31300</v>
      </c>
      <c r="T51" s="132"/>
      <c r="U51" s="130">
        <v>379.41860000000003</v>
      </c>
      <c r="V51" s="133">
        <v>0</v>
      </c>
      <c r="W51" s="133">
        <v>5.2570000000000004E-3</v>
      </c>
      <c r="X51" s="133">
        <v>9.1000000000000003E-5</v>
      </c>
    </row>
    <row r="52" spans="1:24" x14ac:dyDescent="0.2">
      <c r="A52">
        <v>274</v>
      </c>
      <c r="B52">
        <v>274</v>
      </c>
      <c r="C52" t="s">
        <v>1561</v>
      </c>
      <c r="D52" t="s">
        <v>1562</v>
      </c>
      <c r="E52" t="s">
        <v>430</v>
      </c>
      <c r="F52" t="s">
        <v>1563</v>
      </c>
      <c r="G52" t="s">
        <v>1564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951</v>
      </c>
      <c r="O52" t="s">
        <v>62</v>
      </c>
      <c r="P52" t="s">
        <v>1218</v>
      </c>
      <c r="Q52" s="130">
        <v>91</v>
      </c>
      <c r="R52" s="130">
        <v>3.19</v>
      </c>
      <c r="S52" s="130">
        <v>66009</v>
      </c>
      <c r="T52" s="132"/>
      <c r="U52" s="130">
        <v>191.61752999999999</v>
      </c>
      <c r="V52" s="133">
        <v>0</v>
      </c>
      <c r="W52" s="133">
        <v>2.6549999999999998E-3</v>
      </c>
      <c r="X52" s="133">
        <v>4.6E-5</v>
      </c>
    </row>
    <row r="53" spans="1:24" x14ac:dyDescent="0.2">
      <c r="A53">
        <v>274</v>
      </c>
      <c r="B53">
        <v>274</v>
      </c>
      <c r="C53" t="s">
        <v>1441</v>
      </c>
      <c r="D53">
        <v>511812463</v>
      </c>
      <c r="E53" t="s">
        <v>429</v>
      </c>
      <c r="F53" t="s">
        <v>1565</v>
      </c>
      <c r="G53" t="s">
        <v>1443</v>
      </c>
      <c r="H53" t="s">
        <v>76</v>
      </c>
      <c r="I53" t="s">
        <v>73</v>
      </c>
      <c r="J53" t="s">
        <v>61</v>
      </c>
      <c r="K53" t="s">
        <v>53</v>
      </c>
      <c r="L53" t="s">
        <v>805</v>
      </c>
      <c r="M53" t="s">
        <v>479</v>
      </c>
      <c r="N53" t="s">
        <v>202</v>
      </c>
      <c r="O53" t="s">
        <v>62</v>
      </c>
      <c r="P53" t="s">
        <v>1218</v>
      </c>
      <c r="Q53" s="130">
        <v>1614</v>
      </c>
      <c r="R53" s="130">
        <v>3.19</v>
      </c>
      <c r="S53" s="130">
        <v>32839</v>
      </c>
      <c r="T53" s="132"/>
      <c r="U53" s="130">
        <v>1690.76846</v>
      </c>
      <c r="V53" s="133">
        <v>5.5000000000000002E-5</v>
      </c>
      <c r="W53" s="133">
        <v>2.3427E-2</v>
      </c>
      <c r="X53" s="133">
        <v>4.08E-4</v>
      </c>
    </row>
    <row r="54" spans="1:24" x14ac:dyDescent="0.2">
      <c r="A54">
        <v>274</v>
      </c>
      <c r="B54">
        <v>274</v>
      </c>
      <c r="C54" t="s">
        <v>1469</v>
      </c>
      <c r="D54">
        <v>520041997</v>
      </c>
      <c r="E54" t="s">
        <v>429</v>
      </c>
      <c r="F54" t="s">
        <v>1566</v>
      </c>
      <c r="G54" t="s">
        <v>1470</v>
      </c>
      <c r="H54" t="s">
        <v>76</v>
      </c>
      <c r="I54" t="s">
        <v>73</v>
      </c>
      <c r="J54" t="s">
        <v>61</v>
      </c>
      <c r="K54" t="s">
        <v>53</v>
      </c>
      <c r="L54" t="s">
        <v>805</v>
      </c>
      <c r="M54" t="s">
        <v>479</v>
      </c>
      <c r="N54" t="s">
        <v>202</v>
      </c>
      <c r="O54" t="s">
        <v>62</v>
      </c>
      <c r="P54" t="s">
        <v>1218</v>
      </c>
      <c r="Q54" s="130">
        <v>5790</v>
      </c>
      <c r="R54" s="130">
        <v>3.19</v>
      </c>
      <c r="S54" s="130">
        <v>11742</v>
      </c>
      <c r="T54" s="132"/>
      <c r="U54" s="130">
        <v>2168.7591400000001</v>
      </c>
      <c r="V54" s="133">
        <v>5.1E-5</v>
      </c>
      <c r="W54" s="133">
        <v>3.005E-2</v>
      </c>
      <c r="X54" s="133">
        <v>5.2400000000000005E-4</v>
      </c>
    </row>
    <row r="55" spans="1:24" x14ac:dyDescent="0.2">
      <c r="A55">
        <v>274</v>
      </c>
      <c r="B55">
        <v>274</v>
      </c>
      <c r="C55" t="s">
        <v>1567</v>
      </c>
      <c r="D55" t="s">
        <v>1568</v>
      </c>
      <c r="E55" t="s">
        <v>430</v>
      </c>
      <c r="F55" t="s">
        <v>1569</v>
      </c>
      <c r="G55" t="s">
        <v>1570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1134</v>
      </c>
      <c r="O55" t="s">
        <v>62</v>
      </c>
      <c r="P55" t="s">
        <v>1218</v>
      </c>
      <c r="Q55" s="130">
        <v>287</v>
      </c>
      <c r="R55" s="130">
        <v>3.19</v>
      </c>
      <c r="S55" s="130">
        <v>44972</v>
      </c>
      <c r="T55" s="132"/>
      <c r="U55" s="130">
        <v>411.73214999999999</v>
      </c>
      <c r="V55" s="133">
        <v>0</v>
      </c>
      <c r="W55" s="133">
        <v>5.705E-3</v>
      </c>
      <c r="X55" s="133">
        <v>9.8999999999999994E-5</v>
      </c>
    </row>
    <row r="56" spans="1:24" x14ac:dyDescent="0.2">
      <c r="A56">
        <v>274</v>
      </c>
      <c r="B56">
        <v>274</v>
      </c>
      <c r="C56" t="s">
        <v>1571</v>
      </c>
      <c r="D56" t="s">
        <v>1572</v>
      </c>
      <c r="E56" t="s">
        <v>430</v>
      </c>
      <c r="F56" t="s">
        <v>1573</v>
      </c>
      <c r="G56" t="s">
        <v>1574</v>
      </c>
      <c r="H56" t="s">
        <v>76</v>
      </c>
      <c r="I56" t="s">
        <v>73</v>
      </c>
      <c r="J56" t="s">
        <v>61</v>
      </c>
      <c r="K56" t="s">
        <v>314</v>
      </c>
      <c r="L56" t="s">
        <v>805</v>
      </c>
      <c r="M56" t="s">
        <v>479</v>
      </c>
      <c r="N56" t="s">
        <v>901</v>
      </c>
      <c r="O56" t="s">
        <v>62</v>
      </c>
      <c r="P56" t="s">
        <v>1218</v>
      </c>
      <c r="Q56" s="130">
        <v>328</v>
      </c>
      <c r="R56" s="130">
        <v>3.19</v>
      </c>
      <c r="S56" s="130">
        <v>26123</v>
      </c>
      <c r="T56" s="132"/>
      <c r="U56" s="130">
        <v>273.33017000000001</v>
      </c>
      <c r="V56" s="133">
        <v>3.0000000000000001E-6</v>
      </c>
      <c r="W56" s="133">
        <v>3.787E-3</v>
      </c>
      <c r="X56" s="133">
        <v>6.6000000000000005E-5</v>
      </c>
    </row>
    <row r="57" spans="1:24" x14ac:dyDescent="0.2">
      <c r="A57">
        <v>274</v>
      </c>
      <c r="B57">
        <v>274</v>
      </c>
      <c r="C57" t="s">
        <v>1575</v>
      </c>
      <c r="D57" t="s">
        <v>1576</v>
      </c>
      <c r="E57" t="s">
        <v>430</v>
      </c>
      <c r="F57" t="s">
        <v>1577</v>
      </c>
      <c r="G57" t="s">
        <v>1578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901</v>
      </c>
      <c r="O57" t="s">
        <v>62</v>
      </c>
      <c r="P57" t="s">
        <v>1218</v>
      </c>
      <c r="Q57" s="130">
        <v>6770</v>
      </c>
      <c r="R57" s="130">
        <v>3.19</v>
      </c>
      <c r="S57" s="130">
        <v>2885</v>
      </c>
      <c r="T57" s="132"/>
      <c r="U57" s="130">
        <v>623.05326000000002</v>
      </c>
      <c r="V57" s="133">
        <v>1.13E-4</v>
      </c>
      <c r="W57" s="133">
        <v>8.633E-3</v>
      </c>
      <c r="X57" s="133">
        <v>1.4999999999999999E-4</v>
      </c>
    </row>
    <row r="58" spans="1:24" x14ac:dyDescent="0.2">
      <c r="A58">
        <v>274</v>
      </c>
      <c r="B58">
        <v>274</v>
      </c>
      <c r="C58" t="s">
        <v>1579</v>
      </c>
      <c r="D58" t="s">
        <v>1580</v>
      </c>
      <c r="E58" t="s">
        <v>430</v>
      </c>
      <c r="F58" t="s">
        <v>1581</v>
      </c>
      <c r="G58" t="s">
        <v>1582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479</v>
      </c>
      <c r="N58" t="s">
        <v>202</v>
      </c>
      <c r="O58" t="s">
        <v>62</v>
      </c>
      <c r="P58" t="s">
        <v>1218</v>
      </c>
      <c r="Q58" s="130">
        <v>1105</v>
      </c>
      <c r="R58" s="130">
        <v>3.19</v>
      </c>
      <c r="S58" s="130">
        <v>18650</v>
      </c>
      <c r="T58" s="132"/>
      <c r="U58" s="130">
        <v>657.40318000000002</v>
      </c>
      <c r="V58" s="133">
        <v>0</v>
      </c>
      <c r="W58" s="133">
        <v>9.1090000000000008E-3</v>
      </c>
      <c r="X58" s="133">
        <v>1.5799999999999999E-4</v>
      </c>
    </row>
    <row r="59" spans="1:24" x14ac:dyDescent="0.2">
      <c r="A59">
        <v>274</v>
      </c>
      <c r="B59">
        <v>274</v>
      </c>
      <c r="C59" t="s">
        <v>1583</v>
      </c>
      <c r="D59" t="s">
        <v>1584</v>
      </c>
      <c r="E59" t="s">
        <v>430</v>
      </c>
      <c r="F59" t="s">
        <v>1585</v>
      </c>
      <c r="G59" t="s">
        <v>1586</v>
      </c>
      <c r="H59" t="s">
        <v>76</v>
      </c>
      <c r="I59" t="s">
        <v>73</v>
      </c>
      <c r="J59" t="s">
        <v>61</v>
      </c>
      <c r="K59" t="s">
        <v>317</v>
      </c>
      <c r="L59" t="s">
        <v>805</v>
      </c>
      <c r="M59" t="s">
        <v>476</v>
      </c>
      <c r="N59" t="s">
        <v>130</v>
      </c>
      <c r="O59" t="s">
        <v>62</v>
      </c>
      <c r="P59" t="s">
        <v>1218</v>
      </c>
      <c r="Q59" s="130">
        <v>421</v>
      </c>
      <c r="R59" s="130">
        <v>3.19</v>
      </c>
      <c r="S59" s="130">
        <v>12757</v>
      </c>
      <c r="T59" s="132"/>
      <c r="U59" s="130">
        <v>171.32523</v>
      </c>
      <c r="V59" s="133">
        <v>0</v>
      </c>
      <c r="W59" s="133">
        <v>2.3730000000000001E-3</v>
      </c>
      <c r="X59" s="133">
        <v>4.1E-5</v>
      </c>
    </row>
    <row r="60" spans="1:24" x14ac:dyDescent="0.2">
      <c r="A60">
        <v>274</v>
      </c>
      <c r="B60">
        <v>274</v>
      </c>
      <c r="C60" t="s">
        <v>1587</v>
      </c>
      <c r="D60" t="s">
        <v>1588</v>
      </c>
      <c r="E60" t="s">
        <v>430</v>
      </c>
      <c r="F60" t="s">
        <v>1589</v>
      </c>
      <c r="G60" t="s">
        <v>1590</v>
      </c>
      <c r="H60" t="s">
        <v>76</v>
      </c>
      <c r="I60" t="s">
        <v>73</v>
      </c>
      <c r="J60" t="s">
        <v>61</v>
      </c>
      <c r="K60" t="s">
        <v>314</v>
      </c>
      <c r="L60" t="s">
        <v>805</v>
      </c>
      <c r="M60" t="s">
        <v>476</v>
      </c>
      <c r="N60" t="s">
        <v>901</v>
      </c>
      <c r="O60" t="s">
        <v>62</v>
      </c>
      <c r="P60" t="s">
        <v>1218</v>
      </c>
      <c r="Q60" s="130">
        <v>152</v>
      </c>
      <c r="R60" s="130">
        <v>3.19</v>
      </c>
      <c r="S60" s="130">
        <v>19491</v>
      </c>
      <c r="T60" s="132"/>
      <c r="U60" s="130">
        <v>94.507959999999997</v>
      </c>
      <c r="V60" s="133">
        <v>0</v>
      </c>
      <c r="W60" s="133">
        <v>1.3090000000000001E-3</v>
      </c>
      <c r="X60" s="133">
        <v>2.1999999999999999E-5</v>
      </c>
    </row>
    <row r="61" spans="1:24" x14ac:dyDescent="0.2">
      <c r="A61">
        <v>274</v>
      </c>
      <c r="B61">
        <v>274</v>
      </c>
      <c r="C61" t="s">
        <v>1516</v>
      </c>
      <c r="D61">
        <v>880326081</v>
      </c>
      <c r="E61" t="s">
        <v>429</v>
      </c>
      <c r="F61" t="s">
        <v>1591</v>
      </c>
      <c r="G61" t="s">
        <v>1518</v>
      </c>
      <c r="H61" t="s">
        <v>76</v>
      </c>
      <c r="I61" t="s">
        <v>73</v>
      </c>
      <c r="J61" t="s">
        <v>61</v>
      </c>
      <c r="K61" t="s">
        <v>314</v>
      </c>
      <c r="L61" t="s">
        <v>805</v>
      </c>
      <c r="M61" t="s">
        <v>476</v>
      </c>
      <c r="N61" t="s">
        <v>862</v>
      </c>
      <c r="O61" t="s">
        <v>62</v>
      </c>
      <c r="P61" t="s">
        <v>1218</v>
      </c>
      <c r="Q61" s="130">
        <v>2802</v>
      </c>
      <c r="R61" s="130">
        <v>3.19</v>
      </c>
      <c r="S61" s="130">
        <v>11047</v>
      </c>
      <c r="T61" s="132"/>
      <c r="U61" s="130">
        <v>987.42283999999995</v>
      </c>
      <c r="V61" s="133">
        <v>4.6E-5</v>
      </c>
      <c r="W61" s="133">
        <v>1.3682E-2</v>
      </c>
      <c r="X61" s="133">
        <v>2.3800000000000001E-4</v>
      </c>
    </row>
    <row r="62" spans="1:24" x14ac:dyDescent="0.2">
      <c r="A62">
        <v>274</v>
      </c>
      <c r="B62">
        <v>274</v>
      </c>
      <c r="C62" t="s">
        <v>1467</v>
      </c>
      <c r="D62">
        <v>520041146</v>
      </c>
      <c r="E62" t="s">
        <v>429</v>
      </c>
      <c r="F62" t="s">
        <v>1592</v>
      </c>
      <c r="G62" t="s">
        <v>1468</v>
      </c>
      <c r="H62" t="s">
        <v>76</v>
      </c>
      <c r="I62" t="s">
        <v>73</v>
      </c>
      <c r="J62" t="s">
        <v>61</v>
      </c>
      <c r="K62" t="s">
        <v>53</v>
      </c>
      <c r="L62" t="s">
        <v>805</v>
      </c>
      <c r="M62" t="s">
        <v>479</v>
      </c>
      <c r="N62" t="s">
        <v>862</v>
      </c>
      <c r="O62" t="s">
        <v>62</v>
      </c>
      <c r="P62" t="s">
        <v>1218</v>
      </c>
      <c r="Q62" s="130">
        <v>3164</v>
      </c>
      <c r="R62" s="130">
        <v>3.19</v>
      </c>
      <c r="S62" s="130">
        <v>4546</v>
      </c>
      <c r="T62" s="132"/>
      <c r="U62" s="130">
        <v>458.83505000000002</v>
      </c>
      <c r="V62" s="133">
        <v>2.3E-5</v>
      </c>
      <c r="W62" s="133">
        <v>6.3569999999999998E-3</v>
      </c>
      <c r="X62" s="133">
        <v>1.1E-4</v>
      </c>
    </row>
    <row r="63" spans="1:24" x14ac:dyDescent="0.2">
      <c r="A63">
        <v>274</v>
      </c>
      <c r="B63">
        <v>274</v>
      </c>
      <c r="C63" t="s">
        <v>1593</v>
      </c>
      <c r="D63" t="s">
        <v>1594</v>
      </c>
      <c r="E63" t="s">
        <v>430</v>
      </c>
      <c r="F63" t="s">
        <v>1595</v>
      </c>
      <c r="G63" t="s">
        <v>1596</v>
      </c>
      <c r="H63" t="s">
        <v>76</v>
      </c>
      <c r="I63" t="s">
        <v>73</v>
      </c>
      <c r="J63" t="s">
        <v>61</v>
      </c>
      <c r="K63" t="s">
        <v>314</v>
      </c>
      <c r="L63" t="s">
        <v>805</v>
      </c>
      <c r="M63" t="s">
        <v>476</v>
      </c>
      <c r="N63" t="s">
        <v>202</v>
      </c>
      <c r="O63" t="s">
        <v>62</v>
      </c>
      <c r="P63" t="s">
        <v>1218</v>
      </c>
      <c r="Q63" s="130">
        <v>563</v>
      </c>
      <c r="R63" s="130">
        <v>3.19</v>
      </c>
      <c r="S63" s="130">
        <v>18457</v>
      </c>
      <c r="T63" s="132"/>
      <c r="U63" s="130">
        <v>331.48218000000003</v>
      </c>
      <c r="V63" s="133">
        <v>3.0000000000000001E-6</v>
      </c>
      <c r="W63" s="133">
        <v>4.5929999999999999E-3</v>
      </c>
      <c r="X63" s="133">
        <v>8.0000000000000007E-5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5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39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0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7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274</v>
      </c>
      <c r="B2">
        <v>274</v>
      </c>
      <c r="C2" t="s">
        <v>1597</v>
      </c>
      <c r="D2">
        <v>511303661</v>
      </c>
      <c r="E2" t="s">
        <v>429</v>
      </c>
      <c r="F2" t="s">
        <v>1598</v>
      </c>
      <c r="G2" t="s">
        <v>1599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8" t="s">
        <v>963</v>
      </c>
      <c r="N2" t="s">
        <v>62</v>
      </c>
      <c r="O2" t="s">
        <v>1221</v>
      </c>
      <c r="P2" s="130">
        <v>33000</v>
      </c>
      <c r="Q2" s="130">
        <v>1</v>
      </c>
      <c r="R2" s="130">
        <v>503.96</v>
      </c>
      <c r="S2" s="130"/>
      <c r="T2" s="130">
        <v>166.30680000000001</v>
      </c>
      <c r="U2" s="133">
        <v>1.3799999999999999E-4</v>
      </c>
      <c r="V2" s="133">
        <v>5.3600000000000002E-4</v>
      </c>
      <c r="W2" s="133">
        <v>4.0000000000000003E-5</v>
      </c>
    </row>
    <row r="3" spans="1:23" x14ac:dyDescent="0.2">
      <c r="A3">
        <v>274</v>
      </c>
      <c r="B3">
        <v>274</v>
      </c>
      <c r="C3" t="s">
        <v>1597</v>
      </c>
      <c r="D3">
        <v>511303661</v>
      </c>
      <c r="E3" t="s">
        <v>429</v>
      </c>
      <c r="F3" t="s">
        <v>1600</v>
      </c>
      <c r="G3" t="s">
        <v>1601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38" t="s">
        <v>965</v>
      </c>
      <c r="N3" t="s">
        <v>62</v>
      </c>
      <c r="O3" t="s">
        <v>1221</v>
      </c>
      <c r="P3" s="130">
        <v>1818503</v>
      </c>
      <c r="Q3" s="130">
        <v>1</v>
      </c>
      <c r="R3" s="130">
        <v>505.55</v>
      </c>
      <c r="S3" s="132"/>
      <c r="T3" s="130">
        <v>9193.4419199999993</v>
      </c>
      <c r="U3" s="133">
        <v>8.659E-3</v>
      </c>
      <c r="V3" s="133">
        <v>2.9656999999999999E-2</v>
      </c>
      <c r="W3" s="133">
        <v>2.2209999999999999E-3</v>
      </c>
    </row>
    <row r="4" spans="1:23" x14ac:dyDescent="0.2">
      <c r="A4">
        <v>274</v>
      </c>
      <c r="B4">
        <v>274</v>
      </c>
      <c r="C4" t="s">
        <v>1602</v>
      </c>
      <c r="D4">
        <v>513534974</v>
      </c>
      <c r="E4" t="s">
        <v>429</v>
      </c>
      <c r="F4" t="s">
        <v>1603</v>
      </c>
      <c r="G4" t="s">
        <v>1604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38" t="s">
        <v>964</v>
      </c>
      <c r="N4" t="s">
        <v>62</v>
      </c>
      <c r="O4" t="s">
        <v>1221</v>
      </c>
      <c r="P4" s="130">
        <v>351755</v>
      </c>
      <c r="Q4" s="130">
        <v>1</v>
      </c>
      <c r="R4" s="130">
        <v>384.29</v>
      </c>
      <c r="S4" s="132"/>
      <c r="T4" s="130">
        <v>1351.75929</v>
      </c>
      <c r="U4" s="133">
        <v>6.1200000000000002E-4</v>
      </c>
      <c r="V4" s="133">
        <v>4.3600000000000002E-3</v>
      </c>
      <c r="W4" s="133">
        <v>3.2600000000000001E-4</v>
      </c>
    </row>
    <row r="5" spans="1:23" x14ac:dyDescent="0.2">
      <c r="A5">
        <v>274</v>
      </c>
      <c r="B5">
        <v>274</v>
      </c>
      <c r="C5" t="s">
        <v>1605</v>
      </c>
      <c r="D5">
        <v>510938608</v>
      </c>
      <c r="E5" t="s">
        <v>429</v>
      </c>
      <c r="F5" t="s">
        <v>1606</v>
      </c>
      <c r="G5" t="s">
        <v>1607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8" t="s">
        <v>963</v>
      </c>
      <c r="N5" t="s">
        <v>62</v>
      </c>
      <c r="O5" t="s">
        <v>1221</v>
      </c>
      <c r="P5" s="130">
        <v>5930.5</v>
      </c>
      <c r="Q5" s="130">
        <v>1</v>
      </c>
      <c r="R5" s="130">
        <v>4035.8</v>
      </c>
      <c r="S5" s="132"/>
      <c r="T5" s="130">
        <v>239.34312</v>
      </c>
      <c r="U5" s="133">
        <v>1.13E-4</v>
      </c>
      <c r="V5" s="133">
        <v>7.7200000000000001E-4</v>
      </c>
      <c r="W5" s="133">
        <v>5.7000000000000003E-5</v>
      </c>
    </row>
    <row r="6" spans="1:23" x14ac:dyDescent="0.2">
      <c r="A6">
        <v>274</v>
      </c>
      <c r="B6">
        <v>274</v>
      </c>
      <c r="C6" t="s">
        <v>1608</v>
      </c>
      <c r="D6">
        <v>511776783</v>
      </c>
      <c r="E6" t="s">
        <v>429</v>
      </c>
      <c r="F6" t="s">
        <v>1609</v>
      </c>
      <c r="G6" t="s">
        <v>1610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8" t="s">
        <v>1044</v>
      </c>
      <c r="N6" t="s">
        <v>62</v>
      </c>
      <c r="O6" t="s">
        <v>1221</v>
      </c>
      <c r="P6" s="130">
        <v>152802</v>
      </c>
      <c r="Q6" s="130">
        <v>1</v>
      </c>
      <c r="R6" s="130">
        <v>3577</v>
      </c>
      <c r="S6" s="132"/>
      <c r="T6" s="130">
        <v>5465.7275399999999</v>
      </c>
      <c r="U6" s="133">
        <v>1.7930000000000001E-3</v>
      </c>
      <c r="V6" s="133">
        <v>1.7631999999999998E-2</v>
      </c>
      <c r="W6" s="133">
        <v>1.32E-3</v>
      </c>
    </row>
    <row r="7" spans="1:23" x14ac:dyDescent="0.2">
      <c r="A7">
        <v>274</v>
      </c>
      <c r="B7">
        <v>274</v>
      </c>
      <c r="C7" t="s">
        <v>1602</v>
      </c>
      <c r="D7">
        <v>513534974</v>
      </c>
      <c r="E7" t="s">
        <v>429</v>
      </c>
      <c r="F7" t="s">
        <v>1611</v>
      </c>
      <c r="G7" t="s">
        <v>1612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38" t="s">
        <v>1044</v>
      </c>
      <c r="N7" t="s">
        <v>62</v>
      </c>
      <c r="O7" t="s">
        <v>1221</v>
      </c>
      <c r="P7" s="130">
        <v>46030</v>
      </c>
      <c r="Q7" s="130">
        <v>1</v>
      </c>
      <c r="R7" s="130">
        <v>3563</v>
      </c>
      <c r="S7" s="132"/>
      <c r="T7" s="130">
        <v>1640.0489</v>
      </c>
      <c r="U7" s="133">
        <v>1.7899999999999999E-4</v>
      </c>
      <c r="V7" s="133">
        <v>5.2900000000000004E-3</v>
      </c>
      <c r="W7" s="133">
        <v>3.9599999999999998E-4</v>
      </c>
    </row>
    <row r="8" spans="1:23" x14ac:dyDescent="0.2">
      <c r="A8">
        <v>274</v>
      </c>
      <c r="B8">
        <v>274</v>
      </c>
      <c r="C8" t="s">
        <v>1597</v>
      </c>
      <c r="D8">
        <v>511303661</v>
      </c>
      <c r="E8" t="s">
        <v>429</v>
      </c>
      <c r="F8" t="s">
        <v>1613</v>
      </c>
      <c r="G8" t="s">
        <v>1614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38" t="s">
        <v>1044</v>
      </c>
      <c r="N8" t="s">
        <v>62</v>
      </c>
      <c r="O8" t="s">
        <v>1221</v>
      </c>
      <c r="P8" s="130">
        <v>189694</v>
      </c>
      <c r="Q8" s="130">
        <v>1</v>
      </c>
      <c r="R8" s="130">
        <v>4859</v>
      </c>
      <c r="S8" s="132"/>
      <c r="T8" s="130">
        <v>9217.2314600000009</v>
      </c>
      <c r="U8" s="133">
        <v>2.709E-3</v>
      </c>
      <c r="V8" s="133">
        <v>2.9734E-2</v>
      </c>
      <c r="W8" s="133">
        <v>2.2269999999999998E-3</v>
      </c>
    </row>
    <row r="9" spans="1:23" x14ac:dyDescent="0.2">
      <c r="A9">
        <v>274</v>
      </c>
      <c r="B9">
        <v>274</v>
      </c>
      <c r="C9" t="s">
        <v>1608</v>
      </c>
      <c r="D9">
        <v>511776783</v>
      </c>
      <c r="E9" t="s">
        <v>429</v>
      </c>
      <c r="F9" t="s">
        <v>1615</v>
      </c>
      <c r="G9" t="s">
        <v>1616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38" t="s">
        <v>963</v>
      </c>
      <c r="N9" t="s">
        <v>62</v>
      </c>
      <c r="O9" t="s">
        <v>1221</v>
      </c>
      <c r="P9" s="130">
        <v>68800</v>
      </c>
      <c r="Q9" s="130">
        <v>1</v>
      </c>
      <c r="R9" s="130">
        <v>407.48</v>
      </c>
      <c r="S9" s="132"/>
      <c r="T9" s="130">
        <v>280.34624000000002</v>
      </c>
      <c r="U9" s="133">
        <v>2.8200000000000002E-4</v>
      </c>
      <c r="V9" s="133">
        <v>9.0399999999999996E-4</v>
      </c>
      <c r="W9" s="133">
        <v>6.7000000000000002E-5</v>
      </c>
    </row>
    <row r="10" spans="1:23" x14ac:dyDescent="0.2">
      <c r="A10">
        <v>274</v>
      </c>
      <c r="B10">
        <v>274</v>
      </c>
      <c r="C10" t="s">
        <v>1605</v>
      </c>
      <c r="D10">
        <v>510938608</v>
      </c>
      <c r="E10" t="s">
        <v>429</v>
      </c>
      <c r="F10" t="s">
        <v>1617</v>
      </c>
      <c r="G10" t="s">
        <v>1618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38" t="s">
        <v>1044</v>
      </c>
      <c r="N10" t="s">
        <v>62</v>
      </c>
      <c r="O10" t="s">
        <v>1221</v>
      </c>
      <c r="P10" s="130">
        <v>9711.81</v>
      </c>
      <c r="Q10" s="130">
        <v>1</v>
      </c>
      <c r="R10" s="130">
        <v>35510</v>
      </c>
      <c r="S10" s="132"/>
      <c r="T10" s="130">
        <v>3448.6637300000002</v>
      </c>
      <c r="U10" s="133">
        <v>5.0199999999999995E-4</v>
      </c>
      <c r="V10" s="133">
        <v>1.1124999999999999E-2</v>
      </c>
      <c r="W10" s="133">
        <v>8.3299999999999997E-4</v>
      </c>
    </row>
    <row r="11" spans="1:23" x14ac:dyDescent="0.2">
      <c r="A11">
        <v>274</v>
      </c>
      <c r="B11">
        <v>274</v>
      </c>
      <c r="C11" t="s">
        <v>1619</v>
      </c>
      <c r="D11" t="s">
        <v>1620</v>
      </c>
      <c r="E11" t="s">
        <v>430</v>
      </c>
      <c r="F11" t="s">
        <v>1621</v>
      </c>
      <c r="G11" t="s">
        <v>1622</v>
      </c>
      <c r="H11" t="s">
        <v>76</v>
      </c>
      <c r="I11" t="s">
        <v>235</v>
      </c>
      <c r="J11" t="s">
        <v>61</v>
      </c>
      <c r="K11" t="s">
        <v>313</v>
      </c>
      <c r="L11" t="s">
        <v>102</v>
      </c>
      <c r="M11" s="138" t="s">
        <v>759</v>
      </c>
      <c r="N11" t="s">
        <v>62</v>
      </c>
      <c r="O11" t="s">
        <v>1232</v>
      </c>
      <c r="P11" s="130">
        <v>1921</v>
      </c>
      <c r="Q11" s="130">
        <v>3.7454999999999998</v>
      </c>
      <c r="R11" s="130">
        <v>7432</v>
      </c>
      <c r="S11" s="132"/>
      <c r="T11" s="130">
        <v>534.74023999999997</v>
      </c>
      <c r="U11" s="133">
        <v>2.0100000000000001E-4</v>
      </c>
      <c r="V11" s="133">
        <v>1.725E-3</v>
      </c>
      <c r="W11" s="133">
        <v>1.2899999999999999E-4</v>
      </c>
    </row>
    <row r="12" spans="1:23" x14ac:dyDescent="0.2">
      <c r="A12">
        <v>274</v>
      </c>
      <c r="B12">
        <v>274</v>
      </c>
      <c r="C12" t="s">
        <v>1623</v>
      </c>
      <c r="D12" t="s">
        <v>1624</v>
      </c>
      <c r="E12" t="s">
        <v>430</v>
      </c>
      <c r="F12" t="s">
        <v>1625</v>
      </c>
      <c r="G12" t="s">
        <v>1626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s="138" t="s">
        <v>759</v>
      </c>
      <c r="N12" t="s">
        <v>62</v>
      </c>
      <c r="O12" t="s">
        <v>1218</v>
      </c>
      <c r="P12" s="130">
        <v>183</v>
      </c>
      <c r="Q12" s="130">
        <v>3.19</v>
      </c>
      <c r="R12" s="130">
        <v>17937</v>
      </c>
      <c r="S12" s="132"/>
      <c r="T12" s="130">
        <v>104.71082</v>
      </c>
      <c r="U12" s="133">
        <v>2.0000000000000002E-5</v>
      </c>
      <c r="V12" s="133">
        <v>3.3700000000000001E-4</v>
      </c>
      <c r="W12" s="133">
        <v>2.5000000000000001E-5</v>
      </c>
    </row>
    <row r="13" spans="1:23" x14ac:dyDescent="0.2">
      <c r="A13">
        <v>274</v>
      </c>
      <c r="B13">
        <v>274</v>
      </c>
      <c r="C13" t="s">
        <v>1627</v>
      </c>
      <c r="D13" t="s">
        <v>1628</v>
      </c>
      <c r="E13" t="s">
        <v>430</v>
      </c>
      <c r="F13" t="s">
        <v>1629</v>
      </c>
      <c r="G13" t="s">
        <v>1630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s="138" t="s">
        <v>759</v>
      </c>
      <c r="N13" t="s">
        <v>62</v>
      </c>
      <c r="O13" t="s">
        <v>1218</v>
      </c>
      <c r="P13" s="130">
        <v>1681</v>
      </c>
      <c r="Q13" s="130">
        <v>3.19</v>
      </c>
      <c r="R13" s="130">
        <v>4912</v>
      </c>
      <c r="S13" s="132"/>
      <c r="T13" s="130">
        <v>263.4006</v>
      </c>
      <c r="U13" s="133">
        <v>8.2000000000000001E-5</v>
      </c>
      <c r="V13" s="133">
        <v>8.4900000000000004E-4</v>
      </c>
      <c r="W13" s="133">
        <v>6.3E-5</v>
      </c>
    </row>
    <row r="14" spans="1:23" x14ac:dyDescent="0.2">
      <c r="A14">
        <v>274</v>
      </c>
      <c r="B14">
        <v>274</v>
      </c>
      <c r="C14" t="s">
        <v>1631</v>
      </c>
      <c r="D14" t="s">
        <v>1632</v>
      </c>
      <c r="E14" t="s">
        <v>430</v>
      </c>
      <c r="F14" t="s">
        <v>1633</v>
      </c>
      <c r="G14" t="s">
        <v>1634</v>
      </c>
      <c r="H14" t="s">
        <v>76</v>
      </c>
      <c r="I14" t="s">
        <v>235</v>
      </c>
      <c r="J14" t="s">
        <v>61</v>
      </c>
      <c r="K14" t="s">
        <v>314</v>
      </c>
      <c r="L14" t="s">
        <v>476</v>
      </c>
      <c r="M14" s="138" t="s">
        <v>759</v>
      </c>
      <c r="N14" t="s">
        <v>62</v>
      </c>
      <c r="O14" t="s">
        <v>1218</v>
      </c>
      <c r="P14" s="130">
        <v>2730</v>
      </c>
      <c r="Q14" s="130">
        <v>3.19</v>
      </c>
      <c r="R14" s="130">
        <v>4269</v>
      </c>
      <c r="S14" s="132"/>
      <c r="T14" s="130">
        <v>371.77440000000001</v>
      </c>
      <c r="U14" s="133">
        <v>5.0000000000000004E-6</v>
      </c>
      <c r="V14" s="133">
        <v>1.199E-3</v>
      </c>
      <c r="W14" s="133">
        <v>8.8999999999999995E-5</v>
      </c>
    </row>
    <row r="15" spans="1:23" x14ac:dyDescent="0.2">
      <c r="A15">
        <v>274</v>
      </c>
      <c r="B15">
        <v>274</v>
      </c>
      <c r="C15" t="s">
        <v>1635</v>
      </c>
      <c r="D15" t="s">
        <v>1636</v>
      </c>
      <c r="E15" t="s">
        <v>430</v>
      </c>
      <c r="F15" t="s">
        <v>1637</v>
      </c>
      <c r="G15" t="s">
        <v>1638</v>
      </c>
      <c r="H15" t="s">
        <v>76</v>
      </c>
      <c r="I15" t="s">
        <v>235</v>
      </c>
      <c r="J15" t="s">
        <v>61</v>
      </c>
      <c r="K15" t="s">
        <v>188</v>
      </c>
      <c r="L15" t="s">
        <v>476</v>
      </c>
      <c r="M15" s="138" t="s">
        <v>759</v>
      </c>
      <c r="N15" t="s">
        <v>62</v>
      </c>
      <c r="O15" t="s">
        <v>1218</v>
      </c>
      <c r="P15" s="130">
        <v>2618</v>
      </c>
      <c r="Q15" s="130">
        <v>3.19</v>
      </c>
      <c r="R15" s="130">
        <v>3405</v>
      </c>
      <c r="S15" s="132"/>
      <c r="T15" s="130">
        <v>284.36585000000002</v>
      </c>
      <c r="U15" s="133">
        <v>1.1E-5</v>
      </c>
      <c r="V15" s="133">
        <v>9.1699999999999995E-4</v>
      </c>
      <c r="W15" s="133">
        <v>6.7999999999999999E-5</v>
      </c>
    </row>
    <row r="16" spans="1:23" x14ac:dyDescent="0.2">
      <c r="A16">
        <v>274</v>
      </c>
      <c r="B16">
        <v>274</v>
      </c>
      <c r="C16" t="s">
        <v>1619</v>
      </c>
      <c r="D16" t="s">
        <v>1620</v>
      </c>
      <c r="E16" t="s">
        <v>430</v>
      </c>
      <c r="F16" t="s">
        <v>1639</v>
      </c>
      <c r="G16" t="s">
        <v>1640</v>
      </c>
      <c r="H16" t="s">
        <v>76</v>
      </c>
      <c r="I16" t="s">
        <v>235</v>
      </c>
      <c r="J16" t="s">
        <v>61</v>
      </c>
      <c r="K16" t="s">
        <v>317</v>
      </c>
      <c r="L16" t="s">
        <v>494</v>
      </c>
      <c r="M16" s="138" t="s">
        <v>759</v>
      </c>
      <c r="N16" t="s">
        <v>62</v>
      </c>
      <c r="O16" t="s">
        <v>1218</v>
      </c>
      <c r="P16" s="130">
        <v>136677</v>
      </c>
      <c r="Q16" s="130">
        <v>3.19</v>
      </c>
      <c r="R16" s="130">
        <v>6149</v>
      </c>
      <c r="S16" s="132"/>
      <c r="T16" s="130">
        <v>26809.617249999999</v>
      </c>
      <c r="U16" s="133">
        <v>2.055E-3</v>
      </c>
      <c r="V16" s="133">
        <v>8.6485999999999993E-2</v>
      </c>
      <c r="W16" s="133">
        <v>6.4780000000000003E-3</v>
      </c>
    </row>
    <row r="17" spans="1:23" x14ac:dyDescent="0.2">
      <c r="A17">
        <v>274</v>
      </c>
      <c r="B17">
        <v>274</v>
      </c>
      <c r="C17" t="s">
        <v>1631</v>
      </c>
      <c r="D17" t="s">
        <v>1632</v>
      </c>
      <c r="E17" t="s">
        <v>430</v>
      </c>
      <c r="F17" t="s">
        <v>1641</v>
      </c>
      <c r="G17" t="s">
        <v>1642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s="138" t="s">
        <v>759</v>
      </c>
      <c r="N17" t="s">
        <v>62</v>
      </c>
      <c r="O17" t="s">
        <v>1218</v>
      </c>
      <c r="P17" s="130">
        <v>3998</v>
      </c>
      <c r="Q17" s="130">
        <v>3.19</v>
      </c>
      <c r="R17" s="130">
        <v>11772</v>
      </c>
      <c r="S17" s="132"/>
      <c r="T17" s="130">
        <v>1501.3561500000001</v>
      </c>
      <c r="U17" s="133">
        <v>1.7E-5</v>
      </c>
      <c r="V17" s="133">
        <v>4.8430000000000001E-3</v>
      </c>
      <c r="W17" s="133">
        <v>3.6200000000000002E-4</v>
      </c>
    </row>
    <row r="18" spans="1:23" x14ac:dyDescent="0.2">
      <c r="A18">
        <v>274</v>
      </c>
      <c r="B18">
        <v>274</v>
      </c>
      <c r="C18" t="s">
        <v>1627</v>
      </c>
      <c r="D18" t="s">
        <v>1628</v>
      </c>
      <c r="E18" t="s">
        <v>430</v>
      </c>
      <c r="F18" t="s">
        <v>1643</v>
      </c>
      <c r="G18" t="s">
        <v>1644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s="138" t="s">
        <v>759</v>
      </c>
      <c r="N18" t="s">
        <v>62</v>
      </c>
      <c r="O18" t="s">
        <v>1218</v>
      </c>
      <c r="P18" s="130">
        <v>819</v>
      </c>
      <c r="Q18" s="130">
        <v>3.19</v>
      </c>
      <c r="R18" s="130">
        <v>15663</v>
      </c>
      <c r="S18" s="132"/>
      <c r="T18" s="130">
        <v>409.2131</v>
      </c>
      <c r="U18" s="133">
        <v>1.8E-5</v>
      </c>
      <c r="V18" s="133">
        <v>1.32E-3</v>
      </c>
      <c r="W18" s="133">
        <v>9.7999999999999997E-5</v>
      </c>
    </row>
    <row r="19" spans="1:23" x14ac:dyDescent="0.2">
      <c r="A19">
        <v>274</v>
      </c>
      <c r="B19">
        <v>274</v>
      </c>
      <c r="C19" t="s">
        <v>1627</v>
      </c>
      <c r="D19" t="s">
        <v>1628</v>
      </c>
      <c r="E19" t="s">
        <v>430</v>
      </c>
      <c r="F19" t="s">
        <v>1645</v>
      </c>
      <c r="G19" t="s">
        <v>1646</v>
      </c>
      <c r="H19" t="s">
        <v>76</v>
      </c>
      <c r="I19" t="s">
        <v>102</v>
      </c>
      <c r="J19" t="s">
        <v>61</v>
      </c>
      <c r="K19" t="s">
        <v>314</v>
      </c>
      <c r="L19" t="s">
        <v>494</v>
      </c>
      <c r="M19" s="138" t="s">
        <v>1086</v>
      </c>
      <c r="N19" t="s">
        <v>62</v>
      </c>
      <c r="O19" t="s">
        <v>1218</v>
      </c>
      <c r="P19" s="130">
        <v>6600</v>
      </c>
      <c r="Q19" s="130">
        <v>3.19</v>
      </c>
      <c r="R19" s="130">
        <v>3240.5</v>
      </c>
      <c r="S19" s="132"/>
      <c r="T19" s="130">
        <v>682.25486999999998</v>
      </c>
      <c r="U19" s="133">
        <v>8.8159999999999992E-3</v>
      </c>
      <c r="V19" s="133">
        <v>2.2000000000000001E-3</v>
      </c>
      <c r="W19" s="133">
        <v>1.64E-4</v>
      </c>
    </row>
    <row r="20" spans="1:23" x14ac:dyDescent="0.2">
      <c r="A20">
        <v>274</v>
      </c>
      <c r="B20">
        <v>274</v>
      </c>
      <c r="C20" t="s">
        <v>1647</v>
      </c>
      <c r="D20" t="s">
        <v>1628</v>
      </c>
      <c r="E20" t="s">
        <v>430</v>
      </c>
      <c r="F20" t="s">
        <v>1648</v>
      </c>
      <c r="G20" t="s">
        <v>1649</v>
      </c>
      <c r="H20" t="s">
        <v>76</v>
      </c>
      <c r="I20" t="s">
        <v>235</v>
      </c>
      <c r="J20" t="s">
        <v>61</v>
      </c>
      <c r="K20" t="s">
        <v>314</v>
      </c>
      <c r="L20" t="s">
        <v>494</v>
      </c>
      <c r="M20" s="138" t="s">
        <v>759</v>
      </c>
      <c r="N20" t="s">
        <v>62</v>
      </c>
      <c r="O20" t="s">
        <v>1218</v>
      </c>
      <c r="P20" s="130">
        <v>191500</v>
      </c>
      <c r="Q20" s="130">
        <v>3.19</v>
      </c>
      <c r="R20" s="130">
        <v>1375</v>
      </c>
      <c r="S20" s="132"/>
      <c r="T20" s="130">
        <v>8399.6687500000007</v>
      </c>
      <c r="U20" s="133">
        <v>7.1000000000000005E-5</v>
      </c>
      <c r="V20" s="133">
        <v>2.7095999999999999E-2</v>
      </c>
      <c r="W20" s="133">
        <v>2.029E-3</v>
      </c>
    </row>
    <row r="21" spans="1:23" x14ac:dyDescent="0.2">
      <c r="A21">
        <v>274</v>
      </c>
      <c r="B21">
        <v>274</v>
      </c>
      <c r="C21" t="s">
        <v>1623</v>
      </c>
      <c r="D21" t="s">
        <v>1624</v>
      </c>
      <c r="E21" t="s">
        <v>430</v>
      </c>
      <c r="F21" t="s">
        <v>1650</v>
      </c>
      <c r="G21" t="s">
        <v>1651</v>
      </c>
      <c r="H21" t="s">
        <v>76</v>
      </c>
      <c r="I21" t="s">
        <v>102</v>
      </c>
      <c r="J21" t="s">
        <v>61</v>
      </c>
      <c r="K21" t="s">
        <v>317</v>
      </c>
      <c r="L21" t="s">
        <v>494</v>
      </c>
      <c r="M21" s="138" t="s">
        <v>1086</v>
      </c>
      <c r="N21" t="s">
        <v>62</v>
      </c>
      <c r="O21" t="s">
        <v>1218</v>
      </c>
      <c r="P21" s="130">
        <v>510</v>
      </c>
      <c r="Q21" s="130">
        <v>3.19</v>
      </c>
      <c r="R21" s="130">
        <v>10097</v>
      </c>
      <c r="S21" s="132"/>
      <c r="T21" s="130">
        <v>164.26809</v>
      </c>
      <c r="U21" s="133">
        <v>2.0000000000000002E-5</v>
      </c>
      <c r="V21" s="133">
        <v>5.2899999999999996E-4</v>
      </c>
      <c r="W21" s="133">
        <v>3.8999999999999999E-5</v>
      </c>
    </row>
    <row r="22" spans="1:23" x14ac:dyDescent="0.2">
      <c r="A22">
        <v>274</v>
      </c>
      <c r="B22">
        <v>274</v>
      </c>
      <c r="C22" t="s">
        <v>1652</v>
      </c>
      <c r="D22" t="s">
        <v>1653</v>
      </c>
      <c r="E22" t="s">
        <v>430</v>
      </c>
      <c r="F22" t="s">
        <v>1654</v>
      </c>
      <c r="G22" t="s">
        <v>1655</v>
      </c>
      <c r="H22" t="s">
        <v>76</v>
      </c>
      <c r="I22" t="s">
        <v>235</v>
      </c>
      <c r="J22" t="s">
        <v>61</v>
      </c>
      <c r="K22" t="s">
        <v>316</v>
      </c>
      <c r="L22" t="s">
        <v>494</v>
      </c>
      <c r="M22" s="138" t="s">
        <v>759</v>
      </c>
      <c r="N22" t="s">
        <v>62</v>
      </c>
      <c r="O22" t="s">
        <v>1218</v>
      </c>
      <c r="P22" s="130">
        <v>38959</v>
      </c>
      <c r="Q22" s="130">
        <v>3.19</v>
      </c>
      <c r="R22" s="130">
        <v>14337</v>
      </c>
      <c r="S22" s="132"/>
      <c r="T22" s="130">
        <v>17817.910339999999</v>
      </c>
      <c r="U22" s="133">
        <v>2.9300000000000002E-4</v>
      </c>
      <c r="V22" s="133">
        <v>5.7479000000000002E-2</v>
      </c>
      <c r="W22" s="133">
        <v>4.3049999999999998E-3</v>
      </c>
    </row>
    <row r="23" spans="1:23" x14ac:dyDescent="0.2">
      <c r="A23">
        <v>274</v>
      </c>
      <c r="B23">
        <v>274</v>
      </c>
      <c r="C23" t="s">
        <v>1652</v>
      </c>
      <c r="D23" t="s">
        <v>1653</v>
      </c>
      <c r="E23" t="s">
        <v>430</v>
      </c>
      <c r="F23" t="s">
        <v>1656</v>
      </c>
      <c r="G23" t="s">
        <v>1657</v>
      </c>
      <c r="H23" t="s">
        <v>76</v>
      </c>
      <c r="I23" t="s">
        <v>235</v>
      </c>
      <c r="J23" t="s">
        <v>61</v>
      </c>
      <c r="K23" t="s">
        <v>166</v>
      </c>
      <c r="L23" t="s">
        <v>488</v>
      </c>
      <c r="M23" s="138" t="s">
        <v>759</v>
      </c>
      <c r="N23" t="s">
        <v>62</v>
      </c>
      <c r="O23" t="s">
        <v>1232</v>
      </c>
      <c r="P23" s="130">
        <v>20479</v>
      </c>
      <c r="Q23" s="130">
        <v>3.7454999999999998</v>
      </c>
      <c r="R23" s="130">
        <v>2856</v>
      </c>
      <c r="S23" s="132"/>
      <c r="T23" s="130">
        <v>2190.66894</v>
      </c>
      <c r="U23" s="133">
        <v>3.8299999999999999E-4</v>
      </c>
      <c r="V23" s="133">
        <v>7.0670000000000004E-3</v>
      </c>
      <c r="W23" s="133">
        <v>5.2899999999999996E-4</v>
      </c>
    </row>
    <row r="24" spans="1:23" x14ac:dyDescent="0.2">
      <c r="A24">
        <v>274</v>
      </c>
      <c r="B24">
        <v>274</v>
      </c>
      <c r="C24" t="s">
        <v>1619</v>
      </c>
      <c r="D24" t="s">
        <v>1620</v>
      </c>
      <c r="E24" t="s">
        <v>430</v>
      </c>
      <c r="F24" t="s">
        <v>1658</v>
      </c>
      <c r="G24" t="s">
        <v>1659</v>
      </c>
      <c r="H24" t="s">
        <v>76</v>
      </c>
      <c r="I24" t="s">
        <v>235</v>
      </c>
      <c r="J24" t="s">
        <v>61</v>
      </c>
      <c r="K24" t="s">
        <v>314</v>
      </c>
      <c r="L24" t="s">
        <v>494</v>
      </c>
      <c r="M24" s="138" t="s">
        <v>759</v>
      </c>
      <c r="N24" t="s">
        <v>62</v>
      </c>
      <c r="O24" t="s">
        <v>1218</v>
      </c>
      <c r="P24" s="130">
        <v>14942</v>
      </c>
      <c r="Q24" s="130">
        <v>3.19</v>
      </c>
      <c r="R24" s="130">
        <v>49771.5</v>
      </c>
      <c r="S24" s="132"/>
      <c r="T24" s="130">
        <v>23723.575519999999</v>
      </c>
      <c r="U24" s="133">
        <v>4.9799999999999996E-4</v>
      </c>
      <c r="V24" s="133">
        <v>7.6531000000000002E-2</v>
      </c>
      <c r="W24" s="133">
        <v>5.7320000000000001E-3</v>
      </c>
    </row>
    <row r="25" spans="1:23" x14ac:dyDescent="0.2">
      <c r="A25">
        <v>274</v>
      </c>
      <c r="B25">
        <v>274</v>
      </c>
      <c r="C25" t="s">
        <v>1660</v>
      </c>
      <c r="D25" t="s">
        <v>1661</v>
      </c>
      <c r="E25" t="s">
        <v>430</v>
      </c>
      <c r="F25" t="s">
        <v>1662</v>
      </c>
      <c r="G25" t="s">
        <v>1663</v>
      </c>
      <c r="H25" t="s">
        <v>76</v>
      </c>
      <c r="I25" t="s">
        <v>235</v>
      </c>
      <c r="J25" t="s">
        <v>61</v>
      </c>
      <c r="K25" t="s">
        <v>166</v>
      </c>
      <c r="L25" t="s">
        <v>503</v>
      </c>
      <c r="M25" s="138" t="s">
        <v>759</v>
      </c>
      <c r="N25" t="s">
        <v>62</v>
      </c>
      <c r="O25" t="s">
        <v>1234</v>
      </c>
      <c r="P25" s="130">
        <v>75671</v>
      </c>
      <c r="Q25" s="130">
        <v>2.0365000000000001E-2</v>
      </c>
      <c r="R25" s="130">
        <v>52820</v>
      </c>
      <c r="S25" s="132"/>
      <c r="T25" s="130">
        <v>813.97727999999995</v>
      </c>
      <c r="U25" s="133">
        <v>1.85E-4</v>
      </c>
      <c r="V25" s="133">
        <v>2.6250000000000002E-3</v>
      </c>
      <c r="W25" s="133">
        <v>1.9599999999999999E-4</v>
      </c>
    </row>
    <row r="26" spans="1:23" x14ac:dyDescent="0.2">
      <c r="A26">
        <v>274</v>
      </c>
      <c r="B26">
        <v>274</v>
      </c>
      <c r="C26" t="s">
        <v>1631</v>
      </c>
      <c r="D26" t="s">
        <v>1632</v>
      </c>
      <c r="E26" t="s">
        <v>430</v>
      </c>
      <c r="F26" t="s">
        <v>1664</v>
      </c>
      <c r="G26" t="s">
        <v>1665</v>
      </c>
      <c r="H26" t="s">
        <v>76</v>
      </c>
      <c r="I26" t="s">
        <v>235</v>
      </c>
      <c r="J26" t="s">
        <v>61</v>
      </c>
      <c r="K26" t="s">
        <v>314</v>
      </c>
      <c r="L26" t="s">
        <v>476</v>
      </c>
      <c r="M26" s="138" t="s">
        <v>759</v>
      </c>
      <c r="N26" t="s">
        <v>62</v>
      </c>
      <c r="O26" t="s">
        <v>1218</v>
      </c>
      <c r="P26" s="130">
        <v>733</v>
      </c>
      <c r="Q26" s="130">
        <v>3.19</v>
      </c>
      <c r="R26" s="130">
        <v>12193</v>
      </c>
      <c r="S26" s="132"/>
      <c r="T26" s="130">
        <v>285.10525999999999</v>
      </c>
      <c r="U26" s="133">
        <v>1.0000000000000001E-5</v>
      </c>
      <c r="V26" s="133">
        <v>9.19E-4</v>
      </c>
      <c r="W26" s="133">
        <v>6.7999999999999999E-5</v>
      </c>
    </row>
    <row r="27" spans="1:23" x14ac:dyDescent="0.2">
      <c r="A27">
        <v>274</v>
      </c>
      <c r="B27">
        <v>274</v>
      </c>
      <c r="C27" t="s">
        <v>1631</v>
      </c>
      <c r="D27" t="s">
        <v>1632</v>
      </c>
      <c r="E27" t="s">
        <v>430</v>
      </c>
      <c r="F27" t="s">
        <v>1666</v>
      </c>
      <c r="G27" t="s">
        <v>1667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s="138" t="s">
        <v>759</v>
      </c>
      <c r="N27" t="s">
        <v>62</v>
      </c>
      <c r="O27" t="s">
        <v>1218</v>
      </c>
      <c r="P27" s="130">
        <v>2929</v>
      </c>
      <c r="Q27" s="130">
        <v>3.19</v>
      </c>
      <c r="R27" s="130">
        <v>15480</v>
      </c>
      <c r="S27" s="132"/>
      <c r="T27" s="130">
        <v>1446.37535</v>
      </c>
      <c r="U27" s="133">
        <v>1.1E-5</v>
      </c>
      <c r="V27" s="133">
        <v>4.6649999999999999E-3</v>
      </c>
      <c r="W27" s="133">
        <v>3.4900000000000003E-4</v>
      </c>
    </row>
    <row r="28" spans="1:23" x14ac:dyDescent="0.2">
      <c r="A28">
        <v>274</v>
      </c>
      <c r="B28">
        <v>274</v>
      </c>
      <c r="C28" t="s">
        <v>1668</v>
      </c>
      <c r="D28" t="s">
        <v>1669</v>
      </c>
      <c r="E28" t="s">
        <v>102</v>
      </c>
      <c r="F28" t="s">
        <v>1670</v>
      </c>
      <c r="G28" t="s">
        <v>1671</v>
      </c>
      <c r="H28" t="s">
        <v>76</v>
      </c>
      <c r="I28" t="s">
        <v>235</v>
      </c>
      <c r="J28" t="s">
        <v>61</v>
      </c>
      <c r="K28" t="s">
        <v>315</v>
      </c>
      <c r="L28" t="s">
        <v>486</v>
      </c>
      <c r="M28" s="138" t="s">
        <v>759</v>
      </c>
      <c r="N28" t="s">
        <v>62</v>
      </c>
      <c r="O28" t="s">
        <v>1232</v>
      </c>
      <c r="P28" s="130">
        <v>1749</v>
      </c>
      <c r="Q28" s="130">
        <v>3.7454999999999998</v>
      </c>
      <c r="R28" s="130">
        <v>11050.7</v>
      </c>
      <c r="S28" s="132"/>
      <c r="T28" s="130">
        <v>723.91804000000002</v>
      </c>
      <c r="U28" s="133">
        <v>8.9999999999999998E-4</v>
      </c>
      <c r="V28" s="133">
        <v>2.3349999999999998E-3</v>
      </c>
      <c r="W28" s="133">
        <v>1.74E-4</v>
      </c>
    </row>
    <row r="29" spans="1:23" x14ac:dyDescent="0.2">
      <c r="A29">
        <v>274</v>
      </c>
      <c r="B29">
        <v>274</v>
      </c>
      <c r="C29" t="s">
        <v>1631</v>
      </c>
      <c r="D29" t="s">
        <v>1632</v>
      </c>
      <c r="E29" t="s">
        <v>430</v>
      </c>
      <c r="F29" t="s">
        <v>1672</v>
      </c>
      <c r="G29" t="s">
        <v>1673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38" t="s">
        <v>759</v>
      </c>
      <c r="N29" t="s">
        <v>62</v>
      </c>
      <c r="O29" t="s">
        <v>1218</v>
      </c>
      <c r="P29" s="130">
        <v>10267</v>
      </c>
      <c r="Q29" s="130">
        <v>3.19</v>
      </c>
      <c r="R29" s="130">
        <v>5477</v>
      </c>
      <c r="S29" s="132"/>
      <c r="T29" s="130">
        <v>1793.8122499999999</v>
      </c>
      <c r="U29" s="133">
        <v>1.0000000000000001E-5</v>
      </c>
      <c r="V29" s="133">
        <v>5.7860000000000003E-3</v>
      </c>
      <c r="W29" s="133">
        <v>4.3300000000000001E-4</v>
      </c>
    </row>
    <row r="30" spans="1:23" x14ac:dyDescent="0.2">
      <c r="A30">
        <v>274</v>
      </c>
      <c r="B30">
        <v>274</v>
      </c>
      <c r="C30" t="s">
        <v>1674</v>
      </c>
      <c r="D30" t="s">
        <v>1675</v>
      </c>
      <c r="E30" t="s">
        <v>430</v>
      </c>
      <c r="F30" t="s">
        <v>1676</v>
      </c>
      <c r="G30" t="s">
        <v>1677</v>
      </c>
      <c r="H30" t="s">
        <v>76</v>
      </c>
      <c r="I30" t="s">
        <v>235</v>
      </c>
      <c r="J30" t="s">
        <v>61</v>
      </c>
      <c r="K30" t="s">
        <v>317</v>
      </c>
      <c r="L30" t="s">
        <v>476</v>
      </c>
      <c r="M30" s="138" t="s">
        <v>759</v>
      </c>
      <c r="N30" t="s">
        <v>62</v>
      </c>
      <c r="O30" t="s">
        <v>1218</v>
      </c>
      <c r="P30" s="130">
        <v>10430</v>
      </c>
      <c r="Q30" s="130">
        <v>3.19</v>
      </c>
      <c r="R30" s="130">
        <v>5376</v>
      </c>
      <c r="S30" s="132"/>
      <c r="T30" s="130">
        <v>1788.68659</v>
      </c>
      <c r="U30" s="133">
        <v>5.0000000000000004E-6</v>
      </c>
      <c r="V30" s="133">
        <v>5.77E-3</v>
      </c>
      <c r="W30" s="133">
        <v>4.3199999999999998E-4</v>
      </c>
    </row>
    <row r="31" spans="1:23" x14ac:dyDescent="0.2">
      <c r="A31">
        <v>274</v>
      </c>
      <c r="B31">
        <v>274</v>
      </c>
      <c r="C31" t="s">
        <v>1623</v>
      </c>
      <c r="D31" t="s">
        <v>1624</v>
      </c>
      <c r="E31" t="s">
        <v>430</v>
      </c>
      <c r="F31" t="s">
        <v>1678</v>
      </c>
      <c r="G31" t="s">
        <v>1679</v>
      </c>
      <c r="H31" t="s">
        <v>76</v>
      </c>
      <c r="I31" t="s">
        <v>235</v>
      </c>
      <c r="J31" t="s">
        <v>61</v>
      </c>
      <c r="K31" t="s">
        <v>314</v>
      </c>
      <c r="L31" t="s">
        <v>102</v>
      </c>
      <c r="M31" s="138" t="s">
        <v>759</v>
      </c>
      <c r="N31" t="s">
        <v>62</v>
      </c>
      <c r="O31" t="s">
        <v>1218</v>
      </c>
      <c r="P31" s="130">
        <v>658440</v>
      </c>
      <c r="Q31" s="130">
        <v>3.19</v>
      </c>
      <c r="R31" s="130">
        <v>1147.06</v>
      </c>
      <c r="S31" s="132"/>
      <c r="T31" s="130">
        <v>24093.11895</v>
      </c>
      <c r="U31" s="133">
        <v>6.2699999999999995E-4</v>
      </c>
      <c r="V31" s="133">
        <v>7.7723E-2</v>
      </c>
      <c r="W31" s="133">
        <v>5.8209999999999998E-3</v>
      </c>
    </row>
    <row r="32" spans="1:23" x14ac:dyDescent="0.2">
      <c r="A32">
        <v>274</v>
      </c>
      <c r="B32">
        <v>274</v>
      </c>
      <c r="C32" t="s">
        <v>1623</v>
      </c>
      <c r="D32" t="s">
        <v>1624</v>
      </c>
      <c r="E32" t="s">
        <v>430</v>
      </c>
      <c r="F32" t="s">
        <v>1680</v>
      </c>
      <c r="G32" t="s">
        <v>1681</v>
      </c>
      <c r="H32" t="s">
        <v>76</v>
      </c>
      <c r="I32" t="s">
        <v>235</v>
      </c>
      <c r="J32" t="s">
        <v>61</v>
      </c>
      <c r="K32" t="s">
        <v>188</v>
      </c>
      <c r="L32" t="s">
        <v>476</v>
      </c>
      <c r="M32" s="138" t="s">
        <v>759</v>
      </c>
      <c r="N32" t="s">
        <v>62</v>
      </c>
      <c r="O32" t="s">
        <v>1218</v>
      </c>
      <c r="P32" s="130">
        <v>12553</v>
      </c>
      <c r="Q32" s="130">
        <v>3.19</v>
      </c>
      <c r="R32" s="130">
        <v>3829</v>
      </c>
      <c r="S32" s="132"/>
      <c r="T32" s="130">
        <v>1533.2874400000001</v>
      </c>
      <c r="U32" s="133">
        <v>7.4999999999999993E-5</v>
      </c>
      <c r="V32" s="133">
        <v>4.9459999999999999E-3</v>
      </c>
      <c r="W32" s="133">
        <v>3.6999999999999999E-4</v>
      </c>
    </row>
    <row r="33" spans="1:23" x14ac:dyDescent="0.2">
      <c r="A33">
        <v>274</v>
      </c>
      <c r="B33">
        <v>274</v>
      </c>
      <c r="C33" t="s">
        <v>1660</v>
      </c>
      <c r="D33" t="s">
        <v>1661</v>
      </c>
      <c r="E33" t="s">
        <v>430</v>
      </c>
      <c r="F33" t="s">
        <v>1682</v>
      </c>
      <c r="G33" t="s">
        <v>1683</v>
      </c>
      <c r="H33" t="s">
        <v>76</v>
      </c>
      <c r="I33" t="s">
        <v>235</v>
      </c>
      <c r="J33" t="s">
        <v>61</v>
      </c>
      <c r="K33" t="s">
        <v>166</v>
      </c>
      <c r="L33" t="s">
        <v>503</v>
      </c>
      <c r="M33" s="138" t="s">
        <v>759</v>
      </c>
      <c r="N33" t="s">
        <v>62</v>
      </c>
      <c r="O33" t="s">
        <v>1234</v>
      </c>
      <c r="P33" s="130">
        <v>26977</v>
      </c>
      <c r="Q33" s="130">
        <v>2.0365000000000001E-2</v>
      </c>
      <c r="R33" s="130">
        <v>357900</v>
      </c>
      <c r="S33" s="132"/>
      <c r="T33" s="130">
        <v>1966.2546600000001</v>
      </c>
      <c r="U33" s="133">
        <v>3.0000000000000001E-6</v>
      </c>
      <c r="V33" s="133">
        <v>6.3429999999999997E-3</v>
      </c>
      <c r="W33" s="133">
        <v>4.75E-4</v>
      </c>
    </row>
    <row r="34" spans="1:23" x14ac:dyDescent="0.2">
      <c r="A34">
        <v>274</v>
      </c>
      <c r="B34">
        <v>274</v>
      </c>
      <c r="C34" t="s">
        <v>1684</v>
      </c>
      <c r="D34" t="s">
        <v>1685</v>
      </c>
      <c r="E34" t="s">
        <v>430</v>
      </c>
      <c r="F34" t="s">
        <v>1686</v>
      </c>
      <c r="G34" t="s">
        <v>1687</v>
      </c>
      <c r="H34" t="s">
        <v>76</v>
      </c>
      <c r="I34" t="s">
        <v>102</v>
      </c>
      <c r="J34" t="s">
        <v>61</v>
      </c>
      <c r="K34" t="s">
        <v>313</v>
      </c>
      <c r="L34" t="s">
        <v>501</v>
      </c>
      <c r="M34" s="138" t="s">
        <v>1086</v>
      </c>
      <c r="N34" t="s">
        <v>62</v>
      </c>
      <c r="O34" t="s">
        <v>1218</v>
      </c>
      <c r="P34" s="130">
        <v>16920</v>
      </c>
      <c r="Q34" s="130">
        <v>3.19</v>
      </c>
      <c r="R34" s="130">
        <v>1114.9000000000001</v>
      </c>
      <c r="S34" s="132"/>
      <c r="T34" s="130">
        <v>601.76504999999997</v>
      </c>
      <c r="U34" s="133">
        <v>1.1E-5</v>
      </c>
      <c r="V34" s="133">
        <v>1.941E-3</v>
      </c>
      <c r="W34" s="133">
        <v>1.45E-4</v>
      </c>
    </row>
    <row r="35" spans="1:23" x14ac:dyDescent="0.2">
      <c r="A35">
        <v>274</v>
      </c>
      <c r="B35">
        <v>274</v>
      </c>
      <c r="C35" t="s">
        <v>1688</v>
      </c>
      <c r="D35" t="s">
        <v>1689</v>
      </c>
      <c r="E35" t="s">
        <v>430</v>
      </c>
      <c r="F35" t="s">
        <v>1690</v>
      </c>
      <c r="G35" t="s">
        <v>1691</v>
      </c>
      <c r="H35" t="s">
        <v>76</v>
      </c>
      <c r="I35" t="s">
        <v>235</v>
      </c>
      <c r="J35" t="s">
        <v>61</v>
      </c>
      <c r="K35" t="s">
        <v>204</v>
      </c>
      <c r="L35" t="s">
        <v>504</v>
      </c>
      <c r="M35" s="138" t="s">
        <v>759</v>
      </c>
      <c r="N35" t="s">
        <v>62</v>
      </c>
      <c r="O35" t="s">
        <v>1230</v>
      </c>
      <c r="P35" s="130">
        <v>33509</v>
      </c>
      <c r="Q35" s="130">
        <v>2.3275000000000001</v>
      </c>
      <c r="R35" s="130">
        <v>8314</v>
      </c>
      <c r="S35" s="132"/>
      <c r="T35" s="130">
        <v>6484.2713000000003</v>
      </c>
      <c r="U35" s="133">
        <v>6.1200000000000002E-4</v>
      </c>
      <c r="V35" s="133">
        <v>2.0917000000000002E-2</v>
      </c>
      <c r="W35" s="133">
        <v>1.5659999999999999E-3</v>
      </c>
    </row>
    <row r="36" spans="1:23" x14ac:dyDescent="0.2">
      <c r="A36">
        <v>274</v>
      </c>
      <c r="B36">
        <v>274</v>
      </c>
      <c r="C36" t="s">
        <v>1623</v>
      </c>
      <c r="D36" t="s">
        <v>1624</v>
      </c>
      <c r="E36" t="s">
        <v>430</v>
      </c>
      <c r="F36" t="s">
        <v>1692</v>
      </c>
      <c r="G36" t="s">
        <v>1693</v>
      </c>
      <c r="H36" t="s">
        <v>76</v>
      </c>
      <c r="I36" t="s">
        <v>235</v>
      </c>
      <c r="J36" t="s">
        <v>61</v>
      </c>
      <c r="K36" t="s">
        <v>317</v>
      </c>
      <c r="L36" t="s">
        <v>494</v>
      </c>
      <c r="M36" s="138" t="s">
        <v>759</v>
      </c>
      <c r="N36" t="s">
        <v>62</v>
      </c>
      <c r="O36" t="s">
        <v>1218</v>
      </c>
      <c r="P36" s="130">
        <v>366</v>
      </c>
      <c r="Q36" s="130">
        <v>3.19</v>
      </c>
      <c r="R36" s="130">
        <v>9722</v>
      </c>
      <c r="S36" s="132"/>
      <c r="T36" s="130">
        <v>113.50824</v>
      </c>
      <c r="U36" s="133">
        <v>3.9999999999999998E-6</v>
      </c>
      <c r="V36" s="133">
        <v>3.6600000000000001E-4</v>
      </c>
      <c r="W36" s="133">
        <v>2.6999999999999999E-5</v>
      </c>
    </row>
    <row r="37" spans="1:23" x14ac:dyDescent="0.2">
      <c r="A37">
        <v>274</v>
      </c>
      <c r="B37">
        <v>274</v>
      </c>
      <c r="C37" t="s">
        <v>1623</v>
      </c>
      <c r="D37" t="s">
        <v>1624</v>
      </c>
      <c r="E37" t="s">
        <v>430</v>
      </c>
      <c r="F37" t="s">
        <v>1694</v>
      </c>
      <c r="G37" t="s">
        <v>1695</v>
      </c>
      <c r="H37" t="s">
        <v>76</v>
      </c>
      <c r="I37" t="s">
        <v>235</v>
      </c>
      <c r="J37" t="s">
        <v>61</v>
      </c>
      <c r="K37" t="s">
        <v>314</v>
      </c>
      <c r="L37" t="s">
        <v>102</v>
      </c>
      <c r="M37" s="138" t="s">
        <v>759</v>
      </c>
      <c r="N37" t="s">
        <v>62</v>
      </c>
      <c r="O37" t="s">
        <v>1218</v>
      </c>
      <c r="P37" s="130">
        <v>294000</v>
      </c>
      <c r="Q37" s="130">
        <v>3.19</v>
      </c>
      <c r="R37" s="130">
        <v>680.47</v>
      </c>
      <c r="S37" s="132"/>
      <c r="T37" s="130">
        <v>6381.8559400000004</v>
      </c>
      <c r="U37" s="133">
        <v>2.6710000000000002E-3</v>
      </c>
      <c r="V37" s="133">
        <v>2.0587000000000001E-2</v>
      </c>
      <c r="W37" s="133">
        <v>1.542E-3</v>
      </c>
    </row>
    <row r="38" spans="1:23" x14ac:dyDescent="0.2">
      <c r="A38">
        <v>274</v>
      </c>
      <c r="B38">
        <v>274</v>
      </c>
      <c r="C38" t="s">
        <v>1631</v>
      </c>
      <c r="D38" t="s">
        <v>1632</v>
      </c>
      <c r="E38" t="s">
        <v>430</v>
      </c>
      <c r="F38" t="s">
        <v>1696</v>
      </c>
      <c r="G38" t="s">
        <v>1697</v>
      </c>
      <c r="H38" t="s">
        <v>76</v>
      </c>
      <c r="I38" t="s">
        <v>235</v>
      </c>
      <c r="J38" t="s">
        <v>61</v>
      </c>
      <c r="K38" t="s">
        <v>314</v>
      </c>
      <c r="L38" t="s">
        <v>476</v>
      </c>
      <c r="M38" s="138" t="s">
        <v>759</v>
      </c>
      <c r="N38" t="s">
        <v>62</v>
      </c>
      <c r="O38" t="s">
        <v>1218</v>
      </c>
      <c r="P38" s="130">
        <v>842</v>
      </c>
      <c r="Q38" s="130">
        <v>3.19</v>
      </c>
      <c r="R38" s="130">
        <v>11941</v>
      </c>
      <c r="S38" s="132"/>
      <c r="T38" s="130">
        <v>320.73286999999999</v>
      </c>
      <c r="U38" s="133">
        <v>3.9999999999999998E-6</v>
      </c>
      <c r="V38" s="133">
        <v>1.034E-3</v>
      </c>
      <c r="W38" s="133">
        <v>7.7000000000000001E-5</v>
      </c>
    </row>
    <row r="39" spans="1:23" x14ac:dyDescent="0.2">
      <c r="A39">
        <v>274</v>
      </c>
      <c r="B39">
        <v>274</v>
      </c>
      <c r="C39" t="s">
        <v>1668</v>
      </c>
      <c r="D39" t="s">
        <v>1669</v>
      </c>
      <c r="E39" t="s">
        <v>102</v>
      </c>
      <c r="F39" t="s">
        <v>1698</v>
      </c>
      <c r="G39" t="s">
        <v>1699</v>
      </c>
      <c r="H39" t="s">
        <v>76</v>
      </c>
      <c r="I39" t="s">
        <v>235</v>
      </c>
      <c r="J39" t="s">
        <v>61</v>
      </c>
      <c r="K39" t="s">
        <v>1165</v>
      </c>
      <c r="L39" t="s">
        <v>102</v>
      </c>
      <c r="M39" s="138" t="s">
        <v>759</v>
      </c>
      <c r="N39" t="s">
        <v>62</v>
      </c>
      <c r="O39" t="s">
        <v>1232</v>
      </c>
      <c r="P39" s="130">
        <v>1877</v>
      </c>
      <c r="Q39" s="130">
        <v>3.7454999999999998</v>
      </c>
      <c r="R39" s="130">
        <v>13942.6</v>
      </c>
      <c r="S39" s="132"/>
      <c r="T39" s="130">
        <v>980.20709999999997</v>
      </c>
      <c r="U39" s="133">
        <v>1.3060000000000001E-3</v>
      </c>
      <c r="V39" s="133">
        <v>3.1619999999999999E-3</v>
      </c>
      <c r="W39" s="133">
        <v>2.3599999999999999E-4</v>
      </c>
    </row>
    <row r="40" spans="1:23" x14ac:dyDescent="0.2">
      <c r="A40">
        <v>274</v>
      </c>
      <c r="B40">
        <v>274</v>
      </c>
      <c r="C40" t="s">
        <v>1631</v>
      </c>
      <c r="D40" t="s">
        <v>1632</v>
      </c>
      <c r="E40" t="s">
        <v>430</v>
      </c>
      <c r="F40" t="s">
        <v>1700</v>
      </c>
      <c r="G40" t="s">
        <v>1701</v>
      </c>
      <c r="H40" t="s">
        <v>76</v>
      </c>
      <c r="I40" t="s">
        <v>235</v>
      </c>
      <c r="J40" t="s">
        <v>61</v>
      </c>
      <c r="K40" t="s">
        <v>314</v>
      </c>
      <c r="L40" t="s">
        <v>476</v>
      </c>
      <c r="M40" s="138" t="s">
        <v>759</v>
      </c>
      <c r="N40" t="s">
        <v>62</v>
      </c>
      <c r="O40" t="s">
        <v>1218</v>
      </c>
      <c r="P40" s="130">
        <v>6240</v>
      </c>
      <c r="Q40" s="130">
        <v>3.19</v>
      </c>
      <c r="R40" s="130">
        <v>14397</v>
      </c>
      <c r="S40" s="132"/>
      <c r="T40" s="130">
        <v>2865.8092299999998</v>
      </c>
      <c r="U40" s="133">
        <v>9.0000000000000002E-6</v>
      </c>
      <c r="V40" s="133">
        <v>9.2440000000000005E-3</v>
      </c>
      <c r="W40" s="133">
        <v>6.9200000000000002E-4</v>
      </c>
    </row>
    <row r="41" spans="1:23" x14ac:dyDescent="0.2">
      <c r="A41">
        <v>274</v>
      </c>
      <c r="B41">
        <v>274</v>
      </c>
      <c r="C41" t="s">
        <v>1702</v>
      </c>
      <c r="D41" t="s">
        <v>1703</v>
      </c>
      <c r="E41" t="s">
        <v>430</v>
      </c>
      <c r="F41" t="s">
        <v>1704</v>
      </c>
      <c r="G41" t="s">
        <v>1705</v>
      </c>
      <c r="H41" t="s">
        <v>76</v>
      </c>
      <c r="I41" t="s">
        <v>102</v>
      </c>
      <c r="J41" t="s">
        <v>61</v>
      </c>
      <c r="K41" t="s">
        <v>316</v>
      </c>
      <c r="L41" t="s">
        <v>494</v>
      </c>
      <c r="M41" s="138" t="s">
        <v>1086</v>
      </c>
      <c r="N41" t="s">
        <v>62</v>
      </c>
      <c r="O41" t="s">
        <v>1218</v>
      </c>
      <c r="P41" s="130">
        <v>10550</v>
      </c>
      <c r="Q41" s="130">
        <v>3.19</v>
      </c>
      <c r="R41" s="130">
        <v>798.3</v>
      </c>
      <c r="S41" s="132"/>
      <c r="T41" s="130">
        <v>268.66386999999997</v>
      </c>
      <c r="U41" s="133">
        <v>5.4600000000000004E-4</v>
      </c>
      <c r="V41" s="133">
        <v>8.6600000000000002E-4</v>
      </c>
      <c r="W41" s="133">
        <v>6.3999999999999997E-5</v>
      </c>
    </row>
    <row r="42" spans="1:23" x14ac:dyDescent="0.2">
      <c r="A42">
        <v>274</v>
      </c>
      <c r="B42">
        <v>274</v>
      </c>
      <c r="C42" t="s">
        <v>1652</v>
      </c>
      <c r="D42" t="s">
        <v>1653</v>
      </c>
      <c r="E42" t="s">
        <v>430</v>
      </c>
      <c r="F42" t="s">
        <v>1706</v>
      </c>
      <c r="G42" t="s">
        <v>1707</v>
      </c>
      <c r="H42" t="s">
        <v>76</v>
      </c>
      <c r="I42" t="s">
        <v>235</v>
      </c>
      <c r="J42" t="s">
        <v>61</v>
      </c>
      <c r="K42" t="s">
        <v>1165</v>
      </c>
      <c r="L42" t="s">
        <v>488</v>
      </c>
      <c r="M42" s="138" t="s">
        <v>759</v>
      </c>
      <c r="N42" t="s">
        <v>62</v>
      </c>
      <c r="O42" t="s">
        <v>1232</v>
      </c>
      <c r="P42" s="130">
        <v>71683</v>
      </c>
      <c r="Q42" s="130">
        <v>3.7454999999999998</v>
      </c>
      <c r="R42" s="130">
        <v>10718</v>
      </c>
      <c r="S42" s="132"/>
      <c r="T42" s="130">
        <v>28776.61635</v>
      </c>
      <c r="U42" s="133">
        <v>1.101E-3</v>
      </c>
      <c r="V42" s="133">
        <v>9.2831999999999998E-2</v>
      </c>
      <c r="W42" s="133">
        <v>6.953E-3</v>
      </c>
    </row>
    <row r="43" spans="1:23" x14ac:dyDescent="0.2">
      <c r="A43">
        <v>274</v>
      </c>
      <c r="B43">
        <v>274</v>
      </c>
      <c r="C43" t="s">
        <v>1708</v>
      </c>
      <c r="D43" t="s">
        <v>1709</v>
      </c>
      <c r="E43" t="s">
        <v>430</v>
      </c>
      <c r="F43" t="s">
        <v>1710</v>
      </c>
      <c r="G43" t="s">
        <v>1711</v>
      </c>
      <c r="H43" t="s">
        <v>76</v>
      </c>
      <c r="I43" t="s">
        <v>235</v>
      </c>
      <c r="J43" t="s">
        <v>61</v>
      </c>
      <c r="K43" t="s">
        <v>317</v>
      </c>
      <c r="L43" t="s">
        <v>102</v>
      </c>
      <c r="M43" s="138" t="s">
        <v>759</v>
      </c>
      <c r="N43" t="s">
        <v>62</v>
      </c>
      <c r="O43" t="s">
        <v>1218</v>
      </c>
      <c r="P43" s="130">
        <v>2583</v>
      </c>
      <c r="Q43" s="130">
        <v>3.19</v>
      </c>
      <c r="R43" s="130">
        <v>15302</v>
      </c>
      <c r="S43" s="132"/>
      <c r="T43" s="130">
        <v>1260.84961</v>
      </c>
      <c r="U43" s="133">
        <v>7.3999999999999996E-5</v>
      </c>
      <c r="V43" s="133">
        <v>4.0670000000000003E-3</v>
      </c>
      <c r="W43" s="133">
        <v>3.0400000000000002E-4</v>
      </c>
    </row>
    <row r="44" spans="1:23" x14ac:dyDescent="0.2">
      <c r="A44">
        <v>274</v>
      </c>
      <c r="B44">
        <v>274</v>
      </c>
      <c r="C44" t="s">
        <v>1652</v>
      </c>
      <c r="D44" t="s">
        <v>1653</v>
      </c>
      <c r="E44" t="s">
        <v>430</v>
      </c>
      <c r="F44" t="s">
        <v>1712</v>
      </c>
      <c r="G44" t="s">
        <v>1713</v>
      </c>
      <c r="H44" t="s">
        <v>76</v>
      </c>
      <c r="I44" t="s">
        <v>235</v>
      </c>
      <c r="J44" t="s">
        <v>61</v>
      </c>
      <c r="K44" t="s">
        <v>314</v>
      </c>
      <c r="L44" t="s">
        <v>494</v>
      </c>
      <c r="M44" s="138" t="s">
        <v>759</v>
      </c>
      <c r="N44" t="s">
        <v>62</v>
      </c>
      <c r="O44" t="s">
        <v>1218</v>
      </c>
      <c r="P44" s="130">
        <v>24861</v>
      </c>
      <c r="Q44" s="130">
        <v>3.19</v>
      </c>
      <c r="R44" s="130">
        <v>20579</v>
      </c>
      <c r="S44" s="132"/>
      <c r="T44" s="130">
        <v>16320.50316</v>
      </c>
      <c r="U44" s="133">
        <v>9.8900000000000008E-4</v>
      </c>
      <c r="V44" s="133">
        <v>5.2649000000000001E-2</v>
      </c>
      <c r="W44" s="133">
        <v>3.9430000000000003E-3</v>
      </c>
    </row>
    <row r="45" spans="1:23" x14ac:dyDescent="0.2">
      <c r="A45">
        <v>274</v>
      </c>
      <c r="B45">
        <v>274</v>
      </c>
      <c r="C45" t="s">
        <v>1652</v>
      </c>
      <c r="D45" t="s">
        <v>1653</v>
      </c>
      <c r="E45" t="s">
        <v>430</v>
      </c>
      <c r="F45" t="s">
        <v>1714</v>
      </c>
      <c r="G45" t="s">
        <v>1715</v>
      </c>
      <c r="H45" t="s">
        <v>76</v>
      </c>
      <c r="I45" t="s">
        <v>235</v>
      </c>
      <c r="J45" t="s">
        <v>61</v>
      </c>
      <c r="K45" t="s">
        <v>314</v>
      </c>
      <c r="L45" t="s">
        <v>494</v>
      </c>
      <c r="M45" s="138" t="s">
        <v>759</v>
      </c>
      <c r="N45" t="s">
        <v>62</v>
      </c>
      <c r="O45" t="s">
        <v>1218</v>
      </c>
      <c r="P45" s="130">
        <v>55371</v>
      </c>
      <c r="Q45" s="130">
        <v>3.19</v>
      </c>
      <c r="R45" s="130">
        <v>20272.5</v>
      </c>
      <c r="S45" s="132"/>
      <c r="T45" s="130">
        <v>35808.024259999998</v>
      </c>
      <c r="U45" s="133">
        <v>1.047E-3</v>
      </c>
      <c r="V45" s="133">
        <v>0.11551500000000001</v>
      </c>
      <c r="W45" s="133">
        <v>8.652E-3</v>
      </c>
    </row>
    <row r="46" spans="1:23" x14ac:dyDescent="0.2">
      <c r="A46">
        <v>274</v>
      </c>
      <c r="B46">
        <v>274</v>
      </c>
      <c r="C46" t="s">
        <v>1631</v>
      </c>
      <c r="D46" t="s">
        <v>1632</v>
      </c>
      <c r="E46" t="s">
        <v>430</v>
      </c>
      <c r="F46" t="s">
        <v>1716</v>
      </c>
      <c r="G46" t="s">
        <v>1717</v>
      </c>
      <c r="H46" t="s">
        <v>76</v>
      </c>
      <c r="I46" t="s">
        <v>235</v>
      </c>
      <c r="J46" t="s">
        <v>61</v>
      </c>
      <c r="K46" t="s">
        <v>316</v>
      </c>
      <c r="L46" t="s">
        <v>494</v>
      </c>
      <c r="M46" s="138" t="s">
        <v>759</v>
      </c>
      <c r="N46" t="s">
        <v>62</v>
      </c>
      <c r="O46" t="s">
        <v>1218</v>
      </c>
      <c r="P46" s="130">
        <v>215833</v>
      </c>
      <c r="Q46" s="130">
        <v>3.19</v>
      </c>
      <c r="R46" s="130">
        <v>4790.75</v>
      </c>
      <c r="S46" s="132"/>
      <c r="T46" s="130">
        <v>32984.662040000003</v>
      </c>
      <c r="U46" s="133">
        <v>6.38E-4</v>
      </c>
      <c r="V46" s="133">
        <v>0.106407</v>
      </c>
      <c r="W46" s="133">
        <v>7.9699999999999997E-3</v>
      </c>
    </row>
    <row r="47" spans="1:23" x14ac:dyDescent="0.2">
      <c r="A47">
        <v>274</v>
      </c>
      <c r="B47">
        <v>274</v>
      </c>
      <c r="C47" t="s">
        <v>1627</v>
      </c>
      <c r="D47" t="s">
        <v>1628</v>
      </c>
      <c r="E47" t="s">
        <v>430</v>
      </c>
      <c r="F47" t="s">
        <v>1718</v>
      </c>
      <c r="G47" t="s">
        <v>1719</v>
      </c>
      <c r="H47" t="s">
        <v>76</v>
      </c>
      <c r="I47" t="s">
        <v>235</v>
      </c>
      <c r="J47" t="s">
        <v>61</v>
      </c>
      <c r="K47" t="s">
        <v>313</v>
      </c>
      <c r="L47" t="s">
        <v>102</v>
      </c>
      <c r="M47" s="138" t="s">
        <v>759</v>
      </c>
      <c r="N47" t="s">
        <v>62</v>
      </c>
      <c r="O47" t="s">
        <v>1232</v>
      </c>
      <c r="P47" s="130">
        <v>3313</v>
      </c>
      <c r="Q47" s="130">
        <v>3.7454999999999998</v>
      </c>
      <c r="R47" s="130">
        <v>5068</v>
      </c>
      <c r="S47" s="132"/>
      <c r="T47" s="130">
        <v>628.88009</v>
      </c>
      <c r="U47" s="133">
        <v>1.4899999999999999E-4</v>
      </c>
      <c r="V47" s="133">
        <v>2.0279999999999999E-3</v>
      </c>
      <c r="W47" s="133">
        <v>1.5100000000000001E-4</v>
      </c>
    </row>
    <row r="48" spans="1:23" x14ac:dyDescent="0.2">
      <c r="A48">
        <v>274</v>
      </c>
      <c r="B48">
        <v>274</v>
      </c>
      <c r="C48" t="s">
        <v>1623</v>
      </c>
      <c r="D48" t="s">
        <v>1624</v>
      </c>
      <c r="E48" t="s">
        <v>430</v>
      </c>
      <c r="F48" t="s">
        <v>1720</v>
      </c>
      <c r="G48" t="s">
        <v>1721</v>
      </c>
      <c r="H48" t="s">
        <v>76</v>
      </c>
      <c r="I48" t="s">
        <v>102</v>
      </c>
      <c r="J48" t="s">
        <v>61</v>
      </c>
      <c r="K48" t="s">
        <v>314</v>
      </c>
      <c r="L48" t="s">
        <v>501</v>
      </c>
      <c r="M48" s="138" t="s">
        <v>1086</v>
      </c>
      <c r="N48" t="s">
        <v>62</v>
      </c>
      <c r="O48" t="s">
        <v>1218</v>
      </c>
      <c r="P48" s="130">
        <v>170</v>
      </c>
      <c r="Q48" s="130">
        <v>3.19</v>
      </c>
      <c r="R48" s="130">
        <v>10344</v>
      </c>
      <c r="S48" s="132"/>
      <c r="T48" s="130">
        <v>56.095509999999997</v>
      </c>
      <c r="U48" s="133">
        <v>3.9999999999999998E-6</v>
      </c>
      <c r="V48" s="133">
        <v>1.8000000000000001E-4</v>
      </c>
      <c r="W48" s="133">
        <v>1.2999999999999999E-5</v>
      </c>
    </row>
    <row r="49" spans="1:23" x14ac:dyDescent="0.2">
      <c r="A49">
        <v>274</v>
      </c>
      <c r="B49">
        <v>274</v>
      </c>
      <c r="C49" t="s">
        <v>1623</v>
      </c>
      <c r="D49" t="s">
        <v>1624</v>
      </c>
      <c r="E49" t="s">
        <v>430</v>
      </c>
      <c r="F49" t="s">
        <v>1722</v>
      </c>
      <c r="G49" t="s">
        <v>1723</v>
      </c>
      <c r="H49" t="s">
        <v>76</v>
      </c>
      <c r="I49" t="s">
        <v>235</v>
      </c>
      <c r="J49" t="s">
        <v>61</v>
      </c>
      <c r="K49" t="s">
        <v>314</v>
      </c>
      <c r="L49" t="s">
        <v>102</v>
      </c>
      <c r="M49" s="138" t="s">
        <v>759</v>
      </c>
      <c r="N49" t="s">
        <v>62</v>
      </c>
      <c r="O49" t="s">
        <v>1218</v>
      </c>
      <c r="P49" s="130">
        <v>912893</v>
      </c>
      <c r="Q49" s="130">
        <v>3.19</v>
      </c>
      <c r="R49" s="130">
        <v>941.86</v>
      </c>
      <c r="S49" s="132"/>
      <c r="T49" s="130">
        <v>27428.175090000001</v>
      </c>
      <c r="U49" s="133">
        <v>2.6779999999999998E-3</v>
      </c>
      <c r="V49" s="133">
        <v>8.8482000000000005E-2</v>
      </c>
      <c r="W49" s="133">
        <v>6.6270000000000001E-3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0" bestFit="1" customWidth="1"/>
    <col min="15" max="15" width="9.625" style="4" bestFit="1" customWidth="1"/>
    <col min="16" max="16" width="9.875" style="4" bestFit="1" customWidth="1"/>
    <col min="17" max="17" width="11.875" style="4" bestFit="1" customWidth="1"/>
    <col min="18" max="18" width="8.625" style="4" bestFit="1" customWidth="1"/>
    <col min="19" max="19" width="13.5" style="4" bestFit="1" customWidth="1"/>
    <col min="20" max="20" width="9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7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274</v>
      </c>
      <c r="B2">
        <v>274</v>
      </c>
      <c r="C2" t="s">
        <v>1724</v>
      </c>
      <c r="D2" t="s">
        <v>1661</v>
      </c>
      <c r="E2" t="s">
        <v>430</v>
      </c>
      <c r="F2" t="s">
        <v>1725</v>
      </c>
      <c r="G2" t="s">
        <v>1726</v>
      </c>
      <c r="H2" t="s">
        <v>76</v>
      </c>
      <c r="I2" t="s">
        <v>211</v>
      </c>
      <c r="J2" t="s">
        <v>61</v>
      </c>
      <c r="K2" t="s">
        <v>314</v>
      </c>
      <c r="L2" t="s">
        <v>805</v>
      </c>
      <c r="M2" t="s">
        <v>102</v>
      </c>
      <c r="N2" s="138" t="s">
        <v>1086</v>
      </c>
      <c r="O2" t="s">
        <v>62</v>
      </c>
      <c r="P2" t="s">
        <v>1218</v>
      </c>
      <c r="Q2" s="130">
        <v>1180</v>
      </c>
      <c r="R2" s="130">
        <v>3.19</v>
      </c>
      <c r="S2" s="130">
        <v>43706.879999999997</v>
      </c>
      <c r="T2" s="130">
        <v>1645.2143799999999</v>
      </c>
      <c r="U2" s="133">
        <v>1.16E-4</v>
      </c>
      <c r="V2" s="133">
        <v>5.9353000000000003E-2</v>
      </c>
      <c r="W2" s="133">
        <v>3.97E-4</v>
      </c>
    </row>
    <row r="3" spans="1:23" x14ac:dyDescent="0.2">
      <c r="A3">
        <v>274</v>
      </c>
      <c r="B3">
        <v>274</v>
      </c>
      <c r="C3" t="s">
        <v>1727</v>
      </c>
      <c r="D3" t="s">
        <v>1728</v>
      </c>
      <c r="E3" t="s">
        <v>430</v>
      </c>
      <c r="F3" t="s">
        <v>1729</v>
      </c>
      <c r="G3" t="s">
        <v>1730</v>
      </c>
      <c r="H3" t="s">
        <v>76</v>
      </c>
      <c r="I3" t="s">
        <v>73</v>
      </c>
      <c r="J3" t="s">
        <v>61</v>
      </c>
      <c r="K3" t="s">
        <v>313</v>
      </c>
      <c r="L3" t="s">
        <v>805</v>
      </c>
      <c r="M3" t="s">
        <v>102</v>
      </c>
      <c r="N3" s="138" t="s">
        <v>759</v>
      </c>
      <c r="O3" t="s">
        <v>62</v>
      </c>
      <c r="P3" t="s">
        <v>1231</v>
      </c>
      <c r="Q3" s="130">
        <v>391485</v>
      </c>
      <c r="R3" s="130">
        <v>4.29</v>
      </c>
      <c r="S3" s="130">
        <v>166.7</v>
      </c>
      <c r="T3" s="130">
        <v>2799.6761299999998</v>
      </c>
      <c r="U3" s="133">
        <v>2.9E-4</v>
      </c>
      <c r="V3" s="133">
        <v>0.10100199999999999</v>
      </c>
      <c r="W3" s="133">
        <v>6.7599999999999995E-4</v>
      </c>
    </row>
    <row r="4" spans="1:23" x14ac:dyDescent="0.2">
      <c r="A4">
        <v>274</v>
      </c>
      <c r="B4">
        <v>274</v>
      </c>
      <c r="C4" t="s">
        <v>1731</v>
      </c>
      <c r="D4" t="s">
        <v>1732</v>
      </c>
      <c r="E4" t="s">
        <v>430</v>
      </c>
      <c r="F4" t="s">
        <v>1733</v>
      </c>
      <c r="G4" t="s">
        <v>1734</v>
      </c>
      <c r="H4" t="s">
        <v>76</v>
      </c>
      <c r="I4" t="s">
        <v>211</v>
      </c>
      <c r="J4" t="s">
        <v>61</v>
      </c>
      <c r="K4" t="s">
        <v>314</v>
      </c>
      <c r="L4" t="s">
        <v>805</v>
      </c>
      <c r="M4" t="s">
        <v>491</v>
      </c>
      <c r="N4" s="138" t="s">
        <v>1086</v>
      </c>
      <c r="O4" t="s">
        <v>62</v>
      </c>
      <c r="P4" t="s">
        <v>1218</v>
      </c>
      <c r="Q4" s="130">
        <v>1346.3</v>
      </c>
      <c r="R4" s="130">
        <v>3.19</v>
      </c>
      <c r="S4" s="130">
        <v>12714</v>
      </c>
      <c r="T4" s="130">
        <v>546.02778000000001</v>
      </c>
      <c r="U4" s="133">
        <v>1.8240000000000001E-3</v>
      </c>
      <c r="V4" s="133">
        <v>1.9698E-2</v>
      </c>
      <c r="W4" s="133">
        <v>1.3100000000000001E-4</v>
      </c>
    </row>
    <row r="5" spans="1:23" x14ac:dyDescent="0.2">
      <c r="A5">
        <v>274</v>
      </c>
      <c r="B5">
        <v>274</v>
      </c>
      <c r="C5" t="s">
        <v>1735</v>
      </c>
      <c r="D5" t="s">
        <v>1736</v>
      </c>
      <c r="E5" t="s">
        <v>430</v>
      </c>
      <c r="F5" t="s">
        <v>1737</v>
      </c>
      <c r="G5" t="s">
        <v>1738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s="138" t="s">
        <v>759</v>
      </c>
      <c r="O5" t="s">
        <v>62</v>
      </c>
      <c r="P5" t="s">
        <v>1234</v>
      </c>
      <c r="Q5" s="130">
        <v>1136</v>
      </c>
      <c r="R5" s="130">
        <v>2.0365000000000001E-2</v>
      </c>
      <c r="S5" s="130">
        <v>2580404</v>
      </c>
      <c r="T5" s="130">
        <v>596.96717999999998</v>
      </c>
      <c r="U5" s="133">
        <v>1.14E-3</v>
      </c>
      <c r="V5" s="133">
        <v>2.1536E-2</v>
      </c>
      <c r="W5" s="133">
        <v>1.44E-4</v>
      </c>
    </row>
    <row r="6" spans="1:23" x14ac:dyDescent="0.2">
      <c r="A6">
        <v>274</v>
      </c>
      <c r="B6">
        <v>274</v>
      </c>
      <c r="C6" t="s">
        <v>1739</v>
      </c>
      <c r="D6" t="s">
        <v>1740</v>
      </c>
      <c r="E6" t="s">
        <v>430</v>
      </c>
      <c r="F6" t="s">
        <v>1741</v>
      </c>
      <c r="G6" t="s">
        <v>1742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s="138" t="s">
        <v>759</v>
      </c>
      <c r="O6" t="s">
        <v>62</v>
      </c>
      <c r="P6" t="s">
        <v>1234</v>
      </c>
      <c r="Q6" s="130">
        <v>3326</v>
      </c>
      <c r="R6" s="130">
        <v>2.0365000000000001E-2</v>
      </c>
      <c r="S6" s="130">
        <v>1723944.21</v>
      </c>
      <c r="T6" s="130">
        <v>1167.6962000000001</v>
      </c>
      <c r="U6" s="133">
        <v>1.94E-4</v>
      </c>
      <c r="V6" s="133">
        <v>4.2125999999999997E-2</v>
      </c>
      <c r="W6" s="133">
        <v>2.8200000000000002E-4</v>
      </c>
    </row>
    <row r="7" spans="1:23" x14ac:dyDescent="0.2">
      <c r="A7">
        <v>274</v>
      </c>
      <c r="B7">
        <v>274</v>
      </c>
      <c r="C7" t="s">
        <v>1743</v>
      </c>
      <c r="D7" t="s">
        <v>1744</v>
      </c>
      <c r="E7" t="s">
        <v>430</v>
      </c>
      <c r="F7" t="s">
        <v>1745</v>
      </c>
      <c r="G7" t="s">
        <v>1746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8" t="s">
        <v>1086</v>
      </c>
      <c r="O7" t="s">
        <v>62</v>
      </c>
      <c r="P7" t="s">
        <v>1218</v>
      </c>
      <c r="Q7" s="130">
        <v>4811.3900000000003</v>
      </c>
      <c r="R7" s="130">
        <v>3.19</v>
      </c>
      <c r="S7" s="130">
        <v>3033</v>
      </c>
      <c r="T7" s="130">
        <v>465.51497000000001</v>
      </c>
      <c r="U7" s="133">
        <v>2.9399999999999999E-4</v>
      </c>
      <c r="V7" s="133">
        <v>1.6794E-2</v>
      </c>
      <c r="W7" s="133">
        <v>1.12E-4</v>
      </c>
    </row>
    <row r="8" spans="1:23" x14ac:dyDescent="0.2">
      <c r="A8">
        <v>274</v>
      </c>
      <c r="B8">
        <v>274</v>
      </c>
      <c r="C8" t="s">
        <v>1747</v>
      </c>
      <c r="D8" t="s">
        <v>1748</v>
      </c>
      <c r="E8" t="s">
        <v>430</v>
      </c>
      <c r="F8" t="s">
        <v>1749</v>
      </c>
      <c r="G8" t="s">
        <v>1750</v>
      </c>
      <c r="H8" t="s">
        <v>76</v>
      </c>
      <c r="I8" t="s">
        <v>211</v>
      </c>
      <c r="J8" t="s">
        <v>61</v>
      </c>
      <c r="K8" t="s">
        <v>317</v>
      </c>
      <c r="L8" t="s">
        <v>805</v>
      </c>
      <c r="M8" t="s">
        <v>102</v>
      </c>
      <c r="N8" s="138" t="s">
        <v>1086</v>
      </c>
      <c r="O8" t="s">
        <v>62</v>
      </c>
      <c r="P8" t="s">
        <v>1218</v>
      </c>
      <c r="Q8" s="130">
        <v>11200</v>
      </c>
      <c r="R8" s="130">
        <v>3.19</v>
      </c>
      <c r="S8" s="130">
        <v>1227.0999999999999</v>
      </c>
      <c r="T8" s="130">
        <v>438.41829000000001</v>
      </c>
      <c r="U8" s="133">
        <v>2.8E-5</v>
      </c>
      <c r="V8" s="133">
        <v>1.5816E-2</v>
      </c>
      <c r="W8" s="133">
        <v>1.05E-4</v>
      </c>
    </row>
    <row r="9" spans="1:23" x14ac:dyDescent="0.2">
      <c r="A9">
        <v>274</v>
      </c>
      <c r="B9">
        <v>274</v>
      </c>
      <c r="C9" t="s">
        <v>1751</v>
      </c>
      <c r="D9" t="s">
        <v>1752</v>
      </c>
      <c r="E9" t="s">
        <v>430</v>
      </c>
      <c r="F9" t="s">
        <v>1753</v>
      </c>
      <c r="G9" t="s">
        <v>1754</v>
      </c>
      <c r="H9" t="s">
        <v>76</v>
      </c>
      <c r="I9" t="s">
        <v>73</v>
      </c>
      <c r="J9" t="s">
        <v>61</v>
      </c>
      <c r="K9" t="s">
        <v>317</v>
      </c>
      <c r="L9" t="s">
        <v>805</v>
      </c>
      <c r="M9" t="s">
        <v>102</v>
      </c>
      <c r="N9" s="138" t="s">
        <v>759</v>
      </c>
      <c r="O9" t="s">
        <v>62</v>
      </c>
      <c r="P9" t="s">
        <v>1218</v>
      </c>
      <c r="Q9" s="130">
        <v>1992</v>
      </c>
      <c r="R9" s="130">
        <v>3.19</v>
      </c>
      <c r="S9" s="130">
        <v>26555</v>
      </c>
      <c r="T9" s="130">
        <v>1687.4321600000001</v>
      </c>
      <c r="U9" s="133">
        <v>2.3699999999999999E-4</v>
      </c>
      <c r="V9" s="133">
        <v>6.0876E-2</v>
      </c>
      <c r="W9" s="133">
        <v>4.0700000000000003E-4</v>
      </c>
    </row>
    <row r="10" spans="1:23" x14ac:dyDescent="0.2">
      <c r="A10">
        <v>274</v>
      </c>
      <c r="B10">
        <v>274</v>
      </c>
      <c r="C10" t="s">
        <v>1755</v>
      </c>
      <c r="D10" t="s">
        <v>1756</v>
      </c>
      <c r="E10" t="s">
        <v>430</v>
      </c>
      <c r="F10" t="s">
        <v>1757</v>
      </c>
      <c r="G10" t="s">
        <v>1758</v>
      </c>
      <c r="H10" t="s">
        <v>76</v>
      </c>
      <c r="I10" t="s">
        <v>73</v>
      </c>
      <c r="J10" t="s">
        <v>61</v>
      </c>
      <c r="K10" t="s">
        <v>166</v>
      </c>
      <c r="L10" t="s">
        <v>805</v>
      </c>
      <c r="M10" t="s">
        <v>102</v>
      </c>
      <c r="N10" s="138" t="s">
        <v>759</v>
      </c>
      <c r="O10" t="s">
        <v>62</v>
      </c>
      <c r="P10" t="s">
        <v>1234</v>
      </c>
      <c r="Q10" s="130">
        <v>2439</v>
      </c>
      <c r="R10" s="130">
        <v>2.0365000000000001E-2</v>
      </c>
      <c r="S10" s="130">
        <v>2359400</v>
      </c>
      <c r="T10" s="130">
        <v>1171.9195199999999</v>
      </c>
      <c r="U10" s="133">
        <v>3.2200000000000002E-4</v>
      </c>
      <c r="V10" s="133">
        <v>4.2278000000000003E-2</v>
      </c>
      <c r="W10" s="133">
        <v>2.8299999999999999E-4</v>
      </c>
    </row>
    <row r="11" spans="1:23" x14ac:dyDescent="0.2">
      <c r="A11">
        <v>274</v>
      </c>
      <c r="B11">
        <v>274</v>
      </c>
      <c r="C11" t="s">
        <v>1759</v>
      </c>
      <c r="D11" t="s">
        <v>1760</v>
      </c>
      <c r="E11" t="s">
        <v>430</v>
      </c>
      <c r="F11" t="s">
        <v>1761</v>
      </c>
      <c r="G11" t="s">
        <v>1762</v>
      </c>
      <c r="H11" t="s">
        <v>76</v>
      </c>
      <c r="I11" t="s">
        <v>73</v>
      </c>
      <c r="J11" t="s">
        <v>61</v>
      </c>
      <c r="K11" t="s">
        <v>317</v>
      </c>
      <c r="L11" t="s">
        <v>805</v>
      </c>
      <c r="M11" t="s">
        <v>102</v>
      </c>
      <c r="N11" s="138" t="s">
        <v>759</v>
      </c>
      <c r="O11" t="s">
        <v>62</v>
      </c>
      <c r="P11" t="s">
        <v>1218</v>
      </c>
      <c r="Q11" s="130">
        <v>2258</v>
      </c>
      <c r="R11" s="130">
        <v>3.19</v>
      </c>
      <c r="S11" s="130">
        <v>14771</v>
      </c>
      <c r="T11" s="130">
        <v>1063.9580800000001</v>
      </c>
      <c r="U11" s="133">
        <v>3.2899999999999997E-4</v>
      </c>
      <c r="V11" s="133">
        <v>3.8384000000000001E-2</v>
      </c>
      <c r="W11" s="133">
        <v>2.5700000000000001E-4</v>
      </c>
    </row>
    <row r="12" spans="1:23" x14ac:dyDescent="0.2">
      <c r="A12">
        <v>274</v>
      </c>
      <c r="B12">
        <v>274</v>
      </c>
      <c r="C12" t="s">
        <v>1763</v>
      </c>
      <c r="D12" t="s">
        <v>1764</v>
      </c>
      <c r="E12" t="s">
        <v>430</v>
      </c>
      <c r="F12" t="s">
        <v>1765</v>
      </c>
      <c r="G12" t="s">
        <v>1766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8" t="s">
        <v>1086</v>
      </c>
      <c r="O12" t="s">
        <v>62</v>
      </c>
      <c r="P12" t="s">
        <v>1218</v>
      </c>
      <c r="Q12" s="130">
        <v>5380</v>
      </c>
      <c r="R12" s="130">
        <v>3.19</v>
      </c>
      <c r="S12" s="130">
        <v>15693.2</v>
      </c>
      <c r="T12" s="130">
        <v>2693.29837</v>
      </c>
      <c r="U12" s="133">
        <v>1.6699999999999999E-4</v>
      </c>
      <c r="V12" s="133">
        <v>9.7165000000000001E-2</v>
      </c>
      <c r="W12" s="133">
        <v>6.4999999999999997E-4</v>
      </c>
    </row>
    <row r="13" spans="1:23" x14ac:dyDescent="0.2">
      <c r="A13">
        <v>274</v>
      </c>
      <c r="B13">
        <v>274</v>
      </c>
      <c r="C13" t="s">
        <v>1747</v>
      </c>
      <c r="D13" t="s">
        <v>1748</v>
      </c>
      <c r="E13" t="s">
        <v>430</v>
      </c>
      <c r="F13" t="s">
        <v>1767</v>
      </c>
      <c r="G13" t="s">
        <v>1768</v>
      </c>
      <c r="H13" t="s">
        <v>76</v>
      </c>
      <c r="I13" t="s">
        <v>211</v>
      </c>
      <c r="J13" t="s">
        <v>61</v>
      </c>
      <c r="K13" t="s">
        <v>317</v>
      </c>
      <c r="L13" t="s">
        <v>805</v>
      </c>
      <c r="M13" t="s">
        <v>102</v>
      </c>
      <c r="N13" s="138" t="s">
        <v>1086</v>
      </c>
      <c r="O13" t="s">
        <v>62</v>
      </c>
      <c r="P13" t="s">
        <v>1218</v>
      </c>
      <c r="Q13" s="130">
        <v>5400</v>
      </c>
      <c r="R13" s="130">
        <v>3.19</v>
      </c>
      <c r="S13" s="130">
        <v>1739.6</v>
      </c>
      <c r="T13" s="130">
        <v>299.6635</v>
      </c>
      <c r="U13" s="133">
        <v>8.9800000000000004E-4</v>
      </c>
      <c r="V13" s="133">
        <v>1.081E-2</v>
      </c>
      <c r="W13" s="133">
        <v>7.2000000000000002E-5</v>
      </c>
    </row>
    <row r="14" spans="1:23" x14ac:dyDescent="0.2">
      <c r="A14">
        <v>274</v>
      </c>
      <c r="B14">
        <v>274</v>
      </c>
      <c r="C14" t="s">
        <v>1747</v>
      </c>
      <c r="D14" t="s">
        <v>1748</v>
      </c>
      <c r="E14" t="s">
        <v>430</v>
      </c>
      <c r="F14" t="s">
        <v>1769</v>
      </c>
      <c r="G14" t="s">
        <v>1770</v>
      </c>
      <c r="H14" t="s">
        <v>76</v>
      </c>
      <c r="I14" t="s">
        <v>211</v>
      </c>
      <c r="J14" t="s">
        <v>61</v>
      </c>
      <c r="K14" t="s">
        <v>317</v>
      </c>
      <c r="L14" t="s">
        <v>805</v>
      </c>
      <c r="M14" t="s">
        <v>102</v>
      </c>
      <c r="N14" s="138" t="s">
        <v>1086</v>
      </c>
      <c r="O14" t="s">
        <v>62</v>
      </c>
      <c r="P14" t="s">
        <v>1218</v>
      </c>
      <c r="Q14" s="130">
        <v>12120</v>
      </c>
      <c r="R14" s="130">
        <v>3.19</v>
      </c>
      <c r="S14" s="130">
        <v>1104</v>
      </c>
      <c r="T14" s="130">
        <v>426.83731</v>
      </c>
      <c r="U14" s="133">
        <v>7.7399999999999995E-4</v>
      </c>
      <c r="V14" s="133">
        <v>1.5398E-2</v>
      </c>
      <c r="W14" s="133">
        <v>1.03E-4</v>
      </c>
    </row>
    <row r="15" spans="1:23" x14ac:dyDescent="0.2">
      <c r="A15">
        <v>274</v>
      </c>
      <c r="B15">
        <v>274</v>
      </c>
      <c r="C15" t="s">
        <v>1771</v>
      </c>
      <c r="D15" t="s">
        <v>1772</v>
      </c>
      <c r="E15" t="s">
        <v>430</v>
      </c>
      <c r="F15" t="s">
        <v>1773</v>
      </c>
      <c r="G15" t="s">
        <v>1774</v>
      </c>
      <c r="H15" t="s">
        <v>76</v>
      </c>
      <c r="I15" t="s">
        <v>211</v>
      </c>
      <c r="J15" t="s">
        <v>61</v>
      </c>
      <c r="K15" t="s">
        <v>313</v>
      </c>
      <c r="L15" t="s">
        <v>805</v>
      </c>
      <c r="M15" t="s">
        <v>102</v>
      </c>
      <c r="N15" s="138" t="s">
        <v>1086</v>
      </c>
      <c r="O15" t="s">
        <v>62</v>
      </c>
      <c r="P15" t="s">
        <v>1218</v>
      </c>
      <c r="Q15" s="130">
        <v>2400</v>
      </c>
      <c r="R15" s="130">
        <v>3.19</v>
      </c>
      <c r="S15" s="130">
        <v>11090.64</v>
      </c>
      <c r="T15" s="130">
        <v>849.09939999999995</v>
      </c>
      <c r="U15" s="133">
        <v>7.2000000000000002E-5</v>
      </c>
      <c r="V15" s="133">
        <v>3.0632E-2</v>
      </c>
      <c r="W15" s="133">
        <v>2.05E-4</v>
      </c>
    </row>
    <row r="16" spans="1:23" x14ac:dyDescent="0.2">
      <c r="A16">
        <v>274</v>
      </c>
      <c r="B16">
        <v>274</v>
      </c>
      <c r="C16" t="s">
        <v>1775</v>
      </c>
      <c r="D16" t="s">
        <v>1776</v>
      </c>
      <c r="E16" t="s">
        <v>430</v>
      </c>
      <c r="F16" t="s">
        <v>1777</v>
      </c>
      <c r="G16" t="s">
        <v>1778</v>
      </c>
      <c r="H16" t="s">
        <v>76</v>
      </c>
      <c r="I16" t="s">
        <v>73</v>
      </c>
      <c r="J16" t="s">
        <v>61</v>
      </c>
      <c r="K16" t="s">
        <v>166</v>
      </c>
      <c r="L16" t="s">
        <v>805</v>
      </c>
      <c r="M16" t="s">
        <v>102</v>
      </c>
      <c r="N16" s="138" t="s">
        <v>759</v>
      </c>
      <c r="O16" t="s">
        <v>62</v>
      </c>
      <c r="P16" t="s">
        <v>1218</v>
      </c>
      <c r="Q16" s="130">
        <v>46850</v>
      </c>
      <c r="R16" s="130">
        <v>3.19</v>
      </c>
      <c r="S16" s="130">
        <v>1751.93</v>
      </c>
      <c r="T16" s="130">
        <v>2618.28566</v>
      </c>
      <c r="U16" s="133">
        <v>5.3600000000000002E-4</v>
      </c>
      <c r="V16" s="133">
        <v>9.4458E-2</v>
      </c>
      <c r="W16" s="133">
        <v>6.3199999999999997E-4</v>
      </c>
    </row>
    <row r="17" spans="1:23" x14ac:dyDescent="0.2">
      <c r="A17">
        <v>274</v>
      </c>
      <c r="B17">
        <v>274</v>
      </c>
      <c r="C17" t="s">
        <v>1779</v>
      </c>
      <c r="D17" t="s">
        <v>1780</v>
      </c>
      <c r="E17" t="s">
        <v>430</v>
      </c>
      <c r="F17" t="s">
        <v>1781</v>
      </c>
      <c r="G17" t="s">
        <v>1782</v>
      </c>
      <c r="H17" t="s">
        <v>76</v>
      </c>
      <c r="I17" t="s">
        <v>211</v>
      </c>
      <c r="J17" t="s">
        <v>61</v>
      </c>
      <c r="K17" t="s">
        <v>317</v>
      </c>
      <c r="L17" t="s">
        <v>958</v>
      </c>
      <c r="M17" t="s">
        <v>102</v>
      </c>
      <c r="N17" s="138" t="s">
        <v>1086</v>
      </c>
      <c r="O17" t="s">
        <v>62</v>
      </c>
      <c r="P17" t="s">
        <v>1218</v>
      </c>
      <c r="Q17" s="130">
        <v>41208.69</v>
      </c>
      <c r="R17" s="130">
        <v>3.19</v>
      </c>
      <c r="S17" s="130">
        <v>1672.63</v>
      </c>
      <c r="T17" s="130">
        <v>2198.7678299999998</v>
      </c>
      <c r="U17" s="133">
        <v>7.842E-3</v>
      </c>
      <c r="V17" s="133">
        <v>7.9324000000000006E-2</v>
      </c>
      <c r="W17" s="133">
        <v>5.31E-4</v>
      </c>
    </row>
    <row r="18" spans="1:23" x14ac:dyDescent="0.2">
      <c r="A18">
        <v>274</v>
      </c>
      <c r="B18">
        <v>274</v>
      </c>
      <c r="C18" t="s">
        <v>1783</v>
      </c>
      <c r="D18" t="s">
        <v>1784</v>
      </c>
      <c r="E18" t="s">
        <v>430</v>
      </c>
      <c r="F18" t="s">
        <v>1785</v>
      </c>
      <c r="G18" t="s">
        <v>1786</v>
      </c>
      <c r="H18" t="s">
        <v>76</v>
      </c>
      <c r="I18" t="s">
        <v>73</v>
      </c>
      <c r="J18" t="s">
        <v>61</v>
      </c>
      <c r="K18" t="s">
        <v>1166</v>
      </c>
      <c r="L18" t="s">
        <v>805</v>
      </c>
      <c r="M18" t="s">
        <v>102</v>
      </c>
      <c r="N18" s="138" t="s">
        <v>759</v>
      </c>
      <c r="O18" t="s">
        <v>62</v>
      </c>
      <c r="P18" t="s">
        <v>1218</v>
      </c>
      <c r="Q18" s="130">
        <v>1968</v>
      </c>
      <c r="R18" s="130">
        <v>3.19</v>
      </c>
      <c r="S18" s="130">
        <v>65287</v>
      </c>
      <c r="T18" s="130">
        <v>4098.6656300000004</v>
      </c>
      <c r="U18" s="133">
        <v>7.1269999999999997E-3</v>
      </c>
      <c r="V18" s="133">
        <v>0.147865</v>
      </c>
      <c r="W18" s="133">
        <v>9.8999999999999999E-4</v>
      </c>
    </row>
    <row r="19" spans="1:23" x14ac:dyDescent="0.2">
      <c r="A19">
        <v>274</v>
      </c>
      <c r="B19">
        <v>274</v>
      </c>
      <c r="C19" t="s">
        <v>1787</v>
      </c>
      <c r="D19" t="s">
        <v>1788</v>
      </c>
      <c r="E19" t="s">
        <v>430</v>
      </c>
      <c r="F19" t="s">
        <v>1789</v>
      </c>
      <c r="G19" t="s">
        <v>1790</v>
      </c>
      <c r="H19" t="s">
        <v>76</v>
      </c>
      <c r="I19" t="s">
        <v>211</v>
      </c>
      <c r="J19" t="s">
        <v>61</v>
      </c>
      <c r="K19" t="s">
        <v>314</v>
      </c>
      <c r="L19" t="s">
        <v>805</v>
      </c>
      <c r="M19" t="s">
        <v>102</v>
      </c>
      <c r="N19" s="138" t="s">
        <v>1086</v>
      </c>
      <c r="O19" t="s">
        <v>62</v>
      </c>
      <c r="P19" t="s">
        <v>1218</v>
      </c>
      <c r="Q19" s="130">
        <v>39118.44</v>
      </c>
      <c r="R19" s="130">
        <v>3.19</v>
      </c>
      <c r="S19" s="130">
        <v>1461.1</v>
      </c>
      <c r="T19" s="130">
        <v>1823.2748899999999</v>
      </c>
      <c r="U19" s="133">
        <v>6.7450000000000001E-3</v>
      </c>
      <c r="V19" s="133">
        <v>6.5777000000000002E-2</v>
      </c>
      <c r="W19" s="133">
        <v>4.4000000000000002E-4</v>
      </c>
    </row>
    <row r="20" spans="1:23" x14ac:dyDescent="0.2">
      <c r="A20">
        <v>274</v>
      </c>
      <c r="B20">
        <v>274</v>
      </c>
      <c r="C20" t="s">
        <v>1791</v>
      </c>
      <c r="D20" t="s">
        <v>1792</v>
      </c>
      <c r="E20" t="s">
        <v>430</v>
      </c>
      <c r="F20" t="s">
        <v>1793</v>
      </c>
      <c r="G20" t="s">
        <v>1794</v>
      </c>
      <c r="H20" t="s">
        <v>76</v>
      </c>
      <c r="I20" t="s">
        <v>73</v>
      </c>
      <c r="J20" t="s">
        <v>61</v>
      </c>
      <c r="K20" t="s">
        <v>317</v>
      </c>
      <c r="L20" t="s">
        <v>805</v>
      </c>
      <c r="M20" t="s">
        <v>102</v>
      </c>
      <c r="N20" s="138" t="s">
        <v>759</v>
      </c>
      <c r="O20" t="s">
        <v>62</v>
      </c>
      <c r="P20" t="s">
        <v>1218</v>
      </c>
      <c r="Q20" s="130">
        <v>179624</v>
      </c>
      <c r="R20" s="130">
        <v>3.19</v>
      </c>
      <c r="S20" s="130">
        <v>196.87</v>
      </c>
      <c r="T20" s="130">
        <v>1128.0662</v>
      </c>
      <c r="U20" s="133">
        <v>4.9100000000000001E-4</v>
      </c>
      <c r="V20" s="133">
        <v>4.0696000000000003E-2</v>
      </c>
      <c r="W20" s="133">
        <v>2.72E-4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9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274</v>
      </c>
      <c r="B2">
        <v>274</v>
      </c>
      <c r="C2" t="s">
        <v>1795</v>
      </c>
      <c r="D2">
        <v>516537560</v>
      </c>
      <c r="E2" t="s">
        <v>429</v>
      </c>
      <c r="F2" t="s">
        <v>1796</v>
      </c>
      <c r="G2" t="s">
        <v>1797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1798</v>
      </c>
      <c r="N2" t="s">
        <v>631</v>
      </c>
      <c r="O2" s="134">
        <v>46203</v>
      </c>
      <c r="P2" t="s">
        <v>62</v>
      </c>
      <c r="Q2" t="s">
        <v>1221</v>
      </c>
      <c r="R2" s="130">
        <v>1650</v>
      </c>
      <c r="S2" s="130">
        <v>1</v>
      </c>
      <c r="T2" s="130">
        <v>6809</v>
      </c>
      <c r="U2" s="130">
        <v>1</v>
      </c>
      <c r="V2" s="130">
        <v>580.4</v>
      </c>
      <c r="W2" s="130">
        <v>39.519440000000003</v>
      </c>
      <c r="X2" s="133">
        <v>1</v>
      </c>
      <c r="Y2" s="133">
        <v>9.0000000000000002E-6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5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6" t="s">
        <v>19</v>
      </c>
      <c r="X1" s="136" t="s">
        <v>30</v>
      </c>
    </row>
    <row r="2" spans="1:24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4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6" t="s">
        <v>19</v>
      </c>
      <c r="T1" s="136" t="s">
        <v>30</v>
      </c>
    </row>
    <row r="2" spans="1:20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6" t="s">
        <v>14</v>
      </c>
      <c r="R1" s="136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6" t="s">
        <v>19</v>
      </c>
      <c r="AB1" s="136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5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5" t="s">
        <v>421</v>
      </c>
      <c r="P1" s="136" t="s">
        <v>14</v>
      </c>
      <c r="Q1" s="136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6" t="s">
        <v>19</v>
      </c>
      <c r="Y1" s="136" t="s">
        <v>30</v>
      </c>
    </row>
    <row r="2" spans="1:25" x14ac:dyDescent="0.2">
      <c r="A2">
        <v>274</v>
      </c>
      <c r="B2">
        <v>274</v>
      </c>
      <c r="I2"/>
      <c r="J2" s="134"/>
      <c r="N2" s="130"/>
      <c r="O2" s="134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8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0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274</v>
      </c>
      <c r="B2">
        <v>274</v>
      </c>
      <c r="C2" t="s">
        <v>649</v>
      </c>
      <c r="D2" t="s">
        <v>1799</v>
      </c>
      <c r="E2">
        <v>8288086</v>
      </c>
      <c r="F2" s="134">
        <v>41579</v>
      </c>
      <c r="G2" s="130">
        <v>2.68</v>
      </c>
      <c r="H2" t="s">
        <v>229</v>
      </c>
      <c r="I2" s="134">
        <v>47058</v>
      </c>
      <c r="J2" s="133">
        <v>4.8000000000000001E-2</v>
      </c>
      <c r="K2" s="133">
        <v>1.7500000000000002E-2</v>
      </c>
      <c r="L2" s="130">
        <v>17560000</v>
      </c>
      <c r="M2" s="130">
        <v>128.54</v>
      </c>
      <c r="N2" s="130">
        <v>22571.62989</v>
      </c>
      <c r="O2" s="130"/>
      <c r="Q2" s="133">
        <v>2.7489E-2</v>
      </c>
      <c r="R2" s="133">
        <v>5.4539999999999996E-3</v>
      </c>
    </row>
    <row r="3" spans="1:18" x14ac:dyDescent="0.2">
      <c r="A3">
        <v>274</v>
      </c>
      <c r="B3">
        <v>274</v>
      </c>
      <c r="C3" t="s">
        <v>649</v>
      </c>
      <c r="D3" t="s">
        <v>1800</v>
      </c>
      <c r="E3">
        <v>8288136</v>
      </c>
      <c r="F3" s="134">
        <v>41730</v>
      </c>
      <c r="G3" s="130">
        <v>3.03</v>
      </c>
      <c r="H3" t="s">
        <v>229</v>
      </c>
      <c r="I3" s="134">
        <v>47209</v>
      </c>
      <c r="J3" s="133">
        <v>4.8000000000000001E-2</v>
      </c>
      <c r="K3" s="133">
        <v>1.7299999999999999E-2</v>
      </c>
      <c r="L3" s="130">
        <v>13232000</v>
      </c>
      <c r="M3" s="130">
        <v>131.51060000000001</v>
      </c>
      <c r="N3" s="130">
        <v>17401.484700000001</v>
      </c>
      <c r="O3" s="132"/>
      <c r="Q3" s="133">
        <v>2.1191999999999999E-2</v>
      </c>
      <c r="R3" s="133">
        <v>4.2040000000000003E-3</v>
      </c>
    </row>
    <row r="4" spans="1:18" x14ac:dyDescent="0.2">
      <c r="A4">
        <v>274</v>
      </c>
      <c r="B4">
        <v>274</v>
      </c>
      <c r="C4" t="s">
        <v>649</v>
      </c>
      <c r="D4" t="s">
        <v>1801</v>
      </c>
      <c r="E4">
        <v>8288151</v>
      </c>
      <c r="F4" s="134">
        <v>41791</v>
      </c>
      <c r="G4" s="130">
        <v>3.2</v>
      </c>
      <c r="H4" t="s">
        <v>229</v>
      </c>
      <c r="I4" s="134">
        <v>47270</v>
      </c>
      <c r="J4" s="133">
        <v>4.8000000000000001E-2</v>
      </c>
      <c r="K4" s="133">
        <v>1.7299999999999999E-2</v>
      </c>
      <c r="L4" s="130">
        <v>2205000</v>
      </c>
      <c r="M4" s="130">
        <v>130.65549999999999</v>
      </c>
      <c r="N4" s="130">
        <v>2880.9542700000002</v>
      </c>
      <c r="O4" s="132"/>
      <c r="Q4" s="133">
        <v>3.5079999999999998E-3</v>
      </c>
      <c r="R4" s="133">
        <v>6.96E-4</v>
      </c>
    </row>
    <row r="5" spans="1:18" x14ac:dyDescent="0.2">
      <c r="A5">
        <v>274</v>
      </c>
      <c r="B5">
        <v>274</v>
      </c>
      <c r="C5" t="s">
        <v>649</v>
      </c>
      <c r="D5" t="s">
        <v>1802</v>
      </c>
      <c r="E5">
        <v>8288102</v>
      </c>
      <c r="F5" s="134">
        <v>41640</v>
      </c>
      <c r="G5" s="130">
        <v>2.78</v>
      </c>
      <c r="H5" t="s">
        <v>229</v>
      </c>
      <c r="I5" s="134">
        <v>47119</v>
      </c>
      <c r="J5" s="133">
        <v>4.8000000000000001E-2</v>
      </c>
      <c r="K5" s="133">
        <v>1.7399999999999999E-2</v>
      </c>
      <c r="L5" s="130">
        <v>9964000</v>
      </c>
      <c r="M5" s="130">
        <v>131.15819999999999</v>
      </c>
      <c r="N5" s="130">
        <v>13068.606390000001</v>
      </c>
      <c r="O5" s="132"/>
      <c r="Q5" s="133">
        <v>1.5914999999999999E-2</v>
      </c>
      <c r="R5" s="133">
        <v>3.1570000000000001E-3</v>
      </c>
    </row>
    <row r="6" spans="1:18" x14ac:dyDescent="0.2">
      <c r="A6">
        <v>274</v>
      </c>
      <c r="B6">
        <v>274</v>
      </c>
      <c r="C6" t="s">
        <v>649</v>
      </c>
      <c r="D6" t="s">
        <v>1803</v>
      </c>
      <c r="E6">
        <v>8288029</v>
      </c>
      <c r="F6" s="134">
        <v>41395</v>
      </c>
      <c r="G6" s="130">
        <v>2.2200000000000002</v>
      </c>
      <c r="H6" t="s">
        <v>229</v>
      </c>
      <c r="I6" s="134">
        <v>46874</v>
      </c>
      <c r="J6" s="133">
        <v>4.8000000000000001E-2</v>
      </c>
      <c r="K6" s="133">
        <v>1.78E-2</v>
      </c>
      <c r="L6" s="130">
        <v>7882000</v>
      </c>
      <c r="M6" s="130">
        <v>129.0196</v>
      </c>
      <c r="N6" s="130">
        <v>10169.32137</v>
      </c>
      <c r="O6" s="132"/>
      <c r="Q6" s="133">
        <v>1.2383999999999999E-2</v>
      </c>
      <c r="R6" s="133">
        <v>2.457E-3</v>
      </c>
    </row>
    <row r="7" spans="1:18" x14ac:dyDescent="0.2">
      <c r="A7">
        <v>274</v>
      </c>
      <c r="B7">
        <v>274</v>
      </c>
      <c r="C7" t="s">
        <v>649</v>
      </c>
      <c r="D7" t="s">
        <v>1804</v>
      </c>
      <c r="E7">
        <v>8288227</v>
      </c>
      <c r="F7" s="134">
        <v>42005</v>
      </c>
      <c r="G7" s="130">
        <v>3.63</v>
      </c>
      <c r="H7" t="s">
        <v>229</v>
      </c>
      <c r="I7" s="134">
        <v>47484</v>
      </c>
      <c r="J7" s="133">
        <v>4.8000000000000001E-2</v>
      </c>
      <c r="K7" s="133">
        <v>1.7299999999999999E-2</v>
      </c>
      <c r="L7" s="130">
        <v>10497000</v>
      </c>
      <c r="M7" s="130">
        <v>134.75139999999999</v>
      </c>
      <c r="N7" s="130">
        <v>14144.85946</v>
      </c>
      <c r="O7" s="132"/>
      <c r="Q7" s="133">
        <v>1.7226000000000002E-2</v>
      </c>
      <c r="R7" s="133">
        <v>3.418E-3</v>
      </c>
    </row>
    <row r="8" spans="1:18" x14ac:dyDescent="0.2">
      <c r="A8">
        <v>274</v>
      </c>
      <c r="B8">
        <v>274</v>
      </c>
      <c r="C8" t="s">
        <v>649</v>
      </c>
      <c r="D8" t="s">
        <v>1805</v>
      </c>
      <c r="E8">
        <v>8288474</v>
      </c>
      <c r="F8" s="134">
        <v>42767</v>
      </c>
      <c r="G8" s="130">
        <v>5.33</v>
      </c>
      <c r="H8" t="s">
        <v>229</v>
      </c>
      <c r="I8" s="134">
        <v>48245</v>
      </c>
      <c r="J8" s="133">
        <v>4.8000000000000001E-2</v>
      </c>
      <c r="K8" s="133">
        <v>1.7399999999999999E-2</v>
      </c>
      <c r="L8" s="130">
        <v>19656000</v>
      </c>
      <c r="M8" s="130">
        <v>142.7852</v>
      </c>
      <c r="N8" s="130">
        <v>28065.86319</v>
      </c>
      <c r="O8" s="132"/>
      <c r="Q8" s="133">
        <v>3.4180000000000002E-2</v>
      </c>
      <c r="R8" s="133">
        <v>6.7809999999999997E-3</v>
      </c>
    </row>
    <row r="9" spans="1:18" x14ac:dyDescent="0.2">
      <c r="A9">
        <v>274</v>
      </c>
      <c r="B9">
        <v>274</v>
      </c>
      <c r="C9" t="s">
        <v>649</v>
      </c>
      <c r="D9" t="s">
        <v>1806</v>
      </c>
      <c r="E9">
        <v>8287989</v>
      </c>
      <c r="F9" s="134">
        <v>41275</v>
      </c>
      <c r="G9" s="130">
        <v>1.9</v>
      </c>
      <c r="H9" t="s">
        <v>229</v>
      </c>
      <c r="I9" s="134">
        <v>46754</v>
      </c>
      <c r="J9" s="133">
        <v>4.8000000000000001E-2</v>
      </c>
      <c r="K9" s="133">
        <v>1.8100000000000002E-2</v>
      </c>
      <c r="L9" s="130">
        <v>8201000</v>
      </c>
      <c r="M9" s="130">
        <v>130.00909999999999</v>
      </c>
      <c r="N9" s="130">
        <v>10662.045760000001</v>
      </c>
      <c r="O9" s="132"/>
      <c r="Q9" s="133">
        <v>1.2985E-2</v>
      </c>
      <c r="R9" s="133">
        <v>2.5760000000000002E-3</v>
      </c>
    </row>
    <row r="10" spans="1:18" x14ac:dyDescent="0.2">
      <c r="A10">
        <v>274</v>
      </c>
      <c r="B10">
        <v>274</v>
      </c>
      <c r="C10" t="s">
        <v>649</v>
      </c>
      <c r="D10" t="s">
        <v>1807</v>
      </c>
      <c r="E10">
        <v>8288094</v>
      </c>
      <c r="F10" s="134">
        <v>41609</v>
      </c>
      <c r="G10" s="130">
        <v>2.76</v>
      </c>
      <c r="H10" t="s">
        <v>229</v>
      </c>
      <c r="I10" s="134">
        <v>47088</v>
      </c>
      <c r="J10" s="133">
        <v>4.8000000000000001E-2</v>
      </c>
      <c r="K10" s="133">
        <v>1.7399999999999999E-2</v>
      </c>
      <c r="L10" s="130">
        <v>6804000</v>
      </c>
      <c r="M10" s="130">
        <v>128.0188</v>
      </c>
      <c r="N10" s="130">
        <v>8710.4013400000003</v>
      </c>
      <c r="O10" s="132"/>
      <c r="Q10" s="133">
        <v>1.0607999999999999E-2</v>
      </c>
      <c r="R10" s="133">
        <v>2.104E-3</v>
      </c>
    </row>
    <row r="11" spans="1:18" x14ac:dyDescent="0.2">
      <c r="A11">
        <v>274</v>
      </c>
      <c r="B11">
        <v>274</v>
      </c>
      <c r="C11" t="s">
        <v>649</v>
      </c>
      <c r="D11" t="s">
        <v>1808</v>
      </c>
      <c r="E11">
        <v>8288011</v>
      </c>
      <c r="F11" s="134">
        <v>41366</v>
      </c>
      <c r="G11" s="130">
        <v>2.14</v>
      </c>
      <c r="H11" t="s">
        <v>229</v>
      </c>
      <c r="I11" s="134">
        <v>46845</v>
      </c>
      <c r="J11" s="133">
        <v>4.8000000000000001E-2</v>
      </c>
      <c r="K11" s="133">
        <v>1.78E-2</v>
      </c>
      <c r="L11" s="130">
        <v>4900000</v>
      </c>
      <c r="M11" s="130">
        <v>129.46129999999999</v>
      </c>
      <c r="N11" s="130">
        <v>6343.60149</v>
      </c>
      <c r="O11" s="132"/>
      <c r="Q11" s="133">
        <v>7.7250000000000001E-3</v>
      </c>
      <c r="R11" s="133">
        <v>1.5319999999999999E-3</v>
      </c>
    </row>
    <row r="12" spans="1:18" x14ac:dyDescent="0.2">
      <c r="A12">
        <v>274</v>
      </c>
      <c r="B12">
        <v>274</v>
      </c>
      <c r="C12" t="s">
        <v>649</v>
      </c>
      <c r="D12" t="s">
        <v>1809</v>
      </c>
      <c r="E12">
        <v>8288979</v>
      </c>
      <c r="F12" s="134">
        <v>44318</v>
      </c>
      <c r="G12" s="130">
        <v>8.51</v>
      </c>
      <c r="H12" t="s">
        <v>229</v>
      </c>
      <c r="I12" s="134">
        <v>49797</v>
      </c>
      <c r="J12" s="133">
        <v>4.8000000000000001E-2</v>
      </c>
      <c r="K12" s="133">
        <v>1.7999999999999999E-2</v>
      </c>
      <c r="L12" s="130">
        <v>18604000</v>
      </c>
      <c r="M12" s="130">
        <v>151.1294</v>
      </c>
      <c r="N12" s="130">
        <v>28116.10744</v>
      </c>
      <c r="O12" s="132"/>
      <c r="Q12" s="133">
        <v>3.4241000000000001E-2</v>
      </c>
      <c r="R12" s="133">
        <v>6.7939999999999997E-3</v>
      </c>
    </row>
    <row r="13" spans="1:18" x14ac:dyDescent="0.2">
      <c r="A13">
        <v>274</v>
      </c>
      <c r="B13">
        <v>274</v>
      </c>
      <c r="C13" t="s">
        <v>649</v>
      </c>
      <c r="D13" t="s">
        <v>1810</v>
      </c>
      <c r="E13">
        <v>8288946</v>
      </c>
      <c r="F13" s="134">
        <v>44228</v>
      </c>
      <c r="G13" s="130">
        <v>8.26</v>
      </c>
      <c r="H13" t="s">
        <v>229</v>
      </c>
      <c r="I13" s="134">
        <v>49706</v>
      </c>
      <c r="J13" s="133">
        <v>4.8000000000000001E-2</v>
      </c>
      <c r="K13" s="133">
        <v>1.7999999999999999E-2</v>
      </c>
      <c r="L13" s="130">
        <v>9736000</v>
      </c>
      <c r="M13" s="130">
        <v>153.06790000000001</v>
      </c>
      <c r="N13" s="130">
        <v>14902.68952</v>
      </c>
      <c r="O13" s="132"/>
      <c r="Q13" s="133">
        <v>1.8148999999999998E-2</v>
      </c>
      <c r="R13" s="133">
        <v>3.601E-3</v>
      </c>
    </row>
    <row r="14" spans="1:18" x14ac:dyDescent="0.2">
      <c r="A14">
        <v>274</v>
      </c>
      <c r="B14">
        <v>274</v>
      </c>
      <c r="C14" t="s">
        <v>649</v>
      </c>
      <c r="D14" t="s">
        <v>1811</v>
      </c>
      <c r="E14">
        <v>8288466</v>
      </c>
      <c r="F14" s="134">
        <v>42736</v>
      </c>
      <c r="G14" s="130">
        <v>5.25</v>
      </c>
      <c r="H14" t="s">
        <v>229</v>
      </c>
      <c r="I14" s="134">
        <v>48214</v>
      </c>
      <c r="J14" s="133">
        <v>4.8000000000000001E-2</v>
      </c>
      <c r="K14" s="133">
        <v>1.7399999999999999E-2</v>
      </c>
      <c r="L14" s="130">
        <v>888000</v>
      </c>
      <c r="M14" s="130">
        <v>142.9974</v>
      </c>
      <c r="N14" s="130">
        <v>1269.8170399999999</v>
      </c>
      <c r="O14" s="132"/>
      <c r="Q14" s="133">
        <v>1.5460000000000001E-3</v>
      </c>
      <c r="R14" s="133">
        <v>3.0600000000000001E-4</v>
      </c>
    </row>
    <row r="15" spans="1:18" x14ac:dyDescent="0.2">
      <c r="A15">
        <v>274</v>
      </c>
      <c r="B15">
        <v>274</v>
      </c>
      <c r="C15" t="s">
        <v>649</v>
      </c>
      <c r="D15" t="s">
        <v>1812</v>
      </c>
      <c r="E15">
        <v>8288490</v>
      </c>
      <c r="F15" s="134">
        <v>42827</v>
      </c>
      <c r="G15" s="130">
        <v>5.5</v>
      </c>
      <c r="H15" t="s">
        <v>229</v>
      </c>
      <c r="I15" s="134">
        <v>48306</v>
      </c>
      <c r="J15" s="133">
        <v>4.8000000000000001E-2</v>
      </c>
      <c r="K15" s="133">
        <v>1.7399999999999999E-2</v>
      </c>
      <c r="L15" s="130">
        <v>2030000</v>
      </c>
      <c r="M15" s="130">
        <v>142.63800000000001</v>
      </c>
      <c r="N15" s="130">
        <v>2895.5512399999998</v>
      </c>
      <c r="O15" s="132"/>
      <c r="Q15" s="133">
        <v>3.5260000000000001E-3</v>
      </c>
      <c r="R15" s="133">
        <v>6.9899999999999997E-4</v>
      </c>
    </row>
    <row r="16" spans="1:18" x14ac:dyDescent="0.2">
      <c r="A16">
        <v>274</v>
      </c>
      <c r="B16">
        <v>274</v>
      </c>
      <c r="C16" t="s">
        <v>649</v>
      </c>
      <c r="D16" t="s">
        <v>1813</v>
      </c>
      <c r="E16">
        <v>8288722</v>
      </c>
      <c r="F16" s="134">
        <v>43525</v>
      </c>
      <c r="G16" s="130">
        <v>6.92</v>
      </c>
      <c r="H16" t="s">
        <v>229</v>
      </c>
      <c r="I16" s="134">
        <v>49004</v>
      </c>
      <c r="J16" s="133">
        <v>4.8000000000000001E-2</v>
      </c>
      <c r="K16" s="133">
        <v>1.77E-2</v>
      </c>
      <c r="L16" s="130">
        <v>156000</v>
      </c>
      <c r="M16" s="130">
        <v>147.1061</v>
      </c>
      <c r="N16" s="130">
        <v>229.48552000000001</v>
      </c>
      <c r="O16" s="132"/>
      <c r="Q16" s="133">
        <v>2.7900000000000001E-4</v>
      </c>
      <c r="R16" s="133">
        <v>5.5000000000000002E-5</v>
      </c>
    </row>
    <row r="17" spans="1:18" x14ac:dyDescent="0.2">
      <c r="A17">
        <v>274</v>
      </c>
      <c r="B17">
        <v>274</v>
      </c>
      <c r="C17" t="s">
        <v>649</v>
      </c>
      <c r="D17" t="s">
        <v>1814</v>
      </c>
      <c r="E17">
        <v>8288458</v>
      </c>
      <c r="F17" s="134">
        <v>42705</v>
      </c>
      <c r="G17" s="130">
        <v>5.27</v>
      </c>
      <c r="H17" t="s">
        <v>229</v>
      </c>
      <c r="I17" s="134">
        <v>48183</v>
      </c>
      <c r="J17" s="133">
        <v>4.8000000000000001E-2</v>
      </c>
      <c r="K17" s="133">
        <v>1.7399999999999999E-2</v>
      </c>
      <c r="L17" s="130">
        <v>1059000</v>
      </c>
      <c r="M17" s="130">
        <v>139.77430000000001</v>
      </c>
      <c r="N17" s="130">
        <v>1480.2098000000001</v>
      </c>
      <c r="O17" s="132"/>
      <c r="Q17" s="133">
        <v>1.802E-3</v>
      </c>
      <c r="R17" s="133">
        <v>3.57E-4</v>
      </c>
    </row>
    <row r="18" spans="1:18" x14ac:dyDescent="0.2">
      <c r="A18">
        <v>274</v>
      </c>
      <c r="B18">
        <v>274</v>
      </c>
      <c r="C18" t="s">
        <v>649</v>
      </c>
      <c r="D18" t="s">
        <v>1815</v>
      </c>
      <c r="E18">
        <v>8288938</v>
      </c>
      <c r="F18" s="134">
        <v>44197</v>
      </c>
      <c r="G18" s="130">
        <v>8.17</v>
      </c>
      <c r="H18" t="s">
        <v>229</v>
      </c>
      <c r="I18" s="134">
        <v>49675</v>
      </c>
      <c r="J18" s="133">
        <v>4.8000000000000001E-2</v>
      </c>
      <c r="K18" s="133">
        <v>1.7999999999999999E-2</v>
      </c>
      <c r="L18" s="130">
        <v>9087000</v>
      </c>
      <c r="M18" s="130">
        <v>153.1489</v>
      </c>
      <c r="N18" s="130">
        <v>13916.637650000001</v>
      </c>
      <c r="O18" s="132"/>
      <c r="Q18" s="133">
        <v>1.6948000000000001E-2</v>
      </c>
      <c r="R18" s="133">
        <v>3.362E-3</v>
      </c>
    </row>
    <row r="19" spans="1:18" x14ac:dyDescent="0.2">
      <c r="A19">
        <v>274</v>
      </c>
      <c r="B19">
        <v>274</v>
      </c>
      <c r="C19" t="s">
        <v>649</v>
      </c>
      <c r="D19" t="s">
        <v>1816</v>
      </c>
      <c r="E19">
        <v>8287971</v>
      </c>
      <c r="F19" s="134">
        <v>41245</v>
      </c>
      <c r="G19" s="130">
        <v>1.85</v>
      </c>
      <c r="H19" t="s">
        <v>229</v>
      </c>
      <c r="I19" s="134">
        <v>46723</v>
      </c>
      <c r="J19" s="133">
        <v>4.8000000000000001E-2</v>
      </c>
      <c r="K19" s="133">
        <v>1.8100000000000002E-2</v>
      </c>
      <c r="L19" s="130">
        <v>11253000</v>
      </c>
      <c r="M19" s="130">
        <v>126.7043</v>
      </c>
      <c r="N19" s="130">
        <v>14258.03832</v>
      </c>
      <c r="O19" s="132"/>
      <c r="Q19" s="133">
        <v>1.7364000000000001E-2</v>
      </c>
      <c r="R19" s="133">
        <v>3.4450000000000001E-3</v>
      </c>
    </row>
    <row r="20" spans="1:18" x14ac:dyDescent="0.2">
      <c r="A20">
        <v>274</v>
      </c>
      <c r="B20">
        <v>274</v>
      </c>
      <c r="C20" t="s">
        <v>649</v>
      </c>
      <c r="D20" t="s">
        <v>1817</v>
      </c>
      <c r="E20">
        <v>8288607</v>
      </c>
      <c r="F20" s="134">
        <v>43161</v>
      </c>
      <c r="G20" s="130">
        <v>6.18</v>
      </c>
      <c r="H20" t="s">
        <v>229</v>
      </c>
      <c r="I20" s="134">
        <v>48640</v>
      </c>
      <c r="J20" s="133">
        <v>4.8000000000000001E-2</v>
      </c>
      <c r="K20" s="133">
        <v>1.7600000000000001E-2</v>
      </c>
      <c r="L20" s="130">
        <v>7534000</v>
      </c>
      <c r="M20" s="130">
        <v>145.83600000000001</v>
      </c>
      <c r="N20" s="130">
        <v>10987.284079999999</v>
      </c>
      <c r="O20" s="132"/>
      <c r="Q20" s="133">
        <v>1.3381000000000001E-2</v>
      </c>
      <c r="R20" s="133">
        <v>2.6549999999999998E-3</v>
      </c>
    </row>
    <row r="21" spans="1:18" x14ac:dyDescent="0.2">
      <c r="A21">
        <v>274</v>
      </c>
      <c r="B21">
        <v>274</v>
      </c>
      <c r="C21" t="s">
        <v>649</v>
      </c>
      <c r="D21" t="s">
        <v>1818</v>
      </c>
      <c r="E21">
        <v>8288599</v>
      </c>
      <c r="F21" s="134">
        <v>43132</v>
      </c>
      <c r="G21" s="130">
        <v>6.1</v>
      </c>
      <c r="H21" t="s">
        <v>229</v>
      </c>
      <c r="I21" s="134">
        <v>48611</v>
      </c>
      <c r="J21" s="133">
        <v>4.8000000000000001E-2</v>
      </c>
      <c r="K21" s="133">
        <v>1.7500000000000002E-2</v>
      </c>
      <c r="L21" s="130">
        <v>58866000</v>
      </c>
      <c r="M21" s="130">
        <v>145.339</v>
      </c>
      <c r="N21" s="130">
        <v>85555.266560000004</v>
      </c>
      <c r="O21" s="132"/>
      <c r="Q21" s="133">
        <v>0.104195</v>
      </c>
      <c r="R21" s="133">
        <v>2.0673E-2</v>
      </c>
    </row>
    <row r="22" spans="1:18" x14ac:dyDescent="0.2">
      <c r="A22">
        <v>274</v>
      </c>
      <c r="B22">
        <v>274</v>
      </c>
      <c r="C22" t="s">
        <v>649</v>
      </c>
      <c r="D22" t="s">
        <v>1819</v>
      </c>
      <c r="E22">
        <v>8288441</v>
      </c>
      <c r="F22" s="134">
        <v>42675</v>
      </c>
      <c r="G22" s="130">
        <v>5.19</v>
      </c>
      <c r="H22" t="s">
        <v>229</v>
      </c>
      <c r="I22" s="134">
        <v>48154</v>
      </c>
      <c r="J22" s="133">
        <v>4.8000000000000001E-2</v>
      </c>
      <c r="K22" s="133">
        <v>1.7399999999999999E-2</v>
      </c>
      <c r="L22" s="130">
        <v>831000</v>
      </c>
      <c r="M22" s="130">
        <v>140.2809</v>
      </c>
      <c r="N22" s="130">
        <v>1165.7346700000001</v>
      </c>
      <c r="O22" s="132"/>
      <c r="Q22" s="133">
        <v>1.4189999999999999E-3</v>
      </c>
      <c r="R22" s="133">
        <v>2.81E-4</v>
      </c>
    </row>
    <row r="23" spans="1:18" x14ac:dyDescent="0.2">
      <c r="A23">
        <v>274</v>
      </c>
      <c r="B23">
        <v>274</v>
      </c>
      <c r="C23" t="s">
        <v>649</v>
      </c>
      <c r="D23" t="s">
        <v>1820</v>
      </c>
      <c r="E23">
        <v>8288953</v>
      </c>
      <c r="F23" s="134">
        <v>44256</v>
      </c>
      <c r="G23" s="130">
        <v>8.34</v>
      </c>
      <c r="H23" t="s">
        <v>229</v>
      </c>
      <c r="I23" s="134">
        <v>49735</v>
      </c>
      <c r="J23" s="133">
        <v>4.8000000000000001E-2</v>
      </c>
      <c r="K23" s="133">
        <v>1.7999999999999999E-2</v>
      </c>
      <c r="L23" s="130">
        <v>4753000</v>
      </c>
      <c r="M23" s="130">
        <v>152.96789999999999</v>
      </c>
      <c r="N23" s="130">
        <v>7270.56628</v>
      </c>
      <c r="O23" s="132"/>
      <c r="Q23" s="133">
        <v>8.8540000000000008E-3</v>
      </c>
      <c r="R23" s="133">
        <v>1.756E-3</v>
      </c>
    </row>
    <row r="24" spans="1:18" x14ac:dyDescent="0.2">
      <c r="A24">
        <v>274</v>
      </c>
      <c r="B24">
        <v>274</v>
      </c>
      <c r="C24" t="s">
        <v>649</v>
      </c>
      <c r="D24" t="s">
        <v>1821</v>
      </c>
      <c r="E24">
        <v>8288128</v>
      </c>
      <c r="F24" s="134">
        <v>41700</v>
      </c>
      <c r="G24" s="130">
        <v>2.95</v>
      </c>
      <c r="H24" t="s">
        <v>229</v>
      </c>
      <c r="I24" s="134">
        <v>47179</v>
      </c>
      <c r="J24" s="133">
        <v>4.8000000000000001E-2</v>
      </c>
      <c r="K24" s="133">
        <v>1.7299999999999999E-2</v>
      </c>
      <c r="L24" s="130">
        <v>1492000</v>
      </c>
      <c r="M24" s="130">
        <v>131.4554</v>
      </c>
      <c r="N24" s="130">
        <v>1961.31422</v>
      </c>
      <c r="O24" s="132"/>
      <c r="Q24" s="133">
        <v>2.3879999999999999E-3</v>
      </c>
      <c r="R24" s="133">
        <v>4.73E-4</v>
      </c>
    </row>
    <row r="25" spans="1:18" x14ac:dyDescent="0.2">
      <c r="A25">
        <v>274</v>
      </c>
      <c r="B25">
        <v>274</v>
      </c>
      <c r="C25" t="s">
        <v>649</v>
      </c>
      <c r="D25" t="s">
        <v>1822</v>
      </c>
      <c r="E25">
        <v>8288045</v>
      </c>
      <c r="F25" s="134">
        <v>41456</v>
      </c>
      <c r="G25" s="130">
        <v>2.34</v>
      </c>
      <c r="H25" t="s">
        <v>229</v>
      </c>
      <c r="I25" s="134">
        <v>46936</v>
      </c>
      <c r="J25" s="133">
        <v>4.8000000000000001E-2</v>
      </c>
      <c r="K25" s="133">
        <v>1.7600000000000001E-2</v>
      </c>
      <c r="L25" s="130">
        <v>3583000</v>
      </c>
      <c r="M25" s="130">
        <v>130.93039999999999</v>
      </c>
      <c r="N25" s="130">
        <v>4691.2370499999997</v>
      </c>
      <c r="O25" s="132"/>
      <c r="Q25" s="133">
        <v>5.7130000000000002E-3</v>
      </c>
      <c r="R25" s="133">
        <v>1.1329999999999999E-3</v>
      </c>
    </row>
    <row r="26" spans="1:18" x14ac:dyDescent="0.2">
      <c r="A26">
        <v>274</v>
      </c>
      <c r="B26">
        <v>274</v>
      </c>
      <c r="C26" t="s">
        <v>649</v>
      </c>
      <c r="D26" t="s">
        <v>1823</v>
      </c>
      <c r="E26">
        <v>8288425</v>
      </c>
      <c r="F26" s="134">
        <v>42614</v>
      </c>
      <c r="G26" s="130">
        <v>5.0199999999999996</v>
      </c>
      <c r="H26" t="s">
        <v>229</v>
      </c>
      <c r="I26" s="134">
        <v>48092</v>
      </c>
      <c r="J26" s="133">
        <v>4.8000000000000001E-2</v>
      </c>
      <c r="K26" s="133">
        <v>1.7399999999999999E-2</v>
      </c>
      <c r="L26" s="130">
        <v>7691000</v>
      </c>
      <c r="M26" s="130">
        <v>140.11619999999999</v>
      </c>
      <c r="N26" s="130">
        <v>10776.340770000001</v>
      </c>
      <c r="O26" s="132"/>
      <c r="Q26" s="133">
        <v>1.3124E-2</v>
      </c>
      <c r="R26" s="133">
        <v>2.604E-3</v>
      </c>
    </row>
    <row r="27" spans="1:18" x14ac:dyDescent="0.2">
      <c r="A27">
        <v>274</v>
      </c>
      <c r="B27">
        <v>274</v>
      </c>
      <c r="C27" t="s">
        <v>649</v>
      </c>
      <c r="D27" t="s">
        <v>1824</v>
      </c>
      <c r="E27">
        <v>8288516</v>
      </c>
      <c r="F27" s="134">
        <v>42887</v>
      </c>
      <c r="G27" s="130">
        <v>5.66</v>
      </c>
      <c r="H27" t="s">
        <v>229</v>
      </c>
      <c r="I27" s="134">
        <v>48366</v>
      </c>
      <c r="J27" s="133">
        <v>4.8000000000000001E-2</v>
      </c>
      <c r="K27" s="133">
        <v>1.7500000000000002E-2</v>
      </c>
      <c r="L27" s="130">
        <v>4204000</v>
      </c>
      <c r="M27" s="130">
        <v>141.50110000000001</v>
      </c>
      <c r="N27" s="130">
        <v>5948.70622</v>
      </c>
      <c r="O27" s="132"/>
      <c r="Q27" s="133">
        <v>7.2439999999999996E-3</v>
      </c>
      <c r="R27" s="133">
        <v>1.4369999999999999E-3</v>
      </c>
    </row>
    <row r="28" spans="1:18" x14ac:dyDescent="0.2">
      <c r="A28">
        <v>274</v>
      </c>
      <c r="B28">
        <v>274</v>
      </c>
      <c r="C28" t="s">
        <v>649</v>
      </c>
      <c r="D28" t="s">
        <v>1825</v>
      </c>
      <c r="E28">
        <v>8288144</v>
      </c>
      <c r="F28" s="134">
        <v>41760</v>
      </c>
      <c r="G28" s="130">
        <v>3.11</v>
      </c>
      <c r="H28" t="s">
        <v>229</v>
      </c>
      <c r="I28" s="134">
        <v>47239</v>
      </c>
      <c r="J28" s="133">
        <v>4.8000000000000001E-2</v>
      </c>
      <c r="K28" s="133">
        <v>1.7299999999999999E-2</v>
      </c>
      <c r="L28" s="130">
        <v>2542000</v>
      </c>
      <c r="M28" s="130">
        <v>130.95060000000001</v>
      </c>
      <c r="N28" s="130">
        <v>3328.7650400000002</v>
      </c>
      <c r="O28" s="132"/>
      <c r="Q28" s="133">
        <v>4.0540000000000003E-3</v>
      </c>
      <c r="R28" s="133">
        <v>8.0400000000000003E-4</v>
      </c>
    </row>
    <row r="29" spans="1:18" x14ac:dyDescent="0.2">
      <c r="A29">
        <v>274</v>
      </c>
      <c r="B29">
        <v>274</v>
      </c>
      <c r="C29" t="s">
        <v>649</v>
      </c>
      <c r="D29" t="s">
        <v>1826</v>
      </c>
      <c r="E29">
        <v>8288730</v>
      </c>
      <c r="F29" s="134">
        <v>43556</v>
      </c>
      <c r="G29" s="130">
        <v>7.01</v>
      </c>
      <c r="H29" t="s">
        <v>229</v>
      </c>
      <c r="I29" s="134">
        <v>49035</v>
      </c>
      <c r="J29" s="133">
        <v>4.8000000000000001E-2</v>
      </c>
      <c r="K29" s="133">
        <v>1.77E-2</v>
      </c>
      <c r="L29" s="130">
        <v>5515000</v>
      </c>
      <c r="M29" s="130">
        <v>146.74870000000001</v>
      </c>
      <c r="N29" s="130">
        <v>8093.1897900000004</v>
      </c>
      <c r="O29" s="132"/>
      <c r="Q29" s="133">
        <v>9.8560000000000002E-3</v>
      </c>
      <c r="R29" s="133">
        <v>1.9550000000000001E-3</v>
      </c>
    </row>
    <row r="30" spans="1:18" x14ac:dyDescent="0.2">
      <c r="A30">
        <v>274</v>
      </c>
      <c r="B30">
        <v>274</v>
      </c>
      <c r="C30" t="s">
        <v>649</v>
      </c>
      <c r="D30" t="s">
        <v>1827</v>
      </c>
      <c r="E30">
        <v>8288813</v>
      </c>
      <c r="F30" s="134">
        <v>43800</v>
      </c>
      <c r="G30" s="130">
        <v>7.53</v>
      </c>
      <c r="H30" t="s">
        <v>229</v>
      </c>
      <c r="I30" s="134">
        <v>49279</v>
      </c>
      <c r="J30" s="133">
        <v>4.8000000000000001E-2</v>
      </c>
      <c r="K30" s="133">
        <v>1.78E-2</v>
      </c>
      <c r="L30" s="130">
        <v>5079000</v>
      </c>
      <c r="M30" s="130">
        <v>146.25989999999999</v>
      </c>
      <c r="N30" s="130">
        <v>7428.5405199999996</v>
      </c>
      <c r="O30" s="132"/>
      <c r="Q30" s="133">
        <v>9.0469999999999995E-3</v>
      </c>
      <c r="R30" s="133">
        <v>1.7949999999999999E-3</v>
      </c>
    </row>
    <row r="31" spans="1:18" x14ac:dyDescent="0.2">
      <c r="A31">
        <v>274</v>
      </c>
      <c r="B31">
        <v>274</v>
      </c>
      <c r="C31" t="s">
        <v>649</v>
      </c>
      <c r="D31" t="s">
        <v>1828</v>
      </c>
      <c r="E31">
        <v>8287955</v>
      </c>
      <c r="F31" s="134">
        <v>41184</v>
      </c>
      <c r="G31" s="130">
        <v>1.69</v>
      </c>
      <c r="H31" t="s">
        <v>229</v>
      </c>
      <c r="I31" s="134">
        <v>46664</v>
      </c>
      <c r="J31" s="133">
        <v>4.8000000000000001E-2</v>
      </c>
      <c r="K31" s="133">
        <v>1.84E-2</v>
      </c>
      <c r="L31" s="130">
        <v>7486000</v>
      </c>
      <c r="M31" s="130">
        <v>126.7911</v>
      </c>
      <c r="N31" s="130">
        <v>9491.5844400000005</v>
      </c>
      <c r="O31" s="132"/>
      <c r="Q31" s="133">
        <v>1.1559E-2</v>
      </c>
      <c r="R31" s="133">
        <v>2.2929999999999999E-3</v>
      </c>
    </row>
    <row r="32" spans="1:18" x14ac:dyDescent="0.2">
      <c r="A32">
        <v>274</v>
      </c>
      <c r="B32">
        <v>274</v>
      </c>
      <c r="C32" t="s">
        <v>649</v>
      </c>
      <c r="D32" t="s">
        <v>1829</v>
      </c>
      <c r="E32">
        <v>8288268</v>
      </c>
      <c r="F32" s="134">
        <v>42125</v>
      </c>
      <c r="G32" s="130">
        <v>3.96</v>
      </c>
      <c r="H32" t="s">
        <v>229</v>
      </c>
      <c r="I32" s="134">
        <v>47604</v>
      </c>
      <c r="J32" s="133">
        <v>4.8000000000000001E-2</v>
      </c>
      <c r="K32" s="133">
        <v>1.7299999999999999E-2</v>
      </c>
      <c r="L32" s="130">
        <v>1531000</v>
      </c>
      <c r="M32" s="130">
        <v>135.75200000000001</v>
      </c>
      <c r="N32" s="130">
        <v>2078.36339</v>
      </c>
      <c r="O32" s="132"/>
      <c r="Q32" s="133">
        <v>2.5309999999999998E-3</v>
      </c>
      <c r="R32" s="133">
        <v>5.0199999999999995E-4</v>
      </c>
    </row>
    <row r="33" spans="1:18" x14ac:dyDescent="0.2">
      <c r="A33">
        <v>274</v>
      </c>
      <c r="B33">
        <v>274</v>
      </c>
      <c r="C33" t="s">
        <v>649</v>
      </c>
      <c r="D33" t="s">
        <v>1830</v>
      </c>
      <c r="E33">
        <v>8288508</v>
      </c>
      <c r="F33" s="134">
        <v>42856</v>
      </c>
      <c r="G33" s="130">
        <v>5.58</v>
      </c>
      <c r="H33" t="s">
        <v>229</v>
      </c>
      <c r="I33" s="134">
        <v>48336</v>
      </c>
      <c r="J33" s="133">
        <v>4.8000000000000001E-2</v>
      </c>
      <c r="K33" s="133">
        <v>1.7399999999999999E-2</v>
      </c>
      <c r="L33" s="130">
        <v>1405000</v>
      </c>
      <c r="M33" s="130">
        <v>142.02029999999999</v>
      </c>
      <c r="N33" s="130">
        <v>1995.3849399999999</v>
      </c>
      <c r="O33" s="132"/>
      <c r="Q33" s="133">
        <v>2.4299999999999999E-3</v>
      </c>
      <c r="R33" s="133">
        <v>4.8200000000000001E-4</v>
      </c>
    </row>
    <row r="34" spans="1:18" x14ac:dyDescent="0.2">
      <c r="A34">
        <v>274</v>
      </c>
      <c r="B34">
        <v>274</v>
      </c>
      <c r="C34" t="s">
        <v>649</v>
      </c>
      <c r="D34" t="s">
        <v>1831</v>
      </c>
      <c r="E34">
        <v>8288524</v>
      </c>
      <c r="F34" s="134">
        <v>42918</v>
      </c>
      <c r="G34" s="130">
        <v>5.64</v>
      </c>
      <c r="H34" t="s">
        <v>229</v>
      </c>
      <c r="I34" s="134">
        <v>48397</v>
      </c>
      <c r="J34" s="133">
        <v>4.8000000000000001E-2</v>
      </c>
      <c r="K34" s="133">
        <v>1.7500000000000002E-2</v>
      </c>
      <c r="L34" s="130">
        <v>1298000</v>
      </c>
      <c r="M34" s="130">
        <v>143.5736</v>
      </c>
      <c r="N34" s="130">
        <v>1863.58512</v>
      </c>
      <c r="O34" s="132"/>
      <c r="Q34" s="133">
        <v>2.2690000000000002E-3</v>
      </c>
      <c r="R34" s="133">
        <v>4.4999999999999999E-4</v>
      </c>
    </row>
    <row r="35" spans="1:18" x14ac:dyDescent="0.2">
      <c r="A35">
        <v>274</v>
      </c>
      <c r="B35">
        <v>274</v>
      </c>
      <c r="C35" t="s">
        <v>649</v>
      </c>
      <c r="D35" t="s">
        <v>1832</v>
      </c>
      <c r="E35">
        <v>8288839</v>
      </c>
      <c r="F35" s="134">
        <v>43863</v>
      </c>
      <c r="G35" s="130">
        <v>7.56</v>
      </c>
      <c r="H35" t="s">
        <v>229</v>
      </c>
      <c r="I35" s="134">
        <v>49342</v>
      </c>
      <c r="J35" s="133">
        <v>4.8000000000000001E-2</v>
      </c>
      <c r="K35" s="133">
        <v>1.78E-2</v>
      </c>
      <c r="L35" s="130">
        <v>60632000</v>
      </c>
      <c r="M35" s="130">
        <v>149.20009999999999</v>
      </c>
      <c r="N35" s="130">
        <v>90462.992039999997</v>
      </c>
      <c r="O35" s="132"/>
      <c r="Q35" s="133">
        <v>0.11017200000000001</v>
      </c>
      <c r="R35" s="133">
        <v>2.1859E-2</v>
      </c>
    </row>
    <row r="36" spans="1:18" x14ac:dyDescent="0.2">
      <c r="A36">
        <v>274</v>
      </c>
      <c r="B36">
        <v>274</v>
      </c>
      <c r="C36" t="s">
        <v>649</v>
      </c>
      <c r="D36" t="s">
        <v>1833</v>
      </c>
      <c r="E36">
        <v>8288581</v>
      </c>
      <c r="F36" s="134">
        <v>43101</v>
      </c>
      <c r="G36" s="130">
        <v>6.02</v>
      </c>
      <c r="H36" t="s">
        <v>229</v>
      </c>
      <c r="I36" s="134">
        <v>48580</v>
      </c>
      <c r="J36" s="133">
        <v>4.8000000000000001E-2</v>
      </c>
      <c r="K36" s="133">
        <v>1.7500000000000002E-2</v>
      </c>
      <c r="L36" s="130">
        <v>2004000</v>
      </c>
      <c r="M36" s="130">
        <v>145.7107</v>
      </c>
      <c r="N36" s="130">
        <v>2920.0423799999999</v>
      </c>
      <c r="O36" s="132"/>
      <c r="Q36" s="133">
        <v>3.5560000000000001E-3</v>
      </c>
      <c r="R36" s="133">
        <v>7.0500000000000001E-4</v>
      </c>
    </row>
    <row r="37" spans="1:18" x14ac:dyDescent="0.2">
      <c r="A37">
        <v>274</v>
      </c>
      <c r="B37">
        <v>274</v>
      </c>
      <c r="C37" t="s">
        <v>649</v>
      </c>
      <c r="D37" t="s">
        <v>1834</v>
      </c>
      <c r="E37">
        <v>8288003</v>
      </c>
      <c r="F37" s="134">
        <v>41334</v>
      </c>
      <c r="G37" s="130">
        <v>2.06</v>
      </c>
      <c r="H37" t="s">
        <v>229</v>
      </c>
      <c r="I37" s="134">
        <v>46813</v>
      </c>
      <c r="J37" s="133">
        <v>4.8000000000000001E-2</v>
      </c>
      <c r="K37" s="133">
        <v>1.78E-2</v>
      </c>
      <c r="L37" s="130">
        <v>8265000</v>
      </c>
      <c r="M37" s="130">
        <v>129.66249999999999</v>
      </c>
      <c r="N37" s="130">
        <v>10716.60939</v>
      </c>
      <c r="O37" s="132"/>
      <c r="Q37" s="133">
        <v>1.3051E-2</v>
      </c>
      <c r="R37" s="133">
        <v>2.5890000000000002E-3</v>
      </c>
    </row>
    <row r="38" spans="1:18" x14ac:dyDescent="0.2">
      <c r="A38">
        <v>274</v>
      </c>
      <c r="B38">
        <v>274</v>
      </c>
      <c r="C38" t="s">
        <v>649</v>
      </c>
      <c r="D38" t="s">
        <v>1835</v>
      </c>
      <c r="E38">
        <v>8288821</v>
      </c>
      <c r="F38" s="134">
        <v>43831</v>
      </c>
      <c r="G38" s="130">
        <v>7.47</v>
      </c>
      <c r="H38" t="s">
        <v>229</v>
      </c>
      <c r="I38" s="134">
        <v>49310</v>
      </c>
      <c r="J38" s="133">
        <v>4.8000000000000001E-2</v>
      </c>
      <c r="K38" s="133">
        <v>1.78E-2</v>
      </c>
      <c r="L38" s="130">
        <v>459000</v>
      </c>
      <c r="M38" s="130">
        <v>149.43440000000001</v>
      </c>
      <c r="N38" s="130">
        <v>685.90371000000005</v>
      </c>
      <c r="O38" s="132"/>
      <c r="Q38" s="133">
        <v>8.3500000000000002E-4</v>
      </c>
      <c r="R38" s="133">
        <v>1.65E-4</v>
      </c>
    </row>
    <row r="39" spans="1:18" x14ac:dyDescent="0.2">
      <c r="A39">
        <v>274</v>
      </c>
      <c r="B39">
        <v>274</v>
      </c>
      <c r="C39" t="s">
        <v>649</v>
      </c>
      <c r="D39" t="s">
        <v>1836</v>
      </c>
      <c r="E39">
        <v>8288557</v>
      </c>
      <c r="F39" s="134">
        <v>43009</v>
      </c>
      <c r="G39" s="130">
        <v>5.88</v>
      </c>
      <c r="H39" t="s">
        <v>229</v>
      </c>
      <c r="I39" s="134">
        <v>48488</v>
      </c>
      <c r="J39" s="133">
        <v>4.8000000000000001E-2</v>
      </c>
      <c r="K39" s="133">
        <v>1.7500000000000002E-2</v>
      </c>
      <c r="L39" s="130">
        <v>4726000</v>
      </c>
      <c r="M39" s="130">
        <v>143.6421</v>
      </c>
      <c r="N39" s="130">
        <v>6788.5254299999997</v>
      </c>
      <c r="O39" s="132"/>
      <c r="Q39" s="133">
        <v>8.267E-3</v>
      </c>
      <c r="R39" s="133">
        <v>1.64E-3</v>
      </c>
    </row>
    <row r="40" spans="1:18" x14ac:dyDescent="0.2">
      <c r="A40">
        <v>274</v>
      </c>
      <c r="B40">
        <v>274</v>
      </c>
      <c r="C40" t="s">
        <v>649</v>
      </c>
      <c r="D40" t="s">
        <v>1837</v>
      </c>
      <c r="E40">
        <v>8288110</v>
      </c>
      <c r="F40" s="134">
        <v>41672</v>
      </c>
      <c r="G40" s="130">
        <v>2.87</v>
      </c>
      <c r="H40" t="s">
        <v>229</v>
      </c>
      <c r="I40" s="134">
        <v>47151</v>
      </c>
      <c r="J40" s="133">
        <v>4.8000000000000001E-2</v>
      </c>
      <c r="K40" s="133">
        <v>1.7399999999999999E-2</v>
      </c>
      <c r="L40" s="130">
        <v>12251000</v>
      </c>
      <c r="M40" s="130">
        <v>130.82839999999999</v>
      </c>
      <c r="N40" s="130">
        <v>16027.78183</v>
      </c>
      <c r="O40" s="132"/>
      <c r="Q40" s="133">
        <v>1.9519000000000002E-2</v>
      </c>
      <c r="R40" s="133">
        <v>3.8730000000000001E-3</v>
      </c>
    </row>
    <row r="41" spans="1:18" x14ac:dyDescent="0.2">
      <c r="A41">
        <v>274</v>
      </c>
      <c r="B41">
        <v>274</v>
      </c>
      <c r="C41" t="s">
        <v>649</v>
      </c>
      <c r="D41" t="s">
        <v>1838</v>
      </c>
      <c r="E41">
        <v>8288235</v>
      </c>
      <c r="F41" s="134">
        <v>42036</v>
      </c>
      <c r="G41" s="130">
        <v>3.72</v>
      </c>
      <c r="H41" t="s">
        <v>229</v>
      </c>
      <c r="I41" s="134">
        <v>47515</v>
      </c>
      <c r="J41" s="133">
        <v>4.8000000000000001E-2</v>
      </c>
      <c r="K41" s="133">
        <v>1.7299999999999999E-2</v>
      </c>
      <c r="L41" s="130">
        <v>3947000</v>
      </c>
      <c r="M41" s="130">
        <v>134.55269999999999</v>
      </c>
      <c r="N41" s="130">
        <v>5310.7952299999997</v>
      </c>
      <c r="O41" s="132"/>
      <c r="Q41" s="133">
        <v>6.4669999999999997E-3</v>
      </c>
      <c r="R41" s="133">
        <v>1.2830000000000001E-3</v>
      </c>
    </row>
    <row r="42" spans="1:18" x14ac:dyDescent="0.2">
      <c r="A42">
        <v>274</v>
      </c>
      <c r="B42">
        <v>274</v>
      </c>
      <c r="C42" t="s">
        <v>649</v>
      </c>
      <c r="D42" t="s">
        <v>1839</v>
      </c>
      <c r="E42">
        <v>8288409</v>
      </c>
      <c r="F42" s="134">
        <v>42552</v>
      </c>
      <c r="G42" s="130">
        <v>4.8499999999999996</v>
      </c>
      <c r="H42" t="s">
        <v>229</v>
      </c>
      <c r="I42" s="134">
        <v>48030</v>
      </c>
      <c r="J42" s="133">
        <v>4.8000000000000001E-2</v>
      </c>
      <c r="K42" s="133">
        <v>1.7299999999999999E-2</v>
      </c>
      <c r="L42" s="130">
        <v>5245000</v>
      </c>
      <c r="M42" s="130">
        <v>141.53749999999999</v>
      </c>
      <c r="N42" s="130">
        <v>7423.6428500000002</v>
      </c>
      <c r="O42" s="132"/>
      <c r="Q42" s="133">
        <v>9.0410000000000004E-3</v>
      </c>
      <c r="R42" s="133">
        <v>1.7930000000000001E-3</v>
      </c>
    </row>
    <row r="43" spans="1:18" x14ac:dyDescent="0.2">
      <c r="A43">
        <v>274</v>
      </c>
      <c r="B43">
        <v>274</v>
      </c>
      <c r="C43" t="s">
        <v>649</v>
      </c>
      <c r="D43" t="s">
        <v>1840</v>
      </c>
      <c r="E43">
        <v>8288631</v>
      </c>
      <c r="F43" s="134">
        <v>43252</v>
      </c>
      <c r="G43" s="130">
        <v>6.43</v>
      </c>
      <c r="H43" t="s">
        <v>229</v>
      </c>
      <c r="I43" s="134">
        <v>48731</v>
      </c>
      <c r="J43" s="133">
        <v>4.8000000000000001E-2</v>
      </c>
      <c r="K43" s="133">
        <v>1.7600000000000001E-2</v>
      </c>
      <c r="L43" s="130">
        <v>796000</v>
      </c>
      <c r="M43" s="130">
        <v>144.01990000000001</v>
      </c>
      <c r="N43" s="130">
        <v>1146.3980899999999</v>
      </c>
      <c r="O43" s="132"/>
      <c r="Q43" s="133">
        <v>1.3960000000000001E-3</v>
      </c>
      <c r="R43" s="133">
        <v>2.7700000000000001E-4</v>
      </c>
    </row>
    <row r="44" spans="1:18" x14ac:dyDescent="0.2">
      <c r="A44">
        <v>274</v>
      </c>
      <c r="B44">
        <v>274</v>
      </c>
      <c r="C44" t="s">
        <v>649</v>
      </c>
      <c r="D44" t="s">
        <v>1841</v>
      </c>
      <c r="E44">
        <v>8288037</v>
      </c>
      <c r="F44" s="134">
        <v>41427</v>
      </c>
      <c r="G44" s="130">
        <v>2.31</v>
      </c>
      <c r="H44" t="s">
        <v>229</v>
      </c>
      <c r="I44" s="134">
        <v>46906</v>
      </c>
      <c r="J44" s="133">
        <v>4.8000000000000001E-2</v>
      </c>
      <c r="K44" s="133">
        <v>1.7600000000000001E-2</v>
      </c>
      <c r="L44" s="130">
        <v>7189000</v>
      </c>
      <c r="M44" s="130">
        <v>128.36609999999999</v>
      </c>
      <c r="N44" s="130">
        <v>9228.2358899999999</v>
      </c>
      <c r="O44" s="132"/>
      <c r="Q44" s="133">
        <v>1.1238E-2</v>
      </c>
      <c r="R44" s="133">
        <v>2.2290000000000001E-3</v>
      </c>
    </row>
    <row r="45" spans="1:18" x14ac:dyDescent="0.2">
      <c r="A45">
        <v>274</v>
      </c>
      <c r="B45">
        <v>274</v>
      </c>
      <c r="C45" t="s">
        <v>649</v>
      </c>
      <c r="D45" t="s">
        <v>1842</v>
      </c>
      <c r="E45">
        <v>8288672</v>
      </c>
      <c r="F45" s="134">
        <v>43375</v>
      </c>
      <c r="G45" s="130">
        <v>6.64</v>
      </c>
      <c r="H45" t="s">
        <v>229</v>
      </c>
      <c r="I45" s="134">
        <v>48856</v>
      </c>
      <c r="J45" s="133">
        <v>4.8000000000000001E-2</v>
      </c>
      <c r="K45" s="133">
        <v>1.7600000000000001E-2</v>
      </c>
      <c r="L45" s="130">
        <v>1792000</v>
      </c>
      <c r="M45" s="130">
        <v>144.98330000000001</v>
      </c>
      <c r="N45" s="130">
        <v>2598.10122</v>
      </c>
      <c r="O45" s="132"/>
      <c r="Q45" s="133">
        <v>3.1640000000000001E-3</v>
      </c>
      <c r="R45" s="133">
        <v>6.2699999999999995E-4</v>
      </c>
    </row>
    <row r="46" spans="1:18" x14ac:dyDescent="0.2">
      <c r="A46">
        <v>274</v>
      </c>
      <c r="B46">
        <v>274</v>
      </c>
      <c r="C46" t="s">
        <v>649</v>
      </c>
      <c r="D46" t="s">
        <v>1843</v>
      </c>
      <c r="E46">
        <v>8288359</v>
      </c>
      <c r="F46" s="134">
        <v>42401</v>
      </c>
      <c r="G46" s="130">
        <v>4.54</v>
      </c>
      <c r="H46" t="s">
        <v>229</v>
      </c>
      <c r="I46" s="134">
        <v>47880</v>
      </c>
      <c r="J46" s="133">
        <v>4.8000000000000001E-2</v>
      </c>
      <c r="K46" s="133">
        <v>1.7299999999999999E-2</v>
      </c>
      <c r="L46" s="130">
        <v>2413000</v>
      </c>
      <c r="M46" s="130">
        <v>139.27209999999999</v>
      </c>
      <c r="N46" s="130">
        <v>3360.6355400000002</v>
      </c>
      <c r="O46" s="132"/>
      <c r="Q46" s="133">
        <v>4.0920000000000002E-3</v>
      </c>
      <c r="R46" s="133">
        <v>8.12E-4</v>
      </c>
    </row>
    <row r="47" spans="1:18" x14ac:dyDescent="0.2">
      <c r="A47">
        <v>274</v>
      </c>
      <c r="B47">
        <v>274</v>
      </c>
      <c r="C47" t="s">
        <v>649</v>
      </c>
      <c r="D47" t="s">
        <v>1844</v>
      </c>
      <c r="E47">
        <v>8288078</v>
      </c>
      <c r="F47" s="134">
        <v>41548</v>
      </c>
      <c r="G47" s="130">
        <v>2.59</v>
      </c>
      <c r="H47" t="s">
        <v>229</v>
      </c>
      <c r="I47" s="134">
        <v>47027</v>
      </c>
      <c r="J47" s="133">
        <v>4.8000000000000001E-2</v>
      </c>
      <c r="K47" s="133">
        <v>1.7500000000000002E-2</v>
      </c>
      <c r="L47" s="130">
        <v>157000</v>
      </c>
      <c r="M47" s="130">
        <v>128.73150000000001</v>
      </c>
      <c r="N47" s="130">
        <v>202.10844</v>
      </c>
      <c r="O47" s="132"/>
      <c r="Q47" s="133">
        <v>2.4600000000000002E-4</v>
      </c>
      <c r="R47" s="133">
        <v>4.8000000000000001E-5</v>
      </c>
    </row>
    <row r="48" spans="1:18" x14ac:dyDescent="0.2">
      <c r="A48">
        <v>274</v>
      </c>
      <c r="B48">
        <v>274</v>
      </c>
      <c r="C48" t="s">
        <v>649</v>
      </c>
      <c r="D48" t="s">
        <v>1845</v>
      </c>
      <c r="E48">
        <v>8287997</v>
      </c>
      <c r="F48" s="134">
        <v>41306</v>
      </c>
      <c r="G48" s="130">
        <v>1.98</v>
      </c>
      <c r="H48" t="s">
        <v>229</v>
      </c>
      <c r="I48" s="134">
        <v>46784</v>
      </c>
      <c r="J48" s="133">
        <v>4.8000000000000001E-2</v>
      </c>
      <c r="K48" s="133">
        <v>1.8100000000000002E-2</v>
      </c>
      <c r="L48" s="130">
        <v>41288000</v>
      </c>
      <c r="M48" s="130">
        <v>129.55330000000001</v>
      </c>
      <c r="N48" s="130">
        <v>53489.946450000003</v>
      </c>
      <c r="O48" s="132"/>
      <c r="Q48" s="133">
        <v>6.5143999999999994E-2</v>
      </c>
      <c r="R48" s="133">
        <v>1.2925000000000001E-2</v>
      </c>
    </row>
    <row r="49" spans="1:18" x14ac:dyDescent="0.2">
      <c r="A49">
        <v>274</v>
      </c>
      <c r="B49">
        <v>274</v>
      </c>
      <c r="C49" t="s">
        <v>649</v>
      </c>
      <c r="D49" t="s">
        <v>1846</v>
      </c>
      <c r="E49">
        <v>8287963</v>
      </c>
      <c r="F49" s="134">
        <v>41214</v>
      </c>
      <c r="G49" s="130">
        <v>1.77</v>
      </c>
      <c r="H49" t="s">
        <v>229</v>
      </c>
      <c r="I49" s="134">
        <v>46692</v>
      </c>
      <c r="J49" s="133">
        <v>4.8000000000000001E-2</v>
      </c>
      <c r="K49" s="133">
        <v>1.84E-2</v>
      </c>
      <c r="L49" s="130">
        <v>10874000</v>
      </c>
      <c r="M49" s="130">
        <v>126.58029999999999</v>
      </c>
      <c r="N49" s="130">
        <v>13764.34323</v>
      </c>
      <c r="O49" s="132"/>
      <c r="Q49" s="133">
        <v>1.6763E-2</v>
      </c>
      <c r="R49" s="133">
        <v>3.326E-3</v>
      </c>
    </row>
    <row r="50" spans="1:18" x14ac:dyDescent="0.2">
      <c r="A50">
        <v>274</v>
      </c>
      <c r="B50">
        <v>274</v>
      </c>
      <c r="C50" t="s">
        <v>649</v>
      </c>
      <c r="D50" t="s">
        <v>1847</v>
      </c>
      <c r="E50">
        <v>8288482</v>
      </c>
      <c r="F50" s="134">
        <v>42795</v>
      </c>
      <c r="G50" s="130">
        <v>5.41</v>
      </c>
      <c r="H50" t="s">
        <v>229</v>
      </c>
      <c r="I50" s="134">
        <v>48274</v>
      </c>
      <c r="J50" s="133">
        <v>4.8000000000000001E-2</v>
      </c>
      <c r="K50" s="133">
        <v>1.7399999999999999E-2</v>
      </c>
      <c r="L50" s="130">
        <v>1644000</v>
      </c>
      <c r="M50" s="130">
        <v>142.85570000000001</v>
      </c>
      <c r="N50" s="130">
        <v>2348.54745</v>
      </c>
      <c r="O50" s="132"/>
      <c r="Q50" s="133">
        <v>2.8600000000000001E-3</v>
      </c>
      <c r="R50" s="133">
        <v>5.6700000000000001E-4</v>
      </c>
    </row>
    <row r="51" spans="1:18" x14ac:dyDescent="0.2">
      <c r="A51">
        <v>274</v>
      </c>
      <c r="B51">
        <v>274</v>
      </c>
      <c r="C51" t="s">
        <v>649</v>
      </c>
      <c r="D51" t="s">
        <v>1848</v>
      </c>
      <c r="E51">
        <v>8288276</v>
      </c>
      <c r="F51" s="134">
        <v>42156</v>
      </c>
      <c r="G51" s="130">
        <v>4.05</v>
      </c>
      <c r="H51" t="s">
        <v>229</v>
      </c>
      <c r="I51" s="134">
        <v>47636</v>
      </c>
      <c r="J51" s="133">
        <v>4.8000000000000001E-2</v>
      </c>
      <c r="K51" s="133">
        <v>1.7299999999999999E-2</v>
      </c>
      <c r="L51" s="130">
        <v>3983000</v>
      </c>
      <c r="M51" s="130">
        <v>134.749</v>
      </c>
      <c r="N51" s="130">
        <v>5367.0523199999998</v>
      </c>
      <c r="O51" s="132"/>
      <c r="Q51" s="133">
        <v>6.5360000000000001E-3</v>
      </c>
      <c r="R51" s="133">
        <v>1.2960000000000001E-3</v>
      </c>
    </row>
    <row r="52" spans="1:18" x14ac:dyDescent="0.2">
      <c r="A52">
        <v>274</v>
      </c>
      <c r="B52">
        <v>274</v>
      </c>
      <c r="C52" t="s">
        <v>649</v>
      </c>
      <c r="D52" t="s">
        <v>1849</v>
      </c>
      <c r="E52">
        <v>8288219</v>
      </c>
      <c r="F52" s="134">
        <v>41974</v>
      </c>
      <c r="G52" s="130">
        <v>3.63</v>
      </c>
      <c r="H52" t="s">
        <v>229</v>
      </c>
      <c r="I52" s="134">
        <v>47454</v>
      </c>
      <c r="J52" s="133">
        <v>4.8000000000000001E-2</v>
      </c>
      <c r="K52" s="133">
        <v>1.72E-2</v>
      </c>
      <c r="L52" s="130">
        <v>8816000</v>
      </c>
      <c r="M52" s="130">
        <v>131.8655</v>
      </c>
      <c r="N52" s="130">
        <v>11625.266369999999</v>
      </c>
      <c r="O52" s="132"/>
      <c r="Q52" s="133">
        <v>1.4158E-2</v>
      </c>
      <c r="R52" s="133">
        <v>2.8089999999999999E-3</v>
      </c>
    </row>
    <row r="53" spans="1:18" x14ac:dyDescent="0.2">
      <c r="A53">
        <v>274</v>
      </c>
      <c r="B53">
        <v>274</v>
      </c>
      <c r="C53" t="s">
        <v>649</v>
      </c>
      <c r="D53" t="s">
        <v>1850</v>
      </c>
      <c r="E53">
        <v>8288391</v>
      </c>
      <c r="F53" s="134">
        <v>42522</v>
      </c>
      <c r="G53" s="130">
        <v>4.87</v>
      </c>
      <c r="H53" t="s">
        <v>229</v>
      </c>
      <c r="I53" s="134">
        <v>48000</v>
      </c>
      <c r="J53" s="133">
        <v>4.8000000000000001E-2</v>
      </c>
      <c r="K53" s="133">
        <v>1.7299999999999999E-2</v>
      </c>
      <c r="L53" s="130">
        <v>5581000</v>
      </c>
      <c r="M53" s="130">
        <v>139.2919</v>
      </c>
      <c r="N53" s="130">
        <v>7773.87932</v>
      </c>
      <c r="O53" s="132"/>
      <c r="Q53" s="133">
        <v>9.4669999999999997E-3</v>
      </c>
      <c r="R53" s="133">
        <v>1.8779999999999999E-3</v>
      </c>
    </row>
    <row r="54" spans="1:18" x14ac:dyDescent="0.2">
      <c r="A54">
        <v>274</v>
      </c>
      <c r="B54">
        <v>274</v>
      </c>
      <c r="C54" t="s">
        <v>649</v>
      </c>
      <c r="D54" t="s">
        <v>1851</v>
      </c>
      <c r="E54">
        <v>8288383</v>
      </c>
      <c r="F54" s="134">
        <v>42491</v>
      </c>
      <c r="G54" s="130">
        <v>4.78</v>
      </c>
      <c r="H54" t="s">
        <v>229</v>
      </c>
      <c r="I54" s="134">
        <v>47969</v>
      </c>
      <c r="J54" s="133">
        <v>4.8000000000000001E-2</v>
      </c>
      <c r="K54" s="133">
        <v>1.7299999999999999E-2</v>
      </c>
      <c r="L54" s="130">
        <v>5807000</v>
      </c>
      <c r="M54" s="130">
        <v>140.07550000000001</v>
      </c>
      <c r="N54" s="130">
        <v>8134.1818499999999</v>
      </c>
      <c r="O54" s="132"/>
      <c r="Q54" s="133">
        <v>9.9059999999999999E-3</v>
      </c>
      <c r="R54" s="133">
        <v>1.9650000000000002E-3</v>
      </c>
    </row>
    <row r="55" spans="1:18" x14ac:dyDescent="0.2">
      <c r="A55">
        <v>274</v>
      </c>
      <c r="B55">
        <v>274</v>
      </c>
      <c r="C55" t="s">
        <v>649</v>
      </c>
      <c r="D55" t="s">
        <v>1852</v>
      </c>
      <c r="E55">
        <v>8288540</v>
      </c>
      <c r="F55" s="134">
        <v>42979</v>
      </c>
      <c r="G55" s="130">
        <v>5.8</v>
      </c>
      <c r="H55" t="s">
        <v>229</v>
      </c>
      <c r="I55" s="134">
        <v>48458</v>
      </c>
      <c r="J55" s="133">
        <v>4.8000000000000001E-2</v>
      </c>
      <c r="K55" s="133">
        <v>1.7500000000000002E-2</v>
      </c>
      <c r="L55" s="130">
        <v>8559000</v>
      </c>
      <c r="M55" s="130">
        <v>144.2826</v>
      </c>
      <c r="N55" s="130">
        <v>12349.149530000001</v>
      </c>
      <c r="O55" s="132"/>
      <c r="Q55" s="133">
        <v>1.5039E-2</v>
      </c>
      <c r="R55" s="133">
        <v>2.9840000000000001E-3</v>
      </c>
    </row>
    <row r="56" spans="1:18" x14ac:dyDescent="0.2">
      <c r="A56">
        <v>274</v>
      </c>
      <c r="B56">
        <v>274</v>
      </c>
      <c r="C56" t="s">
        <v>649</v>
      </c>
      <c r="D56" t="s">
        <v>1853</v>
      </c>
      <c r="E56">
        <v>8289027</v>
      </c>
      <c r="F56" s="134">
        <v>44470</v>
      </c>
      <c r="G56" s="130">
        <v>8.76</v>
      </c>
      <c r="H56" t="s">
        <v>229</v>
      </c>
      <c r="I56" s="134">
        <v>49949</v>
      </c>
      <c r="J56" s="133">
        <v>4.8000000000000001E-2</v>
      </c>
      <c r="K56" s="133">
        <v>1.8100000000000002E-2</v>
      </c>
      <c r="L56" s="130">
        <v>3054000</v>
      </c>
      <c r="M56" s="130">
        <v>150.47890000000001</v>
      </c>
      <c r="N56" s="130">
        <v>4595.6255899999996</v>
      </c>
      <c r="O56" s="132"/>
      <c r="Q56" s="133">
        <v>5.5960000000000003E-3</v>
      </c>
      <c r="R56" s="133">
        <v>1.1100000000000001E-3</v>
      </c>
    </row>
    <row r="57" spans="1:18" x14ac:dyDescent="0.2">
      <c r="A57">
        <v>274</v>
      </c>
      <c r="B57">
        <v>274</v>
      </c>
      <c r="C57" t="s">
        <v>649</v>
      </c>
      <c r="D57" t="s">
        <v>1854</v>
      </c>
      <c r="E57">
        <v>8288433</v>
      </c>
      <c r="F57" s="134">
        <v>42645</v>
      </c>
      <c r="G57" s="130">
        <v>5.1100000000000003</v>
      </c>
      <c r="H57" t="s">
        <v>229</v>
      </c>
      <c r="I57" s="134">
        <v>48123</v>
      </c>
      <c r="J57" s="133">
        <v>4.8000000000000001E-2</v>
      </c>
      <c r="K57" s="133">
        <v>1.7399999999999999E-2</v>
      </c>
      <c r="L57" s="130">
        <v>1052000</v>
      </c>
      <c r="M57" s="130">
        <v>140.3407</v>
      </c>
      <c r="N57" s="130">
        <v>1476.3844099999999</v>
      </c>
      <c r="O57" s="132"/>
      <c r="Q57" s="133">
        <v>1.7979999999999999E-3</v>
      </c>
      <c r="R57" s="133">
        <v>3.5599999999999998E-4</v>
      </c>
    </row>
    <row r="58" spans="1:18" x14ac:dyDescent="0.2">
      <c r="A58">
        <v>274</v>
      </c>
      <c r="B58">
        <v>274</v>
      </c>
      <c r="C58" t="s">
        <v>649</v>
      </c>
      <c r="D58" t="s">
        <v>1855</v>
      </c>
      <c r="E58">
        <v>8288680</v>
      </c>
      <c r="F58" s="134">
        <v>43405</v>
      </c>
      <c r="G58" s="130">
        <v>6.72</v>
      </c>
      <c r="H58" t="s">
        <v>229</v>
      </c>
      <c r="I58" s="134">
        <v>48884</v>
      </c>
      <c r="J58" s="133">
        <v>4.8000000000000001E-2</v>
      </c>
      <c r="K58" s="133">
        <v>1.7600000000000001E-2</v>
      </c>
      <c r="L58" s="130">
        <v>533000</v>
      </c>
      <c r="M58" s="130">
        <v>144.61250000000001</v>
      </c>
      <c r="N58" s="130">
        <v>770.78476000000001</v>
      </c>
      <c r="O58" s="132"/>
      <c r="Q58" s="133">
        <v>9.3800000000000003E-4</v>
      </c>
      <c r="R58" s="133">
        <v>1.8599999999999999E-4</v>
      </c>
    </row>
    <row r="59" spans="1:18" x14ac:dyDescent="0.2">
      <c r="A59">
        <v>274</v>
      </c>
      <c r="B59">
        <v>274</v>
      </c>
      <c r="C59" t="s">
        <v>649</v>
      </c>
      <c r="D59" t="s">
        <v>1856</v>
      </c>
      <c r="E59">
        <v>8288748</v>
      </c>
      <c r="F59" s="134">
        <v>43586</v>
      </c>
      <c r="G59" s="130">
        <v>7.09</v>
      </c>
      <c r="H59" t="s">
        <v>229</v>
      </c>
      <c r="I59" s="134">
        <v>49065</v>
      </c>
      <c r="J59" s="133">
        <v>4.8000000000000001E-2</v>
      </c>
      <c r="K59" s="133">
        <v>1.77E-2</v>
      </c>
      <c r="L59" s="130">
        <v>3351000</v>
      </c>
      <c r="M59" s="130">
        <v>145.79669999999999</v>
      </c>
      <c r="N59" s="130">
        <v>4885.6480600000004</v>
      </c>
      <c r="O59" s="132"/>
      <c r="Q59" s="133">
        <v>5.9500000000000004E-3</v>
      </c>
      <c r="R59" s="133">
        <v>1.1800000000000001E-3</v>
      </c>
    </row>
    <row r="60" spans="1:18" x14ac:dyDescent="0.2">
      <c r="A60">
        <v>274</v>
      </c>
      <c r="B60">
        <v>274</v>
      </c>
      <c r="C60" t="s">
        <v>649</v>
      </c>
      <c r="D60" t="s">
        <v>1857</v>
      </c>
      <c r="E60">
        <v>8288060</v>
      </c>
      <c r="F60" s="134">
        <v>41518</v>
      </c>
      <c r="G60" s="130">
        <v>2.5099999999999998</v>
      </c>
      <c r="H60" t="s">
        <v>229</v>
      </c>
      <c r="I60" s="134">
        <v>46999</v>
      </c>
      <c r="J60" s="133">
        <v>4.8000000000000001E-2</v>
      </c>
      <c r="K60" s="133">
        <v>1.7500000000000002E-2</v>
      </c>
      <c r="L60" s="130">
        <v>1115000</v>
      </c>
      <c r="M60" s="130">
        <v>129.17009999999999</v>
      </c>
      <c r="N60" s="130">
        <v>1440.2467300000001</v>
      </c>
      <c r="O60" s="132"/>
      <c r="Q60" s="133">
        <v>1.7539999999999999E-3</v>
      </c>
      <c r="R60" s="133">
        <v>3.48E-4</v>
      </c>
    </row>
    <row r="61" spans="1:18" x14ac:dyDescent="0.2">
      <c r="A61">
        <v>274</v>
      </c>
      <c r="B61">
        <v>274</v>
      </c>
      <c r="C61" t="s">
        <v>649</v>
      </c>
      <c r="D61" t="s">
        <v>1858</v>
      </c>
      <c r="E61">
        <v>8288243</v>
      </c>
      <c r="F61" s="134">
        <v>42064</v>
      </c>
      <c r="G61" s="130">
        <v>3.8</v>
      </c>
      <c r="H61" t="s">
        <v>229</v>
      </c>
      <c r="I61" s="134">
        <v>47543</v>
      </c>
      <c r="J61" s="133">
        <v>4.8000000000000001E-2</v>
      </c>
      <c r="K61" s="133">
        <v>1.72E-2</v>
      </c>
      <c r="L61" s="130">
        <v>6812000</v>
      </c>
      <c r="M61" s="130">
        <v>135.59729999999999</v>
      </c>
      <c r="N61" s="130">
        <v>9236.8862700000009</v>
      </c>
      <c r="O61" s="132"/>
      <c r="Q61" s="133">
        <v>1.1249E-2</v>
      </c>
      <c r="R61" s="133">
        <v>2.232E-3</v>
      </c>
    </row>
    <row r="62" spans="1:18" x14ac:dyDescent="0.2">
      <c r="A62">
        <v>274</v>
      </c>
      <c r="B62">
        <v>274</v>
      </c>
      <c r="C62" t="s">
        <v>649</v>
      </c>
      <c r="D62" t="s">
        <v>1859</v>
      </c>
      <c r="E62">
        <v>8288755</v>
      </c>
      <c r="F62" s="134">
        <v>43618</v>
      </c>
      <c r="G62" s="130">
        <v>7.17</v>
      </c>
      <c r="H62" t="s">
        <v>229</v>
      </c>
      <c r="I62" s="134">
        <v>49097</v>
      </c>
      <c r="J62" s="133">
        <v>4.8000000000000001E-2</v>
      </c>
      <c r="K62" s="133">
        <v>1.77E-2</v>
      </c>
      <c r="L62" s="130">
        <v>4144000</v>
      </c>
      <c r="M62" s="130">
        <v>145.10820000000001</v>
      </c>
      <c r="N62" s="130">
        <v>6013.2841500000004</v>
      </c>
      <c r="O62" s="132"/>
      <c r="Q62" s="133">
        <v>7.3229999999999996E-3</v>
      </c>
      <c r="R62" s="133">
        <v>1.4530000000000001E-3</v>
      </c>
    </row>
    <row r="63" spans="1:18" x14ac:dyDescent="0.2">
      <c r="A63">
        <v>274</v>
      </c>
      <c r="B63">
        <v>274</v>
      </c>
      <c r="C63" t="s">
        <v>649</v>
      </c>
      <c r="D63" t="s">
        <v>1860</v>
      </c>
      <c r="E63">
        <v>8288201</v>
      </c>
      <c r="F63" s="134">
        <v>41945</v>
      </c>
      <c r="G63" s="130">
        <v>3.55</v>
      </c>
      <c r="H63" t="s">
        <v>229</v>
      </c>
      <c r="I63" s="134">
        <v>47424</v>
      </c>
      <c r="J63" s="133">
        <v>4.8000000000000001E-2</v>
      </c>
      <c r="K63" s="133">
        <v>1.7299999999999999E-2</v>
      </c>
      <c r="L63" s="130">
        <v>6036000</v>
      </c>
      <c r="M63" s="130">
        <v>132.41220000000001</v>
      </c>
      <c r="N63" s="130">
        <v>7992.4022500000001</v>
      </c>
      <c r="O63" s="132"/>
      <c r="Q63" s="133">
        <v>9.7330000000000003E-3</v>
      </c>
      <c r="R63" s="133">
        <v>1.931E-3</v>
      </c>
    </row>
    <row r="64" spans="1:18" x14ac:dyDescent="0.2">
      <c r="A64">
        <v>274</v>
      </c>
      <c r="B64">
        <v>274</v>
      </c>
      <c r="C64" t="s">
        <v>649</v>
      </c>
      <c r="D64" t="s">
        <v>1861</v>
      </c>
      <c r="E64">
        <v>8288656</v>
      </c>
      <c r="F64" s="134">
        <v>43313</v>
      </c>
      <c r="G64" s="130">
        <v>6.47</v>
      </c>
      <c r="H64" t="s">
        <v>229</v>
      </c>
      <c r="I64" s="134">
        <v>48792</v>
      </c>
      <c r="J64" s="133">
        <v>4.8000000000000001E-2</v>
      </c>
      <c r="K64" s="133">
        <v>1.7600000000000001E-2</v>
      </c>
      <c r="L64" s="130">
        <v>22000</v>
      </c>
      <c r="M64" s="130">
        <v>145.5685</v>
      </c>
      <c r="N64" s="130">
        <v>32.025069999999999</v>
      </c>
      <c r="O64" s="132"/>
      <c r="Q64" s="133">
        <v>3.8999999999999999E-5</v>
      </c>
      <c r="R64" s="133">
        <v>6.9999999999999999E-6</v>
      </c>
    </row>
    <row r="65" spans="1:18" x14ac:dyDescent="0.2">
      <c r="A65">
        <v>274</v>
      </c>
      <c r="B65">
        <v>274</v>
      </c>
      <c r="C65" t="s">
        <v>649</v>
      </c>
      <c r="D65" t="s">
        <v>1862</v>
      </c>
      <c r="E65">
        <v>8288573</v>
      </c>
      <c r="F65" s="134">
        <v>43070</v>
      </c>
      <c r="G65" s="130">
        <v>6.05</v>
      </c>
      <c r="H65" t="s">
        <v>229</v>
      </c>
      <c r="I65" s="134">
        <v>48549</v>
      </c>
      <c r="J65" s="133">
        <v>4.8000000000000001E-2</v>
      </c>
      <c r="K65" s="133">
        <v>1.7500000000000002E-2</v>
      </c>
      <c r="L65" s="130">
        <v>3172000</v>
      </c>
      <c r="M65" s="130">
        <v>142.63079999999999</v>
      </c>
      <c r="N65" s="130">
        <v>4524.2503999999999</v>
      </c>
      <c r="O65" s="132"/>
      <c r="Q65" s="133">
        <v>5.509E-3</v>
      </c>
      <c r="R65" s="133">
        <v>1.093E-3</v>
      </c>
    </row>
    <row r="66" spans="1:18" x14ac:dyDescent="0.2">
      <c r="A66">
        <v>274</v>
      </c>
      <c r="B66">
        <v>274</v>
      </c>
      <c r="C66" t="s">
        <v>649</v>
      </c>
      <c r="D66" t="s">
        <v>1863</v>
      </c>
      <c r="E66">
        <v>8288342</v>
      </c>
      <c r="F66" s="134">
        <v>42370</v>
      </c>
      <c r="G66" s="130">
        <v>4.46</v>
      </c>
      <c r="H66" t="s">
        <v>229</v>
      </c>
      <c r="I66" s="134">
        <v>47849</v>
      </c>
      <c r="J66" s="133">
        <v>4.8000000000000001E-2</v>
      </c>
      <c r="K66" s="133">
        <v>1.7299999999999999E-2</v>
      </c>
      <c r="L66" s="130">
        <v>2301000</v>
      </c>
      <c r="M66" s="130">
        <v>139.328</v>
      </c>
      <c r="N66" s="130">
        <v>3205.9371900000001</v>
      </c>
      <c r="O66" s="132"/>
      <c r="Q66" s="133">
        <v>3.9039999999999999E-3</v>
      </c>
      <c r="R66" s="133">
        <v>7.7399999999999995E-4</v>
      </c>
    </row>
    <row r="67" spans="1:18" x14ac:dyDescent="0.2">
      <c r="A67">
        <v>274</v>
      </c>
      <c r="B67">
        <v>274</v>
      </c>
      <c r="C67" t="s">
        <v>649</v>
      </c>
      <c r="D67" t="s">
        <v>1864</v>
      </c>
      <c r="E67">
        <v>8288250</v>
      </c>
      <c r="F67" s="134">
        <v>42095</v>
      </c>
      <c r="G67" s="130">
        <v>3.88</v>
      </c>
      <c r="H67" t="s">
        <v>229</v>
      </c>
      <c r="I67" s="134">
        <v>47574</v>
      </c>
      <c r="J67" s="133">
        <v>4.8000000000000001E-2</v>
      </c>
      <c r="K67" s="133">
        <v>1.7299999999999999E-2</v>
      </c>
      <c r="L67" s="130">
        <v>20343000</v>
      </c>
      <c r="M67" s="130">
        <v>136.36070000000001</v>
      </c>
      <c r="N67" s="130">
        <v>27739.86433</v>
      </c>
      <c r="O67" s="132"/>
      <c r="Q67" s="133">
        <v>3.3783000000000001E-2</v>
      </c>
      <c r="R67" s="133">
        <v>6.7029999999999998E-3</v>
      </c>
    </row>
    <row r="68" spans="1:18" x14ac:dyDescent="0.2">
      <c r="A68">
        <v>274</v>
      </c>
      <c r="B68">
        <v>274</v>
      </c>
      <c r="C68" t="s">
        <v>649</v>
      </c>
      <c r="D68" t="s">
        <v>1865</v>
      </c>
      <c r="E68">
        <v>8288169</v>
      </c>
      <c r="F68" s="134">
        <v>41821</v>
      </c>
      <c r="G68" s="130">
        <v>3.21</v>
      </c>
      <c r="H68" t="s">
        <v>229</v>
      </c>
      <c r="I68" s="134">
        <v>47300</v>
      </c>
      <c r="J68" s="133">
        <v>4.8000000000000001E-2</v>
      </c>
      <c r="K68" s="133">
        <v>1.7299999999999999E-2</v>
      </c>
      <c r="L68" s="130">
        <v>10396000</v>
      </c>
      <c r="M68" s="130">
        <v>133.1748</v>
      </c>
      <c r="N68" s="130">
        <v>13844.84721</v>
      </c>
      <c r="O68" s="132"/>
      <c r="Q68" s="133">
        <v>1.6861000000000001E-2</v>
      </c>
      <c r="R68" s="133">
        <v>3.3449999999999999E-3</v>
      </c>
    </row>
    <row r="69" spans="1:18" x14ac:dyDescent="0.2">
      <c r="A69">
        <v>274</v>
      </c>
      <c r="B69">
        <v>274</v>
      </c>
      <c r="C69" t="s">
        <v>649</v>
      </c>
      <c r="D69" t="s">
        <v>1866</v>
      </c>
      <c r="E69">
        <v>8288664</v>
      </c>
      <c r="F69" s="134">
        <v>43345</v>
      </c>
      <c r="G69" s="130">
        <v>6.56</v>
      </c>
      <c r="H69" t="s">
        <v>229</v>
      </c>
      <c r="I69" s="134">
        <v>48824</v>
      </c>
      <c r="J69" s="133">
        <v>4.8000000000000001E-2</v>
      </c>
      <c r="K69" s="133">
        <v>1.7600000000000001E-2</v>
      </c>
      <c r="L69" s="130">
        <v>6557000</v>
      </c>
      <c r="M69" s="130">
        <v>145.31979999999999</v>
      </c>
      <c r="N69" s="130">
        <v>9528.6211000000003</v>
      </c>
      <c r="O69" s="132"/>
      <c r="Q69" s="133">
        <v>1.1604E-2</v>
      </c>
      <c r="R69" s="133">
        <v>2.3019999999999998E-3</v>
      </c>
    </row>
    <row r="70" spans="1:18" x14ac:dyDescent="0.2">
      <c r="A70">
        <v>274</v>
      </c>
      <c r="B70">
        <v>274</v>
      </c>
      <c r="C70" t="s">
        <v>649</v>
      </c>
      <c r="D70" t="s">
        <v>1867</v>
      </c>
      <c r="E70">
        <v>8288995</v>
      </c>
      <c r="F70" s="134">
        <v>44378</v>
      </c>
      <c r="G70" s="130">
        <v>8.51</v>
      </c>
      <c r="H70" t="s">
        <v>229</v>
      </c>
      <c r="I70" s="134">
        <v>49857</v>
      </c>
      <c r="J70" s="133">
        <v>4.8000000000000001E-2</v>
      </c>
      <c r="K70" s="133">
        <v>1.7999999999999999E-2</v>
      </c>
      <c r="L70" s="130">
        <v>94000</v>
      </c>
      <c r="M70" s="130">
        <v>152.3914</v>
      </c>
      <c r="N70" s="130">
        <v>143.24787000000001</v>
      </c>
      <c r="O70" s="132"/>
      <c r="Q70" s="133">
        <v>1.74E-4</v>
      </c>
      <c r="R70" s="133">
        <v>3.4E-5</v>
      </c>
    </row>
    <row r="71" spans="1:18" x14ac:dyDescent="0.2">
      <c r="A71">
        <v>274</v>
      </c>
      <c r="B71">
        <v>274</v>
      </c>
      <c r="C71" t="s">
        <v>649</v>
      </c>
      <c r="D71" t="s">
        <v>1868</v>
      </c>
      <c r="E71">
        <v>8288284</v>
      </c>
      <c r="F71" s="134">
        <v>42186</v>
      </c>
      <c r="G71" s="130">
        <v>4.05</v>
      </c>
      <c r="H71" t="s">
        <v>229</v>
      </c>
      <c r="I71" s="134">
        <v>47665</v>
      </c>
      <c r="J71" s="133">
        <v>4.8000000000000001E-2</v>
      </c>
      <c r="K71" s="133">
        <v>1.7299999999999999E-2</v>
      </c>
      <c r="L71" s="130">
        <v>11403000</v>
      </c>
      <c r="M71" s="130">
        <v>137.12190000000001</v>
      </c>
      <c r="N71" s="130">
        <v>15636.011270000001</v>
      </c>
      <c r="O71" s="132"/>
      <c r="Q71" s="133">
        <v>1.9042E-2</v>
      </c>
      <c r="R71" s="133">
        <v>3.7780000000000001E-3</v>
      </c>
    </row>
    <row r="72" spans="1:18" x14ac:dyDescent="0.2">
      <c r="A72">
        <v>274</v>
      </c>
      <c r="B72">
        <v>274</v>
      </c>
      <c r="C72" t="s">
        <v>649</v>
      </c>
      <c r="D72" t="s">
        <v>1869</v>
      </c>
      <c r="E72">
        <v>8288177</v>
      </c>
      <c r="F72" s="134">
        <v>41852</v>
      </c>
      <c r="G72" s="130">
        <v>3.29</v>
      </c>
      <c r="H72" t="s">
        <v>229</v>
      </c>
      <c r="I72" s="134">
        <v>47331</v>
      </c>
      <c r="J72" s="133">
        <v>4.8000000000000001E-2</v>
      </c>
      <c r="K72" s="133">
        <v>1.7299999999999999E-2</v>
      </c>
      <c r="L72" s="130">
        <v>6149000</v>
      </c>
      <c r="M72" s="130">
        <v>132.58799999999999</v>
      </c>
      <c r="N72" s="130">
        <v>8152.8354600000002</v>
      </c>
      <c r="O72" s="132"/>
      <c r="Q72" s="133">
        <v>9.9290000000000003E-3</v>
      </c>
      <c r="R72" s="133">
        <v>1.97E-3</v>
      </c>
    </row>
    <row r="73" spans="1:18" x14ac:dyDescent="0.2">
      <c r="A73">
        <v>274</v>
      </c>
      <c r="B73">
        <v>274</v>
      </c>
      <c r="C73" t="s">
        <v>649</v>
      </c>
      <c r="D73" t="s">
        <v>1870</v>
      </c>
      <c r="E73">
        <v>8288193</v>
      </c>
      <c r="F73" s="134">
        <v>41913</v>
      </c>
      <c r="G73" s="130">
        <v>3.46</v>
      </c>
      <c r="H73" t="s">
        <v>229</v>
      </c>
      <c r="I73" s="134">
        <v>47393</v>
      </c>
      <c r="J73" s="133">
        <v>4.8000000000000001E-2</v>
      </c>
      <c r="K73" s="133">
        <v>1.7299999999999999E-2</v>
      </c>
      <c r="L73" s="130">
        <v>18501000</v>
      </c>
      <c r="M73" s="130">
        <v>132.2183</v>
      </c>
      <c r="N73" s="130">
        <v>24461.70563</v>
      </c>
      <c r="O73" s="132"/>
      <c r="Q73" s="133">
        <v>2.9791000000000002E-2</v>
      </c>
      <c r="R73" s="133">
        <v>5.9109999999999996E-3</v>
      </c>
    </row>
    <row r="74" spans="1:18" x14ac:dyDescent="0.2">
      <c r="A74">
        <v>274</v>
      </c>
      <c r="B74">
        <v>274</v>
      </c>
      <c r="C74" t="s">
        <v>649</v>
      </c>
      <c r="D74" t="s">
        <v>1871</v>
      </c>
      <c r="E74">
        <v>8288334</v>
      </c>
      <c r="F74" s="134">
        <v>42339</v>
      </c>
      <c r="G74" s="130">
        <v>4.46</v>
      </c>
      <c r="H74" t="s">
        <v>229</v>
      </c>
      <c r="I74" s="134">
        <v>47818</v>
      </c>
      <c r="J74" s="133">
        <v>4.8000000000000001E-2</v>
      </c>
      <c r="K74" s="133">
        <v>1.7299999999999999E-2</v>
      </c>
      <c r="L74" s="130">
        <v>7278000</v>
      </c>
      <c r="M74" s="130">
        <v>136.12350000000001</v>
      </c>
      <c r="N74" s="130">
        <v>9907.0694899999999</v>
      </c>
      <c r="O74" s="132"/>
      <c r="Q74" s="133">
        <v>1.2064999999999999E-2</v>
      </c>
      <c r="R74" s="133">
        <v>2.3930000000000002E-3</v>
      </c>
    </row>
    <row r="75" spans="1:18" x14ac:dyDescent="0.2">
      <c r="A75">
        <v>274</v>
      </c>
      <c r="B75">
        <v>274</v>
      </c>
      <c r="C75" t="s">
        <v>649</v>
      </c>
      <c r="D75" t="s">
        <v>1872</v>
      </c>
      <c r="E75">
        <v>8288805</v>
      </c>
      <c r="F75" s="134">
        <v>43770</v>
      </c>
      <c r="G75" s="130">
        <v>7.45</v>
      </c>
      <c r="H75" t="s">
        <v>229</v>
      </c>
      <c r="I75" s="134">
        <v>49249</v>
      </c>
      <c r="J75" s="133">
        <v>4.8000000000000001E-2</v>
      </c>
      <c r="K75" s="133">
        <v>1.78E-2</v>
      </c>
      <c r="L75" s="130">
        <v>2830000</v>
      </c>
      <c r="M75" s="130">
        <v>147.09049999999999</v>
      </c>
      <c r="N75" s="130">
        <v>4162.6599699999997</v>
      </c>
      <c r="O75" s="132"/>
      <c r="Q75" s="133">
        <v>5.0689999999999997E-3</v>
      </c>
      <c r="R75" s="133">
        <v>1.005E-3</v>
      </c>
    </row>
    <row r="76" spans="1:18" x14ac:dyDescent="0.2">
      <c r="A76">
        <v>274</v>
      </c>
      <c r="B76">
        <v>274</v>
      </c>
      <c r="C76" t="s">
        <v>649</v>
      </c>
      <c r="D76" t="s">
        <v>1873</v>
      </c>
      <c r="E76">
        <v>8288961</v>
      </c>
      <c r="F76" s="134">
        <v>44287</v>
      </c>
      <c r="G76" s="130">
        <v>8.42</v>
      </c>
      <c r="H76" t="s">
        <v>229</v>
      </c>
      <c r="I76" s="134">
        <v>49766</v>
      </c>
      <c r="J76" s="133">
        <v>4.8000000000000001E-2</v>
      </c>
      <c r="K76" s="133">
        <v>1.7999999999999999E-2</v>
      </c>
      <c r="L76" s="130">
        <v>1557000</v>
      </c>
      <c r="M76" s="130">
        <v>152.27029999999999</v>
      </c>
      <c r="N76" s="130">
        <v>2370.8483200000001</v>
      </c>
      <c r="O76" s="132"/>
      <c r="Q76" s="133">
        <v>2.8869999999999998E-3</v>
      </c>
      <c r="R76" s="133">
        <v>5.7200000000000003E-4</v>
      </c>
    </row>
    <row r="77" spans="1:18" x14ac:dyDescent="0.2">
      <c r="A77">
        <v>274</v>
      </c>
      <c r="B77">
        <v>274</v>
      </c>
      <c r="C77" t="s">
        <v>649</v>
      </c>
      <c r="D77" t="s">
        <v>1874</v>
      </c>
      <c r="E77">
        <v>8287948</v>
      </c>
      <c r="F77" s="134">
        <v>41154</v>
      </c>
      <c r="G77" s="130">
        <v>1.6</v>
      </c>
      <c r="H77" t="s">
        <v>229</v>
      </c>
      <c r="I77" s="134">
        <v>46632</v>
      </c>
      <c r="J77" s="133">
        <v>4.8000000000000001E-2</v>
      </c>
      <c r="K77" s="133">
        <v>1.84E-2</v>
      </c>
      <c r="L77" s="130">
        <v>10809000</v>
      </c>
      <c r="M77" s="130">
        <v>128.29179999999999</v>
      </c>
      <c r="N77" s="130">
        <v>13867.05991</v>
      </c>
      <c r="O77" s="132"/>
      <c r="Q77" s="133">
        <v>1.6888E-2</v>
      </c>
      <c r="R77" s="133">
        <v>3.3500000000000001E-3</v>
      </c>
    </row>
    <row r="78" spans="1:18" x14ac:dyDescent="0.2">
      <c r="A78">
        <v>274</v>
      </c>
      <c r="B78">
        <v>274</v>
      </c>
      <c r="C78" t="s">
        <v>649</v>
      </c>
      <c r="D78" t="s">
        <v>1875</v>
      </c>
      <c r="E78">
        <v>8288565</v>
      </c>
      <c r="F78" s="134">
        <v>43040</v>
      </c>
      <c r="G78" s="130">
        <v>5.97</v>
      </c>
      <c r="H78" t="s">
        <v>229</v>
      </c>
      <c r="I78" s="134">
        <v>48519</v>
      </c>
      <c r="J78" s="133">
        <v>4.8000000000000001E-2</v>
      </c>
      <c r="K78" s="133">
        <v>1.7500000000000002E-2</v>
      </c>
      <c r="L78" s="130">
        <v>1162000</v>
      </c>
      <c r="M78" s="130">
        <v>143.2859</v>
      </c>
      <c r="N78" s="130">
        <v>1664.9815900000001</v>
      </c>
      <c r="O78" s="132"/>
      <c r="Q78" s="133">
        <v>2.0270000000000002E-3</v>
      </c>
      <c r="R78" s="133">
        <v>4.0200000000000001E-4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5" t="s">
        <v>758</v>
      </c>
      <c r="E1" s="135" t="s">
        <v>757</v>
      </c>
      <c r="F1" s="129" t="s">
        <v>1161</v>
      </c>
      <c r="G1" s="136" t="s">
        <v>30</v>
      </c>
    </row>
    <row r="2" spans="1:7" x14ac:dyDescent="0.2">
      <c r="A2">
        <v>274</v>
      </c>
      <c r="B2">
        <v>274</v>
      </c>
      <c r="C2"/>
      <c r="D2" s="134"/>
      <c r="E2" s="134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5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5" t="s">
        <v>421</v>
      </c>
      <c r="W1" s="136" t="s">
        <v>14</v>
      </c>
      <c r="X1" s="136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5" t="s">
        <v>16</v>
      </c>
      <c r="AE1" s="135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6" t="s">
        <v>19</v>
      </c>
      <c r="AN1" s="136" t="s">
        <v>30</v>
      </c>
    </row>
    <row r="2" spans="1:40" x14ac:dyDescent="0.2">
      <c r="A2">
        <v>274</v>
      </c>
      <c r="B2">
        <v>274</v>
      </c>
      <c r="E2"/>
      <c r="L2"/>
      <c r="N2" s="134"/>
      <c r="S2" s="130"/>
      <c r="V2" s="134"/>
      <c r="W2" s="133"/>
      <c r="X2" s="133"/>
      <c r="Y2"/>
      <c r="Z2"/>
      <c r="AD2" s="134"/>
      <c r="AE2" s="134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7.125" style="2" bestFit="1" customWidth="1"/>
    <col min="4" max="4" width="9.875" style="2" bestFit="1" customWidth="1"/>
    <col min="5" max="5" width="9.125" style="4" bestFit="1" customWidth="1"/>
    <col min="6" max="6" width="24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5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274</v>
      </c>
      <c r="B2">
        <v>274</v>
      </c>
      <c r="C2" t="s">
        <v>1317</v>
      </c>
      <c r="D2">
        <v>520010869</v>
      </c>
      <c r="E2" t="s">
        <v>429</v>
      </c>
      <c r="F2" t="s">
        <v>1876</v>
      </c>
      <c r="G2" t="s">
        <v>1877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4">
        <v>39076</v>
      </c>
      <c r="P2" t="s">
        <v>1217</v>
      </c>
      <c r="Q2" t="s">
        <v>65</v>
      </c>
      <c r="R2" t="s">
        <v>57</v>
      </c>
      <c r="S2" t="s">
        <v>1221</v>
      </c>
      <c r="T2" s="130">
        <v>5.37</v>
      </c>
      <c r="U2" s="134">
        <v>50034</v>
      </c>
      <c r="V2" s="133">
        <v>2.41E-2</v>
      </c>
      <c r="W2" s="133">
        <v>4.9000000000000002E-2</v>
      </c>
      <c r="X2" t="s">
        <v>620</v>
      </c>
      <c r="Y2"/>
      <c r="Z2" t="s">
        <v>775</v>
      </c>
      <c r="AA2" t="s">
        <v>305</v>
      </c>
      <c r="AB2" s="134">
        <v>46022</v>
      </c>
      <c r="AC2" s="134"/>
      <c r="AD2" s="130">
        <v>1008894.78</v>
      </c>
      <c r="AE2" s="130">
        <v>1</v>
      </c>
      <c r="AF2" s="130">
        <v>161.76</v>
      </c>
      <c r="AG2" s="130">
        <v>1631.9882</v>
      </c>
      <c r="AH2" s="130"/>
      <c r="AI2" s="130"/>
      <c r="AJ2"/>
      <c r="AK2" s="133">
        <v>0.119239</v>
      </c>
      <c r="AL2" s="133">
        <v>3.9399999999999998E-4</v>
      </c>
    </row>
    <row r="3" spans="1:38" x14ac:dyDescent="0.2">
      <c r="A3">
        <v>274</v>
      </c>
      <c r="B3">
        <v>274</v>
      </c>
      <c r="C3" t="s">
        <v>1322</v>
      </c>
      <c r="D3">
        <v>513436394</v>
      </c>
      <c r="E3" t="s">
        <v>429</v>
      </c>
      <c r="F3" t="s">
        <v>1878</v>
      </c>
      <c r="G3" t="s">
        <v>1879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4">
        <v>39084</v>
      </c>
      <c r="P3" t="s">
        <v>1217</v>
      </c>
      <c r="Q3" t="s">
        <v>65</v>
      </c>
      <c r="R3" t="s">
        <v>57</v>
      </c>
      <c r="S3" t="s">
        <v>1221</v>
      </c>
      <c r="T3" s="130">
        <v>0.56999999999999995</v>
      </c>
      <c r="U3" s="134">
        <v>46385</v>
      </c>
      <c r="V3" s="133">
        <v>2.87E-2</v>
      </c>
      <c r="W3" s="133">
        <v>5.6000000000000001E-2</v>
      </c>
      <c r="X3" t="s">
        <v>620</v>
      </c>
      <c r="Y3"/>
      <c r="Z3" t="s">
        <v>775</v>
      </c>
      <c r="AA3" t="s">
        <v>305</v>
      </c>
      <c r="AB3" s="134">
        <v>46022</v>
      </c>
      <c r="AC3" s="134"/>
      <c r="AD3" s="130">
        <v>160906.45000000001</v>
      </c>
      <c r="AE3" s="130">
        <v>1</v>
      </c>
      <c r="AF3" s="130">
        <v>144.75</v>
      </c>
      <c r="AG3" s="130">
        <v>232.91209000000001</v>
      </c>
      <c r="AH3" s="132"/>
      <c r="AI3" s="132"/>
      <c r="AJ3"/>
      <c r="AK3" s="133">
        <v>1.7017000000000001E-2</v>
      </c>
      <c r="AL3" s="133">
        <v>5.5999999999999999E-5</v>
      </c>
    </row>
    <row r="4" spans="1:38" x14ac:dyDescent="0.2">
      <c r="A4">
        <v>274</v>
      </c>
      <c r="B4">
        <v>274</v>
      </c>
      <c r="C4" t="s">
        <v>1317</v>
      </c>
      <c r="D4">
        <v>520010869</v>
      </c>
      <c r="E4" t="s">
        <v>429</v>
      </c>
      <c r="F4" t="s">
        <v>1880</v>
      </c>
      <c r="G4" t="s">
        <v>1881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4">
        <v>40738</v>
      </c>
      <c r="P4" t="s">
        <v>1217</v>
      </c>
      <c r="Q4" t="s">
        <v>65</v>
      </c>
      <c r="R4" t="s">
        <v>57</v>
      </c>
      <c r="S4" t="s">
        <v>1221</v>
      </c>
      <c r="T4" s="130">
        <v>9.27</v>
      </c>
      <c r="U4" s="134">
        <v>54253</v>
      </c>
      <c r="V4" s="133">
        <v>2.58E-2</v>
      </c>
      <c r="W4" s="133">
        <v>4.1000000000000002E-2</v>
      </c>
      <c r="X4" t="s">
        <v>620</v>
      </c>
      <c r="Y4"/>
      <c r="Z4" t="s">
        <v>775</v>
      </c>
      <c r="AA4" t="s">
        <v>305</v>
      </c>
      <c r="AB4" s="134">
        <v>46022</v>
      </c>
      <c r="AC4" s="134"/>
      <c r="AD4" s="130">
        <v>4454014.7300000004</v>
      </c>
      <c r="AE4" s="130">
        <v>1</v>
      </c>
      <c r="AF4" s="130">
        <v>142.11000000000001</v>
      </c>
      <c r="AG4" s="130">
        <v>6329.6003300000002</v>
      </c>
      <c r="AH4" s="132"/>
      <c r="AI4" s="132"/>
      <c r="AJ4"/>
      <c r="AK4" s="133">
        <v>0.46246599999999999</v>
      </c>
      <c r="AL4" s="133">
        <v>1.529E-3</v>
      </c>
    </row>
    <row r="5" spans="1:38" x14ac:dyDescent="0.2">
      <c r="A5">
        <v>274</v>
      </c>
      <c r="B5">
        <v>274</v>
      </c>
      <c r="C5" t="s">
        <v>1322</v>
      </c>
      <c r="D5">
        <v>513436394</v>
      </c>
      <c r="E5" t="s">
        <v>429</v>
      </c>
      <c r="F5" t="s">
        <v>1882</v>
      </c>
      <c r="G5" t="s">
        <v>1883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34">
        <v>40910</v>
      </c>
      <c r="P5" t="s">
        <v>1217</v>
      </c>
      <c r="Q5" t="s">
        <v>65</v>
      </c>
      <c r="R5" t="s">
        <v>57</v>
      </c>
      <c r="S5" t="s">
        <v>1221</v>
      </c>
      <c r="T5" s="130">
        <v>2.91</v>
      </c>
      <c r="U5" s="134">
        <v>48213</v>
      </c>
      <c r="V5" s="133">
        <v>2.5100000000000001E-2</v>
      </c>
      <c r="W5" s="133">
        <v>4.8000000000000001E-2</v>
      </c>
      <c r="X5" t="s">
        <v>620</v>
      </c>
      <c r="Y5"/>
      <c r="Z5" t="s">
        <v>775</v>
      </c>
      <c r="AA5" t="s">
        <v>305</v>
      </c>
      <c r="AB5" s="134">
        <v>46022</v>
      </c>
      <c r="AC5" s="134"/>
      <c r="AD5" s="130">
        <v>2497722.52</v>
      </c>
      <c r="AE5" s="130">
        <v>1</v>
      </c>
      <c r="AF5" s="130">
        <v>130.01</v>
      </c>
      <c r="AG5" s="130">
        <v>3247.2890499999999</v>
      </c>
      <c r="AH5" s="132"/>
      <c r="AI5" s="132"/>
      <c r="AJ5"/>
      <c r="AK5" s="133">
        <v>0.237259</v>
      </c>
      <c r="AL5" s="133">
        <v>7.8399999999999997E-4</v>
      </c>
    </row>
    <row r="6" spans="1:38" x14ac:dyDescent="0.2">
      <c r="A6">
        <v>274</v>
      </c>
      <c r="B6">
        <v>274</v>
      </c>
      <c r="C6" t="s">
        <v>1884</v>
      </c>
      <c r="D6">
        <v>510687403</v>
      </c>
      <c r="E6" t="s">
        <v>429</v>
      </c>
      <c r="F6" t="s">
        <v>1885</v>
      </c>
      <c r="G6" t="s">
        <v>1886</v>
      </c>
      <c r="H6" t="s">
        <v>76</v>
      </c>
      <c r="I6" t="s">
        <v>228</v>
      </c>
      <c r="J6" t="s">
        <v>53</v>
      </c>
      <c r="K6" t="s">
        <v>53</v>
      </c>
      <c r="L6" t="s">
        <v>958</v>
      </c>
      <c r="M6" t="s">
        <v>635</v>
      </c>
      <c r="N6" t="s">
        <v>62</v>
      </c>
      <c r="O6" s="134">
        <v>42598</v>
      </c>
      <c r="P6" t="s">
        <v>1887</v>
      </c>
      <c r="Q6" t="s">
        <v>65</v>
      </c>
      <c r="R6" t="s">
        <v>57</v>
      </c>
      <c r="S6" t="s">
        <v>1221</v>
      </c>
      <c r="T6" s="130">
        <v>0.98</v>
      </c>
      <c r="U6" s="134">
        <v>46568</v>
      </c>
      <c r="V6" s="133">
        <v>4.3099999999999999E-2</v>
      </c>
      <c r="W6" s="133">
        <v>3.1E-2</v>
      </c>
      <c r="X6" t="s">
        <v>620</v>
      </c>
      <c r="Y6"/>
      <c r="Z6" t="s">
        <v>775</v>
      </c>
      <c r="AA6" t="s">
        <v>305</v>
      </c>
      <c r="AB6" s="134">
        <v>46022</v>
      </c>
      <c r="AC6" s="134"/>
      <c r="AD6" s="130">
        <v>448000.13</v>
      </c>
      <c r="AE6" s="130">
        <v>1</v>
      </c>
      <c r="AF6" s="130">
        <v>98.91</v>
      </c>
      <c r="AG6" s="130">
        <v>443.11693000000002</v>
      </c>
      <c r="AH6" s="132"/>
      <c r="AI6" s="132"/>
      <c r="AJ6"/>
      <c r="AK6" s="133">
        <v>3.2375000000000001E-2</v>
      </c>
      <c r="AL6" s="133">
        <v>1.07E-4</v>
      </c>
    </row>
    <row r="7" spans="1:38" x14ac:dyDescent="0.2">
      <c r="A7">
        <v>274</v>
      </c>
      <c r="B7">
        <v>274</v>
      </c>
      <c r="C7" t="s">
        <v>1516</v>
      </c>
      <c r="D7">
        <v>880326081</v>
      </c>
      <c r="E7" t="s">
        <v>429</v>
      </c>
      <c r="F7" t="s">
        <v>1888</v>
      </c>
      <c r="G7" t="s">
        <v>1889</v>
      </c>
      <c r="H7" t="s">
        <v>76</v>
      </c>
      <c r="I7" t="s">
        <v>228</v>
      </c>
      <c r="J7" t="s">
        <v>53</v>
      </c>
      <c r="K7" t="s">
        <v>53</v>
      </c>
      <c r="L7" t="s">
        <v>958</v>
      </c>
      <c r="M7" t="s">
        <v>631</v>
      </c>
      <c r="N7" t="s">
        <v>62</v>
      </c>
      <c r="O7" s="134">
        <v>44014</v>
      </c>
      <c r="P7" t="s">
        <v>1292</v>
      </c>
      <c r="Q7" t="s">
        <v>65</v>
      </c>
      <c r="R7" t="s">
        <v>57</v>
      </c>
      <c r="S7" t="s">
        <v>1221</v>
      </c>
      <c r="T7" s="130">
        <v>2.75</v>
      </c>
      <c r="U7" s="134">
        <v>48014</v>
      </c>
      <c r="V7" s="133">
        <v>4.7699999999999999E-2</v>
      </c>
      <c r="W7" s="133">
        <v>3.3500000000000002E-2</v>
      </c>
      <c r="X7" t="s">
        <v>620</v>
      </c>
      <c r="Y7"/>
      <c r="Z7" t="s">
        <v>775</v>
      </c>
      <c r="AA7" t="s">
        <v>305</v>
      </c>
      <c r="AB7" s="134">
        <v>46022</v>
      </c>
      <c r="AC7" s="134"/>
      <c r="AD7" s="130">
        <v>213678.6</v>
      </c>
      <c r="AE7" s="130">
        <v>1</v>
      </c>
      <c r="AF7" s="130">
        <v>96.5</v>
      </c>
      <c r="AG7" s="130">
        <v>206.19985</v>
      </c>
      <c r="AH7" s="132"/>
      <c r="AI7" s="132"/>
      <c r="AJ7"/>
      <c r="AK7" s="133">
        <v>1.5065E-2</v>
      </c>
      <c r="AL7" s="133">
        <v>4.8999999999999998E-5</v>
      </c>
    </row>
    <row r="8" spans="1:38" x14ac:dyDescent="0.2">
      <c r="A8">
        <v>274</v>
      </c>
      <c r="B8">
        <v>274</v>
      </c>
      <c r="C8" t="s">
        <v>1890</v>
      </c>
      <c r="D8">
        <v>500102868</v>
      </c>
      <c r="E8" t="s">
        <v>429</v>
      </c>
      <c r="F8" t="s">
        <v>1891</v>
      </c>
      <c r="G8" t="s">
        <v>1892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4">
        <v>44740</v>
      </c>
      <c r="P8" t="s">
        <v>1394</v>
      </c>
      <c r="Q8" t="s">
        <v>78</v>
      </c>
      <c r="R8" t="s">
        <v>57</v>
      </c>
      <c r="S8" t="s">
        <v>1221</v>
      </c>
      <c r="T8" s="130">
        <v>3.45</v>
      </c>
      <c r="U8" s="134">
        <v>48213</v>
      </c>
      <c r="V8" s="133">
        <v>2.5000000000000001E-2</v>
      </c>
      <c r="W8" s="133">
        <v>1.55E-2</v>
      </c>
      <c r="X8" t="s">
        <v>620</v>
      </c>
      <c r="Y8"/>
      <c r="Z8" t="s">
        <v>775</v>
      </c>
      <c r="AA8" t="s">
        <v>305</v>
      </c>
      <c r="AB8" s="134">
        <v>46022</v>
      </c>
      <c r="AC8" s="134"/>
      <c r="AD8" s="130">
        <v>697500</v>
      </c>
      <c r="AE8" s="130">
        <v>1</v>
      </c>
      <c r="AF8" s="130">
        <v>108.18</v>
      </c>
      <c r="AG8" s="130">
        <v>754.55550000000005</v>
      </c>
      <c r="AH8" s="132"/>
      <c r="AI8" s="132"/>
      <c r="AJ8"/>
      <c r="AK8" s="133">
        <v>5.5129999999999998E-2</v>
      </c>
      <c r="AL8" s="133">
        <v>1.8200000000000001E-4</v>
      </c>
    </row>
    <row r="9" spans="1:38" x14ac:dyDescent="0.2">
      <c r="A9">
        <v>274</v>
      </c>
      <c r="B9">
        <v>274</v>
      </c>
      <c r="C9" t="s">
        <v>1890</v>
      </c>
      <c r="D9">
        <v>500102868</v>
      </c>
      <c r="E9" t="s">
        <v>429</v>
      </c>
      <c r="F9" t="s">
        <v>1893</v>
      </c>
      <c r="G9" t="s">
        <v>1894</v>
      </c>
      <c r="H9" t="s">
        <v>76</v>
      </c>
      <c r="I9" t="s">
        <v>229</v>
      </c>
      <c r="J9" t="s">
        <v>53</v>
      </c>
      <c r="K9" t="s">
        <v>53</v>
      </c>
      <c r="L9" t="s">
        <v>958</v>
      </c>
      <c r="M9" t="s">
        <v>258</v>
      </c>
      <c r="N9" t="s">
        <v>62</v>
      </c>
      <c r="O9" s="134">
        <v>44740</v>
      </c>
      <c r="P9" t="s">
        <v>1394</v>
      </c>
      <c r="Q9" t="s">
        <v>78</v>
      </c>
      <c r="R9" t="s">
        <v>57</v>
      </c>
      <c r="S9" t="s">
        <v>1221</v>
      </c>
      <c r="T9" s="130">
        <v>6.37</v>
      </c>
      <c r="U9" s="134">
        <v>50040</v>
      </c>
      <c r="V9" s="133">
        <v>2.5999999999999999E-2</v>
      </c>
      <c r="W9" s="133">
        <v>1.7500000000000002E-2</v>
      </c>
      <c r="X9" t="s">
        <v>620</v>
      </c>
      <c r="Y9"/>
      <c r="Z9" t="s">
        <v>775</v>
      </c>
      <c r="AA9" t="s">
        <v>305</v>
      </c>
      <c r="AB9" s="134">
        <v>46022</v>
      </c>
      <c r="AC9" s="134"/>
      <c r="AD9" s="130">
        <v>673200</v>
      </c>
      <c r="AE9" s="130">
        <v>1</v>
      </c>
      <c r="AF9" s="130">
        <v>105.91</v>
      </c>
      <c r="AG9" s="130">
        <v>712.98612000000003</v>
      </c>
      <c r="AH9" s="132"/>
      <c r="AI9" s="132"/>
      <c r="AJ9"/>
      <c r="AK9" s="133">
        <v>5.2093E-2</v>
      </c>
      <c r="AL9" s="133">
        <v>1.7200000000000001E-4</v>
      </c>
    </row>
    <row r="10" spans="1:38" x14ac:dyDescent="0.2">
      <c r="A10">
        <v>274</v>
      </c>
      <c r="B10">
        <v>274</v>
      </c>
      <c r="C10" t="s">
        <v>1485</v>
      </c>
      <c r="D10">
        <v>520029083</v>
      </c>
      <c r="E10" t="s">
        <v>429</v>
      </c>
      <c r="F10" t="s">
        <v>1895</v>
      </c>
      <c r="G10">
        <v>6014211</v>
      </c>
      <c r="H10" t="s">
        <v>78</v>
      </c>
      <c r="I10" t="s">
        <v>229</v>
      </c>
      <c r="J10" t="s">
        <v>53</v>
      </c>
      <c r="K10" t="s">
        <v>53</v>
      </c>
      <c r="L10" t="s">
        <v>958</v>
      </c>
      <c r="M10" t="s">
        <v>256</v>
      </c>
      <c r="N10" t="s">
        <v>62</v>
      </c>
      <c r="O10" s="134">
        <v>40625</v>
      </c>
      <c r="P10" t="s">
        <v>1896</v>
      </c>
      <c r="Q10" t="s">
        <v>65</v>
      </c>
      <c r="R10" t="s">
        <v>57</v>
      </c>
      <c r="S10" t="s">
        <v>1221</v>
      </c>
      <c r="T10" s="130">
        <v>0.22</v>
      </c>
      <c r="U10" s="134">
        <v>46104</v>
      </c>
      <c r="V10" s="133">
        <v>2.5999999999999999E-2</v>
      </c>
      <c r="W10" s="133">
        <v>3.95E-2</v>
      </c>
      <c r="X10" t="s">
        <v>620</v>
      </c>
      <c r="Y10"/>
      <c r="Z10" t="s">
        <v>775</v>
      </c>
      <c r="AA10" t="s">
        <v>305</v>
      </c>
      <c r="AB10" s="134">
        <v>46022</v>
      </c>
      <c r="AC10" s="134"/>
      <c r="AD10" s="130">
        <v>100000</v>
      </c>
      <c r="AE10" s="130">
        <v>1</v>
      </c>
      <c r="AF10" s="130">
        <v>127.98</v>
      </c>
      <c r="AG10" s="130">
        <v>127.98</v>
      </c>
      <c r="AH10" s="132"/>
      <c r="AI10" s="132"/>
      <c r="AJ10"/>
      <c r="AK10" s="133">
        <v>9.3500000000000007E-3</v>
      </c>
      <c r="AL10" s="133">
        <v>3.0000000000000001E-5</v>
      </c>
    </row>
    <row r="11" spans="1:3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6"/>
      <c r="S11" s="14"/>
      <c r="T11" s="16"/>
      <c r="U11" s="16"/>
      <c r="V11" s="16"/>
      <c r="W11"/>
      <c r="X11" s="14"/>
      <c r="Y11" s="14"/>
      <c r="Z11" s="16"/>
      <c r="AA11" s="16"/>
      <c r="AC11" s="16"/>
      <c r="AD11" s="16"/>
      <c r="AE11" s="16"/>
      <c r="AF11" s="16"/>
      <c r="AG11" s="16"/>
      <c r="AH11" s="16"/>
      <c r="AI11" s="16"/>
      <c r="AJ11" s="16"/>
    </row>
    <row r="12" spans="1:3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6"/>
      <c r="S12" s="14"/>
      <c r="T12" s="16"/>
      <c r="U12" s="16"/>
      <c r="V12" s="16"/>
      <c r="W12"/>
      <c r="X12" s="14"/>
      <c r="Y12" s="14"/>
      <c r="Z12" s="16"/>
      <c r="AA12" s="16"/>
      <c r="AC12" s="16"/>
      <c r="AD12" s="16"/>
      <c r="AE12" s="16"/>
      <c r="AF12" s="16"/>
      <c r="AG12" s="16"/>
      <c r="AH12" s="16"/>
      <c r="AI12" s="16"/>
      <c r="AJ12" s="16"/>
    </row>
    <row r="13" spans="1:3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6"/>
      <c r="S13" s="14"/>
      <c r="T13" s="16"/>
      <c r="U13" s="16"/>
      <c r="V13" s="16"/>
      <c r="W13"/>
      <c r="X13" s="14"/>
      <c r="Y13" s="14"/>
      <c r="Z13" s="16"/>
      <c r="AA13" s="16"/>
      <c r="AC13" s="16"/>
      <c r="AD13" s="16"/>
      <c r="AE13" s="16"/>
      <c r="AF13" s="16"/>
      <c r="AG13" s="16"/>
      <c r="AH13" s="16"/>
      <c r="AI13" s="16"/>
      <c r="AJ13" s="16"/>
    </row>
    <row r="14" spans="1:3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/>
      <c r="X14" s="14"/>
      <c r="Y14" s="14"/>
      <c r="Z14" s="16"/>
      <c r="AA14" s="16"/>
      <c r="AC14" s="16"/>
      <c r="AD14" s="16"/>
      <c r="AE14" s="16"/>
      <c r="AF14" s="16"/>
      <c r="AG14" s="16"/>
      <c r="AH14" s="16"/>
      <c r="AI14" s="16"/>
      <c r="AJ14" s="16"/>
    </row>
    <row r="15" spans="1:3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/>
      <c r="X15" s="14"/>
      <c r="Y15" s="14"/>
      <c r="Z15" s="16"/>
      <c r="AA15" s="16"/>
      <c r="AC15" s="16"/>
      <c r="AD15" s="16"/>
      <c r="AE15" s="16"/>
      <c r="AF15" s="16"/>
      <c r="AG15" s="16"/>
      <c r="AH15" s="16"/>
      <c r="AI15" s="16"/>
      <c r="AJ15" s="16"/>
    </row>
    <row r="16" spans="1:3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/>
      <c r="X16" s="14"/>
      <c r="Y16" s="14"/>
      <c r="Z16" s="16"/>
      <c r="AA16" s="16"/>
      <c r="AC16" s="16"/>
      <c r="AD16" s="16"/>
      <c r="AE16" s="16"/>
      <c r="AF16" s="16"/>
      <c r="AG16" s="16"/>
      <c r="AH16" s="16"/>
      <c r="AI16" s="16"/>
      <c r="AJ16" s="16"/>
    </row>
    <row r="17" spans="1:36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/>
      <c r="X17" s="14"/>
      <c r="Y17" s="14"/>
      <c r="Z17" s="16"/>
      <c r="AA17" s="16"/>
      <c r="AC17" s="16"/>
      <c r="AD17" s="16"/>
      <c r="AE17" s="16"/>
      <c r="AF17" s="16"/>
      <c r="AG17" s="16"/>
      <c r="AH17" s="16"/>
      <c r="AI17" s="16"/>
      <c r="AJ17" s="16"/>
    </row>
    <row r="18" spans="1:36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/>
      <c r="X18" s="14"/>
      <c r="Y18" s="14"/>
      <c r="Z18" s="16"/>
      <c r="AA18" s="16"/>
      <c r="AC18" s="16"/>
      <c r="AD18" s="16"/>
      <c r="AE18" s="16"/>
      <c r="AF18" s="16"/>
      <c r="AG18" s="16"/>
      <c r="AH18" s="16"/>
      <c r="AI18" s="16"/>
      <c r="AJ18" s="16"/>
    </row>
    <row r="19" spans="1:36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/>
      <c r="X19" s="14"/>
      <c r="Y19" s="14"/>
      <c r="Z19" s="16"/>
      <c r="AA19" s="16"/>
      <c r="AC19" s="16"/>
      <c r="AD19" s="16"/>
      <c r="AE19" s="16"/>
      <c r="AF19" s="16"/>
      <c r="AG19" s="16"/>
      <c r="AH19" s="16"/>
      <c r="AI19" s="16"/>
      <c r="AJ19" s="16"/>
    </row>
    <row r="20" spans="1:36" x14ac:dyDescent="0.2">
      <c r="E20" s="14"/>
      <c r="H20" s="16"/>
      <c r="I20" s="16"/>
      <c r="J20" s="14"/>
      <c r="K20" s="14"/>
      <c r="L20" s="16"/>
      <c r="M20" s="16"/>
      <c r="N20" s="16"/>
      <c r="Q20" s="16"/>
      <c r="R20" s="16"/>
      <c r="W20"/>
      <c r="X20" s="14"/>
      <c r="Y20" s="14"/>
      <c r="AA20" s="16"/>
      <c r="AJ20" s="16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35" t="s">
        <v>12</v>
      </c>
      <c r="P1" s="15" t="s">
        <v>396</v>
      </c>
      <c r="Q1" s="15" t="s">
        <v>917</v>
      </c>
      <c r="R1" s="15" t="s">
        <v>372</v>
      </c>
      <c r="S1" s="135" t="s">
        <v>16</v>
      </c>
      <c r="T1" s="135" t="s">
        <v>1147</v>
      </c>
      <c r="U1" s="129" t="s">
        <v>773</v>
      </c>
      <c r="V1" s="129" t="s">
        <v>11</v>
      </c>
      <c r="W1" s="129" t="s">
        <v>15</v>
      </c>
      <c r="X1" s="129" t="s">
        <v>1153</v>
      </c>
      <c r="Y1" s="136" t="s">
        <v>19</v>
      </c>
      <c r="Z1" s="136" t="s">
        <v>30</v>
      </c>
    </row>
    <row r="2" spans="1:26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 s="134"/>
      <c r="P2"/>
      <c r="Q2"/>
      <c r="R2"/>
      <c r="S2" s="134"/>
      <c r="T2" s="134"/>
      <c r="U2" s="130"/>
      <c r="V2" s="130"/>
      <c r="W2" s="130"/>
      <c r="X2" s="130"/>
      <c r="Y2" s="133"/>
      <c r="Z2" s="133"/>
    </row>
    <row r="3" spans="1:26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4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P4" s="14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4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4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4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4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4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4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4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4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4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4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4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4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4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4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4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E20" s="14"/>
      <c r="H20" s="4"/>
      <c r="I20" s="16"/>
      <c r="J20" s="14"/>
      <c r="K20" s="14"/>
      <c r="L20" s="16"/>
      <c r="M20" s="16"/>
      <c r="N20" s="16"/>
      <c r="R20" s="16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11.125" style="2" bestFit="1" customWidth="1"/>
    <col min="6" max="6" width="14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274</v>
      </c>
      <c r="B2">
        <v>274</v>
      </c>
      <c r="C2" t="s">
        <v>1897</v>
      </c>
      <c r="D2"/>
      <c r="E2"/>
      <c r="F2" t="s">
        <v>1898</v>
      </c>
      <c r="G2">
        <v>6254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4">
        <v>40542</v>
      </c>
      <c r="Q2" t="s">
        <v>1221</v>
      </c>
      <c r="R2" t="s">
        <v>303</v>
      </c>
      <c r="S2" t="s">
        <v>305</v>
      </c>
      <c r="T2" s="134">
        <v>46022</v>
      </c>
      <c r="U2" s="130">
        <v>1</v>
      </c>
      <c r="V2" s="132">
        <v>2376.4807900000001</v>
      </c>
      <c r="W2" s="130">
        <v>2376.4807900000001</v>
      </c>
      <c r="X2" s="133">
        <v>1.7E-5</v>
      </c>
      <c r="Y2" s="133">
        <v>1</v>
      </c>
      <c r="Z2" s="133">
        <v>5.7399999999999997E-4</v>
      </c>
    </row>
    <row r="3" spans="1:26" x14ac:dyDescent="0.2">
      <c r="A3" s="16"/>
      <c r="B3" s="16"/>
      <c r="C3" s="16"/>
      <c r="D3"/>
      <c r="E3" s="16"/>
      <c r="F3" s="16"/>
      <c r="G3" s="16"/>
      <c r="H3" s="16"/>
      <c r="J3" s="16"/>
      <c r="K3" s="14"/>
      <c r="L3" s="16"/>
      <c r="M3" s="16"/>
      <c r="N3" s="14"/>
      <c r="O3" s="16"/>
      <c r="Q3" s="14"/>
      <c r="R3" s="16"/>
      <c r="S3" s="16"/>
      <c r="T3" s="20"/>
      <c r="U3" s="16"/>
      <c r="V3" s="16"/>
      <c r="W3" s="16"/>
      <c r="X3" s="20"/>
      <c r="Y3" s="16"/>
      <c r="Z3" s="16"/>
    </row>
    <row r="4" spans="1:26" x14ac:dyDescent="0.2">
      <c r="A4" s="16"/>
      <c r="B4" s="16"/>
      <c r="C4" s="16"/>
      <c r="D4"/>
      <c r="E4" s="16"/>
      <c r="F4" s="16"/>
      <c r="G4" s="16"/>
      <c r="H4" s="16"/>
      <c r="J4" s="16"/>
      <c r="K4" s="14"/>
      <c r="L4" s="16"/>
      <c r="M4" s="16"/>
      <c r="N4" s="14"/>
      <c r="O4" s="16"/>
      <c r="Q4" s="14"/>
      <c r="R4" s="16"/>
      <c r="S4" s="16"/>
      <c r="T4" s="16"/>
      <c r="U4" s="16"/>
      <c r="V4" s="16"/>
      <c r="W4" s="16"/>
      <c r="X4" s="20"/>
      <c r="Y4" s="16"/>
      <c r="Z4" s="16"/>
    </row>
    <row r="5" spans="1:26" x14ac:dyDescent="0.2">
      <c r="A5" s="16"/>
      <c r="B5" s="16"/>
      <c r="C5" s="16"/>
      <c r="D5"/>
      <c r="E5" s="16"/>
      <c r="F5" s="16"/>
      <c r="G5" s="16"/>
      <c r="H5" s="16"/>
      <c r="J5" s="16"/>
      <c r="K5" s="14"/>
      <c r="L5" s="16"/>
      <c r="M5" s="16"/>
      <c r="N5" s="14"/>
      <c r="O5" s="16"/>
      <c r="Q5" s="14"/>
      <c r="R5" s="16"/>
      <c r="S5" s="16"/>
      <c r="T5" s="16"/>
      <c r="U5" s="16"/>
      <c r="V5" s="16"/>
      <c r="W5" s="16"/>
      <c r="X5" s="20"/>
      <c r="Y5" s="16"/>
      <c r="Z5" s="16"/>
    </row>
    <row r="6" spans="1:26" x14ac:dyDescent="0.2">
      <c r="A6" s="16"/>
      <c r="B6" s="16"/>
      <c r="C6" s="16"/>
      <c r="D6"/>
      <c r="E6" s="16"/>
      <c r="F6" s="16"/>
      <c r="G6" s="16"/>
      <c r="H6" s="16"/>
      <c r="J6" s="16"/>
      <c r="K6" s="14"/>
      <c r="L6" s="16"/>
      <c r="M6" s="16"/>
      <c r="N6" s="14"/>
      <c r="O6" s="16"/>
      <c r="Q6" s="14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/>
      <c r="B7" s="16"/>
      <c r="C7" s="16"/>
      <c r="D7"/>
      <c r="E7" s="16"/>
      <c r="F7" s="16"/>
      <c r="G7" s="16"/>
      <c r="H7" s="16"/>
      <c r="J7" s="16"/>
      <c r="K7" s="14"/>
      <c r="L7" s="16"/>
      <c r="M7" s="16"/>
      <c r="N7" s="14"/>
      <c r="O7" s="16"/>
      <c r="Q7" s="14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/>
      <c r="B8" s="16"/>
      <c r="C8" s="16"/>
      <c r="D8"/>
      <c r="E8" s="16"/>
      <c r="F8" s="16"/>
      <c r="G8" s="16"/>
      <c r="H8" s="16"/>
      <c r="J8" s="16"/>
      <c r="K8" s="14"/>
      <c r="L8" s="16"/>
      <c r="M8" s="16"/>
      <c r="N8" s="14"/>
      <c r="O8" s="16"/>
      <c r="Q8" s="14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/>
      <c r="B9" s="16"/>
      <c r="C9" s="16"/>
      <c r="D9"/>
      <c r="E9" s="16"/>
      <c r="F9" s="16"/>
      <c r="G9" s="16"/>
      <c r="H9" s="16"/>
      <c r="J9" s="16"/>
      <c r="K9" s="14"/>
      <c r="L9" s="16"/>
      <c r="M9" s="16"/>
      <c r="N9" s="14"/>
      <c r="O9" s="16"/>
      <c r="Q9" s="14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/>
      <c r="B10" s="16"/>
      <c r="C10" s="16"/>
      <c r="D10"/>
      <c r="E10" s="16"/>
      <c r="F10" s="16"/>
      <c r="G10" s="16"/>
      <c r="H10" s="16"/>
      <c r="J10" s="16"/>
      <c r="K10" s="14"/>
      <c r="L10" s="16"/>
      <c r="M10" s="16"/>
      <c r="N10" s="14"/>
      <c r="O10" s="16"/>
      <c r="Q10" s="14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/>
      <c r="B11" s="16"/>
      <c r="C11" s="16"/>
      <c r="D11"/>
      <c r="E11" s="16"/>
      <c r="F11" s="16"/>
      <c r="G11" s="16"/>
      <c r="H11" s="16"/>
      <c r="J11" s="16"/>
      <c r="K11" s="14"/>
      <c r="L11" s="16"/>
      <c r="M11" s="16"/>
      <c r="N11" s="14"/>
      <c r="O11" s="16"/>
      <c r="Q11" s="14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/>
      <c r="E12" s="16"/>
      <c r="F12" s="16"/>
      <c r="G12" s="16"/>
      <c r="H12" s="16"/>
      <c r="J12" s="16"/>
      <c r="K12" s="14"/>
      <c r="L12" s="16"/>
      <c r="M12" s="16"/>
      <c r="N12" s="14"/>
      <c r="O12" s="16"/>
      <c r="Q12" s="14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/>
      <c r="E13" s="16"/>
      <c r="F13" s="16"/>
      <c r="G13" s="16"/>
      <c r="H13" s="16"/>
      <c r="J13" s="16"/>
      <c r="K13" s="14"/>
      <c r="L13" s="16"/>
      <c r="M13" s="16"/>
      <c r="N13" s="14"/>
      <c r="O13" s="16"/>
      <c r="Q13" s="14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/>
      <c r="E14" s="16"/>
      <c r="F14" s="16"/>
      <c r="G14" s="16"/>
      <c r="H14" s="16"/>
      <c r="J14" s="16"/>
      <c r="K14" s="14"/>
      <c r="L14" s="16"/>
      <c r="M14" s="16"/>
      <c r="N14" s="14"/>
      <c r="O14" s="16"/>
      <c r="Q14" s="14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/>
      <c r="E15" s="16"/>
      <c r="F15" s="16"/>
      <c r="G15" s="16"/>
      <c r="H15" s="16"/>
      <c r="J15" s="16"/>
      <c r="K15" s="14"/>
      <c r="L15" s="16"/>
      <c r="M15" s="16"/>
      <c r="N15" s="14"/>
      <c r="O15" s="16"/>
      <c r="Q15" s="14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/>
      <c r="E16" s="16"/>
      <c r="F16" s="16"/>
      <c r="G16" s="16"/>
      <c r="H16" s="16"/>
      <c r="J16" s="16"/>
      <c r="K16" s="14"/>
      <c r="L16" s="16"/>
      <c r="M16" s="16"/>
      <c r="N16" s="14"/>
      <c r="O16" s="16"/>
      <c r="Q16" s="14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/>
      <c r="E17" s="16"/>
      <c r="F17" s="16"/>
      <c r="G17" s="16"/>
      <c r="H17" s="16"/>
      <c r="J17" s="16"/>
      <c r="K17" s="14"/>
      <c r="L17" s="16"/>
      <c r="M17" s="16"/>
      <c r="N17" s="14"/>
      <c r="O17" s="16"/>
      <c r="Q17" s="14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/>
      <c r="E18" s="16"/>
      <c r="F18" s="16"/>
      <c r="G18" s="16"/>
      <c r="H18" s="16"/>
      <c r="J18" s="16"/>
      <c r="K18" s="14"/>
      <c r="L18" s="16"/>
      <c r="M18" s="16"/>
      <c r="N18" s="14"/>
      <c r="O18" s="16"/>
      <c r="Q18" s="14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/>
      <c r="B19" s="16"/>
      <c r="C19" s="16"/>
      <c r="D19"/>
      <c r="E19" s="16"/>
      <c r="F19" s="16"/>
      <c r="G19" s="16"/>
      <c r="H19" s="16"/>
      <c r="J19" s="16"/>
      <c r="K19" s="14"/>
      <c r="L19" s="16"/>
      <c r="M19" s="16"/>
      <c r="N19" s="14"/>
      <c r="O19" s="16"/>
      <c r="Q19" s="14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D20"/>
      <c r="E20" s="16"/>
      <c r="H20" s="16"/>
      <c r="J20" s="16"/>
      <c r="K20" s="14"/>
      <c r="L20" s="16"/>
      <c r="M20" s="16"/>
      <c r="N20" s="14"/>
      <c r="O20" s="16"/>
      <c r="R20" s="16"/>
      <c r="S20" s="1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35" t="s">
        <v>666</v>
      </c>
      <c r="O1" s="15" t="s">
        <v>606</v>
      </c>
      <c r="P1" s="135" t="s">
        <v>12</v>
      </c>
      <c r="Q1" s="15" t="s">
        <v>396</v>
      </c>
      <c r="R1" s="15" t="s">
        <v>917</v>
      </c>
      <c r="S1" s="15" t="s">
        <v>372</v>
      </c>
      <c r="T1" s="135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29" t="s">
        <v>1153</v>
      </c>
      <c r="AA1" s="136" t="s">
        <v>19</v>
      </c>
      <c r="AB1" s="136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4"/>
      <c r="O2"/>
      <c r="P2" s="134"/>
      <c r="Q2"/>
      <c r="R2"/>
      <c r="S2"/>
      <c r="T2" s="134"/>
      <c r="U2" s="130"/>
      <c r="V2" s="130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5" t="s">
        <v>666</v>
      </c>
      <c r="O1" s="15" t="s">
        <v>606</v>
      </c>
      <c r="P1" s="135" t="s">
        <v>12</v>
      </c>
      <c r="Q1" s="15" t="s">
        <v>396</v>
      </c>
      <c r="R1" s="15" t="s">
        <v>917</v>
      </c>
      <c r="S1" s="15" t="s">
        <v>372</v>
      </c>
      <c r="T1" s="135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6" t="s">
        <v>19</v>
      </c>
      <c r="AB1" s="136" t="s">
        <v>30</v>
      </c>
    </row>
    <row r="2" spans="1:28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4"/>
      <c r="O2"/>
      <c r="P2" s="134"/>
      <c r="Q2"/>
      <c r="R2"/>
      <c r="S2"/>
      <c r="T2" s="134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2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3.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4.12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875" style="7" bestFit="1" customWidth="1"/>
    <col min="36" max="36" width="11" style="7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274</v>
      </c>
      <c r="B2">
        <v>274</v>
      </c>
      <c r="C2" t="s">
        <v>351</v>
      </c>
      <c r="D2">
        <v>31011190</v>
      </c>
      <c r="E2" t="s">
        <v>1221</v>
      </c>
      <c r="F2" s="130">
        <v>1</v>
      </c>
      <c r="G2" s="130">
        <v>900000</v>
      </c>
      <c r="H2" s="130">
        <v>1130.67911</v>
      </c>
      <c r="I2" s="133">
        <v>3.5121059926269071E-2</v>
      </c>
      <c r="J2" s="133">
        <v>2.7322255302248576E-4</v>
      </c>
      <c r="K2">
        <v>310111900</v>
      </c>
      <c r="L2" t="s">
        <v>1221</v>
      </c>
      <c r="M2" s="130">
        <v>1</v>
      </c>
      <c r="N2" s="130">
        <v>-900000</v>
      </c>
      <c r="O2" s="130">
        <v>-1165.635</v>
      </c>
      <c r="P2" s="133">
        <v>-2.8166945667932718E-4</v>
      </c>
      <c r="Q2" s="133">
        <v>4.2119950646006689E-2</v>
      </c>
      <c r="R2" s="130">
        <v>-34.955889999999997</v>
      </c>
      <c r="S2" t="s">
        <v>53</v>
      </c>
      <c r="T2" t="s">
        <v>53</v>
      </c>
      <c r="U2" t="s">
        <v>79</v>
      </c>
      <c r="V2" t="s">
        <v>102</v>
      </c>
      <c r="W2" t="s">
        <v>688</v>
      </c>
      <c r="X2" t="s">
        <v>1909</v>
      </c>
      <c r="Y2" t="s">
        <v>62</v>
      </c>
      <c r="Z2" s="134">
        <v>44648</v>
      </c>
      <c r="AA2" s="134">
        <v>48652</v>
      </c>
      <c r="AB2" t="s">
        <v>362</v>
      </c>
      <c r="AC2" t="s">
        <v>370</v>
      </c>
      <c r="AD2" t="s">
        <v>339</v>
      </c>
      <c r="AE2" t="s">
        <v>341</v>
      </c>
      <c r="AF2" t="s">
        <v>362</v>
      </c>
      <c r="AG2" t="s">
        <v>362</v>
      </c>
      <c r="AH2" s="133"/>
      <c r="AI2" s="130">
        <v>1</v>
      </c>
      <c r="AJ2" s="130"/>
      <c r="AK2"/>
      <c r="AL2" s="133"/>
      <c r="AM2" t="s">
        <v>1899</v>
      </c>
      <c r="AN2" s="133">
        <v>-3.8759070228242591E-2</v>
      </c>
      <c r="AO2" s="133">
        <v>-8.4469036568413994E-6</v>
      </c>
    </row>
    <row r="3" spans="1:41" x14ac:dyDescent="0.2">
      <c r="A3">
        <v>274</v>
      </c>
      <c r="B3">
        <v>274</v>
      </c>
      <c r="C3" t="s">
        <v>351</v>
      </c>
      <c r="D3">
        <v>31011170</v>
      </c>
      <c r="E3" t="s">
        <v>1221</v>
      </c>
      <c r="F3" s="130">
        <v>1</v>
      </c>
      <c r="G3" s="130">
        <v>2500000</v>
      </c>
      <c r="H3" s="130">
        <v>3257.4793281906</v>
      </c>
      <c r="I3" s="133">
        <v>0.10118355038324249</v>
      </c>
      <c r="J3" s="133">
        <v>7.871524383838731E-4</v>
      </c>
      <c r="K3">
        <v>310111700</v>
      </c>
      <c r="L3" t="s">
        <v>1221</v>
      </c>
      <c r="M3" s="130">
        <v>1</v>
      </c>
      <c r="N3" s="130">
        <v>-2500000</v>
      </c>
      <c r="O3" s="130">
        <v>-3156.7688381906</v>
      </c>
      <c r="P3" s="133">
        <v>-7.6281628770187679E-4</v>
      </c>
      <c r="Q3" s="133">
        <v>0.11406911054098405</v>
      </c>
      <c r="R3" s="130">
        <v>100.71048999999999</v>
      </c>
      <c r="S3" t="s">
        <v>53</v>
      </c>
      <c r="T3" t="s">
        <v>53</v>
      </c>
      <c r="U3" t="s">
        <v>79</v>
      </c>
      <c r="V3" t="s">
        <v>102</v>
      </c>
      <c r="W3" t="s">
        <v>688</v>
      </c>
      <c r="X3" t="s">
        <v>1909</v>
      </c>
      <c r="Y3" t="s">
        <v>62</v>
      </c>
      <c r="Z3" s="134">
        <v>45152</v>
      </c>
      <c r="AA3" s="134">
        <v>46425</v>
      </c>
      <c r="AB3" t="s">
        <v>362</v>
      </c>
      <c r="AC3" t="s">
        <v>370</v>
      </c>
      <c r="AD3" t="s">
        <v>339</v>
      </c>
      <c r="AE3" t="s">
        <v>341</v>
      </c>
      <c r="AF3" t="s">
        <v>362</v>
      </c>
      <c r="AG3" t="s">
        <v>362</v>
      </c>
      <c r="AH3" s="133"/>
      <c r="AI3" s="130">
        <v>1</v>
      </c>
      <c r="AJ3" s="130"/>
      <c r="AK3"/>
      <c r="AL3" s="133"/>
      <c r="AM3" t="s">
        <v>1902</v>
      </c>
      <c r="AN3" s="133">
        <v>0.11166773195105956</v>
      </c>
      <c r="AO3" s="133">
        <v>2.4336150681996346E-5</v>
      </c>
    </row>
    <row r="4" spans="1:41" x14ac:dyDescent="0.2">
      <c r="A4">
        <v>274</v>
      </c>
      <c r="B4">
        <v>274</v>
      </c>
      <c r="C4" t="s">
        <v>400</v>
      </c>
      <c r="D4">
        <v>31011198</v>
      </c>
      <c r="E4" t="s">
        <v>1218</v>
      </c>
      <c r="F4" s="130">
        <v>3.19</v>
      </c>
      <c r="G4" s="130">
        <v>347</v>
      </c>
      <c r="H4" s="130">
        <v>14.15274</v>
      </c>
      <c r="I4" s="133">
        <v>4.3961122591263345E-4</v>
      </c>
      <c r="J4" s="133">
        <v>1.0909588962559343E-5</v>
      </c>
      <c r="K4">
        <v>31011199</v>
      </c>
      <c r="L4" t="s">
        <v>1218</v>
      </c>
      <c r="M4" s="130">
        <v>3.19</v>
      </c>
      <c r="N4" s="130">
        <v>-347</v>
      </c>
      <c r="O4" s="130">
        <v>-34.865470000000002</v>
      </c>
      <c r="P4" s="133">
        <v>-2.6875922732025312E-5</v>
      </c>
      <c r="Q4" s="133">
        <v>1.2598556800798078E-3</v>
      </c>
      <c r="R4" s="130">
        <v>-66.073608699999994</v>
      </c>
      <c r="S4" t="s">
        <v>53</v>
      </c>
      <c r="T4" t="s">
        <v>316</v>
      </c>
      <c r="U4" t="s">
        <v>97</v>
      </c>
      <c r="V4" t="s">
        <v>102</v>
      </c>
      <c r="W4" t="s">
        <v>688</v>
      </c>
      <c r="X4" t="s">
        <v>1900</v>
      </c>
      <c r="Y4" t="s">
        <v>62</v>
      </c>
      <c r="Z4" s="134">
        <v>45958</v>
      </c>
      <c r="AA4" s="134">
        <v>46322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14164.966</v>
      </c>
      <c r="AJ4" s="130"/>
      <c r="AK4"/>
      <c r="AL4" s="133"/>
      <c r="AM4" t="s">
        <v>1901</v>
      </c>
      <c r="AN4" s="133">
        <v>-7.3262378381346346E-2</v>
      </c>
      <c r="AO4" s="133">
        <v>-1.5966333769465966E-5</v>
      </c>
    </row>
    <row r="5" spans="1:41" x14ac:dyDescent="0.2">
      <c r="A5">
        <v>274</v>
      </c>
      <c r="B5">
        <v>274</v>
      </c>
      <c r="C5" t="s">
        <v>351</v>
      </c>
      <c r="D5">
        <v>31011130</v>
      </c>
      <c r="E5" t="s">
        <v>1221</v>
      </c>
      <c r="F5" s="130">
        <v>1</v>
      </c>
      <c r="G5" s="130">
        <v>1900000</v>
      </c>
      <c r="H5" s="130">
        <v>2435.26917</v>
      </c>
      <c r="I5" s="133">
        <v>7.5644127232673067E-2</v>
      </c>
      <c r="J5" s="133">
        <v>5.8846975595432192E-4</v>
      </c>
      <c r="K5">
        <v>310111300</v>
      </c>
      <c r="L5" t="s">
        <v>1221</v>
      </c>
      <c r="M5" s="130">
        <v>1</v>
      </c>
      <c r="N5" s="130">
        <v>-1900000</v>
      </c>
      <c r="O5" s="130">
        <v>-2386.2840000000001</v>
      </c>
      <c r="P5" s="133">
        <v>-5.7663275190138555E-4</v>
      </c>
      <c r="Q5" s="133">
        <v>8.6227819435205202E-2</v>
      </c>
      <c r="R5" s="130">
        <v>48.985169999999997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1909</v>
      </c>
      <c r="Y5" t="s">
        <v>62</v>
      </c>
      <c r="Z5" s="134">
        <v>44718</v>
      </c>
      <c r="AA5" s="134">
        <v>48219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1901</v>
      </c>
      <c r="AN5" s="133">
        <v>5.4314727623081614E-2</v>
      </c>
      <c r="AO5" s="133">
        <v>1.1837004052936362E-5</v>
      </c>
    </row>
    <row r="6" spans="1:41" x14ac:dyDescent="0.2">
      <c r="A6">
        <v>274</v>
      </c>
      <c r="B6">
        <v>274</v>
      </c>
      <c r="C6" t="s">
        <v>351</v>
      </c>
      <c r="D6">
        <v>31011197</v>
      </c>
      <c r="E6" t="s">
        <v>1221</v>
      </c>
      <c r="F6" s="130">
        <v>1</v>
      </c>
      <c r="G6" s="130">
        <v>1200000</v>
      </c>
      <c r="H6" s="130">
        <v>-1476.957191904218</v>
      </c>
      <c r="I6" s="133">
        <v>-4.587712073799801E-2</v>
      </c>
      <c r="J6" s="133">
        <v>-3.5689879746428842E-4</v>
      </c>
      <c r="K6">
        <v>310111970</v>
      </c>
      <c r="L6" t="s">
        <v>1221</v>
      </c>
      <c r="M6" s="130">
        <v>1</v>
      </c>
      <c r="N6" s="130">
        <v>-1200000</v>
      </c>
      <c r="O6" s="130">
        <v>1491.7299319042181</v>
      </c>
      <c r="P6" s="133">
        <v>3.604685509887322E-4</v>
      </c>
      <c r="Q6" s="133">
        <v>-5.3903315453788347E-2</v>
      </c>
      <c r="R6" s="130">
        <v>14.772740000000001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1909</v>
      </c>
      <c r="Y6" t="s">
        <v>62</v>
      </c>
      <c r="Z6" s="134">
        <v>45768</v>
      </c>
      <c r="AA6" s="134">
        <v>49420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1901</v>
      </c>
      <c r="AN6" s="133">
        <v>1.6380005404627619E-2</v>
      </c>
      <c r="AO6" s="133">
        <v>3.5697535244437272E-6</v>
      </c>
    </row>
    <row r="7" spans="1:41" x14ac:dyDescent="0.2">
      <c r="A7">
        <v>274</v>
      </c>
      <c r="B7">
        <v>274</v>
      </c>
      <c r="C7" t="s">
        <v>351</v>
      </c>
      <c r="D7">
        <v>31011191</v>
      </c>
      <c r="E7" t="s">
        <v>1221</v>
      </c>
      <c r="F7" s="130">
        <v>1</v>
      </c>
      <c r="G7" s="130">
        <v>1600000</v>
      </c>
      <c r="H7" s="130">
        <v>2002.1116999999999</v>
      </c>
      <c r="I7" s="133">
        <v>6.2189426135930335E-2</v>
      </c>
      <c r="J7" s="133">
        <v>4.8379957255086201E-4</v>
      </c>
      <c r="K7">
        <v>310111910</v>
      </c>
      <c r="L7" t="s">
        <v>1221</v>
      </c>
      <c r="M7" s="130">
        <v>1</v>
      </c>
      <c r="N7" s="130">
        <v>-1600000</v>
      </c>
      <c r="O7" s="130">
        <v>-2054.1379999999999</v>
      </c>
      <c r="P7" s="133">
        <v>-4.9637144938540769E-4</v>
      </c>
      <c r="Q7" s="133">
        <v>7.4225800683822021E-2</v>
      </c>
      <c r="R7" s="130">
        <v>-52.026299999999999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1909</v>
      </c>
      <c r="Y7" t="s">
        <v>62</v>
      </c>
      <c r="Z7" s="134">
        <v>44718</v>
      </c>
      <c r="AA7" s="134">
        <v>48715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1899</v>
      </c>
      <c r="AN7" s="133">
        <v>-5.7686730774573834E-2</v>
      </c>
      <c r="AO7" s="133">
        <v>-1.2571876834545701E-5</v>
      </c>
    </row>
    <row r="8" spans="1:41" x14ac:dyDescent="0.2">
      <c r="A8">
        <v>274</v>
      </c>
      <c r="B8">
        <v>274</v>
      </c>
      <c r="C8" t="s">
        <v>353</v>
      </c>
      <c r="D8">
        <v>76021544</v>
      </c>
      <c r="E8" t="s">
        <v>1218</v>
      </c>
      <c r="F8" s="130">
        <v>3.19</v>
      </c>
      <c r="G8" s="130">
        <v>-150000</v>
      </c>
      <c r="H8" s="130">
        <v>-150</v>
      </c>
      <c r="I8" s="133">
        <v>-4.6592874515390672E-3</v>
      </c>
      <c r="J8" s="133">
        <v>-1.1562696300390606E-4</v>
      </c>
      <c r="K8">
        <v>760215440</v>
      </c>
      <c r="L8" t="s">
        <v>1221</v>
      </c>
      <c r="M8" s="130">
        <v>1</v>
      </c>
      <c r="N8" s="130">
        <v>150000</v>
      </c>
      <c r="O8" s="130">
        <v>501.93722000000002</v>
      </c>
      <c r="P8" s="133">
        <v>1.2129044172878467E-4</v>
      </c>
      <c r="Q8" s="133">
        <v>-1.8137385145258852E-2</v>
      </c>
      <c r="R8" s="130">
        <v>23.43722</v>
      </c>
      <c r="S8" t="s">
        <v>53</v>
      </c>
      <c r="T8" t="s">
        <v>53</v>
      </c>
      <c r="U8" t="s">
        <v>72</v>
      </c>
      <c r="V8" t="s">
        <v>102</v>
      </c>
      <c r="W8" t="s">
        <v>691</v>
      </c>
      <c r="X8" t="s">
        <v>1906</v>
      </c>
      <c r="Y8" t="s">
        <v>62</v>
      </c>
      <c r="Z8" s="134">
        <v>45918</v>
      </c>
      <c r="AA8" s="134">
        <v>46099</v>
      </c>
      <c r="AB8" t="s">
        <v>362</v>
      </c>
      <c r="AC8" t="s">
        <v>370</v>
      </c>
      <c r="AD8" t="s">
        <v>340</v>
      </c>
      <c r="AE8" t="s">
        <v>341</v>
      </c>
      <c r="AF8" t="s">
        <v>362</v>
      </c>
      <c r="AG8" t="s">
        <v>362</v>
      </c>
      <c r="AH8" s="133"/>
      <c r="AI8" s="130">
        <v>3.343</v>
      </c>
      <c r="AJ8" s="130"/>
      <c r="AK8"/>
      <c r="AL8" s="133"/>
      <c r="AM8" t="s">
        <v>1903</v>
      </c>
      <c r="AN8" s="133">
        <v>2.5987175721595757E-2</v>
      </c>
      <c r="AO8" s="133">
        <v>5.6634787248785946E-6</v>
      </c>
    </row>
    <row r="9" spans="1:41" x14ac:dyDescent="0.2">
      <c r="A9">
        <v>274</v>
      </c>
      <c r="B9">
        <v>274</v>
      </c>
      <c r="C9" t="s">
        <v>351</v>
      </c>
      <c r="D9">
        <v>31010411</v>
      </c>
      <c r="E9" t="s">
        <v>1221</v>
      </c>
      <c r="F9" s="130">
        <v>1</v>
      </c>
      <c r="G9" s="130">
        <v>1082000</v>
      </c>
      <c r="H9" s="130">
        <v>1404.2281499999999</v>
      </c>
      <c r="I9" s="133">
        <v>4.3618017322619461E-2</v>
      </c>
      <c r="J9" s="133">
        <v>3.393242138957021E-4</v>
      </c>
      <c r="K9">
        <v>310104110</v>
      </c>
      <c r="L9" t="s">
        <v>1221</v>
      </c>
      <c r="M9" s="130">
        <v>1</v>
      </c>
      <c r="N9" s="130">
        <v>-1082000</v>
      </c>
      <c r="O9" s="130">
        <v>-1376.9649999999999</v>
      </c>
      <c r="P9" s="133">
        <v>-3.3273621967120899E-4</v>
      </c>
      <c r="Q9" s="133">
        <v>4.9756311230598427E-2</v>
      </c>
      <c r="R9" s="130">
        <v>27.26315</v>
      </c>
      <c r="S9" t="s">
        <v>53</v>
      </c>
      <c r="T9" t="s">
        <v>53</v>
      </c>
      <c r="U9" t="s">
        <v>79</v>
      </c>
      <c r="V9" t="s">
        <v>102</v>
      </c>
      <c r="W9" t="s">
        <v>688</v>
      </c>
      <c r="X9" t="s">
        <v>1909</v>
      </c>
      <c r="Y9" t="s">
        <v>62</v>
      </c>
      <c r="Z9" s="134">
        <v>45628</v>
      </c>
      <c r="AA9" s="134">
        <v>49023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1</v>
      </c>
      <c r="AJ9" s="130"/>
      <c r="AK9"/>
      <c r="AL9" s="133"/>
      <c r="AM9" t="s">
        <v>1901</v>
      </c>
      <c r="AN9" s="133">
        <v>3.0229364650509891E-2</v>
      </c>
      <c r="AO9" s="133">
        <v>6.5879942244930863E-6</v>
      </c>
    </row>
    <row r="10" spans="1:41" x14ac:dyDescent="0.2">
      <c r="A10">
        <v>274</v>
      </c>
      <c r="B10">
        <v>274</v>
      </c>
      <c r="C10" t="s">
        <v>351</v>
      </c>
      <c r="D10">
        <v>31010401</v>
      </c>
      <c r="E10" t="s">
        <v>1221</v>
      </c>
      <c r="F10" s="130">
        <v>1</v>
      </c>
      <c r="G10" s="130">
        <v>3250000</v>
      </c>
      <c r="H10" s="130">
        <v>3939.42985</v>
      </c>
      <c r="I10" s="133">
        <v>0.1223662404421562</v>
      </c>
      <c r="J10" s="133">
        <v>9.5194213066339232E-4</v>
      </c>
      <c r="K10">
        <v>310104010</v>
      </c>
      <c r="L10" t="s">
        <v>1221</v>
      </c>
      <c r="M10" s="130">
        <v>1</v>
      </c>
      <c r="N10" s="130">
        <v>-3250000</v>
      </c>
      <c r="O10" s="130">
        <v>-3657.0430000000001</v>
      </c>
      <c r="P10" s="133">
        <v>-8.8370486032328876E-4</v>
      </c>
      <c r="Q10" s="133">
        <v>0.13214640146385809</v>
      </c>
      <c r="R10" s="130">
        <v>282.38684999999998</v>
      </c>
      <c r="S10" t="s">
        <v>61</v>
      </c>
      <c r="T10" t="s">
        <v>53</v>
      </c>
      <c r="U10" t="s">
        <v>79</v>
      </c>
      <c r="V10" t="s">
        <v>102</v>
      </c>
      <c r="W10" t="s">
        <v>688</v>
      </c>
      <c r="X10" t="s">
        <v>1909</v>
      </c>
      <c r="Y10" t="s">
        <v>62</v>
      </c>
      <c r="Z10" s="134">
        <v>44384</v>
      </c>
      <c r="AA10" s="134">
        <v>46941</v>
      </c>
      <c r="AB10" t="s">
        <v>362</v>
      </c>
      <c r="AC10" t="s">
        <v>370</v>
      </c>
      <c r="AD10" t="s">
        <v>339</v>
      </c>
      <c r="AE10" t="s">
        <v>341</v>
      </c>
      <c r="AF10" t="s">
        <v>362</v>
      </c>
      <c r="AG10" t="s">
        <v>362</v>
      </c>
      <c r="AH10" s="133"/>
      <c r="AI10" s="130">
        <v>1</v>
      </c>
      <c r="AJ10" s="130"/>
      <c r="AK10"/>
      <c r="AL10" s="133"/>
      <c r="AM10" t="s">
        <v>1904</v>
      </c>
      <c r="AN10" s="133">
        <v>0.31311037283508464</v>
      </c>
      <c r="AO10" s="133">
        <v>6.8237270340103592E-5</v>
      </c>
    </row>
    <row r="11" spans="1:41" x14ac:dyDescent="0.2">
      <c r="A11">
        <v>274</v>
      </c>
      <c r="B11">
        <v>274</v>
      </c>
      <c r="C11" t="s">
        <v>351</v>
      </c>
      <c r="D11">
        <v>31010400</v>
      </c>
      <c r="E11" t="s">
        <v>1221</v>
      </c>
      <c r="F11" s="130">
        <v>1</v>
      </c>
      <c r="G11" s="130">
        <v>1250000</v>
      </c>
      <c r="H11" s="130">
        <v>1553.66479</v>
      </c>
      <c r="I11" s="133">
        <v>4.8259805732967204E-2</v>
      </c>
      <c r="J11" s="133">
        <v>3.7543477783448591E-4</v>
      </c>
      <c r="K11">
        <v>310104000</v>
      </c>
      <c r="L11" t="s">
        <v>1221</v>
      </c>
      <c r="M11" s="130">
        <v>1</v>
      </c>
      <c r="N11" s="130">
        <v>-1250000</v>
      </c>
      <c r="O11" s="130">
        <v>-1626.854</v>
      </c>
      <c r="P11" s="133">
        <v>-3.9312055855957495E-4</v>
      </c>
      <c r="Q11" s="133">
        <v>5.8785992346024753E-2</v>
      </c>
      <c r="R11" s="130">
        <v>-73.189210000000003</v>
      </c>
      <c r="S11" t="s">
        <v>61</v>
      </c>
      <c r="T11" t="s">
        <v>53</v>
      </c>
      <c r="U11" t="s">
        <v>79</v>
      </c>
      <c r="V11" t="s">
        <v>102</v>
      </c>
      <c r="W11" t="s">
        <v>688</v>
      </c>
      <c r="X11" t="s">
        <v>1909</v>
      </c>
      <c r="Y11" t="s">
        <v>62</v>
      </c>
      <c r="Z11" s="134">
        <v>41934</v>
      </c>
      <c r="AA11" s="134">
        <v>47048</v>
      </c>
      <c r="AB11" t="s">
        <v>362</v>
      </c>
      <c r="AC11" t="s">
        <v>370</v>
      </c>
      <c r="AD11" t="s">
        <v>339</v>
      </c>
      <c r="AE11" t="s">
        <v>341</v>
      </c>
      <c r="AF11" t="s">
        <v>362</v>
      </c>
      <c r="AG11" t="s">
        <v>362</v>
      </c>
      <c r="AH11" s="133"/>
      <c r="AI11" s="130">
        <v>1</v>
      </c>
      <c r="AJ11" s="130"/>
      <c r="AK11"/>
      <c r="AL11" s="133"/>
      <c r="AM11" t="s">
        <v>1905</v>
      </c>
      <c r="AN11" s="133">
        <v>-8.1152152908697081E-2</v>
      </c>
      <c r="AO11" s="133">
        <v>-1.7685780725089054E-5</v>
      </c>
    </row>
    <row r="12" spans="1:41" x14ac:dyDescent="0.2">
      <c r="A12">
        <v>274</v>
      </c>
      <c r="B12">
        <v>274</v>
      </c>
      <c r="C12" t="s">
        <v>351</v>
      </c>
      <c r="D12">
        <v>31003402</v>
      </c>
      <c r="E12" t="s">
        <v>1218</v>
      </c>
      <c r="F12" s="130">
        <v>3.19</v>
      </c>
      <c r="G12" s="130">
        <v>-444000</v>
      </c>
      <c r="H12" s="130">
        <v>-482.85351000000003</v>
      </c>
      <c r="I12" s="133">
        <v>-1.4998355333830626E-2</v>
      </c>
      <c r="J12" s="133">
        <v>-3.7220589958050792E-4</v>
      </c>
      <c r="K12">
        <v>31003401</v>
      </c>
      <c r="L12" t="s">
        <v>1221</v>
      </c>
      <c r="M12" s="130">
        <v>1</v>
      </c>
      <c r="N12" s="130">
        <v>1572426</v>
      </c>
      <c r="O12" s="130">
        <v>1751.5211999999999</v>
      </c>
      <c r="P12" s="133">
        <v>4.2324571994348411E-4</v>
      </c>
      <c r="Q12" s="133">
        <v>-6.3290812732488641E-2</v>
      </c>
      <c r="R12" s="130">
        <v>211.21851000000001</v>
      </c>
      <c r="S12" t="s">
        <v>61</v>
      </c>
      <c r="T12" t="s">
        <v>315</v>
      </c>
      <c r="U12" t="s">
        <v>72</v>
      </c>
      <c r="V12" t="s">
        <v>102</v>
      </c>
      <c r="W12" t="s">
        <v>691</v>
      </c>
      <c r="X12" t="s">
        <v>1906</v>
      </c>
      <c r="Y12" t="s">
        <v>62</v>
      </c>
      <c r="Z12" s="134">
        <v>40617</v>
      </c>
      <c r="AA12" s="134">
        <v>46736</v>
      </c>
      <c r="AB12" t="s">
        <v>362</v>
      </c>
      <c r="AC12" t="s">
        <v>370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3.56</v>
      </c>
      <c r="AJ12" s="130"/>
      <c r="AK12"/>
      <c r="AL12" s="133"/>
      <c r="AM12" t="s">
        <v>1905</v>
      </c>
      <c r="AN12" s="133">
        <v>0.23419895939124313</v>
      </c>
      <c r="AO12" s="133">
        <v>5.1039822030324273E-5</v>
      </c>
    </row>
    <row r="13" spans="1:41" x14ac:dyDescent="0.2">
      <c r="A13">
        <v>274</v>
      </c>
      <c r="B13">
        <v>274</v>
      </c>
      <c r="C13" t="s">
        <v>351</v>
      </c>
      <c r="D13">
        <v>31010404</v>
      </c>
      <c r="E13" t="s">
        <v>1221</v>
      </c>
      <c r="F13" s="130">
        <v>1</v>
      </c>
      <c r="G13" s="130">
        <v>1600000</v>
      </c>
      <c r="H13" s="130">
        <v>1992.4404199999999</v>
      </c>
      <c r="I13" s="133">
        <v>6.1889017645634863E-2</v>
      </c>
      <c r="J13" s="133">
        <v>4.8146255952105968E-4</v>
      </c>
      <c r="K13">
        <v>310104040</v>
      </c>
      <c r="L13" t="s">
        <v>1221</v>
      </c>
      <c r="M13" s="130">
        <v>1</v>
      </c>
      <c r="N13" s="130">
        <v>-1600000</v>
      </c>
      <c r="O13" s="130">
        <v>-2053.136</v>
      </c>
      <c r="P13" s="133">
        <v>-4.9612932145033997E-4</v>
      </c>
      <c r="Q13" s="133">
        <v>7.4189593645986596E-2</v>
      </c>
      <c r="R13" s="130">
        <v>-60.69558</v>
      </c>
      <c r="S13" t="s">
        <v>61</v>
      </c>
      <c r="T13" t="s">
        <v>53</v>
      </c>
      <c r="U13" t="s">
        <v>79</v>
      </c>
      <c r="V13" t="s">
        <v>102</v>
      </c>
      <c r="W13" t="s">
        <v>688</v>
      </c>
      <c r="X13" t="s">
        <v>1909</v>
      </c>
      <c r="Y13" t="s">
        <v>62</v>
      </c>
      <c r="Z13" s="134">
        <v>45036</v>
      </c>
      <c r="AA13" s="134">
        <v>48715</v>
      </c>
      <c r="AB13" t="s">
        <v>362</v>
      </c>
      <c r="AC13" t="s">
        <v>370</v>
      </c>
      <c r="AD13" t="s">
        <v>339</v>
      </c>
      <c r="AE13" t="s">
        <v>341</v>
      </c>
      <c r="AF13" t="s">
        <v>362</v>
      </c>
      <c r="AG13" t="s">
        <v>362</v>
      </c>
      <c r="AH13" s="133"/>
      <c r="AI13" s="130">
        <v>1</v>
      </c>
      <c r="AJ13" s="130"/>
      <c r="AK13"/>
      <c r="AL13" s="133"/>
      <c r="AM13" t="s">
        <v>1904</v>
      </c>
      <c r="AN13" s="133">
        <v>-6.7299223328712757E-2</v>
      </c>
      <c r="AO13" s="133">
        <v>-1.4666761929280295E-5</v>
      </c>
    </row>
    <row r="14" spans="1:41" x14ac:dyDescent="0.2">
      <c r="A14">
        <v>274</v>
      </c>
      <c r="B14">
        <v>274</v>
      </c>
      <c r="C14" t="s">
        <v>351</v>
      </c>
      <c r="D14">
        <v>31028202</v>
      </c>
      <c r="E14" t="s">
        <v>1218</v>
      </c>
      <c r="F14" s="130">
        <v>3.19</v>
      </c>
      <c r="G14" s="130">
        <v>-359000</v>
      </c>
      <c r="H14" s="130">
        <v>-349.51202000000001</v>
      </c>
      <c r="I14" s="133">
        <v>-1.0856513126320478E-2</v>
      </c>
      <c r="J14" s="133">
        <v>-2.6942008937306985E-4</v>
      </c>
      <c r="K14">
        <v>31028201</v>
      </c>
      <c r="L14" t="s">
        <v>1221</v>
      </c>
      <c r="M14" s="130">
        <v>1</v>
      </c>
      <c r="N14" s="130">
        <v>1284502</v>
      </c>
      <c r="O14" s="130">
        <v>1268.4537399999999</v>
      </c>
      <c r="P14" s="133">
        <v>3.0651505468578112E-4</v>
      </c>
      <c r="Q14" s="133">
        <v>-4.5835281992684329E-2</v>
      </c>
      <c r="R14" s="130">
        <v>153.51038</v>
      </c>
      <c r="S14" t="s">
        <v>61</v>
      </c>
      <c r="T14" t="s">
        <v>314</v>
      </c>
      <c r="U14" t="s">
        <v>72</v>
      </c>
      <c r="V14" t="s">
        <v>102</v>
      </c>
      <c r="W14" t="s">
        <v>691</v>
      </c>
      <c r="X14" t="s">
        <v>1906</v>
      </c>
      <c r="Y14" t="s">
        <v>62</v>
      </c>
      <c r="Z14" s="134">
        <v>43924</v>
      </c>
      <c r="AA14" s="134">
        <v>47667</v>
      </c>
      <c r="AB14" t="s">
        <v>362</v>
      </c>
      <c r="AC14" t="s">
        <v>370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3.6360000000000001</v>
      </c>
      <c r="AJ14" s="130"/>
      <c r="AK14"/>
      <c r="AL14" s="133"/>
      <c r="AM14" t="s">
        <v>1902</v>
      </c>
      <c r="AN14" s="133">
        <v>0.17021221886166274</v>
      </c>
      <c r="AO14" s="133">
        <v>3.7094961398068049E-5</v>
      </c>
    </row>
    <row r="15" spans="1:41" x14ac:dyDescent="0.2">
      <c r="A15">
        <v>274</v>
      </c>
      <c r="B15">
        <v>274</v>
      </c>
      <c r="C15" t="s">
        <v>351</v>
      </c>
      <c r="D15">
        <v>31010402</v>
      </c>
      <c r="E15" t="s">
        <v>1221</v>
      </c>
      <c r="F15" s="130">
        <v>1</v>
      </c>
      <c r="G15" s="130">
        <v>6100000</v>
      </c>
      <c r="H15" s="130">
        <v>7769.7107799999994</v>
      </c>
      <c r="I15" s="133">
        <v>0.24134210626227878</v>
      </c>
      <c r="J15" s="133">
        <v>1.877509009216531E-3</v>
      </c>
      <c r="K15">
        <v>310104020</v>
      </c>
      <c r="L15" t="s">
        <v>1221</v>
      </c>
      <c r="M15" s="130">
        <v>1</v>
      </c>
      <c r="N15" s="130">
        <v>-6100000</v>
      </c>
      <c r="O15" s="130">
        <v>-7702.5159999999996</v>
      </c>
      <c r="P15" s="133">
        <v>-1.8612717504054221E-3</v>
      </c>
      <c r="Q15" s="133">
        <v>0.27832863097803068</v>
      </c>
      <c r="R15" s="130">
        <v>67.194779999999994</v>
      </c>
      <c r="S15" t="s">
        <v>61</v>
      </c>
      <c r="T15" t="s">
        <v>53</v>
      </c>
      <c r="U15" t="s">
        <v>79</v>
      </c>
      <c r="V15" t="s">
        <v>102</v>
      </c>
      <c r="W15" t="s">
        <v>688</v>
      </c>
      <c r="X15" t="s">
        <v>1909</v>
      </c>
      <c r="Y15" t="s">
        <v>62</v>
      </c>
      <c r="Z15" s="134">
        <v>44636</v>
      </c>
      <c r="AA15" s="134">
        <v>48289</v>
      </c>
      <c r="AB15" t="s">
        <v>362</v>
      </c>
      <c r="AC15" t="s">
        <v>370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1</v>
      </c>
      <c r="AJ15" s="130"/>
      <c r="AK15"/>
      <c r="AL15" s="133"/>
      <c r="AM15" t="s">
        <v>1904</v>
      </c>
      <c r="AN15" s="133">
        <v>7.4505532457943738E-2</v>
      </c>
      <c r="AO15" s="133">
        <v>1.6237258811108897E-5</v>
      </c>
    </row>
    <row r="16" spans="1:41" x14ac:dyDescent="0.2">
      <c r="A16">
        <v>274</v>
      </c>
      <c r="B16">
        <v>274</v>
      </c>
      <c r="C16" t="s">
        <v>353</v>
      </c>
      <c r="D16">
        <v>76021528</v>
      </c>
      <c r="E16" t="s">
        <v>1218</v>
      </c>
      <c r="F16" s="130">
        <v>3.19</v>
      </c>
      <c r="G16" s="130">
        <v>-700000</v>
      </c>
      <c r="H16" s="130">
        <v>-700</v>
      </c>
      <c r="I16" s="133">
        <v>-2.1743341440515648E-2</v>
      </c>
      <c r="J16" s="133">
        <v>-5.3959249401822832E-4</v>
      </c>
      <c r="K16">
        <v>760215280</v>
      </c>
      <c r="L16" t="s">
        <v>1221</v>
      </c>
      <c r="M16" s="130">
        <v>1</v>
      </c>
      <c r="N16" s="130">
        <v>700000</v>
      </c>
      <c r="O16" s="130">
        <v>2322.6734299999998</v>
      </c>
      <c r="P16" s="133">
        <v>5.6126159824611407E-4</v>
      </c>
      <c r="Q16" s="133">
        <v>-8.3929266226898697E-2</v>
      </c>
      <c r="R16" s="130">
        <v>89.673429999999996</v>
      </c>
      <c r="S16" t="s">
        <v>61</v>
      </c>
      <c r="T16" t="s">
        <v>314</v>
      </c>
      <c r="U16" t="s">
        <v>72</v>
      </c>
      <c r="V16" t="s">
        <v>102</v>
      </c>
      <c r="W16" t="s">
        <v>691</v>
      </c>
      <c r="X16" t="s">
        <v>1906</v>
      </c>
      <c r="Y16" t="s">
        <v>62</v>
      </c>
      <c r="Z16" s="134">
        <v>45908</v>
      </c>
      <c r="AA16" s="134">
        <v>46212</v>
      </c>
      <c r="AB16" t="s">
        <v>362</v>
      </c>
      <c r="AC16" t="s">
        <v>363</v>
      </c>
      <c r="AD16" t="s">
        <v>339</v>
      </c>
      <c r="AE16" t="s">
        <v>341</v>
      </c>
      <c r="AF16" t="s">
        <v>362</v>
      </c>
      <c r="AG16" t="s">
        <v>362</v>
      </c>
      <c r="AH16" s="133"/>
      <c r="AI16" s="130">
        <v>3.3239999999999998</v>
      </c>
      <c r="AJ16" s="130"/>
      <c r="AK16"/>
      <c r="AL16" s="133"/>
      <c r="AM16" t="s">
        <v>1907</v>
      </c>
      <c r="AN16" s="133">
        <v>9.9429846328541377E-2</v>
      </c>
      <c r="AO16" s="133">
        <v>2.1669104227885808E-5</v>
      </c>
    </row>
    <row r="17" spans="1:41" x14ac:dyDescent="0.2">
      <c r="A17">
        <v>274</v>
      </c>
      <c r="B17">
        <v>274</v>
      </c>
      <c r="C17" t="s">
        <v>400</v>
      </c>
      <c r="D17">
        <v>31011201</v>
      </c>
      <c r="E17" t="s">
        <v>1218</v>
      </c>
      <c r="F17" s="130">
        <v>3.19</v>
      </c>
      <c r="G17" s="130">
        <v>357</v>
      </c>
      <c r="H17" s="130">
        <v>203.32828000000001</v>
      </c>
      <c r="I17" s="133">
        <v>6.3157660236468132E-3</v>
      </c>
      <c r="J17" s="133">
        <v>1.5673487672805236E-4</v>
      </c>
      <c r="K17">
        <v>31011202</v>
      </c>
      <c r="L17" t="s">
        <v>1218</v>
      </c>
      <c r="M17" s="130">
        <v>3.19</v>
      </c>
      <c r="N17" s="130">
        <v>-357</v>
      </c>
      <c r="O17" s="130">
        <v>-23.172280000000001</v>
      </c>
      <c r="P17" s="133">
        <v>-1.7862269081841017E-5</v>
      </c>
      <c r="Q17" s="133">
        <v>8.3732496875561205E-4</v>
      </c>
      <c r="R17" s="130">
        <v>574.69764000000009</v>
      </c>
      <c r="S17" t="s">
        <v>61</v>
      </c>
      <c r="T17" t="s">
        <v>316</v>
      </c>
      <c r="U17" t="s">
        <v>97</v>
      </c>
      <c r="V17" t="s">
        <v>102</v>
      </c>
      <c r="W17" t="s">
        <v>688</v>
      </c>
      <c r="X17" t="s">
        <v>1900</v>
      </c>
      <c r="Y17" t="s">
        <v>62</v>
      </c>
      <c r="Z17" s="134">
        <v>45979</v>
      </c>
      <c r="AA17" s="134">
        <v>46343</v>
      </c>
      <c r="AB17" t="s">
        <v>362</v>
      </c>
      <c r="AC17" t="s">
        <v>370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13636.205</v>
      </c>
      <c r="AJ17" s="130"/>
      <c r="AK17"/>
      <c r="AL17" s="133"/>
      <c r="AM17" t="s">
        <v>1907</v>
      </c>
      <c r="AN17" s="133">
        <v>0.63722440449278461</v>
      </c>
      <c r="AO17" s="133">
        <v>1.3887260764621138E-4</v>
      </c>
    </row>
    <row r="18" spans="1:41" x14ac:dyDescent="0.2">
      <c r="A18">
        <v>274</v>
      </c>
      <c r="B18">
        <v>274</v>
      </c>
      <c r="C18" t="s">
        <v>351</v>
      </c>
      <c r="D18">
        <v>31009600</v>
      </c>
      <c r="E18" t="s">
        <v>1221</v>
      </c>
      <c r="F18" s="130">
        <v>1</v>
      </c>
      <c r="G18" s="130">
        <v>1100000</v>
      </c>
      <c r="H18" s="130">
        <v>1362.67921</v>
      </c>
      <c r="I18" s="133">
        <v>4.2327427624174463E-2</v>
      </c>
      <c r="J18" s="133">
        <v>3.2928413500702601E-4</v>
      </c>
      <c r="K18">
        <v>310096000</v>
      </c>
      <c r="L18" t="s">
        <v>1221</v>
      </c>
      <c r="M18" s="130">
        <v>1</v>
      </c>
      <c r="N18" s="130">
        <v>-1100000</v>
      </c>
      <c r="O18" s="130">
        <v>-1489.73929</v>
      </c>
      <c r="P18" s="133">
        <v>-3.5998752303092015E-4</v>
      </c>
      <c r="Q18" s="133">
        <v>5.3831384069813484E-2</v>
      </c>
      <c r="R18" s="130">
        <v>-127.06008</v>
      </c>
      <c r="S18" t="s">
        <v>61</v>
      </c>
      <c r="T18" t="s">
        <v>53</v>
      </c>
      <c r="U18" t="s">
        <v>79</v>
      </c>
      <c r="V18" t="s">
        <v>102</v>
      </c>
      <c r="W18" t="s">
        <v>688</v>
      </c>
      <c r="X18" t="s">
        <v>1909</v>
      </c>
      <c r="Y18" t="s">
        <v>62</v>
      </c>
      <c r="Z18" s="134">
        <v>41816</v>
      </c>
      <c r="AA18" s="134">
        <v>46913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1</v>
      </c>
      <c r="AJ18" s="130"/>
      <c r="AK18"/>
      <c r="AL18" s="133"/>
      <c r="AM18" t="s">
        <v>1905</v>
      </c>
      <c r="AN18" s="133">
        <v>-0.14088414181204148</v>
      </c>
      <c r="AO18" s="133">
        <v>-3.0703388023894137E-5</v>
      </c>
    </row>
    <row r="19" spans="1:41" customFormat="1" x14ac:dyDescent="0.2">
      <c r="A19">
        <v>274</v>
      </c>
      <c r="B19">
        <v>274</v>
      </c>
      <c r="C19" t="s">
        <v>351</v>
      </c>
      <c r="D19">
        <v>31010410</v>
      </c>
      <c r="E19" t="s">
        <v>1221</v>
      </c>
      <c r="F19" s="130">
        <v>1</v>
      </c>
      <c r="G19" s="130">
        <v>1500000</v>
      </c>
      <c r="H19" s="130">
        <v>1869.95625</v>
      </c>
      <c r="I19" s="133">
        <v>5.8084424603680344E-2</v>
      </c>
      <c r="J19" s="133">
        <v>4.5186491564821926E-4</v>
      </c>
      <c r="K19">
        <v>310104100</v>
      </c>
      <c r="L19" t="s">
        <v>1221</v>
      </c>
      <c r="M19" s="130">
        <v>1</v>
      </c>
      <c r="N19" s="130">
        <v>-1500000</v>
      </c>
      <c r="O19" s="130">
        <v>-1938.942</v>
      </c>
      <c r="P19" s="133">
        <v>-4.6853495277057397E-4</v>
      </c>
      <c r="Q19" s="133">
        <v>7.0063219914870009E-2</v>
      </c>
      <c r="R19" s="130">
        <v>-68.985749999999996</v>
      </c>
      <c r="S19" t="s">
        <v>61</v>
      </c>
      <c r="T19" t="s">
        <v>53</v>
      </c>
      <c r="U19" t="s">
        <v>79</v>
      </c>
      <c r="V19" t="s">
        <v>102</v>
      </c>
      <c r="W19" t="s">
        <v>688</v>
      </c>
      <c r="X19" t="s">
        <v>1909</v>
      </c>
      <c r="Y19" t="s">
        <v>62</v>
      </c>
      <c r="Z19" s="134">
        <v>45066</v>
      </c>
      <c r="AA19" s="134">
        <v>48731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1</v>
      </c>
      <c r="AJ19" s="130"/>
      <c r="AL19" s="133"/>
      <c r="AM19" t="s">
        <v>1905</v>
      </c>
      <c r="AN19" s="133">
        <v>-7.6491358938307288E-2</v>
      </c>
      <c r="AO19" s="133">
        <v>-1.6670037122354678E-5</v>
      </c>
    </row>
    <row r="20" spans="1:41" x14ac:dyDescent="0.2">
      <c r="A20">
        <v>274</v>
      </c>
      <c r="B20">
        <v>274</v>
      </c>
      <c r="C20" t="s">
        <v>351</v>
      </c>
      <c r="D20">
        <v>31010403</v>
      </c>
      <c r="E20" t="s">
        <v>1221</v>
      </c>
      <c r="F20" s="130">
        <v>1</v>
      </c>
      <c r="G20" s="130">
        <v>2250000</v>
      </c>
      <c r="H20" s="130">
        <v>2807.04387</v>
      </c>
      <c r="I20" s="133">
        <v>8.7192161862737746E-2</v>
      </c>
      <c r="J20" s="133">
        <v>6.7830712164437053E-4</v>
      </c>
      <c r="K20">
        <v>310104030</v>
      </c>
      <c r="L20" t="s">
        <v>1221</v>
      </c>
      <c r="M20" s="130">
        <v>1</v>
      </c>
      <c r="N20" s="130">
        <v>-2250000</v>
      </c>
      <c r="O20" s="130">
        <v>-2875.9780000000001</v>
      </c>
      <c r="P20" s="133">
        <v>-6.949646850701103E-4</v>
      </c>
      <c r="Q20" s="133">
        <v>0.10392279866253246</v>
      </c>
      <c r="R20" s="130">
        <v>-68.934129999999996</v>
      </c>
      <c r="S20" t="s">
        <v>61</v>
      </c>
      <c r="T20" t="s">
        <v>53</v>
      </c>
      <c r="U20" t="s">
        <v>79</v>
      </c>
      <c r="V20" t="s">
        <v>102</v>
      </c>
      <c r="W20" t="s">
        <v>688</v>
      </c>
      <c r="X20" t="s">
        <v>1909</v>
      </c>
      <c r="Y20" t="s">
        <v>62</v>
      </c>
      <c r="Z20" s="134">
        <v>45036</v>
      </c>
      <c r="AA20" s="134">
        <v>48689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1</v>
      </c>
      <c r="AJ20" s="130"/>
      <c r="AK20"/>
      <c r="AL20" s="133"/>
      <c r="AM20" t="s">
        <v>1904</v>
      </c>
      <c r="AN20" s="133">
        <v>-7.6434122712733241E-2</v>
      </c>
      <c r="AO20" s="133">
        <v>-1.6657563425739708E-5</v>
      </c>
    </row>
    <row r="21" spans="1:41" x14ac:dyDescent="0.2">
      <c r="A21">
        <v>274</v>
      </c>
      <c r="B21">
        <v>274</v>
      </c>
      <c r="C21" t="s">
        <v>351</v>
      </c>
      <c r="D21">
        <v>31010405</v>
      </c>
      <c r="E21" t="s">
        <v>1221</v>
      </c>
      <c r="F21" s="130">
        <v>1</v>
      </c>
      <c r="G21" s="130">
        <v>3000000</v>
      </c>
      <c r="H21" s="130">
        <v>3739.9129400000002</v>
      </c>
      <c r="I21" s="133">
        <v>0.11616886287460389</v>
      </c>
      <c r="J21" s="133">
        <v>9.0372993762008274E-4</v>
      </c>
      <c r="K21">
        <v>310104050</v>
      </c>
      <c r="L21" t="s">
        <v>1221</v>
      </c>
      <c r="M21" s="130">
        <v>1</v>
      </c>
      <c r="N21" s="130">
        <v>-3000000</v>
      </c>
      <c r="O21" s="130">
        <v>-3874.1060000000002</v>
      </c>
      <c r="P21" s="133">
        <v>-9.3615697206940549E-4</v>
      </c>
      <c r="Q21" s="133">
        <v>0.13998992267510704</v>
      </c>
      <c r="R21" s="130">
        <v>-134.19306</v>
      </c>
      <c r="S21" t="s">
        <v>61</v>
      </c>
      <c r="T21" t="s">
        <v>53</v>
      </c>
      <c r="U21" t="s">
        <v>79</v>
      </c>
      <c r="V21" t="s">
        <v>102</v>
      </c>
      <c r="W21" t="s">
        <v>688</v>
      </c>
      <c r="X21" t="s">
        <v>1909</v>
      </c>
      <c r="Y21" t="s">
        <v>62</v>
      </c>
      <c r="Z21" s="134">
        <v>45062</v>
      </c>
      <c r="AA21" s="134">
        <v>48730</v>
      </c>
      <c r="AB21" t="s">
        <v>362</v>
      </c>
      <c r="AC21" t="s">
        <v>370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1</v>
      </c>
      <c r="AJ21" s="130"/>
      <c r="AK21"/>
      <c r="AL21" s="133"/>
      <c r="AM21" t="s">
        <v>1904</v>
      </c>
      <c r="AN21" s="133">
        <v>-0.14879318583170884</v>
      </c>
      <c r="AO21" s="133">
        <v>-3.2427034449322775E-5</v>
      </c>
    </row>
    <row r="22" spans="1:41" x14ac:dyDescent="0.2">
      <c r="A22">
        <v>274</v>
      </c>
      <c r="B22">
        <v>274</v>
      </c>
      <c r="C22" t="s">
        <v>353</v>
      </c>
      <c r="D22">
        <v>76009030</v>
      </c>
      <c r="E22" t="s">
        <v>1218</v>
      </c>
      <c r="F22" s="130">
        <v>3.19</v>
      </c>
      <c r="G22" s="130">
        <v>-129000</v>
      </c>
      <c r="H22" s="130">
        <v>-129</v>
      </c>
      <c r="I22" s="133">
        <v>-4.006987208323598E-3</v>
      </c>
      <c r="J22" s="133">
        <v>-9.9439188183359216E-5</v>
      </c>
      <c r="K22">
        <v>760090300</v>
      </c>
      <c r="L22" t="s">
        <v>1221</v>
      </c>
      <c r="M22" s="130">
        <v>1</v>
      </c>
      <c r="N22" s="130">
        <v>129000</v>
      </c>
      <c r="O22" s="130">
        <v>405.64963</v>
      </c>
      <c r="P22" s="133">
        <v>9.8023061150591813E-5</v>
      </c>
      <c r="Q22" s="133">
        <v>-1.4658055390556111E-2</v>
      </c>
      <c r="R22" s="130">
        <v>-5.8603699999999996</v>
      </c>
      <c r="S22" t="s">
        <v>61</v>
      </c>
      <c r="T22" t="s">
        <v>53</v>
      </c>
      <c r="U22" t="s">
        <v>72</v>
      </c>
      <c r="V22" t="s">
        <v>102</v>
      </c>
      <c r="W22" t="s">
        <v>691</v>
      </c>
      <c r="X22" t="s">
        <v>1906</v>
      </c>
      <c r="Y22" t="s">
        <v>62</v>
      </c>
      <c r="Z22" s="134">
        <v>44279</v>
      </c>
      <c r="AA22" s="134">
        <v>46661</v>
      </c>
      <c r="AB22" t="s">
        <v>362</v>
      </c>
      <c r="AC22" t="s">
        <v>363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3.2949999999999999</v>
      </c>
      <c r="AJ22" s="130"/>
      <c r="AK22"/>
      <c r="AL22" s="133"/>
      <c r="AM22" t="s">
        <v>1908</v>
      </c>
      <c r="AN22" s="133">
        <v>-6.4979748017712051E-3</v>
      </c>
      <c r="AO22" s="133">
        <v>-1.4161270327674001E-6</v>
      </c>
    </row>
    <row r="23" spans="1:41" x14ac:dyDescent="0.2">
      <c r="C23" s="8"/>
      <c r="E23" s="8"/>
      <c r="S23"/>
      <c r="T23" s="14"/>
      <c r="AE23" s="8"/>
      <c r="AF23" s="8"/>
    </row>
    <row r="24" spans="1:41" x14ac:dyDescent="0.2">
      <c r="C24" s="8"/>
      <c r="E24" s="8"/>
      <c r="T24" s="14"/>
      <c r="AE24" s="8"/>
      <c r="AF24" s="8"/>
    </row>
    <row r="25" spans="1:41" x14ac:dyDescent="0.2">
      <c r="C25" s="8"/>
      <c r="E25" s="8"/>
      <c r="T25" s="14"/>
    </row>
    <row r="26" spans="1:41" x14ac:dyDescent="0.2">
      <c r="C26" s="8"/>
      <c r="E26" s="8"/>
      <c r="T26" s="14"/>
    </row>
    <row r="27" spans="1:41" x14ac:dyDescent="0.2">
      <c r="C27" s="8"/>
      <c r="E27" s="8"/>
      <c r="T27" s="14"/>
    </row>
    <row r="28" spans="1:41" x14ac:dyDescent="0.2">
      <c r="C28" s="8"/>
      <c r="E28" s="8"/>
      <c r="T28" s="14"/>
    </row>
    <row r="29" spans="1:41" x14ac:dyDescent="0.2">
      <c r="C29" s="8"/>
      <c r="E29" s="8"/>
      <c r="T29" s="14"/>
    </row>
    <row r="30" spans="1:41" x14ac:dyDescent="0.2">
      <c r="C30" s="8"/>
      <c r="E30" s="8"/>
      <c r="T30" s="14"/>
    </row>
    <row r="31" spans="1:41" x14ac:dyDescent="0.2">
      <c r="C31" s="8"/>
      <c r="T31" s="14"/>
    </row>
    <row r="32" spans="1:41" x14ac:dyDescent="0.2">
      <c r="C32" s="8"/>
      <c r="T32" s="14"/>
    </row>
  </sheetData>
  <dataValidations count="14">
    <dataValidation type="list" allowBlank="1" showInputMessage="1" showErrorMessage="1" sqref="U20:U32 U2:U18" xr:uid="{00000000-0002-0000-1600-000000000000}">
      <formula1>Underlying_Asset</formula1>
    </dataValidation>
    <dataValidation type="list" allowBlank="1" showInputMessage="1" showErrorMessage="1" sqref="AG20:AG1048576 AB20:AB1048576 AB2:AB18 AG2:AG18 AF17 AF4" xr:uid="{00000000-0002-0000-1600-000001000000}">
      <formula1>Reset_frequency</formula1>
    </dataValidation>
    <dataValidation type="list" allowBlank="1" showInputMessage="1" showErrorMessage="1" sqref="S20:S23 S2:S18" xr:uid="{00000000-0002-0000-1600-000002000000}">
      <formula1>israel_abroad</formula1>
    </dataValidation>
    <dataValidation type="list" allowBlank="1" showInputMessage="1" showErrorMessage="1" sqref="Y20:Y32 AD20:AD1048576 AL18 AL20:AL1048576 AD2:AD18 Y2:Y18" xr:uid="{00000000-0002-0000-1600-000003000000}">
      <formula1>Holding_interest</formula1>
    </dataValidation>
    <dataValidation type="list" allowBlank="1" showInputMessage="1" showErrorMessage="1" sqref="AC20:AC32 AC2:AC18" xr:uid="{00000000-0002-0000-1600-000004000000}">
      <formula1>Delivery</formula1>
    </dataValidation>
    <dataValidation type="list" allowBlank="1" showInputMessage="1" showErrorMessage="1" sqref="E21:E30" xr:uid="{00000000-0002-0000-1600-000005000000}">
      <formula1>Currency_Abbreviation</formula1>
    </dataValidation>
    <dataValidation type="list" allowBlank="1" showInputMessage="1" showErrorMessage="1" sqref="T20:T32 T2:T18" xr:uid="{00000000-0002-0000-1600-000007000000}">
      <formula1>Country_list</formula1>
    </dataValidation>
    <dataValidation type="list" allowBlank="1" showInputMessage="1" showErrorMessage="1" sqref="AF20:AF24" xr:uid="{00000000-0002-0000-1600-00000A000000}">
      <formula1>Underlying_Interest_Rates_Der</formula1>
    </dataValidation>
    <dataValidation type="list" allowBlank="1" showInputMessage="1" showErrorMessage="1" sqref="C20:C32 AE20:AE24 AE3:AE18" xr:uid="{00000000-0002-0000-1600-00000D000000}">
      <formula1>#REF!</formula1>
    </dataValidation>
    <dataValidation type="list" allowBlank="1" showInputMessage="1" showErrorMessage="1" sqref="V2:V18" xr:uid="{00000000-0002-0000-1600-000006000000}">
      <formula1>Leading_factor</formula1>
    </dataValidation>
    <dataValidation type="list" allowBlank="1" showInputMessage="1" showErrorMessage="1" sqref="W2:W18" xr:uid="{00000000-0002-0000-1600-000008000000}">
      <formula1>Additional_Factor</formula1>
    </dataValidation>
    <dataValidation allowBlank="1" showInputMessage="1" showErrorMessage="1" sqref="Z2:Z17 M2:N17 P2:R17 I2:K17 D2:D17" xr:uid="{00000000-0002-0000-1600-000009000000}"/>
    <dataValidation type="list" allowBlank="1" showInputMessage="1" showErrorMessage="1" sqref="AF18 AF2:AF3 AF5:AF16" xr:uid="{00000000-0002-0000-1600-00000B000000}">
      <formula1>Underlying_Interest_Rates</formula1>
    </dataValidation>
    <dataValidation type="list" allowBlank="1" showInputMessage="1" showErrorMessage="1" sqref="AK2:AK18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6.375" style="2" bestFit="1" customWidth="1"/>
    <col min="6" max="6" width="10" style="2" bestFit="1" customWidth="1"/>
    <col min="7" max="7" width="9.625" style="2" bestFit="1" customWidth="1"/>
    <col min="8" max="8" width="16.37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5.2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6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16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3.5" style="2" bestFit="1" customWidth="1"/>
    <col min="44" max="44" width="9.125" style="2" bestFit="1" customWidth="1"/>
    <col min="45" max="45" width="8.625" style="2" bestFit="1" customWidth="1"/>
    <col min="46" max="47" width="9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29" t="s">
        <v>768</v>
      </c>
      <c r="AE1" s="136" t="s">
        <v>658</v>
      </c>
      <c r="AF1" s="13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5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274</v>
      </c>
      <c r="B2">
        <v>274</v>
      </c>
      <c r="C2"/>
      <c r="D2"/>
      <c r="E2"/>
      <c r="F2">
        <v>24554</v>
      </c>
      <c r="G2" t="s">
        <v>245</v>
      </c>
      <c r="H2" t="s">
        <v>1184</v>
      </c>
      <c r="I2" t="s">
        <v>53</v>
      </c>
      <c r="J2"/>
      <c r="K2" t="s">
        <v>163</v>
      </c>
      <c r="L2" t="s">
        <v>62</v>
      </c>
      <c r="M2" t="s">
        <v>55</v>
      </c>
      <c r="N2"/>
      <c r="O2" s="134">
        <v>40570</v>
      </c>
      <c r="P2" t="s">
        <v>1292</v>
      </c>
      <c r="Q2" t="s">
        <v>65</v>
      </c>
      <c r="R2" t="s">
        <v>779</v>
      </c>
      <c r="S2" t="s">
        <v>1221</v>
      </c>
      <c r="T2" s="130">
        <v>2.85</v>
      </c>
      <c r="U2" t="s">
        <v>1910</v>
      </c>
      <c r="V2" s="133">
        <v>5.5E-2</v>
      </c>
      <c r="W2"/>
      <c r="X2"/>
      <c r="Y2" s="133"/>
      <c r="Z2" s="133">
        <v>2.8000000000000001E-2</v>
      </c>
      <c r="AA2" s="134">
        <v>47986</v>
      </c>
      <c r="AB2" t="s">
        <v>620</v>
      </c>
      <c r="AC2"/>
      <c r="AD2" s="130"/>
      <c r="AE2" s="133"/>
      <c r="AF2" s="134"/>
      <c r="AG2"/>
      <c r="AH2"/>
      <c r="AI2"/>
      <c r="AJ2" t="s">
        <v>55</v>
      </c>
      <c r="AK2" t="s">
        <v>775</v>
      </c>
      <c r="AL2"/>
      <c r="AM2" t="s">
        <v>305</v>
      </c>
      <c r="AN2" s="134">
        <v>46022</v>
      </c>
      <c r="AO2" s="134"/>
      <c r="AP2" s="133"/>
      <c r="AQ2" s="130">
        <v>998408.51</v>
      </c>
      <c r="AR2" s="130">
        <v>133.34</v>
      </c>
      <c r="AS2" s="130">
        <v>1</v>
      </c>
      <c r="AT2" s="130">
        <v>1331.27791</v>
      </c>
      <c r="AU2" s="130">
        <v>1331.27791</v>
      </c>
      <c r="AV2" s="130"/>
      <c r="AW2" s="130"/>
      <c r="AX2"/>
      <c r="AY2"/>
      <c r="AZ2" s="133">
        <v>7.7746999999999997E-2</v>
      </c>
      <c r="BA2" s="133">
        <v>3.21E-4</v>
      </c>
    </row>
    <row r="3" spans="1:53" x14ac:dyDescent="0.2">
      <c r="A3">
        <v>274</v>
      </c>
      <c r="B3">
        <v>274</v>
      </c>
      <c r="C3"/>
      <c r="D3"/>
      <c r="E3"/>
      <c r="F3">
        <v>8070146</v>
      </c>
      <c r="G3" t="s">
        <v>245</v>
      </c>
      <c r="H3" t="s">
        <v>1184</v>
      </c>
      <c r="I3" t="s">
        <v>53</v>
      </c>
      <c r="J3"/>
      <c r="K3" t="s">
        <v>163</v>
      </c>
      <c r="L3" t="s">
        <v>62</v>
      </c>
      <c r="M3" t="s">
        <v>55</v>
      </c>
      <c r="N3"/>
      <c r="O3" s="134">
        <v>38258</v>
      </c>
      <c r="P3" t="s">
        <v>1298</v>
      </c>
      <c r="Q3" t="s">
        <v>70</v>
      </c>
      <c r="R3" t="s">
        <v>779</v>
      </c>
      <c r="S3" t="s">
        <v>1221</v>
      </c>
      <c r="T3" s="130">
        <v>0.99</v>
      </c>
      <c r="U3" t="s">
        <v>1910</v>
      </c>
      <c r="V3" s="133">
        <v>5.1694999999999998E-2</v>
      </c>
      <c r="W3"/>
      <c r="X3"/>
      <c r="Y3" s="133"/>
      <c r="Z3" s="133">
        <v>2.4E-2</v>
      </c>
      <c r="AA3" s="134">
        <v>46568</v>
      </c>
      <c r="AB3" t="s">
        <v>620</v>
      </c>
      <c r="AC3"/>
      <c r="AD3" s="132"/>
      <c r="AE3" s="133"/>
      <c r="AF3" s="134"/>
      <c r="AG3"/>
      <c r="AH3"/>
      <c r="AI3"/>
      <c r="AJ3" t="s">
        <v>55</v>
      </c>
      <c r="AK3" t="s">
        <v>775</v>
      </c>
      <c r="AL3"/>
      <c r="AM3" t="s">
        <v>305</v>
      </c>
      <c r="AN3" s="134">
        <v>46022</v>
      </c>
      <c r="AO3" s="134"/>
      <c r="AP3" s="133"/>
      <c r="AQ3" s="130">
        <v>74730.81</v>
      </c>
      <c r="AR3" s="130">
        <v>148.25</v>
      </c>
      <c r="AS3" s="130">
        <v>1</v>
      </c>
      <c r="AT3" s="130">
        <v>110.78843000000001</v>
      </c>
      <c r="AU3" s="130">
        <v>110.78843000000001</v>
      </c>
      <c r="AV3" s="132"/>
      <c r="AW3" s="132"/>
      <c r="AX3"/>
      <c r="AY3"/>
      <c r="AZ3" s="133">
        <v>6.4700000000000001E-3</v>
      </c>
      <c r="BA3" s="133">
        <v>2.5999999999999998E-5</v>
      </c>
    </row>
    <row r="4" spans="1:53" x14ac:dyDescent="0.2">
      <c r="A4">
        <v>274</v>
      </c>
      <c r="B4">
        <v>274</v>
      </c>
      <c r="C4"/>
      <c r="D4"/>
      <c r="E4"/>
      <c r="F4">
        <v>72002004</v>
      </c>
      <c r="G4" t="s">
        <v>245</v>
      </c>
      <c r="H4" t="s">
        <v>1184</v>
      </c>
      <c r="I4" t="s">
        <v>53</v>
      </c>
      <c r="J4"/>
      <c r="K4" t="s">
        <v>264</v>
      </c>
      <c r="L4" t="s">
        <v>62</v>
      </c>
      <c r="M4" t="s">
        <v>55</v>
      </c>
      <c r="N4"/>
      <c r="O4" s="134">
        <v>45930</v>
      </c>
      <c r="P4" t="s">
        <v>1316</v>
      </c>
      <c r="Q4" t="s">
        <v>70</v>
      </c>
      <c r="R4" t="s">
        <v>779</v>
      </c>
      <c r="S4" t="s">
        <v>1221</v>
      </c>
      <c r="T4" s="130">
        <v>4.72</v>
      </c>
      <c r="U4" t="s">
        <v>1910</v>
      </c>
      <c r="V4" s="133">
        <v>4.1918999999999998E-2</v>
      </c>
      <c r="W4"/>
      <c r="X4"/>
      <c r="Y4" s="133"/>
      <c r="Z4" s="133">
        <v>3.9699999999999999E-2</v>
      </c>
      <c r="AA4" s="134">
        <v>48844</v>
      </c>
      <c r="AB4" t="s">
        <v>620</v>
      </c>
      <c r="AC4"/>
      <c r="AD4" s="132"/>
      <c r="AE4" s="133"/>
      <c r="AF4" s="134"/>
      <c r="AG4"/>
      <c r="AH4"/>
      <c r="AI4"/>
      <c r="AJ4" t="s">
        <v>55</v>
      </c>
      <c r="AK4" t="s">
        <v>775</v>
      </c>
      <c r="AL4"/>
      <c r="AM4" t="s">
        <v>305</v>
      </c>
      <c r="AN4" s="134">
        <v>46022</v>
      </c>
      <c r="AO4" s="134"/>
      <c r="AP4" s="133"/>
      <c r="AQ4" s="130">
        <v>13751</v>
      </c>
      <c r="AR4" s="130">
        <v>102.25</v>
      </c>
      <c r="AS4" s="130">
        <v>1</v>
      </c>
      <c r="AT4" s="130">
        <v>14.0604</v>
      </c>
      <c r="AU4" s="130">
        <v>14.0604</v>
      </c>
      <c r="AV4" s="132"/>
      <c r="AW4" s="132"/>
      <c r="AX4"/>
      <c r="AY4"/>
      <c r="AZ4" s="133">
        <v>8.2100000000000001E-4</v>
      </c>
      <c r="BA4" s="133">
        <v>3.0000000000000001E-6</v>
      </c>
    </row>
    <row r="5" spans="1:53" x14ac:dyDescent="0.2">
      <c r="A5">
        <v>274</v>
      </c>
      <c r="B5">
        <v>274</v>
      </c>
      <c r="C5"/>
      <c r="D5"/>
      <c r="E5"/>
      <c r="F5">
        <v>8070153</v>
      </c>
      <c r="G5" t="s">
        <v>245</v>
      </c>
      <c r="H5" t="s">
        <v>1184</v>
      </c>
      <c r="I5" t="s">
        <v>53</v>
      </c>
      <c r="J5"/>
      <c r="K5" t="s">
        <v>163</v>
      </c>
      <c r="L5" t="s">
        <v>62</v>
      </c>
      <c r="M5" t="s">
        <v>55</v>
      </c>
      <c r="N5"/>
      <c r="O5" s="134">
        <v>38258</v>
      </c>
      <c r="P5" t="s">
        <v>1298</v>
      </c>
      <c r="Q5" t="s">
        <v>70</v>
      </c>
      <c r="R5" t="s">
        <v>779</v>
      </c>
      <c r="S5" t="s">
        <v>1221</v>
      </c>
      <c r="T5" s="130">
        <v>0.99</v>
      </c>
      <c r="U5" t="s">
        <v>1910</v>
      </c>
      <c r="V5" s="133">
        <v>5.1694999999999998E-2</v>
      </c>
      <c r="W5"/>
      <c r="X5"/>
      <c r="Y5" s="133"/>
      <c r="Z5" s="133">
        <v>2.41E-2</v>
      </c>
      <c r="AA5" s="134">
        <v>46568</v>
      </c>
      <c r="AB5" t="s">
        <v>620</v>
      </c>
      <c r="AC5"/>
      <c r="AD5" s="132"/>
      <c r="AE5" s="133"/>
      <c r="AF5" s="134"/>
      <c r="AG5"/>
      <c r="AH5"/>
      <c r="AI5"/>
      <c r="AJ5" t="s">
        <v>55</v>
      </c>
      <c r="AK5" t="s">
        <v>775</v>
      </c>
      <c r="AL5"/>
      <c r="AM5" t="s">
        <v>305</v>
      </c>
      <c r="AN5" s="134">
        <v>46022</v>
      </c>
      <c r="AO5" s="134"/>
      <c r="AP5" s="133"/>
      <c r="AQ5" s="130">
        <v>65843.759999999995</v>
      </c>
      <c r="AR5" s="130">
        <v>147.80000000000001</v>
      </c>
      <c r="AS5" s="130">
        <v>1</v>
      </c>
      <c r="AT5" s="130">
        <v>97.317080000000004</v>
      </c>
      <c r="AU5" s="130">
        <v>97.317080000000004</v>
      </c>
      <c r="AV5" s="132"/>
      <c r="AW5" s="132"/>
      <c r="AX5"/>
      <c r="AY5"/>
      <c r="AZ5" s="133">
        <v>5.6829999999999997E-3</v>
      </c>
      <c r="BA5" s="133">
        <v>2.3E-5</v>
      </c>
    </row>
    <row r="6" spans="1:53" x14ac:dyDescent="0.2">
      <c r="A6">
        <v>274</v>
      </c>
      <c r="B6">
        <v>274</v>
      </c>
      <c r="C6"/>
      <c r="D6"/>
      <c r="E6"/>
      <c r="F6">
        <v>72002003</v>
      </c>
      <c r="G6" t="s">
        <v>245</v>
      </c>
      <c r="H6" t="s">
        <v>1184</v>
      </c>
      <c r="I6" t="s">
        <v>53</v>
      </c>
      <c r="J6"/>
      <c r="K6" t="s">
        <v>264</v>
      </c>
      <c r="L6" t="s">
        <v>62</v>
      </c>
      <c r="M6" t="s">
        <v>55</v>
      </c>
      <c r="N6"/>
      <c r="O6" s="134">
        <v>45930</v>
      </c>
      <c r="P6" t="s">
        <v>1316</v>
      </c>
      <c r="Q6" t="s">
        <v>70</v>
      </c>
      <c r="R6" t="s">
        <v>779</v>
      </c>
      <c r="S6" t="s">
        <v>1221</v>
      </c>
      <c r="T6" s="130">
        <v>4.3499999999999996</v>
      </c>
      <c r="U6" t="s">
        <v>1910</v>
      </c>
      <c r="V6" s="133">
        <v>4.2995999999999999E-2</v>
      </c>
      <c r="W6"/>
      <c r="X6"/>
      <c r="Y6" s="133"/>
      <c r="Z6" s="133">
        <v>4.1799999999999997E-2</v>
      </c>
      <c r="AA6" s="134">
        <v>48844</v>
      </c>
      <c r="AB6" t="s">
        <v>620</v>
      </c>
      <c r="AC6"/>
      <c r="AD6" s="132"/>
      <c r="AE6" s="133"/>
      <c r="AF6" s="134"/>
      <c r="AG6"/>
      <c r="AH6"/>
      <c r="AI6"/>
      <c r="AJ6" t="s">
        <v>55</v>
      </c>
      <c r="AK6" t="s">
        <v>775</v>
      </c>
      <c r="AL6"/>
      <c r="AM6" t="s">
        <v>305</v>
      </c>
      <c r="AN6" s="134">
        <v>46022</v>
      </c>
      <c r="AO6" s="134"/>
      <c r="AP6" s="133"/>
      <c r="AQ6" s="130">
        <v>15567</v>
      </c>
      <c r="AR6" s="130">
        <v>101.78</v>
      </c>
      <c r="AS6" s="130">
        <v>1</v>
      </c>
      <c r="AT6" s="130">
        <v>15.84409</v>
      </c>
      <c r="AU6" s="130">
        <v>15.84409</v>
      </c>
      <c r="AV6" s="132"/>
      <c r="AW6" s="132"/>
      <c r="AX6"/>
      <c r="AY6"/>
      <c r="AZ6" s="133">
        <v>9.2500000000000004E-4</v>
      </c>
      <c r="BA6" s="133">
        <v>3.0000000000000001E-6</v>
      </c>
    </row>
    <row r="7" spans="1:53" x14ac:dyDescent="0.2">
      <c r="A7">
        <v>274</v>
      </c>
      <c r="B7">
        <v>274</v>
      </c>
      <c r="C7"/>
      <c r="D7"/>
      <c r="E7"/>
      <c r="F7">
        <v>8070161</v>
      </c>
      <c r="G7" t="s">
        <v>245</v>
      </c>
      <c r="H7" t="s">
        <v>1184</v>
      </c>
      <c r="I7" t="s">
        <v>53</v>
      </c>
      <c r="J7"/>
      <c r="K7" t="s">
        <v>163</v>
      </c>
      <c r="L7" t="s">
        <v>62</v>
      </c>
      <c r="M7" t="s">
        <v>55</v>
      </c>
      <c r="N7"/>
      <c r="O7" s="134">
        <v>38258</v>
      </c>
      <c r="P7" t="s">
        <v>1298</v>
      </c>
      <c r="Q7" t="s">
        <v>70</v>
      </c>
      <c r="R7" t="s">
        <v>779</v>
      </c>
      <c r="S7" t="s">
        <v>1221</v>
      </c>
      <c r="T7" s="130">
        <v>0.99</v>
      </c>
      <c r="U7" t="s">
        <v>1910</v>
      </c>
      <c r="V7" s="133">
        <v>5.1694999999999998E-2</v>
      </c>
      <c r="W7"/>
      <c r="X7"/>
      <c r="Y7" s="133"/>
      <c r="Z7" s="133">
        <v>2.41E-2</v>
      </c>
      <c r="AA7" s="134">
        <v>46568</v>
      </c>
      <c r="AB7" t="s">
        <v>620</v>
      </c>
      <c r="AC7"/>
      <c r="AD7" s="132"/>
      <c r="AE7" s="133"/>
      <c r="AF7" s="134"/>
      <c r="AG7"/>
      <c r="AH7"/>
      <c r="AI7"/>
      <c r="AJ7" t="s">
        <v>55</v>
      </c>
      <c r="AK7" t="s">
        <v>775</v>
      </c>
      <c r="AL7"/>
      <c r="AM7" t="s">
        <v>305</v>
      </c>
      <c r="AN7" s="134">
        <v>46022</v>
      </c>
      <c r="AO7" s="134"/>
      <c r="AP7" s="133"/>
      <c r="AQ7" s="130">
        <v>68263.820000000007</v>
      </c>
      <c r="AR7" s="130">
        <v>148.53</v>
      </c>
      <c r="AS7" s="130">
        <v>1</v>
      </c>
      <c r="AT7" s="130">
        <v>101.39225</v>
      </c>
      <c r="AU7" s="130">
        <v>101.39225</v>
      </c>
      <c r="AV7" s="132"/>
      <c r="AW7" s="132"/>
      <c r="AX7"/>
      <c r="AY7"/>
      <c r="AZ7" s="133">
        <v>5.921E-3</v>
      </c>
      <c r="BA7" s="133">
        <v>2.4000000000000001E-5</v>
      </c>
    </row>
    <row r="8" spans="1:53" x14ac:dyDescent="0.2">
      <c r="A8">
        <v>274</v>
      </c>
      <c r="B8">
        <v>274</v>
      </c>
      <c r="C8"/>
      <c r="D8"/>
      <c r="E8"/>
      <c r="F8">
        <v>72002002</v>
      </c>
      <c r="G8" t="s">
        <v>245</v>
      </c>
      <c r="H8" t="s">
        <v>1184</v>
      </c>
      <c r="I8" t="s">
        <v>53</v>
      </c>
      <c r="J8"/>
      <c r="K8" t="s">
        <v>264</v>
      </c>
      <c r="L8" t="s">
        <v>62</v>
      </c>
      <c r="M8" t="s">
        <v>55</v>
      </c>
      <c r="N8"/>
      <c r="O8" s="134">
        <v>45930</v>
      </c>
      <c r="P8" t="s">
        <v>1316</v>
      </c>
      <c r="Q8" t="s">
        <v>70</v>
      </c>
      <c r="R8" t="s">
        <v>779</v>
      </c>
      <c r="S8" t="s">
        <v>1221</v>
      </c>
      <c r="T8" s="130">
        <v>4.41</v>
      </c>
      <c r="U8" t="s">
        <v>1910</v>
      </c>
      <c r="V8" s="133">
        <v>4.3048000000000003E-2</v>
      </c>
      <c r="W8"/>
      <c r="X8"/>
      <c r="Y8" s="133"/>
      <c r="Z8" s="133">
        <v>4.1799999999999997E-2</v>
      </c>
      <c r="AA8" s="134">
        <v>48844</v>
      </c>
      <c r="AB8" t="s">
        <v>620</v>
      </c>
      <c r="AC8"/>
      <c r="AD8" s="132"/>
      <c r="AE8" s="133"/>
      <c r="AF8" s="134"/>
      <c r="AG8"/>
      <c r="AH8"/>
      <c r="AI8"/>
      <c r="AJ8" t="s">
        <v>55</v>
      </c>
      <c r="AK8" t="s">
        <v>775</v>
      </c>
      <c r="AL8"/>
      <c r="AM8" t="s">
        <v>305</v>
      </c>
      <c r="AN8" s="134">
        <v>46022</v>
      </c>
      <c r="AO8" s="134"/>
      <c r="AP8" s="133"/>
      <c r="AQ8" s="130">
        <v>13824</v>
      </c>
      <c r="AR8" s="130">
        <v>101.79</v>
      </c>
      <c r="AS8" s="130">
        <v>1</v>
      </c>
      <c r="AT8" s="130">
        <v>14.07145</v>
      </c>
      <c r="AU8" s="130">
        <v>14.07145</v>
      </c>
      <c r="AV8" s="132"/>
      <c r="AW8" s="132"/>
      <c r="AX8"/>
      <c r="AY8"/>
      <c r="AZ8" s="133">
        <v>8.2100000000000001E-4</v>
      </c>
      <c r="BA8" s="133">
        <v>3.0000000000000001E-6</v>
      </c>
    </row>
    <row r="9" spans="1:53" x14ac:dyDescent="0.2">
      <c r="A9">
        <v>274</v>
      </c>
      <c r="B9">
        <v>274</v>
      </c>
      <c r="C9"/>
      <c r="D9"/>
      <c r="E9"/>
      <c r="F9">
        <v>8070179</v>
      </c>
      <c r="G9" t="s">
        <v>245</v>
      </c>
      <c r="H9" t="s">
        <v>1184</v>
      </c>
      <c r="I9" t="s">
        <v>53</v>
      </c>
      <c r="J9"/>
      <c r="K9" t="s">
        <v>163</v>
      </c>
      <c r="L9" t="s">
        <v>62</v>
      </c>
      <c r="M9" t="s">
        <v>55</v>
      </c>
      <c r="N9"/>
      <c r="O9" s="134">
        <v>38258</v>
      </c>
      <c r="P9" t="s">
        <v>1298</v>
      </c>
      <c r="Q9" t="s">
        <v>70</v>
      </c>
      <c r="R9" t="s">
        <v>779</v>
      </c>
      <c r="S9" t="s">
        <v>1221</v>
      </c>
      <c r="T9" s="130">
        <v>0.99</v>
      </c>
      <c r="U9" t="s">
        <v>1910</v>
      </c>
      <c r="V9" s="133">
        <v>5.1694999999999998E-2</v>
      </c>
      <c r="W9"/>
      <c r="X9"/>
      <c r="Y9" s="133"/>
      <c r="Z9" s="133">
        <v>2.4E-2</v>
      </c>
      <c r="AA9" s="134">
        <v>46568</v>
      </c>
      <c r="AB9" t="s">
        <v>620</v>
      </c>
      <c r="AC9"/>
      <c r="AD9" s="132"/>
      <c r="AE9" s="133"/>
      <c r="AF9" s="134"/>
      <c r="AG9"/>
      <c r="AH9"/>
      <c r="AI9"/>
      <c r="AJ9" t="s">
        <v>55</v>
      </c>
      <c r="AK9" t="s">
        <v>775</v>
      </c>
      <c r="AL9"/>
      <c r="AM9" t="s">
        <v>305</v>
      </c>
      <c r="AN9" s="134">
        <v>46022</v>
      </c>
      <c r="AO9" s="134"/>
      <c r="AP9" s="133"/>
      <c r="AQ9" s="130">
        <v>48423.46</v>
      </c>
      <c r="AR9" s="130">
        <v>150.16</v>
      </c>
      <c r="AS9" s="130">
        <v>1</v>
      </c>
      <c r="AT9" s="130">
        <v>72.712670000000003</v>
      </c>
      <c r="AU9" s="130">
        <v>72.712670000000003</v>
      </c>
      <c r="AV9" s="132"/>
      <c r="AW9" s="132"/>
      <c r="AX9"/>
      <c r="AY9"/>
      <c r="AZ9" s="133">
        <v>4.2459999999999998E-3</v>
      </c>
      <c r="BA9" s="133">
        <v>1.7E-5</v>
      </c>
    </row>
    <row r="10" spans="1:53" x14ac:dyDescent="0.2">
      <c r="A10">
        <v>274</v>
      </c>
      <c r="B10">
        <v>274</v>
      </c>
      <c r="C10"/>
      <c r="D10"/>
      <c r="E10"/>
      <c r="F10">
        <v>72002001</v>
      </c>
      <c r="G10" t="s">
        <v>245</v>
      </c>
      <c r="H10" t="s">
        <v>1184</v>
      </c>
      <c r="I10" t="s">
        <v>53</v>
      </c>
      <c r="J10"/>
      <c r="K10" t="s">
        <v>264</v>
      </c>
      <c r="L10" t="s">
        <v>62</v>
      </c>
      <c r="M10" t="s">
        <v>55</v>
      </c>
      <c r="N10"/>
      <c r="O10" s="134">
        <v>45930</v>
      </c>
      <c r="P10" t="s">
        <v>1316</v>
      </c>
      <c r="Q10" t="s">
        <v>70</v>
      </c>
      <c r="R10" t="s">
        <v>779</v>
      </c>
      <c r="S10" t="s">
        <v>1221</v>
      </c>
      <c r="T10" s="130">
        <v>4.8899999999999997</v>
      </c>
      <c r="U10" t="s">
        <v>1910</v>
      </c>
      <c r="V10" s="133">
        <v>4.2960999999999999E-2</v>
      </c>
      <c r="W10"/>
      <c r="X10"/>
      <c r="Y10" s="133"/>
      <c r="Z10" s="133">
        <v>-3.7000000000000002E-3</v>
      </c>
      <c r="AA10" s="134">
        <v>48844</v>
      </c>
      <c r="AB10" t="s">
        <v>620</v>
      </c>
      <c r="AC10"/>
      <c r="AD10" s="132"/>
      <c r="AE10" s="133"/>
      <c r="AF10" s="134"/>
      <c r="AG10"/>
      <c r="AH10"/>
      <c r="AI10"/>
      <c r="AJ10" t="s">
        <v>55</v>
      </c>
      <c r="AK10" t="s">
        <v>775</v>
      </c>
      <c r="AL10"/>
      <c r="AM10" t="s">
        <v>305</v>
      </c>
      <c r="AN10" s="134">
        <v>46022</v>
      </c>
      <c r="AO10" s="134"/>
      <c r="AP10" s="133"/>
      <c r="AQ10" s="130">
        <v>12125</v>
      </c>
      <c r="AR10" s="130">
        <v>101.81</v>
      </c>
      <c r="AS10" s="130">
        <v>1</v>
      </c>
      <c r="AT10" s="130">
        <v>12.34446</v>
      </c>
      <c r="AU10" s="130">
        <v>12.34446</v>
      </c>
      <c r="AV10" s="132"/>
      <c r="AW10" s="132"/>
      <c r="AX10"/>
      <c r="AY10"/>
      <c r="AZ10" s="133">
        <v>7.2000000000000005E-4</v>
      </c>
      <c r="BA10" s="133">
        <v>1.9999999999999999E-6</v>
      </c>
    </row>
    <row r="11" spans="1:53" x14ac:dyDescent="0.2">
      <c r="A11">
        <v>274</v>
      </c>
      <c r="B11">
        <v>274</v>
      </c>
      <c r="C11"/>
      <c r="D11"/>
      <c r="E11"/>
      <c r="F11">
        <v>8070187</v>
      </c>
      <c r="G11" t="s">
        <v>245</v>
      </c>
      <c r="H11" t="s">
        <v>1184</v>
      </c>
      <c r="I11" t="s">
        <v>53</v>
      </c>
      <c r="J11"/>
      <c r="K11" t="s">
        <v>163</v>
      </c>
      <c r="L11" t="s">
        <v>62</v>
      </c>
      <c r="M11" t="s">
        <v>55</v>
      </c>
      <c r="N11"/>
      <c r="O11" s="134">
        <v>38258</v>
      </c>
      <c r="P11" t="s">
        <v>1298</v>
      </c>
      <c r="Q11" t="s">
        <v>70</v>
      </c>
      <c r="R11" t="s">
        <v>779</v>
      </c>
      <c r="S11" t="s">
        <v>1221</v>
      </c>
      <c r="T11" s="130">
        <v>0.99</v>
      </c>
      <c r="U11" t="s">
        <v>1910</v>
      </c>
      <c r="V11" s="133">
        <v>5.1694999999999998E-2</v>
      </c>
      <c r="W11"/>
      <c r="X11"/>
      <c r="Y11" s="133"/>
      <c r="Z11" s="133">
        <v>2.41E-2</v>
      </c>
      <c r="AA11" s="134">
        <v>46568</v>
      </c>
      <c r="AB11" t="s">
        <v>620</v>
      </c>
      <c r="AC11"/>
      <c r="AD11" s="132"/>
      <c r="AE11" s="133"/>
      <c r="AF11" s="134"/>
      <c r="AG11"/>
      <c r="AH11"/>
      <c r="AI11"/>
      <c r="AJ11" t="s">
        <v>55</v>
      </c>
      <c r="AK11" t="s">
        <v>775</v>
      </c>
      <c r="AL11"/>
      <c r="AM11" t="s">
        <v>305</v>
      </c>
      <c r="AN11" s="134">
        <v>46022</v>
      </c>
      <c r="AO11" s="134"/>
      <c r="AP11" s="133"/>
      <c r="AQ11" s="130">
        <v>29182.66</v>
      </c>
      <c r="AR11" s="130">
        <v>151.21</v>
      </c>
      <c r="AS11" s="130">
        <v>1</v>
      </c>
      <c r="AT11" s="130">
        <v>44.127099999999999</v>
      </c>
      <c r="AU11" s="130">
        <v>44.127099999999999</v>
      </c>
      <c r="AV11" s="132"/>
      <c r="AW11" s="132"/>
      <c r="AX11"/>
      <c r="AY11"/>
      <c r="AZ11" s="133">
        <v>2.5769999999999999E-3</v>
      </c>
      <c r="BA11" s="133">
        <v>1.0000000000000001E-5</v>
      </c>
    </row>
    <row r="12" spans="1:53" x14ac:dyDescent="0.2">
      <c r="A12">
        <v>274</v>
      </c>
      <c r="B12">
        <v>274</v>
      </c>
      <c r="C12"/>
      <c r="D12"/>
      <c r="E12"/>
      <c r="F12">
        <v>71000209</v>
      </c>
      <c r="G12" t="s">
        <v>245</v>
      </c>
      <c r="H12" t="s">
        <v>1184</v>
      </c>
      <c r="I12" t="s">
        <v>53</v>
      </c>
      <c r="J12"/>
      <c r="K12" t="s">
        <v>264</v>
      </c>
      <c r="L12" t="s">
        <v>62</v>
      </c>
      <c r="M12" t="s">
        <v>55</v>
      </c>
      <c r="N12"/>
      <c r="O12" s="134">
        <v>44858</v>
      </c>
      <c r="P12" t="s">
        <v>1911</v>
      </c>
      <c r="Q12" t="s">
        <v>70</v>
      </c>
      <c r="R12" t="s">
        <v>779</v>
      </c>
      <c r="S12" t="s">
        <v>1221</v>
      </c>
      <c r="T12" s="130">
        <v>4.6100000000000003</v>
      </c>
      <c r="U12" t="s">
        <v>1910</v>
      </c>
      <c r="V12" s="133">
        <v>3.49E-2</v>
      </c>
      <c r="W12"/>
      <c r="X12"/>
      <c r="Y12" s="133"/>
      <c r="Z12" s="133">
        <v>3.2300000000000002E-2</v>
      </c>
      <c r="AA12" s="134">
        <v>48667</v>
      </c>
      <c r="AB12" t="s">
        <v>620</v>
      </c>
      <c r="AC12"/>
      <c r="AD12" s="132"/>
      <c r="AE12" s="133"/>
      <c r="AF12" s="134"/>
      <c r="AG12"/>
      <c r="AH12"/>
      <c r="AI12"/>
      <c r="AJ12" t="s">
        <v>55</v>
      </c>
      <c r="AK12" t="s">
        <v>775</v>
      </c>
      <c r="AL12"/>
      <c r="AM12" t="s">
        <v>305</v>
      </c>
      <c r="AN12" s="134">
        <v>46022</v>
      </c>
      <c r="AO12" s="134"/>
      <c r="AP12" s="133"/>
      <c r="AQ12" s="130">
        <v>39378.5</v>
      </c>
      <c r="AR12" s="130">
        <v>112.59</v>
      </c>
      <c r="AS12" s="130">
        <v>1</v>
      </c>
      <c r="AT12" s="130">
        <v>44.33625</v>
      </c>
      <c r="AU12" s="130">
        <v>44.33625</v>
      </c>
      <c r="AV12" s="132"/>
      <c r="AW12" s="132"/>
      <c r="AX12"/>
      <c r="AY12"/>
      <c r="AZ12" s="133">
        <v>2.5890000000000002E-3</v>
      </c>
      <c r="BA12" s="133">
        <v>1.0000000000000001E-5</v>
      </c>
    </row>
    <row r="13" spans="1:53" x14ac:dyDescent="0.2">
      <c r="A13">
        <v>274</v>
      </c>
      <c r="B13">
        <v>274</v>
      </c>
      <c r="C13"/>
      <c r="D13"/>
      <c r="E13"/>
      <c r="F13">
        <v>8070195</v>
      </c>
      <c r="G13" t="s">
        <v>245</v>
      </c>
      <c r="H13" t="s">
        <v>1184</v>
      </c>
      <c r="I13" t="s">
        <v>53</v>
      </c>
      <c r="J13"/>
      <c r="K13" t="s">
        <v>163</v>
      </c>
      <c r="L13" t="s">
        <v>62</v>
      </c>
      <c r="M13" t="s">
        <v>55</v>
      </c>
      <c r="N13"/>
      <c r="O13" s="134">
        <v>38258</v>
      </c>
      <c r="P13" t="s">
        <v>1298</v>
      </c>
      <c r="Q13" t="s">
        <v>70</v>
      </c>
      <c r="R13" t="s">
        <v>779</v>
      </c>
      <c r="S13" t="s">
        <v>1221</v>
      </c>
      <c r="T13" s="130">
        <v>0.99</v>
      </c>
      <c r="U13" t="s">
        <v>1910</v>
      </c>
      <c r="V13" s="133">
        <v>5.1694999999999998E-2</v>
      </c>
      <c r="W13"/>
      <c r="X13"/>
      <c r="Y13" s="133"/>
      <c r="Z13" s="133">
        <v>2.41E-2</v>
      </c>
      <c r="AA13" s="134">
        <v>46568</v>
      </c>
      <c r="AB13" t="s">
        <v>620</v>
      </c>
      <c r="AC13"/>
      <c r="AD13" s="132"/>
      <c r="AE13" s="133"/>
      <c r="AF13" s="134"/>
      <c r="AG13"/>
      <c r="AH13"/>
      <c r="AI13"/>
      <c r="AJ13" t="s">
        <v>55</v>
      </c>
      <c r="AK13" t="s">
        <v>775</v>
      </c>
      <c r="AL13"/>
      <c r="AM13" t="s">
        <v>305</v>
      </c>
      <c r="AN13" s="134">
        <v>46022</v>
      </c>
      <c r="AO13" s="134"/>
      <c r="AP13" s="133"/>
      <c r="AQ13" s="130">
        <v>29344.65</v>
      </c>
      <c r="AR13" s="130">
        <v>151.66999999999999</v>
      </c>
      <c r="AS13" s="130">
        <v>1</v>
      </c>
      <c r="AT13" s="130">
        <v>44.50703</v>
      </c>
      <c r="AU13" s="130">
        <v>44.50703</v>
      </c>
      <c r="AV13" s="132"/>
      <c r="AW13" s="132"/>
      <c r="AX13"/>
      <c r="AY13"/>
      <c r="AZ13" s="133">
        <v>2.5990000000000002E-3</v>
      </c>
      <c r="BA13" s="133">
        <v>1.0000000000000001E-5</v>
      </c>
    </row>
    <row r="14" spans="1:53" x14ac:dyDescent="0.2">
      <c r="A14">
        <v>274</v>
      </c>
      <c r="B14">
        <v>274</v>
      </c>
      <c r="C14"/>
      <c r="D14"/>
      <c r="E14"/>
      <c r="F14">
        <v>71000208</v>
      </c>
      <c r="G14" t="s">
        <v>245</v>
      </c>
      <c r="H14" t="s">
        <v>1184</v>
      </c>
      <c r="I14" t="s">
        <v>53</v>
      </c>
      <c r="J14"/>
      <c r="K14" t="s">
        <v>264</v>
      </c>
      <c r="L14" t="s">
        <v>62</v>
      </c>
      <c r="M14" t="s">
        <v>55</v>
      </c>
      <c r="N14"/>
      <c r="O14" s="134">
        <v>44858</v>
      </c>
      <c r="P14" t="s">
        <v>1911</v>
      </c>
      <c r="Q14" t="s">
        <v>70</v>
      </c>
      <c r="R14" t="s">
        <v>779</v>
      </c>
      <c r="S14" t="s">
        <v>1221</v>
      </c>
      <c r="T14" s="130">
        <v>4.7</v>
      </c>
      <c r="U14" t="s">
        <v>1910</v>
      </c>
      <c r="V14" s="133">
        <v>3.49E-2</v>
      </c>
      <c r="W14"/>
      <c r="X14"/>
      <c r="Y14" s="133"/>
      <c r="Z14" s="133">
        <v>3.2199999999999999E-2</v>
      </c>
      <c r="AA14" s="134">
        <v>48667</v>
      </c>
      <c r="AB14" t="s">
        <v>620</v>
      </c>
      <c r="AC14"/>
      <c r="AD14" s="132"/>
      <c r="AE14" s="133"/>
      <c r="AF14" s="134"/>
      <c r="AG14"/>
      <c r="AH14"/>
      <c r="AI14"/>
      <c r="AJ14" t="s">
        <v>55</v>
      </c>
      <c r="AK14" t="s">
        <v>775</v>
      </c>
      <c r="AL14"/>
      <c r="AM14" t="s">
        <v>305</v>
      </c>
      <c r="AN14" s="134">
        <v>46022</v>
      </c>
      <c r="AO14" s="134"/>
      <c r="AP14" s="133"/>
      <c r="AQ14" s="130">
        <v>35759.83</v>
      </c>
      <c r="AR14" s="130">
        <v>112.67</v>
      </c>
      <c r="AS14" s="130">
        <v>1</v>
      </c>
      <c r="AT14" s="130">
        <v>40.290599999999998</v>
      </c>
      <c r="AU14" s="130">
        <v>40.290599999999998</v>
      </c>
      <c r="AV14" s="132"/>
      <c r="AW14" s="132"/>
      <c r="AX14"/>
      <c r="AY14"/>
      <c r="AZ14" s="133">
        <v>2.3519999999999999E-3</v>
      </c>
      <c r="BA14" s="133">
        <v>9.0000000000000002E-6</v>
      </c>
    </row>
    <row r="15" spans="1:53" x14ac:dyDescent="0.2">
      <c r="A15">
        <v>274</v>
      </c>
      <c r="B15">
        <v>274</v>
      </c>
      <c r="C15"/>
      <c r="D15"/>
      <c r="E15"/>
      <c r="F15">
        <v>71000207</v>
      </c>
      <c r="G15" t="s">
        <v>245</v>
      </c>
      <c r="H15" t="s">
        <v>1184</v>
      </c>
      <c r="I15" t="s">
        <v>53</v>
      </c>
      <c r="J15"/>
      <c r="K15" t="s">
        <v>264</v>
      </c>
      <c r="L15" t="s">
        <v>62</v>
      </c>
      <c r="M15" t="s">
        <v>55</v>
      </c>
      <c r="N15"/>
      <c r="O15" s="134">
        <v>44858</v>
      </c>
      <c r="P15" t="s">
        <v>1911</v>
      </c>
      <c r="Q15" t="s">
        <v>70</v>
      </c>
      <c r="R15" t="s">
        <v>779</v>
      </c>
      <c r="S15" t="s">
        <v>1221</v>
      </c>
      <c r="T15" s="130">
        <v>4.53</v>
      </c>
      <c r="U15" t="s">
        <v>1910</v>
      </c>
      <c r="V15" s="133">
        <v>3.49E-2</v>
      </c>
      <c r="W15"/>
      <c r="X15"/>
      <c r="Y15" s="133"/>
      <c r="Z15" s="133">
        <v>3.2399999999999998E-2</v>
      </c>
      <c r="AA15" s="134">
        <v>48667</v>
      </c>
      <c r="AB15" t="s">
        <v>620</v>
      </c>
      <c r="AC15"/>
      <c r="AD15" s="132"/>
      <c r="AE15" s="133"/>
      <c r="AF15" s="134"/>
      <c r="AG15"/>
      <c r="AH15"/>
      <c r="AI15"/>
      <c r="AJ15" t="s">
        <v>55</v>
      </c>
      <c r="AK15" t="s">
        <v>775</v>
      </c>
      <c r="AL15"/>
      <c r="AM15" t="s">
        <v>305</v>
      </c>
      <c r="AN15" s="134">
        <v>46022</v>
      </c>
      <c r="AO15" s="134"/>
      <c r="AP15" s="133"/>
      <c r="AQ15" s="130">
        <v>59658.3</v>
      </c>
      <c r="AR15" s="130">
        <v>112.54</v>
      </c>
      <c r="AS15" s="130">
        <v>1</v>
      </c>
      <c r="AT15" s="130">
        <v>67.139449999999997</v>
      </c>
      <c r="AU15" s="130">
        <v>67.139449999999997</v>
      </c>
      <c r="AV15" s="132"/>
      <c r="AW15" s="132"/>
      <c r="AX15"/>
      <c r="AY15"/>
      <c r="AZ15" s="133">
        <v>3.9199999999999999E-3</v>
      </c>
      <c r="BA15" s="133">
        <v>1.5999999999999999E-5</v>
      </c>
    </row>
    <row r="16" spans="1:53" x14ac:dyDescent="0.2">
      <c r="A16">
        <v>274</v>
      </c>
      <c r="B16">
        <v>274</v>
      </c>
      <c r="C16"/>
      <c r="D16"/>
      <c r="E16"/>
      <c r="F16">
        <v>72002009</v>
      </c>
      <c r="G16" t="s">
        <v>245</v>
      </c>
      <c r="H16" t="s">
        <v>1184</v>
      </c>
      <c r="I16" t="s">
        <v>53</v>
      </c>
      <c r="J16"/>
      <c r="K16" t="s">
        <v>264</v>
      </c>
      <c r="L16" t="s">
        <v>62</v>
      </c>
      <c r="M16" t="s">
        <v>55</v>
      </c>
      <c r="N16"/>
      <c r="O16" s="134">
        <v>45973</v>
      </c>
      <c r="P16" t="s">
        <v>1316</v>
      </c>
      <c r="Q16" t="s">
        <v>70</v>
      </c>
      <c r="R16" t="s">
        <v>779</v>
      </c>
      <c r="S16" t="s">
        <v>1221</v>
      </c>
      <c r="T16" s="130">
        <v>4.4969999999999999</v>
      </c>
      <c r="U16" t="s">
        <v>1910</v>
      </c>
      <c r="V16" s="133">
        <v>4.0475999999999998E-2</v>
      </c>
      <c r="W16"/>
      <c r="X16"/>
      <c r="Y16" s="133"/>
      <c r="Z16" s="133">
        <v>4.2000000000000003E-2</v>
      </c>
      <c r="AA16" s="134">
        <v>48844</v>
      </c>
      <c r="AB16" t="s">
        <v>620</v>
      </c>
      <c r="AC16"/>
      <c r="AD16" s="132"/>
      <c r="AE16" s="133"/>
      <c r="AF16" s="134"/>
      <c r="AG16"/>
      <c r="AH16"/>
      <c r="AI16"/>
      <c r="AJ16" t="s">
        <v>55</v>
      </c>
      <c r="AK16" t="s">
        <v>775</v>
      </c>
      <c r="AL16"/>
      <c r="AM16" t="s">
        <v>305</v>
      </c>
      <c r="AN16" s="134">
        <v>46022</v>
      </c>
      <c r="AO16" s="134"/>
      <c r="AP16" s="133"/>
      <c r="AQ16" s="130">
        <v>3886</v>
      </c>
      <c r="AR16" s="130">
        <v>99.59</v>
      </c>
      <c r="AS16" s="130">
        <v>1</v>
      </c>
      <c r="AT16" s="130">
        <v>3.8700700000000001</v>
      </c>
      <c r="AU16" s="130">
        <v>3.8700700000000001</v>
      </c>
      <c r="AV16" s="132"/>
      <c r="AW16" s="132"/>
      <c r="AX16"/>
      <c r="AY16"/>
      <c r="AZ16" s="133">
        <v>2.2599999999999999E-4</v>
      </c>
      <c r="BA16" s="133">
        <v>0</v>
      </c>
    </row>
    <row r="17" spans="1:53" x14ac:dyDescent="0.2">
      <c r="A17">
        <v>274</v>
      </c>
      <c r="B17">
        <v>274</v>
      </c>
      <c r="C17"/>
      <c r="D17"/>
      <c r="E17"/>
      <c r="F17">
        <v>71000206</v>
      </c>
      <c r="G17" t="s">
        <v>245</v>
      </c>
      <c r="H17" t="s">
        <v>1184</v>
      </c>
      <c r="I17" t="s">
        <v>53</v>
      </c>
      <c r="J17"/>
      <c r="K17" t="s">
        <v>264</v>
      </c>
      <c r="L17" t="s">
        <v>62</v>
      </c>
      <c r="M17" t="s">
        <v>55</v>
      </c>
      <c r="N17"/>
      <c r="O17" s="134">
        <v>44858</v>
      </c>
      <c r="P17" t="s">
        <v>1911</v>
      </c>
      <c r="Q17" t="s">
        <v>70</v>
      </c>
      <c r="R17" t="s">
        <v>779</v>
      </c>
      <c r="S17" t="s">
        <v>1221</v>
      </c>
      <c r="T17" s="130">
        <v>4.6399999999999997</v>
      </c>
      <c r="U17" t="s">
        <v>1910</v>
      </c>
      <c r="V17" s="133">
        <v>3.49E-2</v>
      </c>
      <c r="W17"/>
      <c r="X17"/>
      <c r="Y17" s="133"/>
      <c r="Z17" s="133">
        <v>3.2300000000000002E-2</v>
      </c>
      <c r="AA17" s="134">
        <v>48844</v>
      </c>
      <c r="AB17" t="s">
        <v>620</v>
      </c>
      <c r="AC17"/>
      <c r="AD17" s="132"/>
      <c r="AE17" s="133"/>
      <c r="AF17" s="134"/>
      <c r="AG17"/>
      <c r="AH17"/>
      <c r="AI17"/>
      <c r="AJ17" t="s">
        <v>55</v>
      </c>
      <c r="AK17" t="s">
        <v>775</v>
      </c>
      <c r="AL17"/>
      <c r="AM17" t="s">
        <v>305</v>
      </c>
      <c r="AN17" s="134">
        <v>46022</v>
      </c>
      <c r="AO17" s="134"/>
      <c r="AP17" s="133"/>
      <c r="AQ17" s="130">
        <v>47457.599999999999</v>
      </c>
      <c r="AR17" s="130">
        <v>112.6</v>
      </c>
      <c r="AS17" s="130">
        <v>1</v>
      </c>
      <c r="AT17" s="130">
        <v>53.437260000000002</v>
      </c>
      <c r="AU17" s="130">
        <v>53.437260000000002</v>
      </c>
      <c r="AV17" s="132"/>
      <c r="AW17" s="132"/>
      <c r="AX17"/>
      <c r="AY17"/>
      <c r="AZ17" s="133">
        <v>3.1199999999999999E-3</v>
      </c>
      <c r="BA17" s="133">
        <v>1.2E-5</v>
      </c>
    </row>
    <row r="18" spans="1:53" x14ac:dyDescent="0.2">
      <c r="A18">
        <v>274</v>
      </c>
      <c r="B18">
        <v>274</v>
      </c>
      <c r="C18"/>
      <c r="D18"/>
      <c r="E18"/>
      <c r="F18">
        <v>63941</v>
      </c>
      <c r="G18" t="s">
        <v>245</v>
      </c>
      <c r="H18" t="s">
        <v>1184</v>
      </c>
      <c r="I18" t="s">
        <v>53</v>
      </c>
      <c r="J18"/>
      <c r="K18" t="s">
        <v>140</v>
      </c>
      <c r="L18" t="s">
        <v>62</v>
      </c>
      <c r="M18" t="s">
        <v>55</v>
      </c>
      <c r="N18"/>
      <c r="O18" s="134">
        <v>43222</v>
      </c>
      <c r="P18" t="s">
        <v>1896</v>
      </c>
      <c r="Q18" t="s">
        <v>65</v>
      </c>
      <c r="R18" t="s">
        <v>779</v>
      </c>
      <c r="S18" t="s">
        <v>1221</v>
      </c>
      <c r="T18" s="130">
        <v>5.2</v>
      </c>
      <c r="U18" t="s">
        <v>1910</v>
      </c>
      <c r="V18" s="133">
        <v>3.3099999999999997E-2</v>
      </c>
      <c r="W18"/>
      <c r="X18"/>
      <c r="Y18" s="133"/>
      <c r="Z18" s="133">
        <v>3.3500000000000002E-2</v>
      </c>
      <c r="AA18" s="134">
        <v>50040</v>
      </c>
      <c r="AB18" t="s">
        <v>620</v>
      </c>
      <c r="AC18"/>
      <c r="AD18" s="132"/>
      <c r="AE18" s="133"/>
      <c r="AF18" s="134"/>
      <c r="AG18"/>
      <c r="AH18"/>
      <c r="AI18"/>
      <c r="AJ18" t="s">
        <v>55</v>
      </c>
      <c r="AK18" t="s">
        <v>775</v>
      </c>
      <c r="AL18"/>
      <c r="AM18" t="s">
        <v>305</v>
      </c>
      <c r="AN18" s="134">
        <v>46022</v>
      </c>
      <c r="AO18" s="134"/>
      <c r="AP18" s="133"/>
      <c r="AQ18" s="130">
        <v>32060.86</v>
      </c>
      <c r="AR18" s="130">
        <v>119.02</v>
      </c>
      <c r="AS18" s="130">
        <v>1</v>
      </c>
      <c r="AT18" s="130">
        <v>38.158839999999998</v>
      </c>
      <c r="AU18" s="130">
        <v>38.158839999999998</v>
      </c>
      <c r="AV18" s="132"/>
      <c r="AW18" s="132"/>
      <c r="AX18"/>
      <c r="AY18"/>
      <c r="AZ18" s="133">
        <v>2.2279999999999999E-3</v>
      </c>
      <c r="BA18" s="133">
        <v>9.0000000000000002E-6</v>
      </c>
    </row>
    <row r="19" spans="1:53" x14ac:dyDescent="0.2">
      <c r="A19">
        <v>274</v>
      </c>
      <c r="B19">
        <v>274</v>
      </c>
      <c r="C19"/>
      <c r="D19"/>
      <c r="E19"/>
      <c r="F19">
        <v>63883</v>
      </c>
      <c r="G19" t="s">
        <v>245</v>
      </c>
      <c r="H19" t="s">
        <v>1184</v>
      </c>
      <c r="I19" t="s">
        <v>53</v>
      </c>
      <c r="J19"/>
      <c r="K19" t="s">
        <v>140</v>
      </c>
      <c r="L19" t="s">
        <v>62</v>
      </c>
      <c r="M19" t="s">
        <v>55</v>
      </c>
      <c r="N19"/>
      <c r="O19" s="134">
        <v>42942</v>
      </c>
      <c r="P19" t="s">
        <v>1896</v>
      </c>
      <c r="Q19" t="s">
        <v>65</v>
      </c>
      <c r="R19" t="s">
        <v>779</v>
      </c>
      <c r="S19" t="s">
        <v>1221</v>
      </c>
      <c r="T19" s="130">
        <v>5.25</v>
      </c>
      <c r="U19" t="s">
        <v>1910</v>
      </c>
      <c r="V19" s="133">
        <v>3.4099999999999998E-2</v>
      </c>
      <c r="W19"/>
      <c r="X19"/>
      <c r="Y19" s="133"/>
      <c r="Z19" s="133">
        <v>2.86E-2</v>
      </c>
      <c r="AA19" s="134">
        <v>50040</v>
      </c>
      <c r="AB19" t="s">
        <v>620</v>
      </c>
      <c r="AC19"/>
      <c r="AD19" s="132"/>
      <c r="AE19" s="133"/>
      <c r="AF19" s="134"/>
      <c r="AG19"/>
      <c r="AH19"/>
      <c r="AI19"/>
      <c r="AJ19" t="s">
        <v>55</v>
      </c>
      <c r="AK19" t="s">
        <v>775</v>
      </c>
      <c r="AL19"/>
      <c r="AM19" t="s">
        <v>305</v>
      </c>
      <c r="AN19" s="134">
        <v>46022</v>
      </c>
      <c r="AO19" s="134"/>
      <c r="AP19" s="133"/>
      <c r="AQ19" s="130">
        <v>3162923.21</v>
      </c>
      <c r="AR19" s="130">
        <v>122.37</v>
      </c>
      <c r="AS19" s="130">
        <v>1</v>
      </c>
      <c r="AT19" s="130">
        <v>3870.46913</v>
      </c>
      <c r="AU19" s="130">
        <v>3870.46913</v>
      </c>
      <c r="AV19" s="132"/>
      <c r="AW19" s="132"/>
      <c r="AX19"/>
      <c r="AY19"/>
      <c r="AZ19" s="133">
        <v>0.22603799999999999</v>
      </c>
      <c r="BA19" s="133">
        <v>9.3499999999999996E-4</v>
      </c>
    </row>
    <row r="20" spans="1:53" x14ac:dyDescent="0.2">
      <c r="A20">
        <v>274</v>
      </c>
      <c r="B20">
        <v>274</v>
      </c>
      <c r="C20"/>
      <c r="D20"/>
      <c r="E20"/>
      <c r="F20">
        <v>63289</v>
      </c>
      <c r="G20" t="s">
        <v>245</v>
      </c>
      <c r="H20" t="s">
        <v>1184</v>
      </c>
      <c r="I20" t="s">
        <v>53</v>
      </c>
      <c r="J20"/>
      <c r="K20" t="s">
        <v>140</v>
      </c>
      <c r="L20" t="s">
        <v>62</v>
      </c>
      <c r="M20" t="s">
        <v>55</v>
      </c>
      <c r="N20"/>
      <c r="O20" s="134">
        <v>43067</v>
      </c>
      <c r="P20" t="s">
        <v>1896</v>
      </c>
      <c r="Q20" t="s">
        <v>65</v>
      </c>
      <c r="R20" t="s">
        <v>779</v>
      </c>
      <c r="S20" t="s">
        <v>1221</v>
      </c>
      <c r="T20" s="130">
        <v>5.2</v>
      </c>
      <c r="U20" t="s">
        <v>1910</v>
      </c>
      <c r="V20" s="133">
        <v>3.3099999999999997E-2</v>
      </c>
      <c r="W20"/>
      <c r="X20"/>
      <c r="Y20" s="133"/>
      <c r="Z20" s="133">
        <v>3.3500000000000002E-2</v>
      </c>
      <c r="AA20" s="134">
        <v>50040</v>
      </c>
      <c r="AB20" t="s">
        <v>620</v>
      </c>
      <c r="AC20"/>
      <c r="AD20" s="132"/>
      <c r="AE20" s="133"/>
      <c r="AF20" s="134"/>
      <c r="AG20"/>
      <c r="AH20"/>
      <c r="AI20"/>
      <c r="AJ20" t="s">
        <v>55</v>
      </c>
      <c r="AK20" t="s">
        <v>775</v>
      </c>
      <c r="AL20"/>
      <c r="AM20" t="s">
        <v>305</v>
      </c>
      <c r="AN20" s="134">
        <v>46022</v>
      </c>
      <c r="AO20" s="134"/>
      <c r="AP20" s="133"/>
      <c r="AQ20" s="130">
        <v>129611.23</v>
      </c>
      <c r="AR20" s="130">
        <v>118.66</v>
      </c>
      <c r="AS20" s="130">
        <v>1</v>
      </c>
      <c r="AT20" s="130">
        <v>153.79669000000001</v>
      </c>
      <c r="AU20" s="130">
        <v>153.79669000000001</v>
      </c>
      <c r="AV20" s="132"/>
      <c r="AW20" s="132"/>
      <c r="AX20"/>
      <c r="AY20"/>
      <c r="AZ20" s="133">
        <v>8.9809999999999994E-3</v>
      </c>
      <c r="BA20" s="133">
        <v>3.6999999999999998E-5</v>
      </c>
    </row>
    <row r="21" spans="1:53" x14ac:dyDescent="0.2">
      <c r="A21">
        <v>274</v>
      </c>
      <c r="B21">
        <v>274</v>
      </c>
      <c r="C21"/>
      <c r="D21"/>
      <c r="E21"/>
      <c r="F21">
        <v>6205</v>
      </c>
      <c r="G21" t="s">
        <v>245</v>
      </c>
      <c r="H21" t="s">
        <v>1184</v>
      </c>
      <c r="I21" t="s">
        <v>53</v>
      </c>
      <c r="J21"/>
      <c r="K21" t="s">
        <v>163</v>
      </c>
      <c r="L21" t="s">
        <v>62</v>
      </c>
      <c r="M21" t="s">
        <v>55</v>
      </c>
      <c r="N21"/>
      <c r="O21" s="134">
        <v>39922</v>
      </c>
      <c r="P21" t="s">
        <v>1887</v>
      </c>
      <c r="Q21" t="s">
        <v>65</v>
      </c>
      <c r="R21" t="s">
        <v>779</v>
      </c>
      <c r="S21" t="s">
        <v>1221</v>
      </c>
      <c r="T21" s="130">
        <v>2.41</v>
      </c>
      <c r="U21" t="s">
        <v>1910</v>
      </c>
      <c r="V21" s="133">
        <v>4.2700000000000002E-2</v>
      </c>
      <c r="W21"/>
      <c r="X21"/>
      <c r="Y21" s="133"/>
      <c r="Z21" s="133">
        <v>3.9300000000000002E-2</v>
      </c>
      <c r="AA21" s="134">
        <v>47762</v>
      </c>
      <c r="AB21" t="s">
        <v>620</v>
      </c>
      <c r="AC21"/>
      <c r="AD21" s="132"/>
      <c r="AE21" s="133"/>
      <c r="AF21" s="134"/>
      <c r="AG21"/>
      <c r="AH21"/>
      <c r="AI21"/>
      <c r="AJ21" t="s">
        <v>55</v>
      </c>
      <c r="AK21" t="s">
        <v>775</v>
      </c>
      <c r="AL21"/>
      <c r="AM21" t="s">
        <v>305</v>
      </c>
      <c r="AN21" s="134">
        <v>46022</v>
      </c>
      <c r="AO21" s="134"/>
      <c r="AP21" s="133"/>
      <c r="AQ21" s="130">
        <v>2372856.3199999998</v>
      </c>
      <c r="AR21" s="130">
        <v>138.16999999999999</v>
      </c>
      <c r="AS21" s="130">
        <v>1</v>
      </c>
      <c r="AT21" s="130">
        <v>3278.5755800000002</v>
      </c>
      <c r="AU21" s="130">
        <v>3278.5755800000002</v>
      </c>
      <c r="AV21" s="132"/>
      <c r="AW21" s="132"/>
      <c r="AX21"/>
      <c r="AY21"/>
      <c r="AZ21" s="133">
        <v>0.191471</v>
      </c>
      <c r="BA21" s="133">
        <v>7.9199999999999995E-4</v>
      </c>
    </row>
    <row r="22" spans="1:53" x14ac:dyDescent="0.2">
      <c r="A22">
        <v>274</v>
      </c>
      <c r="B22">
        <v>274</v>
      </c>
      <c r="C22"/>
      <c r="D22"/>
      <c r="E22"/>
      <c r="F22">
        <v>6189</v>
      </c>
      <c r="G22" t="s">
        <v>245</v>
      </c>
      <c r="H22" t="s">
        <v>1184</v>
      </c>
      <c r="I22" t="s">
        <v>53</v>
      </c>
      <c r="J22"/>
      <c r="K22" t="s">
        <v>163</v>
      </c>
      <c r="L22" t="s">
        <v>62</v>
      </c>
      <c r="M22" t="s">
        <v>55</v>
      </c>
      <c r="N22"/>
      <c r="O22" s="134">
        <v>39261</v>
      </c>
      <c r="P22" t="s">
        <v>1912</v>
      </c>
      <c r="Q22" t="s">
        <v>70</v>
      </c>
      <c r="R22" t="s">
        <v>779</v>
      </c>
      <c r="S22" t="s">
        <v>1221</v>
      </c>
      <c r="T22" s="130">
        <v>0.99</v>
      </c>
      <c r="U22" t="s">
        <v>1910</v>
      </c>
      <c r="V22" s="133">
        <v>4.7039999999999998E-2</v>
      </c>
      <c r="W22"/>
      <c r="X22"/>
      <c r="Y22" s="133"/>
      <c r="Z22" s="133">
        <v>3.56E-2</v>
      </c>
      <c r="AA22" s="134">
        <v>46568</v>
      </c>
      <c r="AB22" t="s">
        <v>620</v>
      </c>
      <c r="AC22"/>
      <c r="AD22" s="132"/>
      <c r="AE22" s="133"/>
      <c r="AF22" s="134"/>
      <c r="AG22"/>
      <c r="AH22"/>
      <c r="AI22"/>
      <c r="AJ22" t="s">
        <v>55</v>
      </c>
      <c r="AK22" t="s">
        <v>775</v>
      </c>
      <c r="AL22"/>
      <c r="AM22" t="s">
        <v>305</v>
      </c>
      <c r="AN22" s="134">
        <v>46022</v>
      </c>
      <c r="AO22" s="134"/>
      <c r="AP22" s="133"/>
      <c r="AQ22" s="130">
        <v>90059.12</v>
      </c>
      <c r="AR22" s="130">
        <v>143.74</v>
      </c>
      <c r="AS22" s="130">
        <v>1</v>
      </c>
      <c r="AT22" s="130">
        <v>129.45097999999999</v>
      </c>
      <c r="AU22" s="130">
        <v>129.45097999999999</v>
      </c>
      <c r="AV22" s="132"/>
      <c r="AW22" s="132"/>
      <c r="AX22"/>
      <c r="AY22"/>
      <c r="AZ22" s="133">
        <v>7.5599999999999999E-3</v>
      </c>
      <c r="BA22" s="133">
        <v>3.1000000000000001E-5</v>
      </c>
    </row>
    <row r="23" spans="1:53" x14ac:dyDescent="0.2">
      <c r="A23">
        <v>274</v>
      </c>
      <c r="B23">
        <v>274</v>
      </c>
      <c r="C23"/>
      <c r="D23"/>
      <c r="E23"/>
      <c r="F23">
        <v>54130</v>
      </c>
      <c r="G23" t="s">
        <v>245</v>
      </c>
      <c r="H23" t="s">
        <v>1184</v>
      </c>
      <c r="I23" t="s">
        <v>53</v>
      </c>
      <c r="J23"/>
      <c r="K23" t="s">
        <v>163</v>
      </c>
      <c r="L23" t="s">
        <v>62</v>
      </c>
      <c r="M23" t="s">
        <v>55</v>
      </c>
      <c r="N23"/>
      <c r="O23" s="134">
        <v>42054</v>
      </c>
      <c r="P23" t="s">
        <v>1292</v>
      </c>
      <c r="Q23" t="s">
        <v>65</v>
      </c>
      <c r="R23" t="s">
        <v>779</v>
      </c>
      <c r="S23" t="s">
        <v>1221</v>
      </c>
      <c r="T23" s="130">
        <v>2.85</v>
      </c>
      <c r="U23" t="s">
        <v>1910</v>
      </c>
      <c r="V23" s="133">
        <v>5.5E-2</v>
      </c>
      <c r="W23"/>
      <c r="X23"/>
      <c r="Y23" s="133"/>
      <c r="Z23" s="133">
        <v>2.8000000000000001E-2</v>
      </c>
      <c r="AA23" s="134">
        <v>47986</v>
      </c>
      <c r="AB23" t="s">
        <v>620</v>
      </c>
      <c r="AC23"/>
      <c r="AD23" s="132"/>
      <c r="AE23" s="133"/>
      <c r="AF23" s="134"/>
      <c r="AG23"/>
      <c r="AH23"/>
      <c r="AI23"/>
      <c r="AJ23" t="s">
        <v>55</v>
      </c>
      <c r="AK23" t="s">
        <v>775</v>
      </c>
      <c r="AL23"/>
      <c r="AM23" t="s">
        <v>305</v>
      </c>
      <c r="AN23" s="134">
        <v>46022</v>
      </c>
      <c r="AO23" s="134"/>
      <c r="AP23" s="133"/>
      <c r="AQ23" s="130">
        <v>161308.93</v>
      </c>
      <c r="AR23" s="130">
        <v>127.51</v>
      </c>
      <c r="AS23" s="130">
        <v>1</v>
      </c>
      <c r="AT23" s="130">
        <v>205.68502000000001</v>
      </c>
      <c r="AU23" s="130">
        <v>205.68502000000001</v>
      </c>
      <c r="AV23" s="132"/>
      <c r="AW23" s="132"/>
      <c r="AX23"/>
      <c r="AY23"/>
      <c r="AZ23" s="133">
        <v>1.2012E-2</v>
      </c>
      <c r="BA23" s="133">
        <v>4.8999999999999998E-5</v>
      </c>
    </row>
    <row r="24" spans="1:53" x14ac:dyDescent="0.2">
      <c r="A24">
        <v>274</v>
      </c>
      <c r="B24">
        <v>274</v>
      </c>
      <c r="C24"/>
      <c r="D24"/>
      <c r="E24"/>
      <c r="F24">
        <v>54122</v>
      </c>
      <c r="G24" t="s">
        <v>245</v>
      </c>
      <c r="H24" t="s">
        <v>1184</v>
      </c>
      <c r="I24" t="s">
        <v>53</v>
      </c>
      <c r="J24"/>
      <c r="K24" t="s">
        <v>163</v>
      </c>
      <c r="L24" t="s">
        <v>62</v>
      </c>
      <c r="M24" t="s">
        <v>55</v>
      </c>
      <c r="N24"/>
      <c r="O24" s="134">
        <v>42033</v>
      </c>
      <c r="P24" t="s">
        <v>1292</v>
      </c>
      <c r="Q24" t="s">
        <v>65</v>
      </c>
      <c r="R24" t="s">
        <v>779</v>
      </c>
      <c r="S24" t="s">
        <v>1221</v>
      </c>
      <c r="T24" s="130">
        <v>2.85</v>
      </c>
      <c r="U24" t="s">
        <v>1910</v>
      </c>
      <c r="V24" s="133">
        <v>5.5E-2</v>
      </c>
      <c r="W24"/>
      <c r="X24"/>
      <c r="Y24" s="133"/>
      <c r="Z24" s="133">
        <v>2.8000000000000001E-2</v>
      </c>
      <c r="AA24" s="134">
        <v>47986</v>
      </c>
      <c r="AB24" t="s">
        <v>620</v>
      </c>
      <c r="AC24"/>
      <c r="AD24" s="132"/>
      <c r="AE24" s="133"/>
      <c r="AF24" s="134"/>
      <c r="AG24"/>
      <c r="AH24"/>
      <c r="AI24"/>
      <c r="AJ24" t="s">
        <v>55</v>
      </c>
      <c r="AK24" t="s">
        <v>775</v>
      </c>
      <c r="AL24"/>
      <c r="AM24" t="s">
        <v>305</v>
      </c>
      <c r="AN24" s="134">
        <v>46022</v>
      </c>
      <c r="AO24" s="134"/>
      <c r="AP24" s="133"/>
      <c r="AQ24" s="130">
        <v>82577.919999999998</v>
      </c>
      <c r="AR24" s="130">
        <v>126.36</v>
      </c>
      <c r="AS24" s="130">
        <v>1</v>
      </c>
      <c r="AT24" s="130">
        <v>104.34546</v>
      </c>
      <c r="AU24" s="130">
        <v>104.34546</v>
      </c>
      <c r="AV24" s="132"/>
      <c r="AW24" s="132"/>
      <c r="AX24"/>
      <c r="AY24"/>
      <c r="AZ24" s="133">
        <v>6.0930000000000003E-3</v>
      </c>
      <c r="BA24" s="133">
        <v>2.5000000000000001E-5</v>
      </c>
    </row>
    <row r="25" spans="1:53" x14ac:dyDescent="0.2">
      <c r="A25">
        <v>274</v>
      </c>
      <c r="B25">
        <v>274</v>
      </c>
      <c r="C25"/>
      <c r="D25"/>
      <c r="E25"/>
      <c r="F25">
        <v>71000205</v>
      </c>
      <c r="G25" t="s">
        <v>245</v>
      </c>
      <c r="H25" t="s">
        <v>1184</v>
      </c>
      <c r="I25" t="s">
        <v>53</v>
      </c>
      <c r="J25"/>
      <c r="K25" t="s">
        <v>264</v>
      </c>
      <c r="L25" t="s">
        <v>62</v>
      </c>
      <c r="M25" t="s">
        <v>55</v>
      </c>
      <c r="N25"/>
      <c r="O25" s="134">
        <v>44858</v>
      </c>
      <c r="P25" t="s">
        <v>1911</v>
      </c>
      <c r="Q25" t="s">
        <v>70</v>
      </c>
      <c r="R25" t="s">
        <v>779</v>
      </c>
      <c r="S25" t="s">
        <v>1221</v>
      </c>
      <c r="T25" s="130">
        <v>4.5</v>
      </c>
      <c r="U25" t="s">
        <v>1910</v>
      </c>
      <c r="V25" s="133">
        <v>3.49E-2</v>
      </c>
      <c r="W25"/>
      <c r="X25"/>
      <c r="Y25" s="133"/>
      <c r="Z25" s="133">
        <v>3.2500000000000001E-2</v>
      </c>
      <c r="AA25" s="134">
        <v>48667</v>
      </c>
      <c r="AB25" t="s">
        <v>620</v>
      </c>
      <c r="AC25"/>
      <c r="AD25" s="132"/>
      <c r="AE25" s="133"/>
      <c r="AF25" s="134"/>
      <c r="AG25"/>
      <c r="AH25"/>
      <c r="AI25"/>
      <c r="AJ25" t="s">
        <v>55</v>
      </c>
      <c r="AK25" t="s">
        <v>775</v>
      </c>
      <c r="AL25"/>
      <c r="AM25" t="s">
        <v>305</v>
      </c>
      <c r="AN25" s="134">
        <v>46022</v>
      </c>
      <c r="AO25" s="134"/>
      <c r="AP25" s="133"/>
      <c r="AQ25" s="130">
        <v>48907.97</v>
      </c>
      <c r="AR25" s="130">
        <v>112.49</v>
      </c>
      <c r="AS25" s="130">
        <v>1</v>
      </c>
      <c r="AT25" s="130">
        <v>55.016579999999998</v>
      </c>
      <c r="AU25" s="130">
        <v>55.016579999999998</v>
      </c>
      <c r="AV25" s="132"/>
      <c r="AW25" s="132"/>
      <c r="AX25"/>
      <c r="AY25"/>
      <c r="AZ25" s="133">
        <v>3.2130000000000001E-3</v>
      </c>
      <c r="BA25" s="133">
        <v>1.2999999999999999E-5</v>
      </c>
    </row>
    <row r="26" spans="1:53" x14ac:dyDescent="0.2">
      <c r="A26">
        <v>274</v>
      </c>
      <c r="B26">
        <v>274</v>
      </c>
      <c r="C26"/>
      <c r="D26"/>
      <c r="E26"/>
      <c r="F26">
        <v>72002010</v>
      </c>
      <c r="G26" t="s">
        <v>245</v>
      </c>
      <c r="H26" t="s">
        <v>1184</v>
      </c>
      <c r="I26" t="s">
        <v>53</v>
      </c>
      <c r="J26"/>
      <c r="K26" t="s">
        <v>264</v>
      </c>
      <c r="L26" t="s">
        <v>62</v>
      </c>
      <c r="M26" t="s">
        <v>55</v>
      </c>
      <c r="N26"/>
      <c r="O26" s="134">
        <v>45973</v>
      </c>
      <c r="P26" t="s">
        <v>1316</v>
      </c>
      <c r="Q26" t="s">
        <v>70</v>
      </c>
      <c r="R26" t="s">
        <v>779</v>
      </c>
      <c r="S26" t="s">
        <v>1221</v>
      </c>
      <c r="T26" s="130">
        <v>4.5940000000000003</v>
      </c>
      <c r="U26" t="s">
        <v>1910</v>
      </c>
      <c r="V26" s="133">
        <v>4.0530999999999998E-2</v>
      </c>
      <c r="W26"/>
      <c r="X26"/>
      <c r="Y26" s="133"/>
      <c r="Z26" s="133">
        <v>4.2000000000000003E-2</v>
      </c>
      <c r="AA26" s="134">
        <v>48844</v>
      </c>
      <c r="AB26" t="s">
        <v>620</v>
      </c>
      <c r="AC26"/>
      <c r="AD26" s="132"/>
      <c r="AE26" s="133"/>
      <c r="AF26" s="134"/>
      <c r="AG26"/>
      <c r="AH26"/>
      <c r="AI26"/>
      <c r="AJ26" t="s">
        <v>55</v>
      </c>
      <c r="AK26" t="s">
        <v>775</v>
      </c>
      <c r="AL26"/>
      <c r="AM26" t="s">
        <v>305</v>
      </c>
      <c r="AN26" s="134">
        <v>46022</v>
      </c>
      <c r="AO26" s="134"/>
      <c r="AP26" s="133"/>
      <c r="AQ26" s="130">
        <v>4537</v>
      </c>
      <c r="AR26" s="130">
        <v>99.55</v>
      </c>
      <c r="AS26" s="130">
        <v>1</v>
      </c>
      <c r="AT26" s="130">
        <v>4.5165800000000003</v>
      </c>
      <c r="AU26" s="130">
        <v>4.5165800000000003</v>
      </c>
      <c r="AV26" s="132"/>
      <c r="AW26" s="132"/>
      <c r="AX26"/>
      <c r="AY26"/>
      <c r="AZ26" s="133">
        <v>2.63E-4</v>
      </c>
      <c r="BA26" s="133">
        <v>9.9999999999999995E-7</v>
      </c>
    </row>
    <row r="27" spans="1:53" x14ac:dyDescent="0.2">
      <c r="A27">
        <v>274</v>
      </c>
      <c r="B27">
        <v>274</v>
      </c>
      <c r="C27"/>
      <c r="D27"/>
      <c r="E27"/>
      <c r="F27">
        <v>72002011</v>
      </c>
      <c r="G27" t="s">
        <v>245</v>
      </c>
      <c r="H27" t="s">
        <v>1184</v>
      </c>
      <c r="I27" t="s">
        <v>53</v>
      </c>
      <c r="J27"/>
      <c r="K27" t="s">
        <v>264</v>
      </c>
      <c r="L27" t="s">
        <v>62</v>
      </c>
      <c r="M27" t="s">
        <v>55</v>
      </c>
      <c r="N27"/>
      <c r="O27" s="134">
        <v>45973</v>
      </c>
      <c r="P27" t="s">
        <v>1316</v>
      </c>
      <c r="Q27" t="s">
        <v>70</v>
      </c>
      <c r="R27" t="s">
        <v>779</v>
      </c>
      <c r="S27" t="s">
        <v>1221</v>
      </c>
      <c r="T27" s="130">
        <v>4.37</v>
      </c>
      <c r="U27" t="s">
        <v>1910</v>
      </c>
      <c r="V27" s="133">
        <v>4.0497999999999999E-2</v>
      </c>
      <c r="W27"/>
      <c r="X27"/>
      <c r="Y27" s="133"/>
      <c r="Z27" s="133">
        <v>4.3200000000000002E-2</v>
      </c>
      <c r="AA27" s="134">
        <v>48844</v>
      </c>
      <c r="AB27" t="s">
        <v>620</v>
      </c>
      <c r="AC27"/>
      <c r="AD27" s="132"/>
      <c r="AE27" s="133"/>
      <c r="AF27" s="134"/>
      <c r="AG27"/>
      <c r="AH27"/>
      <c r="AI27"/>
      <c r="AJ27" t="s">
        <v>55</v>
      </c>
      <c r="AK27" t="s">
        <v>775</v>
      </c>
      <c r="AL27"/>
      <c r="AM27" t="s">
        <v>305</v>
      </c>
      <c r="AN27" s="134">
        <v>46022</v>
      </c>
      <c r="AO27" s="134"/>
      <c r="AP27" s="133"/>
      <c r="AQ27" s="130">
        <v>3393</v>
      </c>
      <c r="AR27" s="130">
        <v>99.57</v>
      </c>
      <c r="AS27" s="130">
        <v>1</v>
      </c>
      <c r="AT27" s="130">
        <v>3.3784100000000001</v>
      </c>
      <c r="AU27" s="130">
        <v>3.3784100000000001</v>
      </c>
      <c r="AV27" s="132"/>
      <c r="AW27" s="132"/>
      <c r="AX27"/>
      <c r="AY27"/>
      <c r="AZ27" s="133">
        <v>1.9699999999999999E-4</v>
      </c>
      <c r="BA27" s="133">
        <v>0</v>
      </c>
    </row>
    <row r="28" spans="1:53" x14ac:dyDescent="0.2">
      <c r="A28">
        <v>274</v>
      </c>
      <c r="B28">
        <v>274</v>
      </c>
      <c r="C28"/>
      <c r="D28"/>
      <c r="E28"/>
      <c r="F28">
        <v>72002012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55</v>
      </c>
      <c r="N28"/>
      <c r="O28" s="134">
        <v>45973</v>
      </c>
      <c r="P28" t="s">
        <v>1316</v>
      </c>
      <c r="Q28" t="s">
        <v>70</v>
      </c>
      <c r="R28" t="s">
        <v>779</v>
      </c>
      <c r="S28" t="s">
        <v>1221</v>
      </c>
      <c r="T28" s="130">
        <v>4.75</v>
      </c>
      <c r="U28" t="s">
        <v>1910</v>
      </c>
      <c r="V28" s="133">
        <v>3.9477999999999999E-2</v>
      </c>
      <c r="W28"/>
      <c r="X28"/>
      <c r="Y28" s="133"/>
      <c r="Z28" s="133">
        <v>4.1799999999999997E-2</v>
      </c>
      <c r="AA28" s="134">
        <v>48844</v>
      </c>
      <c r="AB28" t="s">
        <v>620</v>
      </c>
      <c r="AC28"/>
      <c r="AD28" s="132"/>
      <c r="AE28" s="133"/>
      <c r="AF28" s="134"/>
      <c r="AG28"/>
      <c r="AH28"/>
      <c r="AI28"/>
      <c r="AJ28" t="s">
        <v>55</v>
      </c>
      <c r="AK28" t="s">
        <v>775</v>
      </c>
      <c r="AL28"/>
      <c r="AM28" t="s">
        <v>305</v>
      </c>
      <c r="AN28" s="134">
        <v>46022</v>
      </c>
      <c r="AO28" s="134"/>
      <c r="AP28" s="133"/>
      <c r="AQ28" s="130">
        <v>2516</v>
      </c>
      <c r="AR28" s="130">
        <v>99.64</v>
      </c>
      <c r="AS28" s="130">
        <v>1</v>
      </c>
      <c r="AT28" s="130">
        <v>2.5069400000000002</v>
      </c>
      <c r="AU28" s="130">
        <v>2.5069400000000002</v>
      </c>
      <c r="AV28" s="132"/>
      <c r="AW28" s="132"/>
      <c r="AX28"/>
      <c r="AY28"/>
      <c r="AZ28" s="133">
        <v>1.46E-4</v>
      </c>
      <c r="BA28" s="133">
        <v>0</v>
      </c>
    </row>
    <row r="29" spans="1:53" x14ac:dyDescent="0.2">
      <c r="A29">
        <v>274</v>
      </c>
      <c r="B29">
        <v>274</v>
      </c>
      <c r="C29"/>
      <c r="D29"/>
      <c r="E29"/>
      <c r="F29">
        <v>8070112</v>
      </c>
      <c r="G29" t="s">
        <v>245</v>
      </c>
      <c r="H29" t="s">
        <v>1184</v>
      </c>
      <c r="I29" t="s">
        <v>53</v>
      </c>
      <c r="J29"/>
      <c r="K29" t="s">
        <v>163</v>
      </c>
      <c r="L29" t="s">
        <v>62</v>
      </c>
      <c r="M29" t="s">
        <v>55</v>
      </c>
      <c r="N29"/>
      <c r="O29" s="134">
        <v>38258</v>
      </c>
      <c r="P29" t="s">
        <v>1298</v>
      </c>
      <c r="Q29" t="s">
        <v>70</v>
      </c>
      <c r="R29" t="s">
        <v>779</v>
      </c>
      <c r="S29" t="s">
        <v>1221</v>
      </c>
      <c r="T29" s="130">
        <v>0.99</v>
      </c>
      <c r="U29" t="s">
        <v>1910</v>
      </c>
      <c r="V29" s="133">
        <v>5.1694999999999998E-2</v>
      </c>
      <c r="W29"/>
      <c r="X29"/>
      <c r="Y29" s="133"/>
      <c r="Z29" s="133">
        <v>2.41E-2</v>
      </c>
      <c r="AA29" s="134">
        <v>46568</v>
      </c>
      <c r="AB29" t="s">
        <v>620</v>
      </c>
      <c r="AC29"/>
      <c r="AD29" s="132"/>
      <c r="AE29" s="133"/>
      <c r="AF29" s="134"/>
      <c r="AG29"/>
      <c r="AH29"/>
      <c r="AI29"/>
      <c r="AJ29" t="s">
        <v>55</v>
      </c>
      <c r="AK29" t="s">
        <v>775</v>
      </c>
      <c r="AL29"/>
      <c r="AM29" t="s">
        <v>305</v>
      </c>
      <c r="AN29" s="134">
        <v>46022</v>
      </c>
      <c r="AO29" s="134"/>
      <c r="AP29" s="133"/>
      <c r="AQ29" s="130">
        <v>80161.539999999994</v>
      </c>
      <c r="AR29" s="130">
        <v>155.41</v>
      </c>
      <c r="AS29" s="130">
        <v>1</v>
      </c>
      <c r="AT29" s="130">
        <v>124.57905</v>
      </c>
      <c r="AU29" s="130">
        <v>124.57905</v>
      </c>
      <c r="AV29" s="132"/>
      <c r="AW29" s="132"/>
      <c r="AX29"/>
      <c r="AY29"/>
      <c r="AZ29" s="133">
        <v>7.2750000000000002E-3</v>
      </c>
      <c r="BA29" s="133">
        <v>3.0000000000000001E-5</v>
      </c>
    </row>
    <row r="30" spans="1:53" x14ac:dyDescent="0.2">
      <c r="A30">
        <v>274</v>
      </c>
      <c r="B30">
        <v>274</v>
      </c>
      <c r="C30"/>
      <c r="D30"/>
      <c r="E30"/>
      <c r="F30">
        <v>8070104</v>
      </c>
      <c r="G30" t="s">
        <v>245</v>
      </c>
      <c r="H30" t="s">
        <v>1184</v>
      </c>
      <c r="I30" t="s">
        <v>53</v>
      </c>
      <c r="J30"/>
      <c r="K30" t="s">
        <v>163</v>
      </c>
      <c r="L30" t="s">
        <v>62</v>
      </c>
      <c r="M30" t="s">
        <v>55</v>
      </c>
      <c r="N30"/>
      <c r="O30" s="134">
        <v>38258</v>
      </c>
      <c r="P30" t="s">
        <v>1298</v>
      </c>
      <c r="Q30" t="s">
        <v>70</v>
      </c>
      <c r="R30" t="s">
        <v>779</v>
      </c>
      <c r="S30" t="s">
        <v>1221</v>
      </c>
      <c r="T30" s="130">
        <v>0.99</v>
      </c>
      <c r="U30" t="s">
        <v>1910</v>
      </c>
      <c r="V30" s="133">
        <v>5.1694999999999998E-2</v>
      </c>
      <c r="W30"/>
      <c r="X30"/>
      <c r="Y30" s="133"/>
      <c r="Z30" s="133">
        <v>2.41E-2</v>
      </c>
      <c r="AA30" s="134">
        <v>46568</v>
      </c>
      <c r="AB30" t="s">
        <v>620</v>
      </c>
      <c r="AC30"/>
      <c r="AD30" s="132"/>
      <c r="AE30" s="133"/>
      <c r="AF30" s="134"/>
      <c r="AG30"/>
      <c r="AH30"/>
      <c r="AI30"/>
      <c r="AJ30" t="s">
        <v>55</v>
      </c>
      <c r="AK30" t="s">
        <v>775</v>
      </c>
      <c r="AL30"/>
      <c r="AM30" t="s">
        <v>305</v>
      </c>
      <c r="AN30" s="134">
        <v>46022</v>
      </c>
      <c r="AO30" s="134"/>
      <c r="AP30" s="133"/>
      <c r="AQ30" s="130">
        <v>108117.31</v>
      </c>
      <c r="AR30" s="130">
        <v>158.16</v>
      </c>
      <c r="AS30" s="130">
        <v>1</v>
      </c>
      <c r="AT30" s="130">
        <v>170.99834000000001</v>
      </c>
      <c r="AU30" s="130">
        <v>170.99834000000001</v>
      </c>
      <c r="AV30" s="132"/>
      <c r="AW30" s="132"/>
      <c r="AX30"/>
      <c r="AY30"/>
      <c r="AZ30" s="133">
        <v>9.9860000000000001E-3</v>
      </c>
      <c r="BA30" s="133">
        <v>4.1E-5</v>
      </c>
    </row>
    <row r="31" spans="1:53" x14ac:dyDescent="0.2">
      <c r="A31">
        <v>274</v>
      </c>
      <c r="B31">
        <v>274</v>
      </c>
      <c r="C31"/>
      <c r="D31"/>
      <c r="E31"/>
      <c r="F31">
        <v>8070096</v>
      </c>
      <c r="G31" t="s">
        <v>245</v>
      </c>
      <c r="H31" t="s">
        <v>1184</v>
      </c>
      <c r="I31" t="s">
        <v>53</v>
      </c>
      <c r="J31"/>
      <c r="K31" t="s">
        <v>163</v>
      </c>
      <c r="L31" t="s">
        <v>62</v>
      </c>
      <c r="M31" t="s">
        <v>55</v>
      </c>
      <c r="N31"/>
      <c r="O31" s="134">
        <v>38258</v>
      </c>
      <c r="P31" t="s">
        <v>1298</v>
      </c>
      <c r="Q31" t="s">
        <v>70</v>
      </c>
      <c r="R31" t="s">
        <v>779</v>
      </c>
      <c r="S31" t="s">
        <v>1221</v>
      </c>
      <c r="T31" s="130">
        <v>0.99</v>
      </c>
      <c r="U31" t="s">
        <v>1910</v>
      </c>
      <c r="V31" s="133">
        <v>5.1694999999999998E-2</v>
      </c>
      <c r="W31"/>
      <c r="X31"/>
      <c r="Y31" s="133"/>
      <c r="Z31" s="133">
        <v>2.4E-2</v>
      </c>
      <c r="AA31" s="134">
        <v>46568</v>
      </c>
      <c r="AB31" t="s">
        <v>620</v>
      </c>
      <c r="AC31"/>
      <c r="AD31" s="132"/>
      <c r="AE31" s="133"/>
      <c r="AF31" s="134"/>
      <c r="AG31"/>
      <c r="AH31"/>
      <c r="AI31"/>
      <c r="AJ31" t="s">
        <v>55</v>
      </c>
      <c r="AK31" t="s">
        <v>775</v>
      </c>
      <c r="AL31"/>
      <c r="AM31" t="s">
        <v>305</v>
      </c>
      <c r="AN31" s="134">
        <v>46022</v>
      </c>
      <c r="AO31" s="134"/>
      <c r="AP31" s="133"/>
      <c r="AQ31" s="130">
        <v>162781.74</v>
      </c>
      <c r="AR31" s="130">
        <v>157.69999999999999</v>
      </c>
      <c r="AS31" s="130">
        <v>1</v>
      </c>
      <c r="AT31" s="130">
        <v>256.70679999999999</v>
      </c>
      <c r="AU31" s="130">
        <v>256.70679999999999</v>
      </c>
      <c r="AV31" s="132"/>
      <c r="AW31" s="132"/>
      <c r="AX31"/>
      <c r="AY31"/>
      <c r="AZ31" s="133">
        <v>1.4991000000000001E-2</v>
      </c>
      <c r="BA31" s="133">
        <v>6.2000000000000003E-5</v>
      </c>
    </row>
    <row r="32" spans="1:53" x14ac:dyDescent="0.2">
      <c r="A32">
        <v>274</v>
      </c>
      <c r="B32">
        <v>274</v>
      </c>
      <c r="C32"/>
      <c r="D32"/>
      <c r="E32"/>
      <c r="F32">
        <v>8070088</v>
      </c>
      <c r="G32" t="s">
        <v>245</v>
      </c>
      <c r="H32" t="s">
        <v>1184</v>
      </c>
      <c r="I32" t="s">
        <v>53</v>
      </c>
      <c r="J32"/>
      <c r="K32" t="s">
        <v>163</v>
      </c>
      <c r="L32" t="s">
        <v>62</v>
      </c>
      <c r="M32" t="s">
        <v>55</v>
      </c>
      <c r="N32"/>
      <c r="O32" s="134">
        <v>38258</v>
      </c>
      <c r="P32" t="s">
        <v>1298</v>
      </c>
      <c r="Q32" t="s">
        <v>70</v>
      </c>
      <c r="R32" t="s">
        <v>779</v>
      </c>
      <c r="S32" t="s">
        <v>1221</v>
      </c>
      <c r="T32" s="130">
        <v>0.99</v>
      </c>
      <c r="U32" t="s">
        <v>1910</v>
      </c>
      <c r="V32" s="133">
        <v>5.1694999999999998E-2</v>
      </c>
      <c r="W32"/>
      <c r="X32"/>
      <c r="Y32" s="133"/>
      <c r="Z32" s="133">
        <v>2.4E-2</v>
      </c>
      <c r="AA32" s="134">
        <v>46568</v>
      </c>
      <c r="AB32" t="s">
        <v>620</v>
      </c>
      <c r="AC32"/>
      <c r="AD32" s="132"/>
      <c r="AE32" s="133"/>
      <c r="AF32" s="134"/>
      <c r="AG32"/>
      <c r="AH32"/>
      <c r="AI32"/>
      <c r="AJ32" t="s">
        <v>55</v>
      </c>
      <c r="AK32" t="s">
        <v>775</v>
      </c>
      <c r="AL32"/>
      <c r="AM32" t="s">
        <v>305</v>
      </c>
      <c r="AN32" s="134">
        <v>46022</v>
      </c>
      <c r="AO32" s="134"/>
      <c r="AP32" s="133"/>
      <c r="AQ32" s="130">
        <v>12559.56</v>
      </c>
      <c r="AR32" s="130">
        <v>159.26</v>
      </c>
      <c r="AS32" s="130">
        <v>1</v>
      </c>
      <c r="AT32" s="130">
        <v>20.002359999999999</v>
      </c>
      <c r="AU32" s="130">
        <v>20.002359999999999</v>
      </c>
      <c r="AV32" s="132"/>
      <c r="AW32" s="132"/>
      <c r="AX32"/>
      <c r="AY32"/>
      <c r="AZ32" s="133">
        <v>1.168E-3</v>
      </c>
      <c r="BA32" s="133">
        <v>3.9999999999999998E-6</v>
      </c>
    </row>
    <row r="33" spans="1:53" x14ac:dyDescent="0.2">
      <c r="A33">
        <v>274</v>
      </c>
      <c r="B33">
        <v>274</v>
      </c>
      <c r="C33"/>
      <c r="D33"/>
      <c r="E33"/>
      <c r="F33">
        <v>8070070</v>
      </c>
      <c r="G33" t="s">
        <v>245</v>
      </c>
      <c r="H33" t="s">
        <v>1184</v>
      </c>
      <c r="I33" t="s">
        <v>53</v>
      </c>
      <c r="J33"/>
      <c r="K33" t="s">
        <v>163</v>
      </c>
      <c r="L33" t="s">
        <v>62</v>
      </c>
      <c r="M33" t="s">
        <v>55</v>
      </c>
      <c r="N33"/>
      <c r="O33" s="134">
        <v>38258</v>
      </c>
      <c r="P33" t="s">
        <v>1298</v>
      </c>
      <c r="Q33" t="s">
        <v>70</v>
      </c>
      <c r="R33" t="s">
        <v>779</v>
      </c>
      <c r="S33" t="s">
        <v>1221</v>
      </c>
      <c r="T33" s="130">
        <v>0.99</v>
      </c>
      <c r="U33" t="s">
        <v>1910</v>
      </c>
      <c r="V33" s="133">
        <v>5.1694999999999998E-2</v>
      </c>
      <c r="W33"/>
      <c r="X33"/>
      <c r="Y33" s="133"/>
      <c r="Z33" s="133">
        <v>2.4E-2</v>
      </c>
      <c r="AA33" s="134">
        <v>46568</v>
      </c>
      <c r="AB33" t="s">
        <v>620</v>
      </c>
      <c r="AC33"/>
      <c r="AD33" s="132"/>
      <c r="AE33" s="133"/>
      <c r="AF33" s="134"/>
      <c r="AG33"/>
      <c r="AH33"/>
      <c r="AI33"/>
      <c r="AJ33" t="s">
        <v>55</v>
      </c>
      <c r="AK33" t="s">
        <v>775</v>
      </c>
      <c r="AL33"/>
      <c r="AM33" t="s">
        <v>305</v>
      </c>
      <c r="AN33" s="134">
        <v>46022</v>
      </c>
      <c r="AO33" s="134"/>
      <c r="AP33" s="133"/>
      <c r="AQ33" s="130">
        <v>49452.69</v>
      </c>
      <c r="AR33" s="130">
        <v>161.66</v>
      </c>
      <c r="AS33" s="130">
        <v>1</v>
      </c>
      <c r="AT33" s="130">
        <v>79.945220000000006</v>
      </c>
      <c r="AU33" s="130">
        <v>79.945220000000006</v>
      </c>
      <c r="AV33" s="132"/>
      <c r="AW33" s="132"/>
      <c r="AX33"/>
      <c r="AY33"/>
      <c r="AZ33" s="133">
        <v>4.6680000000000003E-3</v>
      </c>
      <c r="BA33" s="133">
        <v>1.9000000000000001E-5</v>
      </c>
    </row>
    <row r="34" spans="1:53" x14ac:dyDescent="0.2">
      <c r="A34">
        <v>274</v>
      </c>
      <c r="B34">
        <v>274</v>
      </c>
      <c r="C34"/>
      <c r="D34"/>
      <c r="E34"/>
      <c r="F34">
        <v>8070062</v>
      </c>
      <c r="G34" t="s">
        <v>245</v>
      </c>
      <c r="H34" t="s">
        <v>1184</v>
      </c>
      <c r="I34" t="s">
        <v>53</v>
      </c>
      <c r="J34"/>
      <c r="K34" t="s">
        <v>163</v>
      </c>
      <c r="L34" t="s">
        <v>62</v>
      </c>
      <c r="M34" t="s">
        <v>55</v>
      </c>
      <c r="N34"/>
      <c r="O34" s="134">
        <v>38258</v>
      </c>
      <c r="P34" t="s">
        <v>1298</v>
      </c>
      <c r="Q34" t="s">
        <v>70</v>
      </c>
      <c r="R34" t="s">
        <v>779</v>
      </c>
      <c r="S34" t="s">
        <v>1221</v>
      </c>
      <c r="T34" s="130">
        <v>0.99</v>
      </c>
      <c r="U34" t="s">
        <v>1910</v>
      </c>
      <c r="V34" s="133">
        <v>5.1694999999999998E-2</v>
      </c>
      <c r="W34"/>
      <c r="X34"/>
      <c r="Y34" s="133"/>
      <c r="Z34" s="133">
        <v>2.4E-2</v>
      </c>
      <c r="AA34" s="134">
        <v>46568</v>
      </c>
      <c r="AB34" t="s">
        <v>620</v>
      </c>
      <c r="AC34"/>
      <c r="AD34" s="132"/>
      <c r="AE34" s="133"/>
      <c r="AF34" s="134"/>
      <c r="AG34"/>
      <c r="AH34"/>
      <c r="AI34"/>
      <c r="AJ34" t="s">
        <v>55</v>
      </c>
      <c r="AK34" t="s">
        <v>775</v>
      </c>
      <c r="AL34"/>
      <c r="AM34" t="s">
        <v>305</v>
      </c>
      <c r="AN34" s="134">
        <v>46022</v>
      </c>
      <c r="AO34" s="134"/>
      <c r="AP34" s="133"/>
      <c r="AQ34" s="130">
        <v>52653.51</v>
      </c>
      <c r="AR34" s="130">
        <v>160.4</v>
      </c>
      <c r="AS34" s="130">
        <v>1</v>
      </c>
      <c r="AT34" s="130">
        <v>84.456230000000005</v>
      </c>
      <c r="AU34" s="130">
        <v>84.456230000000005</v>
      </c>
      <c r="AV34" s="132"/>
      <c r="AW34" s="132"/>
      <c r="AX34"/>
      <c r="AY34"/>
      <c r="AZ34" s="133">
        <v>4.9319999999999998E-3</v>
      </c>
      <c r="BA34" s="133">
        <v>2.0000000000000002E-5</v>
      </c>
    </row>
    <row r="35" spans="1:53" x14ac:dyDescent="0.2">
      <c r="A35">
        <v>274</v>
      </c>
      <c r="B35">
        <v>274</v>
      </c>
      <c r="C35"/>
      <c r="D35"/>
      <c r="E35"/>
      <c r="F35">
        <v>8070054</v>
      </c>
      <c r="G35" t="s">
        <v>245</v>
      </c>
      <c r="H35" t="s">
        <v>1184</v>
      </c>
      <c r="I35" t="s">
        <v>53</v>
      </c>
      <c r="J35"/>
      <c r="K35" t="s">
        <v>163</v>
      </c>
      <c r="L35" t="s">
        <v>62</v>
      </c>
      <c r="M35" t="s">
        <v>55</v>
      </c>
      <c r="N35"/>
      <c r="O35" s="134">
        <v>38258</v>
      </c>
      <c r="P35" t="s">
        <v>1298</v>
      </c>
      <c r="Q35" t="s">
        <v>70</v>
      </c>
      <c r="R35" t="s">
        <v>779</v>
      </c>
      <c r="S35" t="s">
        <v>1221</v>
      </c>
      <c r="T35" s="130">
        <v>0.99</v>
      </c>
      <c r="U35" t="s">
        <v>1910</v>
      </c>
      <c r="V35" s="133">
        <v>5.1694999999999998E-2</v>
      </c>
      <c r="W35"/>
      <c r="X35"/>
      <c r="Y35" s="133"/>
      <c r="Z35" s="133">
        <v>2.4E-2</v>
      </c>
      <c r="AA35" s="134">
        <v>46568</v>
      </c>
      <c r="AB35" t="s">
        <v>620</v>
      </c>
      <c r="AC35"/>
      <c r="AD35" s="132"/>
      <c r="AE35" s="133"/>
      <c r="AF35" s="134"/>
      <c r="AG35"/>
      <c r="AH35"/>
      <c r="AI35"/>
      <c r="AJ35" t="s">
        <v>55</v>
      </c>
      <c r="AK35" t="s">
        <v>775</v>
      </c>
      <c r="AL35"/>
      <c r="AM35" t="s">
        <v>305</v>
      </c>
      <c r="AN35" s="134">
        <v>46022</v>
      </c>
      <c r="AO35" s="134"/>
      <c r="AP35" s="133"/>
      <c r="AQ35" s="130">
        <v>51937.63</v>
      </c>
      <c r="AR35" s="130">
        <v>160.4</v>
      </c>
      <c r="AS35" s="130">
        <v>1</v>
      </c>
      <c r="AT35" s="130">
        <v>83.307959999999994</v>
      </c>
      <c r="AU35" s="130">
        <v>83.307959999999994</v>
      </c>
      <c r="AV35" s="132"/>
      <c r="AW35" s="132"/>
      <c r="AX35"/>
      <c r="AY35"/>
      <c r="AZ35" s="133">
        <v>4.8650000000000004E-3</v>
      </c>
      <c r="BA35" s="133">
        <v>2.0000000000000002E-5</v>
      </c>
    </row>
    <row r="36" spans="1:53" x14ac:dyDescent="0.2">
      <c r="A36">
        <v>274</v>
      </c>
      <c r="B36">
        <v>274</v>
      </c>
      <c r="C36"/>
      <c r="D36"/>
      <c r="E36"/>
      <c r="F36">
        <v>8070047</v>
      </c>
      <c r="G36" t="s">
        <v>245</v>
      </c>
      <c r="H36" t="s">
        <v>1184</v>
      </c>
      <c r="I36" t="s">
        <v>53</v>
      </c>
      <c r="J36"/>
      <c r="K36" t="s">
        <v>163</v>
      </c>
      <c r="L36" t="s">
        <v>62</v>
      </c>
      <c r="M36" t="s">
        <v>55</v>
      </c>
      <c r="N36"/>
      <c r="O36" s="134">
        <v>38258</v>
      </c>
      <c r="P36" t="s">
        <v>1298</v>
      </c>
      <c r="Q36" t="s">
        <v>70</v>
      </c>
      <c r="R36" t="s">
        <v>779</v>
      </c>
      <c r="S36" t="s">
        <v>1221</v>
      </c>
      <c r="T36" s="130">
        <v>0.99</v>
      </c>
      <c r="U36" t="s">
        <v>1910</v>
      </c>
      <c r="V36" s="133">
        <v>5.1694999999999998E-2</v>
      </c>
      <c r="W36"/>
      <c r="X36"/>
      <c r="Y36" s="133"/>
      <c r="Z36" s="133">
        <v>2.4E-2</v>
      </c>
      <c r="AA36" s="134">
        <v>46568</v>
      </c>
      <c r="AB36" t="s">
        <v>620</v>
      </c>
      <c r="AC36"/>
      <c r="AD36" s="132"/>
      <c r="AE36" s="133"/>
      <c r="AF36" s="134"/>
      <c r="AG36"/>
      <c r="AH36"/>
      <c r="AI36"/>
      <c r="AJ36" t="s">
        <v>55</v>
      </c>
      <c r="AK36" t="s">
        <v>775</v>
      </c>
      <c r="AL36"/>
      <c r="AM36" t="s">
        <v>305</v>
      </c>
      <c r="AN36" s="134">
        <v>46022</v>
      </c>
      <c r="AO36" s="134"/>
      <c r="AP36" s="133"/>
      <c r="AQ36" s="130">
        <v>44504.21</v>
      </c>
      <c r="AR36" s="130">
        <v>160.4</v>
      </c>
      <c r="AS36" s="130">
        <v>1</v>
      </c>
      <c r="AT36" s="130">
        <v>71.384749999999997</v>
      </c>
      <c r="AU36" s="130">
        <v>71.384749999999997</v>
      </c>
      <c r="AV36" s="132"/>
      <c r="AW36" s="132"/>
      <c r="AX36"/>
      <c r="AY36"/>
      <c r="AZ36" s="133">
        <v>4.1679999999999998E-3</v>
      </c>
      <c r="BA36" s="133">
        <v>1.7E-5</v>
      </c>
    </row>
    <row r="37" spans="1:53" x14ac:dyDescent="0.2">
      <c r="A37">
        <v>274</v>
      </c>
      <c r="B37">
        <v>274</v>
      </c>
      <c r="C37"/>
      <c r="D37"/>
      <c r="E37"/>
      <c r="F37">
        <v>8070039</v>
      </c>
      <c r="G37" t="s">
        <v>245</v>
      </c>
      <c r="H37" t="s">
        <v>1184</v>
      </c>
      <c r="I37" t="s">
        <v>53</v>
      </c>
      <c r="J37"/>
      <c r="K37" t="s">
        <v>163</v>
      </c>
      <c r="L37" t="s">
        <v>62</v>
      </c>
      <c r="M37" t="s">
        <v>55</v>
      </c>
      <c r="N37"/>
      <c r="O37" s="134">
        <v>38258</v>
      </c>
      <c r="P37" t="s">
        <v>1298</v>
      </c>
      <c r="Q37" t="s">
        <v>70</v>
      </c>
      <c r="R37" t="s">
        <v>779</v>
      </c>
      <c r="S37" t="s">
        <v>1221</v>
      </c>
      <c r="T37" s="130">
        <v>0.99</v>
      </c>
      <c r="U37" t="s">
        <v>1910</v>
      </c>
      <c r="V37" s="133">
        <v>5.1694999999999998E-2</v>
      </c>
      <c r="W37"/>
      <c r="X37"/>
      <c r="Y37" s="133"/>
      <c r="Z37" s="133">
        <v>2.4E-2</v>
      </c>
      <c r="AA37" s="134">
        <v>46568</v>
      </c>
      <c r="AB37" t="s">
        <v>620</v>
      </c>
      <c r="AC37"/>
      <c r="AD37" s="132"/>
      <c r="AE37" s="133"/>
      <c r="AF37" s="134"/>
      <c r="AG37"/>
      <c r="AH37"/>
      <c r="AI37"/>
      <c r="AJ37" t="s">
        <v>55</v>
      </c>
      <c r="AK37" t="s">
        <v>775</v>
      </c>
      <c r="AL37"/>
      <c r="AM37" t="s">
        <v>305</v>
      </c>
      <c r="AN37" s="134">
        <v>46022</v>
      </c>
      <c r="AO37" s="134"/>
      <c r="AP37" s="133"/>
      <c r="AQ37" s="130">
        <v>38835.57</v>
      </c>
      <c r="AR37" s="130">
        <v>162.07</v>
      </c>
      <c r="AS37" s="130">
        <v>1</v>
      </c>
      <c r="AT37" s="130">
        <v>62.940809999999999</v>
      </c>
      <c r="AU37" s="130">
        <v>62.940809999999999</v>
      </c>
      <c r="AV37" s="132"/>
      <c r="AW37" s="132"/>
      <c r="AX37"/>
      <c r="AY37"/>
      <c r="AZ37" s="133">
        <v>3.6749999999999999E-3</v>
      </c>
      <c r="BA37" s="133">
        <v>1.5E-5</v>
      </c>
    </row>
    <row r="38" spans="1:53" x14ac:dyDescent="0.2">
      <c r="A38">
        <v>274</v>
      </c>
      <c r="B38">
        <v>274</v>
      </c>
      <c r="C38"/>
      <c r="D38"/>
      <c r="E38"/>
      <c r="F38">
        <v>8070021</v>
      </c>
      <c r="G38" t="s">
        <v>245</v>
      </c>
      <c r="H38" t="s">
        <v>1184</v>
      </c>
      <c r="I38" t="s">
        <v>53</v>
      </c>
      <c r="J38"/>
      <c r="K38" t="s">
        <v>163</v>
      </c>
      <c r="L38" t="s">
        <v>62</v>
      </c>
      <c r="M38" t="s">
        <v>55</v>
      </c>
      <c r="N38"/>
      <c r="O38" s="134">
        <v>38258</v>
      </c>
      <c r="P38" t="s">
        <v>1298</v>
      </c>
      <c r="Q38" t="s">
        <v>70</v>
      </c>
      <c r="R38" t="s">
        <v>779</v>
      </c>
      <c r="S38" t="s">
        <v>1221</v>
      </c>
      <c r="T38" s="130">
        <v>0.99</v>
      </c>
      <c r="U38" t="s">
        <v>1910</v>
      </c>
      <c r="V38" s="133">
        <v>5.1694999999999998E-2</v>
      </c>
      <c r="W38"/>
      <c r="X38"/>
      <c r="Y38" s="133"/>
      <c r="Z38" s="133">
        <v>2.4E-2</v>
      </c>
      <c r="AA38" s="134">
        <v>46568</v>
      </c>
      <c r="AB38" t="s">
        <v>620</v>
      </c>
      <c r="AC38"/>
      <c r="AD38" s="132"/>
      <c r="AE38" s="133"/>
      <c r="AF38" s="134"/>
      <c r="AG38"/>
      <c r="AH38"/>
      <c r="AI38"/>
      <c r="AJ38" t="s">
        <v>55</v>
      </c>
      <c r="AK38" t="s">
        <v>775</v>
      </c>
      <c r="AL38"/>
      <c r="AM38" t="s">
        <v>305</v>
      </c>
      <c r="AN38" s="134">
        <v>46022</v>
      </c>
      <c r="AO38" s="134"/>
      <c r="AP38" s="133"/>
      <c r="AQ38" s="130">
        <v>3451.17</v>
      </c>
      <c r="AR38" s="130">
        <v>160.55000000000001</v>
      </c>
      <c r="AS38" s="130">
        <v>1</v>
      </c>
      <c r="AT38" s="130">
        <v>5.5408499999999998</v>
      </c>
      <c r="AU38" s="130">
        <v>5.5408499999999998</v>
      </c>
      <c r="AV38" s="132"/>
      <c r="AW38" s="132"/>
      <c r="AX38"/>
      <c r="AY38"/>
      <c r="AZ38" s="133">
        <v>3.2299999999999999E-4</v>
      </c>
      <c r="BA38" s="133">
        <v>9.9999999999999995E-7</v>
      </c>
    </row>
    <row r="39" spans="1:53" x14ac:dyDescent="0.2">
      <c r="A39">
        <v>274</v>
      </c>
      <c r="B39">
        <v>274</v>
      </c>
      <c r="C39"/>
      <c r="D39"/>
      <c r="E39"/>
      <c r="F39">
        <v>8070013</v>
      </c>
      <c r="G39" t="s">
        <v>245</v>
      </c>
      <c r="H39" t="s">
        <v>1184</v>
      </c>
      <c r="I39" t="s">
        <v>53</v>
      </c>
      <c r="J39"/>
      <c r="K39" t="s">
        <v>163</v>
      </c>
      <c r="L39" t="s">
        <v>62</v>
      </c>
      <c r="M39" t="s">
        <v>55</v>
      </c>
      <c r="N39"/>
      <c r="O39" s="134">
        <v>38258</v>
      </c>
      <c r="P39" t="s">
        <v>1298</v>
      </c>
      <c r="Q39" t="s">
        <v>70</v>
      </c>
      <c r="R39" t="s">
        <v>779</v>
      </c>
      <c r="S39" t="s">
        <v>1221</v>
      </c>
      <c r="T39" s="130">
        <v>0.99</v>
      </c>
      <c r="U39" t="s">
        <v>1910</v>
      </c>
      <c r="V39" s="133">
        <v>5.1694999999999998E-2</v>
      </c>
      <c r="W39"/>
      <c r="X39"/>
      <c r="Y39" s="133"/>
      <c r="Z39" s="133">
        <v>2.4E-2</v>
      </c>
      <c r="AA39" s="134">
        <v>46568</v>
      </c>
      <c r="AB39" t="s">
        <v>620</v>
      </c>
      <c r="AC39"/>
      <c r="AD39" s="132"/>
      <c r="AE39" s="133"/>
      <c r="AF39" s="134"/>
      <c r="AG39"/>
      <c r="AH39"/>
      <c r="AI39"/>
      <c r="AJ39" t="s">
        <v>55</v>
      </c>
      <c r="AK39" t="s">
        <v>775</v>
      </c>
      <c r="AL39"/>
      <c r="AM39" t="s">
        <v>305</v>
      </c>
      <c r="AN39" s="134">
        <v>46022</v>
      </c>
      <c r="AO39" s="134"/>
      <c r="AP39" s="133"/>
      <c r="AQ39" s="130">
        <v>89702.76</v>
      </c>
      <c r="AR39" s="130">
        <v>161.31</v>
      </c>
      <c r="AS39" s="130">
        <v>1</v>
      </c>
      <c r="AT39" s="130">
        <v>144.69952000000001</v>
      </c>
      <c r="AU39" s="130">
        <v>144.69952000000001</v>
      </c>
      <c r="AV39" s="132"/>
      <c r="AW39" s="132"/>
      <c r="AX39"/>
      <c r="AY39"/>
      <c r="AZ39" s="133">
        <v>8.4499999999999992E-3</v>
      </c>
      <c r="BA39" s="133">
        <v>3.4E-5</v>
      </c>
    </row>
    <row r="40" spans="1:53" x14ac:dyDescent="0.2">
      <c r="A40">
        <v>274</v>
      </c>
      <c r="B40">
        <v>274</v>
      </c>
      <c r="C40"/>
      <c r="D40"/>
      <c r="E40"/>
      <c r="F40">
        <v>72002018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4">
        <v>46020</v>
      </c>
      <c r="P40" t="s">
        <v>1316</v>
      </c>
      <c r="Q40" t="s">
        <v>70</v>
      </c>
      <c r="R40" t="s">
        <v>779</v>
      </c>
      <c r="S40" t="s">
        <v>1221</v>
      </c>
      <c r="T40" s="130">
        <v>4.57</v>
      </c>
      <c r="U40" t="s">
        <v>1910</v>
      </c>
      <c r="V40" s="133">
        <v>4.0701000000000001E-2</v>
      </c>
      <c r="W40"/>
      <c r="X40"/>
      <c r="Y40" s="133"/>
      <c r="Z40" s="133">
        <v>4.1300000000000003E-2</v>
      </c>
      <c r="AA40" s="134">
        <v>48844</v>
      </c>
      <c r="AB40" t="s">
        <v>620</v>
      </c>
      <c r="AC40"/>
      <c r="AD40" s="132"/>
      <c r="AE40" s="133"/>
      <c r="AF40" s="134"/>
      <c r="AG40"/>
      <c r="AH40"/>
      <c r="AI40"/>
      <c r="AJ40" t="s">
        <v>55</v>
      </c>
      <c r="AK40" t="s">
        <v>775</v>
      </c>
      <c r="AL40"/>
      <c r="AM40" t="s">
        <v>305</v>
      </c>
      <c r="AN40" s="134">
        <v>46022</v>
      </c>
      <c r="AO40" s="134"/>
      <c r="AP40" s="133"/>
      <c r="AQ40" s="130">
        <v>498</v>
      </c>
      <c r="AR40" s="130">
        <v>99.95</v>
      </c>
      <c r="AS40" s="130">
        <v>1</v>
      </c>
      <c r="AT40" s="130">
        <v>0.49775000000000003</v>
      </c>
      <c r="AU40" s="130">
        <v>0.49775000000000003</v>
      </c>
      <c r="AV40" s="132"/>
      <c r="AW40" s="132"/>
      <c r="AX40"/>
      <c r="AY40"/>
      <c r="AZ40" s="133">
        <v>2.9E-5</v>
      </c>
      <c r="BA40" s="133">
        <v>0</v>
      </c>
    </row>
    <row r="41" spans="1:53" x14ac:dyDescent="0.2">
      <c r="A41">
        <v>274</v>
      </c>
      <c r="B41">
        <v>274</v>
      </c>
      <c r="C41"/>
      <c r="D41"/>
      <c r="E41"/>
      <c r="F41">
        <v>72002017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4">
        <v>46020</v>
      </c>
      <c r="P41" t="s">
        <v>1316</v>
      </c>
      <c r="Q41" t="s">
        <v>70</v>
      </c>
      <c r="R41" t="s">
        <v>779</v>
      </c>
      <c r="S41" t="s">
        <v>1221</v>
      </c>
      <c r="T41" s="130">
        <v>4.7699999999999996</v>
      </c>
      <c r="U41" t="s">
        <v>1910</v>
      </c>
      <c r="V41" s="133">
        <v>4.0327000000000002E-2</v>
      </c>
      <c r="W41"/>
      <c r="X41"/>
      <c r="Y41" s="133"/>
      <c r="Z41" s="133">
        <v>4.0800000000000003E-2</v>
      </c>
      <c r="AA41" s="134">
        <v>48844</v>
      </c>
      <c r="AB41" t="s">
        <v>620</v>
      </c>
      <c r="AC41"/>
      <c r="AD41" s="132"/>
      <c r="AE41" s="133"/>
      <c r="AF41" s="134"/>
      <c r="AG41"/>
      <c r="AH41"/>
      <c r="AI41"/>
      <c r="AJ41" t="s">
        <v>55</v>
      </c>
      <c r="AK41" t="s">
        <v>775</v>
      </c>
      <c r="AL41"/>
      <c r="AM41" t="s">
        <v>305</v>
      </c>
      <c r="AN41" s="134">
        <v>46022</v>
      </c>
      <c r="AO41" s="134"/>
      <c r="AP41" s="133"/>
      <c r="AQ41" s="130">
        <v>9502</v>
      </c>
      <c r="AR41" s="130">
        <v>99.99</v>
      </c>
      <c r="AS41" s="130">
        <v>1</v>
      </c>
      <c r="AT41" s="130">
        <v>9.5010499999999993</v>
      </c>
      <c r="AU41" s="130">
        <v>9.5010499999999993</v>
      </c>
      <c r="AV41" s="132"/>
      <c r="AW41" s="132"/>
      <c r="AX41"/>
      <c r="AY41"/>
      <c r="AZ41" s="133">
        <v>5.5400000000000002E-4</v>
      </c>
      <c r="BA41" s="133">
        <v>1.9999999999999999E-6</v>
      </c>
    </row>
    <row r="42" spans="1:53" x14ac:dyDescent="0.2">
      <c r="A42">
        <v>274</v>
      </c>
      <c r="B42">
        <v>274</v>
      </c>
      <c r="C42"/>
      <c r="D42"/>
      <c r="E42"/>
      <c r="F42">
        <v>72002016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4">
        <v>46020</v>
      </c>
      <c r="P42" t="s">
        <v>1316</v>
      </c>
      <c r="Q42" t="s">
        <v>70</v>
      </c>
      <c r="R42" t="s">
        <v>779</v>
      </c>
      <c r="S42" t="s">
        <v>1221</v>
      </c>
      <c r="T42" s="130">
        <v>4.41</v>
      </c>
      <c r="U42" t="s">
        <v>1910</v>
      </c>
      <c r="V42" s="133">
        <v>4.0691999999999999E-2</v>
      </c>
      <c r="W42"/>
      <c r="X42"/>
      <c r="Y42" s="133"/>
      <c r="Z42" s="133">
        <v>4.1300000000000003E-2</v>
      </c>
      <c r="AA42" s="134">
        <v>48844</v>
      </c>
      <c r="AB42" t="s">
        <v>620</v>
      </c>
      <c r="AC42"/>
      <c r="AD42" s="132"/>
      <c r="AE42" s="133"/>
      <c r="AF42" s="134"/>
      <c r="AG42"/>
      <c r="AH42"/>
      <c r="AI42"/>
      <c r="AJ42" t="s">
        <v>55</v>
      </c>
      <c r="AK42" t="s">
        <v>775</v>
      </c>
      <c r="AL42"/>
      <c r="AM42" t="s">
        <v>305</v>
      </c>
      <c r="AN42" s="134">
        <v>46022</v>
      </c>
      <c r="AO42" s="134"/>
      <c r="AP42" s="133"/>
      <c r="AQ42" s="130">
        <v>10986</v>
      </c>
      <c r="AR42" s="130">
        <v>99.95</v>
      </c>
      <c r="AS42" s="130">
        <v>1</v>
      </c>
      <c r="AT42" s="130">
        <v>10.980510000000001</v>
      </c>
      <c r="AU42" s="130">
        <v>10.980510000000001</v>
      </c>
      <c r="AV42" s="132"/>
      <c r="AW42" s="132"/>
      <c r="AX42"/>
      <c r="AY42"/>
      <c r="AZ42" s="133">
        <v>6.4099999999999997E-4</v>
      </c>
      <c r="BA42" s="133">
        <v>1.9999999999999999E-6</v>
      </c>
    </row>
    <row r="43" spans="1:53" x14ac:dyDescent="0.2">
      <c r="A43">
        <v>274</v>
      </c>
      <c r="B43">
        <v>274</v>
      </c>
      <c r="C43"/>
      <c r="D43"/>
      <c r="E43"/>
      <c r="F43">
        <v>72002015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4">
        <v>46020</v>
      </c>
      <c r="P43" t="s">
        <v>1316</v>
      </c>
      <c r="Q43" t="s">
        <v>70</v>
      </c>
      <c r="R43" t="s">
        <v>779</v>
      </c>
      <c r="S43" t="s">
        <v>1221</v>
      </c>
      <c r="T43" s="130">
        <v>4.47</v>
      </c>
      <c r="U43" t="s">
        <v>1910</v>
      </c>
      <c r="V43" s="133">
        <v>4.0738999999999997E-2</v>
      </c>
      <c r="W43"/>
      <c r="X43"/>
      <c r="Y43" s="133"/>
      <c r="Z43" s="133">
        <v>4.1300000000000003E-2</v>
      </c>
      <c r="AA43" s="134">
        <v>48844</v>
      </c>
      <c r="AB43" t="s">
        <v>620</v>
      </c>
      <c r="AC43"/>
      <c r="AD43" s="132"/>
      <c r="AE43" s="133"/>
      <c r="AF43" s="134"/>
      <c r="AG43"/>
      <c r="AH43"/>
      <c r="AI43"/>
      <c r="AJ43" t="s">
        <v>55</v>
      </c>
      <c r="AK43" t="s">
        <v>775</v>
      </c>
      <c r="AL43"/>
      <c r="AM43" t="s">
        <v>305</v>
      </c>
      <c r="AN43" s="134">
        <v>46022</v>
      </c>
      <c r="AO43" s="134"/>
      <c r="AP43" s="133"/>
      <c r="AQ43" s="130">
        <v>544</v>
      </c>
      <c r="AR43" s="130">
        <v>99.94</v>
      </c>
      <c r="AS43" s="130">
        <v>1</v>
      </c>
      <c r="AT43" s="130">
        <v>0.54366999999999999</v>
      </c>
      <c r="AU43" s="130">
        <v>0.54366999999999999</v>
      </c>
      <c r="AV43" s="132"/>
      <c r="AW43" s="132"/>
      <c r="AX43"/>
      <c r="AY43"/>
      <c r="AZ43" s="133">
        <v>3.1000000000000001E-5</v>
      </c>
      <c r="BA43" s="133">
        <v>0</v>
      </c>
    </row>
    <row r="44" spans="1:53" x14ac:dyDescent="0.2">
      <c r="A44">
        <v>274</v>
      </c>
      <c r="B44">
        <v>274</v>
      </c>
      <c r="C44"/>
      <c r="D44"/>
      <c r="E44"/>
      <c r="F44">
        <v>72002014</v>
      </c>
      <c r="G44" t="s">
        <v>245</v>
      </c>
      <c r="H44" t="s">
        <v>1184</v>
      </c>
      <c r="I44" t="s">
        <v>53</v>
      </c>
      <c r="J44"/>
      <c r="K44" t="s">
        <v>264</v>
      </c>
      <c r="L44" t="s">
        <v>62</v>
      </c>
      <c r="M44" t="s">
        <v>55</v>
      </c>
      <c r="N44"/>
      <c r="O44" s="134">
        <v>46020</v>
      </c>
      <c r="P44" t="s">
        <v>1316</v>
      </c>
      <c r="Q44" t="s">
        <v>70</v>
      </c>
      <c r="R44" t="s">
        <v>779</v>
      </c>
      <c r="S44" t="s">
        <v>1221</v>
      </c>
      <c r="T44" s="130">
        <v>4.38</v>
      </c>
      <c r="U44" t="s">
        <v>1910</v>
      </c>
      <c r="V44" s="133">
        <v>4.0659000000000001E-2</v>
      </c>
      <c r="W44"/>
      <c r="X44"/>
      <c r="Y44" s="133"/>
      <c r="Z44" s="133">
        <v>4.1200000000000001E-2</v>
      </c>
      <c r="AA44" s="134">
        <v>48844</v>
      </c>
      <c r="AB44" t="s">
        <v>620</v>
      </c>
      <c r="AC44"/>
      <c r="AD44" s="132"/>
      <c r="AE44" s="133"/>
      <c r="AF44" s="134"/>
      <c r="AG44"/>
      <c r="AH44"/>
      <c r="AI44"/>
      <c r="AJ44" t="s">
        <v>55</v>
      </c>
      <c r="AK44" t="s">
        <v>775</v>
      </c>
      <c r="AL44"/>
      <c r="AM44" t="s">
        <v>305</v>
      </c>
      <c r="AN44" s="134">
        <v>46022</v>
      </c>
      <c r="AO44" s="134"/>
      <c r="AP44" s="133"/>
      <c r="AQ44" s="130">
        <v>2336</v>
      </c>
      <c r="AR44" s="130">
        <v>99.95</v>
      </c>
      <c r="AS44" s="130">
        <v>1</v>
      </c>
      <c r="AT44" s="130">
        <v>2.3348300000000002</v>
      </c>
      <c r="AU44" s="130">
        <v>2.3348300000000002</v>
      </c>
      <c r="AV44" s="132"/>
      <c r="AW44" s="132"/>
      <c r="AX44"/>
      <c r="AY44"/>
      <c r="AZ44" s="133">
        <v>1.36E-4</v>
      </c>
      <c r="BA44" s="133">
        <v>0</v>
      </c>
    </row>
    <row r="45" spans="1:53" x14ac:dyDescent="0.2">
      <c r="A45">
        <v>274</v>
      </c>
      <c r="B45">
        <v>274</v>
      </c>
      <c r="C45"/>
      <c r="D45"/>
      <c r="E45"/>
      <c r="F45">
        <v>72002013</v>
      </c>
      <c r="G45" t="s">
        <v>245</v>
      </c>
      <c r="H45" t="s">
        <v>1184</v>
      </c>
      <c r="I45" t="s">
        <v>53</v>
      </c>
      <c r="J45"/>
      <c r="K45" t="s">
        <v>264</v>
      </c>
      <c r="L45" t="s">
        <v>62</v>
      </c>
      <c r="M45" t="s">
        <v>55</v>
      </c>
      <c r="N45"/>
      <c r="O45" s="134">
        <v>46006</v>
      </c>
      <c r="P45" t="s">
        <v>1316</v>
      </c>
      <c r="Q45" t="s">
        <v>70</v>
      </c>
      <c r="R45" t="s">
        <v>779</v>
      </c>
      <c r="S45" t="s">
        <v>1221</v>
      </c>
      <c r="T45" s="130">
        <v>4.55</v>
      </c>
      <c r="U45" t="s">
        <v>1910</v>
      </c>
      <c r="V45" s="133">
        <v>4.2464000000000002E-2</v>
      </c>
      <c r="W45"/>
      <c r="X45"/>
      <c r="Y45" s="133"/>
      <c r="Z45" s="133">
        <v>4.1200000000000001E-2</v>
      </c>
      <c r="AA45" s="134">
        <v>48844</v>
      </c>
      <c r="AB45" t="s">
        <v>620</v>
      </c>
      <c r="AC45"/>
      <c r="AD45" s="132"/>
      <c r="AE45" s="133"/>
      <c r="AF45" s="134"/>
      <c r="AG45"/>
      <c r="AH45"/>
      <c r="AI45"/>
      <c r="AJ45" t="s">
        <v>55</v>
      </c>
      <c r="AK45" t="s">
        <v>775</v>
      </c>
      <c r="AL45"/>
      <c r="AM45" t="s">
        <v>305</v>
      </c>
      <c r="AN45" s="134">
        <v>46022</v>
      </c>
      <c r="AO45" s="134"/>
      <c r="AP45" s="133"/>
      <c r="AQ45" s="130">
        <v>16710</v>
      </c>
      <c r="AR45" s="130">
        <v>100.91</v>
      </c>
      <c r="AS45" s="130">
        <v>1</v>
      </c>
      <c r="AT45" s="130">
        <v>16.86206</v>
      </c>
      <c r="AU45" s="130">
        <v>16.86206</v>
      </c>
      <c r="AV45" s="132"/>
      <c r="AW45" s="132"/>
      <c r="AX45"/>
      <c r="AY45"/>
      <c r="AZ45" s="133">
        <v>9.8400000000000007E-4</v>
      </c>
      <c r="BA45" s="133">
        <v>3.9999999999999998E-6</v>
      </c>
    </row>
    <row r="46" spans="1:53" x14ac:dyDescent="0.2">
      <c r="A46">
        <v>274</v>
      </c>
      <c r="B46">
        <v>274</v>
      </c>
      <c r="C46"/>
      <c r="D46"/>
      <c r="E46"/>
      <c r="F46">
        <v>54114</v>
      </c>
      <c r="G46" t="s">
        <v>245</v>
      </c>
      <c r="H46" t="s">
        <v>1184</v>
      </c>
      <c r="I46" t="s">
        <v>53</v>
      </c>
      <c r="J46"/>
      <c r="K46" t="s">
        <v>163</v>
      </c>
      <c r="L46" t="s">
        <v>62</v>
      </c>
      <c r="M46" t="s">
        <v>55</v>
      </c>
      <c r="N46"/>
      <c r="O46" s="134">
        <v>41911</v>
      </c>
      <c r="P46" t="s">
        <v>1292</v>
      </c>
      <c r="Q46" t="s">
        <v>65</v>
      </c>
      <c r="R46" t="s">
        <v>779</v>
      </c>
      <c r="S46" t="s">
        <v>1221</v>
      </c>
      <c r="T46" s="130">
        <v>2.85</v>
      </c>
      <c r="U46" t="s">
        <v>1910</v>
      </c>
      <c r="V46" s="133">
        <v>5.5E-2</v>
      </c>
      <c r="W46"/>
      <c r="X46"/>
      <c r="Y46" s="133"/>
      <c r="Z46" s="133">
        <v>2.8000000000000001E-2</v>
      </c>
      <c r="AA46" s="134">
        <v>47986</v>
      </c>
      <c r="AB46" t="s">
        <v>620</v>
      </c>
      <c r="AC46"/>
      <c r="AD46" s="132"/>
      <c r="AE46" s="133"/>
      <c r="AF46" s="134"/>
      <c r="AG46"/>
      <c r="AH46"/>
      <c r="AI46"/>
      <c r="AJ46" t="s">
        <v>55</v>
      </c>
      <c r="AK46" t="s">
        <v>775</v>
      </c>
      <c r="AL46"/>
      <c r="AM46" t="s">
        <v>305</v>
      </c>
      <c r="AN46" s="134">
        <v>46022</v>
      </c>
      <c r="AO46" s="134"/>
      <c r="AP46" s="133"/>
      <c r="AQ46" s="130">
        <v>12405.6</v>
      </c>
      <c r="AR46" s="130">
        <v>126.12</v>
      </c>
      <c r="AS46" s="130">
        <v>1</v>
      </c>
      <c r="AT46" s="130">
        <v>15.64594</v>
      </c>
      <c r="AU46" s="130">
        <v>15.64594</v>
      </c>
      <c r="AV46" s="132"/>
      <c r="AW46" s="132"/>
      <c r="AX46"/>
      <c r="AY46"/>
      <c r="AZ46" s="133">
        <v>9.1299999999999997E-4</v>
      </c>
      <c r="BA46" s="133">
        <v>3.0000000000000001E-6</v>
      </c>
    </row>
    <row r="47" spans="1:53" x14ac:dyDescent="0.2">
      <c r="A47">
        <v>274</v>
      </c>
      <c r="B47">
        <v>274</v>
      </c>
      <c r="C47"/>
      <c r="D47"/>
      <c r="E47"/>
      <c r="F47">
        <v>54106</v>
      </c>
      <c r="G47" t="s">
        <v>245</v>
      </c>
      <c r="H47" t="s">
        <v>1184</v>
      </c>
      <c r="I47" t="s">
        <v>53</v>
      </c>
      <c r="J47"/>
      <c r="K47" t="s">
        <v>163</v>
      </c>
      <c r="L47" t="s">
        <v>62</v>
      </c>
      <c r="M47" t="s">
        <v>55</v>
      </c>
      <c r="N47"/>
      <c r="O47" s="134">
        <v>41836</v>
      </c>
      <c r="P47" t="s">
        <v>1292</v>
      </c>
      <c r="Q47" t="s">
        <v>65</v>
      </c>
      <c r="R47" t="s">
        <v>779</v>
      </c>
      <c r="S47" t="s">
        <v>1221</v>
      </c>
      <c r="T47" s="130">
        <v>2.85</v>
      </c>
      <c r="U47" t="s">
        <v>1910</v>
      </c>
      <c r="V47" s="133">
        <v>5.5E-2</v>
      </c>
      <c r="W47"/>
      <c r="X47"/>
      <c r="Y47" s="133"/>
      <c r="Z47" s="133">
        <v>2.8000000000000001E-2</v>
      </c>
      <c r="AA47" s="134">
        <v>47986</v>
      </c>
      <c r="AB47" t="s">
        <v>620</v>
      </c>
      <c r="AC47"/>
      <c r="AD47" s="132"/>
      <c r="AE47" s="133"/>
      <c r="AF47" s="134"/>
      <c r="AG47"/>
      <c r="AH47"/>
      <c r="AI47"/>
      <c r="AJ47" t="s">
        <v>55</v>
      </c>
      <c r="AK47" t="s">
        <v>775</v>
      </c>
      <c r="AL47"/>
      <c r="AM47" t="s">
        <v>305</v>
      </c>
      <c r="AN47" s="134">
        <v>46022</v>
      </c>
      <c r="AO47" s="134"/>
      <c r="AP47" s="133"/>
      <c r="AQ47" s="130">
        <v>31606.75</v>
      </c>
      <c r="AR47" s="130">
        <v>126.12</v>
      </c>
      <c r="AS47" s="130">
        <v>1</v>
      </c>
      <c r="AT47" s="130">
        <v>39.862430000000003</v>
      </c>
      <c r="AU47" s="130">
        <v>39.862430000000003</v>
      </c>
      <c r="AV47" s="132"/>
      <c r="AW47" s="132"/>
      <c r="AX47"/>
      <c r="AY47"/>
      <c r="AZ47" s="133">
        <v>2.3270000000000001E-3</v>
      </c>
      <c r="BA47" s="133">
        <v>9.0000000000000002E-6</v>
      </c>
    </row>
    <row r="48" spans="1:53" x14ac:dyDescent="0.2">
      <c r="A48">
        <v>274</v>
      </c>
      <c r="B48">
        <v>274</v>
      </c>
      <c r="C48"/>
      <c r="D48"/>
      <c r="E48"/>
      <c r="F48">
        <v>54098</v>
      </c>
      <c r="G48" t="s">
        <v>245</v>
      </c>
      <c r="H48" t="s">
        <v>1184</v>
      </c>
      <c r="I48" t="s">
        <v>53</v>
      </c>
      <c r="J48"/>
      <c r="K48" t="s">
        <v>163</v>
      </c>
      <c r="L48" t="s">
        <v>62</v>
      </c>
      <c r="M48" t="s">
        <v>55</v>
      </c>
      <c r="N48"/>
      <c r="O48" s="134">
        <v>41815</v>
      </c>
      <c r="P48" t="s">
        <v>1292</v>
      </c>
      <c r="Q48" t="s">
        <v>65</v>
      </c>
      <c r="R48" t="s">
        <v>779</v>
      </c>
      <c r="S48" t="s">
        <v>1221</v>
      </c>
      <c r="T48" s="130">
        <v>2.85</v>
      </c>
      <c r="U48" t="s">
        <v>1910</v>
      </c>
      <c r="V48" s="133">
        <v>5.5E-2</v>
      </c>
      <c r="W48"/>
      <c r="X48"/>
      <c r="Y48" s="133"/>
      <c r="Z48" s="133">
        <v>2.8000000000000001E-2</v>
      </c>
      <c r="AA48" s="134">
        <v>47986</v>
      </c>
      <c r="AB48" t="s">
        <v>620</v>
      </c>
      <c r="AC48"/>
      <c r="AD48" s="132"/>
      <c r="AE48" s="133"/>
      <c r="AF48" s="134"/>
      <c r="AG48"/>
      <c r="AH48"/>
      <c r="AI48"/>
      <c r="AJ48" t="s">
        <v>55</v>
      </c>
      <c r="AK48" t="s">
        <v>775</v>
      </c>
      <c r="AL48"/>
      <c r="AM48" t="s">
        <v>305</v>
      </c>
      <c r="AN48" s="134">
        <v>46022</v>
      </c>
      <c r="AO48" s="134"/>
      <c r="AP48" s="133"/>
      <c r="AQ48" s="130">
        <v>10631.51</v>
      </c>
      <c r="AR48" s="130">
        <v>126.49</v>
      </c>
      <c r="AS48" s="130">
        <v>1</v>
      </c>
      <c r="AT48" s="130">
        <v>13.447800000000001</v>
      </c>
      <c r="AU48" s="130">
        <v>13.447800000000001</v>
      </c>
      <c r="AV48" s="132"/>
      <c r="AW48" s="132"/>
      <c r="AX48"/>
      <c r="AY48"/>
      <c r="AZ48" s="133">
        <v>7.85E-4</v>
      </c>
      <c r="BA48" s="133">
        <v>3.0000000000000001E-6</v>
      </c>
    </row>
    <row r="49" spans="1:53" x14ac:dyDescent="0.2">
      <c r="A49">
        <v>274</v>
      </c>
      <c r="B49">
        <v>274</v>
      </c>
      <c r="C49"/>
      <c r="D49"/>
      <c r="E49"/>
      <c r="F49">
        <v>54080</v>
      </c>
      <c r="G49" t="s">
        <v>245</v>
      </c>
      <c r="H49" t="s">
        <v>1184</v>
      </c>
      <c r="I49" t="s">
        <v>53</v>
      </c>
      <c r="J49"/>
      <c r="K49" t="s">
        <v>163</v>
      </c>
      <c r="L49" t="s">
        <v>62</v>
      </c>
      <c r="M49" t="s">
        <v>55</v>
      </c>
      <c r="N49"/>
      <c r="O49" s="134">
        <v>41787</v>
      </c>
      <c r="P49" t="s">
        <v>1292</v>
      </c>
      <c r="Q49" t="s">
        <v>65</v>
      </c>
      <c r="R49" t="s">
        <v>779</v>
      </c>
      <c r="S49" t="s">
        <v>1221</v>
      </c>
      <c r="T49" s="130">
        <v>2.85</v>
      </c>
      <c r="U49" t="s">
        <v>1910</v>
      </c>
      <c r="V49" s="133">
        <v>5.5E-2</v>
      </c>
      <c r="W49"/>
      <c r="X49"/>
      <c r="Y49" s="133"/>
      <c r="Z49" s="133">
        <v>2.8000000000000001E-2</v>
      </c>
      <c r="AA49" s="134">
        <v>47986</v>
      </c>
      <c r="AB49" t="s">
        <v>620</v>
      </c>
      <c r="AC49"/>
      <c r="AD49" s="132"/>
      <c r="AE49" s="133"/>
      <c r="AF49" s="134"/>
      <c r="AG49"/>
      <c r="AH49"/>
      <c r="AI49"/>
      <c r="AJ49" t="s">
        <v>55</v>
      </c>
      <c r="AK49" t="s">
        <v>775</v>
      </c>
      <c r="AL49"/>
      <c r="AM49" t="s">
        <v>305</v>
      </c>
      <c r="AN49" s="134">
        <v>46022</v>
      </c>
      <c r="AO49" s="134"/>
      <c r="AP49" s="133"/>
      <c r="AQ49" s="130">
        <v>18909.09</v>
      </c>
      <c r="AR49" s="130">
        <v>126.61</v>
      </c>
      <c r="AS49" s="130">
        <v>1</v>
      </c>
      <c r="AT49" s="130">
        <v>23.940799999999999</v>
      </c>
      <c r="AU49" s="130">
        <v>23.940799999999999</v>
      </c>
      <c r="AV49" s="132"/>
      <c r="AW49" s="132"/>
      <c r="AX49"/>
      <c r="AY49"/>
      <c r="AZ49" s="133">
        <v>1.3979999999999999E-3</v>
      </c>
      <c r="BA49" s="133">
        <v>5.0000000000000004E-6</v>
      </c>
    </row>
    <row r="50" spans="1:53" x14ac:dyDescent="0.2">
      <c r="A50">
        <v>274</v>
      </c>
      <c r="B50">
        <v>274</v>
      </c>
      <c r="C50"/>
      <c r="D50"/>
      <c r="E50"/>
      <c r="F50">
        <v>34835</v>
      </c>
      <c r="G50" t="s">
        <v>245</v>
      </c>
      <c r="H50" t="s">
        <v>1184</v>
      </c>
      <c r="I50" t="s">
        <v>53</v>
      </c>
      <c r="J50"/>
      <c r="K50" t="s">
        <v>163</v>
      </c>
      <c r="L50" t="s">
        <v>62</v>
      </c>
      <c r="M50" t="s">
        <v>55</v>
      </c>
      <c r="N50"/>
      <c r="O50" s="134">
        <v>41298</v>
      </c>
      <c r="P50" t="s">
        <v>1292</v>
      </c>
      <c r="Q50" t="s">
        <v>65</v>
      </c>
      <c r="R50" t="s">
        <v>779</v>
      </c>
      <c r="S50" t="s">
        <v>1221</v>
      </c>
      <c r="T50" s="130">
        <v>2.85</v>
      </c>
      <c r="U50" t="s">
        <v>1910</v>
      </c>
      <c r="V50" s="133">
        <v>5.5E-2</v>
      </c>
      <c r="W50"/>
      <c r="X50"/>
      <c r="Y50" s="133"/>
      <c r="Z50" s="133">
        <v>2.8000000000000001E-2</v>
      </c>
      <c r="AA50" s="134">
        <v>47986</v>
      </c>
      <c r="AB50" t="s">
        <v>620</v>
      </c>
      <c r="AC50"/>
      <c r="AD50" s="132"/>
      <c r="AE50" s="133"/>
      <c r="AF50" s="134"/>
      <c r="AG50"/>
      <c r="AH50"/>
      <c r="AI50"/>
      <c r="AJ50" t="s">
        <v>55</v>
      </c>
      <c r="AK50" t="s">
        <v>775</v>
      </c>
      <c r="AL50"/>
      <c r="AM50" t="s">
        <v>305</v>
      </c>
      <c r="AN50" s="134">
        <v>46022</v>
      </c>
      <c r="AO50" s="134"/>
      <c r="AP50" s="133"/>
      <c r="AQ50" s="130">
        <v>68942.36</v>
      </c>
      <c r="AR50" s="130">
        <v>128.41</v>
      </c>
      <c r="AS50" s="130">
        <v>1</v>
      </c>
      <c r="AT50" s="130">
        <v>88.528880000000001</v>
      </c>
      <c r="AU50" s="130">
        <v>88.528880000000001</v>
      </c>
      <c r="AV50" s="132"/>
      <c r="AW50" s="132"/>
      <c r="AX50"/>
      <c r="AY50"/>
      <c r="AZ50" s="133">
        <v>5.1700000000000001E-3</v>
      </c>
      <c r="BA50" s="133">
        <v>2.0999999999999999E-5</v>
      </c>
    </row>
    <row r="51" spans="1:53" x14ac:dyDescent="0.2">
      <c r="A51">
        <v>274</v>
      </c>
      <c r="B51">
        <v>274</v>
      </c>
      <c r="C51"/>
      <c r="D51"/>
      <c r="E51"/>
      <c r="F51">
        <v>34777</v>
      </c>
      <c r="G51" t="s">
        <v>245</v>
      </c>
      <c r="H51" t="s">
        <v>1184</v>
      </c>
      <c r="I51" t="s">
        <v>53</v>
      </c>
      <c r="J51"/>
      <c r="K51" t="s">
        <v>156</v>
      </c>
      <c r="L51" t="s">
        <v>62</v>
      </c>
      <c r="M51" t="s">
        <v>55</v>
      </c>
      <c r="N51"/>
      <c r="O51" s="134">
        <v>41281</v>
      </c>
      <c r="P51" t="s">
        <v>1316</v>
      </c>
      <c r="Q51" t="s">
        <v>70</v>
      </c>
      <c r="R51" t="s">
        <v>779</v>
      </c>
      <c r="S51" t="s">
        <v>1221</v>
      </c>
      <c r="T51" s="130">
        <v>3.33</v>
      </c>
      <c r="U51" t="s">
        <v>1910</v>
      </c>
      <c r="V51" s="133">
        <v>5.3499999999999999E-2</v>
      </c>
      <c r="W51"/>
      <c r="X51"/>
      <c r="Y51" s="133"/>
      <c r="Z51" s="133">
        <v>2.1100000000000001E-2</v>
      </c>
      <c r="AA51" s="134">
        <v>48479</v>
      </c>
      <c r="AB51" t="s">
        <v>620</v>
      </c>
      <c r="AC51"/>
      <c r="AD51" s="132"/>
      <c r="AE51" s="133"/>
      <c r="AF51" s="134"/>
      <c r="AG51"/>
      <c r="AH51"/>
      <c r="AI51"/>
      <c r="AJ51" t="s">
        <v>55</v>
      </c>
      <c r="AK51" t="s">
        <v>775</v>
      </c>
      <c r="AL51"/>
      <c r="AM51" t="s">
        <v>305</v>
      </c>
      <c r="AN51" s="134">
        <v>46022</v>
      </c>
      <c r="AO51" s="134"/>
      <c r="AP51" s="133"/>
      <c r="AQ51" s="130">
        <v>100859.19</v>
      </c>
      <c r="AR51" s="130">
        <v>135.21</v>
      </c>
      <c r="AS51" s="130">
        <v>1</v>
      </c>
      <c r="AT51" s="130">
        <v>136.37171000000001</v>
      </c>
      <c r="AU51" s="130">
        <v>136.37171000000001</v>
      </c>
      <c r="AV51" s="132"/>
      <c r="AW51" s="132"/>
      <c r="AX51"/>
      <c r="AY51"/>
      <c r="AZ51" s="133">
        <v>7.9640000000000006E-3</v>
      </c>
      <c r="BA51" s="133">
        <v>3.1999999999999999E-5</v>
      </c>
    </row>
    <row r="52" spans="1:53" x14ac:dyDescent="0.2">
      <c r="A52">
        <v>274</v>
      </c>
      <c r="B52">
        <v>274</v>
      </c>
      <c r="C52"/>
      <c r="D52"/>
      <c r="E52"/>
      <c r="F52">
        <v>34488</v>
      </c>
      <c r="G52" t="s">
        <v>245</v>
      </c>
      <c r="H52" t="s">
        <v>1184</v>
      </c>
      <c r="I52" t="s">
        <v>53</v>
      </c>
      <c r="J52"/>
      <c r="K52" t="s">
        <v>163</v>
      </c>
      <c r="L52" t="s">
        <v>62</v>
      </c>
      <c r="M52" t="s">
        <v>55</v>
      </c>
      <c r="N52"/>
      <c r="O52" s="134">
        <v>41179</v>
      </c>
      <c r="P52" t="s">
        <v>1292</v>
      </c>
      <c r="Q52" t="s">
        <v>65</v>
      </c>
      <c r="R52" t="s">
        <v>779</v>
      </c>
      <c r="S52" t="s">
        <v>1221</v>
      </c>
      <c r="T52" s="130">
        <v>2.85</v>
      </c>
      <c r="U52" t="s">
        <v>1910</v>
      </c>
      <c r="V52" s="133">
        <v>5.5E-2</v>
      </c>
      <c r="W52"/>
      <c r="X52"/>
      <c r="Y52" s="133"/>
      <c r="Z52" s="133">
        <v>2.8000000000000001E-2</v>
      </c>
      <c r="AA52" s="134">
        <v>47986</v>
      </c>
      <c r="AB52" t="s">
        <v>620</v>
      </c>
      <c r="AC52"/>
      <c r="AD52" s="132"/>
      <c r="AE52" s="133"/>
      <c r="AF52" s="134"/>
      <c r="AG52"/>
      <c r="AH52"/>
      <c r="AI52"/>
      <c r="AJ52" t="s">
        <v>55</v>
      </c>
      <c r="AK52" t="s">
        <v>775</v>
      </c>
      <c r="AL52"/>
      <c r="AM52" t="s">
        <v>305</v>
      </c>
      <c r="AN52" s="134">
        <v>46022</v>
      </c>
      <c r="AO52" s="134"/>
      <c r="AP52" s="133"/>
      <c r="AQ52" s="130">
        <v>62071.59</v>
      </c>
      <c r="AR52" s="130">
        <v>127.8</v>
      </c>
      <c r="AS52" s="130">
        <v>1</v>
      </c>
      <c r="AT52" s="130">
        <v>79.327489999999997</v>
      </c>
      <c r="AU52" s="130">
        <v>79.327489999999997</v>
      </c>
      <c r="AV52" s="132"/>
      <c r="AW52" s="132"/>
      <c r="AX52"/>
      <c r="AY52"/>
      <c r="AZ52" s="133">
        <v>4.6319999999999998E-3</v>
      </c>
      <c r="BA52" s="133">
        <v>1.9000000000000001E-5</v>
      </c>
    </row>
    <row r="53" spans="1:53" x14ac:dyDescent="0.2">
      <c r="A53">
        <v>274</v>
      </c>
      <c r="B53">
        <v>274</v>
      </c>
      <c r="C53"/>
      <c r="D53"/>
      <c r="E53"/>
      <c r="F53">
        <v>33357</v>
      </c>
      <c r="G53" t="s">
        <v>245</v>
      </c>
      <c r="H53" t="s">
        <v>1184</v>
      </c>
      <c r="I53" t="s">
        <v>53</v>
      </c>
      <c r="J53"/>
      <c r="K53" t="s">
        <v>163</v>
      </c>
      <c r="L53" t="s">
        <v>62</v>
      </c>
      <c r="M53" t="s">
        <v>55</v>
      </c>
      <c r="N53"/>
      <c r="O53" s="134">
        <v>41053</v>
      </c>
      <c r="P53" t="s">
        <v>1292</v>
      </c>
      <c r="Q53" t="s">
        <v>65</v>
      </c>
      <c r="R53" t="s">
        <v>779</v>
      </c>
      <c r="S53" t="s">
        <v>1221</v>
      </c>
      <c r="T53" s="130">
        <v>2.85</v>
      </c>
      <c r="U53" t="s">
        <v>1910</v>
      </c>
      <c r="V53" s="133">
        <v>5.5E-2</v>
      </c>
      <c r="W53"/>
      <c r="X53"/>
      <c r="Y53" s="133"/>
      <c r="Z53" s="133">
        <v>2.8000000000000001E-2</v>
      </c>
      <c r="AA53" s="134">
        <v>47986</v>
      </c>
      <c r="AB53" t="s">
        <v>620</v>
      </c>
      <c r="AC53"/>
      <c r="AD53" s="132"/>
      <c r="AE53" s="133"/>
      <c r="AF53" s="134"/>
      <c r="AG53"/>
      <c r="AH53"/>
      <c r="AI53"/>
      <c r="AJ53" t="s">
        <v>55</v>
      </c>
      <c r="AK53" t="s">
        <v>775</v>
      </c>
      <c r="AL53"/>
      <c r="AM53" t="s">
        <v>305</v>
      </c>
      <c r="AN53" s="134">
        <v>46022</v>
      </c>
      <c r="AO53" s="134"/>
      <c r="AP53" s="133"/>
      <c r="AQ53" s="130">
        <v>60324.94</v>
      </c>
      <c r="AR53" s="130">
        <v>128.88999999999999</v>
      </c>
      <c r="AS53" s="130">
        <v>1</v>
      </c>
      <c r="AT53" s="130">
        <v>77.75282</v>
      </c>
      <c r="AU53" s="130">
        <v>77.75282</v>
      </c>
      <c r="AV53" s="132"/>
      <c r="AW53" s="132"/>
      <c r="AX53"/>
      <c r="AY53"/>
      <c r="AZ53" s="133">
        <v>4.5399999999999998E-3</v>
      </c>
      <c r="BA53" s="133">
        <v>1.8E-5</v>
      </c>
    </row>
    <row r="54" spans="1:53" x14ac:dyDescent="0.2">
      <c r="A54">
        <v>274</v>
      </c>
      <c r="B54">
        <v>274</v>
      </c>
      <c r="C54"/>
      <c r="D54"/>
      <c r="E54"/>
      <c r="F54">
        <v>33290</v>
      </c>
      <c r="G54" t="s">
        <v>245</v>
      </c>
      <c r="H54" t="s">
        <v>1184</v>
      </c>
      <c r="I54" t="s">
        <v>53</v>
      </c>
      <c r="J54"/>
      <c r="K54" t="s">
        <v>163</v>
      </c>
      <c r="L54" t="s">
        <v>62</v>
      </c>
      <c r="M54" t="s">
        <v>55</v>
      </c>
      <c r="N54"/>
      <c r="O54" s="134">
        <v>40933</v>
      </c>
      <c r="P54" t="s">
        <v>1292</v>
      </c>
      <c r="Q54" t="s">
        <v>65</v>
      </c>
      <c r="R54" t="s">
        <v>779</v>
      </c>
      <c r="S54" t="s">
        <v>1221</v>
      </c>
      <c r="T54" s="130">
        <v>2.85</v>
      </c>
      <c r="U54" t="s">
        <v>1910</v>
      </c>
      <c r="V54" s="133">
        <v>5.5309999999999998E-2</v>
      </c>
      <c r="W54"/>
      <c r="X54"/>
      <c r="Y54" s="133"/>
      <c r="Z54" s="133">
        <v>2.8000000000000001E-2</v>
      </c>
      <c r="AA54" s="134">
        <v>47986</v>
      </c>
      <c r="AB54" t="s">
        <v>620</v>
      </c>
      <c r="AC54"/>
      <c r="AD54" s="132"/>
      <c r="AE54" s="133"/>
      <c r="AF54" s="134"/>
      <c r="AG54"/>
      <c r="AH54"/>
      <c r="AI54"/>
      <c r="AJ54" t="s">
        <v>55</v>
      </c>
      <c r="AK54" t="s">
        <v>775</v>
      </c>
      <c r="AL54"/>
      <c r="AM54" t="s">
        <v>305</v>
      </c>
      <c r="AN54" s="134">
        <v>46022</v>
      </c>
      <c r="AO54" s="134"/>
      <c r="AP54" s="133"/>
      <c r="AQ54" s="130">
        <v>147159.91</v>
      </c>
      <c r="AR54" s="130">
        <v>130.62</v>
      </c>
      <c r="AS54" s="130">
        <v>1</v>
      </c>
      <c r="AT54" s="130">
        <v>192.22027</v>
      </c>
      <c r="AU54" s="130">
        <v>192.22027</v>
      </c>
      <c r="AV54" s="132"/>
      <c r="AW54" s="132"/>
      <c r="AX54"/>
      <c r="AY54"/>
      <c r="AZ54" s="133">
        <v>1.1225000000000001E-2</v>
      </c>
      <c r="BA54" s="133">
        <v>4.6E-5</v>
      </c>
    </row>
    <row r="55" spans="1:53" x14ac:dyDescent="0.2">
      <c r="A55">
        <v>274</v>
      </c>
      <c r="B55">
        <v>274</v>
      </c>
      <c r="C55"/>
      <c r="D55"/>
      <c r="E55"/>
      <c r="F55">
        <v>33266</v>
      </c>
      <c r="G55" t="s">
        <v>245</v>
      </c>
      <c r="H55" t="s">
        <v>1184</v>
      </c>
      <c r="I55" t="s">
        <v>53</v>
      </c>
      <c r="J55"/>
      <c r="K55" t="s">
        <v>163</v>
      </c>
      <c r="L55" t="s">
        <v>62</v>
      </c>
      <c r="M55" t="s">
        <v>55</v>
      </c>
      <c r="N55"/>
      <c r="O55" s="134">
        <v>40903</v>
      </c>
      <c r="P55" t="s">
        <v>1292</v>
      </c>
      <c r="Q55" t="s">
        <v>65</v>
      </c>
      <c r="R55" t="s">
        <v>779</v>
      </c>
      <c r="S55" t="s">
        <v>1221</v>
      </c>
      <c r="T55" s="130">
        <v>2.85</v>
      </c>
      <c r="U55" t="s">
        <v>1910</v>
      </c>
      <c r="V55" s="133">
        <v>5.6619999999999997E-2</v>
      </c>
      <c r="W55"/>
      <c r="X55"/>
      <c r="Y55" s="133"/>
      <c r="Z55" s="133">
        <v>2.8000000000000001E-2</v>
      </c>
      <c r="AA55" s="134">
        <v>47986</v>
      </c>
      <c r="AB55" t="s">
        <v>620</v>
      </c>
      <c r="AC55"/>
      <c r="AD55" s="132"/>
      <c r="AE55" s="133"/>
      <c r="AF55" s="134"/>
      <c r="AG55"/>
      <c r="AH55"/>
      <c r="AI55"/>
      <c r="AJ55" t="s">
        <v>55</v>
      </c>
      <c r="AK55" t="s">
        <v>775</v>
      </c>
      <c r="AL55"/>
      <c r="AM55" t="s">
        <v>305</v>
      </c>
      <c r="AN55" s="134">
        <v>46022</v>
      </c>
      <c r="AO55" s="134"/>
      <c r="AP55" s="133"/>
      <c r="AQ55" s="130">
        <v>39906.93</v>
      </c>
      <c r="AR55" s="130">
        <v>131.09</v>
      </c>
      <c r="AS55" s="130">
        <v>1</v>
      </c>
      <c r="AT55" s="130">
        <v>52.313989999999997</v>
      </c>
      <c r="AU55" s="130">
        <v>52.313989999999997</v>
      </c>
      <c r="AV55" s="132"/>
      <c r="AW55" s="132"/>
      <c r="AX55"/>
      <c r="AY55"/>
      <c r="AZ55" s="133">
        <v>3.055E-3</v>
      </c>
      <c r="BA55" s="133">
        <v>1.2E-5</v>
      </c>
    </row>
    <row r="56" spans="1:53" x14ac:dyDescent="0.2">
      <c r="A56">
        <v>274</v>
      </c>
      <c r="B56">
        <v>274</v>
      </c>
      <c r="C56"/>
      <c r="D56"/>
      <c r="E56"/>
      <c r="F56">
        <v>33241</v>
      </c>
      <c r="G56" t="s">
        <v>245</v>
      </c>
      <c r="H56" t="s">
        <v>1184</v>
      </c>
      <c r="I56" t="s">
        <v>53</v>
      </c>
      <c r="J56"/>
      <c r="K56" t="s">
        <v>163</v>
      </c>
      <c r="L56" t="s">
        <v>62</v>
      </c>
      <c r="M56" t="s">
        <v>55</v>
      </c>
      <c r="N56"/>
      <c r="O56" s="134">
        <v>40993</v>
      </c>
      <c r="P56" t="s">
        <v>1292</v>
      </c>
      <c r="Q56" t="s">
        <v>65</v>
      </c>
      <c r="R56" t="s">
        <v>779</v>
      </c>
      <c r="S56" t="s">
        <v>1221</v>
      </c>
      <c r="T56" s="130">
        <v>2.85</v>
      </c>
      <c r="U56" t="s">
        <v>1910</v>
      </c>
      <c r="V56" s="133">
        <v>5.5452000000000001E-2</v>
      </c>
      <c r="W56"/>
      <c r="X56"/>
      <c r="Y56" s="133"/>
      <c r="Z56" s="133">
        <v>2.8000000000000001E-2</v>
      </c>
      <c r="AA56" s="134">
        <v>47986</v>
      </c>
      <c r="AB56" t="s">
        <v>620</v>
      </c>
      <c r="AC56"/>
      <c r="AD56" s="132"/>
      <c r="AE56" s="133"/>
      <c r="AF56" s="134"/>
      <c r="AG56"/>
      <c r="AH56"/>
      <c r="AI56"/>
      <c r="AJ56" t="s">
        <v>55</v>
      </c>
      <c r="AK56" t="s">
        <v>775</v>
      </c>
      <c r="AL56"/>
      <c r="AM56" t="s">
        <v>305</v>
      </c>
      <c r="AN56" s="134">
        <v>46022</v>
      </c>
      <c r="AO56" s="134"/>
      <c r="AP56" s="133"/>
      <c r="AQ56" s="130">
        <v>85643.21</v>
      </c>
      <c r="AR56" s="130">
        <v>130.66999999999999</v>
      </c>
      <c r="AS56" s="130">
        <v>1</v>
      </c>
      <c r="AT56" s="130">
        <v>111.90998</v>
      </c>
      <c r="AU56" s="130">
        <v>111.90998</v>
      </c>
      <c r="AV56" s="132"/>
      <c r="AW56" s="132"/>
      <c r="AX56"/>
      <c r="AY56"/>
      <c r="AZ56" s="133">
        <v>6.535E-3</v>
      </c>
      <c r="BA56" s="133">
        <v>2.6999999999999999E-5</v>
      </c>
    </row>
    <row r="57" spans="1:53" x14ac:dyDescent="0.2">
      <c r="A57">
        <v>274</v>
      </c>
      <c r="B57">
        <v>274</v>
      </c>
      <c r="C57"/>
      <c r="D57"/>
      <c r="E57"/>
      <c r="F57">
        <v>33084</v>
      </c>
      <c r="G57" t="s">
        <v>245</v>
      </c>
      <c r="H57" t="s">
        <v>1184</v>
      </c>
      <c r="I57" t="s">
        <v>53</v>
      </c>
      <c r="J57"/>
      <c r="K57" t="s">
        <v>163</v>
      </c>
      <c r="L57" t="s">
        <v>62</v>
      </c>
      <c r="M57" t="s">
        <v>55</v>
      </c>
      <c r="N57"/>
      <c r="O57" s="134">
        <v>40871</v>
      </c>
      <c r="P57" t="s">
        <v>1292</v>
      </c>
      <c r="Q57" t="s">
        <v>65</v>
      </c>
      <c r="R57" t="s">
        <v>779</v>
      </c>
      <c r="S57" t="s">
        <v>1221</v>
      </c>
      <c r="T57" s="130">
        <v>2.85</v>
      </c>
      <c r="U57" t="s">
        <v>1910</v>
      </c>
      <c r="V57" s="133">
        <v>5.5888E-2</v>
      </c>
      <c r="W57"/>
      <c r="X57"/>
      <c r="Y57" s="133"/>
      <c r="Z57" s="133">
        <v>2.8000000000000001E-2</v>
      </c>
      <c r="AA57" s="134">
        <v>47986</v>
      </c>
      <c r="AB57" t="s">
        <v>620</v>
      </c>
      <c r="AC57"/>
      <c r="AD57" s="132"/>
      <c r="AE57" s="133"/>
      <c r="AF57" s="134"/>
      <c r="AG57"/>
      <c r="AH57"/>
      <c r="AI57"/>
      <c r="AJ57" t="s">
        <v>55</v>
      </c>
      <c r="AK57" t="s">
        <v>775</v>
      </c>
      <c r="AL57"/>
      <c r="AM57" t="s">
        <v>305</v>
      </c>
      <c r="AN57" s="134">
        <v>46022</v>
      </c>
      <c r="AO57" s="134"/>
      <c r="AP57" s="133"/>
      <c r="AQ57" s="130">
        <v>38892.19</v>
      </c>
      <c r="AR57" s="130">
        <v>130.69999999999999</v>
      </c>
      <c r="AS57" s="130">
        <v>1</v>
      </c>
      <c r="AT57" s="130">
        <v>50.832090000000001</v>
      </c>
      <c r="AU57" s="130">
        <v>50.832090000000001</v>
      </c>
      <c r="AV57" s="132"/>
      <c r="AW57" s="132"/>
      <c r="AX57"/>
      <c r="AY57"/>
      <c r="AZ57" s="133">
        <v>2.9680000000000002E-3</v>
      </c>
      <c r="BA57" s="133">
        <v>1.2E-5</v>
      </c>
    </row>
    <row r="58" spans="1:53" x14ac:dyDescent="0.2">
      <c r="A58">
        <v>274</v>
      </c>
      <c r="B58">
        <v>274</v>
      </c>
      <c r="C58"/>
      <c r="D58"/>
      <c r="E58"/>
      <c r="F58">
        <v>28498</v>
      </c>
      <c r="G58" t="s">
        <v>245</v>
      </c>
      <c r="H58" t="s">
        <v>1184</v>
      </c>
      <c r="I58" t="s">
        <v>53</v>
      </c>
      <c r="J58"/>
      <c r="K58" t="s">
        <v>163</v>
      </c>
      <c r="L58" t="s">
        <v>62</v>
      </c>
      <c r="M58" t="s">
        <v>55</v>
      </c>
      <c r="N58"/>
      <c r="O58" s="134">
        <v>41512</v>
      </c>
      <c r="P58" t="s">
        <v>1292</v>
      </c>
      <c r="Q58" t="s">
        <v>65</v>
      </c>
      <c r="R58" t="s">
        <v>779</v>
      </c>
      <c r="S58" t="s">
        <v>1221</v>
      </c>
      <c r="T58" s="130">
        <v>2.85</v>
      </c>
      <c r="U58" t="s">
        <v>1910</v>
      </c>
      <c r="V58" s="133">
        <v>5.5E-2</v>
      </c>
      <c r="W58"/>
      <c r="X58"/>
      <c r="Y58" s="133"/>
      <c r="Z58" s="133">
        <v>2.8000000000000001E-2</v>
      </c>
      <c r="AA58" s="134">
        <v>47986</v>
      </c>
      <c r="AB58" t="s">
        <v>620</v>
      </c>
      <c r="AC58"/>
      <c r="AD58" s="132"/>
      <c r="AE58" s="133"/>
      <c r="AF58" s="134"/>
      <c r="AG58"/>
      <c r="AH58"/>
      <c r="AI58"/>
      <c r="AJ58" t="s">
        <v>55</v>
      </c>
      <c r="AK58" t="s">
        <v>775</v>
      </c>
      <c r="AL58"/>
      <c r="AM58" t="s">
        <v>305</v>
      </c>
      <c r="AN58" s="134">
        <v>46022</v>
      </c>
      <c r="AO58" s="134"/>
      <c r="AP58" s="133"/>
      <c r="AQ58" s="130">
        <v>77280.11</v>
      </c>
      <c r="AR58" s="130">
        <v>126.36</v>
      </c>
      <c r="AS58" s="130">
        <v>1</v>
      </c>
      <c r="AT58" s="130">
        <v>97.651150000000001</v>
      </c>
      <c r="AU58" s="130">
        <v>97.651150000000001</v>
      </c>
      <c r="AV58" s="132"/>
      <c r="AW58" s="132"/>
      <c r="AX58"/>
      <c r="AY58"/>
      <c r="AZ58" s="133">
        <v>5.7019999999999996E-3</v>
      </c>
      <c r="BA58" s="133">
        <v>2.3E-5</v>
      </c>
    </row>
    <row r="59" spans="1:53" x14ac:dyDescent="0.2">
      <c r="A59">
        <v>274</v>
      </c>
      <c r="B59">
        <v>274</v>
      </c>
      <c r="C59"/>
      <c r="D59"/>
      <c r="E59"/>
      <c r="F59">
        <v>28464</v>
      </c>
      <c r="G59" t="s">
        <v>245</v>
      </c>
      <c r="H59" t="s">
        <v>1184</v>
      </c>
      <c r="I59" t="s">
        <v>53</v>
      </c>
      <c r="J59"/>
      <c r="K59" t="s">
        <v>163</v>
      </c>
      <c r="L59" t="s">
        <v>62</v>
      </c>
      <c r="M59" t="s">
        <v>55</v>
      </c>
      <c r="N59"/>
      <c r="O59" s="134">
        <v>41480</v>
      </c>
      <c r="P59" t="s">
        <v>1292</v>
      </c>
      <c r="Q59" t="s">
        <v>65</v>
      </c>
      <c r="R59" t="s">
        <v>779</v>
      </c>
      <c r="S59" t="s">
        <v>1221</v>
      </c>
      <c r="T59" s="130">
        <v>2.85</v>
      </c>
      <c r="U59" t="s">
        <v>1910</v>
      </c>
      <c r="V59" s="133">
        <v>5.5E-2</v>
      </c>
      <c r="W59"/>
      <c r="X59"/>
      <c r="Y59" s="133"/>
      <c r="Z59" s="133">
        <v>2.8000000000000001E-2</v>
      </c>
      <c r="AA59" s="134">
        <v>47986</v>
      </c>
      <c r="AB59" t="s">
        <v>620</v>
      </c>
      <c r="AC59"/>
      <c r="AD59" s="132"/>
      <c r="AE59" s="133"/>
      <c r="AF59" s="134"/>
      <c r="AG59"/>
      <c r="AH59"/>
      <c r="AI59"/>
      <c r="AJ59" t="s">
        <v>55</v>
      </c>
      <c r="AK59" t="s">
        <v>775</v>
      </c>
      <c r="AL59"/>
      <c r="AM59" t="s">
        <v>305</v>
      </c>
      <c r="AN59" s="134">
        <v>46022</v>
      </c>
      <c r="AO59" s="134"/>
      <c r="AP59" s="133"/>
      <c r="AQ59" s="130">
        <v>24787.94</v>
      </c>
      <c r="AR59" s="130">
        <v>126.74</v>
      </c>
      <c r="AS59" s="130">
        <v>1</v>
      </c>
      <c r="AT59" s="130">
        <v>31.416239999999998</v>
      </c>
      <c r="AU59" s="130">
        <v>31.416239999999998</v>
      </c>
      <c r="AV59" s="132"/>
      <c r="AW59" s="132"/>
      <c r="AX59"/>
      <c r="AY59"/>
      <c r="AZ59" s="133">
        <v>1.8339999999999999E-3</v>
      </c>
      <c r="BA59" s="133">
        <v>6.9999999999999999E-6</v>
      </c>
    </row>
    <row r="60" spans="1:53" x14ac:dyDescent="0.2">
      <c r="A60">
        <v>274</v>
      </c>
      <c r="B60">
        <v>274</v>
      </c>
      <c r="C60"/>
      <c r="D60"/>
      <c r="E60"/>
      <c r="F60">
        <v>28449</v>
      </c>
      <c r="G60" t="s">
        <v>245</v>
      </c>
      <c r="H60" t="s">
        <v>1184</v>
      </c>
      <c r="I60" t="s">
        <v>53</v>
      </c>
      <c r="J60"/>
      <c r="K60" t="s">
        <v>163</v>
      </c>
      <c r="L60" t="s">
        <v>62</v>
      </c>
      <c r="M60" t="s">
        <v>55</v>
      </c>
      <c r="N60"/>
      <c r="O60" s="134">
        <v>41450</v>
      </c>
      <c r="P60" t="s">
        <v>1292</v>
      </c>
      <c r="Q60" t="s">
        <v>65</v>
      </c>
      <c r="R60" t="s">
        <v>779</v>
      </c>
      <c r="S60" t="s">
        <v>1221</v>
      </c>
      <c r="T60" s="130">
        <v>2.85</v>
      </c>
      <c r="U60" t="s">
        <v>1910</v>
      </c>
      <c r="V60" s="133">
        <v>5.5E-2</v>
      </c>
      <c r="W60"/>
      <c r="X60"/>
      <c r="Y60" s="133"/>
      <c r="Z60" s="133">
        <v>2.8000000000000001E-2</v>
      </c>
      <c r="AA60" s="134">
        <v>47986</v>
      </c>
      <c r="AB60" t="s">
        <v>620</v>
      </c>
      <c r="AC60"/>
      <c r="AD60" s="132"/>
      <c r="AE60" s="133"/>
      <c r="AF60" s="134"/>
      <c r="AG60"/>
      <c r="AH60"/>
      <c r="AI60"/>
      <c r="AJ60" t="s">
        <v>55</v>
      </c>
      <c r="AK60" t="s">
        <v>775</v>
      </c>
      <c r="AL60"/>
      <c r="AM60" t="s">
        <v>305</v>
      </c>
      <c r="AN60" s="134">
        <v>46022</v>
      </c>
      <c r="AO60" s="134"/>
      <c r="AP60" s="133"/>
      <c r="AQ60" s="130">
        <v>28225.82</v>
      </c>
      <c r="AR60" s="130">
        <v>127.74</v>
      </c>
      <c r="AS60" s="130">
        <v>1</v>
      </c>
      <c r="AT60" s="130">
        <v>36.055660000000003</v>
      </c>
      <c r="AU60" s="130">
        <v>36.055660000000003</v>
      </c>
      <c r="AV60" s="132"/>
      <c r="AW60" s="132"/>
      <c r="AX60"/>
      <c r="AY60"/>
      <c r="AZ60" s="133">
        <v>2.1050000000000001E-3</v>
      </c>
      <c r="BA60" s="133">
        <v>7.9999999999999996E-6</v>
      </c>
    </row>
    <row r="61" spans="1:53" x14ac:dyDescent="0.2">
      <c r="A61">
        <v>274</v>
      </c>
      <c r="B61">
        <v>274</v>
      </c>
      <c r="C61"/>
      <c r="D61"/>
      <c r="E61"/>
      <c r="F61">
        <v>28415</v>
      </c>
      <c r="G61" t="s">
        <v>245</v>
      </c>
      <c r="H61" t="s">
        <v>1184</v>
      </c>
      <c r="I61" t="s">
        <v>53</v>
      </c>
      <c r="J61"/>
      <c r="K61" t="s">
        <v>163</v>
      </c>
      <c r="L61" t="s">
        <v>62</v>
      </c>
      <c r="M61" t="s">
        <v>55</v>
      </c>
      <c r="N61"/>
      <c r="O61" s="134">
        <v>41422</v>
      </c>
      <c r="P61" t="s">
        <v>1292</v>
      </c>
      <c r="Q61" t="s">
        <v>65</v>
      </c>
      <c r="R61" t="s">
        <v>779</v>
      </c>
      <c r="S61" t="s">
        <v>1221</v>
      </c>
      <c r="T61" s="130">
        <v>2.85</v>
      </c>
      <c r="U61" t="s">
        <v>1910</v>
      </c>
      <c r="V61" s="133">
        <v>5.5E-2</v>
      </c>
      <c r="W61"/>
      <c r="X61"/>
      <c r="Y61" s="133"/>
      <c r="Z61" s="133">
        <v>2.8000000000000001E-2</v>
      </c>
      <c r="AA61" s="134">
        <v>47986</v>
      </c>
      <c r="AB61" t="s">
        <v>620</v>
      </c>
      <c r="AC61"/>
      <c r="AD61" s="132"/>
      <c r="AE61" s="133"/>
      <c r="AF61" s="134"/>
      <c r="AG61"/>
      <c r="AH61"/>
      <c r="AI61"/>
      <c r="AJ61" t="s">
        <v>55</v>
      </c>
      <c r="AK61" t="s">
        <v>775</v>
      </c>
      <c r="AL61"/>
      <c r="AM61" t="s">
        <v>305</v>
      </c>
      <c r="AN61" s="134">
        <v>46022</v>
      </c>
      <c r="AO61" s="134"/>
      <c r="AP61" s="133"/>
      <c r="AQ61" s="130">
        <v>17132.82</v>
      </c>
      <c r="AR61" s="130">
        <v>127.87</v>
      </c>
      <c r="AS61" s="130">
        <v>1</v>
      </c>
      <c r="AT61" s="130">
        <v>21.90774</v>
      </c>
      <c r="AU61" s="130">
        <v>21.90774</v>
      </c>
      <c r="AV61" s="132"/>
      <c r="AW61" s="132"/>
      <c r="AX61"/>
      <c r="AY61"/>
      <c r="AZ61" s="133">
        <v>1.279E-3</v>
      </c>
      <c r="BA61" s="133">
        <v>5.0000000000000004E-6</v>
      </c>
    </row>
    <row r="62" spans="1:53" x14ac:dyDescent="0.2">
      <c r="A62">
        <v>274</v>
      </c>
      <c r="B62">
        <v>274</v>
      </c>
      <c r="C62"/>
      <c r="D62"/>
      <c r="E62"/>
      <c r="F62">
        <v>28134</v>
      </c>
      <c r="G62" t="s">
        <v>245</v>
      </c>
      <c r="H62" t="s">
        <v>1184</v>
      </c>
      <c r="I62" t="s">
        <v>53</v>
      </c>
      <c r="J62"/>
      <c r="K62" t="s">
        <v>163</v>
      </c>
      <c r="L62" t="s">
        <v>62</v>
      </c>
      <c r="M62" t="s">
        <v>55</v>
      </c>
      <c r="N62"/>
      <c r="O62" s="134">
        <v>42565</v>
      </c>
      <c r="P62" t="s">
        <v>1292</v>
      </c>
      <c r="Q62" t="s">
        <v>65</v>
      </c>
      <c r="R62" t="s">
        <v>779</v>
      </c>
      <c r="S62" t="s">
        <v>1221</v>
      </c>
      <c r="T62" s="130">
        <v>2.85</v>
      </c>
      <c r="U62" t="s">
        <v>1910</v>
      </c>
      <c r="V62" s="133">
        <v>5.5E-2</v>
      </c>
      <c r="W62"/>
      <c r="X62"/>
      <c r="Y62" s="133"/>
      <c r="Z62" s="133">
        <v>2.8000000000000001E-2</v>
      </c>
      <c r="AA62" s="134">
        <v>47986</v>
      </c>
      <c r="AB62" t="s">
        <v>620</v>
      </c>
      <c r="AC62"/>
      <c r="AD62" s="132"/>
      <c r="AE62" s="133"/>
      <c r="AF62" s="134"/>
      <c r="AG62"/>
      <c r="AH62"/>
      <c r="AI62"/>
      <c r="AJ62" t="s">
        <v>55</v>
      </c>
      <c r="AK62" t="s">
        <v>775</v>
      </c>
      <c r="AL62"/>
      <c r="AM62" t="s">
        <v>305</v>
      </c>
      <c r="AN62" s="134">
        <v>46022</v>
      </c>
      <c r="AO62" s="134"/>
      <c r="AP62" s="133"/>
      <c r="AQ62" s="130">
        <v>196837.14</v>
      </c>
      <c r="AR62" s="130">
        <v>128.02000000000001</v>
      </c>
      <c r="AS62" s="130">
        <v>1</v>
      </c>
      <c r="AT62" s="130">
        <v>251.99091000000001</v>
      </c>
      <c r="AU62" s="130">
        <v>251.99091000000001</v>
      </c>
      <c r="AV62" s="132"/>
      <c r="AW62" s="132"/>
      <c r="AX62"/>
      <c r="AY62"/>
      <c r="AZ62" s="133">
        <v>1.4716E-2</v>
      </c>
      <c r="BA62" s="133">
        <v>6.0000000000000002E-5</v>
      </c>
    </row>
    <row r="63" spans="1:53" x14ac:dyDescent="0.2">
      <c r="A63">
        <v>274</v>
      </c>
      <c r="B63">
        <v>274</v>
      </c>
      <c r="C63"/>
      <c r="D63"/>
      <c r="E63"/>
      <c r="F63">
        <v>24869</v>
      </c>
      <c r="G63" t="s">
        <v>245</v>
      </c>
      <c r="H63" t="s">
        <v>1184</v>
      </c>
      <c r="I63" t="s">
        <v>53</v>
      </c>
      <c r="J63"/>
      <c r="K63" t="s">
        <v>163</v>
      </c>
      <c r="L63" t="s">
        <v>62</v>
      </c>
      <c r="M63" t="s">
        <v>55</v>
      </c>
      <c r="N63"/>
      <c r="O63" s="134">
        <v>41239</v>
      </c>
      <c r="P63" t="s">
        <v>1292</v>
      </c>
      <c r="Q63" t="s">
        <v>65</v>
      </c>
      <c r="R63" t="s">
        <v>779</v>
      </c>
      <c r="S63" t="s">
        <v>1221</v>
      </c>
      <c r="T63" s="130">
        <v>2.85</v>
      </c>
      <c r="U63" t="s">
        <v>1910</v>
      </c>
      <c r="V63" s="133">
        <v>5.5E-2</v>
      </c>
      <c r="W63"/>
      <c r="X63"/>
      <c r="Y63" s="133"/>
      <c r="Z63" s="133">
        <v>2.8000000000000001E-2</v>
      </c>
      <c r="AA63" s="134">
        <v>47986</v>
      </c>
      <c r="AB63" t="s">
        <v>620</v>
      </c>
      <c r="AC63"/>
      <c r="AD63" s="132"/>
      <c r="AE63" s="133"/>
      <c r="AF63" s="134"/>
      <c r="AG63"/>
      <c r="AH63"/>
      <c r="AI63"/>
      <c r="AJ63" t="s">
        <v>55</v>
      </c>
      <c r="AK63" t="s">
        <v>775</v>
      </c>
      <c r="AL63"/>
      <c r="AM63" t="s">
        <v>305</v>
      </c>
      <c r="AN63" s="134">
        <v>46022</v>
      </c>
      <c r="AO63" s="134"/>
      <c r="AP63" s="133"/>
      <c r="AQ63" s="130">
        <v>125011.03</v>
      </c>
      <c r="AR63" s="130">
        <v>128.04</v>
      </c>
      <c r="AS63" s="130">
        <v>1</v>
      </c>
      <c r="AT63" s="130">
        <v>160.06412</v>
      </c>
      <c r="AU63" s="130">
        <v>160.06412</v>
      </c>
      <c r="AV63" s="132"/>
      <c r="AW63" s="132"/>
      <c r="AX63"/>
      <c r="AY63"/>
      <c r="AZ63" s="133">
        <v>9.3469999999999994E-3</v>
      </c>
      <c r="BA63" s="133">
        <v>3.8000000000000002E-5</v>
      </c>
    </row>
    <row r="64" spans="1:53" x14ac:dyDescent="0.2">
      <c r="A64">
        <v>274</v>
      </c>
      <c r="B64">
        <v>274</v>
      </c>
      <c r="C64"/>
      <c r="D64"/>
      <c r="E64"/>
      <c r="F64">
        <v>24851</v>
      </c>
      <c r="G64" t="s">
        <v>245</v>
      </c>
      <c r="H64" t="s">
        <v>1184</v>
      </c>
      <c r="I64" t="s">
        <v>53</v>
      </c>
      <c r="J64"/>
      <c r="K64" t="s">
        <v>163</v>
      </c>
      <c r="L64" t="s">
        <v>62</v>
      </c>
      <c r="M64" t="s">
        <v>55</v>
      </c>
      <c r="N64"/>
      <c r="O64" s="134">
        <v>41207</v>
      </c>
      <c r="P64" t="s">
        <v>1292</v>
      </c>
      <c r="Q64" t="s">
        <v>65</v>
      </c>
      <c r="R64" t="s">
        <v>779</v>
      </c>
      <c r="S64" t="s">
        <v>1221</v>
      </c>
      <c r="T64" s="130">
        <v>2.85</v>
      </c>
      <c r="U64" t="s">
        <v>1910</v>
      </c>
      <c r="V64" s="133">
        <v>5.5E-2</v>
      </c>
      <c r="W64"/>
      <c r="X64"/>
      <c r="Y64" s="133"/>
      <c r="Z64" s="133">
        <v>2.8000000000000001E-2</v>
      </c>
      <c r="AA64" s="134">
        <v>47986</v>
      </c>
      <c r="AB64" t="s">
        <v>620</v>
      </c>
      <c r="AC64"/>
      <c r="AD64" s="132"/>
      <c r="AE64" s="133"/>
      <c r="AF64" s="134"/>
      <c r="AG64"/>
      <c r="AH64"/>
      <c r="AI64"/>
      <c r="AJ64" t="s">
        <v>55</v>
      </c>
      <c r="AK64" t="s">
        <v>775</v>
      </c>
      <c r="AL64"/>
      <c r="AM64" t="s">
        <v>305</v>
      </c>
      <c r="AN64" s="134">
        <v>46022</v>
      </c>
      <c r="AO64" s="134"/>
      <c r="AP64" s="133"/>
      <c r="AQ64" s="130">
        <v>14191.73</v>
      </c>
      <c r="AR64" s="130">
        <v>127.8</v>
      </c>
      <c r="AS64" s="130">
        <v>1</v>
      </c>
      <c r="AT64" s="130">
        <v>18.137029999999999</v>
      </c>
      <c r="AU64" s="130">
        <v>18.137029999999999</v>
      </c>
      <c r="AV64" s="132"/>
      <c r="AW64" s="132"/>
      <c r="AX64"/>
      <c r="AY64"/>
      <c r="AZ64" s="133">
        <v>1.059E-3</v>
      </c>
      <c r="BA64" s="133">
        <v>3.9999999999999998E-6</v>
      </c>
    </row>
    <row r="65" spans="1:53" x14ac:dyDescent="0.2">
      <c r="A65">
        <v>274</v>
      </c>
      <c r="B65">
        <v>274</v>
      </c>
      <c r="C65"/>
      <c r="D65"/>
      <c r="E65"/>
      <c r="F65">
        <v>24828</v>
      </c>
      <c r="G65" t="s">
        <v>245</v>
      </c>
      <c r="H65" t="s">
        <v>1184</v>
      </c>
      <c r="I65" t="s">
        <v>53</v>
      </c>
      <c r="J65"/>
      <c r="K65" t="s">
        <v>163</v>
      </c>
      <c r="L65" t="s">
        <v>62</v>
      </c>
      <c r="M65" t="s">
        <v>55</v>
      </c>
      <c r="N65"/>
      <c r="O65" s="134">
        <v>41115</v>
      </c>
      <c r="P65" t="s">
        <v>1292</v>
      </c>
      <c r="Q65" t="s">
        <v>65</v>
      </c>
      <c r="R65" t="s">
        <v>779</v>
      </c>
      <c r="S65" t="s">
        <v>1221</v>
      </c>
      <c r="T65" s="130">
        <v>2.85</v>
      </c>
      <c r="U65" t="s">
        <v>1910</v>
      </c>
      <c r="V65" s="133">
        <v>5.5E-2</v>
      </c>
      <c r="W65"/>
      <c r="X65"/>
      <c r="Y65" s="133"/>
      <c r="Z65" s="133">
        <v>2.8000000000000001E-2</v>
      </c>
      <c r="AA65" s="134">
        <v>47986</v>
      </c>
      <c r="AB65" t="s">
        <v>620</v>
      </c>
      <c r="AC65"/>
      <c r="AD65" s="132"/>
      <c r="AE65" s="133"/>
      <c r="AF65" s="134"/>
      <c r="AG65"/>
      <c r="AH65"/>
      <c r="AI65"/>
      <c r="AJ65" t="s">
        <v>55</v>
      </c>
      <c r="AK65" t="s">
        <v>775</v>
      </c>
      <c r="AL65"/>
      <c r="AM65" t="s">
        <v>305</v>
      </c>
      <c r="AN65" s="134">
        <v>46022</v>
      </c>
      <c r="AO65" s="134"/>
      <c r="AP65" s="133"/>
      <c r="AQ65" s="130">
        <v>49223.77</v>
      </c>
      <c r="AR65" s="130">
        <v>129.26</v>
      </c>
      <c r="AS65" s="130">
        <v>1</v>
      </c>
      <c r="AT65" s="130">
        <v>63.626649999999998</v>
      </c>
      <c r="AU65" s="130">
        <v>63.626649999999998</v>
      </c>
      <c r="AV65" s="132"/>
      <c r="AW65" s="132"/>
      <c r="AX65"/>
      <c r="AY65"/>
      <c r="AZ65" s="133">
        <v>3.715E-3</v>
      </c>
      <c r="BA65" s="133">
        <v>1.5E-5</v>
      </c>
    </row>
    <row r="66" spans="1:53" x14ac:dyDescent="0.2">
      <c r="A66">
        <v>274</v>
      </c>
      <c r="B66">
        <v>274</v>
      </c>
      <c r="C66"/>
      <c r="D66"/>
      <c r="E66"/>
      <c r="F66">
        <v>24794</v>
      </c>
      <c r="G66" t="s">
        <v>245</v>
      </c>
      <c r="H66" t="s">
        <v>1184</v>
      </c>
      <c r="I66" t="s">
        <v>53</v>
      </c>
      <c r="J66"/>
      <c r="K66" t="s">
        <v>163</v>
      </c>
      <c r="L66" t="s">
        <v>62</v>
      </c>
      <c r="M66" t="s">
        <v>55</v>
      </c>
      <c r="N66"/>
      <c r="O66" s="134">
        <v>41085</v>
      </c>
      <c r="P66" t="s">
        <v>1292</v>
      </c>
      <c r="Q66" t="s">
        <v>65</v>
      </c>
      <c r="R66" t="s">
        <v>779</v>
      </c>
      <c r="S66" t="s">
        <v>1221</v>
      </c>
      <c r="T66" s="130">
        <v>2.85</v>
      </c>
      <c r="U66" t="s">
        <v>1910</v>
      </c>
      <c r="V66" s="133">
        <v>5.5E-2</v>
      </c>
      <c r="W66"/>
      <c r="X66"/>
      <c r="Y66" s="133"/>
      <c r="Z66" s="133">
        <v>2.8000000000000001E-2</v>
      </c>
      <c r="AA66" s="134">
        <v>47986</v>
      </c>
      <c r="AB66" t="s">
        <v>620</v>
      </c>
      <c r="AC66"/>
      <c r="AD66" s="132"/>
      <c r="AE66" s="133"/>
      <c r="AF66" s="134"/>
      <c r="AG66"/>
      <c r="AH66"/>
      <c r="AI66"/>
      <c r="AJ66" t="s">
        <v>55</v>
      </c>
      <c r="AK66" t="s">
        <v>775</v>
      </c>
      <c r="AL66"/>
      <c r="AM66" t="s">
        <v>305</v>
      </c>
      <c r="AN66" s="134">
        <v>46022</v>
      </c>
      <c r="AO66" s="134"/>
      <c r="AP66" s="133"/>
      <c r="AQ66" s="130">
        <v>111002.34</v>
      </c>
      <c r="AR66" s="130">
        <v>128.88999999999999</v>
      </c>
      <c r="AS66" s="130">
        <v>1</v>
      </c>
      <c r="AT66" s="130">
        <v>143.07092</v>
      </c>
      <c r="AU66" s="130">
        <v>143.07092</v>
      </c>
      <c r="AV66" s="132"/>
      <c r="AW66" s="132"/>
      <c r="AX66"/>
      <c r="AY66"/>
      <c r="AZ66" s="133">
        <v>8.3549999999999996E-3</v>
      </c>
      <c r="BA66" s="133">
        <v>3.4E-5</v>
      </c>
    </row>
    <row r="67" spans="1:53" x14ac:dyDescent="0.2">
      <c r="A67">
        <v>274</v>
      </c>
      <c r="B67">
        <v>274</v>
      </c>
      <c r="C67"/>
      <c r="D67"/>
      <c r="E67"/>
      <c r="F67">
        <v>34850</v>
      </c>
      <c r="G67" t="s">
        <v>245</v>
      </c>
      <c r="H67" t="s">
        <v>1184</v>
      </c>
      <c r="I67" t="s">
        <v>53</v>
      </c>
      <c r="J67"/>
      <c r="K67" t="s">
        <v>163</v>
      </c>
      <c r="L67" t="s">
        <v>62</v>
      </c>
      <c r="M67" t="s">
        <v>55</v>
      </c>
      <c r="N67"/>
      <c r="O67" s="134">
        <v>41389</v>
      </c>
      <c r="P67" t="s">
        <v>1292</v>
      </c>
      <c r="Q67" t="s">
        <v>65</v>
      </c>
      <c r="R67" t="s">
        <v>779</v>
      </c>
      <c r="S67" t="s">
        <v>1221</v>
      </c>
      <c r="T67" s="130">
        <v>2.85</v>
      </c>
      <c r="U67" t="s">
        <v>1910</v>
      </c>
      <c r="V67" s="133">
        <v>5.5E-2</v>
      </c>
      <c r="W67"/>
      <c r="X67"/>
      <c r="Y67" s="133"/>
      <c r="Z67" s="133">
        <v>2.8000000000000001E-2</v>
      </c>
      <c r="AA67" s="134">
        <v>47986</v>
      </c>
      <c r="AB67" t="s">
        <v>620</v>
      </c>
      <c r="AC67"/>
      <c r="AD67" s="132"/>
      <c r="AE67" s="133"/>
      <c r="AF67" s="134"/>
      <c r="AG67"/>
      <c r="AH67"/>
      <c r="AI67"/>
      <c r="AJ67" t="s">
        <v>55</v>
      </c>
      <c r="AK67" t="s">
        <v>775</v>
      </c>
      <c r="AL67"/>
      <c r="AM67" t="s">
        <v>305</v>
      </c>
      <c r="AN67" s="134">
        <v>46022</v>
      </c>
      <c r="AO67" s="134"/>
      <c r="AP67" s="133"/>
      <c r="AQ67" s="130">
        <v>46778.94</v>
      </c>
      <c r="AR67" s="130">
        <v>128.37</v>
      </c>
      <c r="AS67" s="130">
        <v>1</v>
      </c>
      <c r="AT67" s="130">
        <v>60.050130000000003</v>
      </c>
      <c r="AU67" s="130">
        <v>60.050130000000003</v>
      </c>
      <c r="AV67" s="132"/>
      <c r="AW67" s="132"/>
      <c r="AX67"/>
      <c r="AY67"/>
      <c r="AZ67" s="133">
        <v>3.506E-3</v>
      </c>
      <c r="BA67" s="133">
        <v>1.4E-5</v>
      </c>
    </row>
    <row r="68" spans="1:53" x14ac:dyDescent="0.2">
      <c r="A68">
        <v>274</v>
      </c>
      <c r="B68">
        <v>274</v>
      </c>
      <c r="C68"/>
      <c r="D68"/>
      <c r="E68"/>
      <c r="F68">
        <v>8070120</v>
      </c>
      <c r="G68" t="s">
        <v>245</v>
      </c>
      <c r="H68" t="s">
        <v>1184</v>
      </c>
      <c r="I68" t="s">
        <v>53</v>
      </c>
      <c r="J68"/>
      <c r="K68" t="s">
        <v>163</v>
      </c>
      <c r="L68" t="s">
        <v>62</v>
      </c>
      <c r="M68" t="s">
        <v>55</v>
      </c>
      <c r="N68"/>
      <c r="O68" s="134">
        <v>38258</v>
      </c>
      <c r="P68" t="s">
        <v>1298</v>
      </c>
      <c r="Q68" t="s">
        <v>70</v>
      </c>
      <c r="R68" t="s">
        <v>779</v>
      </c>
      <c r="S68" t="s">
        <v>1221</v>
      </c>
      <c r="T68" s="130">
        <v>0.99</v>
      </c>
      <c r="U68" t="s">
        <v>1910</v>
      </c>
      <c r="V68" s="133">
        <v>5.1694999999999998E-2</v>
      </c>
      <c r="W68"/>
      <c r="X68"/>
      <c r="Y68" s="133"/>
      <c r="Z68" s="133">
        <v>2.41E-2</v>
      </c>
      <c r="AA68" s="134">
        <v>46568</v>
      </c>
      <c r="AB68" t="s">
        <v>620</v>
      </c>
      <c r="AC68"/>
      <c r="AD68" s="132"/>
      <c r="AE68" s="133"/>
      <c r="AF68" s="134"/>
      <c r="AG68"/>
      <c r="AH68"/>
      <c r="AI68"/>
      <c r="AJ68" t="s">
        <v>55</v>
      </c>
      <c r="AK68" t="s">
        <v>775</v>
      </c>
      <c r="AL68"/>
      <c r="AM68" t="s">
        <v>305</v>
      </c>
      <c r="AN68" s="134">
        <v>46022</v>
      </c>
      <c r="AO68" s="134"/>
      <c r="AP68" s="133"/>
      <c r="AQ68" s="130">
        <v>62376.52</v>
      </c>
      <c r="AR68" s="130">
        <v>150.88999999999999</v>
      </c>
      <c r="AS68" s="130">
        <v>1</v>
      </c>
      <c r="AT68" s="130">
        <v>94.119929999999997</v>
      </c>
      <c r="AU68" s="130">
        <v>94.119929999999997</v>
      </c>
      <c r="AV68" s="132"/>
      <c r="AW68" s="132"/>
      <c r="AX68"/>
      <c r="AY68"/>
      <c r="AZ68" s="133">
        <v>5.496E-3</v>
      </c>
      <c r="BA68" s="133">
        <v>2.1999999999999999E-5</v>
      </c>
    </row>
    <row r="69" spans="1:53" x14ac:dyDescent="0.2">
      <c r="A69">
        <v>274</v>
      </c>
      <c r="B69">
        <v>274</v>
      </c>
      <c r="C69"/>
      <c r="D69"/>
      <c r="E69"/>
      <c r="F69">
        <v>34900</v>
      </c>
      <c r="G69" t="s">
        <v>245</v>
      </c>
      <c r="H69" t="s">
        <v>1184</v>
      </c>
      <c r="I69" t="s">
        <v>53</v>
      </c>
      <c r="J69"/>
      <c r="K69" t="s">
        <v>156</v>
      </c>
      <c r="L69" t="s">
        <v>62</v>
      </c>
      <c r="M69" t="s">
        <v>55</v>
      </c>
      <c r="N69"/>
      <c r="O69" s="134">
        <v>41281</v>
      </c>
      <c r="P69" t="s">
        <v>1316</v>
      </c>
      <c r="Q69" t="s">
        <v>70</v>
      </c>
      <c r="R69" t="s">
        <v>779</v>
      </c>
      <c r="S69" t="s">
        <v>1221</v>
      </c>
      <c r="T69" s="130">
        <v>3.33</v>
      </c>
      <c r="U69" t="s">
        <v>1910</v>
      </c>
      <c r="V69" s="133">
        <v>5.3499999999999999E-2</v>
      </c>
      <c r="W69"/>
      <c r="X69"/>
      <c r="Y69" s="133"/>
      <c r="Z69" s="133">
        <v>2.1100000000000001E-2</v>
      </c>
      <c r="AA69" s="134">
        <v>48479</v>
      </c>
      <c r="AB69" t="s">
        <v>620</v>
      </c>
      <c r="AC69"/>
      <c r="AD69" s="132"/>
      <c r="AE69" s="133"/>
      <c r="AF69" s="134"/>
      <c r="AG69"/>
      <c r="AH69"/>
      <c r="AI69"/>
      <c r="AJ69" t="s">
        <v>55</v>
      </c>
      <c r="AK69" t="s">
        <v>775</v>
      </c>
      <c r="AL69"/>
      <c r="AM69" t="s">
        <v>305</v>
      </c>
      <c r="AN69" s="134">
        <v>46022</v>
      </c>
      <c r="AO69" s="134"/>
      <c r="AP69" s="133"/>
      <c r="AQ69" s="130">
        <v>87254.6</v>
      </c>
      <c r="AR69" s="130">
        <v>135.21</v>
      </c>
      <c r="AS69" s="130">
        <v>1</v>
      </c>
      <c r="AT69" s="130">
        <v>117.97694</v>
      </c>
      <c r="AU69" s="130">
        <v>117.97694</v>
      </c>
      <c r="AV69" s="132"/>
      <c r="AW69" s="132"/>
      <c r="AX69"/>
      <c r="AY69"/>
      <c r="AZ69" s="133">
        <v>6.8890000000000002E-3</v>
      </c>
      <c r="BA69" s="133">
        <v>2.8E-5</v>
      </c>
    </row>
    <row r="70" spans="1:53" x14ac:dyDescent="0.2">
      <c r="A70">
        <v>274</v>
      </c>
      <c r="B70">
        <v>274</v>
      </c>
      <c r="C70"/>
      <c r="D70"/>
      <c r="E70"/>
      <c r="F70">
        <v>36608</v>
      </c>
      <c r="G70" t="s">
        <v>245</v>
      </c>
      <c r="H70" t="s">
        <v>1184</v>
      </c>
      <c r="I70" t="s">
        <v>53</v>
      </c>
      <c r="J70"/>
      <c r="K70" t="s">
        <v>156</v>
      </c>
      <c r="L70" t="s">
        <v>62</v>
      </c>
      <c r="M70" t="s">
        <v>55</v>
      </c>
      <c r="N70"/>
      <c r="O70" s="134">
        <v>41767</v>
      </c>
      <c r="P70" t="s">
        <v>1316</v>
      </c>
      <c r="Q70" t="s">
        <v>70</v>
      </c>
      <c r="R70" t="s">
        <v>779</v>
      </c>
      <c r="S70" t="s">
        <v>1221</v>
      </c>
      <c r="T70" s="130">
        <v>3.32</v>
      </c>
      <c r="U70" t="s">
        <v>1910</v>
      </c>
      <c r="V70" s="133">
        <v>5.3499999999999999E-2</v>
      </c>
      <c r="W70"/>
      <c r="X70"/>
      <c r="Y70" s="133"/>
      <c r="Z70" s="133">
        <v>2.3599999999999999E-2</v>
      </c>
      <c r="AA70" s="134">
        <v>48479</v>
      </c>
      <c r="AB70" t="s">
        <v>620</v>
      </c>
      <c r="AC70"/>
      <c r="AD70" s="132"/>
      <c r="AE70" s="133"/>
      <c r="AF70" s="134"/>
      <c r="AG70"/>
      <c r="AH70"/>
      <c r="AI70"/>
      <c r="AJ70" t="s">
        <v>55</v>
      </c>
      <c r="AK70" t="s">
        <v>775</v>
      </c>
      <c r="AL70"/>
      <c r="AM70" t="s">
        <v>305</v>
      </c>
      <c r="AN70" s="134">
        <v>46022</v>
      </c>
      <c r="AO70" s="134"/>
      <c r="AP70" s="133"/>
      <c r="AQ70" s="130">
        <v>15170.71</v>
      </c>
      <c r="AR70" s="130">
        <v>132.13</v>
      </c>
      <c r="AS70" s="130">
        <v>1</v>
      </c>
      <c r="AT70" s="130">
        <v>20.045059999999999</v>
      </c>
      <c r="AU70" s="130">
        <v>20.045059999999999</v>
      </c>
      <c r="AV70" s="132"/>
      <c r="AW70" s="132"/>
      <c r="AX70"/>
      <c r="AY70"/>
      <c r="AZ70" s="133">
        <v>1.17E-3</v>
      </c>
      <c r="BA70" s="133">
        <v>3.9999999999999998E-6</v>
      </c>
    </row>
    <row r="71" spans="1:53" x14ac:dyDescent="0.2">
      <c r="A71">
        <v>274</v>
      </c>
      <c r="B71">
        <v>274</v>
      </c>
      <c r="C71"/>
      <c r="D71"/>
      <c r="E71"/>
      <c r="F71">
        <v>54072</v>
      </c>
      <c r="G71" t="s">
        <v>245</v>
      </c>
      <c r="H71" t="s">
        <v>1184</v>
      </c>
      <c r="I71" t="s">
        <v>53</v>
      </c>
      <c r="J71"/>
      <c r="K71" t="s">
        <v>163</v>
      </c>
      <c r="L71" t="s">
        <v>62</v>
      </c>
      <c r="M71" t="s">
        <v>55</v>
      </c>
      <c r="N71"/>
      <c r="O71" s="134">
        <v>41725</v>
      </c>
      <c r="P71" t="s">
        <v>1292</v>
      </c>
      <c r="Q71" t="s">
        <v>65</v>
      </c>
      <c r="R71" t="s">
        <v>779</v>
      </c>
      <c r="S71" t="s">
        <v>1221</v>
      </c>
      <c r="T71" s="130">
        <v>2.85</v>
      </c>
      <c r="U71" t="s">
        <v>1910</v>
      </c>
      <c r="V71" s="133">
        <v>5.5E-2</v>
      </c>
      <c r="W71"/>
      <c r="X71"/>
      <c r="Y71" s="133"/>
      <c r="Z71" s="133">
        <v>2.8000000000000001E-2</v>
      </c>
      <c r="AA71" s="134">
        <v>47986</v>
      </c>
      <c r="AB71" t="s">
        <v>620</v>
      </c>
      <c r="AC71"/>
      <c r="AD71" s="132"/>
      <c r="AE71" s="133"/>
      <c r="AF71" s="134"/>
      <c r="AG71"/>
      <c r="AH71"/>
      <c r="AI71"/>
      <c r="AJ71" t="s">
        <v>55</v>
      </c>
      <c r="AK71" t="s">
        <v>775</v>
      </c>
      <c r="AL71"/>
      <c r="AM71" t="s">
        <v>305</v>
      </c>
      <c r="AN71" s="134">
        <v>46022</v>
      </c>
      <c r="AO71" s="134"/>
      <c r="AP71" s="133"/>
      <c r="AQ71" s="130">
        <v>30035.05</v>
      </c>
      <c r="AR71" s="130">
        <v>127.11</v>
      </c>
      <c r="AS71" s="130">
        <v>1</v>
      </c>
      <c r="AT71" s="130">
        <v>38.177549999999997</v>
      </c>
      <c r="AU71" s="130">
        <v>38.177549999999997</v>
      </c>
      <c r="AV71" s="132"/>
      <c r="AW71" s="132"/>
      <c r="AX71"/>
      <c r="AY71"/>
      <c r="AZ71" s="133">
        <v>2.2290000000000001E-3</v>
      </c>
      <c r="BA71" s="133">
        <v>9.0000000000000002E-6</v>
      </c>
    </row>
    <row r="72" spans="1:53" x14ac:dyDescent="0.2">
      <c r="A72">
        <v>274</v>
      </c>
      <c r="B72">
        <v>274</v>
      </c>
      <c r="C72"/>
      <c r="D72"/>
      <c r="E72"/>
      <c r="F72">
        <v>54064</v>
      </c>
      <c r="G72" t="s">
        <v>245</v>
      </c>
      <c r="H72" t="s">
        <v>1184</v>
      </c>
      <c r="I72" t="s">
        <v>53</v>
      </c>
      <c r="J72"/>
      <c r="K72" t="s">
        <v>163</v>
      </c>
      <c r="L72" t="s">
        <v>62</v>
      </c>
      <c r="M72" t="s">
        <v>55</v>
      </c>
      <c r="N72"/>
      <c r="O72" s="134">
        <v>41696</v>
      </c>
      <c r="P72" t="s">
        <v>1292</v>
      </c>
      <c r="Q72" t="s">
        <v>65</v>
      </c>
      <c r="R72" t="s">
        <v>779</v>
      </c>
      <c r="S72" t="s">
        <v>1221</v>
      </c>
      <c r="T72" s="130">
        <v>2.85</v>
      </c>
      <c r="U72" t="s">
        <v>1910</v>
      </c>
      <c r="V72" s="133">
        <v>5.5E-2</v>
      </c>
      <c r="W72"/>
      <c r="X72"/>
      <c r="Y72" s="133"/>
      <c r="Z72" s="133">
        <v>2.8000000000000001E-2</v>
      </c>
      <c r="AA72" s="134">
        <v>47986</v>
      </c>
      <c r="AB72" t="s">
        <v>620</v>
      </c>
      <c r="AC72"/>
      <c r="AD72" s="132"/>
      <c r="AE72" s="133"/>
      <c r="AF72" s="134"/>
      <c r="AG72"/>
      <c r="AH72"/>
      <c r="AI72"/>
      <c r="AJ72" t="s">
        <v>55</v>
      </c>
      <c r="AK72" t="s">
        <v>775</v>
      </c>
      <c r="AL72"/>
      <c r="AM72" t="s">
        <v>305</v>
      </c>
      <c r="AN72" s="134">
        <v>46022</v>
      </c>
      <c r="AO72" s="134"/>
      <c r="AP72" s="133"/>
      <c r="AQ72" s="130">
        <v>15081.29</v>
      </c>
      <c r="AR72" s="130">
        <v>126.86</v>
      </c>
      <c r="AS72" s="130">
        <v>1</v>
      </c>
      <c r="AT72" s="130">
        <v>19.13212</v>
      </c>
      <c r="AU72" s="130">
        <v>19.13212</v>
      </c>
      <c r="AV72" s="132"/>
      <c r="AW72" s="132"/>
      <c r="AX72"/>
      <c r="AY72"/>
      <c r="AZ72" s="133">
        <v>1.1169999999999999E-3</v>
      </c>
      <c r="BA72" s="133">
        <v>3.9999999999999998E-6</v>
      </c>
    </row>
    <row r="73" spans="1:53" x14ac:dyDescent="0.2">
      <c r="A73">
        <v>274</v>
      </c>
      <c r="B73">
        <v>274</v>
      </c>
      <c r="C73"/>
      <c r="D73"/>
      <c r="E73"/>
      <c r="F73">
        <v>54056</v>
      </c>
      <c r="G73" t="s">
        <v>245</v>
      </c>
      <c r="H73" t="s">
        <v>1184</v>
      </c>
      <c r="I73" t="s">
        <v>53</v>
      </c>
      <c r="J73"/>
      <c r="K73" t="s">
        <v>163</v>
      </c>
      <c r="L73" t="s">
        <v>62</v>
      </c>
      <c r="M73" t="s">
        <v>55</v>
      </c>
      <c r="N73"/>
      <c r="O73" s="134">
        <v>41666</v>
      </c>
      <c r="P73" t="s">
        <v>1292</v>
      </c>
      <c r="Q73" t="s">
        <v>65</v>
      </c>
      <c r="R73" t="s">
        <v>779</v>
      </c>
      <c r="S73" t="s">
        <v>1221</v>
      </c>
      <c r="T73" s="130">
        <v>2.85</v>
      </c>
      <c r="U73" t="s">
        <v>1910</v>
      </c>
      <c r="V73" s="133">
        <v>5.5E-2</v>
      </c>
      <c r="W73"/>
      <c r="X73"/>
      <c r="Y73" s="133"/>
      <c r="Z73" s="133">
        <v>2.8000000000000001E-2</v>
      </c>
      <c r="AA73" s="134">
        <v>47986</v>
      </c>
      <c r="AB73" t="s">
        <v>620</v>
      </c>
      <c r="AC73"/>
      <c r="AD73" s="132"/>
      <c r="AE73" s="133"/>
      <c r="AF73" s="134"/>
      <c r="AG73"/>
      <c r="AH73"/>
      <c r="AI73"/>
      <c r="AJ73" t="s">
        <v>55</v>
      </c>
      <c r="AK73" t="s">
        <v>775</v>
      </c>
      <c r="AL73"/>
      <c r="AM73" t="s">
        <v>305</v>
      </c>
      <c r="AN73" s="134">
        <v>46022</v>
      </c>
      <c r="AO73" s="134"/>
      <c r="AP73" s="133"/>
      <c r="AQ73" s="130">
        <v>15668.87</v>
      </c>
      <c r="AR73" s="130">
        <v>126.11</v>
      </c>
      <c r="AS73" s="130">
        <v>1</v>
      </c>
      <c r="AT73" s="130">
        <v>19.760010000000001</v>
      </c>
      <c r="AU73" s="130">
        <v>19.760010000000001</v>
      </c>
      <c r="AV73" s="132"/>
      <c r="AW73" s="132"/>
      <c r="AX73"/>
      <c r="AY73"/>
      <c r="AZ73" s="133">
        <v>1.1529999999999999E-3</v>
      </c>
      <c r="BA73" s="133">
        <v>3.9999999999999998E-6</v>
      </c>
    </row>
    <row r="74" spans="1:53" x14ac:dyDescent="0.2">
      <c r="A74">
        <v>274</v>
      </c>
      <c r="B74">
        <v>274</v>
      </c>
      <c r="C74"/>
      <c r="D74"/>
      <c r="E74"/>
      <c r="F74">
        <v>54049</v>
      </c>
      <c r="G74" t="s">
        <v>245</v>
      </c>
      <c r="H74" t="s">
        <v>1184</v>
      </c>
      <c r="I74" t="s">
        <v>53</v>
      </c>
      <c r="J74"/>
      <c r="K74" t="s">
        <v>163</v>
      </c>
      <c r="L74" t="s">
        <v>62</v>
      </c>
      <c r="M74" t="s">
        <v>55</v>
      </c>
      <c r="N74"/>
      <c r="O74" s="134">
        <v>41630</v>
      </c>
      <c r="P74" t="s">
        <v>1292</v>
      </c>
      <c r="Q74" t="s">
        <v>65</v>
      </c>
      <c r="R74" t="s">
        <v>779</v>
      </c>
      <c r="S74" t="s">
        <v>1221</v>
      </c>
      <c r="T74" s="130">
        <v>2.85</v>
      </c>
      <c r="U74" t="s">
        <v>1910</v>
      </c>
      <c r="V74" s="133">
        <v>5.5E-2</v>
      </c>
      <c r="W74"/>
      <c r="X74"/>
      <c r="Y74" s="133"/>
      <c r="Z74" s="133">
        <v>2.8000000000000001E-2</v>
      </c>
      <c r="AA74" s="134">
        <v>47986</v>
      </c>
      <c r="AB74" t="s">
        <v>620</v>
      </c>
      <c r="AC74"/>
      <c r="AD74" s="132"/>
      <c r="AE74" s="133"/>
      <c r="AF74" s="134"/>
      <c r="AG74"/>
      <c r="AH74"/>
      <c r="AI74"/>
      <c r="AJ74" t="s">
        <v>55</v>
      </c>
      <c r="AK74" t="s">
        <v>775</v>
      </c>
      <c r="AL74"/>
      <c r="AM74" t="s">
        <v>305</v>
      </c>
      <c r="AN74" s="134">
        <v>46022</v>
      </c>
      <c r="AO74" s="134"/>
      <c r="AP74" s="133"/>
      <c r="AQ74" s="130">
        <v>81010.539999999994</v>
      </c>
      <c r="AR74" s="130">
        <v>126.24</v>
      </c>
      <c r="AS74" s="130">
        <v>1</v>
      </c>
      <c r="AT74" s="130">
        <v>102.26770999999999</v>
      </c>
      <c r="AU74" s="130">
        <v>102.26770999999999</v>
      </c>
      <c r="AV74" s="132"/>
      <c r="AW74" s="132"/>
      <c r="AX74"/>
      <c r="AY74"/>
      <c r="AZ74" s="133">
        <v>5.9719999999999999E-3</v>
      </c>
      <c r="BA74" s="133">
        <v>2.4000000000000001E-5</v>
      </c>
    </row>
    <row r="75" spans="1:53" x14ac:dyDescent="0.2">
      <c r="A75">
        <v>274</v>
      </c>
      <c r="B75">
        <v>274</v>
      </c>
      <c r="C75"/>
      <c r="D75"/>
      <c r="E75"/>
      <c r="F75">
        <v>54031</v>
      </c>
      <c r="G75" t="s">
        <v>245</v>
      </c>
      <c r="H75" t="s">
        <v>1184</v>
      </c>
      <c r="I75" t="s">
        <v>53</v>
      </c>
      <c r="J75"/>
      <c r="K75" t="s">
        <v>163</v>
      </c>
      <c r="L75" t="s">
        <v>62</v>
      </c>
      <c r="M75" t="s">
        <v>55</v>
      </c>
      <c r="N75"/>
      <c r="O75" s="134">
        <v>41597</v>
      </c>
      <c r="P75" t="s">
        <v>1292</v>
      </c>
      <c r="Q75" t="s">
        <v>65</v>
      </c>
      <c r="R75" t="s">
        <v>779</v>
      </c>
      <c r="S75" t="s">
        <v>1221</v>
      </c>
      <c r="T75" s="130">
        <v>2.85</v>
      </c>
      <c r="U75" t="s">
        <v>1910</v>
      </c>
      <c r="V75" s="133">
        <v>5.5E-2</v>
      </c>
      <c r="W75"/>
      <c r="X75"/>
      <c r="Y75" s="133"/>
      <c r="Z75" s="133">
        <v>2.8000000000000001E-2</v>
      </c>
      <c r="AA75" s="134">
        <v>47986</v>
      </c>
      <c r="AB75" t="s">
        <v>620</v>
      </c>
      <c r="AC75"/>
      <c r="AD75" s="132"/>
      <c r="AE75" s="133"/>
      <c r="AF75" s="134"/>
      <c r="AG75"/>
      <c r="AH75"/>
      <c r="AI75"/>
      <c r="AJ75" t="s">
        <v>55</v>
      </c>
      <c r="AK75" t="s">
        <v>775</v>
      </c>
      <c r="AL75"/>
      <c r="AM75" t="s">
        <v>305</v>
      </c>
      <c r="AN75" s="134">
        <v>46022</v>
      </c>
      <c r="AO75" s="134"/>
      <c r="AP75" s="133"/>
      <c r="AQ75" s="130">
        <v>7120.65</v>
      </c>
      <c r="AR75" s="130">
        <v>125.75</v>
      </c>
      <c r="AS75" s="130">
        <v>1</v>
      </c>
      <c r="AT75" s="130">
        <v>8.9542199999999994</v>
      </c>
      <c r="AU75" s="130">
        <v>8.9542199999999994</v>
      </c>
      <c r="AV75" s="132"/>
      <c r="AW75" s="132"/>
      <c r="AX75"/>
      <c r="AY75"/>
      <c r="AZ75" s="133">
        <v>5.22E-4</v>
      </c>
      <c r="BA75" s="133">
        <v>1.9999999999999999E-6</v>
      </c>
    </row>
    <row r="76" spans="1:53" x14ac:dyDescent="0.2">
      <c r="A76">
        <v>274</v>
      </c>
      <c r="B76">
        <v>274</v>
      </c>
      <c r="C76"/>
      <c r="D76"/>
      <c r="E76"/>
      <c r="F76">
        <v>54023</v>
      </c>
      <c r="G76" t="s">
        <v>245</v>
      </c>
      <c r="H76" t="s">
        <v>1184</v>
      </c>
      <c r="I76" t="s">
        <v>53</v>
      </c>
      <c r="J76"/>
      <c r="K76" t="s">
        <v>163</v>
      </c>
      <c r="L76" t="s">
        <v>62</v>
      </c>
      <c r="M76" t="s">
        <v>55</v>
      </c>
      <c r="N76"/>
      <c r="O76" s="134">
        <v>41571</v>
      </c>
      <c r="P76" t="s">
        <v>1292</v>
      </c>
      <c r="Q76" t="s">
        <v>65</v>
      </c>
      <c r="R76" t="s">
        <v>779</v>
      </c>
      <c r="S76" t="s">
        <v>1221</v>
      </c>
      <c r="T76" s="130">
        <v>2.85</v>
      </c>
      <c r="U76" t="s">
        <v>1910</v>
      </c>
      <c r="V76" s="133">
        <v>5.5E-2</v>
      </c>
      <c r="W76"/>
      <c r="X76"/>
      <c r="Y76" s="133"/>
      <c r="Z76" s="133">
        <v>2.8000000000000001E-2</v>
      </c>
      <c r="AA76" s="134">
        <v>47986</v>
      </c>
      <c r="AB76" t="s">
        <v>620</v>
      </c>
      <c r="AC76"/>
      <c r="AD76" s="132"/>
      <c r="AE76" s="133"/>
      <c r="AF76" s="134"/>
      <c r="AG76"/>
      <c r="AH76"/>
      <c r="AI76"/>
      <c r="AJ76" t="s">
        <v>55</v>
      </c>
      <c r="AK76" t="s">
        <v>775</v>
      </c>
      <c r="AL76"/>
      <c r="AM76" t="s">
        <v>305</v>
      </c>
      <c r="AN76" s="134">
        <v>46022</v>
      </c>
      <c r="AO76" s="134"/>
      <c r="AP76" s="133"/>
      <c r="AQ76" s="130">
        <v>27571.58</v>
      </c>
      <c r="AR76" s="130">
        <v>126.12</v>
      </c>
      <c r="AS76" s="130">
        <v>1</v>
      </c>
      <c r="AT76" s="130">
        <v>34.77328</v>
      </c>
      <c r="AU76" s="130">
        <v>34.77328</v>
      </c>
      <c r="AV76" s="132"/>
      <c r="AW76" s="132"/>
      <c r="AX76"/>
      <c r="AY76"/>
      <c r="AZ76" s="133">
        <v>2.0300000000000001E-3</v>
      </c>
      <c r="BA76" s="133">
        <v>7.9999999999999996E-6</v>
      </c>
    </row>
    <row r="77" spans="1:53" x14ac:dyDescent="0.2">
      <c r="A77">
        <v>274</v>
      </c>
      <c r="B77">
        <v>274</v>
      </c>
      <c r="C77"/>
      <c r="D77"/>
      <c r="E77"/>
      <c r="F77">
        <v>54015</v>
      </c>
      <c r="G77" t="s">
        <v>245</v>
      </c>
      <c r="H77" t="s">
        <v>1184</v>
      </c>
      <c r="I77" t="s">
        <v>53</v>
      </c>
      <c r="J77"/>
      <c r="K77" t="s">
        <v>163</v>
      </c>
      <c r="L77" t="s">
        <v>62</v>
      </c>
      <c r="M77" t="s">
        <v>55</v>
      </c>
      <c r="N77"/>
      <c r="O77" s="134">
        <v>41547</v>
      </c>
      <c r="P77" t="s">
        <v>1292</v>
      </c>
      <c r="Q77" t="s">
        <v>65</v>
      </c>
      <c r="R77" t="s">
        <v>779</v>
      </c>
      <c r="S77" t="s">
        <v>1221</v>
      </c>
      <c r="T77" s="130">
        <v>2.85</v>
      </c>
      <c r="U77" t="s">
        <v>1910</v>
      </c>
      <c r="V77" s="133">
        <v>5.5E-2</v>
      </c>
      <c r="W77"/>
      <c r="X77"/>
      <c r="Y77" s="133"/>
      <c r="Z77" s="133">
        <v>2.8000000000000001E-2</v>
      </c>
      <c r="AA77" s="134">
        <v>47986</v>
      </c>
      <c r="AB77" t="s">
        <v>620</v>
      </c>
      <c r="AC77"/>
      <c r="AD77" s="132"/>
      <c r="AE77" s="133"/>
      <c r="AF77" s="134"/>
      <c r="AG77"/>
      <c r="AH77"/>
      <c r="AI77"/>
      <c r="AJ77" t="s">
        <v>55</v>
      </c>
      <c r="AK77" t="s">
        <v>775</v>
      </c>
      <c r="AL77"/>
      <c r="AM77" t="s">
        <v>305</v>
      </c>
      <c r="AN77" s="134">
        <v>46022</v>
      </c>
      <c r="AO77" s="134"/>
      <c r="AP77" s="133"/>
      <c r="AQ77" s="130">
        <v>56546.81</v>
      </c>
      <c r="AR77" s="130">
        <v>126.12</v>
      </c>
      <c r="AS77" s="130">
        <v>1</v>
      </c>
      <c r="AT77" s="130">
        <v>71.316839999999999</v>
      </c>
      <c r="AU77" s="130">
        <v>71.316839999999999</v>
      </c>
      <c r="AV77" s="132"/>
      <c r="AW77" s="132"/>
      <c r="AX77"/>
      <c r="AY77"/>
      <c r="AZ77" s="133">
        <v>4.1640000000000002E-3</v>
      </c>
      <c r="BA77" s="133">
        <v>1.7E-5</v>
      </c>
    </row>
    <row r="78" spans="1:53" x14ac:dyDescent="0.2">
      <c r="A78">
        <v>274</v>
      </c>
      <c r="B78">
        <v>274</v>
      </c>
      <c r="C78"/>
      <c r="D78"/>
      <c r="E78"/>
      <c r="F78">
        <v>50000327</v>
      </c>
      <c r="G78" t="s">
        <v>245</v>
      </c>
      <c r="H78" t="s">
        <v>1184</v>
      </c>
      <c r="I78" t="s">
        <v>53</v>
      </c>
      <c r="J78"/>
      <c r="K78" t="s">
        <v>140</v>
      </c>
      <c r="L78" t="s">
        <v>62</v>
      </c>
      <c r="M78" t="s">
        <v>55</v>
      </c>
      <c r="N78"/>
      <c r="O78" s="134">
        <v>43675</v>
      </c>
      <c r="P78" t="s">
        <v>1316</v>
      </c>
      <c r="Q78" t="s">
        <v>70</v>
      </c>
      <c r="R78" t="s">
        <v>779</v>
      </c>
      <c r="S78" t="s">
        <v>1221</v>
      </c>
      <c r="T78" s="130">
        <v>6.83</v>
      </c>
      <c r="U78" t="s">
        <v>1910</v>
      </c>
      <c r="V78" s="133">
        <v>2.9756999999999999E-2</v>
      </c>
      <c r="W78"/>
      <c r="X78"/>
      <c r="Y78" s="133"/>
      <c r="Z78" s="133">
        <v>2.7E-2</v>
      </c>
      <c r="AA78" s="134">
        <v>50770</v>
      </c>
      <c r="AB78" t="s">
        <v>620</v>
      </c>
      <c r="AC78"/>
      <c r="AD78" s="132"/>
      <c r="AE78" s="133"/>
      <c r="AF78" s="134"/>
      <c r="AG78"/>
      <c r="AH78"/>
      <c r="AI78"/>
      <c r="AJ78" t="s">
        <v>55</v>
      </c>
      <c r="AK78" t="s">
        <v>775</v>
      </c>
      <c r="AL78"/>
      <c r="AM78" t="s">
        <v>305</v>
      </c>
      <c r="AN78" s="134">
        <v>46022</v>
      </c>
      <c r="AO78" s="134"/>
      <c r="AP78" s="133"/>
      <c r="AQ78" s="130">
        <v>2400894.13</v>
      </c>
      <c r="AR78" s="130">
        <v>119.33</v>
      </c>
      <c r="AS78" s="130">
        <v>1</v>
      </c>
      <c r="AT78" s="130">
        <v>2864.9869699999999</v>
      </c>
      <c r="AU78" s="130">
        <v>2864.9869699999999</v>
      </c>
      <c r="AV78" s="132"/>
      <c r="AW78" s="132"/>
      <c r="AX78"/>
      <c r="AY78"/>
      <c r="AZ78" s="133">
        <v>0.16731699999999999</v>
      </c>
      <c r="BA78" s="133">
        <v>6.9200000000000002E-4</v>
      </c>
    </row>
    <row r="79" spans="1:53" x14ac:dyDescent="0.2">
      <c r="A79">
        <v>274</v>
      </c>
      <c r="B79">
        <v>274</v>
      </c>
      <c r="C79"/>
      <c r="D79"/>
      <c r="E79"/>
      <c r="F79">
        <v>50000324</v>
      </c>
      <c r="G79" t="s">
        <v>245</v>
      </c>
      <c r="H79" t="s">
        <v>1184</v>
      </c>
      <c r="I79" t="s">
        <v>53</v>
      </c>
      <c r="J79"/>
      <c r="K79" t="s">
        <v>140</v>
      </c>
      <c r="L79" t="s">
        <v>62</v>
      </c>
      <c r="M79" t="s">
        <v>55</v>
      </c>
      <c r="N79"/>
      <c r="O79" s="134">
        <v>43675</v>
      </c>
      <c r="P79" t="s">
        <v>1336</v>
      </c>
      <c r="Q79" t="s">
        <v>70</v>
      </c>
      <c r="R79" t="s">
        <v>779</v>
      </c>
      <c r="S79" t="s">
        <v>1221</v>
      </c>
      <c r="T79" s="130">
        <v>1.68</v>
      </c>
      <c r="U79" t="s">
        <v>1910</v>
      </c>
      <c r="V79" s="133">
        <v>2.1111000000000001E-2</v>
      </c>
      <c r="W79"/>
      <c r="X79"/>
      <c r="Y79" s="133"/>
      <c r="Z79" s="133">
        <v>2.8199999999999999E-2</v>
      </c>
      <c r="AA79" s="134">
        <v>47118</v>
      </c>
      <c r="AB79" t="s">
        <v>620</v>
      </c>
      <c r="AC79"/>
      <c r="AD79" s="132"/>
      <c r="AE79" s="133"/>
      <c r="AF79" s="134"/>
      <c r="AG79"/>
      <c r="AH79"/>
      <c r="AI79"/>
      <c r="AJ79" t="s">
        <v>55</v>
      </c>
      <c r="AK79" t="s">
        <v>775</v>
      </c>
      <c r="AL79"/>
      <c r="AM79" t="s">
        <v>305</v>
      </c>
      <c r="AN79" s="134">
        <v>46022</v>
      </c>
      <c r="AO79" s="134"/>
      <c r="AP79" s="133"/>
      <c r="AQ79" s="130">
        <v>193279.47</v>
      </c>
      <c r="AR79" s="130">
        <v>115.57</v>
      </c>
      <c r="AS79" s="130">
        <v>1</v>
      </c>
      <c r="AT79" s="130">
        <v>223.37307999999999</v>
      </c>
      <c r="AU79" s="130">
        <v>223.37307999999999</v>
      </c>
      <c r="AV79" s="132"/>
      <c r="AW79" s="132"/>
      <c r="AX79"/>
      <c r="AY79"/>
      <c r="AZ79" s="133">
        <v>1.3044999999999999E-2</v>
      </c>
      <c r="BA79" s="133">
        <v>5.3000000000000001E-5</v>
      </c>
    </row>
    <row r="80" spans="1:53" x14ac:dyDescent="0.2">
      <c r="A80">
        <v>274</v>
      </c>
      <c r="B80">
        <v>274</v>
      </c>
      <c r="C80"/>
      <c r="D80"/>
      <c r="E80"/>
      <c r="F80">
        <v>44164</v>
      </c>
      <c r="G80" t="s">
        <v>245</v>
      </c>
      <c r="H80" t="s">
        <v>1184</v>
      </c>
      <c r="I80" t="s">
        <v>53</v>
      </c>
      <c r="J80"/>
      <c r="K80" t="s">
        <v>163</v>
      </c>
      <c r="L80" t="s">
        <v>62</v>
      </c>
      <c r="M80" t="s">
        <v>55</v>
      </c>
      <c r="N80"/>
      <c r="O80" s="134">
        <v>41330</v>
      </c>
      <c r="P80" t="s">
        <v>1292</v>
      </c>
      <c r="Q80" t="s">
        <v>65</v>
      </c>
      <c r="R80" t="s">
        <v>779</v>
      </c>
      <c r="S80" t="s">
        <v>1221</v>
      </c>
      <c r="T80" s="130">
        <v>2.85</v>
      </c>
      <c r="U80" t="s">
        <v>1910</v>
      </c>
      <c r="V80" s="133">
        <v>5.5E-2</v>
      </c>
      <c r="W80"/>
      <c r="X80"/>
      <c r="Y80" s="133"/>
      <c r="Z80" s="133">
        <v>2.8000000000000001E-2</v>
      </c>
      <c r="AA80" s="134">
        <v>47986</v>
      </c>
      <c r="AB80" t="s">
        <v>620</v>
      </c>
      <c r="AC80"/>
      <c r="AD80" s="132"/>
      <c r="AE80" s="133"/>
      <c r="AF80" s="134"/>
      <c r="AG80"/>
      <c r="AH80"/>
      <c r="AI80"/>
      <c r="AJ80" t="s">
        <v>55</v>
      </c>
      <c r="AK80" t="s">
        <v>775</v>
      </c>
      <c r="AL80"/>
      <c r="AM80" t="s">
        <v>305</v>
      </c>
      <c r="AN80" s="134">
        <v>46022</v>
      </c>
      <c r="AO80" s="134"/>
      <c r="AP80" s="133"/>
      <c r="AQ80" s="130">
        <v>106872.1</v>
      </c>
      <c r="AR80" s="130">
        <v>128.63</v>
      </c>
      <c r="AS80" s="130">
        <v>1</v>
      </c>
      <c r="AT80" s="130">
        <v>137.46958000000001</v>
      </c>
      <c r="AU80" s="130">
        <v>137.46958000000001</v>
      </c>
      <c r="AV80" s="132"/>
      <c r="AW80" s="132"/>
      <c r="AX80"/>
      <c r="AY80"/>
      <c r="AZ80" s="133">
        <v>8.0280000000000004E-3</v>
      </c>
      <c r="BA80" s="133">
        <v>3.3000000000000003E-5</v>
      </c>
    </row>
    <row r="81" spans="1:53" x14ac:dyDescent="0.2">
      <c r="A81">
        <v>274</v>
      </c>
      <c r="B81">
        <v>274</v>
      </c>
      <c r="C81"/>
      <c r="D81"/>
      <c r="E81"/>
      <c r="F81">
        <v>44131</v>
      </c>
      <c r="G81" t="s">
        <v>245</v>
      </c>
      <c r="H81" t="s">
        <v>1184</v>
      </c>
      <c r="I81" t="s">
        <v>53</v>
      </c>
      <c r="J81"/>
      <c r="K81" t="s">
        <v>163</v>
      </c>
      <c r="L81" t="s">
        <v>62</v>
      </c>
      <c r="M81" t="s">
        <v>55</v>
      </c>
      <c r="N81"/>
      <c r="O81" s="134">
        <v>41269</v>
      </c>
      <c r="P81" t="s">
        <v>1292</v>
      </c>
      <c r="Q81" t="s">
        <v>65</v>
      </c>
      <c r="R81" t="s">
        <v>779</v>
      </c>
      <c r="S81" t="s">
        <v>1221</v>
      </c>
      <c r="T81" s="130">
        <v>2.85</v>
      </c>
      <c r="U81" t="s">
        <v>1910</v>
      </c>
      <c r="V81" s="133">
        <v>5.5E-2</v>
      </c>
      <c r="W81"/>
      <c r="X81"/>
      <c r="Y81" s="133"/>
      <c r="Z81" s="133">
        <v>2.8000000000000001E-2</v>
      </c>
      <c r="AA81" s="134">
        <v>47986</v>
      </c>
      <c r="AB81" t="s">
        <v>620</v>
      </c>
      <c r="AC81"/>
      <c r="AD81" s="132"/>
      <c r="AE81" s="133"/>
      <c r="AF81" s="134"/>
      <c r="AG81"/>
      <c r="AH81"/>
      <c r="AI81"/>
      <c r="AJ81" t="s">
        <v>55</v>
      </c>
      <c r="AK81" t="s">
        <v>775</v>
      </c>
      <c r="AL81"/>
      <c r="AM81" t="s">
        <v>305</v>
      </c>
      <c r="AN81" s="134">
        <v>46022</v>
      </c>
      <c r="AO81" s="134"/>
      <c r="AP81" s="133"/>
      <c r="AQ81" s="130">
        <v>34071.660000000003</v>
      </c>
      <c r="AR81" s="130">
        <v>128.65</v>
      </c>
      <c r="AS81" s="130">
        <v>1</v>
      </c>
      <c r="AT81" s="130">
        <v>43.833190000000002</v>
      </c>
      <c r="AU81" s="130">
        <v>43.833190000000002</v>
      </c>
      <c r="AV81" s="132"/>
      <c r="AW81" s="132"/>
      <c r="AX81"/>
      <c r="AY81"/>
      <c r="AZ81" s="133">
        <v>2.5590000000000001E-3</v>
      </c>
      <c r="BA81" s="133">
        <v>1.0000000000000001E-5</v>
      </c>
    </row>
    <row r="82" spans="1:53" x14ac:dyDescent="0.2">
      <c r="A82">
        <v>274</v>
      </c>
      <c r="B82">
        <v>274</v>
      </c>
      <c r="C82"/>
      <c r="D82"/>
      <c r="E82"/>
      <c r="F82">
        <v>44123</v>
      </c>
      <c r="G82" t="s">
        <v>245</v>
      </c>
      <c r="H82" t="s">
        <v>1184</v>
      </c>
      <c r="I82" t="s">
        <v>53</v>
      </c>
      <c r="J82"/>
      <c r="K82" t="s">
        <v>156</v>
      </c>
      <c r="L82" t="s">
        <v>62</v>
      </c>
      <c r="M82" t="s">
        <v>55</v>
      </c>
      <c r="N82"/>
      <c r="O82" s="134">
        <v>41269</v>
      </c>
      <c r="P82" t="s">
        <v>1316</v>
      </c>
      <c r="Q82" t="s">
        <v>70</v>
      </c>
      <c r="R82" t="s">
        <v>779</v>
      </c>
      <c r="S82" t="s">
        <v>1221</v>
      </c>
      <c r="T82" s="130">
        <v>3.33</v>
      </c>
      <c r="U82" t="s">
        <v>1910</v>
      </c>
      <c r="V82" s="133">
        <v>5.3499999999999999E-2</v>
      </c>
      <c r="W82"/>
      <c r="X82"/>
      <c r="Y82" s="133"/>
      <c r="Z82" s="133">
        <v>2.1100000000000001E-2</v>
      </c>
      <c r="AA82" s="134">
        <v>48479</v>
      </c>
      <c r="AB82" t="s">
        <v>620</v>
      </c>
      <c r="AC82"/>
      <c r="AD82" s="132"/>
      <c r="AE82" s="133"/>
      <c r="AF82" s="134"/>
      <c r="AG82"/>
      <c r="AH82"/>
      <c r="AI82"/>
      <c r="AJ82" t="s">
        <v>55</v>
      </c>
      <c r="AK82" t="s">
        <v>775</v>
      </c>
      <c r="AL82"/>
      <c r="AM82" t="s">
        <v>305</v>
      </c>
      <c r="AN82" s="134">
        <v>46022</v>
      </c>
      <c r="AO82" s="134"/>
      <c r="AP82" s="133"/>
      <c r="AQ82" s="130">
        <v>75346.87</v>
      </c>
      <c r="AR82" s="130">
        <v>135.22999999999999</v>
      </c>
      <c r="AS82" s="130">
        <v>1</v>
      </c>
      <c r="AT82" s="130">
        <v>101.89157</v>
      </c>
      <c r="AU82" s="130">
        <v>101.89157</v>
      </c>
      <c r="AV82" s="132"/>
      <c r="AW82" s="132"/>
      <c r="AX82"/>
      <c r="AY82"/>
      <c r="AZ82" s="133">
        <v>5.9500000000000004E-3</v>
      </c>
      <c r="BA82" s="133">
        <v>2.4000000000000001E-5</v>
      </c>
    </row>
    <row r="83" spans="1:53" x14ac:dyDescent="0.2">
      <c r="A83">
        <v>274</v>
      </c>
      <c r="B83">
        <v>274</v>
      </c>
      <c r="C83"/>
      <c r="D83"/>
      <c r="E83"/>
      <c r="F83">
        <v>44115</v>
      </c>
      <c r="G83" t="s">
        <v>245</v>
      </c>
      <c r="H83" t="s">
        <v>1184</v>
      </c>
      <c r="I83" t="s">
        <v>53</v>
      </c>
      <c r="J83"/>
      <c r="K83" t="s">
        <v>156</v>
      </c>
      <c r="L83" t="s">
        <v>62</v>
      </c>
      <c r="M83" t="s">
        <v>55</v>
      </c>
      <c r="N83"/>
      <c r="O83" s="134">
        <v>41269</v>
      </c>
      <c r="P83" t="s">
        <v>1316</v>
      </c>
      <c r="Q83" t="s">
        <v>70</v>
      </c>
      <c r="R83" t="s">
        <v>779</v>
      </c>
      <c r="S83" t="s">
        <v>1221</v>
      </c>
      <c r="T83" s="130">
        <v>3.33</v>
      </c>
      <c r="U83" t="s">
        <v>1910</v>
      </c>
      <c r="V83" s="133">
        <v>5.3499999999999999E-2</v>
      </c>
      <c r="W83"/>
      <c r="X83"/>
      <c r="Y83" s="133"/>
      <c r="Z83" s="133">
        <v>2.1100000000000001E-2</v>
      </c>
      <c r="AA83" s="134">
        <v>48479</v>
      </c>
      <c r="AB83" t="s">
        <v>620</v>
      </c>
      <c r="AC83"/>
      <c r="AD83" s="132"/>
      <c r="AE83" s="133"/>
      <c r="AF83" s="134"/>
      <c r="AG83"/>
      <c r="AH83"/>
      <c r="AI83"/>
      <c r="AJ83" t="s">
        <v>55</v>
      </c>
      <c r="AK83" t="s">
        <v>775</v>
      </c>
      <c r="AL83"/>
      <c r="AM83" t="s">
        <v>305</v>
      </c>
      <c r="AN83" s="134">
        <v>46022</v>
      </c>
      <c r="AO83" s="134"/>
      <c r="AP83" s="133"/>
      <c r="AQ83" s="130">
        <v>80056.14</v>
      </c>
      <c r="AR83" s="130">
        <v>135.22999999999999</v>
      </c>
      <c r="AS83" s="130">
        <v>1</v>
      </c>
      <c r="AT83" s="130">
        <v>108.25991999999999</v>
      </c>
      <c r="AU83" s="130">
        <v>108.25991999999999</v>
      </c>
      <c r="AV83" s="132"/>
      <c r="AW83" s="132"/>
      <c r="AX83"/>
      <c r="AY83"/>
      <c r="AZ83" s="133">
        <v>6.3220000000000004E-3</v>
      </c>
      <c r="BA83" s="133">
        <v>2.5999999999999998E-5</v>
      </c>
    </row>
    <row r="84" spans="1:53" x14ac:dyDescent="0.2">
      <c r="A84">
        <v>274</v>
      </c>
      <c r="B84">
        <v>274</v>
      </c>
      <c r="C84"/>
      <c r="D84"/>
      <c r="E84"/>
      <c r="F84">
        <v>36640</v>
      </c>
      <c r="G84" t="s">
        <v>245</v>
      </c>
      <c r="H84" t="s">
        <v>1184</v>
      </c>
      <c r="I84" t="s">
        <v>53</v>
      </c>
      <c r="J84"/>
      <c r="K84" t="s">
        <v>156</v>
      </c>
      <c r="L84" t="s">
        <v>62</v>
      </c>
      <c r="M84" t="s">
        <v>55</v>
      </c>
      <c r="N84"/>
      <c r="O84" s="134">
        <v>41767</v>
      </c>
      <c r="P84" t="s">
        <v>1316</v>
      </c>
      <c r="Q84" t="s">
        <v>70</v>
      </c>
      <c r="R84" t="s">
        <v>779</v>
      </c>
      <c r="S84" t="s">
        <v>1221</v>
      </c>
      <c r="T84" s="130">
        <v>3.32</v>
      </c>
      <c r="U84" t="s">
        <v>1910</v>
      </c>
      <c r="V84" s="133">
        <v>5.3499999999999999E-2</v>
      </c>
      <c r="W84"/>
      <c r="X84"/>
      <c r="Y84" s="133"/>
      <c r="Z84" s="133">
        <v>2.3599999999999999E-2</v>
      </c>
      <c r="AA84" s="134">
        <v>48479</v>
      </c>
      <c r="AB84" t="s">
        <v>620</v>
      </c>
      <c r="AC84"/>
      <c r="AD84" s="132"/>
      <c r="AE84" s="133"/>
      <c r="AF84" s="134"/>
      <c r="AG84"/>
      <c r="AH84"/>
      <c r="AI84"/>
      <c r="AJ84" t="s">
        <v>55</v>
      </c>
      <c r="AK84" t="s">
        <v>775</v>
      </c>
      <c r="AL84"/>
      <c r="AM84" t="s">
        <v>305</v>
      </c>
      <c r="AN84" s="134">
        <v>46022</v>
      </c>
      <c r="AO84" s="134"/>
      <c r="AP84" s="133"/>
      <c r="AQ84" s="130">
        <v>14511.1</v>
      </c>
      <c r="AR84" s="130">
        <v>132.13</v>
      </c>
      <c r="AS84" s="130">
        <v>1</v>
      </c>
      <c r="AT84" s="130">
        <v>19.17352</v>
      </c>
      <c r="AU84" s="130">
        <v>19.17352</v>
      </c>
      <c r="AV84" s="132"/>
      <c r="AW84" s="132"/>
      <c r="AX84"/>
      <c r="AY84"/>
      <c r="AZ84" s="133">
        <v>1.119E-3</v>
      </c>
      <c r="BA84" s="133">
        <v>3.9999999999999998E-6</v>
      </c>
    </row>
    <row r="85" spans="1:53" x14ac:dyDescent="0.2">
      <c r="A85">
        <v>274</v>
      </c>
      <c r="B85">
        <v>274</v>
      </c>
      <c r="C85"/>
      <c r="D85"/>
      <c r="E85"/>
      <c r="F85">
        <v>36632</v>
      </c>
      <c r="G85" t="s">
        <v>245</v>
      </c>
      <c r="H85" t="s">
        <v>1184</v>
      </c>
      <c r="I85" t="s">
        <v>53</v>
      </c>
      <c r="J85"/>
      <c r="K85" t="s">
        <v>156</v>
      </c>
      <c r="L85" t="s">
        <v>62</v>
      </c>
      <c r="M85" t="s">
        <v>55</v>
      </c>
      <c r="N85"/>
      <c r="O85" s="134">
        <v>41767</v>
      </c>
      <c r="P85" t="s">
        <v>1316</v>
      </c>
      <c r="Q85" t="s">
        <v>70</v>
      </c>
      <c r="R85" t="s">
        <v>779</v>
      </c>
      <c r="S85" t="s">
        <v>1221</v>
      </c>
      <c r="T85" s="130">
        <v>3.32</v>
      </c>
      <c r="U85" t="s">
        <v>1910</v>
      </c>
      <c r="V85" s="133">
        <v>5.3499999999999999E-2</v>
      </c>
      <c r="W85"/>
      <c r="X85"/>
      <c r="Y85" s="133"/>
      <c r="Z85" s="133">
        <v>2.3599999999999999E-2</v>
      </c>
      <c r="AA85" s="134">
        <v>48479</v>
      </c>
      <c r="AB85" t="s">
        <v>620</v>
      </c>
      <c r="AC85"/>
      <c r="AD85" s="132"/>
      <c r="AE85" s="133"/>
      <c r="AF85" s="134"/>
      <c r="AG85"/>
      <c r="AH85"/>
      <c r="AI85"/>
      <c r="AJ85" t="s">
        <v>55</v>
      </c>
      <c r="AK85" t="s">
        <v>775</v>
      </c>
      <c r="AL85"/>
      <c r="AM85" t="s">
        <v>305</v>
      </c>
      <c r="AN85" s="134">
        <v>46022</v>
      </c>
      <c r="AO85" s="134"/>
      <c r="AP85" s="133"/>
      <c r="AQ85" s="130">
        <v>17809.099999999999</v>
      </c>
      <c r="AR85" s="130">
        <v>132.13</v>
      </c>
      <c r="AS85" s="130">
        <v>1</v>
      </c>
      <c r="AT85" s="130">
        <v>23.53116</v>
      </c>
      <c r="AU85" s="130">
        <v>23.53116</v>
      </c>
      <c r="AV85" s="132"/>
      <c r="AW85" s="132"/>
      <c r="AX85"/>
      <c r="AY85"/>
      <c r="AZ85" s="133">
        <v>1.374E-3</v>
      </c>
      <c r="BA85" s="133">
        <v>5.0000000000000004E-6</v>
      </c>
    </row>
    <row r="86" spans="1:53" x14ac:dyDescent="0.2">
      <c r="A86">
        <v>274</v>
      </c>
      <c r="B86">
        <v>274</v>
      </c>
      <c r="C86"/>
      <c r="D86"/>
      <c r="E86"/>
      <c r="F86">
        <v>36624</v>
      </c>
      <c r="G86" t="s">
        <v>245</v>
      </c>
      <c r="H86" t="s">
        <v>1184</v>
      </c>
      <c r="I86" t="s">
        <v>53</v>
      </c>
      <c r="J86"/>
      <c r="K86" t="s">
        <v>156</v>
      </c>
      <c r="L86" t="s">
        <v>62</v>
      </c>
      <c r="M86" t="s">
        <v>55</v>
      </c>
      <c r="N86"/>
      <c r="O86" s="134">
        <v>41767</v>
      </c>
      <c r="P86" t="s">
        <v>1316</v>
      </c>
      <c r="Q86" t="s">
        <v>70</v>
      </c>
      <c r="R86" t="s">
        <v>779</v>
      </c>
      <c r="S86" t="s">
        <v>1221</v>
      </c>
      <c r="T86" s="130">
        <v>3.32</v>
      </c>
      <c r="U86" t="s">
        <v>1910</v>
      </c>
      <c r="V86" s="133">
        <v>5.3499999999999999E-2</v>
      </c>
      <c r="W86"/>
      <c r="X86"/>
      <c r="Y86" s="133"/>
      <c r="Z86" s="133">
        <v>2.3599999999999999E-2</v>
      </c>
      <c r="AA86" s="134">
        <v>48479</v>
      </c>
      <c r="AB86" t="s">
        <v>620</v>
      </c>
      <c r="AC86"/>
      <c r="AD86" s="132"/>
      <c r="AE86" s="133"/>
      <c r="AF86" s="134"/>
      <c r="AG86"/>
      <c r="AH86"/>
      <c r="AI86"/>
      <c r="AJ86" t="s">
        <v>55</v>
      </c>
      <c r="AK86" t="s">
        <v>775</v>
      </c>
      <c r="AL86"/>
      <c r="AM86" t="s">
        <v>305</v>
      </c>
      <c r="AN86" s="134">
        <v>46022</v>
      </c>
      <c r="AO86" s="134"/>
      <c r="AP86" s="133"/>
      <c r="AQ86" s="130">
        <v>11872.72</v>
      </c>
      <c r="AR86" s="130">
        <v>132.13</v>
      </c>
      <c r="AS86" s="130">
        <v>1</v>
      </c>
      <c r="AT86" s="130">
        <v>15.687419999999999</v>
      </c>
      <c r="AU86" s="130">
        <v>15.687419999999999</v>
      </c>
      <c r="AV86" s="132"/>
      <c r="AW86" s="132"/>
      <c r="AX86"/>
      <c r="AY86"/>
      <c r="AZ86" s="133">
        <v>9.1600000000000004E-4</v>
      </c>
      <c r="BA86" s="133">
        <v>3.0000000000000001E-6</v>
      </c>
    </row>
    <row r="87" spans="1:53" x14ac:dyDescent="0.2">
      <c r="A87">
        <v>274</v>
      </c>
      <c r="B87">
        <v>274</v>
      </c>
      <c r="C87"/>
      <c r="D87"/>
      <c r="E87"/>
      <c r="F87">
        <v>36616</v>
      </c>
      <c r="G87" t="s">
        <v>245</v>
      </c>
      <c r="H87" t="s">
        <v>1184</v>
      </c>
      <c r="I87" t="s">
        <v>53</v>
      </c>
      <c r="J87"/>
      <c r="K87" t="s">
        <v>156</v>
      </c>
      <c r="L87" t="s">
        <v>62</v>
      </c>
      <c r="M87" t="s">
        <v>55</v>
      </c>
      <c r="N87"/>
      <c r="O87" s="134">
        <v>41767</v>
      </c>
      <c r="P87" t="s">
        <v>1316</v>
      </c>
      <c r="Q87" t="s">
        <v>70</v>
      </c>
      <c r="R87" t="s">
        <v>779</v>
      </c>
      <c r="S87" t="s">
        <v>1221</v>
      </c>
      <c r="T87" s="130">
        <v>3.32</v>
      </c>
      <c r="U87" t="s">
        <v>1910</v>
      </c>
      <c r="V87" s="133">
        <v>5.3499999999999999E-2</v>
      </c>
      <c r="W87"/>
      <c r="X87"/>
      <c r="Y87" s="133"/>
      <c r="Z87" s="133">
        <v>2.3599999999999999E-2</v>
      </c>
      <c r="AA87" s="134">
        <v>48479</v>
      </c>
      <c r="AB87" t="s">
        <v>620</v>
      </c>
      <c r="AC87"/>
      <c r="AD87" s="132"/>
      <c r="AE87" s="133"/>
      <c r="AF87" s="134"/>
      <c r="AG87"/>
      <c r="AH87"/>
      <c r="AI87"/>
      <c r="AJ87" t="s">
        <v>55</v>
      </c>
      <c r="AK87" t="s">
        <v>775</v>
      </c>
      <c r="AL87"/>
      <c r="AM87" t="s">
        <v>305</v>
      </c>
      <c r="AN87" s="134">
        <v>46022</v>
      </c>
      <c r="AO87" s="134"/>
      <c r="AP87" s="133"/>
      <c r="AQ87" s="130">
        <v>15170.71</v>
      </c>
      <c r="AR87" s="130">
        <v>132.13</v>
      </c>
      <c r="AS87" s="130">
        <v>1</v>
      </c>
      <c r="AT87" s="130">
        <v>20.045059999999999</v>
      </c>
      <c r="AU87" s="130">
        <v>20.045059999999999</v>
      </c>
      <c r="AV87" s="132"/>
      <c r="AW87" s="132"/>
      <c r="AX87"/>
      <c r="AY87"/>
      <c r="AZ87" s="133">
        <v>1.17E-3</v>
      </c>
      <c r="BA87" s="133">
        <v>3.9999999999999998E-6</v>
      </c>
    </row>
    <row r="88" spans="1:53" x14ac:dyDescent="0.2">
      <c r="A88">
        <v>274</v>
      </c>
      <c r="B88">
        <v>274</v>
      </c>
      <c r="C88"/>
      <c r="D88"/>
      <c r="E88"/>
      <c r="F88">
        <v>34918</v>
      </c>
      <c r="G88" t="s">
        <v>245</v>
      </c>
      <c r="H88" t="s">
        <v>1184</v>
      </c>
      <c r="I88" t="s">
        <v>53</v>
      </c>
      <c r="J88"/>
      <c r="K88" t="s">
        <v>156</v>
      </c>
      <c r="L88" t="s">
        <v>62</v>
      </c>
      <c r="M88" t="s">
        <v>55</v>
      </c>
      <c r="N88"/>
      <c r="O88" s="134">
        <v>41281</v>
      </c>
      <c r="P88" t="s">
        <v>1316</v>
      </c>
      <c r="Q88" t="s">
        <v>70</v>
      </c>
      <c r="R88" t="s">
        <v>779</v>
      </c>
      <c r="S88" t="s">
        <v>1221</v>
      </c>
      <c r="T88" s="130">
        <v>3.33</v>
      </c>
      <c r="U88" t="s">
        <v>1910</v>
      </c>
      <c r="V88" s="133">
        <v>5.3499999999999999E-2</v>
      </c>
      <c r="W88"/>
      <c r="X88"/>
      <c r="Y88" s="133"/>
      <c r="Z88" s="133">
        <v>2.1100000000000001E-2</v>
      </c>
      <c r="AA88" s="134">
        <v>48479</v>
      </c>
      <c r="AB88" t="s">
        <v>620</v>
      </c>
      <c r="AC88"/>
      <c r="AD88" s="132"/>
      <c r="AE88" s="133"/>
      <c r="AF88" s="134"/>
      <c r="AG88"/>
      <c r="AH88"/>
      <c r="AI88"/>
      <c r="AJ88" t="s">
        <v>55</v>
      </c>
      <c r="AK88" t="s">
        <v>775</v>
      </c>
      <c r="AL88"/>
      <c r="AM88" t="s">
        <v>305</v>
      </c>
      <c r="AN88" s="134">
        <v>46022</v>
      </c>
      <c r="AO88" s="134"/>
      <c r="AP88" s="133"/>
      <c r="AQ88" s="130">
        <v>72652.800000000003</v>
      </c>
      <c r="AR88" s="130">
        <v>135.21</v>
      </c>
      <c r="AS88" s="130">
        <v>1</v>
      </c>
      <c r="AT88" s="130">
        <v>98.233850000000004</v>
      </c>
      <c r="AU88" s="130">
        <v>98.233850000000004</v>
      </c>
      <c r="AV88" s="132"/>
      <c r="AW88" s="132"/>
      <c r="AX88"/>
      <c r="AY88"/>
      <c r="AZ88" s="133">
        <v>5.7359999999999998E-3</v>
      </c>
      <c r="BA88" s="133">
        <v>2.3E-5</v>
      </c>
    </row>
    <row r="89" spans="1:53" x14ac:dyDescent="0.2">
      <c r="A89">
        <v>274</v>
      </c>
      <c r="B89">
        <v>274</v>
      </c>
      <c r="C89"/>
      <c r="D89"/>
      <c r="E89"/>
      <c r="F89">
        <v>8070138</v>
      </c>
      <c r="G89" t="s">
        <v>245</v>
      </c>
      <c r="H89" t="s">
        <v>1184</v>
      </c>
      <c r="I89" t="s">
        <v>53</v>
      </c>
      <c r="J89"/>
      <c r="K89" t="s">
        <v>163</v>
      </c>
      <c r="L89" t="s">
        <v>62</v>
      </c>
      <c r="M89" t="s">
        <v>55</v>
      </c>
      <c r="N89"/>
      <c r="O89" s="134">
        <v>38258</v>
      </c>
      <c r="P89" t="s">
        <v>1298</v>
      </c>
      <c r="Q89" t="s">
        <v>70</v>
      </c>
      <c r="R89" t="s">
        <v>779</v>
      </c>
      <c r="S89" t="s">
        <v>1221</v>
      </c>
      <c r="T89" s="130">
        <v>0.99</v>
      </c>
      <c r="U89" t="s">
        <v>1910</v>
      </c>
      <c r="V89" s="133">
        <v>5.1694999999999998E-2</v>
      </c>
      <c r="W89"/>
      <c r="X89"/>
      <c r="Y89" s="133"/>
      <c r="Z89" s="133">
        <v>2.41E-2</v>
      </c>
      <c r="AA89" s="134">
        <v>46568</v>
      </c>
      <c r="AB89" t="s">
        <v>620</v>
      </c>
      <c r="AC89"/>
      <c r="AD89" s="132"/>
      <c r="AE89" s="133"/>
      <c r="AF89" s="134"/>
      <c r="AG89"/>
      <c r="AH89"/>
      <c r="AI89"/>
      <c r="AJ89" t="s">
        <v>55</v>
      </c>
      <c r="AK89" t="s">
        <v>775</v>
      </c>
      <c r="AL89"/>
      <c r="AM89" t="s">
        <v>305</v>
      </c>
      <c r="AN89" s="134">
        <v>46022</v>
      </c>
      <c r="AO89" s="134"/>
      <c r="AP89" s="133"/>
      <c r="AQ89" s="130">
        <v>77603.75</v>
      </c>
      <c r="AR89" s="130">
        <v>148.52000000000001</v>
      </c>
      <c r="AS89" s="130">
        <v>1</v>
      </c>
      <c r="AT89" s="130">
        <v>115.25709000000001</v>
      </c>
      <c r="AU89" s="130">
        <v>115.25709000000001</v>
      </c>
      <c r="AV89" s="132"/>
      <c r="AW89" s="132"/>
      <c r="AX89"/>
      <c r="AY89"/>
      <c r="AZ89" s="133">
        <v>6.731E-3</v>
      </c>
      <c r="BA89" s="133">
        <v>2.6999999999999999E-5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5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6" t="s">
        <v>14</v>
      </c>
      <c r="U1" s="136" t="s">
        <v>621</v>
      </c>
      <c r="V1" s="15" t="s">
        <v>917</v>
      </c>
      <c r="W1" s="15" t="s">
        <v>372</v>
      </c>
      <c r="X1" s="135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6" t="s">
        <v>19</v>
      </c>
      <c r="AD1" s="136" t="s">
        <v>30</v>
      </c>
    </row>
    <row r="2" spans="1:30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 s="134"/>
      <c r="O2"/>
      <c r="P2"/>
      <c r="Q2"/>
      <c r="R2"/>
      <c r="S2" s="130"/>
      <c r="T2" s="133"/>
      <c r="U2" s="133"/>
      <c r="V2"/>
      <c r="W2"/>
      <c r="X2" s="134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10" sqref="A10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0.875" style="2" bestFit="1" customWidth="1"/>
    <col min="18" max="18" width="8.625" style="2" bestFit="1" customWidth="1"/>
    <col min="19" max="19" width="8.75" style="2" bestFit="1" customWidth="1"/>
    <col min="20" max="20" width="10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274</v>
      </c>
      <c r="B2">
        <v>274</v>
      </c>
      <c r="C2" t="s">
        <v>1224</v>
      </c>
      <c r="D2" t="s">
        <v>1225</v>
      </c>
      <c r="E2" t="s">
        <v>776</v>
      </c>
      <c r="F2" t="s">
        <v>247</v>
      </c>
      <c r="G2" s="134"/>
      <c r="H2" t="s">
        <v>53</v>
      </c>
      <c r="I2" t="s">
        <v>315</v>
      </c>
      <c r="J2" t="s">
        <v>62</v>
      </c>
      <c r="K2" t="s">
        <v>1273</v>
      </c>
      <c r="L2" t="s">
        <v>84</v>
      </c>
      <c r="M2" t="s">
        <v>1218</v>
      </c>
      <c r="N2" s="130"/>
      <c r="O2" s="133"/>
      <c r="P2" s="133">
        <v>0</v>
      </c>
      <c r="Q2" s="130">
        <v>-3.0200000000000001E-3</v>
      </c>
      <c r="R2" s="130">
        <v>3.19</v>
      </c>
      <c r="S2" s="130">
        <v>100</v>
      </c>
      <c r="T2" s="130">
        <v>-9.6299999999999997E-3</v>
      </c>
      <c r="U2" s="133">
        <v>0</v>
      </c>
      <c r="V2" s="133">
        <v>0</v>
      </c>
    </row>
    <row r="3" spans="1:22" x14ac:dyDescent="0.2">
      <c r="A3">
        <v>274</v>
      </c>
      <c r="B3">
        <v>274</v>
      </c>
      <c r="C3" t="s">
        <v>1224</v>
      </c>
      <c r="D3" t="s">
        <v>1225</v>
      </c>
      <c r="E3" t="s">
        <v>776</v>
      </c>
      <c r="F3" t="s">
        <v>247</v>
      </c>
      <c r="G3" s="134"/>
      <c r="H3" t="s">
        <v>53</v>
      </c>
      <c r="I3" t="s">
        <v>315</v>
      </c>
      <c r="J3" t="s">
        <v>62</v>
      </c>
      <c r="K3" t="s">
        <v>1426</v>
      </c>
      <c r="L3" t="s">
        <v>96</v>
      </c>
      <c r="M3" t="s">
        <v>1218</v>
      </c>
      <c r="N3" s="130"/>
      <c r="O3" s="133"/>
      <c r="P3" s="133">
        <v>0</v>
      </c>
      <c r="Q3" s="130">
        <v>-300</v>
      </c>
      <c r="R3" s="130">
        <v>3.19</v>
      </c>
      <c r="S3" s="130">
        <v>100</v>
      </c>
      <c r="T3" s="130">
        <v>-957</v>
      </c>
      <c r="U3" s="133">
        <v>-3.0759999999999999E-2</v>
      </c>
      <c r="V3" s="133">
        <v>-2.31E-4</v>
      </c>
    </row>
    <row r="4" spans="1:22" x14ac:dyDescent="0.2">
      <c r="A4">
        <v>274</v>
      </c>
      <c r="B4">
        <v>274</v>
      </c>
      <c r="C4" t="s">
        <v>1215</v>
      </c>
      <c r="D4" t="s">
        <v>1216</v>
      </c>
      <c r="E4" t="s">
        <v>776</v>
      </c>
      <c r="F4" t="s">
        <v>229</v>
      </c>
      <c r="G4" s="134">
        <v>50895</v>
      </c>
      <c r="H4" t="s">
        <v>53</v>
      </c>
      <c r="I4" t="s">
        <v>53</v>
      </c>
      <c r="J4" t="s">
        <v>62</v>
      </c>
      <c r="K4" t="s">
        <v>1226</v>
      </c>
      <c r="L4" t="s">
        <v>70</v>
      </c>
      <c r="M4" t="s">
        <v>1221</v>
      </c>
      <c r="N4" s="130">
        <v>13.35</v>
      </c>
      <c r="O4" s="133"/>
      <c r="P4" s="133">
        <v>2.7300000000000001E-2</v>
      </c>
      <c r="Q4" s="130">
        <v>2950.5168699999999</v>
      </c>
      <c r="R4" s="130">
        <v>1</v>
      </c>
      <c r="S4" s="130">
        <v>110.21</v>
      </c>
      <c r="T4" s="130">
        <v>2950.5168699999999</v>
      </c>
      <c r="U4" s="133">
        <v>9.4836000000000004E-2</v>
      </c>
      <c r="V4" s="133">
        <v>7.1199999999999996E-4</v>
      </c>
    </row>
    <row r="5" spans="1:22" x14ac:dyDescent="0.2">
      <c r="A5">
        <v>274</v>
      </c>
      <c r="B5">
        <v>274</v>
      </c>
      <c r="C5" t="s">
        <v>1215</v>
      </c>
      <c r="D5" t="s">
        <v>1216</v>
      </c>
      <c r="E5" t="s">
        <v>776</v>
      </c>
      <c r="F5" t="s">
        <v>228</v>
      </c>
      <c r="G5" s="134">
        <v>46323</v>
      </c>
      <c r="H5" t="s">
        <v>53</v>
      </c>
      <c r="I5" t="s">
        <v>53</v>
      </c>
      <c r="J5" t="s">
        <v>62</v>
      </c>
      <c r="K5" t="s">
        <v>1226</v>
      </c>
      <c r="L5" t="s">
        <v>70</v>
      </c>
      <c r="M5" t="s">
        <v>1221</v>
      </c>
      <c r="N5" s="130">
        <v>0.82</v>
      </c>
      <c r="O5" s="133"/>
      <c r="P5" s="133">
        <v>4.4200000000000003E-2</v>
      </c>
      <c r="Q5" s="130">
        <v>14531.04</v>
      </c>
      <c r="R5" s="130">
        <v>1</v>
      </c>
      <c r="S5" s="130">
        <v>100.91</v>
      </c>
      <c r="T5" s="130">
        <v>14531.04</v>
      </c>
      <c r="U5" s="133">
        <v>0.46706199999999998</v>
      </c>
      <c r="V5" s="133">
        <v>3.5109999999999998E-3</v>
      </c>
    </row>
    <row r="6" spans="1:22" x14ac:dyDescent="0.2">
      <c r="A6">
        <v>274</v>
      </c>
      <c r="B6">
        <v>274</v>
      </c>
      <c r="C6" t="s">
        <v>1215</v>
      </c>
      <c r="D6" t="s">
        <v>1216</v>
      </c>
      <c r="E6" t="s">
        <v>776</v>
      </c>
      <c r="F6" t="s">
        <v>228</v>
      </c>
      <c r="G6" s="134">
        <v>46345</v>
      </c>
      <c r="H6" t="s">
        <v>53</v>
      </c>
      <c r="I6" t="s">
        <v>53</v>
      </c>
      <c r="J6" t="s">
        <v>62</v>
      </c>
      <c r="K6" t="s">
        <v>1226</v>
      </c>
      <c r="L6" t="s">
        <v>70</v>
      </c>
      <c r="M6" t="s">
        <v>1221</v>
      </c>
      <c r="N6" s="130">
        <v>0.88</v>
      </c>
      <c r="O6" s="133"/>
      <c r="P6" s="133">
        <v>4.4900000000000002E-2</v>
      </c>
      <c r="Q6" s="130">
        <v>14587</v>
      </c>
      <c r="R6" s="130">
        <v>1</v>
      </c>
      <c r="S6" s="130">
        <v>100.6</v>
      </c>
      <c r="T6" s="130">
        <v>14587</v>
      </c>
      <c r="U6" s="133">
        <v>0.46886100000000003</v>
      </c>
      <c r="V6" s="133">
        <v>3.5239999999999998E-3</v>
      </c>
    </row>
    <row r="7" spans="1:22" x14ac:dyDescent="0.2">
      <c r="A7" s="16"/>
      <c r="B7" s="16"/>
      <c r="C7" s="16"/>
      <c r="E7" s="14"/>
      <c r="F7" s="16"/>
      <c r="G7" s="16"/>
      <c r="H7" s="14"/>
      <c r="I7" s="14"/>
      <c r="J7" s="16"/>
      <c r="K7" s="16"/>
      <c r="M7" s="14"/>
      <c r="N7" s="16"/>
      <c r="O7" s="16"/>
      <c r="P7" s="16"/>
      <c r="R7" s="16"/>
      <c r="S7" s="16"/>
      <c r="T7" s="16"/>
      <c r="U7" s="16"/>
      <c r="V7" s="16"/>
    </row>
    <row r="8" spans="1:22" x14ac:dyDescent="0.2">
      <c r="A8" s="16"/>
      <c r="B8" s="16"/>
      <c r="C8" s="16"/>
      <c r="E8" s="14"/>
      <c r="F8" s="16"/>
      <c r="G8" s="16"/>
      <c r="H8" s="14"/>
      <c r="I8" s="14"/>
      <c r="J8" s="16"/>
      <c r="K8" s="16"/>
      <c r="M8" s="14"/>
      <c r="N8" s="16"/>
      <c r="O8" s="16"/>
      <c r="P8" s="16"/>
      <c r="R8" s="16"/>
      <c r="S8" s="16"/>
      <c r="T8" s="16"/>
      <c r="U8" s="16"/>
      <c r="V8" s="16"/>
    </row>
    <row r="9" spans="1:22" x14ac:dyDescent="0.2">
      <c r="A9" s="16"/>
      <c r="B9" s="16"/>
      <c r="C9" s="16"/>
      <c r="E9" s="14"/>
      <c r="F9" s="16"/>
      <c r="G9" s="16"/>
      <c r="H9" s="14"/>
      <c r="I9" s="14"/>
      <c r="J9" s="16"/>
      <c r="K9" s="16"/>
      <c r="M9" s="14"/>
      <c r="N9" s="16"/>
      <c r="O9" s="16"/>
      <c r="P9" s="16"/>
      <c r="R9" s="16"/>
      <c r="S9" s="16"/>
      <c r="T9" s="16"/>
      <c r="U9" s="16"/>
      <c r="V9" s="16"/>
    </row>
    <row r="10" spans="1:22" x14ac:dyDescent="0.2">
      <c r="A10" s="16"/>
      <c r="B10" s="16"/>
      <c r="C10" s="16"/>
      <c r="E10" s="14"/>
      <c r="F10" s="16"/>
      <c r="G10" s="16"/>
      <c r="H10" s="14"/>
      <c r="I10" s="14"/>
      <c r="J10" s="16"/>
      <c r="K10" s="16"/>
      <c r="M10" s="14"/>
      <c r="N10" s="16"/>
      <c r="O10" s="16"/>
      <c r="P10" s="16"/>
      <c r="R10" s="16"/>
      <c r="S10" s="16"/>
      <c r="T10" s="16"/>
      <c r="U10" s="16"/>
      <c r="V10" s="16"/>
    </row>
    <row r="11" spans="1:22" x14ac:dyDescent="0.2">
      <c r="A11" s="16"/>
      <c r="B11" s="16"/>
      <c r="C11" s="16"/>
      <c r="E11" s="14"/>
      <c r="F11" s="16"/>
      <c r="G11" s="16"/>
      <c r="H11" s="14"/>
      <c r="I11" s="14"/>
      <c r="J11" s="16"/>
      <c r="K11" s="16"/>
      <c r="M11" s="14"/>
      <c r="N11" s="16"/>
      <c r="O11" s="16"/>
      <c r="P11" s="16"/>
      <c r="R11" s="16"/>
      <c r="S11" s="16"/>
      <c r="T11" s="16"/>
      <c r="U11" s="16"/>
      <c r="V11" s="16"/>
    </row>
    <row r="12" spans="1:22" x14ac:dyDescent="0.2">
      <c r="A12" s="16"/>
      <c r="B12" s="16"/>
      <c r="C12" s="16"/>
      <c r="E12" s="14"/>
      <c r="F12" s="16"/>
      <c r="G12" s="16"/>
      <c r="H12" s="14"/>
      <c r="I12" s="14"/>
      <c r="J12" s="16"/>
      <c r="K12" s="16"/>
      <c r="M12" s="14"/>
      <c r="N12" s="16"/>
      <c r="O12" s="16"/>
      <c r="P12" s="16"/>
      <c r="R12" s="16"/>
      <c r="S12" s="16"/>
      <c r="T12" s="16"/>
      <c r="U12" s="16"/>
      <c r="V12" s="16"/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35" t="s">
        <v>12</v>
      </c>
      <c r="H1" s="15" t="s">
        <v>24</v>
      </c>
      <c r="I1" s="15" t="s">
        <v>286</v>
      </c>
      <c r="J1" s="15" t="s">
        <v>25</v>
      </c>
      <c r="K1" s="136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35" t="s">
        <v>16</v>
      </c>
      <c r="Q1" s="15" t="s">
        <v>396</v>
      </c>
      <c r="R1" s="129" t="s">
        <v>787</v>
      </c>
      <c r="S1" s="129" t="s">
        <v>1153</v>
      </c>
      <c r="T1" s="129" t="s">
        <v>1154</v>
      </c>
      <c r="U1" s="129" t="s">
        <v>788</v>
      </c>
      <c r="V1" s="15" t="s">
        <v>26</v>
      </c>
      <c r="W1" s="136" t="s">
        <v>19</v>
      </c>
      <c r="X1" s="136" t="s">
        <v>30</v>
      </c>
    </row>
    <row r="2" spans="1:24" x14ac:dyDescent="0.2">
      <c r="A2">
        <v>274</v>
      </c>
      <c r="B2">
        <v>274</v>
      </c>
      <c r="C2"/>
      <c r="D2"/>
      <c r="E2"/>
      <c r="F2"/>
      <c r="G2" s="134"/>
      <c r="H2"/>
      <c r="I2"/>
      <c r="J2"/>
      <c r="K2" s="133"/>
      <c r="L2"/>
      <c r="M2"/>
      <c r="N2"/>
      <c r="O2"/>
      <c r="P2" s="134"/>
      <c r="Q2"/>
      <c r="R2" s="130"/>
      <c r="S2" s="130"/>
      <c r="T2" s="130"/>
      <c r="U2" s="130"/>
      <c r="V2"/>
      <c r="W2" s="133"/>
      <c r="X2" s="133"/>
    </row>
    <row r="3" spans="1:24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5" t="s">
        <v>16</v>
      </c>
      <c r="R1" s="135" t="s">
        <v>1147</v>
      </c>
      <c r="S1" s="136" t="s">
        <v>618</v>
      </c>
      <c r="T1" s="129" t="s">
        <v>1156</v>
      </c>
      <c r="U1" s="129" t="s">
        <v>1153</v>
      </c>
      <c r="V1" s="136" t="s">
        <v>19</v>
      </c>
      <c r="W1" s="136" t="s">
        <v>30</v>
      </c>
    </row>
    <row r="2" spans="1:23" x14ac:dyDescent="0.2">
      <c r="A2">
        <v>274</v>
      </c>
      <c r="B2">
        <v>274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4"/>
      <c r="R2" s="134"/>
      <c r="S2" s="133"/>
      <c r="T2" s="130"/>
      <c r="U2" s="130"/>
      <c r="V2" s="133"/>
      <c r="W2" s="133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274</v>
      </c>
      <c r="B2">
        <v>274</v>
      </c>
      <c r="C2" t="s">
        <v>1913</v>
      </c>
      <c r="D2">
        <v>7893886</v>
      </c>
      <c r="E2" t="s">
        <v>694</v>
      </c>
      <c r="F2" t="s">
        <v>53</v>
      </c>
      <c r="G2" t="s">
        <v>53</v>
      </c>
      <c r="H2" t="s">
        <v>62</v>
      </c>
      <c r="I2" s="134">
        <v>37668</v>
      </c>
      <c r="J2" t="s">
        <v>1221</v>
      </c>
      <c r="K2" s="134">
        <v>46022</v>
      </c>
      <c r="L2" s="130">
        <v>2074443.9640899999</v>
      </c>
      <c r="M2" s="130">
        <v>1</v>
      </c>
      <c r="N2" s="130">
        <v>2074443.9640899999</v>
      </c>
      <c r="O2" s="130"/>
      <c r="P2"/>
      <c r="Q2" s="133">
        <v>0.96600600000000003</v>
      </c>
      <c r="R2" s="133">
        <v>0.501278</v>
      </c>
    </row>
    <row r="3" spans="1:18" x14ac:dyDescent="0.2">
      <c r="A3">
        <v>274</v>
      </c>
      <c r="B3">
        <v>274</v>
      </c>
      <c r="C3" t="s">
        <v>1914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4">
        <v>39658</v>
      </c>
      <c r="J3" t="s">
        <v>1221</v>
      </c>
      <c r="K3" s="134">
        <v>46022</v>
      </c>
      <c r="L3" s="130">
        <v>73000</v>
      </c>
      <c r="M3" s="130">
        <v>1</v>
      </c>
      <c r="N3" s="130">
        <v>73000</v>
      </c>
      <c r="O3" s="130"/>
      <c r="P3"/>
      <c r="Q3" s="133">
        <v>3.3993000000000002E-2</v>
      </c>
      <c r="R3" s="133">
        <v>1.7639999999999999E-2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D2" sqref="D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0.5" style="2" customWidth="1"/>
    <col min="4" max="4" width="16.375" style="2" customWidth="1"/>
    <col min="5" max="5" width="38.2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9.625" style="2" customWidth="1"/>
    <col min="12" max="12" width="13.12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5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6" t="s">
        <v>14</v>
      </c>
      <c r="Q1" s="15" t="s">
        <v>440</v>
      </c>
      <c r="R1" s="129" t="s">
        <v>796</v>
      </c>
      <c r="S1" s="129" t="s">
        <v>1157</v>
      </c>
      <c r="T1" s="136" t="s">
        <v>748</v>
      </c>
    </row>
    <row r="2" spans="1:20" ht="14.1" customHeight="1" x14ac:dyDescent="0.2">
      <c r="A2">
        <v>274</v>
      </c>
      <c r="B2">
        <v>274</v>
      </c>
      <c r="C2" s="1"/>
      <c r="D2"/>
      <c r="E2" s="141"/>
      <c r="F2">
        <v>72002000</v>
      </c>
      <c r="G2" s="134">
        <v>45918</v>
      </c>
      <c r="H2" t="s">
        <v>53</v>
      </c>
      <c r="I2"/>
      <c r="J2" t="s">
        <v>62</v>
      </c>
      <c r="K2" s="142" t="s">
        <v>1316</v>
      </c>
      <c r="L2" t="s">
        <v>70</v>
      </c>
      <c r="M2" t="s">
        <v>64</v>
      </c>
      <c r="N2" t="s">
        <v>1221</v>
      </c>
      <c r="O2" s="130">
        <v>1</v>
      </c>
      <c r="P2" s="133">
        <v>8.9999999999999993E-3</v>
      </c>
      <c r="Q2" t="s">
        <v>1910</v>
      </c>
      <c r="R2" s="132">
        <v>45.024999999999999</v>
      </c>
      <c r="S2" s="132">
        <v>45.024999999999999</v>
      </c>
      <c r="T2" s="133">
        <v>0.59252000000000005</v>
      </c>
    </row>
    <row r="3" spans="1:20" ht="14.1" customHeight="1" x14ac:dyDescent="0.2">
      <c r="A3">
        <v>274</v>
      </c>
      <c r="B3">
        <v>274</v>
      </c>
      <c r="C3" s="1"/>
      <c r="D3"/>
      <c r="E3" s="141"/>
      <c r="F3">
        <v>72002005</v>
      </c>
      <c r="G3" s="134">
        <v>45918</v>
      </c>
      <c r="H3" t="s">
        <v>53</v>
      </c>
      <c r="I3"/>
      <c r="J3" t="s">
        <v>62</v>
      </c>
      <c r="K3" s="142" t="s">
        <v>1316</v>
      </c>
      <c r="L3" t="s">
        <v>70</v>
      </c>
      <c r="M3" t="s">
        <v>64</v>
      </c>
      <c r="N3" t="s">
        <v>1221</v>
      </c>
      <c r="O3" s="130">
        <v>1</v>
      </c>
      <c r="P3" s="133">
        <v>8.9999999999999993E-3</v>
      </c>
      <c r="Q3" t="s">
        <v>1910</v>
      </c>
      <c r="R3" s="132">
        <v>50.372</v>
      </c>
      <c r="S3" s="132">
        <v>50.372</v>
      </c>
      <c r="T3" s="133">
        <v>0.62468999999999997</v>
      </c>
    </row>
    <row r="4" spans="1:20" ht="14.1" customHeight="1" x14ac:dyDescent="0.2">
      <c r="A4">
        <v>274</v>
      </c>
      <c r="B4">
        <v>274</v>
      </c>
      <c r="C4" s="1"/>
      <c r="D4"/>
      <c r="E4" s="141"/>
      <c r="F4">
        <v>72002006</v>
      </c>
      <c r="G4" s="134">
        <v>45918</v>
      </c>
      <c r="H4" t="s">
        <v>53</v>
      </c>
      <c r="I4"/>
      <c r="J4" t="s">
        <v>62</v>
      </c>
      <c r="K4" s="142" t="s">
        <v>1316</v>
      </c>
      <c r="L4" t="s">
        <v>70</v>
      </c>
      <c r="M4" t="s">
        <v>64</v>
      </c>
      <c r="N4" t="s">
        <v>1221</v>
      </c>
      <c r="O4" s="130">
        <v>1</v>
      </c>
      <c r="P4" s="133">
        <v>8.9999999999999993E-3</v>
      </c>
      <c r="Q4" t="s">
        <v>1910</v>
      </c>
      <c r="R4" s="132">
        <v>42.493000000000002</v>
      </c>
      <c r="S4" s="132">
        <v>42.493000000000002</v>
      </c>
      <c r="T4" s="133">
        <v>0.29526999999999998</v>
      </c>
    </row>
    <row r="5" spans="1:20" ht="14.1" customHeight="1" x14ac:dyDescent="0.2">
      <c r="A5">
        <v>274</v>
      </c>
      <c r="B5">
        <v>274</v>
      </c>
      <c r="C5" s="1"/>
      <c r="D5"/>
      <c r="E5" s="141"/>
      <c r="F5">
        <v>72002007</v>
      </c>
      <c r="G5" s="134">
        <v>45918</v>
      </c>
      <c r="H5" t="s">
        <v>53</v>
      </c>
      <c r="I5"/>
      <c r="J5" t="s">
        <v>62</v>
      </c>
      <c r="K5" s="142" t="s">
        <v>1316</v>
      </c>
      <c r="L5" t="s">
        <v>70</v>
      </c>
      <c r="M5" t="s">
        <v>64</v>
      </c>
      <c r="N5" t="s">
        <v>1221</v>
      </c>
      <c r="O5" s="130">
        <v>1</v>
      </c>
      <c r="P5" s="133">
        <v>8.9999999999999993E-3</v>
      </c>
      <c r="Q5" t="s">
        <v>1910</v>
      </c>
      <c r="R5" s="132">
        <v>28.704000000000001</v>
      </c>
      <c r="S5" s="132">
        <v>28.704000000000001</v>
      </c>
      <c r="T5" s="133">
        <v>0.10224999999999999</v>
      </c>
    </row>
    <row r="6" spans="1:20" ht="14.1" customHeight="1" x14ac:dyDescent="0.2">
      <c r="A6">
        <v>274</v>
      </c>
      <c r="B6">
        <v>274</v>
      </c>
      <c r="C6" s="1"/>
      <c r="D6"/>
      <c r="E6" s="141"/>
      <c r="F6">
        <v>72002008</v>
      </c>
      <c r="G6" s="134">
        <v>45918</v>
      </c>
      <c r="H6" t="s">
        <v>53</v>
      </c>
      <c r="I6"/>
      <c r="J6" t="s">
        <v>62</v>
      </c>
      <c r="K6" s="142" t="s">
        <v>1316</v>
      </c>
      <c r="L6" t="s">
        <v>70</v>
      </c>
      <c r="M6" t="s">
        <v>64</v>
      </c>
      <c r="N6" t="s">
        <v>1221</v>
      </c>
      <c r="O6" s="130">
        <v>1</v>
      </c>
      <c r="P6" s="133">
        <v>8.9999999999999993E-3</v>
      </c>
      <c r="Q6" t="s">
        <v>1910</v>
      </c>
      <c r="R6" s="132">
        <v>40.804000000000002</v>
      </c>
      <c r="S6" s="132">
        <v>40.804000000000002</v>
      </c>
      <c r="T6" s="133">
        <v>0.57828000000000002</v>
      </c>
    </row>
    <row r="7" spans="1:20" ht="14.1" customHeight="1" x14ac:dyDescent="0.2">
      <c r="A7">
        <v>274</v>
      </c>
      <c r="B7">
        <v>274</v>
      </c>
      <c r="C7" s="1"/>
      <c r="D7"/>
      <c r="E7" s="141"/>
      <c r="F7">
        <v>71000200</v>
      </c>
      <c r="G7" s="134">
        <v>44858</v>
      </c>
      <c r="H7" t="s">
        <v>53</v>
      </c>
      <c r="I7"/>
      <c r="J7" t="s">
        <v>62</v>
      </c>
      <c r="K7" s="142" t="s">
        <v>1316</v>
      </c>
      <c r="L7" t="s">
        <v>70</v>
      </c>
      <c r="M7" t="s">
        <v>64</v>
      </c>
      <c r="N7" t="s">
        <v>1221</v>
      </c>
      <c r="O7" s="130">
        <v>1</v>
      </c>
      <c r="P7" s="133">
        <v>8.9999999999999993E-3</v>
      </c>
      <c r="Q7" t="s">
        <v>1910</v>
      </c>
      <c r="R7" s="132">
        <v>3.5967259999999999</v>
      </c>
      <c r="S7" s="132">
        <v>3.5967259999999999</v>
      </c>
      <c r="T7" s="133">
        <v>1</v>
      </c>
    </row>
    <row r="8" spans="1:20" ht="14.1" customHeight="1" x14ac:dyDescent="0.2">
      <c r="A8">
        <v>274</v>
      </c>
      <c r="B8">
        <v>274</v>
      </c>
      <c r="C8" s="1"/>
      <c r="D8"/>
      <c r="E8" s="141"/>
      <c r="F8">
        <v>71000201</v>
      </c>
      <c r="G8" s="134">
        <v>44858</v>
      </c>
      <c r="H8" t="s">
        <v>53</v>
      </c>
      <c r="I8"/>
      <c r="J8" t="s">
        <v>62</v>
      </c>
      <c r="K8" s="142" t="s">
        <v>1316</v>
      </c>
      <c r="L8" t="s">
        <v>70</v>
      </c>
      <c r="M8" t="s">
        <v>64</v>
      </c>
      <c r="N8" t="s">
        <v>1221</v>
      </c>
      <c r="O8" s="130">
        <v>1</v>
      </c>
      <c r="P8" s="133">
        <v>8.9999999999999993E-3</v>
      </c>
      <c r="Q8" t="s">
        <v>1910</v>
      </c>
      <c r="R8" s="132">
        <v>3.2902659999999995</v>
      </c>
      <c r="S8" s="132">
        <v>3.2902659999999995</v>
      </c>
      <c r="T8" s="133">
        <v>1</v>
      </c>
    </row>
    <row r="9" spans="1:20" ht="14.1" customHeight="1" x14ac:dyDescent="0.2">
      <c r="A9">
        <v>274</v>
      </c>
      <c r="B9">
        <v>274</v>
      </c>
      <c r="C9" s="1"/>
      <c r="D9"/>
      <c r="E9" s="141"/>
      <c r="F9">
        <v>71000202</v>
      </c>
      <c r="G9" s="134">
        <v>44858</v>
      </c>
      <c r="H9" t="s">
        <v>53</v>
      </c>
      <c r="I9"/>
      <c r="J9" t="s">
        <v>62</v>
      </c>
      <c r="K9" s="142" t="s">
        <v>1316</v>
      </c>
      <c r="L9" t="s">
        <v>70</v>
      </c>
      <c r="M9" t="s">
        <v>64</v>
      </c>
      <c r="N9" t="s">
        <v>1221</v>
      </c>
      <c r="O9" s="130">
        <v>1</v>
      </c>
      <c r="P9" s="133">
        <v>8.9999999999999993E-3</v>
      </c>
      <c r="Q9" t="s">
        <v>1910</v>
      </c>
      <c r="R9" s="132">
        <v>4.5272500000000004</v>
      </c>
      <c r="S9" s="132">
        <v>4.5272500000000004</v>
      </c>
      <c r="T9" s="133">
        <v>1</v>
      </c>
    </row>
    <row r="10" spans="1:20" ht="13.7" customHeight="1" x14ac:dyDescent="0.2">
      <c r="A10">
        <v>274</v>
      </c>
      <c r="B10">
        <v>274</v>
      </c>
      <c r="C10" s="1"/>
      <c r="D10"/>
      <c r="E10" s="141"/>
      <c r="F10">
        <v>71000203</v>
      </c>
      <c r="G10" s="134">
        <v>44858</v>
      </c>
      <c r="H10" t="s">
        <v>53</v>
      </c>
      <c r="I10"/>
      <c r="J10" t="s">
        <v>62</v>
      </c>
      <c r="K10" s="142" t="s">
        <v>1316</v>
      </c>
      <c r="L10" t="s">
        <v>70</v>
      </c>
      <c r="M10" t="s">
        <v>64</v>
      </c>
      <c r="N10" t="s">
        <v>1221</v>
      </c>
      <c r="O10" s="130">
        <v>1</v>
      </c>
      <c r="P10" s="133">
        <v>8.9999999999999993E-3</v>
      </c>
      <c r="Q10" t="s">
        <v>1910</v>
      </c>
      <c r="R10" s="132">
        <v>2.5185440000000003</v>
      </c>
      <c r="S10" s="132">
        <v>2.5185440000000003</v>
      </c>
      <c r="T10" s="133">
        <v>1</v>
      </c>
    </row>
    <row r="11" spans="1:20" ht="13.7" customHeight="1" x14ac:dyDescent="0.2">
      <c r="A11">
        <v>274</v>
      </c>
      <c r="B11">
        <v>274</v>
      </c>
      <c r="C11" s="1"/>
      <c r="D11"/>
      <c r="E11" s="141"/>
      <c r="F11">
        <v>71000204</v>
      </c>
      <c r="G11" s="134">
        <v>44858</v>
      </c>
      <c r="H11" t="s">
        <v>53</v>
      </c>
      <c r="I11"/>
      <c r="J11" t="s">
        <v>62</v>
      </c>
      <c r="K11" s="142" t="s">
        <v>1316</v>
      </c>
      <c r="L11" t="s">
        <v>70</v>
      </c>
      <c r="M11" t="s">
        <v>64</v>
      </c>
      <c r="N11" t="s">
        <v>1221</v>
      </c>
      <c r="O11" s="130">
        <v>1</v>
      </c>
      <c r="P11" s="133">
        <v>8.9999999999999993E-3</v>
      </c>
      <c r="Q11" t="s">
        <v>1910</v>
      </c>
      <c r="R11" s="132">
        <v>2.8222179999999999</v>
      </c>
      <c r="S11" s="132">
        <v>2.8222179999999999</v>
      </c>
      <c r="T11" s="133">
        <v>1</v>
      </c>
    </row>
    <row r="12" spans="1:20" ht="14.1" customHeight="1" x14ac:dyDescent="0.2">
      <c r="A12">
        <v>274</v>
      </c>
      <c r="B12">
        <v>274</v>
      </c>
      <c r="C12" s="1"/>
      <c r="D12"/>
      <c r="E12" s="141"/>
      <c r="F12">
        <v>72003000</v>
      </c>
      <c r="G12" s="134">
        <v>45918</v>
      </c>
      <c r="H12" t="s">
        <v>53</v>
      </c>
      <c r="I12"/>
      <c r="J12" t="s">
        <v>62</v>
      </c>
      <c r="K12" s="142" t="s">
        <v>1316</v>
      </c>
      <c r="L12" t="s">
        <v>70</v>
      </c>
      <c r="M12" t="s">
        <v>64</v>
      </c>
      <c r="N12" t="s">
        <v>1221</v>
      </c>
      <c r="O12" s="130">
        <v>1</v>
      </c>
      <c r="P12" s="133">
        <v>8.9999999999999993E-3</v>
      </c>
      <c r="Q12" t="s">
        <v>1910</v>
      </c>
      <c r="R12" s="132">
        <v>15.132999999999999</v>
      </c>
      <c r="S12" s="132">
        <v>15.132999999999999</v>
      </c>
      <c r="T12" s="133">
        <v>1</v>
      </c>
    </row>
    <row r="13" spans="1:20" ht="14.1" customHeight="1" x14ac:dyDescent="0.2">
      <c r="A13">
        <v>274</v>
      </c>
      <c r="B13">
        <v>274</v>
      </c>
      <c r="C13" s="1"/>
      <c r="D13"/>
      <c r="E13" s="141"/>
      <c r="F13">
        <v>72003001</v>
      </c>
      <c r="G13" s="134">
        <v>45918</v>
      </c>
      <c r="H13" t="s">
        <v>53</v>
      </c>
      <c r="I13"/>
      <c r="J13" t="s">
        <v>62</v>
      </c>
      <c r="K13" s="142" t="s">
        <v>1316</v>
      </c>
      <c r="L13" t="s">
        <v>70</v>
      </c>
      <c r="M13" t="s">
        <v>64</v>
      </c>
      <c r="N13" t="s">
        <v>1221</v>
      </c>
      <c r="O13" s="130">
        <v>1</v>
      </c>
      <c r="P13" s="133">
        <v>8.9999999999999993E-3</v>
      </c>
      <c r="Q13" t="s">
        <v>1910</v>
      </c>
      <c r="R13" s="132">
        <v>16.228000000000002</v>
      </c>
      <c r="S13" s="132">
        <v>16.228000000000002</v>
      </c>
      <c r="T13" s="133">
        <v>1</v>
      </c>
    </row>
    <row r="14" spans="1:20" ht="14.1" customHeight="1" x14ac:dyDescent="0.2">
      <c r="A14">
        <v>274</v>
      </c>
      <c r="B14">
        <v>274</v>
      </c>
      <c r="C14" s="1"/>
      <c r="D14"/>
      <c r="E14" s="141"/>
      <c r="F14">
        <v>72003002</v>
      </c>
      <c r="G14" s="134">
        <v>45918</v>
      </c>
      <c r="H14" t="s">
        <v>53</v>
      </c>
      <c r="I14"/>
      <c r="J14" t="s">
        <v>62</v>
      </c>
      <c r="K14" s="142" t="s">
        <v>1316</v>
      </c>
      <c r="L14" t="s">
        <v>70</v>
      </c>
      <c r="M14" t="s">
        <v>64</v>
      </c>
      <c r="N14" t="s">
        <v>1221</v>
      </c>
      <c r="O14" s="130">
        <v>1</v>
      </c>
      <c r="P14" s="133">
        <v>8.9999999999999993E-3</v>
      </c>
      <c r="Q14" t="s">
        <v>1910</v>
      </c>
      <c r="R14" s="132">
        <v>18.135000000000002</v>
      </c>
      <c r="S14" s="132">
        <v>18.135000000000002</v>
      </c>
      <c r="T14" s="133">
        <v>1</v>
      </c>
    </row>
    <row r="15" spans="1:20" ht="14.1" customHeight="1" x14ac:dyDescent="0.2">
      <c r="A15">
        <v>274</v>
      </c>
      <c r="B15">
        <v>274</v>
      </c>
      <c r="C15" s="1"/>
      <c r="D15"/>
      <c r="E15" s="141"/>
      <c r="F15">
        <v>72003003</v>
      </c>
      <c r="G15" s="134">
        <v>45918</v>
      </c>
      <c r="H15" t="s">
        <v>53</v>
      </c>
      <c r="I15"/>
      <c r="J15" t="s">
        <v>62</v>
      </c>
      <c r="K15" s="142" t="s">
        <v>1316</v>
      </c>
      <c r="L15" t="s">
        <v>70</v>
      </c>
      <c r="M15" t="s">
        <v>64</v>
      </c>
      <c r="N15" t="s">
        <v>1221</v>
      </c>
      <c r="O15" s="130">
        <v>1</v>
      </c>
      <c r="P15" s="133">
        <v>8.9999999999999993E-3</v>
      </c>
      <c r="Q15" t="s">
        <v>1910</v>
      </c>
      <c r="R15" s="132">
        <v>12.695</v>
      </c>
      <c r="S15" s="132">
        <v>12.695</v>
      </c>
      <c r="T15" s="133">
        <v>1</v>
      </c>
    </row>
    <row r="16" spans="1:20" ht="14.1" customHeight="1" x14ac:dyDescent="0.2">
      <c r="A16">
        <v>274</v>
      </c>
      <c r="B16">
        <v>274</v>
      </c>
      <c r="C16" s="1"/>
      <c r="D16"/>
      <c r="E16" s="141"/>
      <c r="F16">
        <v>72003004</v>
      </c>
      <c r="G16" s="134">
        <v>45918</v>
      </c>
      <c r="H16" t="s">
        <v>53</v>
      </c>
      <c r="I16"/>
      <c r="J16" t="s">
        <v>62</v>
      </c>
      <c r="K16" s="142" t="s">
        <v>1316</v>
      </c>
      <c r="L16" t="s">
        <v>70</v>
      </c>
      <c r="M16" t="s">
        <v>64</v>
      </c>
      <c r="N16" t="s">
        <v>1221</v>
      </c>
      <c r="O16" s="130">
        <v>1</v>
      </c>
      <c r="P16" s="133">
        <v>8.9999999999999993E-3</v>
      </c>
      <c r="Q16" t="s">
        <v>1910</v>
      </c>
      <c r="R16" s="132">
        <v>14.391</v>
      </c>
      <c r="S16" s="132">
        <v>14.391</v>
      </c>
      <c r="T16" s="133">
        <v>1</v>
      </c>
    </row>
    <row r="17" spans="4:17" ht="14.1" customHeight="1" x14ac:dyDescent="0.2">
      <c r="D17" s="16"/>
      <c r="G17"/>
      <c r="H17" s="14"/>
      <c r="I17" s="14"/>
      <c r="J17" s="16"/>
      <c r="K17" s="16"/>
      <c r="L17" s="16"/>
      <c r="M17" s="16"/>
      <c r="Q17" s="16"/>
    </row>
    <row r="18" spans="4:17" ht="14.1" customHeight="1" x14ac:dyDescent="0.2">
      <c r="D18" s="16"/>
      <c r="G18"/>
      <c r="H18" s="14"/>
      <c r="I18" s="14"/>
      <c r="J18" s="16"/>
      <c r="K18" s="16"/>
      <c r="L18" s="16"/>
      <c r="M18" s="16"/>
      <c r="Q18" s="16"/>
    </row>
    <row r="19" spans="4:17" ht="14.1" customHeight="1" x14ac:dyDescent="0.2">
      <c r="D19" s="16"/>
      <c r="G19"/>
      <c r="H19" s="14"/>
      <c r="I19" s="14"/>
      <c r="J19" s="16"/>
      <c r="K19" s="16"/>
      <c r="L19" s="16"/>
      <c r="M19" s="16"/>
      <c r="Q19" s="16"/>
    </row>
    <row r="20" spans="4:17" ht="14.1" customHeight="1" x14ac:dyDescent="0.2">
      <c r="D20" s="16"/>
      <c r="G20"/>
      <c r="H20" s="14"/>
      <c r="I20" s="14"/>
      <c r="J20" s="16"/>
      <c r="L20" s="16"/>
      <c r="M20" s="16"/>
      <c r="Q20" s="16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17:H20" xr:uid="{00000000-0002-0000-1D00-000000000000}">
      <formula1>israel_abroad</formula1>
    </dataValidation>
    <dataValidation type="list" allowBlank="1" showInputMessage="1" showErrorMessage="1" sqref="I17:I20" xr:uid="{00000000-0002-0000-1D00-000001000000}">
      <formula1>Country_list</formula1>
    </dataValidation>
    <dataValidation type="list" allowBlank="1" showInputMessage="1" showErrorMessage="1" sqref="D17:D20" xr:uid="{00000000-0002-0000-1D00-000003000000}">
      <formula1>issuer_number_loan</formula1>
    </dataValidation>
    <dataValidation type="list" allowBlank="1" showInputMessage="1" showErrorMessage="1" sqref="L17:L20" xr:uid="{00000000-0002-0000-1D00-000004000000}">
      <formula1>Rating_Agency</formula1>
    </dataValidation>
    <dataValidation type="list" allowBlank="1" showInputMessage="1" showErrorMessage="1" sqref="Q17:Q20" xr:uid="{00000000-0002-0000-1D00-000005000000}">
      <formula1>Type_of_Interest_Rate</formula1>
    </dataValidation>
    <dataValidation type="list" allowBlank="1" showInputMessage="1" showErrorMessage="1" sqref="J17:J20" xr:uid="{00000000-0002-0000-1D00-000006000000}">
      <formula1>Holding_interest</formula1>
    </dataValidation>
    <dataValidation type="list" allowBlank="1" showInputMessage="1" showErrorMessage="1" sqref="M17:M20" xr:uid="{00000000-0002-0000-1D00-000007000000}">
      <formula1>what_is_rated_loans</formula1>
    </dataValidation>
    <dataValidation allowBlank="1" showInputMessage="1" showErrorMessage="1" sqref="E2:E16" xr:uid="{F42FA229-1DBB-4D71-A709-93045391CEFD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5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6" t="s">
        <v>22</v>
      </c>
      <c r="Q1" s="135" t="s">
        <v>797</v>
      </c>
    </row>
    <row r="2" spans="1:17" ht="14.1" customHeight="1" x14ac:dyDescent="0.2">
      <c r="A2">
        <v>274</v>
      </c>
      <c r="B2">
        <v>274</v>
      </c>
      <c r="C2"/>
      <c r="D2"/>
      <c r="E2"/>
      <c r="F2"/>
      <c r="G2"/>
      <c r="H2"/>
      <c r="I2"/>
      <c r="J2"/>
      <c r="K2" s="134"/>
      <c r="L2" s="130"/>
      <c r="M2" s="130"/>
      <c r="N2" s="130"/>
      <c r="O2" s="130"/>
      <c r="P2" s="133"/>
      <c r="Q2" s="134"/>
    </row>
    <row r="3" spans="1:17" ht="14.1" customHeight="1" x14ac:dyDescent="0.2">
      <c r="F3" s="16"/>
      <c r="H3"/>
      <c r="I3" s="16"/>
      <c r="J3"/>
      <c r="K3" s="16"/>
      <c r="L3"/>
      <c r="M3"/>
      <c r="N3"/>
      <c r="O3"/>
      <c r="P3" s="16"/>
      <c r="Q3"/>
    </row>
    <row r="4" spans="1:17" ht="13.7" customHeight="1" x14ac:dyDescent="0.2">
      <c r="F4" s="16"/>
      <c r="H4"/>
      <c r="I4" s="16"/>
      <c r="J4"/>
      <c r="K4" s="16"/>
      <c r="L4"/>
      <c r="M4"/>
      <c r="N4"/>
      <c r="O4"/>
      <c r="P4" s="16"/>
      <c r="Q4"/>
    </row>
    <row r="5" spans="1:17" ht="13.7" customHeight="1" x14ac:dyDescent="0.2">
      <c r="F5" s="16"/>
      <c r="H5"/>
      <c r="I5" s="16"/>
      <c r="J5"/>
      <c r="K5" s="16"/>
      <c r="L5"/>
      <c r="M5"/>
      <c r="N5"/>
      <c r="O5"/>
      <c r="P5" s="16"/>
      <c r="Q5"/>
    </row>
    <row r="6" spans="1:17" ht="14.1" customHeight="1" x14ac:dyDescent="0.2">
      <c r="F6" s="16"/>
      <c r="H6"/>
      <c r="I6" s="16"/>
      <c r="J6"/>
      <c r="K6" s="16"/>
      <c r="L6"/>
      <c r="M6"/>
      <c r="N6"/>
      <c r="O6"/>
      <c r="P6" s="16"/>
      <c r="Q6"/>
    </row>
    <row r="7" spans="1:17" ht="14.1" customHeight="1" x14ac:dyDescent="0.2">
      <c r="F7" s="16"/>
      <c r="H7"/>
      <c r="I7" s="16"/>
      <c r="J7"/>
      <c r="K7" s="16"/>
      <c r="L7"/>
      <c r="M7"/>
      <c r="N7"/>
      <c r="O7"/>
      <c r="P7" s="16"/>
      <c r="Q7"/>
    </row>
    <row r="8" spans="1:17" ht="14.1" customHeight="1" x14ac:dyDescent="0.2">
      <c r="F8" s="16"/>
      <c r="H8"/>
      <c r="I8" s="16"/>
      <c r="J8"/>
      <c r="K8" s="16"/>
      <c r="L8"/>
      <c r="M8"/>
      <c r="N8"/>
      <c r="O8"/>
      <c r="P8" s="16"/>
      <c r="Q8"/>
    </row>
    <row r="9" spans="1:17" ht="14.1" customHeight="1" x14ac:dyDescent="0.2">
      <c r="F9" s="16"/>
      <c r="H9"/>
      <c r="I9" s="16"/>
      <c r="J9"/>
      <c r="K9" s="16"/>
      <c r="L9"/>
      <c r="M9"/>
      <c r="N9"/>
      <c r="O9"/>
      <c r="P9" s="16"/>
      <c r="Q9"/>
    </row>
    <row r="10" spans="1:17" ht="14.1" customHeight="1" x14ac:dyDescent="0.2">
      <c r="F10" s="16"/>
      <c r="H10"/>
      <c r="I10" s="16"/>
      <c r="J10"/>
      <c r="K10" s="16"/>
      <c r="L10"/>
      <c r="M10"/>
      <c r="N10"/>
      <c r="O10"/>
      <c r="P10" s="16"/>
      <c r="Q10"/>
    </row>
    <row r="11" spans="1:17" ht="14.1" customHeight="1" x14ac:dyDescent="0.2">
      <c r="F11" s="16"/>
      <c r="H11"/>
      <c r="I11" s="16"/>
      <c r="J11"/>
      <c r="K11" s="16"/>
      <c r="L11"/>
      <c r="M11"/>
      <c r="N11"/>
      <c r="O11"/>
      <c r="Q11"/>
    </row>
    <row r="12" spans="1:17" ht="14.1" customHeight="1" x14ac:dyDescent="0.2">
      <c r="F12" s="16"/>
      <c r="H12"/>
      <c r="I12" s="16"/>
      <c r="K12" s="16"/>
      <c r="L12"/>
      <c r="M12"/>
      <c r="N12"/>
      <c r="O12"/>
      <c r="Q12"/>
    </row>
    <row r="13" spans="1:17" ht="14.1" customHeight="1" x14ac:dyDescent="0.2">
      <c r="F13" s="16"/>
      <c r="H13"/>
      <c r="I13" s="16"/>
      <c r="K13" s="16"/>
      <c r="L13"/>
      <c r="M13"/>
      <c r="N13"/>
      <c r="O13"/>
      <c r="Q13"/>
    </row>
    <row r="14" spans="1:17" ht="14.1" customHeight="1" x14ac:dyDescent="0.2">
      <c r="F14" s="16"/>
      <c r="H14"/>
      <c r="I14" s="16"/>
      <c r="K14" s="16"/>
      <c r="L14"/>
      <c r="M14"/>
      <c r="N14"/>
      <c r="O14"/>
      <c r="Q14"/>
    </row>
    <row r="15" spans="1:17" ht="14.1" customHeight="1" x14ac:dyDescent="0.2">
      <c r="F15" s="16"/>
      <c r="H15"/>
      <c r="I15" s="16"/>
      <c r="K15" s="16"/>
      <c r="L15"/>
      <c r="M15"/>
      <c r="N15"/>
      <c r="O15"/>
      <c r="Q15"/>
    </row>
    <row r="16" spans="1:17" ht="14.1" customHeight="1" x14ac:dyDescent="0.2">
      <c r="F16" s="16"/>
      <c r="H16"/>
      <c r="I16" s="16"/>
      <c r="K16" s="16"/>
      <c r="L16"/>
      <c r="M16"/>
      <c r="N16"/>
      <c r="O16"/>
      <c r="Q16"/>
    </row>
    <row r="17" spans="6:17" ht="14.1" customHeight="1" x14ac:dyDescent="0.2">
      <c r="F17" s="16"/>
      <c r="H17"/>
      <c r="I17" s="16"/>
      <c r="K17" s="16"/>
      <c r="L17"/>
      <c r="M17"/>
      <c r="N17"/>
      <c r="O17"/>
      <c r="Q17"/>
    </row>
    <row r="18" spans="6:17" ht="14.1" customHeight="1" x14ac:dyDescent="0.2">
      <c r="F18" s="16"/>
      <c r="H18"/>
      <c r="I18" s="16"/>
      <c r="K18" s="16"/>
      <c r="L18"/>
      <c r="M18"/>
      <c r="N18"/>
      <c r="O18"/>
      <c r="Q18"/>
    </row>
    <row r="19" spans="6:17" ht="14.1" customHeight="1" x14ac:dyDescent="0.2">
      <c r="F19" s="16"/>
      <c r="H19"/>
      <c r="I19" s="16"/>
      <c r="K19" s="16"/>
      <c r="L19"/>
      <c r="M19"/>
      <c r="N19"/>
      <c r="O19"/>
      <c r="Q19"/>
    </row>
    <row r="20" spans="6:17" ht="14.1" customHeight="1" x14ac:dyDescent="0.2">
      <c r="F20" s="16"/>
      <c r="H20"/>
      <c r="I20" s="16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2026-02-16T07:09:41Z</dcterms:modified>
</cp:coreProperties>
</file>